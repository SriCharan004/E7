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stephenroll/Library/CloudStorage/Dropbox-RisingFellow/Rising Fellow/_Products/Exam 7/_Cookbook/Exam 7 Cookbook - Excel Version (Fall 2026)/"/>
    </mc:Choice>
  </mc:AlternateContent>
  <xr:revisionPtr revIDLastSave="0" documentId="13_ncr:1_{00EAEA00-D1DF-A04E-8926-50194B848F3E}" xr6:coauthVersionLast="47" xr6:coauthVersionMax="47" xr10:uidLastSave="{00000000-0000-0000-0000-000000000000}"/>
  <bookViews>
    <workbookView xWindow="0" yWindow="500" windowWidth="21540" windowHeight="21100" xr2:uid="{00000000-000D-0000-FFFF-FFFF00000000}"/>
  </bookViews>
  <sheets>
    <sheet name="ODP Cross-Classified" sheetId="17" r:id="rId1"/>
    <sheet name="GLM Representation" sheetId="18" r:id="rId2"/>
    <sheet name="Re-normalizing ODP CC" sheetId="19" r:id="rId3"/>
    <sheet name="Delta Method" sheetId="22" r:id="rId4"/>
    <sheet name="Semi-Parametric Bootstrap" sheetId="21" r:id="rId5"/>
  </sheets>
  <externalReferences>
    <externalReference r:id="rId6"/>
  </externalReferences>
  <definedNames>
    <definedName name="DesignMatrix">[1]Data!$B$39:$F$44</definedName>
    <definedName name="WeightMatri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3" i="22" l="1" a="1"/>
  <c r="C173" i="22" s="1"/>
  <c r="E77" i="22"/>
  <c r="F35" i="19"/>
  <c r="D47" i="19" l="1"/>
  <c r="D50" i="19"/>
  <c r="G35" i="19"/>
  <c r="D25" i="19"/>
  <c r="E25" i="19"/>
  <c r="F39" i="17"/>
  <c r="F38" i="17"/>
  <c r="F37" i="17"/>
  <c r="F36" i="17"/>
  <c r="E64" i="17"/>
  <c r="D63" i="17"/>
  <c r="E65" i="17"/>
  <c r="D62" i="17"/>
  <c r="D75" i="22" l="1"/>
  <c r="F73" i="22" s="1"/>
  <c r="G77" i="22"/>
  <c r="H76" i="22" s="1"/>
  <c r="F77" i="22"/>
  <c r="H75" i="22" s="1"/>
  <c r="F76" i="22"/>
  <c r="G75" i="22" s="1"/>
  <c r="H74" i="22"/>
  <c r="E76" i="22"/>
  <c r="G74" i="22" s="1"/>
  <c r="D77" i="22"/>
  <c r="H73" i="22" s="1"/>
  <c r="D76" i="22"/>
  <c r="G73" i="22" s="1"/>
  <c r="E75" i="22"/>
  <c r="F74" i="22" s="1"/>
  <c r="D74" i="22"/>
  <c r="E73" i="22" s="1"/>
  <c r="H77" i="22"/>
  <c r="G76" i="22"/>
  <c r="E74" i="22"/>
  <c r="F75" i="22"/>
  <c r="D73" i="22"/>
  <c r="F61" i="22" l="1"/>
  <c r="F62" i="22"/>
  <c r="E163" i="22" s="1"/>
  <c r="E62" i="22"/>
  <c r="D162" i="22" s="1"/>
  <c r="C161" i="22" l="1"/>
  <c r="E92" i="22"/>
  <c r="H94" i="22"/>
  <c r="F94" i="22"/>
  <c r="G61" i="22"/>
  <c r="H92" i="22"/>
  <c r="G62" i="22"/>
  <c r="G93" i="22"/>
  <c r="F93" i="22"/>
  <c r="D105" i="22" l="1" a="1"/>
  <c r="D105" i="22" s="1"/>
  <c r="F64" i="21"/>
  <c r="F109" i="22" l="1"/>
  <c r="F82" i="21"/>
  <c r="J116" i="21"/>
  <c r="D63" i="21"/>
  <c r="G63" i="22" l="1"/>
  <c r="D81" i="21"/>
  <c r="J111" i="21" s="1"/>
  <c r="G63" i="21"/>
  <c r="F63" i="21"/>
  <c r="E65" i="21"/>
  <c r="E64" i="21"/>
  <c r="E63" i="21"/>
  <c r="D66" i="21"/>
  <c r="D65" i="21"/>
  <c r="D64" i="21"/>
  <c r="F116" i="22" l="1"/>
  <c r="D132" i="22" s="1"/>
  <c r="C132" i="22"/>
  <c r="D114" i="21"/>
  <c r="E82" i="21"/>
  <c r="E83" i="21"/>
  <c r="J118" i="21" s="1"/>
  <c r="D113" i="21" s="1"/>
  <c r="E81" i="21"/>
  <c r="F81" i="21"/>
  <c r="D82" i="21"/>
  <c r="D83" i="21"/>
  <c r="J117" i="21" s="1"/>
  <c r="E112" i="21" s="1"/>
  <c r="E132" i="22" l="1"/>
  <c r="J114" i="21"/>
  <c r="J113" i="21"/>
  <c r="E113" i="21" s="1"/>
  <c r="J112" i="21"/>
  <c r="F113" i="21" s="1"/>
  <c r="J115" i="21"/>
  <c r="G112" i="21" s="1"/>
  <c r="F112" i="21" l="1"/>
  <c r="E114" i="21"/>
  <c r="D112" i="21"/>
  <c r="F118" i="21" s="1"/>
  <c r="D115" i="21"/>
  <c r="D118" i="21" l="1"/>
  <c r="E115" i="21" s="1"/>
  <c r="E139" i="21" s="1"/>
  <c r="E118" i="21"/>
  <c r="F114" i="21" s="1"/>
  <c r="F138" i="21" s="1"/>
  <c r="G113" i="21"/>
  <c r="F115" i="21"/>
  <c r="F139" i="21" s="1"/>
  <c r="C36" i="17"/>
  <c r="C37" i="17" l="1"/>
  <c r="G114" i="21"/>
  <c r="G138" i="21" s="1"/>
  <c r="G137" i="21"/>
  <c r="G115" i="21"/>
  <c r="G139" i="21" s="1"/>
  <c r="D55" i="17"/>
  <c r="D57" i="17" s="1"/>
  <c r="E29" i="19"/>
  <c r="D29" i="19"/>
  <c r="E28" i="19"/>
  <c r="D28" i="19"/>
  <c r="E27" i="19"/>
  <c r="D27" i="19"/>
  <c r="E26" i="19"/>
  <c r="D26" i="19"/>
  <c r="I81" i="18"/>
  <c r="I80" i="18"/>
  <c r="I79" i="18"/>
  <c r="I78" i="18"/>
  <c r="I77" i="18"/>
  <c r="I76" i="18"/>
  <c r="I75" i="18"/>
  <c r="I74" i="18"/>
  <c r="I73" i="18"/>
  <c r="I72" i="18"/>
  <c r="E48" i="18"/>
  <c r="E47" i="18"/>
  <c r="E46" i="18"/>
  <c r="E45" i="18"/>
  <c r="E44" i="18"/>
  <c r="E43" i="18"/>
  <c r="D30" i="18"/>
  <c r="C48" i="18" s="1"/>
  <c r="E29" i="18"/>
  <c r="C47" i="18" s="1"/>
  <c r="D29" i="18"/>
  <c r="C46" i="18" s="1"/>
  <c r="F28" i="18"/>
  <c r="C45" i="18" s="1"/>
  <c r="E28" i="18"/>
  <c r="C44" i="18" s="1"/>
  <c r="D28" i="18"/>
  <c r="C43" i="18" s="1"/>
  <c r="C38" i="17" l="1"/>
  <c r="G123" i="21"/>
  <c r="G143" i="21"/>
  <c r="E30" i="19"/>
  <c r="F36" i="19" s="1"/>
  <c r="D64" i="17" l="1"/>
  <c r="E63" i="17"/>
  <c r="G36" i="19"/>
  <c r="G39" i="19"/>
  <c r="G38" i="19"/>
  <c r="F39" i="19"/>
  <c r="G37" i="19"/>
  <c r="F37" i="19"/>
  <c r="F38" i="19"/>
  <c r="G40" i="19" l="1"/>
  <c r="C39" i="17" l="1"/>
  <c r="D65" i="17" s="1"/>
  <c r="E47" i="17" l="1"/>
  <c r="E6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<sst xmlns="http://schemas.openxmlformats.org/spreadsheetml/2006/main" count="387" uniqueCount="239">
  <si>
    <t>a.</t>
  </si>
  <si>
    <t>b.</t>
  </si>
  <si>
    <t>Solution</t>
  </si>
  <si>
    <t>12 Months</t>
  </si>
  <si>
    <t>24 Months</t>
  </si>
  <si>
    <t>36 Months</t>
  </si>
  <si>
    <t>48 Months</t>
  </si>
  <si>
    <t>AY</t>
  </si>
  <si>
    <t>Dev Period</t>
  </si>
  <si>
    <t>($000)</t>
  </si>
  <si>
    <t>Cumulative Reported Loss</t>
  </si>
  <si>
    <t>Fully specify the ODP Mack model for this loss triangle as a GLM.</t>
  </si>
  <si>
    <t>Fully specify the ODP Cross-Classified model for this loss triangle as a GLM.</t>
  </si>
  <si>
    <t xml:space="preserve">Y = </t>
  </si>
  <si>
    <t xml:space="preserve">w = </t>
  </si>
  <si>
    <t>Exposure Period</t>
  </si>
  <si>
    <t>GLM Parameter Estimates for
ODP Cross-Classified Model</t>
  </si>
  <si>
    <t>j or k</t>
  </si>
  <si>
    <t>Incremental Reported Loss ($000)</t>
  </si>
  <si>
    <t>Calculate the parameter estimates for an ODP Cross-Classified model on this loss triangle.</t>
  </si>
  <si>
    <t>Part a – ODP Cross-Classified Model Parameters</t>
  </si>
  <si>
    <t>Part b – ODP Cross-Classified Model Expected Loss</t>
  </si>
  <si>
    <t>Part a - ODP Mack Model</t>
  </si>
  <si>
    <t>Part b – ODP Cross-Classified Model</t>
  </si>
  <si>
    <t>Specify the model form for the ODP Cross-Classified GLM.</t>
  </si>
  <si>
    <t>An ODP Cross-Classified model is used on a 5 x 5 reported loss triangle. The parameters below were</t>
  </si>
  <si>
    <t>estimated directly from the GLM.</t>
  </si>
  <si>
    <t>Calculate the re-normalized parameters for the ODP Cross-Classified model.</t>
  </si>
  <si>
    <t>Re-normalize the parameters so that the sum of the Betas is 1.</t>
  </si>
  <si>
    <t>Discussion</t>
  </si>
  <si>
    <t>We can check this by calculating the expected incremental loss from the chain ladder method:</t>
  </si>
  <si>
    <t>Source</t>
  </si>
  <si>
    <t>Taylor – pg. 24 - 28</t>
  </si>
  <si>
    <t>More Practice</t>
  </si>
  <si>
    <t xml:space="preserve">RF Taylor – 1 </t>
  </si>
  <si>
    <t>Forecast Design Matrix</t>
  </si>
  <si>
    <t>Below is the matrix formula for the expected future observations:</t>
  </si>
  <si>
    <t>Below is the full forecast design matrix:</t>
  </si>
  <si>
    <t>Taylor – pg. 28-32 &amp; Taylor Errata</t>
  </si>
  <si>
    <t>RF Taylor – 2</t>
  </si>
  <si>
    <t xml:space="preserve">LDF(12-24) = </t>
  </si>
  <si>
    <t>(Same as above in part b)</t>
  </si>
  <si>
    <t xml:space="preserve">RF Taylor – 3 </t>
  </si>
  <si>
    <t>Taylor – pg. 32-33</t>
  </si>
  <si>
    <t>Before Re-Normalizing:</t>
  </si>
  <si>
    <t>After Re-Normalizing:</t>
  </si>
  <si>
    <t>Taylor - ODP Cross-Classified Model Parameters</t>
  </si>
  <si>
    <t>Taylor - GLM Representation of Chain Ladder Models</t>
  </si>
  <si>
    <t>Taylor - Re-Normalizing ODP Cross-Classified Parameters</t>
  </si>
  <si>
    <t>1)</t>
  </si>
  <si>
    <t>2)</t>
  </si>
  <si>
    <t>3)</t>
  </si>
  <si>
    <t>4)</t>
  </si>
  <si>
    <t>5)</t>
  </si>
  <si>
    <t>6)</t>
  </si>
  <si>
    <t>•  No loss development after development period 5.</t>
  </si>
  <si>
    <t>• There is no loss development after 48 months.</t>
  </si>
  <si>
    <r>
      <t xml:space="preserve">Iteratively, calculate the parameters beginning with the oldest </t>
    </r>
    <r>
      <rPr>
        <b/>
        <sz val="12"/>
        <color theme="1"/>
        <rFont val="Aptos Narrow"/>
        <family val="2"/>
      </rPr>
      <t>α</t>
    </r>
    <r>
      <rPr>
        <b/>
        <vertAlign val="subscript"/>
        <sz val="14.4"/>
        <color theme="1"/>
        <rFont val="Calibri"/>
        <family val="2"/>
      </rPr>
      <t>AY</t>
    </r>
    <r>
      <rPr>
        <b/>
        <sz val="14.4"/>
        <color theme="1"/>
        <rFont val="Calibri"/>
        <family val="2"/>
      </rPr>
      <t xml:space="preserve"> </t>
    </r>
    <r>
      <rPr>
        <b/>
        <sz val="12"/>
        <color theme="1"/>
        <rFont val="Calibri"/>
        <family val="2"/>
      </rPr>
      <t xml:space="preserve">parameter and most developed </t>
    </r>
    <r>
      <rPr>
        <b/>
        <sz val="12"/>
        <color theme="1"/>
        <rFont val="Aptos Narrow"/>
        <family val="2"/>
      </rPr>
      <t>β</t>
    </r>
    <r>
      <rPr>
        <b/>
        <vertAlign val="subscript"/>
        <sz val="12"/>
        <color theme="1"/>
        <rFont val="Calibri"/>
        <family val="2"/>
      </rPr>
      <t>dev</t>
    </r>
    <r>
      <rPr>
        <b/>
        <sz val="12"/>
        <color theme="1"/>
        <rFont val="Calibri"/>
        <family val="2"/>
      </rPr>
      <t xml:space="preserve"> parameter. The oldest </t>
    </r>
    <r>
      <rPr>
        <b/>
        <sz val="12"/>
        <color theme="1"/>
        <rFont val="Aptos Narrow"/>
        <family val="2"/>
      </rPr>
      <t>α</t>
    </r>
    <r>
      <rPr>
        <b/>
        <vertAlign val="subscript"/>
        <sz val="12"/>
        <color theme="1"/>
        <rFont val="Calibri"/>
        <family val="2"/>
      </rPr>
      <t>AY</t>
    </r>
    <r>
      <rPr>
        <b/>
        <sz val="12"/>
        <color theme="1"/>
        <rFont val="Calibri"/>
        <family val="2"/>
      </rPr>
      <t xml:space="preserve"> parameter is set to the cumulative loss.</t>
    </r>
  </si>
  <si>
    <t>Summarize the parameters.</t>
  </si>
  <si>
    <r>
      <rPr>
        <sz val="12"/>
        <color theme="1"/>
        <rFont val="Aptos Narrow"/>
        <family val="2"/>
      </rPr>
      <t>α</t>
    </r>
    <r>
      <rPr>
        <vertAlign val="subscript"/>
        <sz val="13.8"/>
        <color theme="1"/>
        <rFont val="Calibri"/>
        <family val="2"/>
      </rPr>
      <t>AY</t>
    </r>
  </si>
  <si>
    <r>
      <rPr>
        <sz val="12"/>
        <color theme="1"/>
        <rFont val="Aptos Narrow"/>
        <family val="2"/>
      </rPr>
      <t>β</t>
    </r>
    <r>
      <rPr>
        <vertAlign val="subscript"/>
        <sz val="12"/>
        <color theme="1"/>
        <rFont val="Aptos Narrow"/>
        <family val="2"/>
      </rPr>
      <t>dev</t>
    </r>
  </si>
  <si>
    <r>
      <t>Calculate the expected incremental losses by multiplying the ⍺</t>
    </r>
    <r>
      <rPr>
        <b/>
        <vertAlign val="subscript"/>
        <sz val="12"/>
        <color theme="1"/>
        <rFont val="Calibri"/>
        <family val="2"/>
      </rPr>
      <t>AY</t>
    </r>
    <r>
      <rPr>
        <b/>
        <sz val="12"/>
        <color theme="1"/>
        <rFont val="Calibri"/>
        <family val="2"/>
      </rPr>
      <t xml:space="preserve"> and β</t>
    </r>
    <r>
      <rPr>
        <b/>
        <vertAlign val="subscript"/>
        <sz val="12"/>
        <color theme="1"/>
        <rFont val="Calibri"/>
        <family val="2"/>
      </rPr>
      <t>dev</t>
    </r>
    <r>
      <rPr>
        <b/>
        <sz val="12"/>
        <color theme="1"/>
        <rFont val="Calibri"/>
        <family val="2"/>
      </rPr>
      <t xml:space="preserve"> parameters.</t>
    </r>
  </si>
  <si>
    <t xml:space="preserve">A key point of the Taylor paper is that the forecasts from the ODP Cross-Classified model are the same as those from the Chain Ladder and ODP Mack models. </t>
  </si>
  <si>
    <t>Set up the observation and weight vectors in dictionary form. Taylor shows them organized first by accident year and then by development period. The weights are the cumulative losses.</t>
  </si>
  <si>
    <r>
      <t>⍺</t>
    </r>
    <r>
      <rPr>
        <vertAlign val="subscript"/>
        <sz val="12"/>
        <color theme="1"/>
        <rFont val="Calibri"/>
        <family val="2"/>
      </rPr>
      <t>k</t>
    </r>
  </si>
  <si>
    <r>
      <t>β</t>
    </r>
    <r>
      <rPr>
        <vertAlign val="subscript"/>
        <sz val="12"/>
        <color theme="1"/>
        <rFont val="Calibri"/>
        <family val="2"/>
      </rPr>
      <t>j</t>
    </r>
  </si>
  <si>
    <r>
      <t>Note that you could use the ⍺</t>
    </r>
    <r>
      <rPr>
        <vertAlign val="subscript"/>
        <sz val="12"/>
        <color theme="1"/>
        <rFont val="Calibri"/>
        <family val="2"/>
      </rPr>
      <t>k</t>
    </r>
    <r>
      <rPr>
        <sz val="12"/>
        <color theme="1"/>
        <rFont val="Calibri"/>
        <family val="2"/>
      </rPr>
      <t xml:space="preserve"> and β</t>
    </r>
    <r>
      <rPr>
        <vertAlign val="subscript"/>
        <sz val="12"/>
        <color theme="1"/>
        <rFont val="Calibri"/>
        <family val="2"/>
      </rPr>
      <t>j</t>
    </r>
    <r>
      <rPr>
        <sz val="12"/>
        <color theme="1"/>
        <rFont val="Calibri"/>
        <family val="2"/>
      </rPr>
      <t xml:space="preserve"> parameters directly before renormalizing and get the same fitted incremental losses:</t>
    </r>
  </si>
  <si>
    <r>
      <t>The purpose of re-normalizing the parameters is to put the parameters in the form of the regular ODP Cross-Classified model with the β</t>
    </r>
    <r>
      <rPr>
        <vertAlign val="subscript"/>
        <sz val="12"/>
        <color theme="1"/>
        <rFont val="Calibri"/>
        <family val="2"/>
      </rPr>
      <t>j</t>
    </r>
    <r>
      <rPr>
        <sz val="12"/>
        <color theme="1"/>
        <rFont val="Calibri"/>
        <family val="2"/>
      </rPr>
      <t xml:space="preserve"> parameters summing to 1.</t>
    </r>
  </si>
  <si>
    <t>Set up the design matrix with a row parameter for each observation in dictionary form and a column for each development period parameter. Ones should run along the diagonal for each block corresponding to each AY.</t>
  </si>
  <si>
    <r>
      <t>The output of the GLM will be the best-fit parameter estimates f</t>
    </r>
    <r>
      <rPr>
        <vertAlign val="subscript"/>
        <sz val="12"/>
        <color theme="1"/>
        <rFont val="Calibri"/>
        <family val="2"/>
      </rPr>
      <t xml:space="preserve">j </t>
    </r>
    <r>
      <rPr>
        <sz val="12"/>
        <color theme="1"/>
        <rFont val="Calibri"/>
        <family val="2"/>
      </rPr>
      <t>- 1.</t>
    </r>
  </si>
  <si>
    <r>
      <t>Determine the response vector of incremental loss observations, Y</t>
    </r>
    <r>
      <rPr>
        <b/>
        <vertAlign val="subscript"/>
        <sz val="12"/>
        <color theme="1"/>
        <rFont val="Calibri"/>
        <family val="2"/>
      </rPr>
      <t>k,j</t>
    </r>
    <r>
      <rPr>
        <b/>
        <sz val="12"/>
        <color theme="1"/>
        <rFont val="Calibri"/>
        <family val="2"/>
      </rPr>
      <t>.</t>
    </r>
  </si>
  <si>
    <t>=</t>
  </si>
  <si>
    <t xml:space="preserve">Set up the design matrix and the GLM parameter vector. The left side represents the accident year parameters and the right side represents the development year parameters. </t>
  </si>
  <si>
    <t>Note:</t>
  </si>
  <si>
    <t>One of the β parameters will be aliased in the model. In this case, the GLM software will return estimates for three β parameters.</t>
  </si>
  <si>
    <t>After we solve the ODP Cross-Classified GLM and find the vector of best-fit β parameters, we can apply those to the forecast design matrix, which represents all the future incremental loss cells. Doing this will calculate all the future expected incremental losses.</t>
  </si>
  <si>
    <t>The calculation for the first forecasted incremental loss, represented with the first row of the forecast matrix,  would be:</t>
  </si>
  <si>
    <t>Given the following incremental loss triangle as of December 31, 2023:</t>
  </si>
  <si>
    <t>Calculate the expected incremental loss for accident year 2023 at 24 months based on the model.</t>
  </si>
  <si>
    <t>Given the following losses as of December 31, 2023:</t>
  </si>
  <si>
    <t>Specify the form of the GLM, including the link function and error distribution.</t>
  </si>
  <si>
    <r>
      <t>Exponentiate the parameters from the GLM to get the α</t>
    </r>
    <r>
      <rPr>
        <b/>
        <vertAlign val="subscript"/>
        <sz val="12"/>
        <color theme="1"/>
        <rFont val="Calibri"/>
        <family val="2"/>
      </rPr>
      <t>k</t>
    </r>
    <r>
      <rPr>
        <b/>
        <sz val="12"/>
        <color theme="1"/>
        <rFont val="Calibri"/>
        <family val="2"/>
      </rPr>
      <t xml:space="preserve"> and β</t>
    </r>
    <r>
      <rPr>
        <b/>
        <vertAlign val="subscript"/>
        <sz val="12"/>
        <color theme="1"/>
        <rFont val="Calibri"/>
        <family val="2"/>
      </rPr>
      <t>j</t>
    </r>
    <r>
      <rPr>
        <b/>
        <sz val="12"/>
        <color theme="1"/>
        <rFont val="Calibri"/>
        <family val="2"/>
      </rPr>
      <t xml:space="preserve"> parameters and sum the β</t>
    </r>
    <r>
      <rPr>
        <b/>
        <vertAlign val="subscript"/>
        <sz val="12"/>
        <color theme="1"/>
        <rFont val="Calibri"/>
        <family val="2"/>
      </rPr>
      <t>j</t>
    </r>
    <r>
      <rPr>
        <b/>
        <sz val="12"/>
        <color theme="1"/>
        <rFont val="Calibri"/>
        <family val="2"/>
      </rPr>
      <t xml:space="preserve"> parameters.</t>
    </r>
  </si>
  <si>
    <t xml:space="preserve">Calculate the age-to-age factors minus 1,                    . These are the observations for the GLM. </t>
  </si>
  <si>
    <t>Problem</t>
  </si>
  <si>
    <r>
      <rPr>
        <b/>
        <u/>
        <sz val="12"/>
        <color theme="1"/>
        <rFont val="Calibri"/>
        <family val="2"/>
      </rPr>
      <t>Advantages</t>
    </r>
    <r>
      <rPr>
        <b/>
        <sz val="12"/>
        <color theme="1"/>
        <rFont val="Calibri"/>
        <family val="2"/>
      </rPr>
      <t xml:space="preserve"> 
</t>
    </r>
  </si>
  <si>
    <r>
      <rPr>
        <b/>
        <u/>
        <sz val="12"/>
        <color theme="1"/>
        <rFont val="Calibri"/>
        <family val="2"/>
      </rPr>
      <t>Disadvantages</t>
    </r>
    <r>
      <rPr>
        <b/>
        <sz val="12"/>
        <color theme="1"/>
        <rFont val="Calibri"/>
        <family val="2"/>
      </rPr>
      <t xml:space="preserve">
</t>
    </r>
  </si>
  <si>
    <t>Exam-Day Reminders</t>
  </si>
  <si>
    <t>Exam Spreadsheet Tips</t>
  </si>
  <si>
    <t>Estimate</t>
  </si>
  <si>
    <t>Std. Error</t>
  </si>
  <si>
    <t xml:space="preserve">• Scale Parameter   φ̂ = </t>
  </si>
  <si>
    <t>Total</t>
  </si>
  <si>
    <r>
      <t>E[IncLoss</t>
    </r>
    <r>
      <rPr>
        <vertAlign val="subscript"/>
        <sz val="12"/>
        <color theme="1"/>
        <rFont val="Calibri"/>
        <family val="2"/>
      </rPr>
      <t>2023,24</t>
    </r>
    <r>
      <rPr>
        <sz val="12"/>
        <color theme="1"/>
        <rFont val="Calibri"/>
        <family val="2"/>
      </rPr>
      <t xml:space="preserve">] = </t>
    </r>
  </si>
  <si>
    <t>Accident</t>
  </si>
  <si>
    <t>Year (k)</t>
  </si>
  <si>
    <t>Forecast</t>
  </si>
  <si>
    <t>Part a – Forecast of Outstanding Losses</t>
  </si>
  <si>
    <r>
      <t>E[Y</t>
    </r>
    <r>
      <rPr>
        <vertAlign val="subscript"/>
        <sz val="12"/>
        <color theme="1"/>
        <rFont val="Calibri"/>
        <family val="2"/>
      </rPr>
      <t>k,j</t>
    </r>
    <r>
      <rPr>
        <sz val="12"/>
        <color theme="1"/>
        <rFont val="Calibri"/>
        <family val="2"/>
      </rPr>
      <t>]</t>
    </r>
  </si>
  <si>
    <t>RMSEP</t>
  </si>
  <si>
    <t>CVP</t>
  </si>
  <si>
    <t>Taylor – Delta Method for Reserve Prediction Error</t>
  </si>
  <si>
    <t>ln ⍺̂ₖ (by accident year)</t>
  </si>
  <si>
    <t>• Computationally simple</t>
  </si>
  <si>
    <t>• Unknown accuracy</t>
  </si>
  <si>
    <t>• Produces an estimate of MSEP</t>
  </si>
  <si>
    <t>• Gives no distribution of the prediction error</t>
  </si>
  <si>
    <t>ln β̂ⱼ (by dev. Period)</t>
  </si>
  <si>
    <t>Taylor - pg. 42-47, 53-55</t>
  </si>
  <si>
    <t>ln ⍺̂ₖ</t>
  </si>
  <si>
    <t xml:space="preserve">ln β̂ⱼ </t>
  </si>
  <si>
    <t>LDF</t>
  </si>
  <si>
    <t>• Only gives a second order approximation</t>
  </si>
  <si>
    <t>Incremental Paid Loss</t>
  </si>
  <si>
    <r>
      <t>Incremental Paid Loss Y</t>
    </r>
    <r>
      <rPr>
        <vertAlign val="subscript"/>
        <sz val="12"/>
        <color theme="1"/>
        <rFont val="Calibri"/>
        <family val="2"/>
      </rPr>
      <t>k,j</t>
    </r>
  </si>
  <si>
    <t>The parameters from the ODP cross-classified GLM model are below:</t>
  </si>
  <si>
    <t>12 Mo</t>
  </si>
  <si>
    <t>24 Mo</t>
  </si>
  <si>
    <t>36 Mo</t>
  </si>
  <si>
    <t>48 Mo</t>
  </si>
  <si>
    <t>Below are the position numbers used for resampling residuals:</t>
  </si>
  <si>
    <r>
      <t xml:space="preserve">To calculate the central estimate reserve, sum the fitted incremental losses for the </t>
    </r>
    <r>
      <rPr>
        <i/>
        <u/>
        <sz val="12"/>
        <color theme="1"/>
        <rFont val="Calibri"/>
        <family val="2"/>
      </rPr>
      <t>future</t>
    </r>
    <r>
      <rPr>
        <sz val="12"/>
        <color theme="1"/>
        <rFont val="Calibri"/>
        <family val="2"/>
      </rPr>
      <t xml:space="preserve"> cells.</t>
    </r>
  </si>
  <si>
    <t>c.</t>
  </si>
  <si>
    <t>Semi-Parametric Bootstrap vs. Shapland</t>
  </si>
  <si>
    <r>
      <t>Fitted Incremental Loss - E[Y</t>
    </r>
    <r>
      <rPr>
        <vertAlign val="subscript"/>
        <sz val="12"/>
        <color theme="1"/>
        <rFont val="Calibri"/>
        <family val="2"/>
      </rPr>
      <t>k,j</t>
    </r>
    <r>
      <rPr>
        <sz val="12"/>
        <color theme="1"/>
        <rFont val="Calibri"/>
        <family val="2"/>
      </rPr>
      <t>]</t>
    </r>
  </si>
  <si>
    <t>Notes:</t>
  </si>
  <si>
    <t>• For the ODP distribution, Var[Y] = φE[Y]</t>
  </si>
  <si>
    <t>• Make sure to take the square root of the denominator to get the standard deviation of Y.</t>
  </si>
  <si>
    <t>Position</t>
  </si>
  <si>
    <t>In Excel</t>
  </si>
  <si>
    <t>Sampled Residual = VLOOKUP( Sample Position, Residuals Array,2,FALSE)</t>
  </si>
  <si>
    <t>Part a – Semi-Parametric Standardized Pearson Residuals</t>
  </si>
  <si>
    <t>Calculate the pseudo-forecast of the reserve for this replicate both including parameter error and including parameter error plus process error.</t>
  </si>
  <si>
    <t>Parametric Bootstrap</t>
  </si>
  <si>
    <t>Below are the random draws for the data re-sampling of one replicate both to create the pseudo-data set and to add process-error to the forecast:</t>
  </si>
  <si>
    <t>Taylor - pg. 47-51, 54-55</t>
  </si>
  <si>
    <t xml:space="preserve"> </t>
  </si>
  <si>
    <t>Part b – Pseudo-Forecast of the Reserve for a Replicate</t>
  </si>
  <si>
    <t>Build the pseudo-data set using the sampled residuals for the replicate (simulation) and the fitted incremental losses for each cell in the triangle.</t>
  </si>
  <si>
    <t>⇽ Reserve estimate for this simulation</t>
  </si>
  <si>
    <r>
      <t xml:space="preserve">The pseudo-forecast of the reserve here only includes </t>
    </r>
    <r>
      <rPr>
        <i/>
        <u/>
        <sz val="12"/>
        <color theme="1"/>
        <rFont val="Calibri"/>
        <family val="2"/>
      </rPr>
      <t>parameter error</t>
    </r>
    <r>
      <rPr>
        <sz val="12"/>
        <color theme="1"/>
        <rFont val="Calibri"/>
        <family val="2"/>
      </rPr>
      <t>.</t>
    </r>
  </si>
  <si>
    <t xml:space="preserve">Re-fit the model to the pseudo-data set and calculate the projected incremental losses. By Theorem 3.2, the ODP cross-classified MLE forecasts are equal to the volume-weighted chain ladder forecasts so we can just use the chain ladder method to do this. </t>
  </si>
  <si>
    <r>
      <t xml:space="preserve">• The pseudo-forecast of the reserve here includes BOTH </t>
    </r>
    <r>
      <rPr>
        <i/>
        <u/>
        <sz val="12"/>
        <color theme="1"/>
        <rFont val="Calibri"/>
        <family val="2"/>
      </rPr>
      <t>parameter error</t>
    </r>
    <r>
      <rPr>
        <sz val="12"/>
        <color theme="1"/>
        <rFont val="Calibri"/>
        <family val="2"/>
      </rPr>
      <t xml:space="preserve"> and </t>
    </r>
    <r>
      <rPr>
        <i/>
        <u/>
        <sz val="12"/>
        <color theme="1"/>
        <rFont val="Calibri"/>
        <family val="2"/>
      </rPr>
      <t>process error.</t>
    </r>
  </si>
  <si>
    <t>Part c – Distribution of reserve estimates</t>
  </si>
  <si>
    <t>• Simpler</t>
  </si>
  <si>
    <t>• Less computationally intense</t>
  </si>
  <si>
    <t>• For smaller n, the asymptotic normality of the MLE may not be appropriate</t>
  </si>
  <si>
    <t>• Relies heavily on the error structure of the GLM being a good representation of the data</t>
  </si>
  <si>
    <r>
      <rPr>
        <b/>
        <u/>
        <sz val="12"/>
        <color theme="1"/>
        <rFont val="Calibri"/>
        <family val="2"/>
      </rPr>
      <t>Parametric Advantages</t>
    </r>
    <r>
      <rPr>
        <b/>
        <sz val="12"/>
        <color theme="1"/>
        <rFont val="Calibri"/>
        <family val="2"/>
      </rPr>
      <t xml:space="preserve"> 
</t>
    </r>
  </si>
  <si>
    <r>
      <rPr>
        <b/>
        <u/>
        <sz val="12"/>
        <color theme="1"/>
        <rFont val="Calibri"/>
        <family val="2"/>
      </rPr>
      <t>Parametric Disadvantages</t>
    </r>
    <r>
      <rPr>
        <b/>
        <sz val="12"/>
        <color theme="1"/>
        <rFont val="Calibri"/>
        <family val="2"/>
      </rPr>
      <t xml:space="preserve">
</t>
    </r>
  </si>
  <si>
    <t>• Estimates the full predictive distribution of reserves</t>
  </si>
  <si>
    <t>• Computationally intensive</t>
  </si>
  <si>
    <r>
      <t xml:space="preserve">The Taylor semi-parametric bootstrap and Shapland bootstrap methods share a similar structure: building pseudo-triangles with re-sampled standardized residuals, calculating projected losses for each pseudo-triangle, and adding process variance. Both also require residuals to be iid so that any residual can be re-sampled to any cell in the triangle.
The key difference is incorporating process error:  
• Shapland draws from a parametric Gamma approximation to add process error to each future cell 
• Taylor uses a </t>
    </r>
    <r>
      <rPr>
        <i/>
        <u/>
        <sz val="12"/>
        <color theme="1"/>
        <rFont val="Calibri"/>
        <family val="2"/>
      </rPr>
      <t>second</t>
    </r>
    <r>
      <rPr>
        <sz val="12"/>
        <color theme="1"/>
        <rFont val="Calibri"/>
        <family val="2"/>
      </rPr>
      <t xml:space="preserve"> empirical residual resampling to add process error
Shapland also goes more in depth with the bootstrap method by discussing hat-matrix standardization and a degrees-of-freedom adjustment of residuals, heteroscedasticity adjustments, n-year weighted averages, tail factors, negative-cell handling, etc.</t>
    </r>
  </si>
  <si>
    <t>Use the semi-parametric bootstrap to form the residual resampling pool for the triangle.</t>
  </si>
  <si>
    <t>• Accuracy can be increased with more computation</t>
  </si>
  <si>
    <t>• Requires residuals to be approximately iid</t>
  </si>
  <si>
    <t>An ODP cross-classified GLM was fitted to the incremental paid loss triangle below. The semi-parametric bootstrap method is used to obtain the full distribution of outstanding losses using 10,000 replicates.</t>
  </si>
  <si>
    <r>
      <t xml:space="preserve">Discuss how to create the bootstrapped distribution of reserve estimates and the probability-of-adequacy reserve at percentile </t>
    </r>
    <r>
      <rPr>
        <i/>
        <sz val="12"/>
        <color theme="1"/>
        <rFont val="Calibri"/>
        <family val="2"/>
      </rPr>
      <t>p</t>
    </r>
    <r>
      <rPr>
        <sz val="12"/>
        <color theme="1"/>
        <rFont val="Calibri"/>
        <family val="2"/>
      </rPr>
      <t xml:space="preserve"> using 10,000 replicates.</t>
    </r>
  </si>
  <si>
    <r>
      <t>R</t>
    </r>
    <r>
      <rPr>
        <vertAlign val="superscript"/>
        <sz val="12"/>
        <color theme="1"/>
        <rFont val="Calibri"/>
        <family val="2"/>
      </rPr>
      <t>hat</t>
    </r>
    <r>
      <rPr>
        <vertAlign val="subscript"/>
        <sz val="12"/>
        <color theme="1"/>
        <rFont val="Calibri"/>
        <family val="2"/>
      </rPr>
      <t>k</t>
    </r>
  </si>
  <si>
    <t>Taylor – Semi-Parametric Bootstrap Method</t>
  </si>
  <si>
    <r>
      <t>Projected Losses with Process Error (Y</t>
    </r>
    <r>
      <rPr>
        <vertAlign val="superscript"/>
        <sz val="12"/>
        <color theme="1"/>
        <rFont val="Calibri"/>
        <family val="2"/>
      </rPr>
      <t>proc</t>
    </r>
    <r>
      <rPr>
        <vertAlign val="subscript"/>
        <sz val="12"/>
        <color theme="1"/>
        <rFont val="Calibri"/>
        <family val="2"/>
      </rPr>
      <t>i</t>
    </r>
    <r>
      <rPr>
        <sz val="12"/>
        <color theme="1"/>
        <rFont val="Calibri"/>
        <family val="2"/>
      </rPr>
      <t>)</t>
    </r>
  </si>
  <si>
    <t>1 - 2</t>
  </si>
  <si>
    <t>2 - 3</t>
  </si>
  <si>
    <t>3 - 4</t>
  </si>
  <si>
    <t>Calculate the standardized Pearson residuals for the triangle based on the actual vs. fitted values. Set the corner residuals to zero, like with the Shapland bootstrap.</t>
  </si>
  <si>
    <t>• Organize the residuals by position so that it's easy to sample the correct residual with a VLOOKUP().</t>
  </si>
  <si>
    <r>
      <t>• In this section of the paper, the author used Y</t>
    </r>
    <r>
      <rPr>
        <vertAlign val="superscript"/>
        <sz val="12"/>
        <color theme="1"/>
        <rFont val="Calibri"/>
        <family val="2"/>
      </rPr>
      <t>~</t>
    </r>
    <r>
      <rPr>
        <sz val="12"/>
        <color theme="1"/>
        <rFont val="Calibri"/>
        <family val="2"/>
      </rPr>
      <t>i for a simulated loss in the pseudo-data set</t>
    </r>
  </si>
  <si>
    <r>
      <t>Pseudo-Data Set (𝑌</t>
    </r>
    <r>
      <rPr>
        <vertAlign val="subscript"/>
        <sz val="12"/>
        <color theme="1"/>
        <rFont val="Calibri"/>
        <family val="2"/>
      </rPr>
      <t>i</t>
    </r>
    <r>
      <rPr>
        <vertAlign val="superscript"/>
        <sz val="12"/>
        <color theme="1"/>
        <rFont val="Calibri"/>
        <family val="2"/>
      </rPr>
      <t>pseudo</t>
    </r>
    <r>
      <rPr>
        <sz val="12"/>
        <color theme="1"/>
        <rFont val="Calibri"/>
        <family val="2"/>
      </rPr>
      <t>) &amp; Pseudo-Forecast (E[𝑌</t>
    </r>
    <r>
      <rPr>
        <vertAlign val="subscript"/>
        <sz val="12"/>
        <color theme="1"/>
        <rFont val="Calibri"/>
        <family val="2"/>
      </rPr>
      <t>i</t>
    </r>
    <r>
      <rPr>
        <vertAlign val="superscript"/>
        <sz val="12"/>
        <color theme="1"/>
        <rFont val="Calibri"/>
        <family val="2"/>
      </rPr>
      <t>pseudo</t>
    </r>
    <r>
      <rPr>
        <sz val="12"/>
        <color theme="1"/>
        <rFont val="Calibri"/>
        <family val="2"/>
      </rPr>
      <t>])</t>
    </r>
  </si>
  <si>
    <r>
      <t>Pseudo-Data Set of incremental losses (𝑌</t>
    </r>
    <r>
      <rPr>
        <vertAlign val="subscript"/>
        <sz val="12"/>
        <color theme="1"/>
        <rFont val="Calibri"/>
        <family val="2"/>
      </rPr>
      <t>i</t>
    </r>
    <r>
      <rPr>
        <vertAlign val="superscript"/>
        <sz val="12"/>
        <color theme="1"/>
        <rFont val="Calibri"/>
        <family val="2"/>
      </rPr>
      <t>pseudo</t>
    </r>
    <r>
      <rPr>
        <sz val="12"/>
        <color theme="1"/>
        <rFont val="Calibri"/>
        <family val="2"/>
      </rPr>
      <t>)</t>
    </r>
  </si>
  <si>
    <r>
      <t>Projected incremental losses (E[𝑌</t>
    </r>
    <r>
      <rPr>
        <vertAlign val="subscript"/>
        <sz val="12"/>
        <color theme="1"/>
        <rFont val="Calibri"/>
        <family val="2"/>
      </rPr>
      <t>i</t>
    </r>
    <r>
      <rPr>
        <vertAlign val="superscript"/>
        <sz val="12"/>
        <color theme="1"/>
        <rFont val="Calibri"/>
        <family val="2"/>
      </rPr>
      <t>pseudo</t>
    </r>
    <r>
      <rPr>
        <sz val="12"/>
        <color theme="1"/>
        <rFont val="Calibri"/>
        <family val="2"/>
      </rPr>
      <t>])</t>
    </r>
  </si>
  <si>
    <r>
      <t>Pseudo-Forecast + Process Error, R(Y</t>
    </r>
    <r>
      <rPr>
        <vertAlign val="superscript"/>
        <sz val="12"/>
        <color theme="1"/>
        <rFont val="Calibri"/>
        <family val="2"/>
      </rPr>
      <t>proc</t>
    </r>
    <r>
      <rPr>
        <sz val="12"/>
        <color theme="1"/>
        <rFont val="Calibri"/>
        <family val="2"/>
      </rPr>
      <t>) =</t>
    </r>
  </si>
  <si>
    <t>Repeat the same process (steps 3-5) to calculate 10,000 simulations ("replicates") of the pseudo forecasted reserve estimate with process error. Use these to create an empirical predictive distribution of the reserve estimate. The probability of adequacy (PoA) reserve is a central estimate of the reserve plus a risk margin so that the reserve is adequate for the p% percentile of outstanding losses.</t>
  </si>
  <si>
    <t>The bootstrap method estimates the entire predictive distribution of the reserve, which is necessary to calculate a probability-of-adequacy reserve. Structurally, it's very similar to the Shapland bootstrap method, but the sampling of residuals and the incorporation of process variance are different.</t>
  </si>
  <si>
    <r>
      <t>Pseudo-Forecast R(Y</t>
    </r>
    <r>
      <rPr>
        <vertAlign val="superscript"/>
        <sz val="12"/>
        <color theme="1"/>
        <rFont val="Calibri"/>
        <family val="2"/>
      </rPr>
      <t>psuedo</t>
    </r>
    <r>
      <rPr>
        <sz val="12"/>
        <color theme="1"/>
        <rFont val="Calibri"/>
        <family val="2"/>
      </rPr>
      <t>) =</t>
    </r>
  </si>
  <si>
    <r>
      <t>Projected incremental losses (Y</t>
    </r>
    <r>
      <rPr>
        <vertAlign val="superscript"/>
        <sz val="12"/>
        <color theme="1"/>
        <rFont val="Calibri"/>
        <family val="2"/>
      </rPr>
      <t>proc</t>
    </r>
    <r>
      <rPr>
        <sz val="12"/>
        <color theme="1"/>
        <rFont val="Calibri"/>
        <family val="2"/>
      </rPr>
      <t>) augmented with process error</t>
    </r>
  </si>
  <si>
    <t>Residual (S)</t>
  </si>
  <si>
    <r>
      <t>Calculate the fitted incremental losses for the triangle. You can use the ⍺</t>
    </r>
    <r>
      <rPr>
        <b/>
        <vertAlign val="subscript"/>
        <sz val="12"/>
        <color theme="1"/>
        <rFont val="Calibri"/>
        <family val="2"/>
      </rPr>
      <t>AY</t>
    </r>
    <r>
      <rPr>
        <b/>
        <sz val="12"/>
        <color theme="1"/>
        <rFont val="Calibri"/>
        <family val="2"/>
      </rPr>
      <t xml:space="preserve"> and β</t>
    </r>
    <r>
      <rPr>
        <b/>
        <vertAlign val="subscript"/>
        <sz val="12"/>
        <color theme="1"/>
        <rFont val="Calibri"/>
        <family val="2"/>
      </rPr>
      <t>dev</t>
    </r>
    <r>
      <rPr>
        <b/>
        <sz val="12"/>
        <color theme="1"/>
        <rFont val="Calibri"/>
        <family val="2"/>
      </rPr>
      <t xml:space="preserve"> parameters or the chain-ladder method since it gives the same fitted losses as the ODP cross-classified model.</t>
    </r>
  </si>
  <si>
    <r>
      <t>Standardized Pearson Residuals - S</t>
    </r>
    <r>
      <rPr>
        <vertAlign val="subscript"/>
        <sz val="12"/>
        <color theme="1"/>
        <rFont val="Calibri"/>
        <family val="2"/>
      </rPr>
      <t>k,j</t>
    </r>
  </si>
  <si>
    <r>
      <t>• Earlier in the paper, the author used R</t>
    </r>
    <r>
      <rPr>
        <vertAlign val="superscript"/>
        <sz val="12"/>
        <color theme="1"/>
        <rFont val="Calibri"/>
        <family val="2"/>
      </rPr>
      <t>P</t>
    </r>
    <r>
      <rPr>
        <vertAlign val="subscript"/>
        <sz val="12"/>
        <color theme="1"/>
        <rFont val="Calibri"/>
        <family val="2"/>
      </rPr>
      <t>i</t>
    </r>
    <r>
      <rPr>
        <sz val="12"/>
        <color theme="1"/>
        <rFont val="Calibri"/>
        <family val="2"/>
      </rPr>
      <t xml:space="preserve"> for a standardized Pearson residual.</t>
    </r>
  </si>
  <si>
    <t>Sample Position = RANDBETWEEN(1,n)</t>
  </si>
  <si>
    <t>Organize the residuals by position so that it's easy to sample residuals with a VLOOKUP(). To sample random positions for a dynamic model, use RANDBETWEEN().</t>
  </si>
  <si>
    <r>
      <t xml:space="preserve">Use a </t>
    </r>
    <r>
      <rPr>
        <b/>
        <i/>
        <u/>
        <sz val="12"/>
        <color theme="1"/>
        <rFont val="Calibri"/>
        <family val="2"/>
      </rPr>
      <t>second</t>
    </r>
    <r>
      <rPr>
        <b/>
        <sz val="12"/>
        <color theme="1"/>
        <rFont val="Calibri"/>
        <family val="2"/>
      </rPr>
      <t>, independent set of sampled residuals and the projected incremental losses (E[Y</t>
    </r>
    <r>
      <rPr>
        <b/>
        <vertAlign val="subscript"/>
        <sz val="12"/>
        <color theme="1"/>
        <rFont val="Calibri"/>
        <family val="2"/>
      </rPr>
      <t>i</t>
    </r>
    <r>
      <rPr>
        <b/>
        <vertAlign val="superscript"/>
        <sz val="12"/>
        <color theme="1"/>
        <rFont val="Calibri"/>
        <family val="2"/>
      </rPr>
      <t>pseudo</t>
    </r>
    <r>
      <rPr>
        <b/>
        <sz val="12"/>
        <color theme="1"/>
        <rFont val="Calibri"/>
        <family val="2"/>
      </rPr>
      <t>]) from the pseudo-data set to add process error to each future cell.</t>
    </r>
  </si>
  <si>
    <t>-</t>
  </si>
  <si>
    <t>• DON'T sample from the corner residuals. They have uncertainty, but we don't know how much.</t>
  </si>
  <si>
    <t xml:space="preserve">• Std error in resampling
• Corner residuals
• Re-fitting triangles
• Central Estimate
</t>
  </si>
  <si>
    <t>⇾ Make sure to take the square root of σ^2 and incorporate the scale parameter φ 
⇾ Don't sample from the corner, zero residuals
⇾ You can use the chain ladder method since it gives the same fitted losses
⇾ Use the forecasted reserve estimate from the original fitted model (step 1)</t>
  </si>
  <si>
    <t xml:space="preserve">• GLM Scale Parameter φ̂ = </t>
  </si>
  <si>
    <t>ln α₁</t>
  </si>
  <si>
    <t>ln α₂</t>
  </si>
  <si>
    <t>ln α₃</t>
  </si>
  <si>
    <t>ln β₂</t>
  </si>
  <si>
    <t>ln β₃</t>
  </si>
  <si>
    <t>Below is the estimated correlation matrix of the parameter estimates, shown as three blocks:</t>
  </si>
  <si>
    <t>Parameter</t>
  </si>
  <si>
    <t>Part b – Delta Method Parameter Variance</t>
  </si>
  <si>
    <t>Part c – Delta Method Process Variance</t>
  </si>
  <si>
    <t>Part d – Total MSEP, RMSEP and CVP</t>
  </si>
  <si>
    <t>Build the parameter covariance matrix Var[β̂] from the standard errors and correlations over the estimated parameters.</t>
  </si>
  <si>
    <t>The ln β_1 parameter is aliased, so ignore it.</t>
  </si>
  <si>
    <t>Covariance Matrix - Var[β̂]</t>
  </si>
  <si>
    <t>k = 2, j = 3</t>
  </si>
  <si>
    <t>k = 3, j = 2</t>
  </si>
  <si>
    <t>k = 3, j = 3</t>
  </si>
  <si>
    <t>DX*</t>
  </si>
  <si>
    <t>1</t>
  </si>
  <si>
    <t>2</t>
  </si>
  <si>
    <t>3</t>
  </si>
  <si>
    <t>Cell</t>
  </si>
  <si>
    <t xml:space="preserve">Parameter and process error are independent, so sum the two MSEPs and take the square root to calculate the Root Mean Squared Error of Prediction (RMSEP). </t>
  </si>
  <si>
    <t>Total Outstanding Losses</t>
  </si>
  <si>
    <t>Parameter Variance</t>
  </si>
  <si>
    <t xml:space="preserve">Process Variance MSEP = </t>
  </si>
  <si>
    <t xml:space="preserve">Parameter Variance MSEP = </t>
  </si>
  <si>
    <r>
      <t xml:space="preserve">The Delta Method is a straightforward way to estimate the prediction error for an ODP Cross-Classified Model. 
Prediction error is comprised of three components:
• </t>
    </r>
    <r>
      <rPr>
        <b/>
        <sz val="12"/>
        <color theme="1"/>
        <rFont val="Calibri"/>
        <family val="2"/>
      </rPr>
      <t>Parameter error</t>
    </r>
    <r>
      <rPr>
        <sz val="12"/>
        <color theme="1"/>
        <rFont val="Calibri"/>
        <family val="2"/>
      </rPr>
      <t xml:space="preserve"> - The error due to the uncertainty in the fitted parameters used to calculate the forecast 
• </t>
    </r>
    <r>
      <rPr>
        <b/>
        <sz val="12"/>
        <color theme="1"/>
        <rFont val="Calibri"/>
        <family val="2"/>
      </rPr>
      <t>Process error</t>
    </r>
    <r>
      <rPr>
        <sz val="12"/>
        <color theme="1"/>
        <rFont val="Calibri"/>
        <family val="2"/>
      </rPr>
      <t xml:space="preserve"> - The irreducible noise in future claims due to the insurance process
• </t>
    </r>
    <r>
      <rPr>
        <b/>
        <sz val="12"/>
        <color theme="1"/>
        <rFont val="Calibri"/>
        <family val="2"/>
      </rPr>
      <t>Model error</t>
    </r>
    <r>
      <rPr>
        <sz val="12"/>
        <color theme="1"/>
        <rFont val="Calibri"/>
        <family val="2"/>
      </rPr>
      <t xml:space="preserve"> - The error due to the difference between the model specification and the correct model
For our purposes, we only analyze parameter and process error. Model error can't be analyzed with a direct, statistical approach.</t>
    </r>
  </si>
  <si>
    <t>• Total MSEP
• MSEP_Parameter Calc</t>
  </si>
  <si>
    <t>⇾ MSEP = Parameter Variance + Process Variance (ignores Model error)
⇾ MSEP = Sum over all cells to calculate the total parameter variance</t>
  </si>
  <si>
    <t>Use Matrix formulas:
 Var_param = MMULT(MMULT(DX*, Var[β̂]), TRANSPOSE(DX*)).  MSEP_param = sum of the matrix.</t>
  </si>
  <si>
    <t>D Matrix and X* Matrix</t>
  </si>
  <si>
    <t>D Matrix</t>
  </si>
  <si>
    <t>X</t>
  </si>
  <si>
    <r>
      <t>Calculate the expected incremental losses using the ⍺</t>
    </r>
    <r>
      <rPr>
        <b/>
        <vertAlign val="subscript"/>
        <sz val="12"/>
        <color theme="1"/>
        <rFont val="Calibri"/>
        <family val="2"/>
      </rPr>
      <t>AY</t>
    </r>
    <r>
      <rPr>
        <b/>
        <sz val="12"/>
        <color theme="1"/>
        <rFont val="Calibri"/>
        <family val="2"/>
      </rPr>
      <t xml:space="preserve"> and β</t>
    </r>
    <r>
      <rPr>
        <b/>
        <vertAlign val="subscript"/>
        <sz val="12"/>
        <color theme="1"/>
        <rFont val="Calibri"/>
        <family val="2"/>
      </rPr>
      <t>dev</t>
    </r>
    <r>
      <rPr>
        <b/>
        <sz val="12"/>
        <color theme="1"/>
        <rFont val="Calibri"/>
        <family val="2"/>
      </rPr>
      <t xml:space="preserve"> parameters for future cells and aggregate by accident year to get the forecasted outstanding losses, R</t>
    </r>
    <r>
      <rPr>
        <b/>
        <vertAlign val="superscript"/>
        <sz val="12"/>
        <color theme="1"/>
        <rFont val="Calibri"/>
        <family val="2"/>
      </rPr>
      <t>hat</t>
    </r>
    <r>
      <rPr>
        <b/>
        <vertAlign val="subscript"/>
        <sz val="12"/>
        <color theme="1"/>
        <rFont val="Calibri"/>
        <family val="2"/>
      </rPr>
      <t>k</t>
    </r>
    <r>
      <rPr>
        <b/>
        <sz val="12"/>
        <color theme="1"/>
        <rFont val="Calibri"/>
        <family val="2"/>
      </rPr>
      <t>.</t>
    </r>
  </si>
  <si>
    <t>Build the DX* matrix by combining the D matrix of the forecasts (Ŷ*) and the forecast design matrix X*, that selects which alpha and beta parameters are used for each forecasted cell. Each row aligns with a forecasted cell. See the Discussion section for a breakdown of D an X*.</t>
  </si>
  <si>
    <t>Using the delta method, calculate the following for total outstanding losses (R):</t>
  </si>
  <si>
    <t>Set up the design matrix X* with a row parameter for each forecasted observation in dictionary form. The D matrix contains the forecasted incremental losses (Y(hat)*) along the diagonal.</t>
  </si>
  <si>
    <t>For the ODP Cross-Classified model, Var[Yₖⱼ] = φ̂µₖⱼ, so the process variance of a sum of future cells is φ̂Rhat.</t>
  </si>
  <si>
    <t>The parameters can be reordered to be in the same form as the paper:</t>
  </si>
  <si>
    <t>&lt;-- 12 months development</t>
  </si>
  <si>
    <r>
      <t>j</t>
    </r>
    <r>
      <rPr>
        <sz val="12"/>
        <color theme="1"/>
        <rFont val="Calibri"/>
        <family val="2"/>
      </rPr>
      <t xml:space="preserve"> or </t>
    </r>
    <r>
      <rPr>
        <i/>
        <sz val="12"/>
        <color theme="1"/>
        <rFont val="Calibri"/>
        <family val="2"/>
      </rPr>
      <t>k</t>
    </r>
  </si>
  <si>
    <r>
      <t>ln⍺</t>
    </r>
    <r>
      <rPr>
        <vertAlign val="subscript"/>
        <sz val="12"/>
        <color theme="1"/>
        <rFont val="Calibri"/>
        <family val="2"/>
      </rPr>
      <t>k</t>
    </r>
  </si>
  <si>
    <r>
      <t>lnβ</t>
    </r>
    <r>
      <rPr>
        <vertAlign val="subscript"/>
        <sz val="12"/>
        <color theme="1"/>
        <rFont val="Calibri"/>
        <family val="2"/>
      </rPr>
      <t>j</t>
    </r>
  </si>
  <si>
    <r>
      <t>μ</t>
    </r>
    <r>
      <rPr>
        <vertAlign val="subscript"/>
        <sz val="12"/>
        <color theme="1"/>
        <rFont val="Calibri"/>
        <family val="2"/>
      </rPr>
      <t>1,2</t>
    </r>
    <r>
      <rPr>
        <sz val="12"/>
        <color theme="1"/>
        <rFont val="Calibri"/>
        <family val="2"/>
      </rPr>
      <t xml:space="preserve"> = 260 x 0.33 = </t>
    </r>
  </si>
  <si>
    <r>
      <t>μ</t>
    </r>
    <r>
      <rPr>
        <vertAlign val="subscript"/>
        <sz val="12"/>
        <color theme="1"/>
        <rFont val="Calibri"/>
        <family val="2"/>
      </rPr>
      <t>1,2</t>
    </r>
    <r>
      <rPr>
        <sz val="12"/>
        <color theme="1"/>
        <rFont val="Calibri"/>
        <family val="2"/>
      </rPr>
      <t xml:space="preserve"> = 422 x 0.203 = </t>
    </r>
  </si>
  <si>
    <t>Outstanding loss forecast</t>
  </si>
  <si>
    <t>MSEP from parameter error (parameter variance)</t>
  </si>
  <si>
    <t>MSEP from process error (process variance)</t>
  </si>
  <si>
    <t>Root Mean Squared Error of Prediction (RMSEP) and coefficient of variation</t>
  </si>
  <si>
    <r>
      <t xml:space="preserve">Apply the Delta Method formula to the parameter covariance matrix (Var[β̂]) and the DX* matrix using the Delta Method formula. The </t>
    </r>
    <r>
      <rPr>
        <b/>
        <i/>
        <u/>
        <sz val="12"/>
        <color theme="1"/>
        <rFont val="Calibri"/>
        <family val="2"/>
      </rPr>
      <t>parameter variance</t>
    </r>
    <r>
      <rPr>
        <b/>
        <sz val="12"/>
        <color theme="1"/>
        <rFont val="Calibri"/>
        <family val="2"/>
      </rPr>
      <t xml:space="preserve"> for the total reserve is the sum over all cells in the matrix.</t>
    </r>
  </si>
  <si>
    <r>
      <t xml:space="preserve">Calculate the </t>
    </r>
    <r>
      <rPr>
        <b/>
        <i/>
        <u/>
        <sz val="12"/>
        <color theme="1"/>
        <rFont val="Calibri"/>
        <family val="2"/>
      </rPr>
      <t>process variance</t>
    </r>
    <r>
      <rPr>
        <b/>
        <sz val="12"/>
        <color theme="1"/>
        <rFont val="Calibri"/>
        <family val="2"/>
      </rPr>
      <t xml:space="preserve"> of the forecasted reserve by applying the scale parameter to it.</t>
    </r>
  </si>
  <si>
    <t>The parametric bootstrap is similar to the semi-parametric method, but uncertainty is generated from assumed theoretical distributions rather than empirical residuals. Parameter error is generated by sampling parameter estimates from a multivariate normal distribution, while process error is generated using the GLM's chosen distributional form (e.g., gamma).
Compared to the semi-parametric bootstrap, it has the following advantages and disadvantages:</t>
  </si>
  <si>
    <t>An Over-Dispersed Poisson (ODP) cross-classified GLM model is fit onto a 3x3 incremental paid loss triangle and the GLM returns the following log parameter estimates and standard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</si>
</sst>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_);[Red]\(&quot;$&quot;#,##0\)"/>
    <numFmt numFmtId="44" formatCode="_(&quot;$&quot;* #,##0.00_);_(&quot;$&quot;* \(#,##0.00\);_(&quot;$&quot;* &quot;-&quot;??_);_(@_)"/>
    <numFmt numFmtId="43" formatCode="_(* #,##0.00_);_(* \(#,##0.00\);_(* &quot;-&quot;??_);_(@_)"/>
    <numFmt numFmtId="164" formatCode="_(&quot;$&quot;* #,##0_);_(&quot;$&quot;* \(#,##0\);_(&quot;$&quot;* &quot;-&quot;??_);_(@_)"/>
    <numFmt numFmtId="165" formatCode="0.000"/>
    <numFmt numFmtId="166" formatCode="0.0000"/>
    <numFmt numFmtId="167" formatCode="_(* #,##0_);_(* \(#,##0\);_(* &quot;-&quot;??_);_(@_)"/>
    <numFmt numFmtId="168" formatCode="0.0%"/>
    <numFmt numFmtId="169" formatCode="#,##0.000"/>
    <numFmt numFmtId="170" formatCode="#,##0.0000"/>
    <numFmt numFmtId="171" formatCode="#,##0.0_);[Red]\(#,##0.0\)"/>
    <numFmt numFmtId="172" formatCode="#,##0.0"/>
  </numFmts>
  <fonts count="43"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b/>
      <u/>
      <sz val="12"/>
      <color theme="1"/>
      <name val="Calibri"/>
      <family val="2"/>
    </font>
    <font>
      <sz val="11"/>
      <color theme="1"/>
      <name val="Calibri"/>
      <family val="2"/>
    </font>
    <font>
      <sz val="12"/>
      <color rgb="FFFF0000"/>
      <name val="Calibri"/>
      <family val="2"/>
    </font>
    <font>
      <u/>
      <sz val="12"/>
      <color theme="1"/>
      <name val="Calibri"/>
      <family val="2"/>
    </font>
    <font>
      <sz val="12"/>
      <color rgb="FF000000"/>
      <name val="Calibri"/>
      <family val="2"/>
    </font>
    <font>
      <b/>
      <sz val="12"/>
      <color theme="1"/>
      <name val="Calibri"/>
      <family val="2"/>
    </font>
    <font>
      <u/>
      <sz val="14"/>
      <color theme="1"/>
      <name val="Calibri"/>
      <family val="2"/>
    </font>
    <font>
      <b/>
      <sz val="12"/>
      <color rgb="FF000000"/>
      <name val="Calibri"/>
      <family val="2"/>
    </font>
    <font>
      <b/>
      <sz val="14"/>
      <color rgb="FF000000"/>
      <name val="Calibri"/>
      <family val="2"/>
    </font>
    <font>
      <b/>
      <sz val="12"/>
      <color theme="1"/>
      <name val="Aptos Narrow"/>
      <family val="2"/>
    </font>
    <font>
      <b/>
      <sz val="14.4"/>
      <color theme="1"/>
      <name val="Calibri"/>
      <family val="2"/>
    </font>
    <font>
      <b/>
      <vertAlign val="subscript"/>
      <sz val="14.4"/>
      <color theme="1"/>
      <name val="Calibri"/>
      <family val="2"/>
    </font>
    <font>
      <b/>
      <vertAlign val="subscript"/>
      <sz val="12"/>
      <color theme="1"/>
      <name val="Calibri"/>
      <family val="2"/>
    </font>
    <font>
      <sz val="12"/>
      <color theme="1"/>
      <name val="Aptos Narrow"/>
      <family val="2"/>
    </font>
    <font>
      <vertAlign val="subscript"/>
      <sz val="13.8"/>
      <color theme="1"/>
      <name val="Calibri"/>
      <family val="2"/>
    </font>
    <font>
      <vertAlign val="subscript"/>
      <sz val="12"/>
      <color theme="1"/>
      <name val="Calibri"/>
      <family val="2"/>
    </font>
    <font>
      <vertAlign val="subscript"/>
      <sz val="12"/>
      <color theme="1"/>
      <name val="Aptos Narrow"/>
      <family val="2"/>
    </font>
    <font>
      <b/>
      <i/>
      <u/>
      <sz val="12"/>
      <color theme="1"/>
      <name val="Calibri"/>
      <family val="2"/>
    </font>
    <font>
      <i/>
      <u/>
      <sz val="12"/>
      <color theme="1"/>
      <name val="Calibri"/>
      <family val="2"/>
    </font>
    <font>
      <vertAlign val="superscript"/>
      <sz val="12"/>
      <color theme="1"/>
      <name val="Calibri"/>
      <family val="2"/>
    </font>
    <font>
      <sz val="11"/>
      <color theme="1"/>
      <name val="Calibri"/>
      <family val="2"/>
      <charset val="1"/>
    </font>
    <font>
      <sz val="12"/>
      <color theme="1"/>
      <name val="Calibri (Body)"/>
    </font>
    <font>
      <i/>
      <sz val="12"/>
      <color theme="1"/>
      <name val="Calibri"/>
      <family val="2"/>
    </font>
    <font>
      <b/>
      <vertAlign val="superscript"/>
      <sz val="12"/>
      <color theme="1"/>
      <name val="Calibri"/>
      <family val="2"/>
    </font>
    <font>
      <b/>
      <u/>
      <sz val="12"/>
      <color rgb="FF000000"/>
      <name val="Calibri"/>
      <family val="2"/>
    </font>
    <font>
      <sz val="12"/>
      <color rgb="FFED0000"/>
      <name val="Calibri"/>
      <family val="2"/>
    </font>
  </fonts>
  <fills count="9">
    <fill>
      <patternFill patternType="none"/>
    </fill>
    <fill>
      <patternFill patternType="gray125"/>
    </fill>
    <fill>
      <patternFill patternType="solid">
        <fgColor theme="0" tint="-4.9989318521683403E-2"/>
        <bgColor indexed="64"/>
      </patternFill>
    </fill>
    <fill>
      <patternFill patternType="solid">
        <fgColor rgb="FFF2F2F2"/>
        <bgColor rgb="FF000000"/>
      </patternFill>
    </fill>
    <fill>
      <patternFill patternType="solid">
        <fgColor rgb="FFF2F2F2"/>
        <bgColor rgb="FFFFFFCC"/>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2F2F2"/>
        <bgColor rgb="FFFFF2CC"/>
      </patternFill>
    </fill>
  </fills>
  <borders count="3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bottom style="thin">
        <color rgb="FF808080"/>
      </bottom>
      <diagonal/>
    </border>
    <border>
      <left/>
      <right style="thin">
        <color indexed="64"/>
      </right>
      <top/>
      <bottom style="thin">
        <color rgb="FF808080"/>
      </bottom>
      <diagonal/>
    </border>
  </borders>
  <cellStyleXfs count="5">
    <xf numFmtId="0" fontId="0" fillId="0" borderId="0"/>
    <xf numFmtId="44" fontId="15" fillId="0" borderId="0" applyFon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0" fontId="37" fillId="0" borderId="0"/>
  </cellStyleXfs>
  <cellXfs count="400">
    <xf numFmtId="0" fontId="0" fillId="0" borderId="0" xfId="0"/>
    <xf numFmtId="0" fontId="16" fillId="2" borderId="1" xfId="0" applyFont="1" applyFill="1" applyBorder="1"/>
    <xf numFmtId="0" fontId="16" fillId="0" borderId="0" xfId="0" applyFont="1"/>
    <xf numFmtId="0" fontId="17" fillId="0" borderId="0" xfId="0" applyFont="1"/>
    <xf numFmtId="0" fontId="18" fillId="0" borderId="0" xfId="0" applyFont="1"/>
    <xf numFmtId="2" fontId="19" fillId="2" borderId="1" xfId="0" applyNumberFormat="1" applyFont="1" applyFill="1" applyBorder="1" applyAlignment="1">
      <alignment horizontal="left"/>
    </xf>
    <xf numFmtId="0" fontId="21" fillId="2" borderId="0" xfId="0" applyFont="1" applyFill="1" applyAlignment="1">
      <alignment horizontal="center" vertical="center" wrapText="1"/>
    </xf>
    <xf numFmtId="0" fontId="22" fillId="0" borderId="0" xfId="0" applyFont="1"/>
    <xf numFmtId="165" fontId="21" fillId="0" borderId="0" xfId="0" applyNumberFormat="1" applyFont="1" applyAlignment="1">
      <alignment horizontal="center" vertical="center" wrapText="1"/>
    </xf>
    <xf numFmtId="0" fontId="22" fillId="0" borderId="0" xfId="0" applyFont="1" applyAlignment="1">
      <alignment horizontal="right"/>
    </xf>
    <xf numFmtId="0" fontId="21" fillId="0" borderId="8" xfId="0" applyFont="1" applyBorder="1" applyAlignment="1">
      <alignment horizontal="center" vertical="center" wrapText="1"/>
    </xf>
    <xf numFmtId="0" fontId="21" fillId="0" borderId="6" xfId="0" applyFont="1" applyBorder="1" applyAlignment="1">
      <alignment horizontal="center" vertical="center" wrapText="1"/>
    </xf>
    <xf numFmtId="0" fontId="20" fillId="2" borderId="0" xfId="0" applyFont="1" applyFill="1" applyAlignment="1">
      <alignment horizontal="center" wrapText="1"/>
    </xf>
    <xf numFmtId="0" fontId="23" fillId="0" borderId="0" xfId="0" applyFont="1"/>
    <xf numFmtId="0" fontId="21" fillId="2" borderId="15" xfId="0" applyFont="1" applyFill="1" applyBorder="1" applyAlignment="1">
      <alignment horizontal="center" vertical="center" wrapText="1"/>
    </xf>
    <xf numFmtId="0" fontId="21" fillId="2" borderId="16" xfId="0" applyFont="1" applyFill="1" applyBorder="1" applyAlignment="1">
      <alignment horizontal="center" vertical="center" wrapText="1"/>
    </xf>
    <xf numFmtId="3" fontId="21" fillId="2" borderId="10" xfId="0" applyNumberFormat="1" applyFont="1" applyFill="1" applyBorder="1" applyAlignment="1">
      <alignment horizontal="center" vertical="center" wrapText="1"/>
    </xf>
    <xf numFmtId="3" fontId="21" fillId="2" borderId="11" xfId="0" applyNumberFormat="1" applyFont="1" applyFill="1" applyBorder="1" applyAlignment="1">
      <alignment horizontal="center" vertical="center" wrapText="1"/>
    </xf>
    <xf numFmtId="3" fontId="21" fillId="2" borderId="0" xfId="0" applyNumberFormat="1" applyFont="1" applyFill="1" applyAlignment="1">
      <alignment horizontal="center" vertical="center" wrapText="1"/>
    </xf>
    <xf numFmtId="0" fontId="21" fillId="2" borderId="8" xfId="0" applyFont="1" applyFill="1" applyBorder="1" applyAlignment="1">
      <alignment horizontal="center" vertical="center" wrapText="1"/>
    </xf>
    <xf numFmtId="3" fontId="21" fillId="2" borderId="7" xfId="0" applyNumberFormat="1" applyFont="1" applyFill="1" applyBorder="1" applyAlignment="1">
      <alignment horizontal="center" vertical="center" wrapText="1"/>
    </xf>
    <xf numFmtId="0" fontId="21" fillId="2" borderId="7"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1" fillId="2" borderId="14"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2" borderId="13" xfId="0" applyFont="1" applyFill="1" applyBorder="1" applyAlignment="1">
      <alignment horizontal="center" vertical="center" wrapText="1"/>
    </xf>
    <xf numFmtId="0" fontId="21" fillId="0" borderId="7" xfId="0" applyFont="1" applyBorder="1" applyAlignment="1">
      <alignment horizontal="center" vertical="center" wrapText="1"/>
    </xf>
    <xf numFmtId="0" fontId="24" fillId="0" borderId="0" xfId="0" applyFont="1" applyAlignment="1">
      <alignment horizontal="right"/>
    </xf>
    <xf numFmtId="0" fontId="14" fillId="2" borderId="0" xfId="0" applyFont="1" applyFill="1"/>
    <xf numFmtId="0" fontId="14" fillId="2" borderId="2" xfId="0" applyFont="1" applyFill="1" applyBorder="1"/>
    <xf numFmtId="0" fontId="14" fillId="0" borderId="0" xfId="0" applyFont="1"/>
    <xf numFmtId="0" fontId="14" fillId="2" borderId="0" xfId="0" quotePrefix="1" applyFont="1" applyFill="1"/>
    <xf numFmtId="0" fontId="14" fillId="2" borderId="3" xfId="0" applyFont="1" applyFill="1" applyBorder="1"/>
    <xf numFmtId="0" fontId="14" fillId="2" borderId="4" xfId="0" applyFont="1" applyFill="1" applyBorder="1"/>
    <xf numFmtId="164" fontId="14" fillId="2" borderId="4" xfId="1" applyNumberFormat="1" applyFont="1" applyFill="1" applyBorder="1"/>
    <xf numFmtId="0" fontId="14" fillId="2" borderId="5" xfId="0" applyFont="1" applyFill="1" applyBorder="1"/>
    <xf numFmtId="165" fontId="14" fillId="0" borderId="0" xfId="0" applyNumberFormat="1" applyFont="1"/>
    <xf numFmtId="0" fontId="14" fillId="0" borderId="6" xfId="0" applyFont="1" applyBorder="1" applyAlignment="1">
      <alignment horizontal="center"/>
    </xf>
    <xf numFmtId="0" fontId="14" fillId="0" borderId="7" xfId="0" applyFont="1" applyBorder="1" applyAlignment="1">
      <alignment horizontal="center"/>
    </xf>
    <xf numFmtId="0" fontId="14" fillId="0" borderId="8" xfId="0" applyFont="1" applyBorder="1" applyAlignment="1">
      <alignment horizontal="center"/>
    </xf>
    <xf numFmtId="3" fontId="14" fillId="0" borderId="0" xfId="0" applyNumberFormat="1" applyFont="1" applyAlignment="1">
      <alignment horizontal="center"/>
    </xf>
    <xf numFmtId="166" fontId="14" fillId="0" borderId="0" xfId="0" applyNumberFormat="1" applyFont="1" applyAlignment="1">
      <alignment horizontal="center"/>
    </xf>
    <xf numFmtId="0" fontId="14" fillId="0" borderId="0" xfId="0" applyFont="1" applyAlignment="1">
      <alignment horizontal="right"/>
    </xf>
    <xf numFmtId="0" fontId="25" fillId="3" borderId="1" xfId="0" applyFont="1" applyFill="1" applyBorder="1"/>
    <xf numFmtId="0" fontId="14" fillId="0" borderId="0" xfId="0" applyFont="1" applyAlignment="1">
      <alignment horizontal="center"/>
    </xf>
    <xf numFmtId="0" fontId="22" fillId="0" borderId="0" xfId="0" applyFont="1" applyAlignment="1">
      <alignment horizontal="left" vertical="center" wrapText="1"/>
    </xf>
    <xf numFmtId="0" fontId="33" fillId="0" borderId="7" xfId="0" applyFont="1" applyBorder="1" applyAlignment="1">
      <alignment horizontal="center"/>
    </xf>
    <xf numFmtId="6" fontId="14" fillId="0" borderId="0" xfId="0" quotePrefix="1" applyNumberFormat="1" applyFont="1" applyAlignment="1">
      <alignment horizontal="center"/>
    </xf>
    <xf numFmtId="1" fontId="14" fillId="0" borderId="20" xfId="0" applyNumberFormat="1" applyFont="1" applyBorder="1" applyAlignment="1">
      <alignment horizontal="center"/>
    </xf>
    <xf numFmtId="165" fontId="14" fillId="0" borderId="0" xfId="0" applyNumberFormat="1" applyFont="1" applyAlignment="1">
      <alignment horizontal="center"/>
    </xf>
    <xf numFmtId="0" fontId="14" fillId="0" borderId="0" xfId="0" applyFont="1" applyAlignment="1">
      <alignment horizontal="left"/>
    </xf>
    <xf numFmtId="167" fontId="14" fillId="0" borderId="0" xfId="2" applyNumberFormat="1" applyFont="1" applyBorder="1" applyAlignment="1">
      <alignment horizontal="left"/>
    </xf>
    <xf numFmtId="0" fontId="22" fillId="0" borderId="0" xfId="0" applyFont="1" applyAlignment="1">
      <alignment horizontal="left" wrapText="1"/>
    </xf>
    <xf numFmtId="0" fontId="22" fillId="0" borderId="0" xfId="0" applyFont="1" applyAlignment="1">
      <alignment wrapText="1"/>
    </xf>
    <xf numFmtId="0" fontId="22" fillId="0" borderId="0" xfId="0" applyFont="1" applyAlignment="1">
      <alignment horizontal="left"/>
    </xf>
    <xf numFmtId="167" fontId="14" fillId="0" borderId="0" xfId="2" applyNumberFormat="1" applyFont="1" applyBorder="1"/>
    <xf numFmtId="0" fontId="33" fillId="0" borderId="0" xfId="0" applyFont="1" applyAlignment="1">
      <alignment horizontal="center"/>
    </xf>
    <xf numFmtId="167" fontId="14" fillId="0" borderId="12" xfId="2" applyNumberFormat="1" applyFont="1" applyBorder="1" applyAlignment="1"/>
    <xf numFmtId="165" fontId="14" fillId="0" borderId="12" xfId="0" applyNumberFormat="1" applyFont="1" applyBorder="1" applyAlignment="1">
      <alignment horizontal="center"/>
    </xf>
    <xf numFmtId="167" fontId="14" fillId="0" borderId="12" xfId="2" applyNumberFormat="1" applyFont="1" applyFill="1" applyBorder="1" applyAlignment="1"/>
    <xf numFmtId="0" fontId="22" fillId="2" borderId="0" xfId="0" applyFont="1" applyFill="1"/>
    <xf numFmtId="0" fontId="13" fillId="0" borderId="0" xfId="0" applyFont="1" applyAlignment="1">
      <alignment horizontal="right"/>
    </xf>
    <xf numFmtId="0" fontId="20" fillId="0" borderId="0" xfId="0" applyFont="1"/>
    <xf numFmtId="0" fontId="38" fillId="4" borderId="0" xfId="0" applyFont="1" applyFill="1" applyAlignment="1">
      <alignment horizontal="left" vertical="top"/>
    </xf>
    <xf numFmtId="3" fontId="38" fillId="2" borderId="0" xfId="0" applyNumberFormat="1" applyFont="1" applyFill="1" applyAlignment="1">
      <alignment horizontal="center" vertical="center"/>
    </xf>
    <xf numFmtId="168" fontId="38" fillId="2" borderId="0" xfId="3" applyNumberFormat="1" applyFont="1" applyFill="1" applyAlignment="1">
      <alignment horizontal="center" vertical="center"/>
    </xf>
    <xf numFmtId="0" fontId="38" fillId="2" borderId="0" xfId="0" applyFont="1" applyFill="1"/>
    <xf numFmtId="0" fontId="38" fillId="4" borderId="14" xfId="0" applyFont="1" applyFill="1" applyBorder="1" applyAlignment="1">
      <alignment horizontal="center" vertical="center"/>
    </xf>
    <xf numFmtId="0" fontId="38" fillId="4" borderId="17" xfId="0" applyFont="1" applyFill="1" applyBorder="1" applyAlignment="1">
      <alignment horizontal="center" vertical="center"/>
    </xf>
    <xf numFmtId="0" fontId="38" fillId="4" borderId="15" xfId="0" applyFont="1" applyFill="1" applyBorder="1" applyAlignment="1">
      <alignment horizontal="center" vertical="center"/>
    </xf>
    <xf numFmtId="0" fontId="38" fillId="4" borderId="16" xfId="0" applyFont="1" applyFill="1" applyBorder="1" applyAlignment="1">
      <alignment horizontal="center" vertical="center"/>
    </xf>
    <xf numFmtId="1" fontId="38" fillId="4" borderId="9" xfId="0" applyNumberFormat="1" applyFont="1" applyFill="1" applyBorder="1" applyAlignment="1">
      <alignment horizontal="center" vertical="center"/>
    </xf>
    <xf numFmtId="1" fontId="38" fillId="4" borderId="12" xfId="0" applyNumberFormat="1" applyFont="1" applyFill="1" applyBorder="1" applyAlignment="1">
      <alignment horizontal="center" vertical="center"/>
    </xf>
    <xf numFmtId="1" fontId="38" fillId="4" borderId="13" xfId="0" applyNumberFormat="1" applyFont="1" applyFill="1" applyBorder="1" applyAlignment="1">
      <alignment horizontal="center" vertical="center"/>
    </xf>
    <xf numFmtId="0" fontId="12" fillId="0" borderId="0" xfId="0" applyFont="1" applyAlignment="1">
      <alignment horizontal="left" vertical="top"/>
    </xf>
    <xf numFmtId="0" fontId="12" fillId="2" borderId="0" xfId="0" applyFont="1" applyFill="1"/>
    <xf numFmtId="0" fontId="12" fillId="2" borderId="2" xfId="0" applyFont="1" applyFill="1" applyBorder="1"/>
    <xf numFmtId="0" fontId="12" fillId="0" borderId="0" xfId="0" applyFont="1"/>
    <xf numFmtId="2" fontId="12" fillId="2" borderId="1" xfId="0" applyNumberFormat="1" applyFont="1" applyFill="1" applyBorder="1" applyAlignment="1">
      <alignment horizontal="left"/>
    </xf>
    <xf numFmtId="2" fontId="12" fillId="2" borderId="1" xfId="0" applyNumberFormat="1" applyFont="1" applyFill="1" applyBorder="1" applyAlignment="1">
      <alignment horizontal="right"/>
    </xf>
    <xf numFmtId="0" fontId="12" fillId="2" borderId="17" xfId="0" applyFont="1" applyFill="1" applyBorder="1" applyAlignment="1">
      <alignment horizontal="center"/>
    </xf>
    <xf numFmtId="0" fontId="12" fillId="2" borderId="15" xfId="0" applyFont="1" applyFill="1" applyBorder="1" applyAlignment="1">
      <alignment horizontal="center"/>
    </xf>
    <xf numFmtId="0" fontId="12" fillId="2" borderId="16" xfId="0" applyFont="1" applyFill="1" applyBorder="1" applyAlignment="1">
      <alignment horizontal="center"/>
    </xf>
    <xf numFmtId="0" fontId="12" fillId="2" borderId="14"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2" borderId="9" xfId="0" applyFont="1" applyFill="1" applyBorder="1" applyAlignment="1">
      <alignment horizontal="center" vertical="center" wrapText="1"/>
    </xf>
    <xf numFmtId="3" fontId="12" fillId="2" borderId="10" xfId="0" applyNumberFormat="1" applyFont="1" applyFill="1" applyBorder="1" applyAlignment="1">
      <alignment horizontal="center" vertical="center" wrapText="1"/>
    </xf>
    <xf numFmtId="3" fontId="12" fillId="2" borderId="11" xfId="0" applyNumberFormat="1" applyFont="1" applyFill="1" applyBorder="1" applyAlignment="1">
      <alignment horizontal="center" vertical="center" wrapText="1"/>
    </xf>
    <xf numFmtId="0" fontId="12" fillId="2" borderId="12" xfId="0" applyFont="1" applyFill="1" applyBorder="1" applyAlignment="1">
      <alignment horizontal="center" vertical="center" wrapText="1"/>
    </xf>
    <xf numFmtId="3" fontId="12" fillId="2" borderId="0" xfId="0" applyNumberFormat="1" applyFont="1" applyFill="1" applyAlignment="1">
      <alignment horizontal="center" vertical="center" wrapText="1"/>
    </xf>
    <xf numFmtId="0" fontId="12" fillId="2" borderId="8" xfId="0" applyFont="1" applyFill="1" applyBorder="1" applyAlignment="1">
      <alignment horizontal="center" vertical="center" wrapText="1"/>
    </xf>
    <xf numFmtId="0" fontId="12" fillId="2" borderId="0" xfId="0" applyFont="1" applyFill="1" applyAlignment="1">
      <alignment horizontal="center" vertical="center" wrapText="1"/>
    </xf>
    <xf numFmtId="0" fontId="12" fillId="2" borderId="13" xfId="0" applyFont="1" applyFill="1" applyBorder="1" applyAlignment="1">
      <alignment horizontal="center" vertical="center" wrapText="1"/>
    </xf>
    <xf numFmtId="3" fontId="12" fillId="2" borderId="7" xfId="0" applyNumberFormat="1" applyFont="1" applyFill="1" applyBorder="1" applyAlignment="1">
      <alignment horizontal="center" vertical="center" wrapText="1"/>
    </xf>
    <xf numFmtId="0" fontId="12" fillId="2" borderId="7" xfId="0" applyFont="1" applyFill="1" applyBorder="1" applyAlignment="1">
      <alignment horizontal="center" vertical="center" wrapText="1"/>
    </xf>
    <xf numFmtId="0" fontId="12" fillId="2" borderId="6" xfId="0" applyFont="1" applyFill="1" applyBorder="1" applyAlignment="1">
      <alignment horizontal="center" vertical="center" wrapText="1"/>
    </xf>
    <xf numFmtId="3" fontId="12" fillId="2" borderId="0" xfId="0" applyNumberFormat="1" applyFont="1" applyFill="1" applyAlignment="1">
      <alignment horizontal="center" vertical="center"/>
    </xf>
    <xf numFmtId="0" fontId="12" fillId="2" borderId="21" xfId="0" applyFont="1" applyFill="1" applyBorder="1" applyAlignment="1">
      <alignment horizontal="center"/>
    </xf>
    <xf numFmtId="169" fontId="12" fillId="2" borderId="21" xfId="0" applyNumberFormat="1" applyFont="1" applyFill="1" applyBorder="1" applyAlignment="1">
      <alignment horizontal="center"/>
    </xf>
    <xf numFmtId="169" fontId="12" fillId="2" borderId="11" xfId="0" applyNumberFormat="1" applyFont="1" applyFill="1" applyBorder="1" applyAlignment="1">
      <alignment horizontal="center"/>
    </xf>
    <xf numFmtId="0" fontId="12" fillId="2" borderId="23" xfId="0" applyFont="1" applyFill="1" applyBorder="1" applyAlignment="1">
      <alignment horizontal="center"/>
    </xf>
    <xf numFmtId="169" fontId="12" fillId="2" borderId="23" xfId="0" applyNumberFormat="1" applyFont="1" applyFill="1" applyBorder="1" applyAlignment="1">
      <alignment horizontal="center"/>
    </xf>
    <xf numFmtId="169" fontId="12" fillId="2" borderId="8" xfId="0" applyNumberFormat="1" applyFont="1" applyFill="1" applyBorder="1" applyAlignment="1">
      <alignment horizontal="center"/>
    </xf>
    <xf numFmtId="0" fontId="12" fillId="2" borderId="22" xfId="0" applyFont="1" applyFill="1" applyBorder="1" applyAlignment="1">
      <alignment horizontal="center"/>
    </xf>
    <xf numFmtId="169" fontId="12" fillId="2" borderId="22" xfId="0" applyNumberFormat="1" applyFont="1" applyFill="1" applyBorder="1" applyAlignment="1">
      <alignment horizontal="center"/>
    </xf>
    <xf numFmtId="169" fontId="12" fillId="2" borderId="6" xfId="0" applyNumberFormat="1" applyFont="1" applyFill="1" applyBorder="1" applyAlignment="1">
      <alignment horizontal="center"/>
    </xf>
    <xf numFmtId="0" fontId="12" fillId="2" borderId="0" xfId="0" applyFont="1" applyFill="1" applyAlignment="1">
      <alignment horizontal="center"/>
    </xf>
    <xf numFmtId="3" fontId="12" fillId="2" borderId="0" xfId="0" applyNumberFormat="1" applyFont="1" applyFill="1" applyAlignment="1">
      <alignment horizontal="center"/>
    </xf>
    <xf numFmtId="168" fontId="12" fillId="2" borderId="0" xfId="3" applyNumberFormat="1" applyFont="1" applyFill="1" applyAlignment="1">
      <alignment horizontal="center" vertical="center"/>
    </xf>
    <xf numFmtId="0" fontId="12" fillId="2" borderId="0" xfId="0" applyFont="1" applyFill="1" applyAlignment="1">
      <alignment vertical="center"/>
    </xf>
    <xf numFmtId="0" fontId="12" fillId="2" borderId="3" xfId="0" applyFont="1" applyFill="1" applyBorder="1" applyAlignment="1">
      <alignment horizontal="right"/>
    </xf>
    <xf numFmtId="0" fontId="12" fillId="2" borderId="4" xfId="0" applyFont="1" applyFill="1" applyBorder="1"/>
    <xf numFmtId="164" fontId="12" fillId="2" borderId="4" xfId="1" applyNumberFormat="1" applyFont="1" applyFill="1" applyBorder="1" applyAlignment="1"/>
    <xf numFmtId="0" fontId="12" fillId="2" borderId="5" xfId="0" applyFont="1" applyFill="1" applyBorder="1"/>
    <xf numFmtId="0" fontId="12" fillId="0" borderId="0" xfId="0" applyFont="1" applyAlignment="1">
      <alignment horizontal="center"/>
    </xf>
    <xf numFmtId="0" fontId="12" fillId="0" borderId="8" xfId="0" applyFont="1" applyBorder="1" applyAlignment="1">
      <alignment horizontal="center"/>
    </xf>
    <xf numFmtId="0" fontId="12" fillId="0" borderId="23" xfId="0" applyFont="1" applyBorder="1" applyAlignment="1">
      <alignment horizont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7" xfId="0" applyFont="1" applyBorder="1" applyAlignment="1">
      <alignment horizontal="center" vertical="center" wrapText="1"/>
    </xf>
    <xf numFmtId="0" fontId="12" fillId="0" borderId="7" xfId="0" applyFont="1" applyBorder="1" applyAlignment="1">
      <alignment horizontal="center"/>
    </xf>
    <xf numFmtId="0" fontId="12" fillId="0" borderId="8" xfId="0" applyFont="1" applyBorder="1" applyAlignment="1">
      <alignment horizontal="center" vertical="center"/>
    </xf>
    <xf numFmtId="3" fontId="12" fillId="0" borderId="0" xfId="0" applyNumberFormat="1" applyFont="1" applyAlignment="1">
      <alignment horizontal="center" vertical="center"/>
    </xf>
    <xf numFmtId="0" fontId="12" fillId="0" borderId="6" xfId="0" applyFont="1" applyBorder="1" applyAlignment="1">
      <alignment horizontal="center"/>
    </xf>
    <xf numFmtId="3" fontId="12" fillId="0" borderId="0" xfId="0" applyNumberFormat="1" applyFont="1"/>
    <xf numFmtId="3" fontId="12" fillId="6" borderId="0" xfId="0" applyNumberFormat="1" applyFont="1" applyFill="1" applyAlignment="1">
      <alignment horizontal="center" vertical="center"/>
    </xf>
    <xf numFmtId="3" fontId="12" fillId="5" borderId="0" xfId="0" applyNumberFormat="1" applyFont="1" applyFill="1" applyAlignment="1">
      <alignment horizontal="center" vertical="center"/>
    </xf>
    <xf numFmtId="3" fontId="12" fillId="0" borderId="20" xfId="0" applyNumberFormat="1" applyFont="1" applyBorder="1" applyAlignment="1">
      <alignment horizontal="center"/>
    </xf>
    <xf numFmtId="3" fontId="12" fillId="0" borderId="7" xfId="0" applyNumberFormat="1" applyFont="1" applyBorder="1" applyAlignment="1">
      <alignment horizontal="center" vertical="center"/>
    </xf>
    <xf numFmtId="3" fontId="12" fillId="0" borderId="6" xfId="0" applyNumberFormat="1" applyFont="1" applyBorder="1" applyAlignment="1">
      <alignment horizontal="center" vertical="center"/>
    </xf>
    <xf numFmtId="0" fontId="12" fillId="0" borderId="0" xfId="0" applyFont="1" applyAlignment="1">
      <alignment horizontal="right"/>
    </xf>
    <xf numFmtId="0" fontId="12" fillId="0" borderId="0" xfId="0" applyFont="1" applyAlignment="1">
      <alignment horizontal="left" vertical="top" wrapText="1"/>
    </xf>
    <xf numFmtId="0" fontId="12" fillId="0" borderId="0" xfId="0" applyFont="1" applyAlignment="1">
      <alignment vertical="top" wrapText="1"/>
    </xf>
    <xf numFmtId="0" fontId="12" fillId="0" borderId="22" xfId="0" applyFont="1" applyBorder="1" applyAlignment="1">
      <alignment horizontal="center"/>
    </xf>
    <xf numFmtId="0" fontId="12" fillId="0" borderId="0" xfId="0" applyFont="1" applyAlignment="1">
      <alignment wrapText="1"/>
    </xf>
    <xf numFmtId="170" fontId="12" fillId="2" borderId="11" xfId="0" applyNumberFormat="1" applyFont="1" applyFill="1" applyBorder="1" applyAlignment="1">
      <alignment horizontal="center"/>
    </xf>
    <xf numFmtId="169" fontId="12" fillId="2" borderId="10" xfId="0" applyNumberFormat="1" applyFont="1" applyFill="1" applyBorder="1" applyAlignment="1">
      <alignment horizontal="center"/>
    </xf>
    <xf numFmtId="170" fontId="12" fillId="2" borderId="8" xfId="0" applyNumberFormat="1" applyFont="1" applyFill="1" applyBorder="1" applyAlignment="1">
      <alignment horizontal="center"/>
    </xf>
    <xf numFmtId="170" fontId="12" fillId="2" borderId="6" xfId="0" applyNumberFormat="1" applyFont="1" applyFill="1" applyBorder="1" applyAlignment="1">
      <alignment horizontal="center"/>
    </xf>
    <xf numFmtId="169" fontId="12" fillId="2" borderId="7" xfId="0" applyNumberFormat="1" applyFont="1" applyFill="1" applyBorder="1" applyAlignment="1">
      <alignment horizontal="center"/>
    </xf>
    <xf numFmtId="0" fontId="12" fillId="2" borderId="0" xfId="0" applyFont="1" applyFill="1" applyAlignment="1">
      <alignment wrapText="1"/>
    </xf>
    <xf numFmtId="0" fontId="12" fillId="0" borderId="24" xfId="0" applyFont="1" applyBorder="1" applyAlignment="1">
      <alignment horizontal="center"/>
    </xf>
    <xf numFmtId="0" fontId="12" fillId="0" borderId="25" xfId="0" applyFont="1" applyBorder="1" applyAlignment="1">
      <alignment horizontal="center"/>
    </xf>
    <xf numFmtId="3" fontId="12" fillId="0" borderId="26" xfId="0" applyNumberFormat="1" applyFont="1" applyBorder="1" applyAlignment="1">
      <alignment horizontal="center" vertical="center"/>
    </xf>
    <xf numFmtId="3" fontId="12" fillId="0" borderId="25" xfId="0" applyNumberFormat="1" applyFont="1" applyBorder="1" applyAlignment="1">
      <alignment horizontal="center" vertical="center"/>
    </xf>
    <xf numFmtId="0" fontId="12" fillId="0" borderId="11" xfId="0" applyFont="1" applyBorder="1" applyAlignment="1">
      <alignment horizontal="center"/>
    </xf>
    <xf numFmtId="3" fontId="12" fillId="0" borderId="27" xfId="0" applyNumberFormat="1" applyFont="1" applyBorder="1" applyAlignment="1">
      <alignment horizontal="center"/>
    </xf>
    <xf numFmtId="0" fontId="12" fillId="0" borderId="0" xfId="0" applyFont="1" applyAlignment="1">
      <alignment horizontal="left"/>
    </xf>
    <xf numFmtId="0" fontId="12" fillId="0" borderId="0" xfId="0" applyFont="1" applyAlignment="1">
      <alignment vertical="top"/>
    </xf>
    <xf numFmtId="0" fontId="11" fillId="2" borderId="0" xfId="0" applyFont="1" applyFill="1"/>
    <xf numFmtId="0" fontId="11" fillId="0" borderId="0" xfId="0" applyFont="1"/>
    <xf numFmtId="0" fontId="11" fillId="0" borderId="0" xfId="0" applyFont="1" applyAlignment="1">
      <alignment vertical="top"/>
    </xf>
    <xf numFmtId="0" fontId="12" fillId="2" borderId="6" xfId="0" applyFont="1" applyFill="1" applyBorder="1" applyAlignment="1">
      <alignment horizontal="center"/>
    </xf>
    <xf numFmtId="0" fontId="12" fillId="2" borderId="11" xfId="0" applyFont="1" applyFill="1" applyBorder="1" applyAlignment="1">
      <alignment horizontal="center"/>
    </xf>
    <xf numFmtId="0" fontId="10" fillId="0" borderId="0" xfId="0" applyFont="1"/>
    <xf numFmtId="0" fontId="8" fillId="0" borderId="7" xfId="0" applyFont="1" applyBorder="1" applyAlignment="1">
      <alignment horizontal="center"/>
    </xf>
    <xf numFmtId="0" fontId="8" fillId="0" borderId="0" xfId="0" applyFont="1"/>
    <xf numFmtId="0" fontId="7" fillId="0" borderId="0" xfId="0" applyFont="1"/>
    <xf numFmtId="0" fontId="7" fillId="0" borderId="0" xfId="0" applyFont="1" applyAlignment="1">
      <alignment horizontal="left" vertical="top"/>
    </xf>
    <xf numFmtId="0" fontId="7" fillId="0" borderId="8"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7" fillId="0" borderId="7" xfId="0" applyFont="1" applyBorder="1" applyAlignment="1">
      <alignment horizontal="center"/>
    </xf>
    <xf numFmtId="0" fontId="7" fillId="0" borderId="8" xfId="0" applyFont="1" applyBorder="1" applyAlignment="1">
      <alignment horizontal="center" vertical="center"/>
    </xf>
    <xf numFmtId="169" fontId="7" fillId="0" borderId="0" xfId="0" applyNumberFormat="1" applyFont="1" applyAlignment="1">
      <alignment horizontal="center" vertical="center"/>
    </xf>
    <xf numFmtId="3" fontId="7" fillId="0" borderId="0" xfId="0" applyNumberFormat="1" applyFont="1" applyAlignment="1">
      <alignment horizontal="center" vertical="center"/>
    </xf>
    <xf numFmtId="171" fontId="7" fillId="2" borderId="0" xfId="0" applyNumberFormat="1" applyFont="1" applyFill="1" applyAlignment="1">
      <alignment horizontal="center"/>
    </xf>
    <xf numFmtId="1" fontId="0" fillId="4" borderId="21" xfId="0" applyNumberFormat="1" applyFill="1" applyBorder="1" applyAlignment="1">
      <alignment horizontal="center" vertical="center"/>
    </xf>
    <xf numFmtId="1" fontId="0" fillId="4" borderId="10" xfId="0" applyNumberFormat="1" applyFill="1" applyBorder="1" applyAlignment="1">
      <alignment horizontal="center" vertical="center"/>
    </xf>
    <xf numFmtId="1" fontId="0" fillId="4" borderId="11" xfId="0" applyNumberFormat="1" applyFill="1" applyBorder="1" applyAlignment="1">
      <alignment horizontal="center" vertical="center"/>
    </xf>
    <xf numFmtId="1" fontId="0" fillId="4" borderId="23" xfId="0" applyNumberFormat="1" applyFill="1" applyBorder="1" applyAlignment="1">
      <alignment horizontal="center" vertical="center"/>
    </xf>
    <xf numFmtId="1" fontId="0" fillId="4" borderId="0" xfId="0" applyNumberFormat="1" applyFill="1" applyAlignment="1">
      <alignment horizontal="center" vertical="center"/>
    </xf>
    <xf numFmtId="0" fontId="0" fillId="4" borderId="8" xfId="0" applyFill="1" applyBorder="1"/>
    <xf numFmtId="0" fontId="0" fillId="4" borderId="0" xfId="0" applyFill="1"/>
    <xf numFmtId="1" fontId="0" fillId="4" borderId="22" xfId="0" applyNumberFormat="1" applyFill="1" applyBorder="1" applyAlignment="1">
      <alignment horizontal="center" vertical="center"/>
    </xf>
    <xf numFmtId="0" fontId="0" fillId="4" borderId="7" xfId="0" applyFill="1" applyBorder="1"/>
    <xf numFmtId="0" fontId="0" fillId="4" borderId="6" xfId="0" applyFill="1" applyBorder="1"/>
    <xf numFmtId="0" fontId="7" fillId="4" borderId="0" xfId="0" applyFont="1" applyFill="1" applyAlignment="1">
      <alignment horizontal="left" vertical="top"/>
    </xf>
    <xf numFmtId="0" fontId="7" fillId="2" borderId="0" xfId="0" applyFont="1" applyFill="1"/>
    <xf numFmtId="2" fontId="7" fillId="2" borderId="0" xfId="0" applyNumberFormat="1" applyFont="1" applyFill="1" applyAlignment="1">
      <alignment horizontal="right"/>
    </xf>
    <xf numFmtId="0" fontId="7" fillId="4" borderId="14"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6" xfId="0" applyFont="1" applyFill="1" applyBorder="1" applyAlignment="1">
      <alignment horizontal="center" vertical="center"/>
    </xf>
    <xf numFmtId="1" fontId="7" fillId="4" borderId="9" xfId="0" applyNumberFormat="1" applyFont="1" applyFill="1" applyBorder="1" applyAlignment="1">
      <alignment horizontal="center" vertical="center"/>
    </xf>
    <xf numFmtId="1" fontId="7" fillId="4" borderId="21" xfId="0" applyNumberFormat="1" applyFont="1" applyFill="1" applyBorder="1" applyAlignment="1">
      <alignment horizontal="center" vertical="center"/>
    </xf>
    <xf numFmtId="1" fontId="7" fillId="4" borderId="10" xfId="0" applyNumberFormat="1" applyFont="1" applyFill="1" applyBorder="1" applyAlignment="1">
      <alignment horizontal="center" vertical="center"/>
    </xf>
    <xf numFmtId="1" fontId="7" fillId="4" borderId="16" xfId="0" applyNumberFormat="1" applyFont="1" applyFill="1" applyBorder="1" applyAlignment="1">
      <alignment horizontal="center" vertical="center"/>
    </xf>
    <xf numFmtId="1" fontId="7" fillId="4" borderId="12" xfId="0" applyNumberFormat="1" applyFont="1" applyFill="1" applyBorder="1" applyAlignment="1">
      <alignment horizontal="center" vertical="center"/>
    </xf>
    <xf numFmtId="1" fontId="7" fillId="4" borderId="23" xfId="0" applyNumberFormat="1" applyFont="1" applyFill="1" applyBorder="1" applyAlignment="1">
      <alignment horizontal="center" vertical="center"/>
    </xf>
    <xf numFmtId="1" fontId="7" fillId="4" borderId="0" xfId="0" applyNumberFormat="1" applyFont="1" applyFill="1" applyAlignment="1">
      <alignment horizontal="center" vertical="center"/>
    </xf>
    <xf numFmtId="1" fontId="7" fillId="4" borderId="6" xfId="0" applyNumberFormat="1" applyFont="1" applyFill="1" applyBorder="1" applyAlignment="1">
      <alignment horizontal="center" vertical="center"/>
    </xf>
    <xf numFmtId="1" fontId="7" fillId="4" borderId="8" xfId="0" applyNumberFormat="1" applyFont="1" applyFill="1" applyBorder="1" applyAlignment="1">
      <alignment horizontal="center" vertical="center"/>
    </xf>
    <xf numFmtId="1" fontId="7" fillId="4" borderId="13" xfId="0" applyNumberFormat="1" applyFont="1" applyFill="1" applyBorder="1" applyAlignment="1">
      <alignment horizontal="center" vertical="center"/>
    </xf>
    <xf numFmtId="1" fontId="7" fillId="4" borderId="7" xfId="0" applyNumberFormat="1" applyFont="1" applyFill="1" applyBorder="1" applyAlignment="1">
      <alignment horizontal="center" vertical="center"/>
    </xf>
    <xf numFmtId="169" fontId="7" fillId="0" borderId="0" xfId="0" applyNumberFormat="1" applyFont="1" applyAlignment="1">
      <alignment horizontal="center"/>
    </xf>
    <xf numFmtId="3" fontId="7" fillId="6" borderId="0" xfId="0" applyNumberFormat="1" applyFont="1" applyFill="1" applyAlignment="1">
      <alignment horizontal="center" vertical="center"/>
    </xf>
    <xf numFmtId="3" fontId="7" fillId="6" borderId="7" xfId="0" applyNumberFormat="1" applyFont="1" applyFill="1" applyBorder="1" applyAlignment="1">
      <alignment horizontal="center" vertical="center"/>
    </xf>
    <xf numFmtId="3" fontId="7" fillId="6" borderId="6" xfId="0" applyNumberFormat="1" applyFont="1" applyFill="1" applyBorder="1" applyAlignment="1">
      <alignment horizontal="center" vertical="center"/>
    </xf>
    <xf numFmtId="3" fontId="7" fillId="5" borderId="0" xfId="0" applyNumberFormat="1" applyFont="1" applyFill="1" applyAlignment="1">
      <alignment horizontal="center" vertical="center"/>
    </xf>
    <xf numFmtId="3" fontId="7" fillId="6" borderId="8" xfId="0" applyNumberFormat="1" applyFont="1" applyFill="1" applyBorder="1" applyAlignment="1">
      <alignment horizontal="center" vertical="center"/>
    </xf>
    <xf numFmtId="16" fontId="7" fillId="0" borderId="7" xfId="0" quotePrefix="1" applyNumberFormat="1" applyFont="1" applyBorder="1" applyAlignment="1">
      <alignment horizontal="center"/>
    </xf>
    <xf numFmtId="0" fontId="7" fillId="0" borderId="7" xfId="0" quotePrefix="1" applyFont="1" applyBorder="1" applyAlignment="1">
      <alignment horizontal="center"/>
    </xf>
    <xf numFmtId="165" fontId="7" fillId="0" borderId="0" xfId="0" applyNumberFormat="1" applyFont="1" applyAlignment="1">
      <alignment horizontal="center"/>
    </xf>
    <xf numFmtId="3" fontId="7" fillId="0" borderId="7" xfId="0" applyNumberFormat="1" applyFont="1" applyBorder="1" applyAlignment="1">
      <alignment horizontal="center" vertical="center"/>
    </xf>
    <xf numFmtId="3" fontId="7" fillId="0" borderId="6" xfId="0" applyNumberFormat="1" applyFont="1" applyBorder="1" applyAlignment="1">
      <alignment horizontal="center" vertical="center"/>
    </xf>
    <xf numFmtId="3" fontId="7" fillId="7" borderId="0" xfId="0" applyNumberFormat="1" applyFont="1" applyFill="1" applyAlignment="1">
      <alignment horizontal="center" vertical="center"/>
    </xf>
    <xf numFmtId="3" fontId="7" fillId="0" borderId="8" xfId="0" applyNumberFormat="1" applyFont="1" applyBorder="1" applyAlignment="1">
      <alignment horizontal="center" vertical="center"/>
    </xf>
    <xf numFmtId="3" fontId="7" fillId="0" borderId="20" xfId="0" applyNumberFormat="1" applyFont="1" applyBorder="1" applyAlignment="1">
      <alignment horizontal="center"/>
    </xf>
    <xf numFmtId="0" fontId="6" fillId="2" borderId="0" xfId="0" applyFont="1" applyFill="1"/>
    <xf numFmtId="40" fontId="12" fillId="2" borderId="0" xfId="0" applyNumberFormat="1" applyFont="1" applyFill="1" applyAlignment="1">
      <alignment horizontal="center"/>
    </xf>
    <xf numFmtId="165" fontId="38" fillId="8" borderId="0" xfId="0" applyNumberFormat="1" applyFont="1" applyFill="1" applyAlignment="1">
      <alignment horizontal="center" vertical="center"/>
    </xf>
    <xf numFmtId="0" fontId="38" fillId="8" borderId="0" xfId="0" applyFont="1" applyFill="1"/>
    <xf numFmtId="0" fontId="38" fillId="8" borderId="9" xfId="0" applyFont="1" applyFill="1" applyBorder="1"/>
    <xf numFmtId="0" fontId="38" fillId="8" borderId="13" xfId="0" applyFont="1" applyFill="1" applyBorder="1" applyAlignment="1">
      <alignment horizontal="center" vertical="center"/>
    </xf>
    <xf numFmtId="0" fontId="38" fillId="8" borderId="17" xfId="0" applyFont="1" applyFill="1" applyBorder="1" applyAlignment="1">
      <alignment horizontal="center" vertical="center"/>
    </xf>
    <xf numFmtId="0" fontId="38" fillId="8" borderId="15" xfId="0" applyFont="1" applyFill="1" applyBorder="1" applyAlignment="1">
      <alignment horizontal="center" vertical="center"/>
    </xf>
    <xf numFmtId="0" fontId="38" fillId="8" borderId="16" xfId="0" applyFont="1" applyFill="1" applyBorder="1" applyAlignment="1">
      <alignment horizontal="center" vertical="center"/>
    </xf>
    <xf numFmtId="165" fontId="38" fillId="8" borderId="21" xfId="0" applyNumberFormat="1" applyFont="1" applyFill="1" applyBorder="1" applyAlignment="1">
      <alignment horizontal="center" vertical="center"/>
    </xf>
    <xf numFmtId="165" fontId="38" fillId="8" borderId="10" xfId="0" applyNumberFormat="1" applyFont="1" applyFill="1" applyBorder="1" applyAlignment="1">
      <alignment horizontal="center" vertical="center"/>
    </xf>
    <xf numFmtId="165" fontId="38" fillId="8" borderId="11" xfId="0" applyNumberFormat="1" applyFont="1" applyFill="1" applyBorder="1" applyAlignment="1">
      <alignment horizontal="center" vertical="center"/>
    </xf>
    <xf numFmtId="165" fontId="38" fillId="8" borderId="23" xfId="0" applyNumberFormat="1" applyFont="1" applyFill="1" applyBorder="1" applyAlignment="1">
      <alignment horizontal="center" vertical="center"/>
    </xf>
    <xf numFmtId="165" fontId="38" fillId="8" borderId="8" xfId="0" applyNumberFormat="1" applyFont="1" applyFill="1" applyBorder="1" applyAlignment="1">
      <alignment horizontal="center" vertical="center"/>
    </xf>
    <xf numFmtId="165" fontId="38" fillId="8" borderId="22" xfId="0" applyNumberFormat="1" applyFont="1" applyFill="1" applyBorder="1" applyAlignment="1">
      <alignment horizontal="center" vertical="center"/>
    </xf>
    <xf numFmtId="165" fontId="38" fillId="8" borderId="7" xfId="0" applyNumberFormat="1" applyFont="1" applyFill="1" applyBorder="1" applyAlignment="1">
      <alignment horizontal="center" vertical="center"/>
    </xf>
    <xf numFmtId="165" fontId="38" fillId="8" borderId="6" xfId="0" applyNumberFormat="1" applyFont="1" applyFill="1" applyBorder="1" applyAlignment="1">
      <alignment horizontal="center" vertical="center"/>
    </xf>
    <xf numFmtId="0" fontId="38" fillId="8" borderId="9" xfId="0" applyFont="1" applyFill="1" applyBorder="1" applyAlignment="1">
      <alignment horizontal="center" vertical="center"/>
    </xf>
    <xf numFmtId="0" fontId="38" fillId="8" borderId="12" xfId="0" applyFont="1" applyFill="1" applyBorder="1" applyAlignment="1">
      <alignment horizontal="center" vertical="center"/>
    </xf>
    <xf numFmtId="0" fontId="41" fillId="8" borderId="9" xfId="0" applyFont="1" applyFill="1" applyBorder="1"/>
    <xf numFmtId="2" fontId="6" fillId="2" borderId="1" xfId="0" applyNumberFormat="1" applyFont="1" applyFill="1" applyBorder="1" applyAlignment="1">
      <alignment horizontal="right"/>
    </xf>
    <xf numFmtId="0" fontId="12" fillId="0" borderId="10" xfId="0" applyFont="1" applyBorder="1" applyAlignment="1">
      <alignment horizontal="center"/>
    </xf>
    <xf numFmtId="169" fontId="12" fillId="2" borderId="0" xfId="0" applyNumberFormat="1" applyFont="1" applyFill="1" applyAlignment="1">
      <alignment horizontal="center"/>
    </xf>
    <xf numFmtId="3" fontId="12" fillId="2" borderId="8" xfId="0" applyNumberFormat="1" applyFont="1" applyFill="1" applyBorder="1" applyAlignment="1">
      <alignment horizontal="center" vertical="center" wrapText="1"/>
    </xf>
    <xf numFmtId="0" fontId="12" fillId="2" borderId="0" xfId="0" applyFont="1" applyFill="1" applyAlignment="1">
      <alignment vertical="top"/>
    </xf>
    <xf numFmtId="0" fontId="12" fillId="0" borderId="23" xfId="0" applyFont="1" applyBorder="1"/>
    <xf numFmtId="3" fontId="12" fillId="0" borderId="8" xfId="0" applyNumberFormat="1" applyFont="1" applyBorder="1" applyAlignment="1">
      <alignment horizontal="center" vertical="center"/>
    </xf>
    <xf numFmtId="3" fontId="12" fillId="0" borderId="33" xfId="0" applyNumberFormat="1" applyFont="1" applyBorder="1" applyAlignment="1">
      <alignment horizontal="center" vertical="center"/>
    </xf>
    <xf numFmtId="3" fontId="12" fillId="0" borderId="29" xfId="0" applyNumberFormat="1" applyFont="1" applyBorder="1" applyAlignment="1">
      <alignment horizontal="center" vertical="center"/>
    </xf>
    <xf numFmtId="3" fontId="12" fillId="0" borderId="13" xfId="0" applyNumberFormat="1" applyFont="1" applyBorder="1" applyAlignment="1">
      <alignment horizontal="center" vertical="center"/>
    </xf>
    <xf numFmtId="0" fontId="6" fillId="0" borderId="0" xfId="0" applyFont="1"/>
    <xf numFmtId="0" fontId="21" fillId="0" borderId="34" xfId="0" applyFont="1" applyBorder="1" applyAlignment="1">
      <alignment horizontal="center" vertical="center"/>
    </xf>
    <xf numFmtId="0" fontId="21" fillId="0" borderId="35" xfId="0" applyFont="1" applyBorder="1" applyAlignment="1">
      <alignment horizontal="center" vertical="center"/>
    </xf>
    <xf numFmtId="0" fontId="21" fillId="0" borderId="8" xfId="0" applyFont="1" applyBorder="1" applyAlignment="1">
      <alignment horizontal="center" vertical="center"/>
    </xf>
    <xf numFmtId="0" fontId="21" fillId="0" borderId="0" xfId="0" applyFont="1" applyAlignment="1">
      <alignment horizontal="center" vertical="center"/>
    </xf>
    <xf numFmtId="0" fontId="12" fillId="0" borderId="21" xfId="0" applyFont="1" applyBorder="1" applyAlignment="1">
      <alignment horizontal="center"/>
    </xf>
    <xf numFmtId="3" fontId="12" fillId="0" borderId="10" xfId="0" applyNumberFormat="1" applyFont="1" applyBorder="1" applyAlignment="1">
      <alignment horizontal="center"/>
    </xf>
    <xf numFmtId="3" fontId="12" fillId="0" borderId="11" xfId="0" applyNumberFormat="1" applyFont="1" applyBorder="1" applyAlignment="1">
      <alignment horizontal="center"/>
    </xf>
    <xf numFmtId="3" fontId="12" fillId="0" borderId="0" xfId="0" applyNumberFormat="1" applyFont="1" applyAlignment="1">
      <alignment horizontal="center"/>
    </xf>
    <xf numFmtId="3" fontId="12" fillId="0" borderId="7" xfId="0" applyNumberFormat="1" applyFont="1" applyBorder="1" applyAlignment="1">
      <alignment horizontal="center"/>
    </xf>
    <xf numFmtId="3" fontId="12" fillId="0" borderId="6" xfId="0" applyNumberFormat="1" applyFont="1" applyBorder="1" applyAlignment="1">
      <alignment horizontal="center"/>
    </xf>
    <xf numFmtId="166" fontId="21" fillId="6" borderId="21" xfId="0" applyNumberFormat="1" applyFont="1" applyFill="1" applyBorder="1" applyAlignment="1">
      <alignment horizontal="center" vertical="center"/>
    </xf>
    <xf numFmtId="166" fontId="21" fillId="0" borderId="10" xfId="0" applyNumberFormat="1" applyFont="1" applyBorder="1" applyAlignment="1">
      <alignment horizontal="center" vertical="center"/>
    </xf>
    <xf numFmtId="166" fontId="21" fillId="0" borderId="11" xfId="0" applyNumberFormat="1" applyFont="1" applyBorder="1" applyAlignment="1">
      <alignment horizontal="center" vertical="center"/>
    </xf>
    <xf numFmtId="166" fontId="12" fillId="5" borderId="23" xfId="0" applyNumberFormat="1" applyFont="1" applyFill="1" applyBorder="1" applyAlignment="1">
      <alignment horizontal="center"/>
    </xf>
    <xf numFmtId="166" fontId="21" fillId="6" borderId="0" xfId="0" applyNumberFormat="1" applyFont="1" applyFill="1" applyAlignment="1">
      <alignment horizontal="center" vertical="center"/>
    </xf>
    <xf numFmtId="166" fontId="21" fillId="0" borderId="0" xfId="0" applyNumberFormat="1" applyFont="1" applyAlignment="1">
      <alignment horizontal="center" vertical="center"/>
    </xf>
    <xf numFmtId="166" fontId="21" fillId="0" borderId="8" xfId="0" applyNumberFormat="1" applyFont="1" applyBorder="1" applyAlignment="1">
      <alignment horizontal="center" vertical="center"/>
    </xf>
    <xf numFmtId="166" fontId="21" fillId="5" borderId="0" xfId="0" applyNumberFormat="1" applyFont="1" applyFill="1" applyAlignment="1">
      <alignment horizontal="center" vertical="center"/>
    </xf>
    <xf numFmtId="166" fontId="21" fillId="5" borderId="23" xfId="0" applyNumberFormat="1" applyFont="1" applyFill="1" applyBorder="1" applyAlignment="1">
      <alignment horizontal="center" vertical="center"/>
    </xf>
    <xf numFmtId="166" fontId="21" fillId="5" borderId="22" xfId="0" applyNumberFormat="1" applyFont="1" applyFill="1" applyBorder="1" applyAlignment="1">
      <alignment horizontal="center" vertical="center"/>
    </xf>
    <xf numFmtId="166" fontId="21" fillId="5" borderId="7" xfId="0" applyNumberFormat="1" applyFont="1" applyFill="1" applyBorder="1" applyAlignment="1">
      <alignment horizontal="center" vertical="center"/>
    </xf>
    <xf numFmtId="166" fontId="21" fillId="6" borderId="6" xfId="0" applyNumberFormat="1" applyFont="1" applyFill="1" applyBorder="1" applyAlignment="1">
      <alignment horizontal="center" vertical="center"/>
    </xf>
    <xf numFmtId="0" fontId="21" fillId="0" borderId="7" xfId="0" applyFont="1" applyBorder="1" applyAlignment="1">
      <alignment horizontal="center" vertical="center"/>
    </xf>
    <xf numFmtId="0" fontId="6" fillId="0" borderId="28" xfId="0" applyFont="1" applyBorder="1" applyAlignment="1">
      <alignment horizontal="center"/>
    </xf>
    <xf numFmtId="0" fontId="6" fillId="0" borderId="7" xfId="0" applyFont="1" applyBorder="1" applyAlignment="1">
      <alignment horizontal="center" vertical="center"/>
    </xf>
    <xf numFmtId="0" fontId="6" fillId="0" borderId="29" xfId="0" applyFont="1" applyBorder="1" applyAlignment="1">
      <alignment horizontal="center" vertical="center"/>
    </xf>
    <xf numFmtId="3" fontId="6" fillId="0" borderId="3" xfId="0" applyNumberFormat="1" applyFont="1" applyBorder="1" applyAlignment="1">
      <alignment horizontal="center" vertical="center"/>
    </xf>
    <xf numFmtId="3" fontId="6" fillId="0" borderId="4" xfId="0" applyNumberFormat="1" applyFont="1" applyBorder="1" applyAlignment="1">
      <alignment horizontal="center" vertical="center"/>
    </xf>
    <xf numFmtId="168" fontId="6" fillId="0" borderId="5" xfId="3" applyNumberFormat="1" applyFont="1" applyBorder="1" applyAlignment="1">
      <alignment horizontal="center" vertical="center"/>
    </xf>
    <xf numFmtId="0" fontId="6" fillId="0" borderId="6" xfId="0" applyFont="1" applyBorder="1" applyAlignment="1">
      <alignment horizontal="center"/>
    </xf>
    <xf numFmtId="3" fontId="21" fillId="0" borderId="0" xfId="0" applyNumberFormat="1" applyFont="1" applyAlignment="1">
      <alignment horizontal="center" vertical="center"/>
    </xf>
    <xf numFmtId="3" fontId="6" fillId="0" borderId="0" xfId="0" applyNumberFormat="1" applyFont="1"/>
    <xf numFmtId="0" fontId="42" fillId="0" borderId="0" xfId="0" applyFont="1"/>
    <xf numFmtId="40" fontId="12" fillId="0" borderId="0" xfId="0" applyNumberFormat="1" applyFont="1"/>
    <xf numFmtId="0" fontId="5" fillId="0" borderId="0" xfId="0" applyFont="1"/>
    <xf numFmtId="43" fontId="12" fillId="0" borderId="0" xfId="2" applyFont="1"/>
    <xf numFmtId="0" fontId="4" fillId="0" borderId="0" xfId="0" applyFont="1"/>
    <xf numFmtId="0" fontId="4" fillId="0" borderId="0" xfId="0" applyFont="1" applyAlignment="1">
      <alignment horizontal="center"/>
    </xf>
    <xf numFmtId="3" fontId="4" fillId="0" borderId="20" xfId="0" applyNumberFormat="1" applyFont="1" applyBorder="1" applyAlignment="1">
      <alignment horizontal="center"/>
    </xf>
    <xf numFmtId="3" fontId="21" fillId="0" borderId="21" xfId="0" applyNumberFormat="1" applyFont="1" applyBorder="1" applyAlignment="1">
      <alignment horizontal="center" vertical="center"/>
    </xf>
    <xf numFmtId="3" fontId="21" fillId="0" borderId="10" xfId="0" applyNumberFormat="1" applyFont="1" applyBorder="1" applyAlignment="1">
      <alignment horizontal="center" vertical="center"/>
    </xf>
    <xf numFmtId="3" fontId="21" fillId="0" borderId="11" xfId="0" applyNumberFormat="1" applyFont="1" applyBorder="1" applyAlignment="1">
      <alignment horizontal="center" vertical="center"/>
    </xf>
    <xf numFmtId="3" fontId="21" fillId="0" borderId="23" xfId="0" applyNumberFormat="1" applyFont="1" applyBorder="1" applyAlignment="1">
      <alignment horizontal="center" vertical="center"/>
    </xf>
    <xf numFmtId="3" fontId="21" fillId="0" borderId="8" xfId="0" applyNumberFormat="1" applyFont="1" applyBorder="1" applyAlignment="1">
      <alignment horizontal="center" vertical="center"/>
    </xf>
    <xf numFmtId="3" fontId="21" fillId="0" borderId="22" xfId="0" applyNumberFormat="1" applyFont="1" applyBorder="1" applyAlignment="1">
      <alignment horizontal="center" vertical="center"/>
    </xf>
    <xf numFmtId="3" fontId="21" fillId="0" borderId="7" xfId="0" applyNumberFormat="1" applyFont="1" applyBorder="1" applyAlignment="1">
      <alignment horizontal="center" vertical="center"/>
    </xf>
    <xf numFmtId="3" fontId="21" fillId="0" borderId="6" xfId="0" applyNumberFormat="1" applyFont="1" applyBorder="1" applyAlignment="1">
      <alignment horizontal="center" vertical="center"/>
    </xf>
    <xf numFmtId="0" fontId="3" fillId="0" borderId="0" xfId="0" applyFont="1"/>
    <xf numFmtId="0" fontId="3" fillId="0" borderId="6" xfId="0" applyFont="1" applyBorder="1" applyAlignment="1">
      <alignment horizontal="center"/>
    </xf>
    <xf numFmtId="0" fontId="3" fillId="0" borderId="7" xfId="0" applyFont="1" applyBorder="1" applyAlignment="1">
      <alignment horizontal="center"/>
    </xf>
    <xf numFmtId="0" fontId="3" fillId="0" borderId="11" xfId="0" applyFont="1" applyBorder="1" applyAlignment="1">
      <alignment horizontal="center" vertical="center" wrapText="1"/>
    </xf>
    <xf numFmtId="3" fontId="3" fillId="0" borderId="0" xfId="0" applyNumberFormat="1" applyFont="1" applyAlignment="1">
      <alignment horizontal="center"/>
    </xf>
    <xf numFmtId="165" fontId="3" fillId="0" borderId="10" xfId="0" applyNumberFormat="1" applyFont="1" applyBorder="1" applyAlignment="1">
      <alignment horizontal="center" vertical="center" wrapText="1"/>
    </xf>
    <xf numFmtId="0" fontId="3" fillId="0" borderId="8" xfId="0" applyFont="1" applyBorder="1" applyAlignment="1">
      <alignment horizontal="center" vertical="center" wrapText="1"/>
    </xf>
    <xf numFmtId="165" fontId="3" fillId="0" borderId="0" xfId="0" applyNumberFormat="1" applyFont="1" applyAlignment="1">
      <alignment horizontal="center" vertical="center" wrapText="1"/>
    </xf>
    <xf numFmtId="0" fontId="3" fillId="2" borderId="0" xfId="0" applyFont="1" applyFill="1"/>
    <xf numFmtId="0" fontId="39" fillId="2" borderId="1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9" xfId="0" applyFont="1" applyFill="1" applyBorder="1" applyAlignment="1">
      <alignment horizontal="center" vertical="center" wrapText="1"/>
    </xf>
    <xf numFmtId="2" fontId="3" fillId="2" borderId="10" xfId="0" applyNumberFormat="1" applyFont="1" applyFill="1" applyBorder="1" applyAlignment="1">
      <alignment horizontal="center" vertical="center" wrapText="1"/>
    </xf>
    <xf numFmtId="2" fontId="3" fillId="2" borderId="11" xfId="0" applyNumberFormat="1" applyFont="1" applyFill="1" applyBorder="1" applyAlignment="1">
      <alignment horizontal="center" vertical="center" wrapText="1"/>
    </xf>
    <xf numFmtId="0" fontId="3" fillId="2" borderId="12" xfId="0" applyFont="1" applyFill="1" applyBorder="1" applyAlignment="1">
      <alignment horizontal="center" vertical="center" wrapText="1"/>
    </xf>
    <xf numFmtId="2" fontId="3" fillId="2" borderId="0" xfId="0" applyNumberFormat="1" applyFont="1" applyFill="1" applyAlignment="1">
      <alignment horizontal="center" vertical="center" wrapText="1"/>
    </xf>
    <xf numFmtId="2" fontId="3" fillId="2" borderId="8" xfId="0" applyNumberFormat="1" applyFont="1" applyFill="1" applyBorder="1" applyAlignment="1">
      <alignment horizontal="center" vertical="center" wrapText="1"/>
    </xf>
    <xf numFmtId="0" fontId="3" fillId="2" borderId="13" xfId="0" applyFont="1" applyFill="1" applyBorder="1" applyAlignment="1">
      <alignment horizontal="center" vertical="center" wrapText="1"/>
    </xf>
    <xf numFmtId="2" fontId="3" fillId="2" borderId="7" xfId="0" applyNumberFormat="1" applyFont="1" applyFill="1" applyBorder="1" applyAlignment="1">
      <alignment horizontal="center" vertical="center" wrapText="1"/>
    </xf>
    <xf numFmtId="2" fontId="3" fillId="2" borderId="6" xfId="0" applyNumberFormat="1" applyFont="1" applyFill="1" applyBorder="1" applyAlignment="1">
      <alignment horizontal="center" vertical="center" wrapText="1"/>
    </xf>
    <xf numFmtId="165" fontId="3" fillId="2" borderId="0" xfId="0" applyNumberFormat="1" applyFont="1" applyFill="1" applyAlignment="1">
      <alignment horizontal="center" vertical="center" wrapText="1"/>
    </xf>
    <xf numFmtId="0" fontId="3" fillId="2" borderId="0" xfId="0" quotePrefix="1" applyFont="1" applyFill="1"/>
    <xf numFmtId="0" fontId="3" fillId="2" borderId="4" xfId="0" applyFont="1" applyFill="1" applyBorder="1"/>
    <xf numFmtId="164" fontId="3" fillId="2" borderId="4" xfId="1" applyNumberFormat="1" applyFont="1" applyFill="1" applyBorder="1"/>
    <xf numFmtId="1" fontId="3" fillId="0" borderId="10" xfId="0" applyNumberFormat="1" applyFont="1" applyBorder="1" applyAlignment="1">
      <alignment horizontal="center" vertical="center" wrapText="1"/>
    </xf>
    <xf numFmtId="2" fontId="3" fillId="0" borderId="10" xfId="0" applyNumberFormat="1" applyFont="1" applyBorder="1" applyAlignment="1">
      <alignment horizontal="center" vertical="center" wrapText="1"/>
    </xf>
    <xf numFmtId="1" fontId="3" fillId="0" borderId="0" xfId="0" applyNumberFormat="1" applyFont="1" applyAlignment="1">
      <alignment horizontal="center" vertical="center" wrapText="1"/>
    </xf>
    <xf numFmtId="2" fontId="3" fillId="0" borderId="0" xfId="0" applyNumberFormat="1" applyFont="1" applyAlignment="1">
      <alignment horizontal="center" vertical="center" wrapText="1"/>
    </xf>
    <xf numFmtId="0" fontId="3" fillId="0" borderId="6" xfId="0" applyFont="1" applyBorder="1" applyAlignment="1">
      <alignment horizontal="center" vertical="center" wrapText="1"/>
    </xf>
    <xf numFmtId="1" fontId="3" fillId="0" borderId="7" xfId="0" applyNumberFormat="1" applyFont="1" applyBorder="1" applyAlignment="1">
      <alignment horizontal="center" vertical="center" wrapText="1"/>
    </xf>
    <xf numFmtId="2" fontId="3" fillId="0" borderId="7" xfId="0" applyNumberFormat="1" applyFont="1" applyBorder="1" applyAlignment="1">
      <alignment horizontal="center" vertical="center" wrapText="1"/>
    </xf>
    <xf numFmtId="0" fontId="3" fillId="0" borderId="0" xfId="0" applyFont="1" applyAlignment="1">
      <alignment horizontal="center" vertical="center" wrapText="1"/>
    </xf>
    <xf numFmtId="165" fontId="3" fillId="0" borderId="0" xfId="0" applyNumberFormat="1" applyFont="1"/>
    <xf numFmtId="3" fontId="3" fillId="0" borderId="0" xfId="0" applyNumberFormat="1" applyFont="1" applyAlignment="1">
      <alignment horizontal="center" vertical="center" wrapText="1"/>
    </xf>
    <xf numFmtId="0" fontId="3" fillId="0" borderId="10" xfId="0" applyFont="1" applyBorder="1" applyAlignment="1">
      <alignment horizontal="center" vertical="center" wrapText="1"/>
    </xf>
    <xf numFmtId="172" fontId="3" fillId="0" borderId="0" xfId="0" applyNumberFormat="1" applyFont="1" applyAlignment="1">
      <alignment horizontal="center"/>
    </xf>
    <xf numFmtId="172" fontId="3" fillId="0" borderId="0" xfId="0" applyNumberFormat="1" applyFont="1"/>
    <xf numFmtId="0" fontId="3" fillId="2" borderId="0" xfId="0" applyFont="1" applyFill="1" applyAlignment="1">
      <alignment vertical="top"/>
    </xf>
    <xf numFmtId="0" fontId="2" fillId="0" borderId="0" xfId="0" applyFont="1"/>
    <xf numFmtId="0" fontId="2" fillId="2" borderId="0" xfId="0" applyFont="1" applyFill="1" applyAlignment="1">
      <alignment vertical="top"/>
    </xf>
    <xf numFmtId="0" fontId="14" fillId="2" borderId="17" xfId="0" applyFont="1" applyFill="1" applyBorder="1" applyAlignment="1">
      <alignment horizontal="center"/>
    </xf>
    <xf numFmtId="0" fontId="14" fillId="2" borderId="15" xfId="0" applyFont="1" applyFill="1" applyBorder="1" applyAlignment="1">
      <alignment horizontal="center"/>
    </xf>
    <xf numFmtId="0" fontId="14" fillId="2" borderId="16" xfId="0" applyFont="1" applyFill="1" applyBorder="1" applyAlignment="1">
      <alignment horizontal="center"/>
    </xf>
    <xf numFmtId="0" fontId="22" fillId="0" borderId="0" xfId="0" applyFont="1" applyAlignment="1">
      <alignment horizontal="left" vertical="center" wrapText="1"/>
    </xf>
    <xf numFmtId="0" fontId="14" fillId="0" borderId="0" xfId="0" applyFont="1" applyAlignment="1">
      <alignment horizontal="left" wrapText="1"/>
    </xf>
    <xf numFmtId="0" fontId="13" fillId="0" borderId="18" xfId="0" applyFont="1" applyBorder="1" applyAlignment="1">
      <alignment horizontal="center"/>
    </xf>
    <xf numFmtId="0" fontId="14" fillId="0" borderId="19" xfId="0" applyFont="1" applyBorder="1" applyAlignment="1">
      <alignment horizontal="center"/>
    </xf>
    <xf numFmtId="0" fontId="22" fillId="0" borderId="0" xfId="0" applyFont="1" applyAlignment="1">
      <alignment horizontal="left" wrapText="1"/>
    </xf>
    <xf numFmtId="0" fontId="14" fillId="0" borderId="0" xfId="0" applyFont="1" applyAlignment="1">
      <alignment horizontal="left" vertical="top" wrapText="1"/>
    </xf>
    <xf numFmtId="0" fontId="3" fillId="0" borderId="0" xfId="0" applyFont="1" applyAlignment="1">
      <alignment horizontal="left" vertical="top" wrapText="1"/>
    </xf>
    <xf numFmtId="0" fontId="3" fillId="2" borderId="21" xfId="0" applyFont="1" applyFill="1" applyBorder="1" applyAlignment="1">
      <alignment horizontal="center" wrapText="1"/>
    </xf>
    <xf numFmtId="0" fontId="3" fillId="2" borderId="10" xfId="0" applyFont="1" applyFill="1" applyBorder="1" applyAlignment="1">
      <alignment horizontal="center" wrapText="1"/>
    </xf>
    <xf numFmtId="0" fontId="3" fillId="2" borderId="11" xfId="0" applyFont="1" applyFill="1" applyBorder="1" applyAlignment="1">
      <alignment horizontal="center" wrapText="1"/>
    </xf>
    <xf numFmtId="0" fontId="3" fillId="2" borderId="22" xfId="0" applyFont="1" applyFill="1" applyBorder="1" applyAlignment="1">
      <alignment horizontal="center" wrapText="1"/>
    </xf>
    <xf numFmtId="0" fontId="3" fillId="2" borderId="7" xfId="0" applyFont="1" applyFill="1" applyBorder="1" applyAlignment="1">
      <alignment horizontal="center" wrapText="1"/>
    </xf>
    <xf numFmtId="0" fontId="3" fillId="2" borderId="6" xfId="0" applyFont="1" applyFill="1" applyBorder="1" applyAlignment="1">
      <alignment horizontal="center" wrapText="1"/>
    </xf>
    <xf numFmtId="0" fontId="12" fillId="2" borderId="0" xfId="0" applyFont="1" applyFill="1" applyAlignment="1">
      <alignment horizontal="left" vertical="top" wrapText="1"/>
    </xf>
    <xf numFmtId="0" fontId="12" fillId="2" borderId="9"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17" xfId="0" applyFont="1" applyFill="1" applyBorder="1" applyAlignment="1">
      <alignment horizontal="center"/>
    </xf>
    <xf numFmtId="0" fontId="12" fillId="2" borderId="16" xfId="0" applyFont="1" applyFill="1" applyBorder="1" applyAlignment="1">
      <alignment horizontal="center"/>
    </xf>
    <xf numFmtId="0" fontId="6" fillId="2" borderId="17" xfId="0" applyFont="1" applyFill="1" applyBorder="1" applyAlignment="1">
      <alignment horizontal="center"/>
    </xf>
    <xf numFmtId="0" fontId="6" fillId="2" borderId="15" xfId="0" applyFont="1" applyFill="1" applyBorder="1" applyAlignment="1">
      <alignment horizontal="center"/>
    </xf>
    <xf numFmtId="0" fontId="6" fillId="2" borderId="16" xfId="0" applyFont="1" applyFill="1" applyBorder="1" applyAlignment="1">
      <alignment horizontal="center"/>
    </xf>
    <xf numFmtId="0" fontId="38" fillId="8" borderId="17" xfId="0" applyFont="1" applyFill="1" applyBorder="1" applyAlignment="1">
      <alignment horizontal="center"/>
    </xf>
    <xf numFmtId="0" fontId="38" fillId="8" borderId="16" xfId="0" applyFont="1" applyFill="1" applyBorder="1" applyAlignment="1">
      <alignment horizontal="center"/>
    </xf>
    <xf numFmtId="0" fontId="0" fillId="8" borderId="17" xfId="0" applyFill="1" applyBorder="1" applyAlignment="1">
      <alignment horizontal="center"/>
    </xf>
    <xf numFmtId="0" fontId="0" fillId="8" borderId="15" xfId="0" applyFill="1" applyBorder="1" applyAlignment="1">
      <alignment horizontal="center"/>
    </xf>
    <xf numFmtId="0" fontId="0" fillId="8" borderId="16" xfId="0" applyFill="1" applyBorder="1" applyAlignment="1">
      <alignment horizontal="center"/>
    </xf>
    <xf numFmtId="0" fontId="11" fillId="0" borderId="0" xfId="0" applyFont="1" applyAlignment="1">
      <alignment horizontal="left" vertical="top"/>
    </xf>
    <xf numFmtId="0" fontId="12" fillId="0" borderId="0" xfId="0" applyFont="1" applyAlignment="1">
      <alignment horizontal="left" vertical="top"/>
    </xf>
    <xf numFmtId="0" fontId="22" fillId="0" borderId="0" xfId="0" applyFont="1" applyAlignment="1">
      <alignment horizontal="left" vertical="top" wrapText="1"/>
    </xf>
    <xf numFmtId="0" fontId="2" fillId="0" borderId="0" xfId="0" applyFont="1" applyAlignment="1">
      <alignment horizontal="left" vertical="top" wrapText="1"/>
    </xf>
    <xf numFmtId="0" fontId="12" fillId="0" borderId="0" xfId="0" applyFont="1" applyAlignment="1">
      <alignment horizontal="left" vertical="top" wrapText="1"/>
    </xf>
    <xf numFmtId="0" fontId="22" fillId="0" borderId="0" xfId="0" applyFont="1" applyAlignment="1">
      <alignment horizontal="center" vertical="top"/>
    </xf>
    <xf numFmtId="0" fontId="22" fillId="0" borderId="0" xfId="0" applyFont="1" applyAlignment="1">
      <alignment horizontal="center" vertical="top" wrapText="1"/>
    </xf>
    <xf numFmtId="0" fontId="6" fillId="0" borderId="30" xfId="0" applyFont="1" applyBorder="1" applyAlignment="1">
      <alignment horizontal="center"/>
    </xf>
    <xf numFmtId="0" fontId="6" fillId="0" borderId="31" xfId="0" applyFont="1" applyBorder="1" applyAlignment="1">
      <alignment horizontal="center"/>
    </xf>
    <xf numFmtId="0" fontId="6" fillId="0" borderId="32" xfId="0" applyFon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6" fillId="0" borderId="0" xfId="0" applyFont="1" applyAlignment="1">
      <alignment horizontal="left" vertical="top" wrapText="1"/>
    </xf>
    <xf numFmtId="0" fontId="7" fillId="0" borderId="0" xfId="0" applyFont="1" applyAlignment="1">
      <alignment horizontal="left" vertical="top" wrapText="1"/>
    </xf>
    <xf numFmtId="0" fontId="20" fillId="0" borderId="0" xfId="0" applyFont="1" applyAlignment="1">
      <alignment horizontal="center"/>
    </xf>
    <xf numFmtId="0" fontId="6" fillId="0" borderId="18" xfId="0" applyFont="1" applyBorder="1" applyAlignment="1">
      <alignment horizontal="left"/>
    </xf>
    <xf numFmtId="0" fontId="6" fillId="0" borderId="19" xfId="0" applyFont="1" applyBorder="1" applyAlignment="1">
      <alignment horizontal="left"/>
    </xf>
    <xf numFmtId="0" fontId="6" fillId="0" borderId="0" xfId="0" quotePrefix="1" applyFont="1" applyAlignment="1">
      <alignment horizontal="left" vertical="top" wrapText="1"/>
    </xf>
    <xf numFmtId="0" fontId="12" fillId="0" borderId="0" xfId="0" quotePrefix="1" applyFont="1" applyAlignment="1">
      <alignment horizontal="left" vertical="top" wrapText="1"/>
    </xf>
    <xf numFmtId="0" fontId="4" fillId="0" borderId="0" xfId="0" applyFont="1" applyAlignment="1">
      <alignment horizontal="left" vertical="top" wrapText="1"/>
    </xf>
    <xf numFmtId="0" fontId="11" fillId="0" borderId="0" xfId="0" applyFont="1" applyAlignment="1">
      <alignment horizontal="left" vertical="top" wrapText="1"/>
    </xf>
    <xf numFmtId="0" fontId="20" fillId="0" borderId="0" xfId="0" applyFont="1" applyAlignment="1">
      <alignment horizontal="center" vertical="top"/>
    </xf>
    <xf numFmtId="0" fontId="7" fillId="0" borderId="18" xfId="0" applyFont="1" applyBorder="1" applyAlignment="1">
      <alignment horizontal="left"/>
    </xf>
    <xf numFmtId="0" fontId="7" fillId="0" borderId="19" xfId="0" applyFont="1" applyBorder="1" applyAlignment="1">
      <alignment horizontal="left"/>
    </xf>
    <xf numFmtId="0" fontId="7" fillId="0" borderId="0" xfId="0" quotePrefix="1" applyFont="1" applyAlignment="1">
      <alignment horizontal="left" vertical="top" wrapText="1"/>
    </xf>
    <xf numFmtId="0" fontId="7" fillId="0" borderId="23" xfId="0" applyFont="1" applyBorder="1" applyAlignment="1">
      <alignment horizontal="center"/>
    </xf>
    <xf numFmtId="0" fontId="8" fillId="0" borderId="0" xfId="0" applyFont="1" applyAlignment="1">
      <alignment horizontal="center"/>
    </xf>
    <xf numFmtId="0" fontId="9" fillId="0" borderId="23" xfId="0" applyFont="1" applyBorder="1" applyAlignment="1">
      <alignment horizontal="center"/>
    </xf>
    <xf numFmtId="0" fontId="12" fillId="0" borderId="0" xfId="0" applyFont="1" applyAlignment="1">
      <alignment horizontal="center"/>
    </xf>
    <xf numFmtId="0" fontId="7" fillId="0" borderId="0" xfId="0" applyFont="1" applyAlignment="1">
      <alignment horizontal="center"/>
    </xf>
    <xf numFmtId="0" fontId="9" fillId="0" borderId="18" xfId="0" applyFont="1" applyBorder="1" applyAlignment="1">
      <alignment horizontal="center"/>
    </xf>
    <xf numFmtId="0" fontId="12" fillId="0" borderId="19" xfId="0" applyFont="1" applyBorder="1" applyAlignment="1">
      <alignment horizontal="center"/>
    </xf>
    <xf numFmtId="0" fontId="11" fillId="2" borderId="0" xfId="0" applyFont="1" applyFill="1" applyAlignment="1">
      <alignment horizontal="left" vertical="top" wrapText="1"/>
    </xf>
    <xf numFmtId="0" fontId="12" fillId="2" borderId="15" xfId="0" applyFont="1" applyFill="1" applyBorder="1" applyAlignment="1">
      <alignment horizontal="center"/>
    </xf>
    <xf numFmtId="0" fontId="10" fillId="0" borderId="0" xfId="0" applyFont="1" applyAlignment="1">
      <alignment horizontal="left" vertical="top" wrapText="1"/>
    </xf>
    <xf numFmtId="0" fontId="38" fillId="4" borderId="0" xfId="0" applyFont="1" applyFill="1" applyAlignment="1">
      <alignment horizontal="left" vertical="top" wrapText="1"/>
    </xf>
    <xf numFmtId="0" fontId="11" fillId="0" borderId="23" xfId="0" applyFont="1" applyBorder="1" applyAlignment="1">
      <alignment horizontal="center"/>
    </xf>
    <xf numFmtId="0" fontId="1" fillId="2" borderId="0" xfId="0" applyFont="1" applyFill="1" applyAlignment="1">
      <alignment horizontal="left" vertical="top" wrapText="1"/>
    </xf>
  </cellXfs>
  <cellStyles count="5">
    <cellStyle name="Comma" xfId="2" builtinId="3"/>
    <cellStyle name="Currency" xfId="1" builtinId="4"/>
    <cellStyle name="Normal" xfId="0" builtinId="0"/>
    <cellStyle name="Normal 2" xfId="4" xr:uid="{54FB3A03-2C48-4940-A344-2591942BB14B}"/>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0</xdr:colOff>
      <xdr:row>26</xdr:row>
      <xdr:rowOff>0</xdr:rowOff>
    </xdr:from>
    <xdr:to>
      <xdr:col>2</xdr:col>
      <xdr:colOff>719667</xdr:colOff>
      <xdr:row>28</xdr:row>
      <xdr:rowOff>65590</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FE116ACA-E22F-4DA2-AD86-54B9F85E6EE6}"/>
                </a:ext>
              </a:extLst>
            </xdr:cNvPr>
            <xdr:cNvSpPr txBox="1"/>
          </xdr:nvSpPr>
          <xdr:spPr>
            <a:xfrm>
              <a:off x="825500" y="5334000"/>
              <a:ext cx="1545167" cy="46775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num>
                      <m:den>
                        <m:r>
                          <a:rPr lang="en-PH" sz="1100" i="1">
                            <a:solidFill>
                              <a:schemeClr val="tx1"/>
                            </a:solidFill>
                            <a:effectLst/>
                            <a:latin typeface="Cambria Math" panose="02040503050406030204" pitchFamily="18" charset="0"/>
                            <a:ea typeface="+mn-ea"/>
                            <a:cs typeface="+mn-cs"/>
                          </a:rPr>
                          <m:t>1−</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𝑅𝑒𝑚𝑎𝑖𝑛𝑖𝑛𝑔</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e>
                        </m:nary>
                      </m:den>
                    </m:f>
                  </m:oMath>
                </m:oMathPara>
              </a14:m>
              <a:endParaRPr lang="en-PH"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FE116ACA-E22F-4DA2-AD86-54B9F85E6EE6}"/>
                </a:ext>
              </a:extLst>
            </xdr:cNvPr>
            <xdr:cNvSpPr txBox="1"/>
          </xdr:nvSpPr>
          <xdr:spPr>
            <a:xfrm>
              <a:off x="825500" y="5334000"/>
              <a:ext cx="1545167" cy="46775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𝛼_𝑘=𝑋_(𝑘,𝑗)/(1−∑1_𝑅𝑒𝑚𝑎𝑖𝑛𝑖𝑛𝑔▒𝛽_𝑗 )</a:t>
              </a:r>
              <a:endParaRPr lang="en-PH" sz="1100">
                <a:solidFill>
                  <a:schemeClr val="tx1"/>
                </a:solidFill>
                <a:effectLst/>
                <a:latin typeface="+mn-lt"/>
                <a:ea typeface="+mn-ea"/>
                <a:cs typeface="+mn-cs"/>
              </a:endParaRPr>
            </a:p>
          </xdr:txBody>
        </xdr:sp>
      </mc:Fallback>
    </mc:AlternateContent>
    <xdr:clientData/>
  </xdr:twoCellAnchor>
  <xdr:oneCellAnchor>
    <xdr:from>
      <xdr:col>1</xdr:col>
      <xdr:colOff>0</xdr:colOff>
      <xdr:row>29</xdr:row>
      <xdr:rowOff>0</xdr:rowOff>
    </xdr:from>
    <xdr:ext cx="1416285" cy="36715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C861B42-BF67-4C6C-BBA9-ECC851BC909E}"/>
                </a:ext>
              </a:extLst>
            </xdr:cNvPr>
            <xdr:cNvSpPr txBox="1"/>
          </xdr:nvSpPr>
          <xdr:spPr>
            <a:xfrm>
              <a:off x="823913" y="5862638"/>
              <a:ext cx="1416285" cy="367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𝐶𝑢𝑚𝐿𝑜𝑠𝑠</m:t>
                            </m:r>
                          </m:e>
                          <m:sub>
                            <m:r>
                              <a:rPr lang="en-PH" sz="1100" i="1">
                                <a:solidFill>
                                  <a:schemeClr val="tx1"/>
                                </a:solidFill>
                                <a:effectLst/>
                                <a:latin typeface="Cambria Math" panose="02040503050406030204" pitchFamily="18" charset="0"/>
                                <a:ea typeface="+mn-ea"/>
                                <a:cs typeface="+mn-cs"/>
                              </a:rPr>
                              <m:t>𝐴𝑌</m:t>
                            </m:r>
                          </m:sub>
                        </m:sSub>
                      </m:num>
                      <m:den>
                        <m:r>
                          <a:rPr lang="en-PH" sz="1100" i="1">
                            <a:solidFill>
                              <a:schemeClr val="tx1"/>
                            </a:solidFill>
                            <a:effectLst/>
                            <a:latin typeface="Cambria Math" panose="02040503050406030204" pitchFamily="18" charset="0"/>
                            <a:ea typeface="+mn-ea"/>
                            <a:cs typeface="+mn-cs"/>
                          </a:rPr>
                          <m:t>1−</m:t>
                        </m:r>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𝑅𝑒𝑚𝑎𝑖𝑛𝑖𝑛𝑔</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𝑑𝑒𝑣</m:t>
                                </m:r>
                              </m:sub>
                            </m:sSub>
                          </m:e>
                        </m:nary>
                      </m:den>
                    </m:f>
                  </m:oMath>
                </m:oMathPara>
              </a14:m>
              <a:endParaRPr lang="en-US" sz="1100">
                <a:solidFill>
                  <a:schemeClr val="tx1"/>
                </a:solidFill>
              </a:endParaRPr>
            </a:p>
          </xdr:txBody>
        </xdr:sp>
      </mc:Choice>
      <mc:Fallback xmlns="">
        <xdr:sp macro="" textlink="">
          <xdr:nvSpPr>
            <xdr:cNvPr id="3" name="TextBox 2">
              <a:extLst>
                <a:ext uri="{FF2B5EF4-FFF2-40B4-BE49-F238E27FC236}">
                  <a16:creationId xmlns:a16="http://schemas.microsoft.com/office/drawing/2014/main" id="{5C861B42-BF67-4C6C-BBA9-ECC851BC909E}"/>
                </a:ext>
              </a:extLst>
            </xdr:cNvPr>
            <xdr:cNvSpPr txBox="1"/>
          </xdr:nvSpPr>
          <xdr:spPr>
            <a:xfrm>
              <a:off x="823913" y="5862638"/>
              <a:ext cx="1416285" cy="3671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𝛼_𝐴𝑌=〖𝐶𝑢𝑚𝐿𝑜𝑠𝑠〗_𝐴𝑌/(1−∑1_𝑅𝑒𝑚𝑎𝑖𝑛𝑖𝑛𝑔▒𝛽_𝑑𝑒𝑣 )</a:t>
              </a:r>
              <a:endParaRPr lang="en-US" sz="1100">
                <a:solidFill>
                  <a:schemeClr val="tx1"/>
                </a:solidFill>
              </a:endParaRPr>
            </a:p>
          </xdr:txBody>
        </xdr:sp>
      </mc:Fallback>
    </mc:AlternateContent>
    <xdr:clientData/>
  </xdr:oneCellAnchor>
  <xdr:twoCellAnchor>
    <xdr:from>
      <xdr:col>4</xdr:col>
      <xdr:colOff>1</xdr:colOff>
      <xdr:row>26</xdr:row>
      <xdr:rowOff>0</xdr:rowOff>
    </xdr:from>
    <xdr:to>
      <xdr:col>5</xdr:col>
      <xdr:colOff>518583</xdr:colOff>
      <xdr:row>28</xdr:row>
      <xdr:rowOff>101112</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95048298-C40E-4A3C-A3AE-39845507E4DC}"/>
                </a:ext>
              </a:extLst>
            </xdr:cNvPr>
            <xdr:cNvSpPr txBox="1"/>
          </xdr:nvSpPr>
          <xdr:spPr>
            <a:xfrm>
              <a:off x="3302001" y="5334000"/>
              <a:ext cx="1344082" cy="5032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nary>
                          <m:naryPr>
                            <m:chr m:val="∑"/>
                            <m:limLoc m:val="undOvr"/>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𝑘</m:t>
                            </m:r>
                          </m:sub>
                          <m:sup>
                            <m:r>
                              <a:rPr lang="en-PH" sz="1100" i="1">
                                <a:solidFill>
                                  <a:schemeClr val="tx1"/>
                                </a:solidFill>
                                <a:effectLst/>
                                <a:latin typeface="Cambria Math" panose="02040503050406030204" pitchFamily="18" charset="0"/>
                                <a:ea typeface="+mn-ea"/>
                                <a:cs typeface="+mn-cs"/>
                              </a:rPr>
                              <m:t>𝐶𝑜𝑙𝑢𝑚𝑛</m:t>
                            </m:r>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nary>
                      </m:num>
                      <m:den>
                        <m:nary>
                          <m:naryPr>
                            <m:chr m:val="∑"/>
                            <m:limLoc m:val="undOvr"/>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𝑘</m:t>
                            </m:r>
                          </m:sub>
                          <m:sup>
                            <m:r>
                              <a:rPr lang="en-PH" sz="1100" i="1">
                                <a:solidFill>
                                  <a:schemeClr val="tx1"/>
                                </a:solidFill>
                                <a:effectLst/>
                                <a:latin typeface="Cambria Math" panose="02040503050406030204" pitchFamily="18" charset="0"/>
                                <a:ea typeface="+mn-ea"/>
                                <a:cs typeface="+mn-cs"/>
                              </a:rPr>
                              <m:t>𝐶𝑜𝑙𝑢𝑚𝑛</m:t>
                            </m:r>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nary>
                      </m:den>
                    </m:f>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95048298-C40E-4A3C-A3AE-39845507E4DC}"/>
                </a:ext>
              </a:extLst>
            </xdr:cNvPr>
            <xdr:cNvSpPr txBox="1"/>
          </xdr:nvSpPr>
          <xdr:spPr>
            <a:xfrm>
              <a:off x="3302001" y="5334000"/>
              <a:ext cx="1344082" cy="50327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Cambria Math" panose="02040503050406030204" pitchFamily="18" charset="0"/>
                  <a:ea typeface="+mn-ea"/>
                  <a:cs typeface="+mn-cs"/>
                </a:rPr>
                <a:t>𝛽_𝑗=(∑1_𝑘^𝐶𝑜𝑙𝑢𝑚𝑛▒𝑌_(𝑘,𝑗) )/(∑1_𝑘^𝐶𝑜𝑙𝑢𝑚𝑛▒𝛼_(𝑘,𝑗) )</a:t>
              </a:r>
              <a:endParaRPr lang="en-PH" sz="1100">
                <a:solidFill>
                  <a:schemeClr val="tx1"/>
                </a:solidFill>
                <a:effectLst/>
                <a:latin typeface="+mn-lt"/>
                <a:ea typeface="+mn-ea"/>
                <a:cs typeface="+mn-cs"/>
              </a:endParaRPr>
            </a:p>
          </xdr:txBody>
        </xdr:sp>
      </mc:Fallback>
    </mc:AlternateContent>
    <xdr:clientData/>
  </xdr:twoCellAnchor>
  <xdr:oneCellAnchor>
    <xdr:from>
      <xdr:col>4</xdr:col>
      <xdr:colOff>0</xdr:colOff>
      <xdr:row>29</xdr:row>
      <xdr:rowOff>0</xdr:rowOff>
    </xdr:from>
    <xdr:ext cx="1590115" cy="36625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D0EE9BD-645A-4719-9A78-9CF5E7E683F1}"/>
                </a:ext>
              </a:extLst>
            </xdr:cNvPr>
            <xdr:cNvSpPr txBox="1"/>
          </xdr:nvSpPr>
          <xdr:spPr>
            <a:xfrm>
              <a:off x="3297115" y="5898173"/>
              <a:ext cx="1590115"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𝑑𝑒𝑣</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𝐶𝑜𝑙𝑢𝑚𝑛</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nary>
                      </m:num>
                      <m:den>
                        <m:nary>
                          <m:naryPr>
                            <m:chr m:val="∑"/>
                            <m:limLoc m:val="undOvr"/>
                            <m:supHide m:val="on"/>
                            <m:ctrlPr>
                              <a:rPr lang="en-PH" sz="1100" i="1">
                                <a:solidFill>
                                  <a:schemeClr val="tx1"/>
                                </a:solidFill>
                                <a:effectLst/>
                                <a:latin typeface="Cambria Math" panose="02040503050406030204" pitchFamily="18" charset="0"/>
                                <a:ea typeface="+mn-ea"/>
                                <a:cs typeface="+mn-cs"/>
                              </a:rPr>
                            </m:ctrlPr>
                          </m:naryPr>
                          <m:sub>
                            <m:r>
                              <a:rPr lang="en-PH" sz="1100" i="1">
                                <a:solidFill>
                                  <a:schemeClr val="tx1"/>
                                </a:solidFill>
                                <a:effectLst/>
                                <a:latin typeface="Cambria Math" panose="02040503050406030204" pitchFamily="18" charset="0"/>
                                <a:ea typeface="+mn-ea"/>
                                <a:cs typeface="+mn-cs"/>
                              </a:rPr>
                              <m:t>𝐶𝑜𝑙𝑢𝑚𝑛</m:t>
                            </m: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nary>
                      </m:den>
                    </m:f>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7D0EE9BD-645A-4719-9A78-9CF5E7E683F1}"/>
                </a:ext>
              </a:extLst>
            </xdr:cNvPr>
            <xdr:cNvSpPr txBox="1"/>
          </xdr:nvSpPr>
          <xdr:spPr>
            <a:xfrm>
              <a:off x="3297115" y="5898173"/>
              <a:ext cx="1590115" cy="366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𝛽_𝑑𝑒𝑣=(∑1_𝐶𝑜𝑙𝑢𝑚𝑛▒〖𝐼𝑛𝑐𝐿𝑜𝑠𝑠〗_(𝐴𝑌,𝑑𝑒𝑣) )/(∑1_𝐶𝑜𝑙𝑢𝑚𝑛▒𝛼_(𝐴𝑌,𝑑𝑒𝑣) )</a:t>
              </a:r>
              <a:endParaRPr lang="en-US" sz="1100">
                <a:solidFill>
                  <a:schemeClr val="tx1"/>
                </a:solidFill>
              </a:endParaRPr>
            </a:p>
          </xdr:txBody>
        </xdr:sp>
      </mc:Fallback>
    </mc:AlternateContent>
    <xdr:clientData/>
  </xdr:oneCellAnchor>
  <xdr:twoCellAnchor>
    <xdr:from>
      <xdr:col>1</xdr:col>
      <xdr:colOff>222250</xdr:colOff>
      <xdr:row>43</xdr:row>
      <xdr:rowOff>95250</xdr:rowOff>
    </xdr:from>
    <xdr:to>
      <xdr:col>2</xdr:col>
      <xdr:colOff>628098</xdr:colOff>
      <xdr:row>44</xdr:row>
      <xdr:rowOff>182188</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1035FF53-F4E9-4F2D-873C-26F23712A12C}"/>
                </a:ext>
              </a:extLst>
            </xdr:cNvPr>
            <xdr:cNvSpPr txBox="1"/>
          </xdr:nvSpPr>
          <xdr:spPr>
            <a:xfrm>
              <a:off x="1047750" y="8921750"/>
              <a:ext cx="1231348" cy="2880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1035FF53-F4E9-4F2D-873C-26F23712A12C}"/>
                </a:ext>
              </a:extLst>
            </xdr:cNvPr>
            <xdr:cNvSpPr txBox="1"/>
          </xdr:nvSpPr>
          <xdr:spPr>
            <a:xfrm>
              <a:off x="1047750" y="8921750"/>
              <a:ext cx="1231348" cy="2880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E[𝑌_(𝑘,𝑗) ]=𝛼_</a:t>
              </a:r>
              <a:r>
                <a:rPr lang="en-US" sz="1100" b="0" i="0">
                  <a:solidFill>
                    <a:schemeClr val="tx1"/>
                  </a:solidFill>
                  <a:effectLst/>
                  <a:latin typeface="Cambria Math" panose="02040503050406030204" pitchFamily="18" charset="0"/>
                  <a:ea typeface="+mn-ea"/>
                  <a:cs typeface="+mn-cs"/>
                </a:rPr>
                <a:t>𝑘</a:t>
              </a:r>
              <a:r>
                <a:rPr lang="en-PH" sz="1100" i="0">
                  <a:solidFill>
                    <a:schemeClr val="tx1"/>
                  </a:solidFill>
                  <a:effectLst/>
                  <a:latin typeface="Cambria Math" panose="02040503050406030204" pitchFamily="18" charset="0"/>
                  <a:ea typeface="+mn-ea"/>
                  <a:cs typeface="+mn-cs"/>
                </a:rPr>
                <a:t>×𝛽_𝑗</a:t>
              </a:r>
              <a:endParaRPr lang="en-PH" sz="1100">
                <a:solidFill>
                  <a:schemeClr val="tx1"/>
                </a:solidFill>
                <a:effectLst/>
                <a:latin typeface="+mn-lt"/>
                <a:ea typeface="+mn-ea"/>
                <a:cs typeface="+mn-cs"/>
              </a:endParaRPr>
            </a:p>
          </xdr:txBody>
        </xdr:sp>
      </mc:Fallback>
    </mc:AlternateContent>
    <xdr:clientData/>
  </xdr:twoCellAnchor>
  <xdr:oneCellAnchor>
    <xdr:from>
      <xdr:col>3</xdr:col>
      <xdr:colOff>571500</xdr:colOff>
      <xdr:row>43</xdr:row>
      <xdr:rowOff>127000</xdr:rowOff>
    </xdr:from>
    <xdr:ext cx="1716239" cy="19107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20F3919-5771-452C-A776-012775FF7506}"/>
                </a:ext>
              </a:extLst>
            </xdr:cNvPr>
            <xdr:cNvSpPr txBox="1"/>
          </xdr:nvSpPr>
          <xdr:spPr>
            <a:xfrm>
              <a:off x="3048000" y="8953500"/>
              <a:ext cx="171623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𝑑𝑒𝑣</m:t>
                        </m:r>
                      </m:sub>
                    </m:sSub>
                  </m:oMath>
                </m:oMathPara>
              </a14:m>
              <a:endParaRPr lang="en-US" sz="1100">
                <a:solidFill>
                  <a:schemeClr val="tx1"/>
                </a:solidFill>
              </a:endParaRPr>
            </a:p>
          </xdr:txBody>
        </xdr:sp>
      </mc:Choice>
      <mc:Fallback xmlns="">
        <xdr:sp macro="" textlink="">
          <xdr:nvSpPr>
            <xdr:cNvPr id="7" name="TextBox 6">
              <a:extLst>
                <a:ext uri="{FF2B5EF4-FFF2-40B4-BE49-F238E27FC236}">
                  <a16:creationId xmlns:a16="http://schemas.microsoft.com/office/drawing/2014/main" id="{520F3919-5771-452C-A776-012775FF7506}"/>
                </a:ext>
              </a:extLst>
            </xdr:cNvPr>
            <xdr:cNvSpPr txBox="1"/>
          </xdr:nvSpPr>
          <xdr:spPr>
            <a:xfrm>
              <a:off x="3048000" y="8953500"/>
              <a:ext cx="171623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E[〖𝐼𝑛𝑐𝐿𝑜𝑠𝑠〗_(𝐴𝑌,𝑑𝑒𝑣) ]=𝛼_𝐴𝑌×𝛽_𝑑𝑒𝑣</a:t>
              </a:r>
              <a:endParaRPr lang="en-US" sz="1100">
                <a:solidFill>
                  <a:schemeClr val="tx1"/>
                </a:solidFill>
              </a:endParaRP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2</xdr:col>
      <xdr:colOff>836578</xdr:colOff>
      <xdr:row>112</xdr:row>
      <xdr:rowOff>102536</xdr:rowOff>
    </xdr:from>
    <xdr:ext cx="1252587" cy="18024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480894" y="25754865"/>
              <a:ext cx="1252587" cy="180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acc>
                      <m:accPr>
                        <m:chr m:val="̂"/>
                        <m:ctrlPr>
                          <a:rPr lang="en-US" sz="1100" b="0" i="1">
                            <a:latin typeface="Cambria Math" panose="02040503050406030204" pitchFamily="18" charset="0"/>
                          </a:rPr>
                        </m:ctrlPr>
                      </m:accPr>
                      <m:e>
                        <m:sSup>
                          <m:sSupPr>
                            <m:ctrlPr>
                              <a:rPr lang="en-US" sz="1100" b="0" i="1">
                                <a:latin typeface="Cambria Math" panose="02040503050406030204" pitchFamily="18" charset="0"/>
                              </a:rPr>
                            </m:ctrlPr>
                          </m:sSupPr>
                          <m:e>
                            <m:r>
                              <a:rPr lang="en-US" sz="1100" b="0" i="1">
                                <a:latin typeface="Cambria Math" panose="02040503050406030204" pitchFamily="18" charset="0"/>
                              </a:rPr>
                              <m:t>𝑌</m:t>
                            </m:r>
                          </m:e>
                          <m:sup>
                            <m:r>
                              <a:rPr lang="en-US" sz="1100" b="0" i="1">
                                <a:latin typeface="Cambria Math" panose="02040503050406030204" pitchFamily="18" charset="0"/>
                              </a:rPr>
                              <m:t>∗</m:t>
                            </m:r>
                          </m:sup>
                        </m:sSup>
                      </m:e>
                    </m:acc>
                    <m:r>
                      <a:rPr lang="en-US" sz="1100" b="0" i="1">
                        <a:latin typeface="Cambria Math" panose="02040503050406030204" pitchFamily="18" charset="0"/>
                      </a:rPr>
                      <m:t>=</m:t>
                    </m:r>
                    <m:sSup>
                      <m:sSupPr>
                        <m:ctrlPr>
                          <a:rPr lang="el-GR" sz="1100" b="0" i="1">
                            <a:latin typeface="Cambria Math" panose="02040503050406030204" pitchFamily="18" charset="0"/>
                          </a:rPr>
                        </m:ctrlPr>
                      </m:sSupPr>
                      <m:e>
                        <m:r>
                          <m:rPr>
                            <m:sty m:val="p"/>
                          </m:rPr>
                          <a:rPr lang="el-GR" sz="1100" b="0" i="1">
                            <a:latin typeface="Cambria Math" panose="02040503050406030204" pitchFamily="18" charset="0"/>
                          </a:rPr>
                          <m:t>μ</m:t>
                        </m:r>
                      </m:e>
                      <m:sup>
                        <m:r>
                          <a:rPr lang="en-US" sz="1100" b="0" i="1">
                            <a:latin typeface="Cambria Math" panose="02040503050406030204" pitchFamily="18" charset="0"/>
                          </a:rPr>
                          <m:t>∗</m:t>
                        </m:r>
                      </m:sup>
                    </m:sSup>
                    <m:r>
                      <a:rPr lang="en-US" sz="1100" b="0" i="1">
                        <a:latin typeface="Cambria Math" panose="02040503050406030204" pitchFamily="18" charset="0"/>
                      </a:rPr>
                      <m:t>=</m:t>
                    </m:r>
                    <m:sSup>
                      <m:sSupPr>
                        <m:ctrlPr>
                          <a:rPr lang="en-US" sz="1100" b="0" i="1">
                            <a:latin typeface="Cambria Math" panose="02040503050406030204" pitchFamily="18" charset="0"/>
                          </a:rPr>
                        </m:ctrlPr>
                      </m:sSupPr>
                      <m:e>
                        <m:r>
                          <a:rPr lang="en-US" sz="1100" b="0" i="1">
                            <a:latin typeface="Cambria Math" panose="02040503050406030204" pitchFamily="18" charset="0"/>
                          </a:rPr>
                          <m:t>ℎ</m:t>
                        </m:r>
                      </m:e>
                      <m:sup>
                        <m:r>
                          <a:rPr lang="en-US" sz="1100" b="0" i="1">
                            <a:latin typeface="Cambria Math" panose="02040503050406030204" pitchFamily="18" charset="0"/>
                          </a:rPr>
                          <m:t>−1</m:t>
                        </m:r>
                      </m:sup>
                    </m:sSup>
                    <m:d>
                      <m:dPr>
                        <m:ctrlPr>
                          <a:rPr lang="en-US" sz="1100" b="0" i="1">
                            <a:latin typeface="Cambria Math" panose="02040503050406030204" pitchFamily="18" charset="0"/>
                          </a:rPr>
                        </m:ctrlPr>
                      </m:dPr>
                      <m:e>
                        <m:sSup>
                          <m:sSupPr>
                            <m:ctrlPr>
                              <a:rPr lang="en-US" sz="1100" b="0" i="1">
                                <a:latin typeface="Cambria Math" panose="02040503050406030204" pitchFamily="18" charset="0"/>
                              </a:rPr>
                            </m:ctrlPr>
                          </m:sSupPr>
                          <m:e>
                            <m:r>
                              <a:rPr lang="en-US" sz="1100" b="0" i="1">
                                <a:latin typeface="Cambria Math" panose="02040503050406030204" pitchFamily="18" charset="0"/>
                              </a:rPr>
                              <m:t>𝑋</m:t>
                            </m:r>
                          </m:e>
                          <m:sup>
                            <m:r>
                              <a:rPr lang="en-US" sz="1100" b="0" i="1">
                                <a:latin typeface="Cambria Math" panose="02040503050406030204" pitchFamily="18" charset="0"/>
                              </a:rPr>
                              <m:t>∗</m:t>
                            </m:r>
                          </m:sup>
                        </m:sSup>
                        <m:r>
                          <m:rPr>
                            <m:sty m:val="p"/>
                          </m:rPr>
                          <a:rPr lang="el-GR" sz="1100" b="0" i="1">
                            <a:latin typeface="Cambria Math" panose="02040503050406030204" pitchFamily="18" charset="0"/>
                          </a:rPr>
                          <m:t>β</m:t>
                        </m:r>
                      </m:e>
                    </m:d>
                  </m:oMath>
                </m:oMathPara>
              </a14:m>
              <a:endParaRPr lang="en-US" sz="1100"/>
            </a:p>
          </xdr:txBody>
        </xdr:sp>
      </mc:Choice>
      <mc:Fallback xmlns="">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480894" y="25754865"/>
              <a:ext cx="1252587" cy="1802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𝑌^∗ ) ̂=</a:t>
              </a:r>
              <a:r>
                <a:rPr lang="el-GR" sz="1100" b="0" i="0">
                  <a:latin typeface="Cambria Math" panose="02040503050406030204" pitchFamily="18" charset="0"/>
                </a:rPr>
                <a:t>μ</a:t>
              </a:r>
              <a:r>
                <a:rPr lang="en-US" sz="1100" b="0" i="0">
                  <a:latin typeface="Cambria Math" panose="02040503050406030204" pitchFamily="18" charset="0"/>
                </a:rPr>
                <a:t>^∗=ℎ^(−1) (𝑋^∗</a:t>
              </a:r>
              <a:r>
                <a:rPr lang="el-GR" sz="1100" b="0" i="0">
                  <a:latin typeface="Cambria Math" panose="02040503050406030204" pitchFamily="18" charset="0"/>
                </a:rPr>
                <a:t> β)</a:t>
              </a:r>
              <a:endParaRPr lang="en-US" sz="1100"/>
            </a:p>
          </xdr:txBody>
        </xdr:sp>
      </mc:Fallback>
    </mc:AlternateContent>
    <xdr:clientData/>
  </xdr:oneCellAnchor>
  <xdr:oneCellAnchor>
    <xdr:from>
      <xdr:col>2</xdr:col>
      <xdr:colOff>517708</xdr:colOff>
      <xdr:row>116</xdr:row>
      <xdr:rowOff>57633</xdr:rowOff>
    </xdr:from>
    <xdr:ext cx="2504667" cy="1994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162024" y="26512068"/>
              <a:ext cx="2504667" cy="199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acc>
                      <m:accPr>
                        <m:chr m:val="̂"/>
                        <m:ctrlPr>
                          <a:rPr lang="en-US" sz="1100" b="0" i="1">
                            <a:latin typeface="Cambria Math" panose="02040503050406030204" pitchFamily="18" charset="0"/>
                          </a:rPr>
                        </m:ctrlPr>
                      </m:accPr>
                      <m:e>
                        <m:sSubSup>
                          <m:sSubSupPr>
                            <m:ctrlPr>
                              <a:rPr lang="en-US" sz="1100" b="0" i="1">
                                <a:latin typeface="Cambria Math" panose="02040503050406030204" pitchFamily="18" charset="0"/>
                              </a:rPr>
                            </m:ctrlPr>
                          </m:sSubSupPr>
                          <m:e>
                            <m:r>
                              <a:rPr lang="en-US" sz="1100" b="0" i="1">
                                <a:latin typeface="Cambria Math" panose="02040503050406030204" pitchFamily="18" charset="0"/>
                              </a:rPr>
                              <m:t>𝑌</m:t>
                            </m:r>
                          </m:e>
                          <m:sub>
                            <m:r>
                              <a:rPr lang="en-US" sz="1100" b="0" i="1">
                                <a:latin typeface="Cambria Math" panose="02040503050406030204" pitchFamily="18" charset="0"/>
                              </a:rPr>
                              <m:t>2,4</m:t>
                            </m:r>
                          </m:sub>
                          <m:sup>
                            <m:r>
                              <a:rPr lang="en-US" sz="1100" b="0" i="1">
                                <a:latin typeface="Cambria Math" panose="02040503050406030204" pitchFamily="18" charset="0"/>
                              </a:rPr>
                              <m:t>∗</m:t>
                            </m:r>
                          </m:sup>
                        </m:sSubSup>
                      </m:e>
                    </m:acc>
                    <m:r>
                      <a:rPr lang="en-US" sz="1100" b="0" i="1">
                        <a:latin typeface="Cambria Math" panose="02040503050406030204" pitchFamily="18" charset="0"/>
                      </a:rPr>
                      <m:t>=</m:t>
                    </m:r>
                    <m:sSubSup>
                      <m:sSubSupPr>
                        <m:ctrlPr>
                          <a:rPr lang="el-GR" sz="1100" b="0" i="1">
                            <a:latin typeface="Cambria Math" panose="02040503050406030204" pitchFamily="18" charset="0"/>
                          </a:rPr>
                        </m:ctrlPr>
                      </m:sSubSupPr>
                      <m:e>
                        <m:r>
                          <m:rPr>
                            <m:sty m:val="p"/>
                          </m:rPr>
                          <a:rPr lang="el-GR" sz="1100" b="0" i="1">
                            <a:latin typeface="Cambria Math" panose="02040503050406030204" pitchFamily="18" charset="0"/>
                          </a:rPr>
                          <m:t>μ</m:t>
                        </m:r>
                      </m:e>
                      <m:sub>
                        <m:r>
                          <a:rPr lang="en-US" sz="1100" b="0" i="1">
                            <a:latin typeface="Cambria Math" panose="02040503050406030204" pitchFamily="18" charset="0"/>
                          </a:rPr>
                          <m:t>2,4</m:t>
                        </m:r>
                      </m:sub>
                      <m:sup>
                        <m:r>
                          <a:rPr lang="en-US" sz="1100" b="0" i="1">
                            <a:latin typeface="Cambria Math" panose="02040503050406030204" pitchFamily="18" charset="0"/>
                          </a:rPr>
                          <m:t>∗</m:t>
                        </m:r>
                      </m:sup>
                    </m:sSubSup>
                    <m:r>
                      <a:rPr lang="en-US" sz="1100" b="0" i="0">
                        <a:latin typeface="Cambria Math" panose="02040503050406030204" pitchFamily="18" charset="0"/>
                      </a:rPr>
                      <m:t>=</m:t>
                    </m:r>
                    <m:r>
                      <m:rPr>
                        <m:sty m:val="p"/>
                      </m:rPr>
                      <a:rPr lang="en-US" sz="1100" b="0" i="0">
                        <a:latin typeface="Cambria Math" panose="02040503050406030204" pitchFamily="18" charset="0"/>
                      </a:rPr>
                      <m:t>exp</m:t>
                    </m:r>
                    <m:d>
                      <m:dPr>
                        <m:ctrlPr>
                          <a:rPr lang="en-US" sz="1100" b="0" i="0">
                            <a:latin typeface="Cambria Math" panose="02040503050406030204" pitchFamily="18" charset="0"/>
                          </a:rPr>
                        </m:ctrlPr>
                      </m:dPr>
                      <m:e>
                        <m:r>
                          <m:rPr>
                            <m:sty m:val="p"/>
                          </m:rPr>
                          <a:rPr lang="en-US" sz="1100" b="0" i="0">
                            <a:latin typeface="Cambria Math" panose="02040503050406030204" pitchFamily="18" charset="0"/>
                          </a:rPr>
                          <m:t>ln</m:t>
                        </m:r>
                        <m:r>
                          <a:rPr lang="en-US" sz="1100" b="0" i="0">
                            <a:latin typeface="Cambria Math" panose="02040503050406030204" pitchFamily="18" charset="0"/>
                          </a:rPr>
                          <m:t> </m:t>
                        </m:r>
                        <m:sSub>
                          <m:sSubPr>
                            <m:ctrlPr>
                              <a:rPr lang="el-GR" sz="1100" b="0" i="1">
                                <a:latin typeface="Cambria Math" panose="02040503050406030204" pitchFamily="18" charset="0"/>
                              </a:rPr>
                            </m:ctrlPr>
                          </m:sSubPr>
                          <m:e>
                            <m:r>
                              <m:rPr>
                                <m:sty m:val="p"/>
                              </m:rPr>
                              <a:rPr lang="el-GR" sz="1100" b="0" i="1">
                                <a:latin typeface="Cambria Math" panose="02040503050406030204" pitchFamily="18" charset="0"/>
                              </a:rPr>
                              <m:t>α</m:t>
                            </m:r>
                          </m:e>
                          <m:sub>
                            <m:r>
                              <a:rPr lang="en-US" sz="1100" b="0" i="1">
                                <a:latin typeface="Cambria Math" panose="02040503050406030204" pitchFamily="18" charset="0"/>
                              </a:rPr>
                              <m:t>2</m:t>
                            </m:r>
                          </m:sub>
                        </m:sSub>
                        <m:r>
                          <a:rPr lang="en-US" sz="1100" b="0" i="1">
                            <a:latin typeface="Cambria Math" panose="02040503050406030204" pitchFamily="18" charset="0"/>
                          </a:rPr>
                          <m:t>+</m:t>
                        </m:r>
                        <m:r>
                          <a:rPr lang="en-US" sz="1100" b="0" i="1">
                            <a:latin typeface="Cambria Math" panose="02040503050406030204" pitchFamily="18" charset="0"/>
                          </a:rPr>
                          <m:t>𝑙𝑛</m:t>
                        </m:r>
                        <m:sSub>
                          <m:sSubPr>
                            <m:ctrlPr>
                              <a:rPr lang="el-GR" sz="1100" b="0" i="1">
                                <a:latin typeface="Cambria Math" panose="02040503050406030204" pitchFamily="18" charset="0"/>
                              </a:rPr>
                            </m:ctrlPr>
                          </m:sSubPr>
                          <m:e>
                            <m:r>
                              <m:rPr>
                                <m:sty m:val="p"/>
                              </m:rPr>
                              <a:rPr lang="el-GR" sz="1100" b="0" i="1">
                                <a:latin typeface="Cambria Math" panose="02040503050406030204" pitchFamily="18" charset="0"/>
                              </a:rPr>
                              <m:t>β</m:t>
                            </m:r>
                          </m:e>
                          <m:sub>
                            <m:r>
                              <a:rPr lang="en-US" sz="1100" b="0" i="1">
                                <a:latin typeface="Cambria Math" panose="02040503050406030204" pitchFamily="18" charset="0"/>
                              </a:rPr>
                              <m:t>4</m:t>
                            </m:r>
                          </m:sub>
                        </m:sSub>
                      </m:e>
                    </m:d>
                    <m:r>
                      <a:rPr lang="en-US" sz="1100" b="0" i="1">
                        <a:latin typeface="Cambria Math" panose="02040503050406030204" pitchFamily="18" charset="0"/>
                      </a:rPr>
                      <m:t>=</m:t>
                    </m:r>
                    <m:sSub>
                      <m:sSubPr>
                        <m:ctrlPr>
                          <a:rPr lang="el-GR" sz="1100" b="0" i="1">
                            <a:solidFill>
                              <a:schemeClr val="tx1"/>
                            </a:solidFill>
                            <a:effectLst/>
                            <a:latin typeface="Cambria Math" panose="02040503050406030204" pitchFamily="18" charset="0"/>
                            <a:ea typeface="+mn-ea"/>
                            <a:cs typeface="+mn-cs"/>
                          </a:rPr>
                        </m:ctrlPr>
                      </m:sSubPr>
                      <m:e>
                        <m:r>
                          <m:rPr>
                            <m:sty m:val="p"/>
                          </m:rPr>
                          <a:rPr lang="el-GR" sz="1100" b="0" i="1">
                            <a:solidFill>
                              <a:schemeClr val="tx1"/>
                            </a:solidFill>
                            <a:effectLst/>
                            <a:latin typeface="Cambria Math" panose="02040503050406030204" pitchFamily="18" charset="0"/>
                            <a:ea typeface="+mn-ea"/>
                            <a:cs typeface="+mn-cs"/>
                          </a:rPr>
                          <m:t>α</m:t>
                        </m:r>
                      </m:e>
                      <m:sub>
                        <m:r>
                          <a:rPr lang="en-US" sz="1100" b="0" i="1">
                            <a:solidFill>
                              <a:schemeClr val="tx1"/>
                            </a:solidFill>
                            <a:effectLst/>
                            <a:latin typeface="Cambria Math" panose="02040503050406030204" pitchFamily="18" charset="0"/>
                            <a:ea typeface="+mn-ea"/>
                            <a:cs typeface="+mn-cs"/>
                          </a:rPr>
                          <m:t>2</m:t>
                        </m:r>
                      </m:sub>
                    </m:sSub>
                    <m:sSub>
                      <m:sSubPr>
                        <m:ctrlPr>
                          <a:rPr lang="el-GR" sz="1100" b="0" i="1">
                            <a:solidFill>
                              <a:schemeClr val="tx1"/>
                            </a:solidFill>
                            <a:effectLst/>
                            <a:latin typeface="Cambria Math" panose="02040503050406030204" pitchFamily="18" charset="0"/>
                            <a:ea typeface="+mn-ea"/>
                            <a:cs typeface="+mn-cs"/>
                          </a:rPr>
                        </m:ctrlPr>
                      </m:sSubPr>
                      <m:e>
                        <m:r>
                          <m:rPr>
                            <m:sty m:val="p"/>
                          </m:rPr>
                          <a:rPr lang="el-GR" sz="1100" b="0" i="1">
                            <a:solidFill>
                              <a:schemeClr val="tx1"/>
                            </a:solidFill>
                            <a:effectLst/>
                            <a:latin typeface="Cambria Math" panose="02040503050406030204" pitchFamily="18" charset="0"/>
                            <a:ea typeface="+mn-ea"/>
                            <a:cs typeface="+mn-cs"/>
                          </a:rPr>
                          <m:t>β</m:t>
                        </m:r>
                      </m:e>
                      <m:sub>
                        <m:r>
                          <a:rPr lang="en-US" sz="1100" b="0" i="1">
                            <a:solidFill>
                              <a:schemeClr val="tx1"/>
                            </a:solidFill>
                            <a:effectLst/>
                            <a:latin typeface="Cambria Math" panose="02040503050406030204" pitchFamily="18" charset="0"/>
                            <a:ea typeface="+mn-ea"/>
                            <a:cs typeface="+mn-cs"/>
                          </a:rPr>
                          <m:t>4</m:t>
                        </m:r>
                      </m:sub>
                    </m:sSub>
                  </m:oMath>
                </m:oMathPara>
              </a14:m>
              <a:endParaRPr lang="en-US" sz="1100"/>
            </a:p>
          </xdr:txBody>
        </xdr:sp>
      </mc:Choice>
      <mc:Fallback xmlns="">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162024" y="26512068"/>
              <a:ext cx="2504667" cy="1994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i="0">
                  <a:latin typeface="Cambria Math" panose="02040503050406030204" pitchFamily="18" charset="0"/>
                </a:rPr>
                <a:t>(</a:t>
              </a:r>
              <a:r>
                <a:rPr lang="en-US" sz="1100" b="0" i="0">
                  <a:latin typeface="Cambria Math" panose="02040503050406030204" pitchFamily="18" charset="0"/>
                </a:rPr>
                <a:t>𝑌_2,4^∗ ) ̂=</a:t>
              </a:r>
              <a:r>
                <a:rPr lang="el-GR" sz="1100" b="0" i="0">
                  <a:latin typeface="Cambria Math" panose="02040503050406030204" pitchFamily="18" charset="0"/>
                </a:rPr>
                <a:t>μ</a:t>
              </a:r>
              <a:r>
                <a:rPr lang="en-US" sz="1100" b="0" i="0">
                  <a:latin typeface="Cambria Math" panose="02040503050406030204" pitchFamily="18" charset="0"/>
                </a:rPr>
                <a:t>_2,4^∗=exp(ln </a:t>
              </a:r>
              <a:r>
                <a:rPr lang="el-GR" sz="1100" b="0" i="0">
                  <a:latin typeface="Cambria Math" panose="02040503050406030204" pitchFamily="18" charset="0"/>
                </a:rPr>
                <a:t>α</a:t>
              </a:r>
              <a:r>
                <a:rPr lang="en-US" sz="1100" b="0" i="0">
                  <a:latin typeface="Cambria Math" panose="02040503050406030204" pitchFamily="18" charset="0"/>
                </a:rPr>
                <a:t>_2+𝑙𝑛</a:t>
              </a:r>
              <a:r>
                <a:rPr lang="el-GR" sz="1100" b="0" i="0">
                  <a:latin typeface="Cambria Math" panose="02040503050406030204" pitchFamily="18" charset="0"/>
                </a:rPr>
                <a:t>β</a:t>
              </a:r>
              <a:r>
                <a:rPr lang="en-US" sz="1100" b="0" i="0">
                  <a:latin typeface="Cambria Math" panose="02040503050406030204" pitchFamily="18" charset="0"/>
                </a:rPr>
                <a:t>_4 )=</a:t>
              </a:r>
              <a:r>
                <a:rPr lang="el-GR" sz="1100" b="0" i="0">
                  <a:solidFill>
                    <a:schemeClr val="tx1"/>
                  </a:solidFill>
                  <a:effectLst/>
                  <a:latin typeface="Cambria Math" panose="02040503050406030204" pitchFamily="18" charset="0"/>
                  <a:ea typeface="+mn-ea"/>
                  <a:cs typeface="+mn-cs"/>
                </a:rPr>
                <a:t>α</a:t>
              </a:r>
              <a:r>
                <a:rPr lang="en-US" sz="1100" b="0" i="0">
                  <a:solidFill>
                    <a:schemeClr val="tx1"/>
                  </a:solidFill>
                  <a:effectLst/>
                  <a:latin typeface="Cambria Math" panose="02040503050406030204" pitchFamily="18" charset="0"/>
                  <a:ea typeface="+mn-ea"/>
                  <a:cs typeface="+mn-cs"/>
                </a:rPr>
                <a:t>_2 </a:t>
              </a:r>
              <a:r>
                <a:rPr lang="el-GR" sz="1100" b="0" i="0">
                  <a:solidFill>
                    <a:schemeClr val="tx1"/>
                  </a:solidFill>
                  <a:effectLst/>
                  <a:latin typeface="Cambria Math" panose="02040503050406030204" pitchFamily="18" charset="0"/>
                  <a:ea typeface="+mn-ea"/>
                  <a:cs typeface="+mn-cs"/>
                </a:rPr>
                <a:t>β</a:t>
              </a:r>
              <a:r>
                <a:rPr lang="en-US" sz="1100" b="0" i="0">
                  <a:solidFill>
                    <a:schemeClr val="tx1"/>
                  </a:solidFill>
                  <a:effectLst/>
                  <a:latin typeface="Cambria Math" panose="02040503050406030204" pitchFamily="18" charset="0"/>
                  <a:ea typeface="+mn-ea"/>
                  <a:cs typeface="+mn-cs"/>
                </a:rPr>
                <a:t>_4</a:t>
              </a:r>
              <a:endParaRPr lang="en-US" sz="1100"/>
            </a:p>
          </xdr:txBody>
        </xdr:sp>
      </mc:Fallback>
    </mc:AlternateContent>
    <xdr:clientData/>
  </xdr:oneCellAnchor>
  <xdr:twoCellAnchor>
    <xdr:from>
      <xdr:col>1</xdr:col>
      <xdr:colOff>264584</xdr:colOff>
      <xdr:row>23</xdr:row>
      <xdr:rowOff>0</xdr:rowOff>
    </xdr:from>
    <xdr:to>
      <xdr:col>2</xdr:col>
      <xdr:colOff>407459</xdr:colOff>
      <xdr:row>25</xdr:row>
      <xdr:rowOff>58537</xdr:rowOff>
    </xdr:to>
    <mc:AlternateContent xmlns:mc="http://schemas.openxmlformats.org/markup-compatibility/2006" xmlns:a14="http://schemas.microsoft.com/office/drawing/2010/main">
      <mc:Choice Requires="a14">
        <xdr:sp macro="" textlink="">
          <xdr:nvSpPr>
            <xdr:cNvPr id="4" name="TextBox 2">
              <a:extLst>
                <a:ext uri="{FF2B5EF4-FFF2-40B4-BE49-F238E27FC236}">
                  <a16:creationId xmlns:a16="http://schemas.microsoft.com/office/drawing/2014/main" id="{D3FE0FB1-47E8-47CF-A633-3982EE72601C}"/>
                </a:ext>
              </a:extLst>
            </xdr:cNvPr>
            <xdr:cNvSpPr txBox="1"/>
          </xdr:nvSpPr>
          <xdr:spPr>
            <a:xfrm>
              <a:off x="1090084" y="4953000"/>
              <a:ext cx="968375" cy="46070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4" name="TextBox 2">
              <a:extLst>
                <a:ext uri="{FF2B5EF4-FFF2-40B4-BE49-F238E27FC236}">
                  <a16:creationId xmlns:a16="http://schemas.microsoft.com/office/drawing/2014/main" id="{D3FE0FB1-47E8-47CF-A633-3982EE72601C}"/>
                </a:ext>
              </a:extLst>
            </xdr:cNvPr>
            <xdr:cNvSpPr txBox="1"/>
          </xdr:nvSpPr>
          <xdr:spPr>
            <a:xfrm>
              <a:off x="1090084" y="4953000"/>
              <a:ext cx="968375" cy="46070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𝑓 ̂_(𝑘,𝑗)=𝑋_(𝑘,𝑗+1)/𝑋_(𝑘,𝑗) </a:t>
              </a:r>
              <a:endParaRPr lang="en-PH" sz="1100">
                <a:solidFill>
                  <a:schemeClr val="tx1"/>
                </a:solidFill>
                <a:effectLst/>
                <a:latin typeface="+mn-lt"/>
                <a:ea typeface="+mn-ea"/>
                <a:cs typeface="+mn-cs"/>
              </a:endParaRPr>
            </a:p>
          </xdr:txBody>
        </xdr:sp>
      </mc:Fallback>
    </mc:AlternateContent>
    <xdr:clientData/>
  </xdr:twoCellAnchor>
  <xdr:oneCellAnchor>
    <xdr:from>
      <xdr:col>3</xdr:col>
      <xdr:colOff>518583</xdr:colOff>
      <xdr:row>22</xdr:row>
      <xdr:rowOff>190500</xdr:rowOff>
    </xdr:from>
    <xdr:ext cx="1879169" cy="35702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01A2BD5-5456-45D1-AA4B-23CCC62A885B}"/>
                </a:ext>
              </a:extLst>
            </xdr:cNvPr>
            <xdr:cNvSpPr txBox="1"/>
          </xdr:nvSpPr>
          <xdr:spPr>
            <a:xfrm>
              <a:off x="3058583" y="4942417"/>
              <a:ext cx="1879169" cy="357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𝑎𝑔𝑒</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𝑡𝑜</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𝑎𝑔𝑒</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𝐶𝑢𝑚𝐿𝑜𝑠𝑠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r>
                              <a:rPr lang="en-PH" sz="1100" i="1">
                                <a:solidFill>
                                  <a:schemeClr val="tx1"/>
                                </a:solidFill>
                                <a:effectLst/>
                                <a:latin typeface="Cambria Math" panose="02040503050406030204" pitchFamily="18" charset="0"/>
                                <a:ea typeface="+mn-ea"/>
                                <a:cs typeface="+mn-cs"/>
                              </a:rPr>
                              <m:t>+1</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𝐶𝑢𝑚𝐿𝑜𝑠𝑠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m:t>
                            </m:r>
                          </m:sub>
                        </m:sSub>
                      </m:den>
                    </m:f>
                  </m:oMath>
                </m:oMathPara>
              </a14:m>
              <a:endParaRPr lang="en-PH"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B01A2BD5-5456-45D1-AA4B-23CCC62A885B}"/>
                </a:ext>
              </a:extLst>
            </xdr:cNvPr>
            <xdr:cNvSpPr txBox="1"/>
          </xdr:nvSpPr>
          <xdr:spPr>
            <a:xfrm>
              <a:off x="3058583" y="4942417"/>
              <a:ext cx="1879169" cy="357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〖𝑎𝑔𝑒 𝑡𝑜 𝑎𝑔𝑒〗_(𝑘,𝑗)=〖𝐶𝑢𝑚𝐿𝑜𝑠𝑠〗_(𝐴𝑌,𝑑+1)/〖𝐶𝑢𝑚𝐿𝑜𝑠𝑠〗_(𝐴𝑌,𝑑) </a:t>
              </a:r>
              <a:endParaRPr lang="en-PH" sz="1100">
                <a:solidFill>
                  <a:schemeClr val="tx1"/>
                </a:solidFill>
                <a:effectLst/>
                <a:latin typeface="+mn-lt"/>
                <a:ea typeface="+mn-ea"/>
                <a:cs typeface="+mn-cs"/>
              </a:endParaRPr>
            </a:p>
          </xdr:txBody>
        </xdr:sp>
      </mc:Fallback>
    </mc:AlternateContent>
    <xdr:clientData/>
  </xdr:oneCellAnchor>
  <xdr:oneCellAnchor>
    <xdr:from>
      <xdr:col>1</xdr:col>
      <xdr:colOff>209549</xdr:colOff>
      <xdr:row>34</xdr:row>
      <xdr:rowOff>76201</xdr:rowOff>
    </xdr:from>
    <xdr:ext cx="852541" cy="124720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16A81D1D-1ADC-4B37-9478-45A4FCE7BF8F}"/>
                </a:ext>
              </a:extLst>
            </xdr:cNvPr>
            <xdr:cNvSpPr txBox="1"/>
          </xdr:nvSpPr>
          <xdr:spPr>
            <a:xfrm>
              <a:off x="1033462" y="7739064"/>
              <a:ext cx="852541" cy="1247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b="1" i="1">
                        <a:solidFill>
                          <a:schemeClr val="tx1"/>
                        </a:solidFill>
                        <a:effectLst/>
                        <a:latin typeface="Cambria Math" panose="02040503050406030204" pitchFamily="18" charset="0"/>
                        <a:ea typeface="+mn-ea"/>
                        <a:cs typeface="+mn-cs"/>
                      </a:rPr>
                      <m:t>𝐘</m:t>
                    </m:r>
                    <m:r>
                      <a:rPr lang="en-PH" sz="1100" i="1">
                        <a:solidFill>
                          <a:schemeClr val="tx1"/>
                        </a:solidFill>
                        <a:effectLst/>
                        <a:latin typeface="Cambria Math" panose="02040503050406030204" pitchFamily="18" charset="0"/>
                        <a:ea typeface="+mn-ea"/>
                        <a:cs typeface="+mn-cs"/>
                      </a:rPr>
                      <m:t>= </m:t>
                    </m:r>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PH" sz="1100" i="1">
                                <a:solidFill>
                                  <a:schemeClr val="tx1"/>
                                </a:solidFill>
                                <a:effectLst/>
                                <a:latin typeface="Cambria Math" panose="02040503050406030204" pitchFamily="18" charset="0"/>
                                <a:ea typeface="+mn-ea"/>
                                <a:cs typeface="+mn-cs"/>
                              </a:rPr>
                            </m:ctrlPr>
                          </m:mPr>
                          <m:mr>
                            <m:e>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1,1</m:t>
                                  </m:r>
                                </m:sub>
                              </m:sSub>
                              <m:r>
                                <a:rPr lang="en-PH" sz="1100" i="1">
                                  <a:solidFill>
                                    <a:schemeClr val="tx1"/>
                                  </a:solidFill>
                                  <a:effectLst/>
                                  <a:latin typeface="Cambria Math" panose="02040503050406030204" pitchFamily="18" charset="0"/>
                                  <a:ea typeface="+mn-ea"/>
                                  <a:cs typeface="+mn-cs"/>
                                </a:rPr>
                                <m:t>−1</m:t>
                              </m:r>
                            </m:e>
                          </m:mr>
                          <m:mr>
                            <m:e>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1,2</m:t>
                                  </m:r>
                                </m:sub>
                              </m:sSub>
                              <m:r>
                                <a:rPr lang="en-PH" sz="1100" i="1">
                                  <a:solidFill>
                                    <a:schemeClr val="tx1"/>
                                  </a:solidFill>
                                  <a:effectLst/>
                                  <a:latin typeface="Cambria Math" panose="02040503050406030204" pitchFamily="18" charset="0"/>
                                  <a:ea typeface="+mn-ea"/>
                                  <a:cs typeface="+mn-cs"/>
                                </a:rPr>
                                <m:t>−1</m:t>
                              </m:r>
                            </m:e>
                          </m:mr>
                          <m:mr>
                            <m:e>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1,3</m:t>
                                  </m:r>
                                </m:sub>
                              </m:sSub>
                              <m:r>
                                <a:rPr lang="en-PH" sz="1100" i="1">
                                  <a:solidFill>
                                    <a:schemeClr val="tx1"/>
                                  </a:solidFill>
                                  <a:effectLst/>
                                  <a:latin typeface="Cambria Math" panose="02040503050406030204" pitchFamily="18" charset="0"/>
                                  <a:ea typeface="+mn-ea"/>
                                  <a:cs typeface="+mn-cs"/>
                                </a:rPr>
                                <m:t>−1</m:t>
                              </m:r>
                            </m:e>
                          </m:mr>
                          <m:mr>
                            <m:e>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2,1</m:t>
                                  </m:r>
                                </m:sub>
                              </m:sSub>
                              <m:r>
                                <a:rPr lang="en-PH" sz="1100" i="1">
                                  <a:solidFill>
                                    <a:schemeClr val="tx1"/>
                                  </a:solidFill>
                                  <a:effectLst/>
                                  <a:latin typeface="Cambria Math" panose="02040503050406030204" pitchFamily="18" charset="0"/>
                                  <a:ea typeface="+mn-ea"/>
                                  <a:cs typeface="+mn-cs"/>
                                </a:rPr>
                                <m:t>−1</m:t>
                              </m:r>
                            </m:e>
                          </m:mr>
                          <m:mr>
                            <m:e>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2,2</m:t>
                                  </m:r>
                                </m:sub>
                              </m:sSub>
                              <m:r>
                                <a:rPr lang="en-PH" sz="1100" i="1">
                                  <a:solidFill>
                                    <a:schemeClr val="tx1"/>
                                  </a:solidFill>
                                  <a:effectLst/>
                                  <a:latin typeface="Cambria Math" panose="02040503050406030204" pitchFamily="18" charset="0"/>
                                  <a:ea typeface="+mn-ea"/>
                                  <a:cs typeface="+mn-cs"/>
                                </a:rPr>
                                <m:t>−1</m:t>
                              </m:r>
                            </m:e>
                          </m:mr>
                          <m:mr>
                            <m:e>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3,1</m:t>
                                  </m:r>
                                </m:sub>
                              </m:sSub>
                              <m:r>
                                <a:rPr lang="en-PH" sz="1100" i="1">
                                  <a:solidFill>
                                    <a:schemeClr val="tx1"/>
                                  </a:solidFill>
                                  <a:effectLst/>
                                  <a:latin typeface="Cambria Math" panose="02040503050406030204" pitchFamily="18" charset="0"/>
                                  <a:ea typeface="+mn-ea"/>
                                  <a:cs typeface="+mn-cs"/>
                                </a:rPr>
                                <m:t>−1</m:t>
                              </m:r>
                            </m:e>
                          </m:mr>
                        </m:m>
                      </m:e>
                    </m:d>
                  </m:oMath>
                </m:oMathPara>
              </a14:m>
              <a:endParaRPr lang="en-US" sz="1100">
                <a:solidFill>
                  <a:schemeClr val="tx1"/>
                </a:solidFill>
              </a:endParaRPr>
            </a:p>
          </xdr:txBody>
        </xdr:sp>
      </mc:Choice>
      <mc:Fallback xmlns="">
        <xdr:sp macro="" textlink="">
          <xdr:nvSpPr>
            <xdr:cNvPr id="7" name="TextBox 6">
              <a:extLst>
                <a:ext uri="{FF2B5EF4-FFF2-40B4-BE49-F238E27FC236}">
                  <a16:creationId xmlns:a16="http://schemas.microsoft.com/office/drawing/2014/main" id="{16A81D1D-1ADC-4B37-9478-45A4FCE7BF8F}"/>
                </a:ext>
              </a:extLst>
            </xdr:cNvPr>
            <xdr:cNvSpPr txBox="1"/>
          </xdr:nvSpPr>
          <xdr:spPr>
            <a:xfrm>
              <a:off x="1033462" y="7739064"/>
              <a:ext cx="852541" cy="1247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b="1" i="0">
                  <a:solidFill>
                    <a:schemeClr val="tx1"/>
                  </a:solidFill>
                  <a:effectLst/>
                  <a:latin typeface="+mn-lt"/>
                  <a:ea typeface="+mn-ea"/>
                  <a:cs typeface="+mn-cs"/>
                </a:rPr>
                <a:t>𝐘</a:t>
              </a:r>
              <a:r>
                <a:rPr lang="en-PH" sz="1100" i="0">
                  <a:solidFill>
                    <a:schemeClr val="tx1"/>
                  </a:solidFill>
                  <a:effectLst/>
                  <a:latin typeface="+mn-lt"/>
                  <a:ea typeface="+mn-ea"/>
                  <a:cs typeface="+mn-cs"/>
                </a:rPr>
                <a:t>= [■8(𝑓 ̂_1,1−1@𝑓 ̂_1,2−1@𝑓 ̂_1,3−1@𝑓 ̂_2,1−1@𝑓 ̂_2,2−1@𝑓 ̂_3,1−1)]</a:t>
              </a:r>
              <a:endParaRPr lang="en-US" sz="1100">
                <a:solidFill>
                  <a:schemeClr val="tx1"/>
                </a:solidFill>
              </a:endParaRPr>
            </a:p>
          </xdr:txBody>
        </xdr:sp>
      </mc:Fallback>
    </mc:AlternateContent>
    <xdr:clientData/>
  </xdr:oneCellAnchor>
  <xdr:twoCellAnchor>
    <xdr:from>
      <xdr:col>3</xdr:col>
      <xdr:colOff>1</xdr:colOff>
      <xdr:row>35</xdr:row>
      <xdr:rowOff>0</xdr:rowOff>
    </xdr:from>
    <xdr:to>
      <xdr:col>4</xdr:col>
      <xdr:colOff>127001</xdr:colOff>
      <xdr:row>36</xdr:row>
      <xdr:rowOff>72998</xdr:rowOff>
    </xdr:to>
    <mc:AlternateContent xmlns:mc="http://schemas.openxmlformats.org/markup-compatibility/2006" xmlns:a14="http://schemas.microsoft.com/office/drawing/2010/main">
      <mc:Choice Requires="a14">
        <xdr:sp macro="" textlink="">
          <xdr:nvSpPr>
            <xdr:cNvPr id="9" name="TextBox 2">
              <a:extLst>
                <a:ext uri="{FF2B5EF4-FFF2-40B4-BE49-F238E27FC236}">
                  <a16:creationId xmlns:a16="http://schemas.microsoft.com/office/drawing/2014/main" id="{E7DE061A-05E6-48EA-9138-54698471D8F4}"/>
                </a:ext>
              </a:extLst>
            </xdr:cNvPr>
            <xdr:cNvSpPr txBox="1"/>
          </xdr:nvSpPr>
          <xdr:spPr>
            <a:xfrm>
              <a:off x="2540001" y="7355417"/>
              <a:ext cx="952500" cy="27408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𝑤</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xdr:txBody>
        </xdr:sp>
      </mc:Choice>
      <mc:Fallback xmlns="">
        <xdr:sp macro="" textlink="">
          <xdr:nvSpPr>
            <xdr:cNvPr id="9" name="TextBox 2">
              <a:extLst>
                <a:ext uri="{FF2B5EF4-FFF2-40B4-BE49-F238E27FC236}">
                  <a16:creationId xmlns:a16="http://schemas.microsoft.com/office/drawing/2014/main" id="{E7DE061A-05E6-48EA-9138-54698471D8F4}"/>
                </a:ext>
              </a:extLst>
            </xdr:cNvPr>
            <xdr:cNvSpPr txBox="1"/>
          </xdr:nvSpPr>
          <xdr:spPr>
            <a:xfrm>
              <a:off x="2540001" y="7355417"/>
              <a:ext cx="952500" cy="27408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𝑤_(𝑘,𝑗)=𝑋_(𝑘,𝑗)</a:t>
              </a:r>
              <a:endParaRPr lang="en-PH" sz="1100">
                <a:solidFill>
                  <a:schemeClr val="tx1"/>
                </a:solidFill>
                <a:effectLst/>
                <a:latin typeface="+mn-lt"/>
                <a:ea typeface="+mn-ea"/>
                <a:cs typeface="+mn-cs"/>
              </a:endParaRPr>
            </a:p>
          </xdr:txBody>
        </xdr:sp>
      </mc:Fallback>
    </mc:AlternateContent>
    <xdr:clientData/>
  </xdr:twoCellAnchor>
  <xdr:oneCellAnchor>
    <xdr:from>
      <xdr:col>3</xdr:col>
      <xdr:colOff>0</xdr:colOff>
      <xdr:row>37</xdr:row>
      <xdr:rowOff>0</xdr:rowOff>
    </xdr:from>
    <xdr:ext cx="1742720" cy="1744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7D4BD18-748D-45AA-A92B-C048A7A315EB}"/>
                </a:ext>
              </a:extLst>
            </xdr:cNvPr>
            <xdr:cNvSpPr txBox="1"/>
          </xdr:nvSpPr>
          <xdr:spPr>
            <a:xfrm>
              <a:off x="2538413" y="8262938"/>
              <a:ext cx="1742720"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𝑤𝑒𝑖𝑔ℎ𝑡</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𝐶𝑢𝑚𝐿𝑜𝑠𝑠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oMath>
                </m:oMathPara>
              </a14:m>
              <a:endParaRPr lang="en-PH" sz="1100">
                <a:solidFill>
                  <a:schemeClr val="tx1"/>
                </a:solidFill>
                <a:effectLst/>
                <a:latin typeface="+mn-lt"/>
                <a:ea typeface="+mn-ea"/>
                <a:cs typeface="+mn-cs"/>
              </a:endParaRPr>
            </a:p>
          </xdr:txBody>
        </xdr:sp>
      </mc:Choice>
      <mc:Fallback xmlns="">
        <xdr:sp macro="" textlink="">
          <xdr:nvSpPr>
            <xdr:cNvPr id="10" name="TextBox 9">
              <a:extLst>
                <a:ext uri="{FF2B5EF4-FFF2-40B4-BE49-F238E27FC236}">
                  <a16:creationId xmlns:a16="http://schemas.microsoft.com/office/drawing/2014/main" id="{97D4BD18-748D-45AA-A92B-C048A7A315EB}"/>
                </a:ext>
              </a:extLst>
            </xdr:cNvPr>
            <xdr:cNvSpPr txBox="1"/>
          </xdr:nvSpPr>
          <xdr:spPr>
            <a:xfrm>
              <a:off x="2538413" y="8262938"/>
              <a:ext cx="1742720" cy="1744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〖𝑤𝑒𝑖𝑔ℎ𝑡〗_(𝐴𝑌,𝑑𝑒𝑣)=〖𝐶𝑢𝑚𝐿𝑜𝑠𝑠〗_(𝐴𝑌,𝑑𝑒𝑣)</a:t>
              </a:r>
              <a:endParaRPr lang="en-PH" sz="1100">
                <a:solidFill>
                  <a:schemeClr val="tx1"/>
                </a:solidFill>
                <a:effectLst/>
                <a:latin typeface="+mn-lt"/>
                <a:ea typeface="+mn-ea"/>
                <a:cs typeface="+mn-cs"/>
              </a:endParaRPr>
            </a:p>
          </xdr:txBody>
        </xdr:sp>
      </mc:Fallback>
    </mc:AlternateContent>
    <xdr:clientData/>
  </xdr:oneCellAnchor>
  <xdr:oneCellAnchor>
    <xdr:from>
      <xdr:col>1</xdr:col>
      <xdr:colOff>90487</xdr:colOff>
      <xdr:row>52</xdr:row>
      <xdr:rowOff>0</xdr:rowOff>
    </xdr:from>
    <xdr:ext cx="1090612" cy="94372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E0FA3CD-B53D-4CBE-BCF8-E9082914BE6A}"/>
                </a:ext>
              </a:extLst>
            </xdr:cNvPr>
            <xdr:cNvSpPr txBox="1"/>
          </xdr:nvSpPr>
          <xdr:spPr>
            <a:xfrm>
              <a:off x="914400" y="11453812"/>
              <a:ext cx="1090612" cy="943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r>
                      <a:rPr lang="en-US" sz="1100" b="0" i="1">
                        <a:solidFill>
                          <a:schemeClr val="tx1"/>
                        </a:solidFill>
                        <a:effectLst/>
                        <a:latin typeface="Cambria Math" panose="02040503050406030204" pitchFamily="18" charset="0"/>
                        <a:ea typeface="+mn-ea"/>
                        <a:cs typeface="+mn-cs"/>
                      </a:rPr>
                      <m:t>𝑋</m:t>
                    </m:r>
                    <m:r>
                      <a:rPr lang="en-PH" sz="1100" b="0" i="1">
                        <a:solidFill>
                          <a:schemeClr val="tx1"/>
                        </a:solidFill>
                        <a:effectLst/>
                        <a:latin typeface="Cambria Math" panose="02040503050406030204" pitchFamily="18" charset="0"/>
                        <a:ea typeface="+mn-ea"/>
                        <a:cs typeface="+mn-cs"/>
                      </a:rPr>
                      <m:t>= </m:t>
                    </m:r>
                    <m:d>
                      <m:dPr>
                        <m:ctrlPr>
                          <a:rPr lang="en-PH" sz="1100" b="0" i="1">
                            <a:solidFill>
                              <a:schemeClr val="tx1"/>
                            </a:solidFill>
                            <a:effectLst/>
                            <a:latin typeface="Cambria Math" panose="02040503050406030204" pitchFamily="18" charset="0"/>
                            <a:ea typeface="+mn-ea"/>
                            <a:cs typeface="+mn-cs"/>
                          </a:rPr>
                        </m:ctrlPr>
                      </m:dPr>
                      <m:e>
                        <m:m>
                          <m:mPr>
                            <m:mcs>
                              <m:mc>
                                <m:mcPr>
                                  <m:count m:val="3"/>
                                  <m:mcJc m:val="center"/>
                                </m:mcPr>
                              </m:mc>
                            </m:mcs>
                            <m:ctrlPr>
                              <a:rPr lang="en-PH" sz="1100" b="0" i="1">
                                <a:solidFill>
                                  <a:schemeClr val="tx1"/>
                                </a:solidFill>
                                <a:effectLst/>
                                <a:latin typeface="Cambria Math" panose="02040503050406030204" pitchFamily="18" charset="0"/>
                                <a:ea typeface="+mn-ea"/>
                                <a:cs typeface="+mn-cs"/>
                              </a:rPr>
                            </m:ctrlPr>
                          </m:mPr>
                          <m:mr>
                            <m:e>
                              <m:r>
                                <a:rPr lang="en-PH" sz="1100" b="0" i="1">
                                  <a:solidFill>
                                    <a:schemeClr val="tx1"/>
                                  </a:solidFill>
                                  <a:effectLst/>
                                  <a:latin typeface="Cambria Math" panose="02040503050406030204" pitchFamily="18" charset="0"/>
                                  <a:ea typeface="+mn-ea"/>
                                  <a:cs typeface="+mn-cs"/>
                                </a:rPr>
                                <m:t>1</m:t>
                              </m:r>
                            </m:e>
                            <m:e>
                              <m:r>
                                <a:rPr lang="en-PH" sz="1100" b="0" i="1">
                                  <a:solidFill>
                                    <a:schemeClr val="tx1"/>
                                  </a:solidFill>
                                  <a:effectLst/>
                                  <a:latin typeface="Cambria Math" panose="02040503050406030204" pitchFamily="18" charset="0"/>
                                  <a:ea typeface="+mn-ea"/>
                                  <a:cs typeface="+mn-cs"/>
                                </a:rPr>
                                <m:t>0</m:t>
                              </m:r>
                            </m:e>
                            <m:e>
                              <m:r>
                                <a:rPr lang="en-PH" sz="1100" b="0" i="1">
                                  <a:solidFill>
                                    <a:schemeClr val="tx1"/>
                                  </a:solidFill>
                                  <a:effectLst/>
                                  <a:latin typeface="Cambria Math" panose="02040503050406030204" pitchFamily="18" charset="0"/>
                                  <a:ea typeface="+mn-ea"/>
                                  <a:cs typeface="+mn-cs"/>
                                </a:rPr>
                                <m:t>0</m:t>
                              </m:r>
                            </m:e>
                          </m:mr>
                          <m:mr>
                            <m:e>
                              <m:r>
                                <a:rPr lang="en-PH" sz="1100" b="0" i="1">
                                  <a:solidFill>
                                    <a:schemeClr val="tx1"/>
                                  </a:solidFill>
                                  <a:effectLst/>
                                  <a:latin typeface="Cambria Math" panose="02040503050406030204" pitchFamily="18" charset="0"/>
                                  <a:ea typeface="+mn-ea"/>
                                  <a:cs typeface="+mn-cs"/>
                                </a:rPr>
                                <m:t>0</m:t>
                              </m:r>
                            </m:e>
                            <m:e>
                              <m:r>
                                <a:rPr lang="en-PH" sz="1100" b="0" i="1">
                                  <a:solidFill>
                                    <a:schemeClr val="tx1"/>
                                  </a:solidFill>
                                  <a:effectLst/>
                                  <a:latin typeface="Cambria Math" panose="02040503050406030204" pitchFamily="18" charset="0"/>
                                  <a:ea typeface="+mn-ea"/>
                                  <a:cs typeface="+mn-cs"/>
                                </a:rPr>
                                <m:t>1</m:t>
                              </m:r>
                            </m:e>
                            <m:e>
                              <m:r>
                                <a:rPr lang="en-PH" sz="1100" b="0" i="1">
                                  <a:solidFill>
                                    <a:schemeClr val="tx1"/>
                                  </a:solidFill>
                                  <a:effectLst/>
                                  <a:latin typeface="Cambria Math" panose="02040503050406030204" pitchFamily="18" charset="0"/>
                                  <a:ea typeface="+mn-ea"/>
                                  <a:cs typeface="+mn-cs"/>
                                </a:rPr>
                                <m:t>0</m:t>
                              </m:r>
                            </m:e>
                          </m:mr>
                          <m:mr>
                            <m:e>
                              <m:r>
                                <a:rPr lang="en-PH" sz="1100" b="0" i="1">
                                  <a:solidFill>
                                    <a:schemeClr val="tx1"/>
                                  </a:solidFill>
                                  <a:effectLst/>
                                  <a:latin typeface="Cambria Math" panose="02040503050406030204" pitchFamily="18" charset="0"/>
                                  <a:ea typeface="+mn-ea"/>
                                  <a:cs typeface="+mn-cs"/>
                                </a:rPr>
                                <m:t>0</m:t>
                              </m:r>
                            </m:e>
                            <m:e>
                              <m:r>
                                <a:rPr lang="en-PH" sz="1100" b="0" i="1">
                                  <a:solidFill>
                                    <a:schemeClr val="tx1"/>
                                  </a:solidFill>
                                  <a:effectLst/>
                                  <a:latin typeface="Cambria Math" panose="02040503050406030204" pitchFamily="18" charset="0"/>
                                  <a:ea typeface="+mn-ea"/>
                                  <a:cs typeface="+mn-cs"/>
                                </a:rPr>
                                <m:t>0</m:t>
                              </m:r>
                            </m:e>
                            <m:e>
                              <m:r>
                                <a:rPr lang="en-PH" sz="1100" b="0" i="1">
                                  <a:solidFill>
                                    <a:schemeClr val="tx1"/>
                                  </a:solidFill>
                                  <a:effectLst/>
                                  <a:latin typeface="Cambria Math" panose="02040503050406030204" pitchFamily="18" charset="0"/>
                                  <a:ea typeface="+mn-ea"/>
                                  <a:cs typeface="+mn-cs"/>
                                </a:rPr>
                                <m:t>1</m:t>
                              </m:r>
                            </m:e>
                          </m:mr>
                          <m:mr>
                            <m:e>
                              <m:r>
                                <a:rPr lang="en-PH" sz="1100" b="0" i="1">
                                  <a:solidFill>
                                    <a:schemeClr val="tx1"/>
                                  </a:solidFill>
                                  <a:effectLst/>
                                  <a:latin typeface="Cambria Math" panose="02040503050406030204" pitchFamily="18" charset="0"/>
                                  <a:ea typeface="+mn-ea"/>
                                  <a:cs typeface="+mn-cs"/>
                                </a:rPr>
                                <m:t>1</m:t>
                              </m:r>
                            </m:e>
                            <m:e>
                              <m:r>
                                <a:rPr lang="en-PH" sz="1100" b="0" i="1">
                                  <a:solidFill>
                                    <a:schemeClr val="tx1"/>
                                  </a:solidFill>
                                  <a:effectLst/>
                                  <a:latin typeface="Cambria Math" panose="02040503050406030204" pitchFamily="18" charset="0"/>
                                  <a:ea typeface="+mn-ea"/>
                                  <a:cs typeface="+mn-cs"/>
                                </a:rPr>
                                <m:t>0</m:t>
                              </m:r>
                            </m:e>
                            <m:e>
                              <m:r>
                                <a:rPr lang="en-PH" sz="1100" b="0" i="1">
                                  <a:solidFill>
                                    <a:schemeClr val="tx1"/>
                                  </a:solidFill>
                                  <a:effectLst/>
                                  <a:latin typeface="Cambria Math" panose="02040503050406030204" pitchFamily="18" charset="0"/>
                                  <a:ea typeface="+mn-ea"/>
                                  <a:cs typeface="+mn-cs"/>
                                </a:rPr>
                                <m:t>0</m:t>
                              </m:r>
                            </m:e>
                          </m:mr>
                          <m:mr>
                            <m:e>
                              <m:r>
                                <a:rPr lang="en-PH" sz="1100" b="0" i="1">
                                  <a:solidFill>
                                    <a:schemeClr val="tx1"/>
                                  </a:solidFill>
                                  <a:effectLst/>
                                  <a:latin typeface="Cambria Math" panose="02040503050406030204" pitchFamily="18" charset="0"/>
                                  <a:ea typeface="+mn-ea"/>
                                  <a:cs typeface="+mn-cs"/>
                                </a:rPr>
                                <m:t>0</m:t>
                              </m:r>
                            </m:e>
                            <m:e>
                              <m:r>
                                <a:rPr lang="en-PH" sz="1100" b="0" i="1">
                                  <a:solidFill>
                                    <a:schemeClr val="tx1"/>
                                  </a:solidFill>
                                  <a:effectLst/>
                                  <a:latin typeface="Cambria Math" panose="02040503050406030204" pitchFamily="18" charset="0"/>
                                  <a:ea typeface="+mn-ea"/>
                                  <a:cs typeface="+mn-cs"/>
                                </a:rPr>
                                <m:t>1</m:t>
                              </m:r>
                            </m:e>
                            <m:e>
                              <m:r>
                                <a:rPr lang="en-PH" sz="1100" b="0" i="1">
                                  <a:solidFill>
                                    <a:schemeClr val="tx1"/>
                                  </a:solidFill>
                                  <a:effectLst/>
                                  <a:latin typeface="Cambria Math" panose="02040503050406030204" pitchFamily="18" charset="0"/>
                                  <a:ea typeface="+mn-ea"/>
                                  <a:cs typeface="+mn-cs"/>
                                </a:rPr>
                                <m:t>0</m:t>
                              </m:r>
                            </m:e>
                          </m:mr>
                          <m:mr>
                            <m:e>
                              <m:r>
                                <a:rPr lang="en-PH" sz="1100" b="0" i="1">
                                  <a:solidFill>
                                    <a:schemeClr val="tx1"/>
                                  </a:solidFill>
                                  <a:effectLst/>
                                  <a:latin typeface="Cambria Math" panose="02040503050406030204" pitchFamily="18" charset="0"/>
                                  <a:ea typeface="+mn-ea"/>
                                  <a:cs typeface="+mn-cs"/>
                                </a:rPr>
                                <m:t>1</m:t>
                              </m:r>
                            </m:e>
                            <m:e>
                              <m:r>
                                <a:rPr lang="en-PH" sz="1100" b="0" i="1">
                                  <a:solidFill>
                                    <a:schemeClr val="tx1"/>
                                  </a:solidFill>
                                  <a:effectLst/>
                                  <a:latin typeface="Cambria Math" panose="02040503050406030204" pitchFamily="18" charset="0"/>
                                  <a:ea typeface="+mn-ea"/>
                                  <a:cs typeface="+mn-cs"/>
                                </a:rPr>
                                <m:t>0</m:t>
                              </m:r>
                            </m:e>
                            <m:e>
                              <m:r>
                                <a:rPr lang="en-PH" sz="1100" b="0" i="1">
                                  <a:solidFill>
                                    <a:schemeClr val="tx1"/>
                                  </a:solidFill>
                                  <a:effectLst/>
                                  <a:latin typeface="Cambria Math" panose="02040503050406030204" pitchFamily="18" charset="0"/>
                                  <a:ea typeface="+mn-ea"/>
                                  <a:cs typeface="+mn-cs"/>
                                </a:rPr>
                                <m:t>0</m:t>
                              </m:r>
                            </m:e>
                          </m:mr>
                        </m:m>
                      </m:e>
                    </m:d>
                  </m:oMath>
                </m:oMathPara>
              </a14:m>
              <a:endParaRPr lang="en-PH" sz="1100" b="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2E0FA3CD-B53D-4CBE-BCF8-E9082914BE6A}"/>
                </a:ext>
              </a:extLst>
            </xdr:cNvPr>
            <xdr:cNvSpPr txBox="1"/>
          </xdr:nvSpPr>
          <xdr:spPr>
            <a:xfrm>
              <a:off x="914400" y="11453812"/>
              <a:ext cx="1090612" cy="943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chemeClr val="tx1"/>
                  </a:solidFill>
                  <a:effectLst/>
                  <a:latin typeface="Cambria Math" panose="02040503050406030204" pitchFamily="18" charset="0"/>
                  <a:ea typeface="+mn-ea"/>
                  <a:cs typeface="+mn-cs"/>
                </a:rPr>
                <a:t>𝑋</a:t>
              </a:r>
              <a:r>
                <a:rPr lang="en-PH" sz="1100" b="0" i="0">
                  <a:solidFill>
                    <a:schemeClr val="tx1"/>
                  </a:solidFill>
                  <a:effectLst/>
                  <a:latin typeface="Cambria Math" panose="02040503050406030204" pitchFamily="18" charset="0"/>
                  <a:ea typeface="+mn-ea"/>
                  <a:cs typeface="+mn-cs"/>
                </a:rPr>
                <a:t>= (■8(1&amp;0&amp;0@0&amp;1&amp;0@0&amp;0&amp;1@1&amp;0&amp;0@0&amp;1&amp;0@1&amp;0&amp;0))</a:t>
              </a:r>
              <a:endParaRPr lang="en-PH" sz="1100" b="0">
                <a:solidFill>
                  <a:schemeClr val="tx1"/>
                </a:solidFill>
                <a:effectLst/>
                <a:latin typeface="+mn-lt"/>
                <a:ea typeface="+mn-ea"/>
                <a:cs typeface="+mn-cs"/>
              </a:endParaRPr>
            </a:p>
          </xdr:txBody>
        </xdr:sp>
      </mc:Fallback>
    </mc:AlternateContent>
    <xdr:clientData/>
  </xdr:oneCellAnchor>
  <xdr:twoCellAnchor>
    <xdr:from>
      <xdr:col>2</xdr:col>
      <xdr:colOff>400050</xdr:colOff>
      <xdr:row>52</xdr:row>
      <xdr:rowOff>38100</xdr:rowOff>
    </xdr:from>
    <xdr:to>
      <xdr:col>2</xdr:col>
      <xdr:colOff>452438</xdr:colOff>
      <xdr:row>54</xdr:row>
      <xdr:rowOff>52387</xdr:rowOff>
    </xdr:to>
    <xdr:sp macro="" textlink="">
      <xdr:nvSpPr>
        <xdr:cNvPr id="12" name="Right Brace 11">
          <a:extLst>
            <a:ext uri="{FF2B5EF4-FFF2-40B4-BE49-F238E27FC236}">
              <a16:creationId xmlns:a16="http://schemas.microsoft.com/office/drawing/2014/main" id="{347E1F95-8232-814D-BA57-2F251F8EDAE2}"/>
            </a:ext>
          </a:extLst>
        </xdr:cNvPr>
        <xdr:cNvSpPr/>
      </xdr:nvSpPr>
      <xdr:spPr>
        <a:xfrm>
          <a:off x="2047875" y="11501438"/>
          <a:ext cx="52388" cy="414337"/>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2</xdr:col>
      <xdr:colOff>454659</xdr:colOff>
      <xdr:row>52</xdr:row>
      <xdr:rowOff>101600</xdr:rowOff>
    </xdr:from>
    <xdr:to>
      <xdr:col>3</xdr:col>
      <xdr:colOff>623886</xdr:colOff>
      <xdr:row>53</xdr:row>
      <xdr:rowOff>185736</xdr:rowOff>
    </xdr:to>
    <xdr:sp macro="" textlink="">
      <xdr:nvSpPr>
        <xdr:cNvPr id="13" name="Text Box 1042">
          <a:extLst>
            <a:ext uri="{FF2B5EF4-FFF2-40B4-BE49-F238E27FC236}">
              <a16:creationId xmlns:a16="http://schemas.microsoft.com/office/drawing/2014/main" id="{0073B178-B8A4-B273-7535-D93EBF0790E8}"/>
            </a:ext>
          </a:extLst>
        </xdr:cNvPr>
        <xdr:cNvSpPr txBox="1"/>
      </xdr:nvSpPr>
      <xdr:spPr>
        <a:xfrm>
          <a:off x="2102484" y="11564938"/>
          <a:ext cx="1059815" cy="284161"/>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spcAft>
              <a:spcPts val="800"/>
            </a:spcAft>
          </a:pPr>
          <a:r>
            <a:rPr lang="en-PH" sz="1100" kern="100">
              <a:solidFill>
                <a:srgbClr val="000000"/>
              </a:solidFill>
              <a:effectLst/>
              <a:latin typeface="Adobe Caslon Pro"/>
              <a:ea typeface="Garamond" panose="02020404030301010803" pitchFamily="18" charset="0"/>
              <a:cs typeface="Garamond" panose="02020404030301010803" pitchFamily="18" charset="0"/>
            </a:rPr>
            <a:t>3 rows (AY 1)</a:t>
          </a:r>
        </a:p>
      </xdr:txBody>
    </xdr:sp>
    <xdr:clientData/>
  </xdr:twoCellAnchor>
  <xdr:twoCellAnchor>
    <xdr:from>
      <xdr:col>2</xdr:col>
      <xdr:colOff>395286</xdr:colOff>
      <xdr:row>54</xdr:row>
      <xdr:rowOff>116829</xdr:rowOff>
    </xdr:from>
    <xdr:to>
      <xdr:col>2</xdr:col>
      <xdr:colOff>457199</xdr:colOff>
      <xdr:row>55</xdr:row>
      <xdr:rowOff>164454</xdr:rowOff>
    </xdr:to>
    <xdr:sp macro="" textlink="">
      <xdr:nvSpPr>
        <xdr:cNvPr id="14" name="Right Brace 13">
          <a:extLst>
            <a:ext uri="{FF2B5EF4-FFF2-40B4-BE49-F238E27FC236}">
              <a16:creationId xmlns:a16="http://schemas.microsoft.com/office/drawing/2014/main" id="{AF2A56BB-FB47-4FF2-8CF0-496A600B580A}"/>
            </a:ext>
          </a:extLst>
        </xdr:cNvPr>
        <xdr:cNvSpPr/>
      </xdr:nvSpPr>
      <xdr:spPr>
        <a:xfrm>
          <a:off x="2041582" y="11776135"/>
          <a:ext cx="61913" cy="247532"/>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2</xdr:col>
      <xdr:colOff>454659</xdr:colOff>
      <xdr:row>54</xdr:row>
      <xdr:rowOff>85432</xdr:rowOff>
    </xdr:from>
    <xdr:to>
      <xdr:col>3</xdr:col>
      <xdr:colOff>623886</xdr:colOff>
      <xdr:row>55</xdr:row>
      <xdr:rowOff>169568</xdr:rowOff>
    </xdr:to>
    <xdr:sp macro="" textlink="">
      <xdr:nvSpPr>
        <xdr:cNvPr id="15" name="Text Box 1042">
          <a:extLst>
            <a:ext uri="{FF2B5EF4-FFF2-40B4-BE49-F238E27FC236}">
              <a16:creationId xmlns:a16="http://schemas.microsoft.com/office/drawing/2014/main" id="{8E5553E8-AF89-401C-8F90-D3B698D40644}"/>
            </a:ext>
          </a:extLst>
        </xdr:cNvPr>
        <xdr:cNvSpPr txBox="1"/>
      </xdr:nvSpPr>
      <xdr:spPr>
        <a:xfrm>
          <a:off x="2100955" y="11744738"/>
          <a:ext cx="1059991" cy="28404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spcAft>
              <a:spcPts val="800"/>
            </a:spcAft>
          </a:pPr>
          <a:r>
            <a:rPr lang="en-PH" sz="1100" kern="100">
              <a:solidFill>
                <a:srgbClr val="000000"/>
              </a:solidFill>
              <a:effectLst/>
              <a:latin typeface="Adobe Caslon Pro"/>
              <a:ea typeface="Garamond" panose="02020404030301010803" pitchFamily="18" charset="0"/>
              <a:cs typeface="Garamond" panose="02020404030301010803" pitchFamily="18" charset="0"/>
            </a:rPr>
            <a:t>2 rows (AY 2)</a:t>
          </a:r>
        </a:p>
      </xdr:txBody>
    </xdr:sp>
    <xdr:clientData/>
  </xdr:twoCellAnchor>
  <xdr:twoCellAnchor>
    <xdr:from>
      <xdr:col>2</xdr:col>
      <xdr:colOff>405695</xdr:colOff>
      <xdr:row>56</xdr:row>
      <xdr:rowOff>17639</xdr:rowOff>
    </xdr:from>
    <xdr:to>
      <xdr:col>2</xdr:col>
      <xdr:colOff>451414</xdr:colOff>
      <xdr:row>56</xdr:row>
      <xdr:rowOff>132292</xdr:rowOff>
    </xdr:to>
    <xdr:sp macro="" textlink="">
      <xdr:nvSpPr>
        <xdr:cNvPr id="16" name="Right Brace 15">
          <a:extLst>
            <a:ext uri="{FF2B5EF4-FFF2-40B4-BE49-F238E27FC236}">
              <a16:creationId xmlns:a16="http://schemas.microsoft.com/office/drawing/2014/main" id="{12658766-D812-4D6F-B645-BF09C49945E4}"/>
            </a:ext>
          </a:extLst>
        </xdr:cNvPr>
        <xdr:cNvSpPr/>
      </xdr:nvSpPr>
      <xdr:spPr>
        <a:xfrm>
          <a:off x="2051991" y="12076759"/>
          <a:ext cx="45719" cy="114653"/>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2</xdr:col>
      <xdr:colOff>454659</xdr:colOff>
      <xdr:row>55</xdr:row>
      <xdr:rowOff>114653</xdr:rowOff>
    </xdr:from>
    <xdr:to>
      <xdr:col>3</xdr:col>
      <xdr:colOff>623886</xdr:colOff>
      <xdr:row>56</xdr:row>
      <xdr:rowOff>198789</xdr:rowOff>
    </xdr:to>
    <xdr:sp macro="" textlink="">
      <xdr:nvSpPr>
        <xdr:cNvPr id="17" name="Text Box 1042">
          <a:extLst>
            <a:ext uri="{FF2B5EF4-FFF2-40B4-BE49-F238E27FC236}">
              <a16:creationId xmlns:a16="http://schemas.microsoft.com/office/drawing/2014/main" id="{1B4A8FE6-259C-4BF9-8326-F3A44BF864CC}"/>
            </a:ext>
          </a:extLst>
        </xdr:cNvPr>
        <xdr:cNvSpPr txBox="1"/>
      </xdr:nvSpPr>
      <xdr:spPr>
        <a:xfrm>
          <a:off x="2100955" y="11973866"/>
          <a:ext cx="1059991" cy="28404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spcAft>
              <a:spcPts val="800"/>
            </a:spcAft>
          </a:pPr>
          <a:r>
            <a:rPr lang="en-PH" sz="1100" kern="100">
              <a:solidFill>
                <a:srgbClr val="000000"/>
              </a:solidFill>
              <a:effectLst/>
              <a:latin typeface="Adobe Caslon Pro"/>
              <a:ea typeface="Garamond" panose="02020404030301010803" pitchFamily="18" charset="0"/>
              <a:cs typeface="Garamond" panose="02020404030301010803" pitchFamily="18" charset="0"/>
            </a:rPr>
            <a:t>1 row (AY 3)</a:t>
          </a:r>
        </a:p>
      </xdr:txBody>
    </xdr:sp>
    <xdr:clientData/>
  </xdr:twoCellAnchor>
  <xdr:oneCellAnchor>
    <xdr:from>
      <xdr:col>1</xdr:col>
      <xdr:colOff>0</xdr:colOff>
      <xdr:row>60</xdr:row>
      <xdr:rowOff>0</xdr:rowOff>
    </xdr:from>
    <xdr:ext cx="791178" cy="172227"/>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9738A3B6-A984-4197-8D8E-8488EF8E3AA8}"/>
                </a:ext>
              </a:extLst>
            </xdr:cNvPr>
            <xdr:cNvSpPr txBox="1"/>
          </xdr:nvSpPr>
          <xdr:spPr>
            <a:xfrm>
              <a:off x="823590" y="12894559"/>
              <a:ext cx="7911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𝜇</m:t>
                    </m:r>
                    <m:r>
                      <a:rPr lang="en-PH" sz="1100" i="1">
                        <a:solidFill>
                          <a:schemeClr val="tx1"/>
                        </a:solidFill>
                        <a:effectLst/>
                        <a:latin typeface="Cambria Math" panose="02040503050406030204" pitchFamily="18" charset="0"/>
                        <a:ea typeface="+mn-ea"/>
                        <a:cs typeface="+mn-cs"/>
                      </a:rPr>
                      <m:t>=</m:t>
                    </m:r>
                    <m:sSup>
                      <m:sSupPr>
                        <m:ctrlPr>
                          <a:rPr lang="en-PH" sz="1100" i="1">
                            <a:solidFill>
                              <a:schemeClr val="tx1"/>
                            </a:solidFill>
                            <a:effectLst/>
                            <a:latin typeface="Cambria Math" panose="02040503050406030204" pitchFamily="18" charset="0"/>
                            <a:ea typeface="+mn-ea"/>
                            <a:cs typeface="+mn-cs"/>
                          </a:rPr>
                        </m:ctrlPr>
                      </m:sSupPr>
                      <m:e>
                        <m:r>
                          <a:rPr lang="en-PH" sz="1100" i="1">
                            <a:solidFill>
                              <a:schemeClr val="tx1"/>
                            </a:solidFill>
                            <a:effectLst/>
                            <a:latin typeface="Cambria Math" panose="02040503050406030204" pitchFamily="18" charset="0"/>
                            <a:ea typeface="+mn-ea"/>
                            <a:cs typeface="+mn-cs"/>
                          </a:rPr>
                          <m:t>ℎ</m:t>
                        </m:r>
                      </m:e>
                      <m:sup>
                        <m:r>
                          <a:rPr lang="en-PH" sz="1100" i="1">
                            <a:solidFill>
                              <a:schemeClr val="tx1"/>
                            </a:solidFill>
                            <a:effectLst/>
                            <a:latin typeface="Cambria Math" panose="02040503050406030204" pitchFamily="18" charset="0"/>
                            <a:ea typeface="+mn-ea"/>
                            <a:cs typeface="+mn-cs"/>
                          </a:rPr>
                          <m:t>−1</m:t>
                        </m:r>
                      </m:sup>
                    </m:sSup>
                    <m:d>
                      <m:dPr>
                        <m:ctrlPr>
                          <a:rPr lang="en-PH" sz="1100" i="1">
                            <a:solidFill>
                              <a:schemeClr val="tx1"/>
                            </a:solidFill>
                            <a:effectLst/>
                            <a:latin typeface="Cambria Math" panose="02040503050406030204" pitchFamily="18" charset="0"/>
                            <a:ea typeface="+mn-ea"/>
                            <a:cs typeface="+mn-cs"/>
                          </a:rPr>
                        </m:ctrlPr>
                      </m:dPr>
                      <m:e>
                        <m:r>
                          <a:rPr lang="en-PH" sz="1100" i="1">
                            <a:solidFill>
                              <a:schemeClr val="tx1"/>
                            </a:solidFill>
                            <a:effectLst/>
                            <a:latin typeface="Cambria Math" panose="02040503050406030204" pitchFamily="18" charset="0"/>
                            <a:ea typeface="+mn-ea"/>
                            <a:cs typeface="+mn-cs"/>
                          </a:rPr>
                          <m:t>𝑋</m:t>
                        </m:r>
                        <m:r>
                          <a:rPr lang="en-PH" sz="1100" i="1">
                            <a:solidFill>
                              <a:schemeClr val="tx1"/>
                            </a:solidFill>
                            <a:effectLst/>
                            <a:latin typeface="Cambria Math" panose="02040503050406030204" pitchFamily="18" charset="0"/>
                            <a:ea typeface="+mn-ea"/>
                            <a:cs typeface="+mn-cs"/>
                          </a:rPr>
                          <m:t>𝛽</m:t>
                        </m:r>
                      </m:e>
                    </m:d>
                  </m:oMath>
                </m:oMathPara>
              </a14:m>
              <a:endParaRPr lang="en-PH" sz="1100">
                <a:solidFill>
                  <a:schemeClr val="tx1"/>
                </a:solidFill>
                <a:effectLst/>
                <a:latin typeface="+mn-lt"/>
                <a:ea typeface="+mn-ea"/>
                <a:cs typeface="+mn-cs"/>
              </a:endParaRPr>
            </a:p>
          </xdr:txBody>
        </xdr:sp>
      </mc:Choice>
      <mc:Fallback xmlns="">
        <xdr:sp macro="" textlink="">
          <xdr:nvSpPr>
            <xdr:cNvPr id="18" name="TextBox 17">
              <a:extLst>
                <a:ext uri="{FF2B5EF4-FFF2-40B4-BE49-F238E27FC236}">
                  <a16:creationId xmlns:a16="http://schemas.microsoft.com/office/drawing/2014/main" id="{9738A3B6-A984-4197-8D8E-8488EF8E3AA8}"/>
                </a:ext>
              </a:extLst>
            </xdr:cNvPr>
            <xdr:cNvSpPr txBox="1"/>
          </xdr:nvSpPr>
          <xdr:spPr>
            <a:xfrm>
              <a:off x="823590" y="12894559"/>
              <a:ext cx="7911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𝜇=ℎ^(−1) (𝑋𝛽)</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61</xdr:row>
      <xdr:rowOff>0</xdr:rowOff>
    </xdr:from>
    <xdr:ext cx="1405193" cy="172227"/>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C4DA0AEE-4568-4D46-B4AF-853998E0F3B1}"/>
                </a:ext>
              </a:extLst>
            </xdr:cNvPr>
            <xdr:cNvSpPr txBox="1"/>
          </xdr:nvSpPr>
          <xdr:spPr>
            <a:xfrm>
              <a:off x="823590" y="13095085"/>
              <a:ext cx="140519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ℎ</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𝑖𝑑𝑒𝑛𝑡𝑖𝑡𝑦</m:t>
                    </m:r>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𝑓𝑢𝑛𝑐𝑡𝑖𝑜𝑛</m:t>
                    </m:r>
                  </m:oMath>
                </m:oMathPara>
              </a14:m>
              <a:endParaRPr lang="en-PH" sz="1100">
                <a:solidFill>
                  <a:schemeClr val="tx1"/>
                </a:solidFill>
                <a:effectLst/>
                <a:latin typeface="+mn-lt"/>
                <a:ea typeface="+mn-ea"/>
                <a:cs typeface="+mn-cs"/>
              </a:endParaRPr>
            </a:p>
          </xdr:txBody>
        </xdr:sp>
      </mc:Choice>
      <mc:Fallback xmlns="">
        <xdr:sp macro="" textlink="">
          <xdr:nvSpPr>
            <xdr:cNvPr id="19" name="TextBox 18">
              <a:extLst>
                <a:ext uri="{FF2B5EF4-FFF2-40B4-BE49-F238E27FC236}">
                  <a16:creationId xmlns:a16="http://schemas.microsoft.com/office/drawing/2014/main" id="{C4DA0AEE-4568-4D46-B4AF-853998E0F3B1}"/>
                </a:ext>
              </a:extLst>
            </xdr:cNvPr>
            <xdr:cNvSpPr txBox="1"/>
          </xdr:nvSpPr>
          <xdr:spPr>
            <a:xfrm>
              <a:off x="823590" y="13095085"/>
              <a:ext cx="140519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ℎ=𝑖𝑑𝑒𝑛𝑡𝑖𝑡𝑦 𝑓𝑢𝑛𝑐𝑡𝑖𝑜𝑛</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62</xdr:row>
      <xdr:rowOff>118168</xdr:rowOff>
    </xdr:from>
    <xdr:ext cx="1803378" cy="382412"/>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0D3C4802-0AB0-4131-AFB6-97A1505F1A91}"/>
                </a:ext>
              </a:extLst>
            </xdr:cNvPr>
            <xdr:cNvSpPr txBox="1"/>
          </xdr:nvSpPr>
          <xdr:spPr>
            <a:xfrm>
              <a:off x="823590" y="13413779"/>
              <a:ext cx="1803378" cy="382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acc>
                          <m:accPr>
                            <m:chr m:val="̂"/>
                            <m:ctrlPr>
                              <a:rPr lang="en-PH" sz="1100" i="1">
                                <a:solidFill>
                                  <a:schemeClr val="tx1"/>
                                </a:solidFill>
                                <a:effectLst/>
                                <a:latin typeface="Cambria Math" panose="02040503050406030204" pitchFamily="18" charset="0"/>
                                <a:ea typeface="+mn-ea"/>
                                <a:cs typeface="+mn-cs"/>
                              </a:rPr>
                            </m:ctrlPr>
                          </m:accPr>
                          <m:e>
                            <m:r>
                              <a:rPr lang="en-PH" sz="1100" i="1">
                                <a:solidFill>
                                  <a:schemeClr val="tx1"/>
                                </a:solidFill>
                                <a:effectLst/>
                                <a:latin typeface="Cambria Math" panose="02040503050406030204" pitchFamily="18" charset="0"/>
                                <a:ea typeface="+mn-ea"/>
                                <a:cs typeface="+mn-cs"/>
                              </a:rPr>
                              <m:t>𝑓</m:t>
                            </m:r>
                          </m:e>
                        </m:acc>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−1|</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𝑂𝐷𝑃</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𝑓</m:t>
                            </m:r>
                          </m:e>
                          <m:sub>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−1, </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𝜙</m:t>
                                </m:r>
                              </m:e>
                              <m:sub>
                                <m:r>
                                  <a:rPr lang="en-PH" sz="1100" i="1">
                                    <a:solidFill>
                                      <a:schemeClr val="tx1"/>
                                    </a:solidFill>
                                    <a:effectLst/>
                                    <a:latin typeface="Cambria Math" panose="02040503050406030204" pitchFamily="18" charset="0"/>
                                    <a:ea typeface="+mn-ea"/>
                                    <a:cs typeface="+mn-cs"/>
                                  </a:rPr>
                                  <m:t>𝑗</m:t>
                                </m:r>
                              </m:sub>
                            </m:sSub>
                          </m:num>
                          <m:den>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𝑋</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den>
                        </m:f>
                      </m:e>
                    </m:d>
                  </m:oMath>
                </m:oMathPara>
              </a14:m>
              <a:endParaRPr lang="en-PH" sz="1100">
                <a:solidFill>
                  <a:schemeClr val="tx1"/>
                </a:solidFill>
                <a:effectLst/>
                <a:latin typeface="+mn-lt"/>
                <a:ea typeface="+mn-ea"/>
                <a:cs typeface="+mn-cs"/>
              </a:endParaRPr>
            </a:p>
          </xdr:txBody>
        </xdr:sp>
      </mc:Choice>
      <mc:Fallback xmlns="">
        <xdr:sp macro="" textlink="">
          <xdr:nvSpPr>
            <xdr:cNvPr id="20" name="TextBox 19">
              <a:extLst>
                <a:ext uri="{FF2B5EF4-FFF2-40B4-BE49-F238E27FC236}">
                  <a16:creationId xmlns:a16="http://schemas.microsoft.com/office/drawing/2014/main" id="{0D3C4802-0AB0-4131-AFB6-97A1505F1A91}"/>
                </a:ext>
              </a:extLst>
            </xdr:cNvPr>
            <xdr:cNvSpPr txBox="1"/>
          </xdr:nvSpPr>
          <xdr:spPr>
            <a:xfrm>
              <a:off x="823590" y="13413779"/>
              <a:ext cx="1803378" cy="382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𝑓 ̂_(𝑘,𝑗)−1|𝑋_(𝑘,𝑗)~𝑂𝐷𝑃(𝑓_𝑗−1, 𝜙_𝑗/𝑋_(𝑘,𝑗) )</a:t>
              </a:r>
              <a:endParaRPr lang="en-PH" sz="1100">
                <a:solidFill>
                  <a:schemeClr val="tx1"/>
                </a:solidFill>
                <a:effectLst/>
                <a:latin typeface="+mn-lt"/>
                <a:ea typeface="+mn-ea"/>
                <a:cs typeface="+mn-cs"/>
              </a:endParaRPr>
            </a:p>
          </xdr:txBody>
        </xdr:sp>
      </mc:Fallback>
    </mc:AlternateContent>
    <xdr:clientData/>
  </xdr:oneCellAnchor>
  <xdr:oneCellAnchor>
    <xdr:from>
      <xdr:col>3</xdr:col>
      <xdr:colOff>551448</xdr:colOff>
      <xdr:row>59</xdr:row>
      <xdr:rowOff>186204</xdr:rowOff>
    </xdr:from>
    <xdr:ext cx="800539" cy="537968"/>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866A0CBA-C20A-4649-B02D-BA6D729A30DB}"/>
                </a:ext>
              </a:extLst>
            </xdr:cNvPr>
            <xdr:cNvSpPr txBox="1"/>
          </xdr:nvSpPr>
          <xdr:spPr>
            <a:xfrm>
              <a:off x="3090255" y="12880236"/>
              <a:ext cx="800539" cy="537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𝛽</m:t>
                    </m:r>
                    <m:r>
                      <a:rPr lang="en-PH" sz="1100" i="1">
                        <a:solidFill>
                          <a:schemeClr val="tx1"/>
                        </a:solidFill>
                        <a:effectLst/>
                        <a:latin typeface="Cambria Math" panose="02040503050406030204" pitchFamily="18" charset="0"/>
                        <a:ea typeface="+mn-ea"/>
                        <a:cs typeface="+mn-cs"/>
                      </a:rPr>
                      <m:t>= </m:t>
                    </m:r>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PH" sz="1100" i="1">
                                <a:solidFill>
                                  <a:schemeClr val="tx1"/>
                                </a:solidFill>
                                <a:effectLst/>
                                <a:latin typeface="Cambria Math" panose="02040503050406030204" pitchFamily="18" charset="0"/>
                                <a:ea typeface="+mn-ea"/>
                                <a:cs typeface="+mn-cs"/>
                              </a:rPr>
                            </m:ctrlPr>
                          </m:mP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𝑓</m:t>
                                  </m:r>
                                </m:e>
                                <m:sub>
                                  <m:r>
                                    <a:rPr lang="en-PH" sz="1100" i="1">
                                      <a:solidFill>
                                        <a:schemeClr val="tx1"/>
                                      </a:solidFill>
                                      <a:effectLst/>
                                      <a:latin typeface="Cambria Math" panose="02040503050406030204" pitchFamily="18" charset="0"/>
                                      <a:ea typeface="+mn-ea"/>
                                      <a:cs typeface="+mn-cs"/>
                                    </a:rPr>
                                    <m:t>1</m:t>
                                  </m:r>
                                </m:sub>
                              </m:sSub>
                              <m:r>
                                <a:rPr lang="en-PH" sz="1100" i="1">
                                  <a:solidFill>
                                    <a:schemeClr val="tx1"/>
                                  </a:solidFill>
                                  <a:effectLst/>
                                  <a:latin typeface="Cambria Math" panose="02040503050406030204" pitchFamily="18" charset="0"/>
                                  <a:ea typeface="+mn-ea"/>
                                  <a:cs typeface="+mn-cs"/>
                                </a:rPr>
                                <m:t>−1</m:t>
                              </m:r>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𝑓</m:t>
                                  </m:r>
                                </m:e>
                                <m:sub>
                                  <m:r>
                                    <a:rPr lang="en-PH" sz="1100" i="1">
                                      <a:solidFill>
                                        <a:schemeClr val="tx1"/>
                                      </a:solidFill>
                                      <a:effectLst/>
                                      <a:latin typeface="Cambria Math" panose="02040503050406030204" pitchFamily="18" charset="0"/>
                                      <a:ea typeface="+mn-ea"/>
                                      <a:cs typeface="+mn-cs"/>
                                    </a:rPr>
                                    <m:t>2</m:t>
                                  </m:r>
                                </m:sub>
                              </m:sSub>
                              <m:r>
                                <a:rPr lang="en-PH" sz="1100" i="1">
                                  <a:solidFill>
                                    <a:schemeClr val="tx1"/>
                                  </a:solidFill>
                                  <a:effectLst/>
                                  <a:latin typeface="Cambria Math" panose="02040503050406030204" pitchFamily="18" charset="0"/>
                                  <a:ea typeface="+mn-ea"/>
                                  <a:cs typeface="+mn-cs"/>
                                </a:rPr>
                                <m:t>−1</m:t>
                              </m:r>
                            </m:e>
                          </m:mr>
                          <m:m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𝑓</m:t>
                                  </m:r>
                                </m:e>
                                <m:sub>
                                  <m:r>
                                    <a:rPr lang="en-PH" sz="1100" i="1">
                                      <a:solidFill>
                                        <a:schemeClr val="tx1"/>
                                      </a:solidFill>
                                      <a:effectLst/>
                                      <a:latin typeface="Cambria Math" panose="02040503050406030204" pitchFamily="18" charset="0"/>
                                      <a:ea typeface="+mn-ea"/>
                                      <a:cs typeface="+mn-cs"/>
                                    </a:rPr>
                                    <m:t>3</m:t>
                                  </m:r>
                                </m:sub>
                              </m:sSub>
                              <m:r>
                                <a:rPr lang="en-PH" sz="1100" i="1">
                                  <a:solidFill>
                                    <a:schemeClr val="tx1"/>
                                  </a:solidFill>
                                  <a:effectLst/>
                                  <a:latin typeface="Cambria Math" panose="02040503050406030204" pitchFamily="18" charset="0"/>
                                  <a:ea typeface="+mn-ea"/>
                                  <a:cs typeface="+mn-cs"/>
                                </a:rPr>
                                <m:t>−1</m:t>
                              </m:r>
                            </m:e>
                          </m:mr>
                        </m:m>
                      </m:e>
                    </m:d>
                  </m:oMath>
                </m:oMathPara>
              </a14:m>
              <a:endParaRPr lang="en-PH" sz="1100">
                <a:solidFill>
                  <a:schemeClr val="tx1"/>
                </a:solidFill>
                <a:effectLst/>
                <a:latin typeface="+mn-lt"/>
                <a:ea typeface="+mn-ea"/>
                <a:cs typeface="+mn-cs"/>
              </a:endParaRPr>
            </a:p>
          </xdr:txBody>
        </xdr:sp>
      </mc:Choice>
      <mc:Fallback xmlns="">
        <xdr:sp macro="" textlink="">
          <xdr:nvSpPr>
            <xdr:cNvPr id="21" name="TextBox 20">
              <a:extLst>
                <a:ext uri="{FF2B5EF4-FFF2-40B4-BE49-F238E27FC236}">
                  <a16:creationId xmlns:a16="http://schemas.microsoft.com/office/drawing/2014/main" id="{866A0CBA-C20A-4649-B02D-BA6D729A30DB}"/>
                </a:ext>
              </a:extLst>
            </xdr:cNvPr>
            <xdr:cNvSpPr txBox="1"/>
          </xdr:nvSpPr>
          <xdr:spPr>
            <a:xfrm>
              <a:off x="3090255" y="12880236"/>
              <a:ext cx="800539" cy="5379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i="0">
                  <a:solidFill>
                    <a:schemeClr val="tx1"/>
                  </a:solidFill>
                  <a:effectLst/>
                  <a:latin typeface="+mn-lt"/>
                  <a:ea typeface="+mn-ea"/>
                  <a:cs typeface="+mn-cs"/>
                </a:rPr>
                <a:t>𝛽= [■8(𝑓_1−1@𝑓_2−1@𝑓_3−1)]</a:t>
              </a:r>
              <a:endParaRPr lang="en-PH" sz="1100">
                <a:solidFill>
                  <a:schemeClr val="tx1"/>
                </a:solidFill>
                <a:effectLst/>
                <a:latin typeface="+mn-lt"/>
                <a:ea typeface="+mn-ea"/>
                <a:cs typeface="+mn-cs"/>
              </a:endParaRPr>
            </a:p>
          </xdr:txBody>
        </xdr:sp>
      </mc:Fallback>
    </mc:AlternateContent>
    <xdr:clientData/>
  </xdr:oneCellAnchor>
  <xdr:twoCellAnchor>
    <xdr:from>
      <xdr:col>6</xdr:col>
      <xdr:colOff>305699</xdr:colOff>
      <xdr:row>69</xdr:row>
      <xdr:rowOff>180324</xdr:rowOff>
    </xdr:from>
    <xdr:to>
      <xdr:col>7</xdr:col>
      <xdr:colOff>188713</xdr:colOff>
      <xdr:row>82</xdr:row>
      <xdr:rowOff>131032</xdr:rowOff>
    </xdr:to>
    <xdr:pic>
      <xdr:nvPicPr>
        <xdr:cNvPr id="22" name="Picture 21">
          <a:extLst>
            <a:ext uri="{FF2B5EF4-FFF2-40B4-BE49-F238E27FC236}">
              <a16:creationId xmlns:a16="http://schemas.microsoft.com/office/drawing/2014/main" id="{475FEC65-B1D0-EDA3-656F-40C2D2D3EBB7}"/>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22199" y="14404324"/>
          <a:ext cx="602681" cy="2596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20760</xdr:colOff>
      <xdr:row>86</xdr:row>
      <xdr:rowOff>68995</xdr:rowOff>
    </xdr:from>
    <xdr:ext cx="2460624" cy="1605183"/>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C45FE90-CA14-412E-A2FB-F74436E2AF29}"/>
                </a:ext>
              </a:extLst>
            </xdr:cNvPr>
            <xdr:cNvSpPr txBox="1"/>
          </xdr:nvSpPr>
          <xdr:spPr>
            <a:xfrm>
              <a:off x="842918" y="18241693"/>
              <a:ext cx="2460624" cy="16051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PH" sz="1100" b="1" i="1">
                        <a:solidFill>
                          <a:schemeClr val="tx1"/>
                        </a:solidFill>
                        <a:effectLst/>
                        <a:latin typeface="Cambria Math" panose="02040503050406030204" pitchFamily="18" charset="0"/>
                        <a:ea typeface="+mn-ea"/>
                        <a:cs typeface="+mn-cs"/>
                      </a:rPr>
                      <m:t>𝐗</m:t>
                    </m:r>
                    <m:r>
                      <a:rPr lang="en-PH" sz="1100" i="1">
                        <a:solidFill>
                          <a:schemeClr val="tx1"/>
                        </a:solidFill>
                        <a:effectLst/>
                        <a:latin typeface="Cambria Math" panose="02040503050406030204" pitchFamily="18" charset="0"/>
                        <a:ea typeface="+mn-ea"/>
                        <a:cs typeface="+mn-cs"/>
                      </a:rPr>
                      <m:t>= </m:t>
                    </m:r>
                    <m:d>
                      <m:dPr>
                        <m:ctrlPr>
                          <a:rPr lang="en-PH" sz="1100" i="1">
                            <a:solidFill>
                              <a:schemeClr val="tx1"/>
                            </a:solidFill>
                            <a:effectLst/>
                            <a:latin typeface="Cambria Math" panose="02040503050406030204" pitchFamily="18" charset="0"/>
                            <a:ea typeface="+mn-ea"/>
                            <a:cs typeface="+mn-cs"/>
                          </a:rPr>
                        </m:ctrlPr>
                      </m:dPr>
                      <m:e>
                        <m:m>
                          <m:mPr>
                            <m:mcs>
                              <m:mc>
                                <m:mcPr>
                                  <m:count m:val="8"/>
                                  <m:mcJc m:val="center"/>
                                </m:mcPr>
                              </m:mc>
                            </m:mcs>
                            <m:ctrlPr>
                              <a:rPr lang="en-PH" sz="1100" i="1">
                                <a:solidFill>
                                  <a:schemeClr val="tx1"/>
                                </a:solidFill>
                                <a:effectLst/>
                                <a:latin typeface="Cambria Math" panose="02040503050406030204" pitchFamily="18" charset="0"/>
                                <a:ea typeface="+mn-ea"/>
                                <a:cs typeface="+mn-cs"/>
                              </a:rPr>
                            </m:ctrlPr>
                          </m:mP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
                      </m:e>
                    </m:d>
                  </m:oMath>
                </m:oMathPara>
              </a14:m>
              <a:endParaRPr lang="en-PH" sz="1100">
                <a:solidFill>
                  <a:schemeClr val="tx1"/>
                </a:solidFill>
                <a:effectLst/>
                <a:latin typeface="+mn-lt"/>
                <a:ea typeface="+mn-ea"/>
                <a:cs typeface="+mn-cs"/>
              </a:endParaRPr>
            </a:p>
          </xdr:txBody>
        </xdr:sp>
      </mc:Choice>
      <mc:Fallback xmlns="">
        <xdr:sp macro="" textlink="">
          <xdr:nvSpPr>
            <xdr:cNvPr id="27" name="TextBox 26">
              <a:extLst>
                <a:ext uri="{FF2B5EF4-FFF2-40B4-BE49-F238E27FC236}">
                  <a16:creationId xmlns:a16="http://schemas.microsoft.com/office/drawing/2014/main" id="{8C45FE90-CA14-412E-A2FB-F74436E2AF29}"/>
                </a:ext>
              </a:extLst>
            </xdr:cNvPr>
            <xdr:cNvSpPr txBox="1"/>
          </xdr:nvSpPr>
          <xdr:spPr>
            <a:xfrm>
              <a:off x="842918" y="18241693"/>
              <a:ext cx="2460624" cy="16051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PH" sz="1100" b="1" i="0">
                  <a:solidFill>
                    <a:schemeClr val="tx1"/>
                  </a:solidFill>
                  <a:effectLst/>
                  <a:latin typeface="+mn-lt"/>
                  <a:ea typeface="+mn-ea"/>
                  <a:cs typeface="+mn-cs"/>
                </a:rPr>
                <a:t>𝐗</a:t>
              </a:r>
              <a:r>
                <a:rPr lang="en-PH" sz="1100" i="0">
                  <a:solidFill>
                    <a:schemeClr val="tx1"/>
                  </a:solidFill>
                  <a:effectLst/>
                  <a:latin typeface="+mn-lt"/>
                  <a:ea typeface="+mn-ea"/>
                  <a:cs typeface="+mn-cs"/>
                </a:rPr>
                <a:t>= (■8(1&amp;0&amp;0&amp;0&amp;1&amp;0&amp;0&amp;0@1&amp;0&amp;0&amp;0&amp;0&amp;1&amp;0&amp;0@1&amp;0&amp;0&amp;0&amp;0&amp;0&amp;1&amp;0@1&amp;0&amp;0&amp;0&amp;0&amp;0&amp;0&amp;1@0&amp;1&amp;0&amp;0&amp;1&amp;0&amp;0&amp;0@0&amp;1&amp;0&amp;0&amp;0&amp;1&amp;0&amp;0@0&amp;1&amp;0&amp;0&amp;0&amp;0&amp;1&amp;0@0&amp;0&amp;1&amp;0&amp;1&amp;0&amp;0&amp;0@0&amp;0&amp;1&amp;0&amp;0&amp;1&amp;0&amp;0@0&amp;0&amp;0&amp;1&amp;1&amp;0&amp;0&amp;0))</a:t>
              </a:r>
              <a:endParaRPr lang="en-PH" sz="1100">
                <a:solidFill>
                  <a:schemeClr val="tx1"/>
                </a:solidFill>
                <a:effectLst/>
                <a:latin typeface="+mn-lt"/>
                <a:ea typeface="+mn-ea"/>
                <a:cs typeface="+mn-cs"/>
              </a:endParaRPr>
            </a:p>
          </xdr:txBody>
        </xdr:sp>
      </mc:Fallback>
    </mc:AlternateContent>
    <xdr:clientData/>
  </xdr:oneCellAnchor>
  <xdr:oneCellAnchor>
    <xdr:from>
      <xdr:col>1</xdr:col>
      <xdr:colOff>676275</xdr:colOff>
      <xdr:row>95</xdr:row>
      <xdr:rowOff>58211</xdr:rowOff>
    </xdr:from>
    <xdr:ext cx="663130" cy="344453"/>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2C429652-6DE3-4849-BB0A-1521C1372079}"/>
                </a:ext>
              </a:extLst>
            </xdr:cNvPr>
            <xdr:cNvSpPr txBox="1"/>
          </xdr:nvSpPr>
          <xdr:spPr>
            <a:xfrm>
              <a:off x="1499671" y="20054973"/>
              <a:ext cx="6631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𝑘</m:t>
                        </m:r>
                      </m:sub>
                    </m:sSub>
                  </m:oMath>
                </m:oMathPara>
              </a14:m>
              <a:endParaRPr lang="en-PH" sz="1100">
                <a:solidFill>
                  <a:schemeClr val="tx1"/>
                </a:solidFill>
                <a:effectLst/>
                <a:latin typeface="+mn-lt"/>
                <a:ea typeface="+mn-ea"/>
                <a:cs typeface="+mn-cs"/>
              </a:endParaRPr>
            </a:p>
            <a:p>
              <a:r>
                <a:rPr lang="en-PH" sz="1100">
                  <a:solidFill>
                    <a:schemeClr val="tx1"/>
                  </a:solidFill>
                  <a:effectLst/>
                  <a:latin typeface="+mn-lt"/>
                  <a:ea typeface="+mn-ea"/>
                  <a:cs typeface="+mn-cs"/>
                </a:rPr>
                <a:t>parameters</a:t>
              </a:r>
            </a:p>
          </xdr:txBody>
        </xdr:sp>
      </mc:Choice>
      <mc:Fallback xmlns="">
        <xdr:sp macro="" textlink="">
          <xdr:nvSpPr>
            <xdr:cNvPr id="28" name="TextBox 27">
              <a:extLst>
                <a:ext uri="{FF2B5EF4-FFF2-40B4-BE49-F238E27FC236}">
                  <a16:creationId xmlns:a16="http://schemas.microsoft.com/office/drawing/2014/main" id="{2C429652-6DE3-4849-BB0A-1521C1372079}"/>
                </a:ext>
              </a:extLst>
            </xdr:cNvPr>
            <xdr:cNvSpPr txBox="1"/>
          </xdr:nvSpPr>
          <xdr:spPr>
            <a:xfrm>
              <a:off x="1499671" y="20054973"/>
              <a:ext cx="6631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𝛼_𝑘</a:t>
              </a:r>
              <a:endParaRPr lang="en-PH" sz="1100">
                <a:solidFill>
                  <a:schemeClr val="tx1"/>
                </a:solidFill>
                <a:effectLst/>
                <a:latin typeface="+mn-lt"/>
                <a:ea typeface="+mn-ea"/>
                <a:cs typeface="+mn-cs"/>
              </a:endParaRPr>
            </a:p>
            <a:p>
              <a:r>
                <a:rPr lang="en-PH" sz="1100">
                  <a:solidFill>
                    <a:schemeClr val="tx1"/>
                  </a:solidFill>
                  <a:effectLst/>
                  <a:latin typeface="+mn-lt"/>
                  <a:ea typeface="+mn-ea"/>
                  <a:cs typeface="+mn-cs"/>
                </a:rPr>
                <a:t>parameters</a:t>
              </a:r>
            </a:p>
          </xdr:txBody>
        </xdr:sp>
      </mc:Fallback>
    </mc:AlternateContent>
    <xdr:clientData/>
  </xdr:oneCellAnchor>
  <xdr:oneCellAnchor>
    <xdr:from>
      <xdr:col>2</xdr:col>
      <xdr:colOff>728721</xdr:colOff>
      <xdr:row>95</xdr:row>
      <xdr:rowOff>58211</xdr:rowOff>
    </xdr:from>
    <xdr:ext cx="694998" cy="353815"/>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D31DE07D-35EB-41E4-A5C2-F954D1CFC419}"/>
                </a:ext>
              </a:extLst>
            </xdr:cNvPr>
            <xdr:cNvSpPr txBox="1"/>
          </xdr:nvSpPr>
          <xdr:spPr>
            <a:xfrm>
              <a:off x="2375513" y="20054973"/>
              <a:ext cx="694998"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a:p>
              <a:pPr/>
              <a14:m>
                <m:oMathPara xmlns:m="http://schemas.openxmlformats.org/officeDocument/2006/math">
                  <m:oMath>
                    <m:r>
                      <m:rPr>
                        <m:nor/>
                      </m:rPr>
                      <a:rPr lang="en-PH" sz="1100" i="0">
                        <a:solidFill>
                          <a:schemeClr val="tx1"/>
                        </a:solidFill>
                        <a:effectLst/>
                        <a:latin typeface="+mn-lt"/>
                        <a:ea typeface="+mn-ea"/>
                        <a:cs typeface="+mn-cs"/>
                      </a:rPr>
                      <m:t>parameters</m:t>
                    </m:r>
                  </m:oMath>
                </m:oMathPara>
              </a14:m>
              <a:endParaRPr lang="en-PH" sz="1100">
                <a:solidFill>
                  <a:schemeClr val="tx1"/>
                </a:solidFill>
                <a:effectLst/>
                <a:latin typeface="+mn-lt"/>
                <a:ea typeface="+mn-ea"/>
                <a:cs typeface="+mn-cs"/>
              </a:endParaRPr>
            </a:p>
          </xdr:txBody>
        </xdr:sp>
      </mc:Choice>
      <mc:Fallback xmlns="">
        <xdr:sp macro="" textlink="">
          <xdr:nvSpPr>
            <xdr:cNvPr id="29" name="TextBox 28">
              <a:extLst>
                <a:ext uri="{FF2B5EF4-FFF2-40B4-BE49-F238E27FC236}">
                  <a16:creationId xmlns:a16="http://schemas.microsoft.com/office/drawing/2014/main" id="{D31DE07D-35EB-41E4-A5C2-F954D1CFC419}"/>
                </a:ext>
              </a:extLst>
            </xdr:cNvPr>
            <xdr:cNvSpPr txBox="1"/>
          </xdr:nvSpPr>
          <xdr:spPr>
            <a:xfrm>
              <a:off x="2375513" y="20054973"/>
              <a:ext cx="694998" cy="353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𝛽_𝑗</a:t>
              </a:r>
              <a:endParaRPr lang="en-PH" sz="1100">
                <a:solidFill>
                  <a:schemeClr val="tx1"/>
                </a:solidFill>
                <a:effectLst/>
                <a:latin typeface="+mn-lt"/>
                <a:ea typeface="+mn-ea"/>
                <a:cs typeface="+mn-cs"/>
              </a:endParaRPr>
            </a:p>
            <a:p>
              <a:r>
                <a:rPr lang="en-PH" sz="1100" i="0">
                  <a:solidFill>
                    <a:schemeClr val="tx1"/>
                  </a:solidFill>
                  <a:effectLst/>
                  <a:latin typeface="Cambria Math" panose="02040503050406030204" pitchFamily="18" charset="0"/>
                  <a:ea typeface="+mn-ea"/>
                  <a:cs typeface="+mn-cs"/>
                </a:rPr>
                <a:t>"parameters</a:t>
              </a:r>
              <a:r>
                <a:rPr lang="en-PH" sz="1100" i="0">
                  <a:solidFill>
                    <a:schemeClr val="tx1"/>
                  </a:solidFill>
                  <a:effectLst/>
                  <a:latin typeface="+mn-lt"/>
                  <a:ea typeface="+mn-ea"/>
                  <a:cs typeface="+mn-cs"/>
                </a:rPr>
                <a:t>"</a:t>
              </a:r>
              <a:endParaRPr lang="en-PH" sz="1100">
                <a:solidFill>
                  <a:schemeClr val="tx1"/>
                </a:solidFill>
                <a:effectLst/>
                <a:latin typeface="+mn-lt"/>
                <a:ea typeface="+mn-ea"/>
                <a:cs typeface="+mn-cs"/>
              </a:endParaRPr>
            </a:p>
          </xdr:txBody>
        </xdr:sp>
      </mc:Fallback>
    </mc:AlternateContent>
    <xdr:clientData/>
  </xdr:oneCellAnchor>
  <xdr:twoCellAnchor>
    <xdr:from>
      <xdr:col>1</xdr:col>
      <xdr:colOff>575623</xdr:colOff>
      <xdr:row>94</xdr:row>
      <xdr:rowOff>105091</xdr:rowOff>
    </xdr:from>
    <xdr:to>
      <xdr:col>2</xdr:col>
      <xdr:colOff>526411</xdr:colOff>
      <xdr:row>95</xdr:row>
      <xdr:rowOff>49846</xdr:rowOff>
    </xdr:to>
    <xdr:sp macro="" textlink="">
      <xdr:nvSpPr>
        <xdr:cNvPr id="30" name="Right Brace 29">
          <a:extLst>
            <a:ext uri="{FF2B5EF4-FFF2-40B4-BE49-F238E27FC236}">
              <a16:creationId xmlns:a16="http://schemas.microsoft.com/office/drawing/2014/main" id="{A9A31531-C93F-D670-8D5A-231B2DAA6EEE}"/>
            </a:ext>
          </a:extLst>
        </xdr:cNvPr>
        <xdr:cNvSpPr/>
      </xdr:nvSpPr>
      <xdr:spPr>
        <a:xfrm rot="5400000">
          <a:off x="1714496" y="19511644"/>
          <a:ext cx="144780" cy="774700"/>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2</xdr:col>
      <xdr:colOff>638173</xdr:colOff>
      <xdr:row>94</xdr:row>
      <xdr:rowOff>105091</xdr:rowOff>
    </xdr:from>
    <xdr:to>
      <xdr:col>3</xdr:col>
      <xdr:colOff>522285</xdr:colOff>
      <xdr:row>95</xdr:row>
      <xdr:rowOff>49846</xdr:rowOff>
    </xdr:to>
    <xdr:sp macro="" textlink="">
      <xdr:nvSpPr>
        <xdr:cNvPr id="31" name="Right Brace 30">
          <a:extLst>
            <a:ext uri="{FF2B5EF4-FFF2-40B4-BE49-F238E27FC236}">
              <a16:creationId xmlns:a16="http://schemas.microsoft.com/office/drawing/2014/main" id="{28CC6F42-B8BF-4348-BDDF-DE1A11C03B84}"/>
            </a:ext>
          </a:extLst>
        </xdr:cNvPr>
        <xdr:cNvSpPr/>
      </xdr:nvSpPr>
      <xdr:spPr>
        <a:xfrm rot="5400000">
          <a:off x="2600958" y="19511644"/>
          <a:ext cx="144780" cy="774700"/>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oneCellAnchor>
    <xdr:from>
      <xdr:col>4</xdr:col>
      <xdr:colOff>55145</xdr:colOff>
      <xdr:row>86</xdr:row>
      <xdr:rowOff>192522</xdr:rowOff>
    </xdr:from>
    <xdr:ext cx="719877" cy="1358129"/>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E0EF1336-6D8A-4AF8-A627-51B5BCD6F3C6}"/>
                </a:ext>
              </a:extLst>
            </xdr:cNvPr>
            <xdr:cNvSpPr txBox="1"/>
          </xdr:nvSpPr>
          <xdr:spPr>
            <a:xfrm>
              <a:off x="3413961" y="18365220"/>
              <a:ext cx="719877" cy="1358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𝛽</m:t>
                    </m:r>
                    <m:r>
                      <a:rPr lang="en-PH" sz="1100" i="1">
                        <a:solidFill>
                          <a:schemeClr val="tx1"/>
                        </a:solidFill>
                        <a:effectLst/>
                        <a:latin typeface="Cambria Math" panose="02040503050406030204" pitchFamily="18" charset="0"/>
                        <a:ea typeface="+mn-ea"/>
                        <a:cs typeface="+mn-cs"/>
                      </a:rPr>
                      <m:t>= </m:t>
                    </m:r>
                    <m:d>
                      <m:dPr>
                        <m:begChr m:val="["/>
                        <m:endChr m:val="]"/>
                        <m:ctrlPr>
                          <a:rPr lang="en-PH" sz="1100" i="1">
                            <a:solidFill>
                              <a:schemeClr val="tx1"/>
                            </a:solidFill>
                            <a:effectLst/>
                            <a:latin typeface="Cambria Math" panose="02040503050406030204" pitchFamily="18" charset="0"/>
                            <a:ea typeface="+mn-ea"/>
                            <a:cs typeface="+mn-cs"/>
                          </a:rPr>
                        </m:ctrlPr>
                      </m:dPr>
                      <m:e>
                        <m:m>
                          <m:mPr>
                            <m:mcs>
                              <m:mc>
                                <m:mcPr>
                                  <m:count m:val="1"/>
                                  <m:mcJc m:val="center"/>
                                </m:mcPr>
                              </m:mc>
                            </m:mcs>
                            <m:ctrlPr>
                              <a:rPr lang="en-PH" sz="1100" i="1">
                                <a:solidFill>
                                  <a:schemeClr val="tx1"/>
                                </a:solidFill>
                                <a:effectLst/>
                                <a:latin typeface="Cambria Math" panose="02040503050406030204" pitchFamily="18" charset="0"/>
                                <a:ea typeface="+mn-ea"/>
                                <a:cs typeface="+mn-cs"/>
                              </a:rPr>
                            </m:ctrlPr>
                          </m:mP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1</m:t>
                                      </m:r>
                                    </m:sub>
                                  </m:sSub>
                                </m:e>
                              </m:func>
                            </m:e>
                          </m:m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2</m:t>
                                      </m:r>
                                    </m:sub>
                                  </m:sSub>
                                </m:e>
                              </m:func>
                            </m:e>
                          </m:m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3</m:t>
                                      </m:r>
                                    </m:sub>
                                  </m:sSub>
                                </m:e>
                              </m:func>
                            </m:e>
                          </m:m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4</m:t>
                                      </m:r>
                                    </m:sub>
                                  </m:sSub>
                                </m:e>
                              </m:func>
                            </m:e>
                          </m:m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1</m:t>
                                      </m:r>
                                    </m:sub>
                                  </m:sSub>
                                </m:e>
                              </m:func>
                            </m:e>
                          </m:m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2</m:t>
                                      </m:r>
                                    </m:sub>
                                  </m:sSub>
                                </m:e>
                              </m:func>
                            </m:e>
                          </m:m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3</m:t>
                                      </m:r>
                                    </m:sub>
                                  </m:sSub>
                                </m:e>
                              </m:func>
                            </m:e>
                          </m:mr>
                          <m:m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4</m:t>
                                      </m:r>
                                    </m:sub>
                                  </m:sSub>
                                </m:e>
                              </m:func>
                            </m:e>
                          </m:mr>
                        </m:m>
                      </m:e>
                    </m:d>
                  </m:oMath>
                </m:oMathPara>
              </a14:m>
              <a:endParaRPr lang="en-PH" sz="1100">
                <a:solidFill>
                  <a:schemeClr val="tx1"/>
                </a:solidFill>
                <a:effectLst/>
                <a:latin typeface="+mn-lt"/>
                <a:ea typeface="+mn-ea"/>
                <a:cs typeface="+mn-cs"/>
              </a:endParaRPr>
            </a:p>
          </xdr:txBody>
        </xdr:sp>
      </mc:Choice>
      <mc:Fallback xmlns="">
        <xdr:sp macro="" textlink="">
          <xdr:nvSpPr>
            <xdr:cNvPr id="32" name="TextBox 31">
              <a:extLst>
                <a:ext uri="{FF2B5EF4-FFF2-40B4-BE49-F238E27FC236}">
                  <a16:creationId xmlns:a16="http://schemas.microsoft.com/office/drawing/2014/main" id="{E0EF1336-6D8A-4AF8-A627-51B5BCD6F3C6}"/>
                </a:ext>
              </a:extLst>
            </xdr:cNvPr>
            <xdr:cNvSpPr txBox="1"/>
          </xdr:nvSpPr>
          <xdr:spPr>
            <a:xfrm>
              <a:off x="3413961" y="18365220"/>
              <a:ext cx="719877" cy="1358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𝛽= [■8(ln⁡〖𝛼_1 〗@ln⁡〖𝛼_2 〗@ln⁡〖𝛼_3 〗@ln⁡〖𝛼_4 〗@ln⁡〖𝛽_1 〗@ln⁡〖𝛽_2 〗@ln⁡〖𝛽_3 〗@ln⁡〖𝛽_4 〗 )]</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100</xdr:row>
      <xdr:rowOff>0</xdr:rowOff>
    </xdr:from>
    <xdr:ext cx="1475276" cy="194797"/>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09E941BB-DAE9-416F-A4FC-A1445B61C1A2}"/>
                </a:ext>
              </a:extLst>
            </xdr:cNvPr>
            <xdr:cNvSpPr txBox="1"/>
          </xdr:nvSpPr>
          <xdr:spPr>
            <a:xfrm>
              <a:off x="822158" y="23185856"/>
              <a:ext cx="1475276" cy="194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𝜇</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m:t>
                    </m:r>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exp</m:t>
                        </m:r>
                      </m:fName>
                      <m:e>
                        <m:d>
                          <m:dPr>
                            <m:ctrlPr>
                              <a:rPr lang="en-PH" sz="1100" i="1">
                                <a:solidFill>
                                  <a:schemeClr val="tx1"/>
                                </a:solidFill>
                                <a:effectLst/>
                                <a:latin typeface="Cambria Math" panose="02040503050406030204" pitchFamily="18" charset="0"/>
                                <a:ea typeface="+mn-ea"/>
                                <a:cs typeface="+mn-cs"/>
                              </a:rPr>
                            </m:ctrlPr>
                          </m:dPr>
                          <m:e>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func>
                                  <m:funcPr>
                                    <m:ctrlPr>
                                      <a:rPr lang="en-PH" sz="1100">
                                        <a:solidFill>
                                          <a:schemeClr val="tx1"/>
                                        </a:solidFill>
                                        <a:effectLst/>
                                        <a:latin typeface="Cambria Math" panose="02040503050406030204" pitchFamily="18" charset="0"/>
                                        <a:ea typeface="+mn-ea"/>
                                        <a:cs typeface="+mn-cs"/>
                                      </a:rPr>
                                    </m:ctrlPr>
                                  </m:funcPr>
                                  <m:fName>
                                    <m:r>
                                      <m:rPr>
                                        <m:sty m:val="p"/>
                                      </m:rPr>
                                      <a:rPr lang="en-PH" sz="110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e>
                                </m:func>
                              </m:e>
                            </m:func>
                          </m:e>
                        </m:d>
                      </m:e>
                    </m:func>
                  </m:oMath>
                </m:oMathPara>
              </a14:m>
              <a:endParaRPr lang="en-PH" sz="1100">
                <a:solidFill>
                  <a:schemeClr val="tx1"/>
                </a:solidFill>
                <a:effectLst/>
                <a:latin typeface="+mn-lt"/>
                <a:ea typeface="+mn-ea"/>
                <a:cs typeface="+mn-cs"/>
              </a:endParaRPr>
            </a:p>
          </xdr:txBody>
        </xdr:sp>
      </mc:Choice>
      <mc:Fallback xmlns="">
        <xdr:sp macro="" textlink="">
          <xdr:nvSpPr>
            <xdr:cNvPr id="33" name="TextBox 32">
              <a:extLst>
                <a:ext uri="{FF2B5EF4-FFF2-40B4-BE49-F238E27FC236}">
                  <a16:creationId xmlns:a16="http://schemas.microsoft.com/office/drawing/2014/main" id="{09E941BB-DAE9-416F-A4FC-A1445B61C1A2}"/>
                </a:ext>
              </a:extLst>
            </xdr:cNvPr>
            <xdr:cNvSpPr txBox="1"/>
          </xdr:nvSpPr>
          <xdr:spPr>
            <a:xfrm>
              <a:off x="822158" y="23185856"/>
              <a:ext cx="1475276" cy="1947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i="0">
                  <a:solidFill>
                    <a:schemeClr val="tx1"/>
                  </a:solidFill>
                  <a:effectLst/>
                  <a:latin typeface="+mn-lt"/>
                  <a:ea typeface="+mn-ea"/>
                  <a:cs typeface="+mn-cs"/>
                </a:rPr>
                <a:t>𝜇_(𝑘,𝑗)=exp⁡(ln⁡〖𝛼_𝑘+ln⁡〖𝛽_𝑗 〗 〗 )</a:t>
              </a:r>
              <a:endParaRPr lang="en-PH" sz="1100">
                <a:solidFill>
                  <a:schemeClr val="tx1"/>
                </a:solidFill>
                <a:effectLst/>
                <a:latin typeface="+mn-lt"/>
                <a:ea typeface="+mn-ea"/>
                <a:cs typeface="+mn-cs"/>
              </a:endParaRPr>
            </a:p>
          </xdr:txBody>
        </xdr:sp>
      </mc:Fallback>
    </mc:AlternateContent>
    <xdr:clientData/>
  </xdr:oneCellAnchor>
  <xdr:oneCellAnchor>
    <xdr:from>
      <xdr:col>1</xdr:col>
      <xdr:colOff>0</xdr:colOff>
      <xdr:row>101</xdr:row>
      <xdr:rowOff>130342</xdr:rowOff>
    </xdr:from>
    <xdr:ext cx="1215268" cy="172227"/>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2A72F928-3F60-4DC6-B6CC-1CABBBFE5AE3}"/>
                </a:ext>
              </a:extLst>
            </xdr:cNvPr>
            <xdr:cNvSpPr txBox="1"/>
          </xdr:nvSpPr>
          <xdr:spPr>
            <a:xfrm>
              <a:off x="825500" y="20831342"/>
              <a:ext cx="12152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PH" sz="1100" i="1">
                        <a:solidFill>
                          <a:schemeClr val="tx1"/>
                        </a:solidFill>
                        <a:effectLst/>
                        <a:latin typeface="Cambria Math" panose="02040503050406030204" pitchFamily="18" charset="0"/>
                        <a:ea typeface="+mn-ea"/>
                        <a:cs typeface="+mn-cs"/>
                      </a:rPr>
                      <m:t>ℎ</m:t>
                    </m:r>
                    <m:r>
                      <a:rPr lang="en-PH" sz="1100" i="1">
                        <a:solidFill>
                          <a:schemeClr val="tx1"/>
                        </a:solidFill>
                        <a:effectLst/>
                        <a:latin typeface="Cambria Math" panose="02040503050406030204" pitchFamily="18" charset="0"/>
                        <a:ea typeface="+mn-ea"/>
                        <a:cs typeface="+mn-cs"/>
                      </a:rPr>
                      <m:t>=</m:t>
                    </m:r>
                    <m:r>
                      <m:rPr>
                        <m:nor/>
                      </m:rPr>
                      <a:rPr lang="en-PH" sz="1100" i="0">
                        <a:solidFill>
                          <a:schemeClr val="tx1"/>
                        </a:solidFill>
                        <a:effectLst/>
                        <a:latin typeface="+mn-lt"/>
                        <a:ea typeface="+mn-ea"/>
                        <a:cs typeface="+mn-cs"/>
                      </a:rPr>
                      <m:t>log link function</m:t>
                    </m:r>
                  </m:oMath>
                </m:oMathPara>
              </a14:m>
              <a:endParaRPr lang="en-US" sz="1100">
                <a:solidFill>
                  <a:schemeClr val="tx1"/>
                </a:solidFill>
              </a:endParaRPr>
            </a:p>
          </xdr:txBody>
        </xdr:sp>
      </mc:Choice>
      <mc:Fallback xmlns="">
        <xdr:sp macro="" textlink="">
          <xdr:nvSpPr>
            <xdr:cNvPr id="34" name="TextBox 33">
              <a:extLst>
                <a:ext uri="{FF2B5EF4-FFF2-40B4-BE49-F238E27FC236}">
                  <a16:creationId xmlns:a16="http://schemas.microsoft.com/office/drawing/2014/main" id="{2A72F928-3F60-4DC6-B6CC-1CABBBFE5AE3}"/>
                </a:ext>
              </a:extLst>
            </xdr:cNvPr>
            <xdr:cNvSpPr txBox="1"/>
          </xdr:nvSpPr>
          <xdr:spPr>
            <a:xfrm>
              <a:off x="825500" y="20831342"/>
              <a:ext cx="12152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ℎ="log link function</a:t>
              </a:r>
              <a:r>
                <a:rPr lang="en-US" sz="1100" i="0">
                  <a:solidFill>
                    <a:schemeClr val="tx1"/>
                  </a:solidFill>
                  <a:effectLst/>
                  <a:latin typeface="+mn-lt"/>
                  <a:ea typeface="+mn-ea"/>
                  <a:cs typeface="+mn-cs"/>
                </a:rPr>
                <a:t>"</a:t>
              </a:r>
              <a:endParaRPr lang="en-US" sz="1100">
                <a:solidFill>
                  <a:schemeClr val="tx1"/>
                </a:solidFill>
              </a:endParaRPr>
            </a:p>
          </xdr:txBody>
        </xdr:sp>
      </mc:Fallback>
    </mc:AlternateContent>
    <xdr:clientData/>
  </xdr:oneCellAnchor>
  <xdr:oneCellAnchor>
    <xdr:from>
      <xdr:col>1</xdr:col>
      <xdr:colOff>0</xdr:colOff>
      <xdr:row>103</xdr:row>
      <xdr:rowOff>5013</xdr:rowOff>
    </xdr:from>
    <xdr:ext cx="1134157" cy="192810"/>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93088AC0-C296-4F0D-811B-8AC7ABC500EB}"/>
                </a:ext>
              </a:extLst>
            </xdr:cNvPr>
            <xdr:cNvSpPr txBox="1"/>
          </xdr:nvSpPr>
          <xdr:spPr>
            <a:xfrm>
              <a:off x="822158" y="23792448"/>
              <a:ext cx="1134157" cy="192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 ~ </m:t>
                    </m:r>
                    <m:r>
                      <a:rPr lang="en-PH" sz="1100" i="1">
                        <a:solidFill>
                          <a:schemeClr val="tx1"/>
                        </a:solidFill>
                        <a:effectLst/>
                        <a:latin typeface="Cambria Math" panose="02040503050406030204" pitchFamily="18" charset="0"/>
                        <a:ea typeface="+mn-ea"/>
                        <a:cs typeface="+mn-cs"/>
                      </a:rPr>
                      <m:t>𝑂𝐷𝑃</m:t>
                    </m:r>
                    <m:d>
                      <m:dPr>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𝜇</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r>
                          <a:rPr lang="en-PH" sz="1100" i="1">
                            <a:solidFill>
                              <a:schemeClr val="tx1"/>
                            </a:solidFill>
                            <a:effectLst/>
                            <a:latin typeface="Cambria Math" panose="02040503050406030204" pitchFamily="18" charset="0"/>
                            <a:ea typeface="+mn-ea"/>
                            <a:cs typeface="+mn-cs"/>
                          </a:rPr>
                          <m:t>, </m:t>
                        </m:r>
                        <m:r>
                          <a:rPr lang="en-PH" sz="1100" i="1">
                            <a:solidFill>
                              <a:schemeClr val="tx1"/>
                            </a:solidFill>
                            <a:effectLst/>
                            <a:latin typeface="Cambria Math" panose="02040503050406030204" pitchFamily="18" charset="0"/>
                            <a:ea typeface="+mn-ea"/>
                            <a:cs typeface="+mn-cs"/>
                          </a:rPr>
                          <m:t>𝜙</m:t>
                        </m:r>
                      </m:e>
                    </m:d>
                  </m:oMath>
                </m:oMathPara>
              </a14:m>
              <a:endParaRPr lang="en-US" sz="1100">
                <a:solidFill>
                  <a:schemeClr val="tx1"/>
                </a:solidFill>
              </a:endParaRPr>
            </a:p>
          </xdr:txBody>
        </xdr:sp>
      </mc:Choice>
      <mc:Fallback xmlns="">
        <xdr:sp macro="" textlink="">
          <xdr:nvSpPr>
            <xdr:cNvPr id="35" name="TextBox 34">
              <a:extLst>
                <a:ext uri="{FF2B5EF4-FFF2-40B4-BE49-F238E27FC236}">
                  <a16:creationId xmlns:a16="http://schemas.microsoft.com/office/drawing/2014/main" id="{93088AC0-C296-4F0D-811B-8AC7ABC500EB}"/>
                </a:ext>
              </a:extLst>
            </xdr:cNvPr>
            <xdr:cNvSpPr txBox="1"/>
          </xdr:nvSpPr>
          <xdr:spPr>
            <a:xfrm>
              <a:off x="822158" y="23792448"/>
              <a:ext cx="1134157" cy="192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mn-lt"/>
                  <a:ea typeface="+mn-ea"/>
                  <a:cs typeface="+mn-cs"/>
                </a:rPr>
                <a:t>𝑌_(𝑘,𝑗)  ~ 𝑂𝐷𝑃(𝜇_(𝑘,𝑗), 𝜙)</a:t>
              </a:r>
              <a:endParaRPr lang="en-US" sz="1100">
                <a:solidFill>
                  <a:schemeClr val="tx1"/>
                </a:solidFill>
              </a:endParaRPr>
            </a:p>
          </xdr:txBody>
        </xdr:sp>
      </mc:Fallback>
    </mc:AlternateContent>
    <xdr:clientData/>
  </xdr:oneCellAnchor>
  <xdr:oneCellAnchor>
    <xdr:from>
      <xdr:col>1</xdr:col>
      <xdr:colOff>120316</xdr:colOff>
      <xdr:row>120</xdr:row>
      <xdr:rowOff>70184</xdr:rowOff>
    </xdr:from>
    <xdr:ext cx="2224583" cy="943720"/>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27E4A683-F8C1-4F01-8512-C4863B8D8E88}"/>
                </a:ext>
              </a:extLst>
            </xdr:cNvPr>
            <xdr:cNvSpPr txBox="1"/>
          </xdr:nvSpPr>
          <xdr:spPr>
            <a:xfrm>
              <a:off x="942474" y="27326724"/>
              <a:ext cx="2224583" cy="943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p>
                      <m:sSupPr>
                        <m:ctrlPr>
                          <a:rPr lang="en-PH" sz="1100" b="1" i="1">
                            <a:solidFill>
                              <a:schemeClr val="tx1"/>
                            </a:solidFill>
                            <a:effectLst/>
                            <a:latin typeface="Cambria Math" panose="02040503050406030204" pitchFamily="18" charset="0"/>
                            <a:ea typeface="+mn-ea"/>
                            <a:cs typeface="+mn-cs"/>
                          </a:rPr>
                        </m:ctrlPr>
                      </m:sSupPr>
                      <m:e>
                        <m:r>
                          <a:rPr lang="en-PH" sz="1100" b="1" i="1">
                            <a:solidFill>
                              <a:schemeClr val="tx1"/>
                            </a:solidFill>
                            <a:effectLst/>
                            <a:latin typeface="Cambria Math" panose="02040503050406030204" pitchFamily="18" charset="0"/>
                            <a:ea typeface="+mn-ea"/>
                            <a:cs typeface="+mn-cs"/>
                          </a:rPr>
                          <m:t>𝐗</m:t>
                        </m:r>
                      </m:e>
                      <m:sup>
                        <m:r>
                          <a:rPr lang="en-PH" sz="1100" b="1" i="1">
                            <a:solidFill>
                              <a:schemeClr val="tx1"/>
                            </a:solidFill>
                            <a:effectLst/>
                            <a:latin typeface="Cambria Math" panose="02040503050406030204" pitchFamily="18" charset="0"/>
                            <a:ea typeface="+mn-ea"/>
                            <a:cs typeface="+mn-cs"/>
                          </a:rPr>
                          <m:t>∗</m:t>
                        </m:r>
                      </m:sup>
                    </m:sSup>
                    <m:r>
                      <a:rPr lang="en-PH" sz="1100" i="1">
                        <a:solidFill>
                          <a:schemeClr val="tx1"/>
                        </a:solidFill>
                        <a:effectLst/>
                        <a:latin typeface="Cambria Math" panose="02040503050406030204" pitchFamily="18" charset="0"/>
                        <a:ea typeface="+mn-ea"/>
                        <a:cs typeface="+mn-cs"/>
                      </a:rPr>
                      <m:t>= </m:t>
                    </m:r>
                    <m:d>
                      <m:dPr>
                        <m:ctrlPr>
                          <a:rPr lang="en-PH" sz="1100" i="1">
                            <a:solidFill>
                              <a:schemeClr val="tx1"/>
                            </a:solidFill>
                            <a:effectLst/>
                            <a:latin typeface="Cambria Math" panose="02040503050406030204" pitchFamily="18" charset="0"/>
                            <a:ea typeface="+mn-ea"/>
                            <a:cs typeface="+mn-cs"/>
                          </a:rPr>
                        </m:ctrlPr>
                      </m:dPr>
                      <m:e>
                        <m:m>
                          <m:mPr>
                            <m:mcs>
                              <m:mc>
                                <m:mcPr>
                                  <m:count m:val="8"/>
                                  <m:mcJc m:val="center"/>
                                </m:mcPr>
                              </m:mc>
                            </m:mcs>
                            <m:ctrlPr>
                              <a:rPr lang="en-PH" sz="1100" i="1">
                                <a:solidFill>
                                  <a:schemeClr val="tx1"/>
                                </a:solidFill>
                                <a:effectLst/>
                                <a:latin typeface="Cambria Math" panose="02040503050406030204" pitchFamily="18" charset="0"/>
                                <a:ea typeface="+mn-ea"/>
                                <a:cs typeface="+mn-cs"/>
                              </a:rPr>
                            </m:ctrlPr>
                          </m:mP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mr>
                          <m:mr>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0</m:t>
                              </m:r>
                            </m:e>
                            <m:e>
                              <m:r>
                                <a:rPr lang="en-PH" sz="1100" i="1">
                                  <a:solidFill>
                                    <a:schemeClr val="tx1"/>
                                  </a:solidFill>
                                  <a:effectLst/>
                                  <a:latin typeface="Cambria Math" panose="02040503050406030204" pitchFamily="18" charset="0"/>
                                  <a:ea typeface="+mn-ea"/>
                                  <a:cs typeface="+mn-cs"/>
                                </a:rPr>
                                <m:t>1</m:t>
                              </m:r>
                            </m:e>
                          </m:mr>
                        </m:m>
                      </m:e>
                    </m:d>
                  </m:oMath>
                </m:oMathPara>
              </a14:m>
              <a:endParaRPr lang="en-PH" sz="1100">
                <a:solidFill>
                  <a:schemeClr val="tx1"/>
                </a:solidFill>
                <a:effectLst/>
                <a:latin typeface="+mn-lt"/>
                <a:ea typeface="+mn-ea"/>
                <a:cs typeface="+mn-cs"/>
              </a:endParaRPr>
            </a:p>
          </xdr:txBody>
        </xdr:sp>
      </mc:Choice>
      <mc:Fallback xmlns="">
        <xdr:sp macro="" textlink="">
          <xdr:nvSpPr>
            <xdr:cNvPr id="36" name="TextBox 35">
              <a:extLst>
                <a:ext uri="{FF2B5EF4-FFF2-40B4-BE49-F238E27FC236}">
                  <a16:creationId xmlns:a16="http://schemas.microsoft.com/office/drawing/2014/main" id="{27E4A683-F8C1-4F01-8512-C4863B8D8E88}"/>
                </a:ext>
              </a:extLst>
            </xdr:cNvPr>
            <xdr:cNvSpPr txBox="1"/>
          </xdr:nvSpPr>
          <xdr:spPr>
            <a:xfrm>
              <a:off x="942474" y="27326724"/>
              <a:ext cx="2224583" cy="943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b="1" i="0">
                  <a:solidFill>
                    <a:schemeClr val="tx1"/>
                  </a:solidFill>
                  <a:effectLst/>
                  <a:latin typeface="+mn-lt"/>
                  <a:ea typeface="+mn-ea"/>
                  <a:cs typeface="+mn-cs"/>
                </a:rPr>
                <a:t>𝐗^∗</a:t>
              </a:r>
              <a:r>
                <a:rPr lang="en-PH" sz="1100" i="0">
                  <a:solidFill>
                    <a:schemeClr val="tx1"/>
                  </a:solidFill>
                  <a:effectLst/>
                  <a:latin typeface="+mn-lt"/>
                  <a:ea typeface="+mn-ea"/>
                  <a:cs typeface="+mn-cs"/>
                </a:rPr>
                <a:t>= (■8(0&amp;1&amp;0&amp;0&amp;0&amp;0&amp;0&amp;1@0&amp;0&amp;1&amp;0&amp;0&amp;0&amp;1&amp;0@0&amp;0&amp;1&amp;0&amp;0&amp;0&amp;0&amp;1@0&amp;0&amp;0&amp;1&amp;0&amp;1&amp;0&amp;0@0&amp;0&amp;0&amp;1&amp;0&amp;0&amp;1&amp;0@0&amp;0&amp;0&amp;1&amp;0&amp;0&amp;0&amp;1))</a:t>
              </a:r>
              <a:endParaRPr lang="en-PH" sz="1100">
                <a:solidFill>
                  <a:schemeClr val="tx1"/>
                </a:solidFill>
                <a:effectLst/>
                <a:latin typeface="+mn-lt"/>
                <a:ea typeface="+mn-ea"/>
                <a:cs typeface="+mn-cs"/>
              </a:endParaRPr>
            </a:p>
          </xdr:txBody>
        </xdr:sp>
      </mc:Fallback>
    </mc:AlternateContent>
    <xdr:clientData/>
  </xdr:oneCellAnchor>
  <xdr:twoCellAnchor>
    <xdr:from>
      <xdr:col>3</xdr:col>
      <xdr:colOff>631658</xdr:colOff>
      <xdr:row>120</xdr:row>
      <xdr:rowOff>93487</xdr:rowOff>
    </xdr:from>
    <xdr:to>
      <xdr:col>3</xdr:col>
      <xdr:colOff>677377</xdr:colOff>
      <xdr:row>121</xdr:row>
      <xdr:rowOff>7614</xdr:rowOff>
    </xdr:to>
    <xdr:sp macro="" textlink="">
      <xdr:nvSpPr>
        <xdr:cNvPr id="37" name="Right Brace 36">
          <a:extLst>
            <a:ext uri="{FF2B5EF4-FFF2-40B4-BE49-F238E27FC236}">
              <a16:creationId xmlns:a16="http://schemas.microsoft.com/office/drawing/2014/main" id="{E1A03928-7FB1-44F1-A45A-8A4A7D077B72}"/>
            </a:ext>
          </a:extLst>
        </xdr:cNvPr>
        <xdr:cNvSpPr/>
      </xdr:nvSpPr>
      <xdr:spPr>
        <a:xfrm>
          <a:off x="3168316" y="27350027"/>
          <a:ext cx="45719" cy="114653"/>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3</xdr:col>
      <xdr:colOff>680622</xdr:colOff>
      <xdr:row>119</xdr:row>
      <xdr:rowOff>190500</xdr:rowOff>
    </xdr:from>
    <xdr:to>
      <xdr:col>5</xdr:col>
      <xdr:colOff>571500</xdr:colOff>
      <xdr:row>121</xdr:row>
      <xdr:rowOff>74111</xdr:rowOff>
    </xdr:to>
    <xdr:sp macro="" textlink="">
      <xdr:nvSpPr>
        <xdr:cNvPr id="38" name="Text Box 1042">
          <a:extLst>
            <a:ext uri="{FF2B5EF4-FFF2-40B4-BE49-F238E27FC236}">
              <a16:creationId xmlns:a16="http://schemas.microsoft.com/office/drawing/2014/main" id="{5DE7695D-DC82-429A-8EC2-905A492368D2}"/>
            </a:ext>
          </a:extLst>
        </xdr:cNvPr>
        <xdr:cNvSpPr txBox="1"/>
      </xdr:nvSpPr>
      <xdr:spPr>
        <a:xfrm>
          <a:off x="3217280" y="27246514"/>
          <a:ext cx="1535194" cy="2846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spcAft>
              <a:spcPts val="800"/>
            </a:spcAft>
          </a:pPr>
          <a:r>
            <a:rPr lang="en-PH" sz="1100" kern="100">
              <a:solidFill>
                <a:srgbClr val="000000"/>
              </a:solidFill>
              <a:effectLst/>
              <a:latin typeface="Adobe Caslon Pro"/>
              <a:ea typeface="Garamond" panose="02020404030301010803" pitchFamily="18" charset="0"/>
              <a:cs typeface="Garamond" panose="02020404030301010803" pitchFamily="18" charset="0"/>
            </a:rPr>
            <a:t>1 row (AY 2</a:t>
          </a:r>
          <a:r>
            <a:rPr lang="en-PH" sz="1100" kern="100" baseline="0">
              <a:solidFill>
                <a:srgbClr val="000000"/>
              </a:solidFill>
              <a:effectLst/>
              <a:latin typeface="Adobe Caslon Pro"/>
              <a:ea typeface="Garamond" panose="02020404030301010803" pitchFamily="18" charset="0"/>
              <a:cs typeface="Garamond" panose="02020404030301010803" pitchFamily="18" charset="0"/>
            </a:rPr>
            <a:t> forecast</a:t>
          </a:r>
          <a:r>
            <a:rPr lang="en-PH" sz="1100" kern="100">
              <a:solidFill>
                <a:srgbClr val="000000"/>
              </a:solidFill>
              <a:effectLst/>
              <a:latin typeface="Adobe Caslon Pro"/>
              <a:ea typeface="Garamond" panose="02020404030301010803" pitchFamily="18" charset="0"/>
              <a:cs typeface="Garamond" panose="02020404030301010803" pitchFamily="18" charset="0"/>
            </a:rPr>
            <a:t>)</a:t>
          </a:r>
        </a:p>
      </xdr:txBody>
    </xdr:sp>
    <xdr:clientData/>
  </xdr:twoCellAnchor>
  <xdr:twoCellAnchor>
    <xdr:from>
      <xdr:col>3</xdr:col>
      <xdr:colOff>626645</xdr:colOff>
      <xdr:row>121</xdr:row>
      <xdr:rowOff>71502</xdr:rowOff>
    </xdr:from>
    <xdr:to>
      <xdr:col>3</xdr:col>
      <xdr:colOff>688558</xdr:colOff>
      <xdr:row>122</xdr:row>
      <xdr:rowOff>119126</xdr:rowOff>
    </xdr:to>
    <xdr:sp macro="" textlink="">
      <xdr:nvSpPr>
        <xdr:cNvPr id="41" name="Right Brace 40">
          <a:extLst>
            <a:ext uri="{FF2B5EF4-FFF2-40B4-BE49-F238E27FC236}">
              <a16:creationId xmlns:a16="http://schemas.microsoft.com/office/drawing/2014/main" id="{4FD337D5-D32B-4EF5-B161-C1736B5CB8A5}"/>
            </a:ext>
          </a:extLst>
        </xdr:cNvPr>
        <xdr:cNvSpPr/>
      </xdr:nvSpPr>
      <xdr:spPr>
        <a:xfrm>
          <a:off x="3163303" y="27528568"/>
          <a:ext cx="61913" cy="248151"/>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3</xdr:col>
      <xdr:colOff>686018</xdr:colOff>
      <xdr:row>121</xdr:row>
      <xdr:rowOff>40105</xdr:rowOff>
    </xdr:from>
    <xdr:to>
      <xdr:col>5</xdr:col>
      <xdr:colOff>591552</xdr:colOff>
      <xdr:row>122</xdr:row>
      <xdr:rowOff>124240</xdr:rowOff>
    </xdr:to>
    <xdr:sp macro="" textlink="">
      <xdr:nvSpPr>
        <xdr:cNvPr id="42" name="Text Box 1042">
          <a:extLst>
            <a:ext uri="{FF2B5EF4-FFF2-40B4-BE49-F238E27FC236}">
              <a16:creationId xmlns:a16="http://schemas.microsoft.com/office/drawing/2014/main" id="{04465C19-C584-42AD-9400-E97D7E494A81}"/>
            </a:ext>
          </a:extLst>
        </xdr:cNvPr>
        <xdr:cNvSpPr txBox="1"/>
      </xdr:nvSpPr>
      <xdr:spPr>
        <a:xfrm>
          <a:off x="3222676" y="27497171"/>
          <a:ext cx="1549850" cy="28466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spcAft>
              <a:spcPts val="800"/>
            </a:spcAft>
          </a:pPr>
          <a:r>
            <a:rPr lang="en-PH" sz="1100" kern="100">
              <a:solidFill>
                <a:srgbClr val="000000"/>
              </a:solidFill>
              <a:effectLst/>
              <a:latin typeface="Adobe Caslon Pro"/>
              <a:ea typeface="Garamond" panose="02020404030301010803" pitchFamily="18" charset="0"/>
              <a:cs typeface="Garamond" panose="02020404030301010803" pitchFamily="18" charset="0"/>
            </a:rPr>
            <a:t>2 rows (AY 3</a:t>
          </a:r>
          <a:r>
            <a:rPr lang="en-PH" sz="1100" kern="100" baseline="0">
              <a:solidFill>
                <a:srgbClr val="000000"/>
              </a:solidFill>
              <a:effectLst/>
              <a:latin typeface="Adobe Caslon Pro"/>
              <a:ea typeface="Garamond" panose="02020404030301010803" pitchFamily="18" charset="0"/>
              <a:cs typeface="Garamond" panose="02020404030301010803" pitchFamily="18" charset="0"/>
            </a:rPr>
            <a:t> forecast</a:t>
          </a:r>
          <a:r>
            <a:rPr lang="en-PH" sz="1100" kern="100">
              <a:solidFill>
                <a:srgbClr val="000000"/>
              </a:solidFill>
              <a:effectLst/>
              <a:latin typeface="Adobe Caslon Pro"/>
              <a:ea typeface="Garamond" panose="02020404030301010803" pitchFamily="18" charset="0"/>
              <a:cs typeface="Garamond" panose="02020404030301010803" pitchFamily="18" charset="0"/>
            </a:rPr>
            <a:t>)</a:t>
          </a:r>
        </a:p>
      </xdr:txBody>
    </xdr:sp>
    <xdr:clientData/>
  </xdr:twoCellAnchor>
  <xdr:twoCellAnchor>
    <xdr:from>
      <xdr:col>3</xdr:col>
      <xdr:colOff>636671</xdr:colOff>
      <xdr:row>122</xdr:row>
      <xdr:rowOff>170447</xdr:rowOff>
    </xdr:from>
    <xdr:to>
      <xdr:col>3</xdr:col>
      <xdr:colOff>689059</xdr:colOff>
      <xdr:row>124</xdr:row>
      <xdr:rowOff>184735</xdr:rowOff>
    </xdr:to>
    <xdr:sp macro="" textlink="">
      <xdr:nvSpPr>
        <xdr:cNvPr id="43" name="Right Brace 42">
          <a:extLst>
            <a:ext uri="{FF2B5EF4-FFF2-40B4-BE49-F238E27FC236}">
              <a16:creationId xmlns:a16="http://schemas.microsoft.com/office/drawing/2014/main" id="{9B2699EA-55A1-4B51-B482-1EDC1D6EF262}"/>
            </a:ext>
          </a:extLst>
        </xdr:cNvPr>
        <xdr:cNvSpPr/>
      </xdr:nvSpPr>
      <xdr:spPr>
        <a:xfrm>
          <a:off x="3173329" y="27828040"/>
          <a:ext cx="52388" cy="415340"/>
        </a:xfrm>
        <a:prstGeom prst="rightBrace">
          <a:avLst/>
        </a:prstGeom>
        <a:ln w="12700" cmpd="sng">
          <a:solidFill>
            <a:schemeClr val="tx1"/>
          </a:solidFill>
        </a:ln>
        <a:effectLst/>
      </xdr:spPr>
      <xdr:style>
        <a:lnRef idx="2">
          <a:schemeClr val="dk1"/>
        </a:lnRef>
        <a:fillRef idx="0">
          <a:schemeClr val="dk1"/>
        </a:fillRef>
        <a:effectRef idx="1">
          <a:schemeClr val="dk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PH"/>
        </a:p>
      </xdr:txBody>
    </xdr:sp>
    <xdr:clientData/>
  </xdr:twoCellAnchor>
  <xdr:twoCellAnchor>
    <xdr:from>
      <xdr:col>3</xdr:col>
      <xdr:colOff>691280</xdr:colOff>
      <xdr:row>123</xdr:row>
      <xdr:rowOff>33421</xdr:rowOff>
    </xdr:from>
    <xdr:to>
      <xdr:col>5</xdr:col>
      <xdr:colOff>616618</xdr:colOff>
      <xdr:row>124</xdr:row>
      <xdr:rowOff>117558</xdr:rowOff>
    </xdr:to>
    <xdr:sp macro="" textlink="">
      <xdr:nvSpPr>
        <xdr:cNvPr id="44" name="Text Box 1042">
          <a:extLst>
            <a:ext uri="{FF2B5EF4-FFF2-40B4-BE49-F238E27FC236}">
              <a16:creationId xmlns:a16="http://schemas.microsoft.com/office/drawing/2014/main" id="{3600D605-5FBB-4330-A767-E879CFD2C95F}"/>
            </a:ext>
          </a:extLst>
        </xdr:cNvPr>
        <xdr:cNvSpPr txBox="1"/>
      </xdr:nvSpPr>
      <xdr:spPr>
        <a:xfrm>
          <a:off x="3227938" y="27891540"/>
          <a:ext cx="1569654" cy="2846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oel="http://schemas.microsoft.com/office/2019/extlst"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du="http://schemas.microsoft.com/office/word/2023/wordml/word16du"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spcAft>
              <a:spcPts val="800"/>
            </a:spcAft>
          </a:pPr>
          <a:r>
            <a:rPr lang="en-PH" sz="1100" kern="100">
              <a:solidFill>
                <a:srgbClr val="000000"/>
              </a:solidFill>
              <a:effectLst/>
              <a:latin typeface="Adobe Caslon Pro"/>
              <a:ea typeface="Garamond" panose="02020404030301010803" pitchFamily="18" charset="0"/>
              <a:cs typeface="Garamond" panose="02020404030301010803" pitchFamily="18" charset="0"/>
            </a:rPr>
            <a:t>3 rows (AY 4</a:t>
          </a:r>
          <a:r>
            <a:rPr lang="en-PH" sz="1100" kern="100" baseline="0">
              <a:solidFill>
                <a:srgbClr val="000000"/>
              </a:solidFill>
              <a:effectLst/>
              <a:latin typeface="Adobe Caslon Pro"/>
              <a:ea typeface="Garamond" panose="02020404030301010803" pitchFamily="18" charset="0"/>
              <a:cs typeface="Garamond" panose="02020404030301010803" pitchFamily="18" charset="0"/>
            </a:rPr>
            <a:t> forecast)</a:t>
          </a:r>
          <a:endParaRPr lang="en-PH" sz="1100" kern="100">
            <a:solidFill>
              <a:srgbClr val="000000"/>
            </a:solidFill>
            <a:effectLst/>
            <a:latin typeface="Adobe Caslon Pro"/>
            <a:ea typeface="Garamond" panose="02020404030301010803" pitchFamily="18" charset="0"/>
            <a:cs typeface="Garamond" panose="02020404030301010803" pitchFamily="18" charset="0"/>
          </a:endParaRPr>
        </a:p>
      </xdr:txBody>
    </xdr:sp>
    <xdr:clientData/>
  </xdr:twoCellAnchor>
  <xdr:oneCellAnchor>
    <xdr:from>
      <xdr:col>4</xdr:col>
      <xdr:colOff>68262</xdr:colOff>
      <xdr:row>20</xdr:row>
      <xdr:rowOff>179918</xdr:rowOff>
    </xdr:from>
    <xdr:ext cx="543995" cy="1947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5F9052D-C2DF-41F2-A1AC-489BB31A2EFA}"/>
                </a:ext>
              </a:extLst>
            </xdr:cNvPr>
            <xdr:cNvSpPr txBox="1"/>
          </xdr:nvSpPr>
          <xdr:spPr>
            <a:xfrm>
              <a:off x="3433762" y="4529668"/>
              <a:ext cx="543995" cy="194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 xmlns:m="http://schemas.openxmlformats.org/officeDocument/2006/math">
                  <m:sSub>
                    <m:sSubPr>
                      <m:ctrlPr>
                        <a:rPr lang="en-PH" sz="1100" b="0" i="1">
                          <a:solidFill>
                            <a:schemeClr val="tx1"/>
                          </a:solidFill>
                          <a:effectLst/>
                          <a:latin typeface="Cambria Math" panose="02040503050406030204" pitchFamily="18" charset="0"/>
                          <a:ea typeface="+mn-ea"/>
                          <a:cs typeface="+mn-cs"/>
                        </a:rPr>
                      </m:ctrlPr>
                    </m:sSubPr>
                    <m:e>
                      <m:acc>
                        <m:accPr>
                          <m:chr m:val="̂"/>
                          <m:ctrlPr>
                            <a:rPr lang="en-PH" sz="1100" b="0" i="1">
                              <a:solidFill>
                                <a:schemeClr val="tx1"/>
                              </a:solidFill>
                              <a:effectLst/>
                              <a:latin typeface="Cambria Math" panose="02040503050406030204" pitchFamily="18" charset="0"/>
                              <a:ea typeface="+mn-ea"/>
                              <a:cs typeface="+mn-cs"/>
                            </a:rPr>
                          </m:ctrlPr>
                        </m:accPr>
                        <m:e>
                          <m:r>
                            <a:rPr lang="en-PH" sz="1100" b="0" i="1">
                              <a:solidFill>
                                <a:schemeClr val="tx1"/>
                              </a:solidFill>
                              <a:effectLst/>
                              <a:latin typeface="Cambria Math" panose="02040503050406030204" pitchFamily="18" charset="0"/>
                              <a:ea typeface="+mn-ea"/>
                              <a:cs typeface="+mn-cs"/>
                            </a:rPr>
                            <m:t>𝑓</m:t>
                          </m:r>
                        </m:e>
                      </m:acc>
                    </m:e>
                    <m:sub>
                      <m:r>
                        <a:rPr lang="en-PH" sz="1100" b="0" i="1">
                          <a:solidFill>
                            <a:schemeClr val="tx1"/>
                          </a:solidFill>
                          <a:effectLst/>
                          <a:latin typeface="Cambria Math" panose="02040503050406030204" pitchFamily="18" charset="0"/>
                          <a:ea typeface="+mn-ea"/>
                          <a:cs typeface="+mn-cs"/>
                        </a:rPr>
                        <m:t>𝑘</m:t>
                      </m:r>
                      <m:r>
                        <a:rPr lang="en-PH" sz="1100" b="0" i="1">
                          <a:solidFill>
                            <a:schemeClr val="tx1"/>
                          </a:solidFill>
                          <a:effectLst/>
                          <a:latin typeface="Cambria Math" panose="02040503050406030204" pitchFamily="18" charset="0"/>
                          <a:ea typeface="+mn-ea"/>
                          <a:cs typeface="+mn-cs"/>
                        </a:rPr>
                        <m:t>,</m:t>
                      </m:r>
                      <m:r>
                        <a:rPr lang="en-PH" sz="1100" b="0" i="1">
                          <a:solidFill>
                            <a:schemeClr val="tx1"/>
                          </a:solidFill>
                          <a:effectLst/>
                          <a:latin typeface="Cambria Math" panose="02040503050406030204" pitchFamily="18" charset="0"/>
                          <a:ea typeface="+mn-ea"/>
                          <a:cs typeface="+mn-cs"/>
                        </a:rPr>
                        <m:t>𝑗</m:t>
                      </m:r>
                      <m:r>
                        <a:rPr lang="en-PH" sz="1100" b="0" i="1">
                          <a:solidFill>
                            <a:schemeClr val="tx1"/>
                          </a:solidFill>
                          <a:effectLst/>
                          <a:latin typeface="Cambria Math" panose="02040503050406030204" pitchFamily="18" charset="0"/>
                          <a:ea typeface="+mn-ea"/>
                          <a:cs typeface="+mn-cs"/>
                        </a:rPr>
                        <m:t>−1</m:t>
                      </m:r>
                    </m:sub>
                  </m:sSub>
                  <m:r>
                    <a:rPr lang="en-PH" sz="1100" b="0" i="1">
                      <a:solidFill>
                        <a:schemeClr val="tx1"/>
                      </a:solidFill>
                      <a:effectLst/>
                      <a:latin typeface="Cambria Math" panose="02040503050406030204" pitchFamily="18" charset="0"/>
                      <a:ea typeface="+mn-ea"/>
                      <a:cs typeface="+mn-cs"/>
                    </a:rPr>
                    <m:t>−1</m:t>
                  </m:r>
                </m:oMath>
              </a14:m>
              <a:r>
                <a:rPr lang="en-PH" sz="1100" b="0">
                  <a:solidFill>
                    <a:schemeClr val="tx1"/>
                  </a:solidFill>
                  <a:effectLst/>
                  <a:latin typeface="+mn-lt"/>
                  <a:ea typeface="+mn-ea"/>
                  <a:cs typeface="+mn-cs"/>
                </a:rPr>
                <a:t> </a:t>
              </a:r>
            </a:p>
          </xdr:txBody>
        </xdr:sp>
      </mc:Choice>
      <mc:Fallback xmlns="">
        <xdr:sp macro="" textlink="">
          <xdr:nvSpPr>
            <xdr:cNvPr id="5" name="TextBox 4">
              <a:extLst>
                <a:ext uri="{FF2B5EF4-FFF2-40B4-BE49-F238E27FC236}">
                  <a16:creationId xmlns:a16="http://schemas.microsoft.com/office/drawing/2014/main" id="{25F9052D-C2DF-41F2-A1AC-489BB31A2EFA}"/>
                </a:ext>
              </a:extLst>
            </xdr:cNvPr>
            <xdr:cNvSpPr txBox="1"/>
          </xdr:nvSpPr>
          <xdr:spPr>
            <a:xfrm>
              <a:off x="3433762" y="4529668"/>
              <a:ext cx="543995" cy="194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PH" sz="1100" b="0" i="0">
                  <a:solidFill>
                    <a:schemeClr val="tx1"/>
                  </a:solidFill>
                  <a:effectLst/>
                  <a:latin typeface="Cambria Math" panose="02040503050406030204" pitchFamily="18" charset="0"/>
                  <a:ea typeface="+mn-ea"/>
                  <a:cs typeface="+mn-cs"/>
                </a:rPr>
                <a:t>𝑓 ̂_(𝑘,𝑗−1)−1</a:t>
              </a:r>
              <a:r>
                <a:rPr lang="en-PH" sz="1100" b="0">
                  <a:solidFill>
                    <a:schemeClr val="tx1"/>
                  </a:solidFill>
                  <a:effectLst/>
                  <a:latin typeface="+mn-lt"/>
                  <a:ea typeface="+mn-ea"/>
                  <a:cs typeface="+mn-cs"/>
                </a:rPr>
                <a:t> </a:t>
              </a:r>
            </a:p>
          </xdr:txBody>
        </xdr:sp>
      </mc:Fallback>
    </mc:AlternateContent>
    <xdr:clientData/>
  </xdr:oneCellAnchor>
  <xdr:twoCellAnchor>
    <xdr:from>
      <xdr:col>2</xdr:col>
      <xdr:colOff>582083</xdr:colOff>
      <xdr:row>86</xdr:row>
      <xdr:rowOff>74083</xdr:rowOff>
    </xdr:from>
    <xdr:to>
      <xdr:col>2</xdr:col>
      <xdr:colOff>584624</xdr:colOff>
      <xdr:row>94</xdr:row>
      <xdr:rowOff>61171</xdr:rowOff>
    </xdr:to>
    <xdr:cxnSp macro="">
      <xdr:nvCxnSpPr>
        <xdr:cNvPr id="8" name="Straight Arrow Connector 7">
          <a:extLst>
            <a:ext uri="{FF2B5EF4-FFF2-40B4-BE49-F238E27FC236}">
              <a16:creationId xmlns:a16="http://schemas.microsoft.com/office/drawing/2014/main" id="{D566C043-D972-7AB2-66E5-544F0D011D97}"/>
            </a:ext>
          </a:extLst>
        </xdr:cNvPr>
        <xdr:cNvCxnSpPr/>
      </xdr:nvCxnSpPr>
      <xdr:spPr>
        <a:xfrm flipH="1" flipV="1">
          <a:off x="2233083" y="17748250"/>
          <a:ext cx="2541" cy="1606338"/>
        </a:xfrm>
        <a:prstGeom prst="straightConnector1">
          <a:avLst/>
        </a:prstGeom>
        <a:ln w="9525" cmpd="sng">
          <a:solidFill>
            <a:schemeClr val="tx1"/>
          </a:solidFill>
          <a:prstDash val="dash"/>
          <a:headEnd type="none"/>
          <a:tailEnd type="none" w="med" len="sm"/>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34</xdr:row>
      <xdr:rowOff>0</xdr:rowOff>
    </xdr:from>
    <xdr:to>
      <xdr:col>2</xdr:col>
      <xdr:colOff>177800</xdr:colOff>
      <xdr:row>34</xdr:row>
      <xdr:rowOff>0</xdr:rowOff>
    </xdr:to>
    <xdr:pic>
      <xdr:nvPicPr>
        <xdr:cNvPr id="2" name="Picture 2">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9100" y="7988300"/>
          <a:ext cx="1778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359833</xdr:colOff>
      <xdr:row>32</xdr:row>
      <xdr:rowOff>232833</xdr:rowOff>
    </xdr:from>
    <xdr:to>
      <xdr:col>3</xdr:col>
      <xdr:colOff>74083</xdr:colOff>
      <xdr:row>35</xdr:row>
      <xdr:rowOff>52916</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5887C81-D7D5-4C72-98F7-E23AE800AEE4}"/>
                </a:ext>
              </a:extLst>
            </xdr:cNvPr>
            <xdr:cNvSpPr txBox="1"/>
          </xdr:nvSpPr>
          <xdr:spPr>
            <a:xfrm>
              <a:off x="1185333" y="6879166"/>
              <a:ext cx="1365250" cy="4974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𝑘</m:t>
                        </m:r>
                      </m:sub>
                      <m:sup>
                        <m:r>
                          <a:rPr lang="en-PH" sz="1100" i="1">
                            <a:solidFill>
                              <a:schemeClr val="tx1"/>
                            </a:solidFill>
                            <a:effectLst/>
                            <a:latin typeface="Cambria Math" panose="02040503050406030204" pitchFamily="18" charset="0"/>
                            <a:ea typeface="+mn-ea"/>
                            <a:cs typeface="+mn-cs"/>
                          </a:rPr>
                          <m:t>𝑛𝑜𝑟𝑚</m:t>
                        </m:r>
                      </m:sup>
                    </m:sSubSup>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nary>
                      <m:naryPr>
                        <m:chr m:val="∑"/>
                        <m:limLoc m:val="undOvr"/>
                        <m:subHide m:val="on"/>
                        <m:supHide m:val="on"/>
                        <m:ctrlPr>
                          <a:rPr lang="en-PH" sz="1100" i="1">
                            <a:solidFill>
                              <a:schemeClr val="tx1"/>
                            </a:solidFill>
                            <a:effectLst/>
                            <a:latin typeface="Cambria Math" panose="02040503050406030204" pitchFamily="18" charset="0"/>
                            <a:ea typeface="+mn-ea"/>
                            <a:cs typeface="+mn-cs"/>
                          </a:rPr>
                        </m:ctrlPr>
                      </m:naryPr>
                      <m:sub/>
                      <m:sup/>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e>
                    </m:nary>
                  </m:oMath>
                </m:oMathPara>
              </a14:m>
              <a:endParaRPr lang="en-PH"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D5887C81-D7D5-4C72-98F7-E23AE800AEE4}"/>
                </a:ext>
              </a:extLst>
            </xdr:cNvPr>
            <xdr:cNvSpPr txBox="1"/>
          </xdr:nvSpPr>
          <xdr:spPr>
            <a:xfrm>
              <a:off x="1185333" y="6879166"/>
              <a:ext cx="1365250" cy="4974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𝛼_𝑘^𝑛𝑜𝑟𝑚=𝛼_𝑘×∑1▒𝛽_𝑗 </a:t>
              </a:r>
              <a:endParaRPr lang="en-PH" sz="1100">
                <a:solidFill>
                  <a:schemeClr val="tx1"/>
                </a:solidFill>
                <a:effectLst/>
                <a:latin typeface="+mn-lt"/>
                <a:ea typeface="+mn-ea"/>
                <a:cs typeface="+mn-cs"/>
              </a:endParaRP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254000</xdr:colOff>
      <xdr:row>67</xdr:row>
      <xdr:rowOff>95250</xdr:rowOff>
    </xdr:from>
    <xdr:ext cx="1190903" cy="28828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E78214E-950A-EF47-838A-5BE76627E905}"/>
                </a:ext>
              </a:extLst>
            </xdr:cNvPr>
            <xdr:cNvSpPr txBox="1"/>
          </xdr:nvSpPr>
          <xdr:spPr>
            <a:xfrm>
              <a:off x="1079500" y="13779500"/>
              <a:ext cx="1190903" cy="28828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𝑉𝑎𝑟</m:t>
                    </m:r>
                    <m:d>
                      <m:dPr>
                        <m:begChr m:val="["/>
                        <m:endChr m:val="]"/>
                        <m:ctrlPr>
                          <a:rPr lang="en-US" sz="1100" b="0" i="1">
                            <a:solidFill>
                              <a:schemeClr val="tx1"/>
                            </a:solidFill>
                            <a:latin typeface="Cambria Math" panose="02040503050406030204" pitchFamily="18" charset="0"/>
                            <a:ea typeface="Cambria Math" panose="02040503050406030204" pitchFamily="18" charset="0"/>
                          </a:rPr>
                        </m:ctrlPr>
                      </m:dPr>
                      <m:e>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𝛽</m:t>
                            </m:r>
                          </m:e>
                        </m:acc>
                      </m:e>
                    </m:d>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𝜌</m:t>
                        </m:r>
                      </m:e>
                      <m:sub>
                        <m:r>
                          <a:rPr lang="en-US" sz="1100" b="0" i="1">
                            <a:solidFill>
                              <a:schemeClr val="tx1"/>
                            </a:solidFill>
                            <a:latin typeface="Cambria Math" panose="02040503050406030204" pitchFamily="18" charset="0"/>
                            <a:ea typeface="Cambria Math" panose="02040503050406030204" pitchFamily="18" charset="0"/>
                          </a:rPr>
                          <m:t>𝑗𝑘</m:t>
                        </m:r>
                      </m:sub>
                    </m:sSub>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𝜎</m:t>
                        </m:r>
                      </m:e>
                      <m:sub>
                        <m:r>
                          <a:rPr lang="en-US" sz="1100" b="0" i="1">
                            <a:solidFill>
                              <a:schemeClr val="tx1"/>
                            </a:solidFill>
                            <a:latin typeface="Cambria Math" panose="02040503050406030204" pitchFamily="18" charset="0"/>
                            <a:ea typeface="Cambria Math" panose="02040503050406030204" pitchFamily="18" charset="0"/>
                          </a:rPr>
                          <m:t>𝑗</m:t>
                        </m:r>
                      </m:sub>
                    </m:sSub>
                    <m:sSub>
                      <m:sSubPr>
                        <m:ctrlPr>
                          <a:rPr lang="en-US" sz="1100" b="0" i="1">
                            <a:solidFill>
                              <a:schemeClr val="tx1"/>
                            </a:solidFill>
                            <a:latin typeface="Cambria Math" panose="02040503050406030204" pitchFamily="18" charset="0"/>
                            <a:ea typeface="Cambria Math" panose="02040503050406030204" pitchFamily="18" charset="0"/>
                          </a:rPr>
                        </m:ctrlPr>
                      </m:sSubPr>
                      <m:e>
                        <m:r>
                          <a:rPr lang="en-US" sz="1100" b="0" i="1">
                            <a:solidFill>
                              <a:schemeClr val="tx1"/>
                            </a:solidFill>
                            <a:latin typeface="Cambria Math" panose="02040503050406030204" pitchFamily="18" charset="0"/>
                            <a:ea typeface="Cambria Math" panose="02040503050406030204" pitchFamily="18" charset="0"/>
                          </a:rPr>
                          <m:t>𝜎</m:t>
                        </m:r>
                      </m:e>
                      <m:sub>
                        <m:r>
                          <a:rPr lang="en-US" sz="1100" b="0" i="1">
                            <a:solidFill>
                              <a:schemeClr val="tx1"/>
                            </a:solidFill>
                            <a:latin typeface="Cambria Math" panose="02040503050406030204" pitchFamily="18" charset="0"/>
                            <a:ea typeface="Cambria Math" panose="02040503050406030204" pitchFamily="18" charset="0"/>
                          </a:rPr>
                          <m:t>𝑘</m:t>
                        </m:r>
                      </m:sub>
                    </m:sSub>
                  </m:oMath>
                </m:oMathPara>
              </a14:m>
              <a:endParaRPr lang="en-US" sz="1100">
                <a:solidFill>
                  <a:schemeClr val="tx1"/>
                </a:solidFill>
              </a:endParaRPr>
            </a:p>
          </xdr:txBody>
        </xdr:sp>
      </mc:Choice>
      <mc:Fallback xmlns="">
        <xdr:sp macro="" textlink="">
          <xdr:nvSpPr>
            <xdr:cNvPr id="2" name="TextBox 1">
              <a:extLst>
                <a:ext uri="{FF2B5EF4-FFF2-40B4-BE49-F238E27FC236}">
                  <a16:creationId xmlns:a16="http://schemas.microsoft.com/office/drawing/2014/main" id="{CE78214E-950A-EF47-838A-5BE76627E905}"/>
                </a:ext>
              </a:extLst>
            </xdr:cNvPr>
            <xdr:cNvSpPr txBox="1"/>
          </xdr:nvSpPr>
          <xdr:spPr>
            <a:xfrm>
              <a:off x="1079500" y="13779500"/>
              <a:ext cx="1190903" cy="28828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𝑉𝑎𝑟[</a:t>
              </a:r>
              <a:r>
                <a:rPr lang="en-US" sz="1100" b="0" i="0">
                  <a:solidFill>
                    <a:schemeClr val="tx1"/>
                  </a:solidFill>
                  <a:latin typeface="Cambria Math" panose="02040503050406030204" pitchFamily="18" charset="0"/>
                  <a:ea typeface="Cambria Math" panose="02040503050406030204" pitchFamily="18" charset="0"/>
                </a:rPr>
                <a:t>𝛽 ̂ ]</a:t>
              </a:r>
              <a:r>
                <a:rPr lang="en-US" sz="1100" b="0" i="0">
                  <a:solidFill>
                    <a:schemeClr val="tx1"/>
                  </a:solidFill>
                  <a:latin typeface="Cambria Math" panose="02040503050406030204" pitchFamily="18" charset="0"/>
                </a:rPr>
                <a:t>=</a:t>
              </a:r>
              <a:r>
                <a:rPr lang="en-US" sz="1100" b="0" i="0">
                  <a:solidFill>
                    <a:schemeClr val="tx1"/>
                  </a:solidFill>
                  <a:latin typeface="Cambria Math" panose="02040503050406030204" pitchFamily="18" charset="0"/>
                  <a:ea typeface="Cambria Math" panose="02040503050406030204" pitchFamily="18" charset="0"/>
                </a:rPr>
                <a:t>𝜌_𝑗𝑘 𝜎_𝑗 𝜎_𝑘</a:t>
              </a:r>
              <a:endParaRPr lang="en-US" sz="1100">
                <a:solidFill>
                  <a:schemeClr val="tx1"/>
                </a:solidFill>
              </a:endParaRPr>
            </a:p>
          </xdr:txBody>
        </xdr:sp>
      </mc:Fallback>
    </mc:AlternateContent>
    <xdr:clientData/>
  </xdr:oneCellAnchor>
  <xdr:oneCellAnchor>
    <xdr:from>
      <xdr:col>1</xdr:col>
      <xdr:colOff>211667</xdr:colOff>
      <xdr:row>112</xdr:row>
      <xdr:rowOff>105834</xdr:rowOff>
    </xdr:from>
    <xdr:ext cx="1688283" cy="28674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C6F4591-6953-EB44-8F8C-05AE64C52AF3}"/>
                </a:ext>
              </a:extLst>
            </xdr:cNvPr>
            <xdr:cNvSpPr txBox="1"/>
          </xdr:nvSpPr>
          <xdr:spPr>
            <a:xfrm>
              <a:off x="1037167" y="22881167"/>
              <a:ext cx="1688283"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𝑝𝑟𝑜𝑐</m:t>
                        </m:r>
                      </m:sub>
                    </m:sSub>
                    <m:d>
                      <m:dPr>
                        <m:begChr m:val="["/>
                        <m:endChr m:val="]"/>
                        <m:ctrlPr>
                          <a:rPr lang="en-US" sz="1100" b="0" i="1">
                            <a:solidFill>
                              <a:schemeClr val="tx1"/>
                            </a:solidFill>
                            <a:latin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𝑌</m:t>
                                </m:r>
                              </m:e>
                            </m:acc>
                          </m:e>
                          <m:sup>
                            <m:r>
                              <a:rPr lang="en-US" sz="1100" b="0" i="1">
                                <a:solidFill>
                                  <a:schemeClr val="tx1"/>
                                </a:solidFill>
                                <a:latin typeface="Cambria Math" panose="02040503050406030204" pitchFamily="18" charset="0"/>
                              </a:rPr>
                              <m:t>∗</m:t>
                            </m:r>
                          </m:sup>
                        </m:sSup>
                      </m:e>
                    </m:d>
                    <m:r>
                      <a:rPr lang="en-US" sz="1100" b="0" i="1">
                        <a:solidFill>
                          <a:schemeClr val="tx1"/>
                        </a:solidFill>
                        <a:latin typeface="Cambria Math" panose="02040503050406030204" pitchFamily="18" charset="0"/>
                      </a:rPr>
                      <m:t>=</m:t>
                    </m:r>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𝜙</m:t>
                        </m:r>
                      </m:e>
                    </m:acc>
                    <m:r>
                      <a:rPr lang="en-US" sz="1100" b="0" i="1">
                        <a:solidFill>
                          <a:schemeClr val="tx1"/>
                        </a:solidFill>
                        <a:latin typeface="Cambria Math" panose="02040503050406030204" pitchFamily="18" charset="0"/>
                      </a:rPr>
                      <m:t>𝐷𝐼𝐴𝐺</m:t>
                    </m:r>
                    <m:d>
                      <m:dPr>
                        <m:begChr m:val="["/>
                        <m:endChr m:val="]"/>
                        <m:ctrlPr>
                          <a:rPr lang="en-US" sz="1100" b="0" i="1">
                            <a:solidFill>
                              <a:schemeClr val="tx1"/>
                            </a:solidFill>
                            <a:latin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𝑌</m:t>
                                </m:r>
                              </m:e>
                            </m:acc>
                          </m:e>
                          <m:sup>
                            <m:r>
                              <a:rPr lang="en-US" sz="1100" b="0" i="1">
                                <a:solidFill>
                                  <a:schemeClr val="tx1"/>
                                </a:solidFill>
                                <a:latin typeface="Cambria Math" panose="02040503050406030204" pitchFamily="18" charset="0"/>
                              </a:rPr>
                              <m:t>∗</m:t>
                            </m:r>
                          </m:sup>
                        </m:sSup>
                      </m:e>
                    </m:d>
                  </m:oMath>
                </m:oMathPara>
              </a14:m>
              <a:endParaRPr lang="en-US" sz="1100">
                <a:solidFill>
                  <a:schemeClr val="tx1"/>
                </a:solidFill>
              </a:endParaRPr>
            </a:p>
          </xdr:txBody>
        </xdr:sp>
      </mc:Choice>
      <mc:Fallback xmlns="">
        <xdr:sp macro="" textlink="">
          <xdr:nvSpPr>
            <xdr:cNvPr id="3" name="TextBox 2">
              <a:extLst>
                <a:ext uri="{FF2B5EF4-FFF2-40B4-BE49-F238E27FC236}">
                  <a16:creationId xmlns:a16="http://schemas.microsoft.com/office/drawing/2014/main" id="{7C6F4591-6953-EB44-8F8C-05AE64C52AF3}"/>
                </a:ext>
              </a:extLst>
            </xdr:cNvPr>
            <xdr:cNvSpPr txBox="1"/>
          </xdr:nvSpPr>
          <xdr:spPr>
            <a:xfrm>
              <a:off x="1037167" y="22881167"/>
              <a:ext cx="1688283"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〖𝑉𝑎𝑟〗_𝑝𝑟𝑜𝑐 [𝑌 ̂^∗ ]=</a:t>
              </a:r>
              <a:r>
                <a:rPr lang="en-US" sz="1100" b="0" i="0">
                  <a:solidFill>
                    <a:schemeClr val="tx1"/>
                  </a:solidFill>
                  <a:latin typeface="Cambria Math" panose="02040503050406030204" pitchFamily="18" charset="0"/>
                  <a:ea typeface="Cambria Math" panose="02040503050406030204" pitchFamily="18" charset="0"/>
                </a:rPr>
                <a:t>𝜙 ̂</a:t>
              </a:r>
              <a:r>
                <a:rPr lang="en-US" sz="1100" b="0" i="0">
                  <a:solidFill>
                    <a:schemeClr val="tx1"/>
                  </a:solidFill>
                  <a:latin typeface="Cambria Math" panose="02040503050406030204" pitchFamily="18" charset="0"/>
                </a:rPr>
                <a:t>𝐷𝐼𝐴𝐺[𝑌 ̂^∗ ]</a:t>
              </a:r>
              <a:endParaRPr lang="en-US" sz="1100">
                <a:solidFill>
                  <a:schemeClr val="tx1"/>
                </a:solidFill>
              </a:endParaRPr>
            </a:p>
          </xdr:txBody>
        </xdr:sp>
      </mc:Fallback>
    </mc:AlternateContent>
    <xdr:clientData/>
  </xdr:oneCellAnchor>
  <xdr:oneCellAnchor>
    <xdr:from>
      <xdr:col>1</xdr:col>
      <xdr:colOff>211667</xdr:colOff>
      <xdr:row>123</xdr:row>
      <xdr:rowOff>179917</xdr:rowOff>
    </xdr:from>
    <xdr:ext cx="2640788" cy="28674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CA72FF-AC80-9645-85CC-04DD49344AC2}"/>
                </a:ext>
              </a:extLst>
            </xdr:cNvPr>
            <xdr:cNvSpPr txBox="1"/>
          </xdr:nvSpPr>
          <xdr:spPr>
            <a:xfrm>
              <a:off x="1037167" y="20131617"/>
              <a:ext cx="2640788"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𝑀𝑆𝐸𝑃</m:t>
                    </m:r>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e>
                    </m:d>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𝑝𝑎𝑟𝑎𝑚</m:t>
                        </m:r>
                      </m:sub>
                    </m:sSub>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e>
                    </m:d>
                    <m:r>
                      <a:rPr lang="en-US" sz="1100" b="0" i="1">
                        <a:solidFill>
                          <a:schemeClr val="tx1"/>
                        </a:solidFill>
                        <a:latin typeface="Cambria Math" panose="02040503050406030204" pitchFamily="18" charset="0"/>
                      </a:rPr>
                      <m:t>+</m:t>
                    </m:r>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𝑝𝑟𝑜𝑐</m:t>
                        </m:r>
                      </m:sub>
                    </m:sSub>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e>
                    </m:d>
                  </m:oMath>
                </m:oMathPara>
              </a14:m>
              <a:endParaRPr lang="en-US" sz="1100">
                <a:solidFill>
                  <a:schemeClr val="tx1"/>
                </a:solidFill>
              </a:endParaRPr>
            </a:p>
          </xdr:txBody>
        </xdr:sp>
      </mc:Choice>
      <mc:Fallback xmlns="">
        <xdr:sp macro="" textlink="">
          <xdr:nvSpPr>
            <xdr:cNvPr id="4" name="TextBox 3">
              <a:extLst>
                <a:ext uri="{FF2B5EF4-FFF2-40B4-BE49-F238E27FC236}">
                  <a16:creationId xmlns:a16="http://schemas.microsoft.com/office/drawing/2014/main" id="{04CA72FF-AC80-9645-85CC-04DD49344AC2}"/>
                </a:ext>
              </a:extLst>
            </xdr:cNvPr>
            <xdr:cNvSpPr txBox="1"/>
          </xdr:nvSpPr>
          <xdr:spPr>
            <a:xfrm>
              <a:off x="1037167" y="20131617"/>
              <a:ext cx="2640788"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𝑀𝑆𝐸𝑃[𝑅 ̂_𝑘 ]=〖𝑉𝑎𝑟〗_𝑝𝑎𝑟𝑎𝑚 [𝑅 ̂_𝑘 ]+〖𝑉𝑎𝑟〗_𝑝𝑟𝑜𝑐 [𝑅 ̂_𝑘 ]</a:t>
              </a:r>
              <a:endParaRPr lang="en-US" sz="1100">
                <a:solidFill>
                  <a:schemeClr val="tx1"/>
                </a:solidFill>
              </a:endParaRPr>
            </a:p>
          </xdr:txBody>
        </xdr:sp>
      </mc:Fallback>
    </mc:AlternateContent>
    <xdr:clientData/>
  </xdr:oneCellAnchor>
  <xdr:oneCellAnchor>
    <xdr:from>
      <xdr:col>4</xdr:col>
      <xdr:colOff>751417</xdr:colOff>
      <xdr:row>124</xdr:row>
      <xdr:rowOff>10584</xdr:rowOff>
    </xdr:from>
    <xdr:ext cx="3257558" cy="264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AA034BF-BA04-5545-B422-FD1024625813}"/>
                </a:ext>
              </a:extLst>
            </xdr:cNvPr>
            <xdr:cNvSpPr txBox="1"/>
          </xdr:nvSpPr>
          <xdr:spPr>
            <a:xfrm>
              <a:off x="4053417" y="20165484"/>
              <a:ext cx="3257558"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𝑀𝑆𝐸𝑃</m:t>
                    </m:r>
                    <m:r>
                      <a:rPr lang="en-US" sz="1100" b="0" i="1">
                        <a:latin typeface="Cambria Math" panose="02040503050406030204" pitchFamily="18" charset="0"/>
                      </a:rPr>
                      <m:t>=</m:t>
                    </m:r>
                    <m:r>
                      <a:rPr lang="en-US" sz="1100" b="0" i="1">
                        <a:latin typeface="Cambria Math" panose="02040503050406030204" pitchFamily="18" charset="0"/>
                      </a:rPr>
                      <m:t>𝑃𝑎𝑟𝑎𝑚𝑒𝑡𝑒𝑟</m:t>
                    </m:r>
                    <m:r>
                      <a:rPr lang="en-US" sz="1100" b="0" i="1">
                        <a:latin typeface="Cambria Math" panose="02040503050406030204" pitchFamily="18" charset="0"/>
                      </a:rPr>
                      <m:t> </m:t>
                    </m:r>
                    <m:r>
                      <a:rPr lang="en-US" sz="1100" b="0" i="1">
                        <a:latin typeface="Cambria Math" panose="02040503050406030204" pitchFamily="18" charset="0"/>
                      </a:rPr>
                      <m:t>𝑉𝑎𝑟𝑖𝑎𝑛𝑐𝑒</m:t>
                    </m:r>
                    <m:r>
                      <a:rPr lang="en-US" sz="1100" b="0" i="1">
                        <a:latin typeface="Cambria Math" panose="02040503050406030204" pitchFamily="18" charset="0"/>
                      </a:rPr>
                      <m:t>+</m:t>
                    </m:r>
                    <m:r>
                      <a:rPr lang="en-US" sz="1100" b="0" i="1">
                        <a:latin typeface="Cambria Math" panose="02040503050406030204" pitchFamily="18" charset="0"/>
                      </a:rPr>
                      <m:t>𝑃𝑟𝑜𝑐𝑒𝑠𝑠</m:t>
                    </m:r>
                    <m:r>
                      <a:rPr lang="en-US" sz="1100" b="0" i="1">
                        <a:latin typeface="Cambria Math" panose="02040503050406030204" pitchFamily="18" charset="0"/>
                      </a:rPr>
                      <m:t> </m:t>
                    </m:r>
                    <m:r>
                      <a:rPr lang="en-US" sz="1100" b="0" i="1">
                        <a:latin typeface="Cambria Math" panose="02040503050406030204" pitchFamily="18" charset="0"/>
                      </a:rPr>
                      <m:t>𝑉𝑎𝑟𝑖𝑎𝑛𝑐𝑒</m:t>
                    </m:r>
                  </m:oMath>
                </m:oMathPara>
              </a14:m>
              <a:endParaRPr lang="en-US" sz="1100"/>
            </a:p>
          </xdr:txBody>
        </xdr:sp>
      </mc:Choice>
      <mc:Fallback xmlns="">
        <xdr:sp macro="" textlink="">
          <xdr:nvSpPr>
            <xdr:cNvPr id="5" name="TextBox 4">
              <a:extLst>
                <a:ext uri="{FF2B5EF4-FFF2-40B4-BE49-F238E27FC236}">
                  <a16:creationId xmlns:a16="http://schemas.microsoft.com/office/drawing/2014/main" id="{EAA034BF-BA04-5545-B422-FD1024625813}"/>
                </a:ext>
              </a:extLst>
            </xdr:cNvPr>
            <xdr:cNvSpPr txBox="1"/>
          </xdr:nvSpPr>
          <xdr:spPr>
            <a:xfrm>
              <a:off x="4053417" y="20165484"/>
              <a:ext cx="3257558" cy="2644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𝑀𝑆𝐸𝑃=𝑃𝑎𝑟𝑎𝑚𝑒𝑡𝑒𝑟 𝑉𝑎𝑟𝑖𝑎𝑛𝑐𝑒+𝑃𝑟𝑜𝑐𝑒𝑠𝑠 𝑉𝑎𝑟𝑖𝑎𝑛𝑐𝑒</a:t>
              </a:r>
              <a:endParaRPr lang="en-US" sz="1100"/>
            </a:p>
          </xdr:txBody>
        </xdr:sp>
      </mc:Fallback>
    </mc:AlternateContent>
    <xdr:clientData/>
  </xdr:oneCellAnchor>
  <xdr:twoCellAnchor>
    <xdr:from>
      <xdr:col>1</xdr:col>
      <xdr:colOff>370416</xdr:colOff>
      <xdr:row>52</xdr:row>
      <xdr:rowOff>95250</xdr:rowOff>
    </xdr:from>
    <xdr:to>
      <xdr:col>2</xdr:col>
      <xdr:colOff>719667</xdr:colOff>
      <xdr:row>53</xdr:row>
      <xdr:rowOff>182188</xdr:rowOff>
    </xdr:to>
    <mc:AlternateContent xmlns:mc="http://schemas.openxmlformats.org/markup-compatibility/2006" xmlns:a14="http://schemas.microsoft.com/office/drawing/2010/main">
      <mc:Choice Requires="a14">
        <xdr:sp macro="" textlink="">
          <xdr:nvSpPr>
            <xdr:cNvPr id="6" name="TextBox 2">
              <a:extLst>
                <a:ext uri="{FF2B5EF4-FFF2-40B4-BE49-F238E27FC236}">
                  <a16:creationId xmlns:a16="http://schemas.microsoft.com/office/drawing/2014/main" id="{76F23F63-AFAC-564C-8220-0DC80BAD067C}"/>
                </a:ext>
              </a:extLst>
            </xdr:cNvPr>
            <xdr:cNvSpPr txBox="1"/>
          </xdr:nvSpPr>
          <xdr:spPr>
            <a:xfrm>
              <a:off x="1195916" y="9188450"/>
              <a:ext cx="1174751" cy="2901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xdr:txBody>
        </xdr:sp>
      </mc:Choice>
      <mc:Fallback xmlns="">
        <xdr:sp macro="" textlink="">
          <xdr:nvSpPr>
            <xdr:cNvPr id="6" name="TextBox 2">
              <a:extLst>
                <a:ext uri="{FF2B5EF4-FFF2-40B4-BE49-F238E27FC236}">
                  <a16:creationId xmlns:a16="http://schemas.microsoft.com/office/drawing/2014/main" id="{76F23F63-AFAC-564C-8220-0DC80BAD067C}"/>
                </a:ext>
              </a:extLst>
            </xdr:cNvPr>
            <xdr:cNvSpPr txBox="1"/>
          </xdr:nvSpPr>
          <xdr:spPr>
            <a:xfrm>
              <a:off x="1195916" y="9188450"/>
              <a:ext cx="1174751" cy="29013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E[𝑌_(𝑘,𝑗) ]=𝛼_</a:t>
              </a:r>
              <a:r>
                <a:rPr lang="en-US" sz="1100" b="0" i="0">
                  <a:solidFill>
                    <a:schemeClr val="tx1"/>
                  </a:solidFill>
                  <a:effectLst/>
                  <a:latin typeface="Cambria Math" panose="02040503050406030204" pitchFamily="18" charset="0"/>
                  <a:ea typeface="+mn-ea"/>
                  <a:cs typeface="+mn-cs"/>
                </a:rPr>
                <a:t>𝑘</a:t>
              </a:r>
              <a:r>
                <a:rPr lang="en-PH" sz="1100" i="0">
                  <a:solidFill>
                    <a:schemeClr val="tx1"/>
                  </a:solidFill>
                  <a:effectLst/>
                  <a:latin typeface="Cambria Math" panose="02040503050406030204" pitchFamily="18" charset="0"/>
                  <a:ea typeface="+mn-ea"/>
                  <a:cs typeface="+mn-cs"/>
                </a:rPr>
                <a:t>×𝛽_𝑗</a:t>
              </a:r>
              <a:endParaRPr lang="en-PH" sz="1100">
                <a:solidFill>
                  <a:schemeClr val="tx1"/>
                </a:solidFill>
                <a:effectLst/>
                <a:latin typeface="+mn-lt"/>
                <a:ea typeface="+mn-ea"/>
                <a:cs typeface="+mn-cs"/>
              </a:endParaRPr>
            </a:p>
          </xdr:txBody>
        </xdr:sp>
      </mc:Fallback>
    </mc:AlternateContent>
    <xdr:clientData/>
  </xdr:twoCellAnchor>
  <xdr:oneCellAnchor>
    <xdr:from>
      <xdr:col>3</xdr:col>
      <xdr:colOff>719666</xdr:colOff>
      <xdr:row>52</xdr:row>
      <xdr:rowOff>127000</xdr:rowOff>
    </xdr:from>
    <xdr:ext cx="1716239" cy="19107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750A816-7E5E-EF49-91E3-18BE38A25A23}"/>
                </a:ext>
              </a:extLst>
            </xdr:cNvPr>
            <xdr:cNvSpPr txBox="1"/>
          </xdr:nvSpPr>
          <xdr:spPr>
            <a:xfrm>
              <a:off x="3196166" y="9220200"/>
              <a:ext cx="171623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𝑑𝑒𝑣</m:t>
                        </m:r>
                      </m:sub>
                    </m:sSub>
                  </m:oMath>
                </m:oMathPara>
              </a14:m>
              <a:endParaRPr lang="en-US" sz="1100">
                <a:solidFill>
                  <a:schemeClr val="tx1"/>
                </a:solidFill>
              </a:endParaRPr>
            </a:p>
          </xdr:txBody>
        </xdr:sp>
      </mc:Choice>
      <mc:Fallback xmlns="">
        <xdr:sp macro="" textlink="">
          <xdr:nvSpPr>
            <xdr:cNvPr id="7" name="TextBox 6">
              <a:extLst>
                <a:ext uri="{FF2B5EF4-FFF2-40B4-BE49-F238E27FC236}">
                  <a16:creationId xmlns:a16="http://schemas.microsoft.com/office/drawing/2014/main" id="{E750A816-7E5E-EF49-91E3-18BE38A25A23}"/>
                </a:ext>
              </a:extLst>
            </xdr:cNvPr>
            <xdr:cNvSpPr txBox="1"/>
          </xdr:nvSpPr>
          <xdr:spPr>
            <a:xfrm>
              <a:off x="3196166" y="9220200"/>
              <a:ext cx="171623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E[〖𝐼𝑛𝑐𝐿𝑜𝑠𝑠〗_(𝐴𝑌,𝑑𝑒𝑣) ]=𝛼_𝐴𝑌×𝛽_𝑑𝑒𝑣</a:t>
              </a:r>
              <a:endParaRPr lang="en-US" sz="1100">
                <a:solidFill>
                  <a:schemeClr val="tx1"/>
                </a:solidFill>
              </a:endParaRPr>
            </a:p>
          </xdr:txBody>
        </xdr:sp>
      </mc:Fallback>
    </mc:AlternateContent>
    <xdr:clientData/>
  </xdr:oneCellAnchor>
  <xdr:oneCellAnchor>
    <xdr:from>
      <xdr:col>1</xdr:col>
      <xdr:colOff>412750</xdr:colOff>
      <xdr:row>54</xdr:row>
      <xdr:rowOff>148166</xdr:rowOff>
    </xdr:from>
    <xdr:ext cx="1060290" cy="1996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7713B8D-8053-4242-9C03-E262CA26FD88}"/>
                </a:ext>
              </a:extLst>
            </xdr:cNvPr>
            <xdr:cNvSpPr txBox="1"/>
          </xdr:nvSpPr>
          <xdr:spPr>
            <a:xfrm>
              <a:off x="1238250" y="9647766"/>
              <a:ext cx="1060290" cy="1996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chemeClr val="tx1"/>
                            </a:solidFill>
                            <a:effectLst/>
                            <a:latin typeface="Cambria Math" panose="02040503050406030204" pitchFamily="18" charset="0"/>
                            <a:ea typeface="Cambria Math" panose="02040503050406030204" pitchFamily="18" charset="0"/>
                            <a:cs typeface="+mn-cs"/>
                          </a:rPr>
                        </m:ctrlPr>
                      </m:sSubPr>
                      <m:e>
                        <m:acc>
                          <m:accPr>
                            <m:chr m:val="̂"/>
                            <m:ctrlPr>
                              <a:rPr lang="en-US" sz="1100" b="0" i="1">
                                <a:solidFill>
                                  <a:schemeClr val="tx1"/>
                                </a:solidFill>
                                <a:effectLst/>
                                <a:latin typeface="Cambria Math" panose="02040503050406030204" pitchFamily="18" charset="0"/>
                                <a:ea typeface="Cambria Math" panose="02040503050406030204" pitchFamily="18" charset="0"/>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𝑌</m:t>
                            </m:r>
                          </m:e>
                        </m:acc>
                      </m:e>
                      <m:sub>
                        <m:r>
                          <a:rPr lang="en-US" sz="1100" b="0" i="1">
                            <a:solidFill>
                              <a:schemeClr val="tx1"/>
                            </a:solidFill>
                            <a:effectLst/>
                            <a:latin typeface="Cambria Math" panose="02040503050406030204" pitchFamily="18" charset="0"/>
                            <a:ea typeface="+mn-ea"/>
                            <a:cs typeface="+mn-cs"/>
                          </a:rPr>
                          <m:t>𝑘</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𝑗</m:t>
                        </m:r>
                      </m:sub>
                    </m:sSub>
                    <m:r>
                      <a:rPr lang="en-US" sz="1100" b="0" i="1">
                        <a:solidFill>
                          <a:schemeClr val="tx1"/>
                        </a:solidFill>
                        <a:effectLst/>
                        <a:latin typeface="Cambria Math" panose="02040503050406030204" pitchFamily="18" charset="0"/>
                        <a:ea typeface="+mn-ea"/>
                        <a:cs typeface="+mn-cs"/>
                      </a:rPr>
                      <m:t>=</m:t>
                    </m:r>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𝑒</m:t>
                        </m:r>
                      </m:e>
                      <m:sup>
                        <m:func>
                          <m:funcPr>
                            <m:ctrlPr>
                              <a:rPr lang="en-US" sz="1100" b="0" i="0">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𝑘</m:t>
                                </m:r>
                              </m:sub>
                            </m:sSub>
                          </m:e>
                        </m:func>
                        <m:r>
                          <a:rPr lang="en-US" sz="1100" b="0" i="1">
                            <a:solidFill>
                              <a:schemeClr val="tx1"/>
                            </a:solidFill>
                            <a:effectLst/>
                            <a:latin typeface="Cambria Math" panose="02040503050406030204" pitchFamily="18" charset="0"/>
                            <a:ea typeface="+mn-ea"/>
                            <a:cs typeface="+mn-cs"/>
                          </a:rPr>
                          <m:t>+</m:t>
                        </m:r>
                        <m:func>
                          <m:funcPr>
                            <m:ctrlPr>
                              <a:rPr lang="en-US" sz="1100" b="0" i="0">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US" sz="1100" b="0" i="1">
                                    <a:solidFill>
                                      <a:schemeClr val="tx1"/>
                                    </a:solidFill>
                                    <a:effectLst/>
                                    <a:latin typeface="Cambria Math" panose="02040503050406030204" pitchFamily="18" charset="0"/>
                                    <a:ea typeface="+mn-ea"/>
                                    <a:cs typeface="+mn-cs"/>
                                  </a:rPr>
                                  <m:t>𝑗</m:t>
                                </m:r>
                              </m:sub>
                            </m:sSub>
                          </m:e>
                        </m:func>
                      </m:sup>
                    </m:sSup>
                  </m:oMath>
                </m:oMathPara>
              </a14:m>
              <a:endParaRPr lang="en-US" sz="1100">
                <a:solidFill>
                  <a:schemeClr val="tx1"/>
                </a:solidFill>
              </a:endParaRPr>
            </a:p>
          </xdr:txBody>
        </xdr:sp>
      </mc:Choice>
      <mc:Fallback xmlns="">
        <xdr:sp macro="" textlink="">
          <xdr:nvSpPr>
            <xdr:cNvPr id="8" name="TextBox 7">
              <a:extLst>
                <a:ext uri="{FF2B5EF4-FFF2-40B4-BE49-F238E27FC236}">
                  <a16:creationId xmlns:a16="http://schemas.microsoft.com/office/drawing/2014/main" id="{17713B8D-8053-4242-9C03-E262CA26FD88}"/>
                </a:ext>
              </a:extLst>
            </xdr:cNvPr>
            <xdr:cNvSpPr txBox="1"/>
          </xdr:nvSpPr>
          <xdr:spPr>
            <a:xfrm>
              <a:off x="1238250" y="9647766"/>
              <a:ext cx="1060290" cy="1996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effectLst/>
                  <a:latin typeface="Cambria Math" panose="02040503050406030204" pitchFamily="18" charset="0"/>
                  <a:ea typeface="Cambria Math" panose="02040503050406030204" pitchFamily="18" charset="0"/>
                  <a:cs typeface="+mn-cs"/>
                </a:rPr>
                <a:t>𝑌</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_(𝑘,𝑗)=𝑒^(ln⁡〖</a:t>
              </a:r>
              <a:r>
                <a:rPr lang="en-PH" sz="1100" i="0">
                  <a:solidFill>
                    <a:schemeClr val="tx1"/>
                  </a:solidFill>
                  <a:effectLst/>
                  <a:latin typeface="Cambria Math" panose="02040503050406030204" pitchFamily="18" charset="0"/>
                  <a:ea typeface="+mn-ea"/>
                  <a:cs typeface="+mn-cs"/>
                </a:rPr>
                <a:t>𝛼_</a:t>
              </a:r>
              <a:r>
                <a:rPr lang="en-US" sz="1100" b="0" i="0">
                  <a:solidFill>
                    <a:schemeClr val="tx1"/>
                  </a:solidFill>
                  <a:effectLst/>
                  <a:latin typeface="Cambria Math" panose="02040503050406030204" pitchFamily="18" charset="0"/>
                  <a:ea typeface="+mn-ea"/>
                  <a:cs typeface="+mn-cs"/>
                </a:rPr>
                <a:t>𝑘 〗+ln⁡〖</a:t>
              </a:r>
              <a:r>
                <a:rPr lang="en-PH" sz="1100" i="0">
                  <a:solidFill>
                    <a:schemeClr val="tx1"/>
                  </a:solidFill>
                  <a:effectLst/>
                  <a:latin typeface="Cambria Math" panose="02040503050406030204" pitchFamily="18" charset="0"/>
                  <a:ea typeface="+mn-ea"/>
                  <a:cs typeface="+mn-cs"/>
                </a:rPr>
                <a:t>𝛽_</a:t>
              </a:r>
              <a:r>
                <a:rPr lang="en-US" sz="1100" b="0" i="0">
                  <a:solidFill>
                    <a:schemeClr val="tx1"/>
                  </a:solidFill>
                  <a:effectLst/>
                  <a:latin typeface="Cambria Math" panose="02040503050406030204" pitchFamily="18" charset="0"/>
                  <a:ea typeface="+mn-ea"/>
                  <a:cs typeface="+mn-cs"/>
                </a:rPr>
                <a:t>𝑗 〗 )</a:t>
              </a:r>
              <a:endParaRPr lang="en-US" sz="1100">
                <a:solidFill>
                  <a:schemeClr val="tx1"/>
                </a:solidFill>
              </a:endParaRPr>
            </a:p>
          </xdr:txBody>
        </xdr:sp>
      </mc:Fallback>
    </mc:AlternateContent>
    <xdr:clientData/>
  </xdr:oneCellAnchor>
  <xdr:oneCellAnchor>
    <xdr:from>
      <xdr:col>1</xdr:col>
      <xdr:colOff>211667</xdr:colOff>
      <xdr:row>126</xdr:row>
      <xdr:rowOff>31749</xdr:rowOff>
    </xdr:from>
    <xdr:ext cx="1238031" cy="28802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16C8EDA-9C66-C849-99B6-6D77C650E804}"/>
                </a:ext>
              </a:extLst>
            </xdr:cNvPr>
            <xdr:cNvSpPr txBox="1"/>
          </xdr:nvSpPr>
          <xdr:spPr>
            <a:xfrm>
              <a:off x="1037167" y="31527749"/>
              <a:ext cx="1238031" cy="28802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𝑅𝑀𝑆𝐸𝑃</m:t>
                    </m:r>
                    <m:r>
                      <a:rPr lang="en-US" sz="1100" b="0" i="1">
                        <a:latin typeface="Cambria Math" panose="02040503050406030204" pitchFamily="18" charset="0"/>
                      </a:rPr>
                      <m:t>=</m:t>
                    </m:r>
                    <m:rad>
                      <m:radPr>
                        <m:degHide m:val="on"/>
                        <m:ctrlPr>
                          <a:rPr lang="en-US" sz="1100" b="0" i="1">
                            <a:latin typeface="Cambria Math" panose="02040503050406030204" pitchFamily="18" charset="0"/>
                          </a:rPr>
                        </m:ctrlPr>
                      </m:radPr>
                      <m:deg/>
                      <m:e>
                        <m:r>
                          <a:rPr lang="en-US" sz="1100" b="0" i="1">
                            <a:latin typeface="Cambria Math" panose="02040503050406030204" pitchFamily="18" charset="0"/>
                          </a:rPr>
                          <m:t>𝑀𝑆𝐸𝑃</m:t>
                        </m:r>
                      </m:e>
                    </m:rad>
                  </m:oMath>
                </m:oMathPara>
              </a14:m>
              <a:endParaRPr lang="en-US" sz="1100"/>
            </a:p>
          </xdr:txBody>
        </xdr:sp>
      </mc:Choice>
      <mc:Fallback xmlns="">
        <xdr:sp macro="" textlink="">
          <xdr:nvSpPr>
            <xdr:cNvPr id="9" name="TextBox 8">
              <a:extLst>
                <a:ext uri="{FF2B5EF4-FFF2-40B4-BE49-F238E27FC236}">
                  <a16:creationId xmlns:a16="http://schemas.microsoft.com/office/drawing/2014/main" id="{C16C8EDA-9C66-C849-99B6-6D77C650E804}"/>
                </a:ext>
              </a:extLst>
            </xdr:cNvPr>
            <xdr:cNvSpPr txBox="1"/>
          </xdr:nvSpPr>
          <xdr:spPr>
            <a:xfrm>
              <a:off x="1037167" y="31527749"/>
              <a:ext cx="1238031" cy="28802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𝑅𝑀𝑆𝐸𝑃=√𝑀𝑆𝐸𝑃</a:t>
              </a:r>
              <a:endParaRPr lang="en-US" sz="1100"/>
            </a:p>
          </xdr:txBody>
        </xdr:sp>
      </mc:Fallback>
    </mc:AlternateContent>
    <xdr:clientData/>
  </xdr:oneCellAnchor>
  <xdr:oneCellAnchor>
    <xdr:from>
      <xdr:col>3</xdr:col>
      <xdr:colOff>433918</xdr:colOff>
      <xdr:row>125</xdr:row>
      <xdr:rowOff>158749</xdr:rowOff>
    </xdr:from>
    <xdr:ext cx="1034962" cy="464358"/>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7CBE6CF-C8AA-5F43-984D-6651DE2045B5}"/>
                </a:ext>
              </a:extLst>
            </xdr:cNvPr>
            <xdr:cNvSpPr txBox="1"/>
          </xdr:nvSpPr>
          <xdr:spPr>
            <a:xfrm>
              <a:off x="2910418" y="31453666"/>
              <a:ext cx="1034962" cy="46435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𝐶𝑉𝑃</m:t>
                    </m:r>
                    <m:r>
                      <a:rPr lang="en-US" sz="1100" b="0" i="1">
                        <a:solidFill>
                          <a:schemeClr val="tx1"/>
                        </a:solidFill>
                        <a:latin typeface="Cambria Math" panose="02040503050406030204" pitchFamily="18" charset="0"/>
                      </a:rPr>
                      <m:t>=</m:t>
                    </m:r>
                    <m:f>
                      <m:fPr>
                        <m:ctrlPr>
                          <a:rPr lang="en-US" sz="1100" b="0" i="1">
                            <a:solidFill>
                              <a:schemeClr val="tx1"/>
                            </a:solidFill>
                            <a:latin typeface="Cambria Math" panose="02040503050406030204" pitchFamily="18" charset="0"/>
                          </a:rPr>
                        </m:ctrlPr>
                      </m:fPr>
                      <m:num>
                        <m:r>
                          <a:rPr lang="en-US" sz="1100" b="0" i="1">
                            <a:solidFill>
                              <a:schemeClr val="tx1"/>
                            </a:solidFill>
                            <a:latin typeface="Cambria Math" panose="02040503050406030204" pitchFamily="18" charset="0"/>
                          </a:rPr>
                          <m:t>𝑅𝑀𝑆𝐸𝑃</m:t>
                        </m:r>
                      </m:num>
                      <m:den>
                        <m:sSub>
                          <m:sSubPr>
                            <m:ctrlPr>
                              <a:rPr lang="en-US" sz="1100" b="0" i="1">
                                <a:solidFill>
                                  <a:schemeClr val="tx1"/>
                                </a:solidFill>
                                <a:latin typeface="Cambria Math" panose="02040503050406030204" pitchFamily="18" charset="0"/>
                              </a:rPr>
                            </m:ctrlPr>
                          </m:sSub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𝑅</m:t>
                                </m:r>
                              </m:e>
                            </m:acc>
                          </m:e>
                          <m:sub>
                            <m:r>
                              <a:rPr lang="en-US" sz="1100" b="0" i="1">
                                <a:solidFill>
                                  <a:schemeClr val="tx1"/>
                                </a:solidFill>
                                <a:latin typeface="Cambria Math" panose="02040503050406030204" pitchFamily="18" charset="0"/>
                              </a:rPr>
                              <m:t>𝑘</m:t>
                            </m:r>
                          </m:sub>
                        </m:sSub>
                      </m:den>
                    </m:f>
                  </m:oMath>
                </m:oMathPara>
              </a14:m>
              <a:endParaRPr lang="en-US" sz="1100">
                <a:solidFill>
                  <a:schemeClr val="tx1"/>
                </a:solidFill>
              </a:endParaRPr>
            </a:p>
          </xdr:txBody>
        </xdr:sp>
      </mc:Choice>
      <mc:Fallback xmlns="">
        <xdr:sp macro="" textlink="">
          <xdr:nvSpPr>
            <xdr:cNvPr id="10" name="TextBox 9">
              <a:extLst>
                <a:ext uri="{FF2B5EF4-FFF2-40B4-BE49-F238E27FC236}">
                  <a16:creationId xmlns:a16="http://schemas.microsoft.com/office/drawing/2014/main" id="{67CBE6CF-C8AA-5F43-984D-6651DE2045B5}"/>
                </a:ext>
              </a:extLst>
            </xdr:cNvPr>
            <xdr:cNvSpPr txBox="1"/>
          </xdr:nvSpPr>
          <xdr:spPr>
            <a:xfrm>
              <a:off x="2910418" y="31453666"/>
              <a:ext cx="1034962" cy="464358"/>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𝐶𝑉𝑃=𝑅𝑀𝑆𝐸𝑃/𝑅 ̂_𝑘 </a:t>
              </a:r>
              <a:endParaRPr lang="en-US" sz="1100">
                <a:solidFill>
                  <a:schemeClr val="tx1"/>
                </a:solidFill>
              </a:endParaRPr>
            </a:p>
          </xdr:txBody>
        </xdr:sp>
      </mc:Fallback>
    </mc:AlternateContent>
    <xdr:clientData/>
  </xdr:oneCellAnchor>
  <xdr:oneCellAnchor>
    <xdr:from>
      <xdr:col>4</xdr:col>
      <xdr:colOff>52916</xdr:colOff>
      <xdr:row>112</xdr:row>
      <xdr:rowOff>84668</xdr:rowOff>
    </xdr:from>
    <xdr:ext cx="1412631" cy="28732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40C265F5-2AA0-7C47-93B2-D5F290129B08}"/>
                </a:ext>
              </a:extLst>
            </xdr:cNvPr>
            <xdr:cNvSpPr txBox="1"/>
          </xdr:nvSpPr>
          <xdr:spPr>
            <a:xfrm>
              <a:off x="3365499" y="22860001"/>
              <a:ext cx="1412631" cy="2873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𝑝𝑟𝑜𝑐</m:t>
                        </m:r>
                      </m:sub>
                    </m:sSub>
                    <m:d>
                      <m:dPr>
                        <m:begChr m:val="["/>
                        <m:endChr m:val="]"/>
                        <m:ctrlPr>
                          <a:rPr lang="en-US" sz="1100" b="0" i="1">
                            <a:solidFill>
                              <a:schemeClr val="tx1"/>
                            </a:solidFill>
                            <a:latin typeface="Cambria Math" panose="02040503050406030204" pitchFamily="18" charset="0"/>
                          </a:rPr>
                        </m:ctrlPr>
                      </m:dPr>
                      <m:e>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𝑘</m:t>
                            </m:r>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𝑗</m:t>
                            </m:r>
                          </m:sub>
                        </m:sSub>
                      </m:e>
                    </m:d>
                    <m:r>
                      <a:rPr lang="en-US" sz="1100" b="0" i="1">
                        <a:solidFill>
                          <a:schemeClr val="tx1"/>
                        </a:solidFill>
                        <a:latin typeface="Cambria Math" panose="02040503050406030204" pitchFamily="18" charset="0"/>
                      </a:rPr>
                      <m:t>=</m:t>
                    </m:r>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𝜙</m:t>
                        </m:r>
                      </m:e>
                    </m:acc>
                    <m:r>
                      <a:rPr lang="en-US" sz="1100" b="0" i="1">
                        <a:solidFill>
                          <a:schemeClr val="tx1"/>
                        </a:solidFill>
                        <a:latin typeface="Cambria Math" panose="02040503050406030204" pitchFamily="18" charset="0"/>
                        <a:ea typeface="Cambria Math" panose="02040503050406030204" pitchFamily="18" charset="0"/>
                      </a:rPr>
                      <m:t>×</m:t>
                    </m:r>
                    <m:sSup>
                      <m:sSupPr>
                        <m:ctrlPr>
                          <a:rPr lang="en-US" sz="1100" b="0" i="1">
                            <a:solidFill>
                              <a:schemeClr val="tx1"/>
                            </a:solidFill>
                            <a:latin typeface="Cambria Math" panose="02040503050406030204" pitchFamily="18" charset="0"/>
                          </a:rPr>
                        </m:ctrlPr>
                      </m:sSup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𝑌</m:t>
                            </m:r>
                          </m:e>
                        </m:acc>
                      </m:e>
                      <m:sup>
                        <m:r>
                          <a:rPr lang="en-US" sz="1100" b="0" i="1">
                            <a:solidFill>
                              <a:schemeClr val="tx1"/>
                            </a:solidFill>
                            <a:latin typeface="Cambria Math" panose="02040503050406030204" pitchFamily="18" charset="0"/>
                          </a:rPr>
                          <m:t>∗</m:t>
                        </m:r>
                      </m:sup>
                    </m:sSup>
                  </m:oMath>
                </m:oMathPara>
              </a14:m>
              <a:endParaRPr lang="en-US" sz="1100">
                <a:solidFill>
                  <a:schemeClr val="tx1"/>
                </a:solidFill>
              </a:endParaRPr>
            </a:p>
          </xdr:txBody>
        </xdr:sp>
      </mc:Choice>
      <mc:Fallback xmlns="">
        <xdr:sp macro="" textlink="">
          <xdr:nvSpPr>
            <xdr:cNvPr id="13" name="TextBox 12">
              <a:extLst>
                <a:ext uri="{FF2B5EF4-FFF2-40B4-BE49-F238E27FC236}">
                  <a16:creationId xmlns:a16="http://schemas.microsoft.com/office/drawing/2014/main" id="{40C265F5-2AA0-7C47-93B2-D5F290129B08}"/>
                </a:ext>
              </a:extLst>
            </xdr:cNvPr>
            <xdr:cNvSpPr txBox="1"/>
          </xdr:nvSpPr>
          <xdr:spPr>
            <a:xfrm>
              <a:off x="3365499" y="22860001"/>
              <a:ext cx="1412631" cy="28732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〖𝑉𝑎𝑟〗_𝑝𝑟𝑜𝑐 [𝑌_(𝑘,𝑗) ]=</a:t>
              </a:r>
              <a:r>
                <a:rPr lang="en-US" sz="1100" b="0" i="0">
                  <a:solidFill>
                    <a:schemeClr val="tx1"/>
                  </a:solidFill>
                  <a:latin typeface="Cambria Math" panose="02040503050406030204" pitchFamily="18" charset="0"/>
                  <a:ea typeface="Cambria Math" panose="02040503050406030204" pitchFamily="18" charset="0"/>
                </a:rPr>
                <a:t>𝜙 ̂×</a:t>
              </a:r>
              <a:r>
                <a:rPr lang="en-US" sz="1100" b="0" i="0">
                  <a:solidFill>
                    <a:schemeClr val="tx1"/>
                  </a:solidFill>
                  <a:latin typeface="Cambria Math" panose="02040503050406030204" pitchFamily="18" charset="0"/>
                </a:rPr>
                <a:t>𝑌 ̂^∗</a:t>
              </a:r>
              <a:endParaRPr lang="en-US" sz="1100">
                <a:solidFill>
                  <a:schemeClr val="tx1"/>
                </a:solidFill>
              </a:endParaRPr>
            </a:p>
          </xdr:txBody>
        </xdr:sp>
      </mc:Fallback>
    </mc:AlternateContent>
    <xdr:clientData/>
  </xdr:oneCellAnchor>
  <xdr:oneCellAnchor>
    <xdr:from>
      <xdr:col>1</xdr:col>
      <xdr:colOff>211667</xdr:colOff>
      <xdr:row>98</xdr:row>
      <xdr:rowOff>179917</xdr:rowOff>
    </xdr:from>
    <xdr:ext cx="2243819" cy="287707"/>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000FC11F-BFE8-0443-838F-F54AA0AAB7C0}"/>
                </a:ext>
              </a:extLst>
            </xdr:cNvPr>
            <xdr:cNvSpPr txBox="1"/>
          </xdr:nvSpPr>
          <xdr:spPr>
            <a:xfrm>
              <a:off x="1037167" y="19695584"/>
              <a:ext cx="2243819" cy="28770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latin typeface="Cambria Math" panose="02040503050406030204" pitchFamily="18" charset="0"/>
                          </a:rPr>
                        </m:ctrlPr>
                      </m:sSubPr>
                      <m:e>
                        <m:r>
                          <a:rPr lang="en-US" sz="1100" b="0" i="1">
                            <a:solidFill>
                              <a:schemeClr val="tx1"/>
                            </a:solidFill>
                            <a:latin typeface="Cambria Math" panose="02040503050406030204" pitchFamily="18" charset="0"/>
                          </a:rPr>
                          <m:t>𝑉𝑎𝑟</m:t>
                        </m:r>
                      </m:e>
                      <m:sub>
                        <m:r>
                          <a:rPr lang="en-US" sz="1100" b="0" i="1">
                            <a:solidFill>
                              <a:schemeClr val="tx1"/>
                            </a:solidFill>
                            <a:latin typeface="Cambria Math" panose="02040503050406030204" pitchFamily="18" charset="0"/>
                          </a:rPr>
                          <m:t>𝑝𝑎𝑟𝑎𝑚</m:t>
                        </m:r>
                      </m:sub>
                    </m:sSub>
                    <m:d>
                      <m:dPr>
                        <m:begChr m:val="["/>
                        <m:endChr m:val="]"/>
                        <m:ctrlPr>
                          <a:rPr lang="en-US" sz="1100" b="0" i="1">
                            <a:solidFill>
                              <a:schemeClr val="tx1"/>
                            </a:solidFill>
                            <a:latin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𝑌</m:t>
                                </m:r>
                              </m:e>
                            </m:acc>
                          </m:e>
                          <m:sup>
                            <m:r>
                              <a:rPr lang="en-US" sz="1100" b="0" i="1">
                                <a:solidFill>
                                  <a:schemeClr val="tx1"/>
                                </a:solidFill>
                                <a:latin typeface="Cambria Math" panose="02040503050406030204" pitchFamily="18" charset="0"/>
                              </a:rPr>
                              <m:t>∗</m:t>
                            </m:r>
                          </m:sup>
                        </m:sSup>
                      </m:e>
                    </m:d>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𝐷</m:t>
                    </m:r>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𝑋</m:t>
                        </m:r>
                      </m:e>
                      <m:sup>
                        <m:r>
                          <a:rPr lang="en-US" sz="1100" b="0" i="1">
                            <a:solidFill>
                              <a:schemeClr val="tx1"/>
                            </a:solidFill>
                            <a:latin typeface="Cambria Math" panose="02040503050406030204" pitchFamily="18" charset="0"/>
                          </a:rPr>
                          <m:t>∗</m:t>
                        </m:r>
                      </m:sup>
                    </m:sSup>
                    <m:r>
                      <a:rPr lang="en-US" sz="1100" b="0" i="1">
                        <a:solidFill>
                          <a:schemeClr val="tx1"/>
                        </a:solidFill>
                        <a:latin typeface="Cambria Math" panose="02040503050406030204" pitchFamily="18" charset="0"/>
                      </a:rPr>
                      <m:t>𝑉𝑎𝑟</m:t>
                    </m:r>
                    <m:d>
                      <m:dPr>
                        <m:begChr m:val="["/>
                        <m:endChr m:val="]"/>
                        <m:ctrlPr>
                          <a:rPr lang="en-US" sz="1100" b="0" i="1">
                            <a:solidFill>
                              <a:schemeClr val="tx1"/>
                            </a:solidFill>
                            <a:latin typeface="Cambria Math" panose="02040503050406030204" pitchFamily="18" charset="0"/>
                            <a:ea typeface="Cambria Math" panose="02040503050406030204" pitchFamily="18" charset="0"/>
                          </a:rPr>
                        </m:ctrlPr>
                      </m:dPr>
                      <m:e>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𝛽</m:t>
                            </m:r>
                          </m:e>
                        </m:acc>
                      </m:e>
                    </m:d>
                    <m:sSup>
                      <m:sSupPr>
                        <m:ctrlPr>
                          <a:rPr lang="en-US" sz="1100" b="0" i="1">
                            <a:solidFill>
                              <a:schemeClr val="tx1"/>
                            </a:solidFill>
                            <a:latin typeface="Cambria Math" panose="02040503050406030204" pitchFamily="18" charset="0"/>
                          </a:rPr>
                        </m:ctrlPr>
                      </m:sSupPr>
                      <m:e>
                        <m:d>
                          <m:dPr>
                            <m:ctrlPr>
                              <a:rPr lang="en-US" sz="1100" b="0" i="1">
                                <a:solidFill>
                                  <a:schemeClr val="tx1"/>
                                </a:solidFill>
                                <a:latin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𝑋</m:t>
                                </m:r>
                              </m:e>
                              <m:sup>
                                <m:r>
                                  <a:rPr lang="en-US" sz="1100" b="0" i="1">
                                    <a:solidFill>
                                      <a:schemeClr val="tx1"/>
                                    </a:solidFill>
                                    <a:latin typeface="Cambria Math" panose="02040503050406030204" pitchFamily="18" charset="0"/>
                                  </a:rPr>
                                  <m:t>∗</m:t>
                                </m:r>
                              </m:sup>
                            </m:sSup>
                          </m:e>
                        </m:d>
                      </m:e>
                      <m:sup>
                        <m:r>
                          <a:rPr lang="en-US" sz="1100" b="0" i="1">
                            <a:solidFill>
                              <a:schemeClr val="tx1"/>
                            </a:solidFill>
                            <a:latin typeface="Cambria Math" panose="02040503050406030204" pitchFamily="18" charset="0"/>
                            <a:ea typeface="Cambria Math" panose="02040503050406030204" pitchFamily="18" charset="0"/>
                          </a:rPr>
                          <m:t>𝑇</m:t>
                        </m:r>
                      </m:sup>
                    </m:sSup>
                    <m:r>
                      <a:rPr lang="en-US" sz="1100" b="0" i="1">
                        <a:solidFill>
                          <a:schemeClr val="tx1"/>
                        </a:solidFill>
                        <a:latin typeface="Cambria Math" panose="02040503050406030204" pitchFamily="18" charset="0"/>
                      </a:rPr>
                      <m:t>𝐷</m:t>
                    </m:r>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000FC11F-BFE8-0443-838F-F54AA0AAB7C0}"/>
                </a:ext>
              </a:extLst>
            </xdr:cNvPr>
            <xdr:cNvSpPr txBox="1"/>
          </xdr:nvSpPr>
          <xdr:spPr>
            <a:xfrm>
              <a:off x="1037167" y="19695584"/>
              <a:ext cx="2243819" cy="28770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〖𝑉𝑎𝑟〗_𝑝𝑎𝑟𝑎𝑚 [𝑌 ̂^∗ ]=𝐷𝑋^∗ 𝑉𝑎𝑟[</a:t>
              </a:r>
              <a:r>
                <a:rPr lang="en-US" sz="1100" b="0" i="0">
                  <a:solidFill>
                    <a:schemeClr val="tx1"/>
                  </a:solidFill>
                  <a:latin typeface="Cambria Math" panose="02040503050406030204" pitchFamily="18" charset="0"/>
                  <a:ea typeface="Cambria Math" panose="02040503050406030204" pitchFamily="18" charset="0"/>
                </a:rPr>
                <a:t>𝛽 ̂ ] (</a:t>
              </a:r>
              <a:r>
                <a:rPr lang="en-US" sz="1100" b="0" i="0">
                  <a:solidFill>
                    <a:schemeClr val="tx1"/>
                  </a:solidFill>
                  <a:latin typeface="Cambria Math" panose="02040503050406030204" pitchFamily="18" charset="0"/>
                </a:rPr>
                <a:t>𝑋^∗ )</a:t>
              </a:r>
              <a:r>
                <a:rPr lang="en-US" sz="1100" b="0" i="0">
                  <a:solidFill>
                    <a:schemeClr val="tx1"/>
                  </a:solidFill>
                  <a:latin typeface="Cambria Math" panose="02040503050406030204" pitchFamily="18" charset="0"/>
                  <a:ea typeface="Cambria Math" panose="02040503050406030204" pitchFamily="18" charset="0"/>
                </a:rPr>
                <a:t>^𝑇 </a:t>
              </a:r>
              <a:r>
                <a:rPr lang="en-US" sz="1100" b="0" i="0">
                  <a:solidFill>
                    <a:schemeClr val="tx1"/>
                  </a:solidFill>
                  <a:latin typeface="Cambria Math" panose="02040503050406030204" pitchFamily="18" charset="0"/>
                </a:rPr>
                <a:t>𝐷</a:t>
              </a:r>
              <a:endParaRPr lang="en-US" sz="1100">
                <a:solidFill>
                  <a:schemeClr val="tx1"/>
                </a:solidFill>
              </a:endParaRPr>
            </a:p>
          </xdr:txBody>
        </xdr:sp>
      </mc:Fallback>
    </mc:AlternateContent>
    <xdr:clientData/>
  </xdr:oneCellAnchor>
  <xdr:oneCellAnchor>
    <xdr:from>
      <xdr:col>1</xdr:col>
      <xdr:colOff>264583</xdr:colOff>
      <xdr:row>85</xdr:row>
      <xdr:rowOff>179917</xdr:rowOff>
    </xdr:from>
    <xdr:ext cx="2456378" cy="26443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3DEC60A3-DBBD-3541-B272-9B6A8D08E7AC}"/>
                </a:ext>
              </a:extLst>
            </xdr:cNvPr>
            <xdr:cNvSpPr txBox="1"/>
          </xdr:nvSpPr>
          <xdr:spPr>
            <a:xfrm>
              <a:off x="1090083" y="17684750"/>
              <a:ext cx="2456378"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𝐷</m:t>
                    </m:r>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𝑋</m:t>
                        </m:r>
                      </m:e>
                      <m:sup>
                        <m:r>
                          <a:rPr lang="en-US" sz="1100" b="0" i="1">
                            <a:solidFill>
                              <a:schemeClr val="tx1"/>
                            </a:solidFill>
                            <a:latin typeface="Cambria Math" panose="02040503050406030204" pitchFamily="18" charset="0"/>
                          </a:rPr>
                          <m:t>∗</m:t>
                        </m:r>
                      </m:sup>
                    </m:sSup>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𝐷</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𝑀𝑎𝑡𝑟𝑖𝑥</m:t>
                    </m:r>
                    <m:r>
                      <a:rPr lang="en-US" sz="1100" b="0" i="1">
                        <a:solidFill>
                          <a:schemeClr val="tx1"/>
                        </a:solidFill>
                        <a:latin typeface="Cambria Math" panose="02040503050406030204" pitchFamily="18" charset="0"/>
                      </a:rPr>
                      <m:t>] × [</m:t>
                    </m:r>
                    <m:r>
                      <a:rPr lang="en-US" sz="1100" b="0" i="1">
                        <a:solidFill>
                          <a:schemeClr val="tx1"/>
                        </a:solidFill>
                        <a:latin typeface="Cambria Math" panose="02040503050406030204" pitchFamily="18" charset="0"/>
                      </a:rPr>
                      <m:t>𝐷𝑒𝑠𝑖𝑔𝑛</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𝑀𝑎𝑡𝑟𝑖𝑥</m:t>
                    </m:r>
                    <m:r>
                      <a:rPr lang="en-US" sz="1100" b="0" i="1">
                        <a:solidFill>
                          <a:schemeClr val="tx1"/>
                        </a:solidFill>
                        <a:latin typeface="Cambria Math" panose="02040503050406030204" pitchFamily="18" charset="0"/>
                      </a:rPr>
                      <m:t>]</m:t>
                    </m:r>
                  </m:oMath>
                </m:oMathPara>
              </a14:m>
              <a:endParaRPr lang="en-US" sz="1100">
                <a:solidFill>
                  <a:schemeClr val="tx1"/>
                </a:solidFill>
              </a:endParaRPr>
            </a:p>
          </xdr:txBody>
        </xdr:sp>
      </mc:Choice>
      <mc:Fallback xmlns="">
        <xdr:sp macro="" textlink="">
          <xdr:nvSpPr>
            <xdr:cNvPr id="17" name="TextBox 16">
              <a:extLst>
                <a:ext uri="{FF2B5EF4-FFF2-40B4-BE49-F238E27FC236}">
                  <a16:creationId xmlns:a16="http://schemas.microsoft.com/office/drawing/2014/main" id="{3DEC60A3-DBBD-3541-B272-9B6A8D08E7AC}"/>
                </a:ext>
              </a:extLst>
            </xdr:cNvPr>
            <xdr:cNvSpPr txBox="1"/>
          </xdr:nvSpPr>
          <xdr:spPr>
            <a:xfrm>
              <a:off x="1090083" y="17684750"/>
              <a:ext cx="2456378"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𝐷𝑋^∗=[𝐷 𝑀𝑎𝑡𝑟𝑖𝑥] × [𝐷𝑒𝑠𝑖𝑔𝑛 𝑀𝑎𝑡𝑟𝑖𝑥]</a:t>
              </a:r>
              <a:endParaRPr lang="en-US" sz="1100">
                <a:solidFill>
                  <a:schemeClr val="tx1"/>
                </a:solidFill>
              </a:endParaRPr>
            </a:p>
          </xdr:txBody>
        </xdr:sp>
      </mc:Fallback>
    </mc:AlternateContent>
    <xdr:clientData/>
  </xdr:oneCellAnchor>
  <xdr:oneCellAnchor>
    <xdr:from>
      <xdr:col>1</xdr:col>
      <xdr:colOff>243418</xdr:colOff>
      <xdr:row>154</xdr:row>
      <xdr:rowOff>148166</xdr:rowOff>
    </xdr:from>
    <xdr:ext cx="981486" cy="28341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467481E-A2CB-DA48-9F2F-62904204D5D2}"/>
                </a:ext>
              </a:extLst>
            </xdr:cNvPr>
            <xdr:cNvSpPr txBox="1"/>
          </xdr:nvSpPr>
          <xdr:spPr>
            <a:xfrm>
              <a:off x="1068918" y="35189583"/>
              <a:ext cx="981486"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solidFill>
                          <a:schemeClr val="tx1"/>
                        </a:solidFill>
                        <a:latin typeface="Cambria Math" panose="02040503050406030204" pitchFamily="18" charset="0"/>
                      </a:rPr>
                      <m:t>𝐷</m:t>
                    </m:r>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𝑑𝑖𝑎𝑔</m:t>
                    </m:r>
                    <m:d>
                      <m:dPr>
                        <m:begChr m:val="["/>
                        <m:endChr m:val="]"/>
                        <m:ctrlPr>
                          <a:rPr lang="en-US" sz="1100" b="0" i="1">
                            <a:solidFill>
                              <a:schemeClr val="tx1"/>
                            </a:solidFill>
                            <a:latin typeface="Cambria Math" panose="02040503050406030204" pitchFamily="18" charset="0"/>
                          </a:rPr>
                        </m:ctrlPr>
                      </m:dPr>
                      <m:e>
                        <m:sSup>
                          <m:sSupPr>
                            <m:ctrlPr>
                              <a:rPr lang="en-US" sz="1100" b="0" i="1">
                                <a:solidFill>
                                  <a:schemeClr val="tx1"/>
                                </a:solidFill>
                                <a:latin typeface="Cambria Math" panose="02040503050406030204" pitchFamily="18" charset="0"/>
                              </a:rPr>
                            </m:ctrlPr>
                          </m:sSupPr>
                          <m:e>
                            <m:acc>
                              <m:accPr>
                                <m:chr m:val="̂"/>
                                <m:ctrlPr>
                                  <a:rPr lang="en-US" sz="1100" b="0" i="1">
                                    <a:solidFill>
                                      <a:schemeClr val="tx1"/>
                                    </a:solidFill>
                                    <a:latin typeface="Cambria Math" panose="02040503050406030204" pitchFamily="18" charset="0"/>
                                  </a:rPr>
                                </m:ctrlPr>
                              </m:accPr>
                              <m:e>
                                <m:r>
                                  <a:rPr lang="en-US" sz="1100" b="0" i="1">
                                    <a:solidFill>
                                      <a:schemeClr val="tx1"/>
                                    </a:solidFill>
                                    <a:latin typeface="Cambria Math" panose="02040503050406030204" pitchFamily="18" charset="0"/>
                                  </a:rPr>
                                  <m:t>𝑌</m:t>
                                </m:r>
                              </m:e>
                            </m:acc>
                          </m:e>
                          <m:sup>
                            <m:r>
                              <a:rPr lang="en-US" sz="1100" b="0" i="1">
                                <a:solidFill>
                                  <a:schemeClr val="tx1"/>
                                </a:solidFill>
                                <a:latin typeface="Cambria Math" panose="02040503050406030204" pitchFamily="18" charset="0"/>
                              </a:rPr>
                              <m:t>∗</m:t>
                            </m:r>
                          </m:sup>
                        </m:sSup>
                        <m:r>
                          <a:rPr lang="en-US" sz="1100" b="0" i="1">
                            <a:solidFill>
                              <a:schemeClr val="tx1"/>
                            </a:solidFill>
                            <a:latin typeface="Cambria Math" panose="02040503050406030204" pitchFamily="18" charset="0"/>
                          </a:rPr>
                          <m:t> </m:t>
                        </m:r>
                      </m:e>
                    </m:d>
                  </m:oMath>
                </m:oMathPara>
              </a14:m>
              <a:endParaRPr lang="en-US" sz="1100">
                <a:solidFill>
                  <a:schemeClr val="tx1"/>
                </a:solidFill>
              </a:endParaRPr>
            </a:p>
          </xdr:txBody>
        </xdr:sp>
      </mc:Choice>
      <mc:Fallback xmlns="">
        <xdr:sp macro="" textlink="">
          <xdr:nvSpPr>
            <xdr:cNvPr id="11" name="TextBox 10">
              <a:extLst>
                <a:ext uri="{FF2B5EF4-FFF2-40B4-BE49-F238E27FC236}">
                  <a16:creationId xmlns:a16="http://schemas.microsoft.com/office/drawing/2014/main" id="{7467481E-A2CB-DA48-9F2F-62904204D5D2}"/>
                </a:ext>
              </a:extLst>
            </xdr:cNvPr>
            <xdr:cNvSpPr txBox="1"/>
          </xdr:nvSpPr>
          <xdr:spPr>
            <a:xfrm>
              <a:off x="1068918" y="35189583"/>
              <a:ext cx="981486" cy="28341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𝐷=𝑑𝑖𝑎𝑔[𝑌 ̂^∗  ]</a:t>
              </a:r>
              <a:endParaRPr lang="en-US" sz="1100">
                <a:solidFill>
                  <a:schemeClr val="tx1"/>
                </a:solidFill>
              </a:endParaRPr>
            </a:p>
          </xdr:txBody>
        </xdr:sp>
      </mc:Fallback>
    </mc:AlternateContent>
    <xdr:clientData/>
  </xdr:oneCellAnchor>
  <xdr:oneCellAnchor>
    <xdr:from>
      <xdr:col>2</xdr:col>
      <xdr:colOff>730250</xdr:colOff>
      <xdr:row>154</xdr:row>
      <xdr:rowOff>190499</xdr:rowOff>
    </xdr:from>
    <xdr:ext cx="1384995" cy="264431"/>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D3738942-8702-4D47-B920-572BA7A63316}"/>
                </a:ext>
              </a:extLst>
            </xdr:cNvPr>
            <xdr:cNvSpPr txBox="1"/>
          </xdr:nvSpPr>
          <xdr:spPr>
            <a:xfrm>
              <a:off x="2381250" y="35231916"/>
              <a:ext cx="1384995"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p>
                      <m:sSupPr>
                        <m:ctrlPr>
                          <a:rPr lang="en-US" sz="1100" b="0" i="1">
                            <a:solidFill>
                              <a:schemeClr val="tx1"/>
                            </a:solidFill>
                            <a:latin typeface="Cambria Math" panose="02040503050406030204" pitchFamily="18" charset="0"/>
                          </a:rPr>
                        </m:ctrlPr>
                      </m:sSupPr>
                      <m:e>
                        <m:r>
                          <a:rPr lang="en-US" sz="1100" b="0" i="1">
                            <a:solidFill>
                              <a:schemeClr val="tx1"/>
                            </a:solidFill>
                            <a:latin typeface="Cambria Math" panose="02040503050406030204" pitchFamily="18" charset="0"/>
                          </a:rPr>
                          <m:t>𝑋</m:t>
                        </m:r>
                      </m:e>
                      <m:sup>
                        <m:r>
                          <a:rPr lang="en-US" sz="1100" b="0" i="1">
                            <a:solidFill>
                              <a:schemeClr val="tx1"/>
                            </a:solidFill>
                            <a:latin typeface="Cambria Math" panose="02040503050406030204" pitchFamily="18" charset="0"/>
                          </a:rPr>
                          <m:t>∗</m:t>
                        </m:r>
                      </m:sup>
                    </m:sSup>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𝐷𝑒𝑠𝑖𝑔𝑛</m:t>
                    </m:r>
                    <m:r>
                      <a:rPr lang="en-US" sz="1100" b="0" i="1">
                        <a:solidFill>
                          <a:schemeClr val="tx1"/>
                        </a:solidFill>
                        <a:latin typeface="Cambria Math" panose="02040503050406030204" pitchFamily="18" charset="0"/>
                      </a:rPr>
                      <m:t> </m:t>
                    </m:r>
                    <m:r>
                      <a:rPr lang="en-US" sz="1100" b="0" i="1">
                        <a:solidFill>
                          <a:schemeClr val="tx1"/>
                        </a:solidFill>
                        <a:latin typeface="Cambria Math" panose="02040503050406030204" pitchFamily="18" charset="0"/>
                      </a:rPr>
                      <m:t>𝑀𝑎𝑡𝑟𝑖𝑥</m:t>
                    </m:r>
                  </m:oMath>
                </m:oMathPara>
              </a14:m>
              <a:endParaRPr lang="en-US" sz="1100">
                <a:solidFill>
                  <a:schemeClr val="tx1"/>
                </a:solidFill>
              </a:endParaRPr>
            </a:p>
          </xdr:txBody>
        </xdr:sp>
      </mc:Choice>
      <mc:Fallback xmlns="">
        <xdr:sp macro="" textlink="">
          <xdr:nvSpPr>
            <xdr:cNvPr id="20" name="TextBox 19">
              <a:extLst>
                <a:ext uri="{FF2B5EF4-FFF2-40B4-BE49-F238E27FC236}">
                  <a16:creationId xmlns:a16="http://schemas.microsoft.com/office/drawing/2014/main" id="{D3738942-8702-4D47-B920-572BA7A63316}"/>
                </a:ext>
              </a:extLst>
            </xdr:cNvPr>
            <xdr:cNvSpPr txBox="1"/>
          </xdr:nvSpPr>
          <xdr:spPr>
            <a:xfrm>
              <a:off x="2381250" y="35231916"/>
              <a:ext cx="1384995" cy="26443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𝑋^∗=𝐷𝑒𝑠𝑖𝑔𝑛 𝑀𝑎𝑡𝑟𝑖𝑥</a:t>
              </a:r>
              <a:endParaRPr lang="en-US" sz="1100">
                <a:solidFill>
                  <a:schemeClr val="tx1"/>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1</xdr:col>
      <xdr:colOff>243417</xdr:colOff>
      <xdr:row>72</xdr:row>
      <xdr:rowOff>95250</xdr:rowOff>
    </xdr:from>
    <xdr:ext cx="797206" cy="46557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FC999FB-FF87-744C-8FCD-2003B92551B7}"/>
                </a:ext>
              </a:extLst>
            </xdr:cNvPr>
            <xdr:cNvSpPr txBox="1"/>
          </xdr:nvSpPr>
          <xdr:spPr>
            <a:xfrm>
              <a:off x="1068917" y="14763750"/>
              <a:ext cx="797206" cy="4655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𝑆</m:t>
                        </m:r>
                      </m:e>
                      <m:sub>
                        <m:r>
                          <a:rPr lang="en-US" sz="1100" b="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f>
                      <m:fPr>
                        <m:ctrlPr>
                          <a:rPr lang="en-US" sz="1100" i="1">
                            <a:solidFill>
                              <a:schemeClr val="tx1"/>
                            </a:solidFill>
                            <a:effectLst/>
                            <a:latin typeface="Cambria Math" panose="02040503050406030204" pitchFamily="18" charset="0"/>
                            <a:ea typeface="+mn-ea"/>
                            <a:cs typeface="+mn-cs"/>
                          </a:rPr>
                        </m:ctrlPr>
                      </m:fPr>
                      <m:num>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𝑌</m:t>
                            </m:r>
                          </m:e>
                          <m:sub>
                            <m:r>
                              <a:rPr lang="en-US" sz="1100" i="1">
                                <a:solidFill>
                                  <a:schemeClr val="tx1"/>
                                </a:solidFill>
                                <a:effectLst/>
                                <a:latin typeface="Cambria Math" panose="02040503050406030204" pitchFamily="18" charset="0"/>
                                <a:ea typeface="+mn-ea"/>
                                <a:cs typeface="+mn-cs"/>
                              </a:rPr>
                              <m:t>𝑖</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acc>
                              <m:accPr>
                                <m:chr m:val="̂"/>
                                <m:ctrlPr>
                                  <a:rPr lang="en-US" sz="1100" i="1">
                                    <a:solidFill>
                                      <a:schemeClr val="tx1"/>
                                    </a:solidFill>
                                    <a:effectLst/>
                                    <a:latin typeface="Cambria Math" panose="02040503050406030204" pitchFamily="18" charset="0"/>
                                    <a:ea typeface="+mn-ea"/>
                                    <a:cs typeface="+mn-cs"/>
                                  </a:rPr>
                                </m:ctrlPr>
                              </m:accPr>
                              <m:e>
                                <m:r>
                                  <a:rPr lang="en-US" sz="1100" i="1">
                                    <a:solidFill>
                                      <a:schemeClr val="tx1"/>
                                    </a:solidFill>
                                    <a:effectLst/>
                                    <a:latin typeface="Cambria Math" panose="02040503050406030204" pitchFamily="18" charset="0"/>
                                    <a:ea typeface="+mn-ea"/>
                                    <a:cs typeface="+mn-cs"/>
                                  </a:rPr>
                                  <m:t>𝑌</m:t>
                                </m:r>
                              </m:e>
                            </m:acc>
                          </m:e>
                          <m:sub>
                            <m:r>
                              <a:rPr lang="en-US" sz="1100" i="1">
                                <a:solidFill>
                                  <a:schemeClr val="tx1"/>
                                </a:solidFill>
                                <a:effectLst/>
                                <a:latin typeface="Cambria Math" panose="02040503050406030204" pitchFamily="18" charset="0"/>
                                <a:ea typeface="+mn-ea"/>
                                <a:cs typeface="+mn-cs"/>
                              </a:rPr>
                              <m:t>𝑖</m:t>
                            </m:r>
                          </m:sub>
                        </m:sSub>
                      </m:num>
                      <m:den>
                        <m:sSub>
                          <m:sSubPr>
                            <m:ctrlPr>
                              <a:rPr lang="en-US" sz="1100" i="1">
                                <a:solidFill>
                                  <a:schemeClr val="tx1"/>
                                </a:solidFill>
                                <a:effectLst/>
                                <a:latin typeface="Cambria Math" panose="02040503050406030204" pitchFamily="18" charset="0"/>
                                <a:ea typeface="+mn-ea"/>
                                <a:cs typeface="+mn-cs"/>
                              </a:rPr>
                            </m:ctrlPr>
                          </m:sSubPr>
                          <m:e>
                            <m:acc>
                              <m:accPr>
                                <m:chr m:val="̂"/>
                                <m:ctrlPr>
                                  <a:rPr lang="en-US" sz="1100" i="1">
                                    <a:solidFill>
                                      <a:schemeClr val="tx1"/>
                                    </a:solidFill>
                                    <a:effectLst/>
                                    <a:latin typeface="Cambria Math" panose="02040503050406030204" pitchFamily="18" charset="0"/>
                                    <a:ea typeface="+mn-ea"/>
                                    <a:cs typeface="+mn-cs"/>
                                  </a:rPr>
                                </m:ctrlPr>
                              </m:accPr>
                              <m:e>
                                <m:r>
                                  <a:rPr lang="en-US" sz="1100" i="1">
                                    <a:solidFill>
                                      <a:schemeClr val="tx1"/>
                                    </a:solidFill>
                                    <a:effectLst/>
                                    <a:latin typeface="Cambria Math" panose="02040503050406030204" pitchFamily="18" charset="0"/>
                                    <a:ea typeface="+mn-ea"/>
                                    <a:cs typeface="+mn-cs"/>
                                  </a:rPr>
                                  <m:t>𝜎</m:t>
                                </m:r>
                              </m:e>
                            </m:acc>
                          </m:e>
                          <m:sub>
                            <m:r>
                              <a:rPr lang="en-US" sz="1100" i="1">
                                <a:solidFill>
                                  <a:schemeClr val="tx1"/>
                                </a:solidFill>
                                <a:effectLst/>
                                <a:latin typeface="Cambria Math" panose="02040503050406030204" pitchFamily="18" charset="0"/>
                                <a:ea typeface="+mn-ea"/>
                                <a:cs typeface="+mn-cs"/>
                              </a:rPr>
                              <m:t>𝑖</m:t>
                            </m:r>
                          </m:sub>
                        </m:sSub>
                      </m:den>
                    </m:f>
                  </m:oMath>
                </m:oMathPara>
              </a14:m>
              <a:endParaRPr lang="en-US"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DFC999FB-FF87-744C-8FCD-2003B92551B7}"/>
                </a:ext>
              </a:extLst>
            </xdr:cNvPr>
            <xdr:cNvSpPr txBox="1"/>
          </xdr:nvSpPr>
          <xdr:spPr>
            <a:xfrm>
              <a:off x="1068917" y="14763750"/>
              <a:ext cx="797206" cy="46557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r>
                <a:rPr lang="en-US" sz="1100" b="0" i="0">
                  <a:solidFill>
                    <a:schemeClr val="tx1"/>
                  </a:solidFill>
                  <a:effectLst/>
                  <a:latin typeface="Cambria Math" panose="02040503050406030204" pitchFamily="18" charset="0"/>
                  <a:ea typeface="+mn-ea"/>
                  <a:cs typeface="+mn-cs"/>
                </a:rPr>
                <a:t>𝑆_𝑖</a:t>
              </a:r>
              <a:r>
                <a:rPr lang="en-US" sz="1100" i="0">
                  <a:solidFill>
                    <a:schemeClr val="tx1"/>
                  </a:solidFill>
                  <a:effectLst/>
                  <a:latin typeface="+mn-lt"/>
                  <a:ea typeface="+mn-ea"/>
                  <a:cs typeface="+mn-cs"/>
                </a:rPr>
                <a:t>=(𝑌_𝑖−𝑌 ̂_𝑖)/𝜎 ̂_𝑖 </a:t>
              </a:r>
              <a:endParaRPr lang="en-US" sz="1100">
                <a:solidFill>
                  <a:schemeClr val="tx1"/>
                </a:solidFill>
                <a:effectLst/>
                <a:latin typeface="+mn-lt"/>
                <a:ea typeface="+mn-ea"/>
                <a:cs typeface="+mn-cs"/>
              </a:endParaRPr>
            </a:p>
          </xdr:txBody>
        </xdr:sp>
      </mc:Fallback>
    </mc:AlternateContent>
    <xdr:clientData/>
  </xdr:oneCellAnchor>
  <xdr:oneCellAnchor>
    <xdr:from>
      <xdr:col>4</xdr:col>
      <xdr:colOff>116417</xdr:colOff>
      <xdr:row>72</xdr:row>
      <xdr:rowOff>190499</xdr:rowOff>
    </xdr:from>
    <xdr:ext cx="3079689" cy="49879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4C75224-3CEB-7F46-AFA6-062447954FE0}"/>
                </a:ext>
              </a:extLst>
            </xdr:cNvPr>
            <xdr:cNvSpPr txBox="1"/>
          </xdr:nvSpPr>
          <xdr:spPr>
            <a:xfrm>
              <a:off x="3418417" y="14657916"/>
              <a:ext cx="3079689" cy="4987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𝑟𝑒𝑠𝑖𝑑𝑢𝑎𝑙</m:t>
                        </m:r>
                      </m:e>
                      <m:sub>
                        <m:r>
                          <a:rPr lang="en-US" sz="1100" b="0" i="1">
                            <a:solidFill>
                              <a:schemeClr val="tx1"/>
                            </a:solidFill>
                            <a:latin typeface="Cambria Math" panose="02040503050406030204" pitchFamily="18" charset="0"/>
                          </a:rPr>
                          <m:t>𝐴𝑌</m:t>
                        </m:r>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𝑑𝑒𝑣</m:t>
                        </m:r>
                      </m:sub>
                    </m:sSub>
                    <m:r>
                      <a:rPr lang="en-US" sz="1100" b="0" i="1">
                        <a:solidFill>
                          <a:schemeClr val="tx1"/>
                        </a:solidFill>
                        <a:latin typeface="Cambria Math" panose="02040503050406030204" pitchFamily="18" charset="0"/>
                      </a:rPr>
                      <m:t>=</m:t>
                    </m:r>
                    <m:f>
                      <m:fPr>
                        <m:ctrlPr>
                          <a:rPr lang="en-PH" sz="1100" i="1">
                            <a:solidFill>
                              <a:schemeClr val="tx1"/>
                            </a:solidFill>
                            <a:effectLst/>
                            <a:latin typeface="Cambria Math" panose="02040503050406030204" pitchFamily="18" charset="0"/>
                            <a:ea typeface="+mn-ea"/>
                            <a:cs typeface="+mn-cs"/>
                          </a:rPr>
                        </m:ctrlPr>
                      </m:fPr>
                      <m:num>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r>
                          <a:rPr lang="en-US" sz="1100" b="0" i="1">
                            <a:solidFill>
                              <a:schemeClr val="tx1"/>
                            </a:solidFill>
                            <a:latin typeface="Cambria Math" panose="02040503050406030204" pitchFamily="18" charset="0"/>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d>
                      </m:num>
                      <m:den>
                        <m:r>
                          <m:rPr>
                            <m:sty m:val="p"/>
                          </m:rPr>
                          <a:rPr lang="en-US" sz="1100" b="0" i="0">
                            <a:solidFill>
                              <a:schemeClr val="tx1"/>
                            </a:solidFill>
                            <a:effectLst/>
                            <a:latin typeface="Cambria Math" panose="02040503050406030204" pitchFamily="18" charset="0"/>
                            <a:ea typeface="+mn-ea"/>
                            <a:cs typeface="+mn-cs"/>
                          </a:rPr>
                          <m:t>Std</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Dev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d>
                      </m:den>
                    </m:f>
                  </m:oMath>
                </m:oMathPara>
              </a14:m>
              <a:endParaRPr lang="en-US" sz="1100">
                <a:solidFill>
                  <a:schemeClr val="tx1"/>
                </a:solidFill>
              </a:endParaRPr>
            </a:p>
          </xdr:txBody>
        </xdr:sp>
      </mc:Choice>
      <mc:Fallback xmlns="">
        <xdr:sp macro="" textlink="">
          <xdr:nvSpPr>
            <xdr:cNvPr id="5" name="TextBox 4">
              <a:extLst>
                <a:ext uri="{FF2B5EF4-FFF2-40B4-BE49-F238E27FC236}">
                  <a16:creationId xmlns:a16="http://schemas.microsoft.com/office/drawing/2014/main" id="{94C75224-3CEB-7F46-AFA6-062447954FE0}"/>
                </a:ext>
              </a:extLst>
            </xdr:cNvPr>
            <xdr:cNvSpPr txBox="1"/>
          </xdr:nvSpPr>
          <xdr:spPr>
            <a:xfrm>
              <a:off x="3418417" y="14657916"/>
              <a:ext cx="3079689" cy="49879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latin typeface="Cambria Math" panose="02040503050406030204" pitchFamily="18" charset="0"/>
                </a:rPr>
                <a:t>〖</a:t>
              </a:r>
              <a:r>
                <a:rPr lang="en-PH" sz="1100" i="0">
                  <a:solidFill>
                    <a:schemeClr val="tx1"/>
                  </a:solidFill>
                  <a:effectLst/>
                  <a:latin typeface="Cambria Math" panose="02040503050406030204" pitchFamily="18" charset="0"/>
                  <a:ea typeface="+mn-ea"/>
                  <a:cs typeface="+mn-cs"/>
                </a:rPr>
                <a:t>𝑟𝑒𝑠𝑖𝑑𝑢𝑎𝑙</a:t>
              </a:r>
              <a:r>
                <a:rPr lang="en-US" sz="1100" b="0" i="0">
                  <a:solidFill>
                    <a:schemeClr val="tx1"/>
                  </a:solidFill>
                  <a:effectLst/>
                  <a:latin typeface="Cambria Math" panose="02040503050406030204" pitchFamily="18" charset="0"/>
                  <a:ea typeface="+mn-ea"/>
                  <a:cs typeface="+mn-cs"/>
                </a:rPr>
                <a:t>〗_(</a:t>
              </a:r>
              <a:r>
                <a:rPr lang="en-US" sz="1100" b="0" i="0">
                  <a:solidFill>
                    <a:schemeClr val="tx1"/>
                  </a:solidFill>
                  <a:latin typeface="Cambria Math" panose="02040503050406030204" pitchFamily="18" charset="0"/>
                </a:rPr>
                <a:t>𝐴𝑌,𝑑𝑒𝑣)=(</a:t>
              </a:r>
              <a:r>
                <a:rPr lang="en-PH"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𝐼𝑛𝑐𝐿𝑜𝑠𝑠〗_(𝐴𝑌,𝑑𝑒𝑣)</a:t>
              </a:r>
              <a:r>
                <a:rPr lang="en-US" sz="1100" b="0" i="0">
                  <a:solidFill>
                    <a:schemeClr val="tx1"/>
                  </a:solidFill>
                  <a:latin typeface="Cambria Math" panose="02040503050406030204" pitchFamily="18" charset="0"/>
                </a:rPr>
                <a:t>−</a:t>
              </a:r>
              <a:r>
                <a:rPr lang="en-PH" sz="1100" i="0">
                  <a:solidFill>
                    <a:schemeClr val="tx1"/>
                  </a:solidFill>
                  <a:effectLst/>
                  <a:latin typeface="Cambria Math" panose="02040503050406030204" pitchFamily="18" charset="0"/>
                  <a:ea typeface="+mn-ea"/>
                  <a:cs typeface="+mn-cs"/>
                </a:rPr>
                <a:t>E[〖𝐼𝑛𝑐𝐿𝑜𝑠𝑠〗_(𝐴𝑌,𝑑𝑒𝑣) ]</a:t>
              </a:r>
              <a:r>
                <a:rPr lang="en-US" sz="1100" b="0" i="0">
                  <a:solidFill>
                    <a:schemeClr val="tx1"/>
                  </a:solidFill>
                  <a:effectLst/>
                  <a:latin typeface="Cambria Math" panose="02040503050406030204" pitchFamily="18" charset="0"/>
                  <a:ea typeface="+mn-ea"/>
                  <a:cs typeface="+mn-cs"/>
                </a:rPr>
                <a:t>)/(Std Dev</a:t>
              </a:r>
              <a:r>
                <a:rPr lang="en-PH"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𝐼𝑛𝑐𝐿𝑜𝑠𝑠〗_(𝐴𝑌,𝑑𝑒𝑣) ] </a:t>
              </a:r>
              <a:r>
                <a:rPr lang="en-US" sz="1100" b="0" i="0">
                  <a:solidFill>
                    <a:schemeClr val="tx1"/>
                  </a:solidFill>
                  <a:effectLst/>
                  <a:latin typeface="Cambria Math" panose="02040503050406030204" pitchFamily="18" charset="0"/>
                  <a:ea typeface="+mn-ea"/>
                  <a:cs typeface="+mn-cs"/>
                </a:rPr>
                <a:t>)</a:t>
              </a:r>
              <a:endParaRPr lang="en-US" sz="1100">
                <a:solidFill>
                  <a:schemeClr val="tx1"/>
                </a:solidFill>
              </a:endParaRPr>
            </a:p>
          </xdr:txBody>
        </xdr:sp>
      </mc:Fallback>
    </mc:AlternateContent>
    <xdr:clientData/>
  </xdr:oneCellAnchor>
  <xdr:twoCellAnchor>
    <xdr:from>
      <xdr:col>1</xdr:col>
      <xdr:colOff>317500</xdr:colOff>
      <xdr:row>55</xdr:row>
      <xdr:rowOff>137583</xdr:rowOff>
    </xdr:from>
    <xdr:to>
      <xdr:col>2</xdr:col>
      <xdr:colOff>666751</xdr:colOff>
      <xdr:row>57</xdr:row>
      <xdr:rowOff>23438</xdr:rowOff>
    </xdr:to>
    <mc:AlternateContent xmlns:mc="http://schemas.openxmlformats.org/markup-compatibility/2006" xmlns:a14="http://schemas.microsoft.com/office/drawing/2010/main">
      <mc:Choice Requires="a14">
        <xdr:sp macro="" textlink="">
          <xdr:nvSpPr>
            <xdr:cNvPr id="14" name="TextBox 2">
              <a:extLst>
                <a:ext uri="{FF2B5EF4-FFF2-40B4-BE49-F238E27FC236}">
                  <a16:creationId xmlns:a16="http://schemas.microsoft.com/office/drawing/2014/main" id="{FA472FE9-5787-F547-B5E6-E957A4ED29E3}"/>
                </a:ext>
              </a:extLst>
            </xdr:cNvPr>
            <xdr:cNvSpPr txBox="1"/>
          </xdr:nvSpPr>
          <xdr:spPr>
            <a:xfrm>
              <a:off x="1143000" y="13747750"/>
              <a:ext cx="1174751" cy="2880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14:m>
                <m:oMathPara xmlns:m="http://schemas.openxmlformats.org/officeDocument/2006/math">
                  <m:o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r>
                              <a:rPr lang="en-PH" sz="1100" i="1">
                                <a:solidFill>
                                  <a:schemeClr val="tx1"/>
                                </a:solidFill>
                                <a:effectLst/>
                                <a:latin typeface="Cambria Math" panose="02040503050406030204" pitchFamily="18" charset="0"/>
                                <a:ea typeface="+mn-ea"/>
                                <a:cs typeface="+mn-cs"/>
                              </a:rPr>
                              <m:t>𝑘</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𝑗</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𝑘</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𝑗</m:t>
                        </m:r>
                      </m:sub>
                    </m:sSub>
                  </m:oMath>
                </m:oMathPara>
              </a14:m>
              <a:endParaRPr lang="en-PH" sz="1100">
                <a:solidFill>
                  <a:schemeClr val="tx1"/>
                </a:solidFill>
                <a:effectLst/>
                <a:latin typeface="+mn-lt"/>
                <a:ea typeface="+mn-ea"/>
                <a:cs typeface="+mn-cs"/>
              </a:endParaRPr>
            </a:p>
          </xdr:txBody>
        </xdr:sp>
      </mc:Choice>
      <mc:Fallback xmlns="">
        <xdr:sp macro="" textlink="">
          <xdr:nvSpPr>
            <xdr:cNvPr id="14" name="TextBox 2">
              <a:extLst>
                <a:ext uri="{FF2B5EF4-FFF2-40B4-BE49-F238E27FC236}">
                  <a16:creationId xmlns:a16="http://schemas.microsoft.com/office/drawing/2014/main" id="{FA472FE9-5787-F547-B5E6-E957A4ED29E3}"/>
                </a:ext>
              </a:extLst>
            </xdr:cNvPr>
            <xdr:cNvSpPr txBox="1"/>
          </xdr:nvSpPr>
          <xdr:spPr>
            <a:xfrm>
              <a:off x="1143000" y="13747750"/>
              <a:ext cx="1174751" cy="288021"/>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spAutoFit/>
            </a:bodyPr>
            <a:lstStyle/>
            <a:p>
              <a:pPr/>
              <a:r>
                <a:rPr lang="en-PH" sz="1100" i="0">
                  <a:solidFill>
                    <a:schemeClr val="tx1"/>
                  </a:solidFill>
                  <a:effectLst/>
                  <a:latin typeface="Cambria Math" panose="02040503050406030204" pitchFamily="18" charset="0"/>
                  <a:ea typeface="+mn-ea"/>
                  <a:cs typeface="+mn-cs"/>
                </a:rPr>
                <a:t>E[𝑌_(𝑘,𝑗) ]=𝛼_</a:t>
              </a:r>
              <a:r>
                <a:rPr lang="en-US" sz="1100" b="0" i="0">
                  <a:solidFill>
                    <a:schemeClr val="tx1"/>
                  </a:solidFill>
                  <a:effectLst/>
                  <a:latin typeface="Cambria Math" panose="02040503050406030204" pitchFamily="18" charset="0"/>
                  <a:ea typeface="+mn-ea"/>
                  <a:cs typeface="+mn-cs"/>
                </a:rPr>
                <a:t>𝑘</a:t>
              </a:r>
              <a:r>
                <a:rPr lang="en-PH" sz="1100" i="0">
                  <a:solidFill>
                    <a:schemeClr val="tx1"/>
                  </a:solidFill>
                  <a:effectLst/>
                  <a:latin typeface="Cambria Math" panose="02040503050406030204" pitchFamily="18" charset="0"/>
                  <a:ea typeface="+mn-ea"/>
                  <a:cs typeface="+mn-cs"/>
                </a:rPr>
                <a:t>×𝛽_𝑗</a:t>
              </a:r>
              <a:endParaRPr lang="en-PH" sz="1100">
                <a:solidFill>
                  <a:schemeClr val="tx1"/>
                </a:solidFill>
                <a:effectLst/>
                <a:latin typeface="+mn-lt"/>
                <a:ea typeface="+mn-ea"/>
                <a:cs typeface="+mn-cs"/>
              </a:endParaRPr>
            </a:p>
          </xdr:txBody>
        </xdr:sp>
      </mc:Fallback>
    </mc:AlternateContent>
    <xdr:clientData/>
  </xdr:twoCellAnchor>
  <xdr:oneCellAnchor>
    <xdr:from>
      <xdr:col>3</xdr:col>
      <xdr:colOff>666750</xdr:colOff>
      <xdr:row>55</xdr:row>
      <xdr:rowOff>169333</xdr:rowOff>
    </xdr:from>
    <xdr:ext cx="1716239" cy="191078"/>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51F07898-11AD-3042-9DA7-94765E0129BE}"/>
                </a:ext>
              </a:extLst>
            </xdr:cNvPr>
            <xdr:cNvSpPr txBox="1"/>
          </xdr:nvSpPr>
          <xdr:spPr>
            <a:xfrm>
              <a:off x="3143250" y="13779500"/>
              <a:ext cx="171623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d>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PH" sz="1100" i="1">
                            <a:solidFill>
                              <a:schemeClr val="tx1"/>
                            </a:solidFill>
                            <a:effectLst/>
                            <a:latin typeface="Cambria Math" panose="02040503050406030204" pitchFamily="18" charset="0"/>
                            <a:ea typeface="+mn-ea"/>
                            <a:cs typeface="+mn-cs"/>
                          </a:rPr>
                          <m:t>𝐴𝑌</m:t>
                        </m:r>
                      </m:sub>
                    </m:sSub>
                    <m:r>
                      <a:rPr lang="en-PH" sz="1100" i="1">
                        <a:solidFill>
                          <a:schemeClr val="tx1"/>
                        </a:solidFill>
                        <a:effectLst/>
                        <a:latin typeface="Cambria Math" panose="02040503050406030204" pitchFamily="18" charset="0"/>
                        <a:ea typeface="+mn-ea"/>
                        <a:cs typeface="+mn-cs"/>
                      </a:rPr>
                      <m:t>×</m:t>
                    </m:r>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PH" sz="1100" i="1">
                            <a:solidFill>
                              <a:schemeClr val="tx1"/>
                            </a:solidFill>
                            <a:effectLst/>
                            <a:latin typeface="Cambria Math" panose="02040503050406030204" pitchFamily="18" charset="0"/>
                            <a:ea typeface="+mn-ea"/>
                            <a:cs typeface="+mn-cs"/>
                          </a:rPr>
                          <m:t>𝑑𝑒𝑣</m:t>
                        </m:r>
                      </m:sub>
                    </m:sSub>
                  </m:oMath>
                </m:oMathPara>
              </a14:m>
              <a:endParaRPr lang="en-US" sz="1100">
                <a:solidFill>
                  <a:schemeClr val="tx1"/>
                </a:solidFill>
              </a:endParaRPr>
            </a:p>
          </xdr:txBody>
        </xdr:sp>
      </mc:Choice>
      <mc:Fallback xmlns="">
        <xdr:sp macro="" textlink="">
          <xdr:nvSpPr>
            <xdr:cNvPr id="15" name="TextBox 14">
              <a:extLst>
                <a:ext uri="{FF2B5EF4-FFF2-40B4-BE49-F238E27FC236}">
                  <a16:creationId xmlns:a16="http://schemas.microsoft.com/office/drawing/2014/main" id="{51F07898-11AD-3042-9DA7-94765E0129BE}"/>
                </a:ext>
              </a:extLst>
            </xdr:cNvPr>
            <xdr:cNvSpPr txBox="1"/>
          </xdr:nvSpPr>
          <xdr:spPr>
            <a:xfrm>
              <a:off x="3143250" y="13779500"/>
              <a:ext cx="1716239"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PH" sz="1100" i="0">
                  <a:solidFill>
                    <a:schemeClr val="tx1"/>
                  </a:solidFill>
                  <a:effectLst/>
                  <a:latin typeface="Cambria Math" panose="02040503050406030204" pitchFamily="18" charset="0"/>
                  <a:ea typeface="+mn-ea"/>
                  <a:cs typeface="+mn-cs"/>
                </a:rPr>
                <a:t>E[〖𝐼𝑛𝑐𝐿𝑜𝑠𝑠〗_(𝐴𝑌,𝑑𝑒𝑣) ]=𝛼_𝐴𝑌×𝛽_𝑑𝑒𝑣</a:t>
              </a:r>
              <a:endParaRPr lang="en-US" sz="1100">
                <a:solidFill>
                  <a:schemeClr val="tx1"/>
                </a:solidFill>
              </a:endParaRPr>
            </a:p>
          </xdr:txBody>
        </xdr:sp>
      </mc:Fallback>
    </mc:AlternateContent>
    <xdr:clientData/>
  </xdr:oneCellAnchor>
  <xdr:oneCellAnchor>
    <xdr:from>
      <xdr:col>1</xdr:col>
      <xdr:colOff>359834</xdr:colOff>
      <xdr:row>57</xdr:row>
      <xdr:rowOff>190500</xdr:rowOff>
    </xdr:from>
    <xdr:ext cx="1060290" cy="19960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DDBD7622-A65B-F948-95AB-9F1181585DD8}"/>
                </a:ext>
              </a:extLst>
            </xdr:cNvPr>
            <xdr:cNvSpPr txBox="1"/>
          </xdr:nvSpPr>
          <xdr:spPr>
            <a:xfrm>
              <a:off x="1185334" y="11853333"/>
              <a:ext cx="1060290" cy="1996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chemeClr val="tx1"/>
                            </a:solidFill>
                            <a:effectLst/>
                            <a:latin typeface="Cambria Math" panose="02040503050406030204" pitchFamily="18" charset="0"/>
                            <a:ea typeface="Cambria Math" panose="02040503050406030204" pitchFamily="18" charset="0"/>
                            <a:cs typeface="+mn-cs"/>
                          </a:rPr>
                        </m:ctrlPr>
                      </m:sSubPr>
                      <m:e>
                        <m:acc>
                          <m:accPr>
                            <m:chr m:val="̂"/>
                            <m:ctrlPr>
                              <a:rPr lang="en-US" sz="1100" b="0" i="1">
                                <a:solidFill>
                                  <a:schemeClr val="tx1"/>
                                </a:solidFill>
                                <a:effectLst/>
                                <a:latin typeface="Cambria Math" panose="02040503050406030204" pitchFamily="18" charset="0"/>
                                <a:ea typeface="Cambria Math" panose="02040503050406030204" pitchFamily="18" charset="0"/>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𝑌</m:t>
                            </m:r>
                          </m:e>
                        </m:acc>
                      </m:e>
                      <m:sub>
                        <m:r>
                          <a:rPr lang="en-US" sz="1100" b="0" i="1">
                            <a:solidFill>
                              <a:schemeClr val="tx1"/>
                            </a:solidFill>
                            <a:effectLst/>
                            <a:latin typeface="Cambria Math" panose="02040503050406030204" pitchFamily="18" charset="0"/>
                            <a:ea typeface="+mn-ea"/>
                            <a:cs typeface="+mn-cs"/>
                          </a:rPr>
                          <m:t>𝑘</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𝑗</m:t>
                        </m:r>
                      </m:sub>
                    </m:sSub>
                    <m:r>
                      <a:rPr lang="en-US" sz="1100" b="0" i="1">
                        <a:solidFill>
                          <a:schemeClr val="tx1"/>
                        </a:solidFill>
                        <a:effectLst/>
                        <a:latin typeface="Cambria Math" panose="02040503050406030204" pitchFamily="18" charset="0"/>
                        <a:ea typeface="+mn-ea"/>
                        <a:cs typeface="+mn-cs"/>
                      </a:rPr>
                      <m:t>=</m:t>
                    </m:r>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𝑒</m:t>
                        </m:r>
                      </m:e>
                      <m:sup>
                        <m:func>
                          <m:funcPr>
                            <m:ctrlPr>
                              <a:rPr lang="en-US" sz="1100" b="0" i="0">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𝛼</m:t>
                                </m:r>
                              </m:e>
                              <m:sub>
                                <m:r>
                                  <a:rPr lang="en-US" sz="1100" b="0" i="1">
                                    <a:solidFill>
                                      <a:schemeClr val="tx1"/>
                                    </a:solidFill>
                                    <a:effectLst/>
                                    <a:latin typeface="Cambria Math" panose="02040503050406030204" pitchFamily="18" charset="0"/>
                                    <a:ea typeface="+mn-ea"/>
                                    <a:cs typeface="+mn-cs"/>
                                  </a:rPr>
                                  <m:t>𝑘</m:t>
                                </m:r>
                              </m:sub>
                            </m:sSub>
                          </m:e>
                        </m:func>
                        <m:r>
                          <a:rPr lang="en-US" sz="1100" b="0" i="1">
                            <a:solidFill>
                              <a:schemeClr val="tx1"/>
                            </a:solidFill>
                            <a:effectLst/>
                            <a:latin typeface="Cambria Math" panose="02040503050406030204" pitchFamily="18" charset="0"/>
                            <a:ea typeface="+mn-ea"/>
                            <a:cs typeface="+mn-cs"/>
                          </a:rPr>
                          <m:t>+</m:t>
                        </m:r>
                        <m:func>
                          <m:funcPr>
                            <m:ctrlPr>
                              <a:rPr lang="en-US" sz="1100" b="0" i="0">
                                <a:solidFill>
                                  <a:schemeClr val="tx1"/>
                                </a:solidFill>
                                <a:effectLst/>
                                <a:latin typeface="Cambria Math" panose="02040503050406030204" pitchFamily="18" charset="0"/>
                                <a:ea typeface="+mn-ea"/>
                                <a:cs typeface="+mn-cs"/>
                              </a:rPr>
                            </m:ctrlPr>
                          </m:funcPr>
                          <m:fName>
                            <m:r>
                              <m:rPr>
                                <m:sty m:val="p"/>
                              </m:rPr>
                              <a:rPr lang="en-US" sz="1100" b="0" i="0">
                                <a:solidFill>
                                  <a:schemeClr val="tx1"/>
                                </a:solidFill>
                                <a:effectLst/>
                                <a:latin typeface="Cambria Math" panose="02040503050406030204" pitchFamily="18" charset="0"/>
                                <a:ea typeface="+mn-ea"/>
                                <a:cs typeface="+mn-cs"/>
                              </a:rPr>
                              <m:t>ln</m:t>
                            </m:r>
                          </m:fName>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𝛽</m:t>
                                </m:r>
                              </m:e>
                              <m:sub>
                                <m:r>
                                  <a:rPr lang="en-US" sz="1100" b="0" i="1">
                                    <a:solidFill>
                                      <a:schemeClr val="tx1"/>
                                    </a:solidFill>
                                    <a:effectLst/>
                                    <a:latin typeface="Cambria Math" panose="02040503050406030204" pitchFamily="18" charset="0"/>
                                    <a:ea typeface="+mn-ea"/>
                                    <a:cs typeface="+mn-cs"/>
                                  </a:rPr>
                                  <m:t>𝑗</m:t>
                                </m:r>
                              </m:sub>
                            </m:sSub>
                          </m:e>
                        </m:func>
                      </m:sup>
                    </m:sSup>
                  </m:oMath>
                </m:oMathPara>
              </a14:m>
              <a:endParaRPr lang="en-US" sz="1100">
                <a:solidFill>
                  <a:schemeClr val="tx1"/>
                </a:solidFill>
              </a:endParaRPr>
            </a:p>
          </xdr:txBody>
        </xdr:sp>
      </mc:Choice>
      <mc:Fallback xmlns="">
        <xdr:sp macro="" textlink="">
          <xdr:nvSpPr>
            <xdr:cNvPr id="16" name="TextBox 15">
              <a:extLst>
                <a:ext uri="{FF2B5EF4-FFF2-40B4-BE49-F238E27FC236}">
                  <a16:creationId xmlns:a16="http://schemas.microsoft.com/office/drawing/2014/main" id="{DDBD7622-A65B-F948-95AB-9F1181585DD8}"/>
                </a:ext>
              </a:extLst>
            </xdr:cNvPr>
            <xdr:cNvSpPr txBox="1"/>
          </xdr:nvSpPr>
          <xdr:spPr>
            <a:xfrm>
              <a:off x="1185334" y="11853333"/>
              <a:ext cx="1060290" cy="1996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effectLst/>
                  <a:latin typeface="Cambria Math" panose="02040503050406030204" pitchFamily="18" charset="0"/>
                  <a:ea typeface="Cambria Math" panose="02040503050406030204" pitchFamily="18" charset="0"/>
                  <a:cs typeface="+mn-cs"/>
                </a:rPr>
                <a:t>𝑌</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_(𝑘,𝑗)=𝑒^(ln⁡〖</a:t>
              </a:r>
              <a:r>
                <a:rPr lang="en-PH" sz="1100" i="0">
                  <a:solidFill>
                    <a:schemeClr val="tx1"/>
                  </a:solidFill>
                  <a:effectLst/>
                  <a:latin typeface="Cambria Math" panose="02040503050406030204" pitchFamily="18" charset="0"/>
                  <a:ea typeface="+mn-ea"/>
                  <a:cs typeface="+mn-cs"/>
                </a:rPr>
                <a:t>𝛼_</a:t>
              </a:r>
              <a:r>
                <a:rPr lang="en-US" sz="1100" b="0" i="0">
                  <a:solidFill>
                    <a:schemeClr val="tx1"/>
                  </a:solidFill>
                  <a:effectLst/>
                  <a:latin typeface="Cambria Math" panose="02040503050406030204" pitchFamily="18" charset="0"/>
                  <a:ea typeface="+mn-ea"/>
                  <a:cs typeface="+mn-cs"/>
                </a:rPr>
                <a:t>𝑘 〗+ln⁡〖</a:t>
              </a:r>
              <a:r>
                <a:rPr lang="en-PH" sz="1100" i="0">
                  <a:solidFill>
                    <a:schemeClr val="tx1"/>
                  </a:solidFill>
                  <a:effectLst/>
                  <a:latin typeface="Cambria Math" panose="02040503050406030204" pitchFamily="18" charset="0"/>
                  <a:ea typeface="+mn-ea"/>
                  <a:cs typeface="+mn-cs"/>
                </a:rPr>
                <a:t>𝛽_</a:t>
              </a:r>
              <a:r>
                <a:rPr lang="en-US" sz="1100" b="0" i="0">
                  <a:solidFill>
                    <a:schemeClr val="tx1"/>
                  </a:solidFill>
                  <a:effectLst/>
                  <a:latin typeface="Cambria Math" panose="02040503050406030204" pitchFamily="18" charset="0"/>
                  <a:ea typeface="+mn-ea"/>
                  <a:cs typeface="+mn-cs"/>
                </a:rPr>
                <a:t>𝑗 〗 )</a:t>
              </a:r>
              <a:endParaRPr lang="en-US" sz="1100">
                <a:solidFill>
                  <a:schemeClr val="tx1"/>
                </a:solidFill>
              </a:endParaRPr>
            </a:p>
          </xdr:txBody>
        </xdr:sp>
      </mc:Fallback>
    </mc:AlternateContent>
    <xdr:clientData/>
  </xdr:oneCellAnchor>
  <xdr:oneCellAnchor>
    <xdr:from>
      <xdr:col>1</xdr:col>
      <xdr:colOff>254000</xdr:colOff>
      <xdr:row>75</xdr:row>
      <xdr:rowOff>95250</xdr:rowOff>
    </xdr:from>
    <xdr:ext cx="1014508" cy="286232"/>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F55CD8D6-EDBF-264F-B7E6-735695EFB21A}"/>
                </a:ext>
              </a:extLst>
            </xdr:cNvPr>
            <xdr:cNvSpPr txBox="1"/>
          </xdr:nvSpPr>
          <xdr:spPr>
            <a:xfrm>
              <a:off x="1079500" y="15165917"/>
              <a:ext cx="1014508" cy="2862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
                      <m:sSubPr>
                        <m:ctrlPr>
                          <a:rPr lang="en-PH" sz="1100" i="1">
                            <a:solidFill>
                              <a:schemeClr val="tx1"/>
                            </a:solidFill>
                            <a:effectLst/>
                            <a:latin typeface="Cambria Math" panose="02040503050406030204" pitchFamily="18" charset="0"/>
                            <a:ea typeface="+mn-ea"/>
                            <a:cs typeface="+mn-cs"/>
                          </a:rPr>
                        </m:ctrlPr>
                      </m:sSubPr>
                      <m:e>
                        <m:sSup>
                          <m:sSupPr>
                            <m:ctrlPr>
                              <a:rPr lang="en-US" sz="1100" b="0" i="1">
                                <a:solidFill>
                                  <a:schemeClr val="tx1"/>
                                </a:solidFill>
                                <a:effectLst/>
                                <a:latin typeface="Cambria Math" panose="02040503050406030204" pitchFamily="18" charset="0"/>
                                <a:ea typeface="Cambria Math" panose="02040503050406030204" pitchFamily="18" charset="0"/>
                                <a:cs typeface="+mn-cs"/>
                              </a:rPr>
                            </m:ctrlPr>
                          </m:sSupPr>
                          <m:e>
                            <m:acc>
                              <m:accPr>
                                <m:chr m:val="̂"/>
                                <m:ctrlPr>
                                  <a:rPr lang="en-US" sz="1100" b="0" i="1">
                                    <a:solidFill>
                                      <a:schemeClr val="tx1"/>
                                    </a:solidFill>
                                    <a:effectLst/>
                                    <a:latin typeface="Cambria Math" panose="02040503050406030204" pitchFamily="18" charset="0"/>
                                    <a:ea typeface="Cambria Math" panose="02040503050406030204" pitchFamily="18" charset="0"/>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𝜎</m:t>
                                </m:r>
                              </m:e>
                            </m:acc>
                          </m:e>
                          <m:sup>
                            <m:r>
                              <a:rPr lang="en-US" sz="1100" b="0" i="1">
                                <a:solidFill>
                                  <a:schemeClr val="tx1"/>
                                </a:solidFill>
                                <a:effectLst/>
                                <a:latin typeface="Cambria Math" panose="02040503050406030204" pitchFamily="18" charset="0"/>
                                <a:ea typeface="Cambria Math" panose="02040503050406030204" pitchFamily="18" charset="0"/>
                                <a:cs typeface="+mn-cs"/>
                              </a:rPr>
                              <m:t>2</m:t>
                            </m:r>
                          </m:sup>
                        </m:sSup>
                      </m:e>
                      <m:sub>
                        <m:r>
                          <a:rPr lang="en-US" sz="1100" b="0" i="1">
                            <a:solidFill>
                              <a:schemeClr val="tx1"/>
                            </a:solidFill>
                            <a:effectLst/>
                            <a:latin typeface="Cambria Math" panose="02040503050406030204" pitchFamily="18" charset="0"/>
                            <a:ea typeface="+mn-ea"/>
                            <a:cs typeface="+mn-cs"/>
                          </a:rPr>
                          <m:t>𝑘</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𝑗</m:t>
                        </m:r>
                      </m:sub>
                    </m:sSub>
                    <m:r>
                      <a:rPr lang="en-US" sz="1100" b="0" i="1">
                        <a:solidFill>
                          <a:schemeClr val="tx1"/>
                        </a:solidFill>
                        <a:latin typeface="Cambria Math" panose="02040503050406030204" pitchFamily="18" charset="0"/>
                      </a:rPr>
                      <m:t>=</m:t>
                    </m:r>
                    <m:acc>
                      <m:accPr>
                        <m:chr m:val="̂"/>
                        <m:ctrlPr>
                          <a:rPr lang="en-US" sz="1100" b="0" i="1">
                            <a:solidFill>
                              <a:schemeClr val="tx1"/>
                            </a:solidFill>
                            <a:latin typeface="Cambria Math" panose="02040503050406030204" pitchFamily="18" charset="0"/>
                            <a:ea typeface="Cambria Math" panose="02040503050406030204" pitchFamily="18" charset="0"/>
                          </a:rPr>
                        </m:ctrlPr>
                      </m:accPr>
                      <m:e>
                        <m:r>
                          <a:rPr lang="en-US" sz="1100" b="0" i="1">
                            <a:solidFill>
                              <a:schemeClr val="tx1"/>
                            </a:solidFill>
                            <a:latin typeface="Cambria Math" panose="02040503050406030204" pitchFamily="18" charset="0"/>
                            <a:ea typeface="Cambria Math" panose="02040503050406030204" pitchFamily="18" charset="0"/>
                          </a:rPr>
                          <m:t>𝜙</m:t>
                        </m:r>
                      </m:e>
                    </m:acc>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m:t>
                        </m:r>
                        <m:acc>
                          <m:accPr>
                            <m:chr m:val="̂"/>
                            <m:ctrlPr>
                              <a:rPr lang="en-US" sz="1100" b="0" i="1">
                                <a:solidFill>
                                  <a:schemeClr val="tx1"/>
                                </a:solidFill>
                                <a:effectLst/>
                                <a:latin typeface="Cambria Math" panose="02040503050406030204" pitchFamily="18" charset="0"/>
                                <a:ea typeface="Cambria Math" panose="02040503050406030204" pitchFamily="18" charset="0"/>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𝑌</m:t>
                            </m:r>
                          </m:e>
                        </m:acc>
                      </m:e>
                      <m:sub>
                        <m:r>
                          <a:rPr lang="en-US" sz="1100" b="0" i="1">
                            <a:solidFill>
                              <a:schemeClr val="tx1"/>
                            </a:solidFill>
                            <a:effectLst/>
                            <a:latin typeface="Cambria Math" panose="02040503050406030204" pitchFamily="18" charset="0"/>
                            <a:ea typeface="+mn-ea"/>
                            <a:cs typeface="+mn-cs"/>
                          </a:rPr>
                          <m:t>𝑘</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𝑗</m:t>
                        </m:r>
                      </m:sub>
                    </m:sSub>
                  </m:oMath>
                </m:oMathPara>
              </a14:m>
              <a:endParaRPr lang="en-US" sz="1100">
                <a:solidFill>
                  <a:schemeClr val="tx1"/>
                </a:solidFill>
              </a:endParaRPr>
            </a:p>
          </xdr:txBody>
        </xdr:sp>
      </mc:Choice>
      <mc:Fallback xmlns="">
        <xdr:sp macro="" textlink="">
          <xdr:nvSpPr>
            <xdr:cNvPr id="19" name="TextBox 18">
              <a:extLst>
                <a:ext uri="{FF2B5EF4-FFF2-40B4-BE49-F238E27FC236}">
                  <a16:creationId xmlns:a16="http://schemas.microsoft.com/office/drawing/2014/main" id="{F55CD8D6-EDBF-264F-B7E6-735695EFB21A}"/>
                </a:ext>
              </a:extLst>
            </xdr:cNvPr>
            <xdr:cNvSpPr txBox="1"/>
          </xdr:nvSpPr>
          <xdr:spPr>
            <a:xfrm>
              <a:off x="1079500" y="15165917"/>
              <a:ext cx="1014508" cy="28623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Cambria Math" panose="02040503050406030204" pitchFamily="18" charset="0"/>
                  <a:cs typeface="+mn-cs"/>
                </a:rPr>
                <a:t>𝜎</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Cambria Math" panose="02040503050406030204" pitchFamily="18" charset="0"/>
                  <a:cs typeface="+mn-cs"/>
                </a:rPr>
                <a:t>^2</a:t>
              </a:r>
              <a:r>
                <a:rPr lang="en-US" sz="1100" b="0" i="0">
                  <a:solidFill>
                    <a:schemeClr val="tx1"/>
                  </a:solidFill>
                  <a:effectLst/>
                  <a:latin typeface="Cambria Math" panose="02040503050406030204" pitchFamily="18" charset="0"/>
                  <a:ea typeface="+mn-ea"/>
                  <a:cs typeface="+mn-cs"/>
                </a:rPr>
                <a:t>〗_(𝑘,𝑗)</a:t>
              </a:r>
              <a:r>
                <a:rPr lang="en-US" sz="1100" b="0" i="0">
                  <a:solidFill>
                    <a:schemeClr val="tx1"/>
                  </a:solidFill>
                  <a:latin typeface="Cambria Math" panose="02040503050406030204" pitchFamily="18" charset="0"/>
                </a:rPr>
                <a:t>=</a:t>
              </a:r>
              <a:r>
                <a:rPr lang="en-US" sz="1100" b="0" i="0">
                  <a:solidFill>
                    <a:schemeClr val="tx1"/>
                  </a:solidFill>
                  <a:latin typeface="Cambria Math" panose="02040503050406030204" pitchFamily="18" charset="0"/>
                  <a:ea typeface="Cambria Math" panose="02040503050406030204" pitchFamily="18" charset="0"/>
                </a:rPr>
                <a:t>𝜙 ̂</a:t>
              </a:r>
              <a:r>
                <a:rPr lang="en-US"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Cambria Math" panose="02040503050406030204" pitchFamily="18" charset="0"/>
                  <a:cs typeface="+mn-cs"/>
                </a:rPr>
                <a:t>𝑌</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〗_(𝑘,𝑗)</a:t>
              </a:r>
              <a:endParaRPr lang="en-US" sz="1100">
                <a:solidFill>
                  <a:schemeClr val="tx1"/>
                </a:solidFill>
              </a:endParaRPr>
            </a:p>
          </xdr:txBody>
        </xdr:sp>
      </mc:Fallback>
    </mc:AlternateContent>
    <xdr:clientData/>
  </xdr:oneCellAnchor>
  <xdr:oneCellAnchor>
    <xdr:from>
      <xdr:col>1</xdr:col>
      <xdr:colOff>465667</xdr:colOff>
      <xdr:row>152</xdr:row>
      <xdr:rowOff>169334</xdr:rowOff>
    </xdr:from>
    <xdr:ext cx="2406492" cy="286745"/>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F306DAC8-2816-654E-9036-7FE5582CC974}"/>
                </a:ext>
              </a:extLst>
            </xdr:cNvPr>
            <xdr:cNvSpPr txBox="1"/>
          </xdr:nvSpPr>
          <xdr:spPr>
            <a:xfrm>
              <a:off x="1291167" y="29919084"/>
              <a:ext cx="2406492"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r>
                      <a:rPr lang="en-US" sz="1100" b="0" i="1">
                        <a:latin typeface="Cambria Math" panose="02040503050406030204" pitchFamily="18" charset="0"/>
                      </a:rPr>
                      <m:t>𝑃𝑜𝐴</m:t>
                    </m:r>
                    <m:r>
                      <a:rPr lang="en-US" sz="1100" b="0" i="1">
                        <a:latin typeface="Cambria Math" panose="02040503050406030204" pitchFamily="18" charset="0"/>
                      </a:rPr>
                      <m:t> </m:t>
                    </m:r>
                    <m:r>
                      <a:rPr lang="en-US" sz="1100" b="0" i="1">
                        <a:latin typeface="Cambria Math" panose="02040503050406030204" pitchFamily="18" charset="0"/>
                      </a:rPr>
                      <m:t>𝑅𝑒𝑠𝑒𝑟𝑣𝑒</m:t>
                    </m:r>
                    <m:r>
                      <a:rPr lang="en-US" sz="1100" b="0" i="1">
                        <a:latin typeface="Cambria Math" panose="02040503050406030204" pitchFamily="18" charset="0"/>
                      </a:rPr>
                      <m:t> </m:t>
                    </m:r>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𝑅</m:t>
                            </m:r>
                          </m:e>
                        </m:acc>
                      </m:e>
                      <m:sub>
                        <m:r>
                          <a:rPr lang="en-US" sz="1100" b="0" i="1">
                            <a:latin typeface="Cambria Math" panose="02040503050406030204" pitchFamily="18" charset="0"/>
                          </a:rPr>
                          <m:t>𝑝</m:t>
                        </m:r>
                      </m:sub>
                    </m:sSub>
                    <m:r>
                      <a:rPr lang="en-US" sz="1100" b="0" i="1">
                        <a:latin typeface="Cambria Math" panose="02040503050406030204" pitchFamily="18" charset="0"/>
                      </a:rPr>
                      <m:t>:    </m:t>
                    </m:r>
                    <m:r>
                      <a:rPr lang="en-US" sz="1100" b="0" i="1">
                        <a:latin typeface="Cambria Math" panose="02040503050406030204" pitchFamily="18" charset="0"/>
                      </a:rPr>
                      <m:t>𝑃𝑟𝑜𝑏</m:t>
                    </m:r>
                    <m:d>
                      <m:dPr>
                        <m:begChr m:val="["/>
                        <m:endChr m:val="]"/>
                        <m:ctrlPr>
                          <a:rPr lang="en-US" sz="1100" b="0" i="1">
                            <a:latin typeface="Cambria Math" panose="02040503050406030204" pitchFamily="18" charset="0"/>
                          </a:rPr>
                        </m:ctrlPr>
                      </m:dPr>
                      <m:e>
                        <m:r>
                          <a:rPr lang="en-US" sz="1100" b="0" i="1">
                            <a:latin typeface="Cambria Math" panose="02040503050406030204" pitchFamily="18" charset="0"/>
                          </a:rPr>
                          <m:t>𝑅</m:t>
                        </m:r>
                        <m:r>
                          <a:rPr lang="en-US" sz="1100" b="0" i="1">
                            <a:latin typeface="Cambria Math" panose="02040503050406030204" pitchFamily="18" charset="0"/>
                          </a:rPr>
                          <m:t>&lt;</m:t>
                        </m:r>
                        <m:sSub>
                          <m:sSubPr>
                            <m:ctrlPr>
                              <a:rPr lang="en-US" sz="1100" b="0" i="1">
                                <a:latin typeface="Cambria Math" panose="02040503050406030204" pitchFamily="18" charset="0"/>
                              </a:rPr>
                            </m:ctrlPr>
                          </m:sSubPr>
                          <m:e>
                            <m:acc>
                              <m:accPr>
                                <m:chr m:val="̂"/>
                                <m:ctrlPr>
                                  <a:rPr lang="en-US" sz="1100" b="0" i="1">
                                    <a:latin typeface="Cambria Math" panose="02040503050406030204" pitchFamily="18" charset="0"/>
                                  </a:rPr>
                                </m:ctrlPr>
                              </m:accPr>
                              <m:e>
                                <m:r>
                                  <a:rPr lang="en-US" sz="1100" b="0" i="1">
                                    <a:latin typeface="Cambria Math" panose="02040503050406030204" pitchFamily="18" charset="0"/>
                                  </a:rPr>
                                  <m:t>𝑅</m:t>
                                </m:r>
                              </m:e>
                            </m:acc>
                          </m:e>
                          <m:sub>
                            <m:r>
                              <a:rPr lang="en-US" sz="1100" b="0" i="1">
                                <a:latin typeface="Cambria Math" panose="02040503050406030204" pitchFamily="18" charset="0"/>
                              </a:rPr>
                              <m:t>𝑝</m:t>
                            </m:r>
                          </m:sub>
                        </m:sSub>
                      </m:e>
                    </m:d>
                    <m:r>
                      <a:rPr lang="en-US" sz="1100" b="0" i="1">
                        <a:latin typeface="Cambria Math" panose="02040503050406030204" pitchFamily="18" charset="0"/>
                      </a:rPr>
                      <m:t>=</m:t>
                    </m:r>
                    <m:r>
                      <a:rPr lang="en-US" sz="1100" b="0" i="1">
                        <a:latin typeface="Cambria Math" panose="02040503050406030204" pitchFamily="18" charset="0"/>
                      </a:rPr>
                      <m:t>𝑝</m:t>
                    </m:r>
                  </m:oMath>
                </m:oMathPara>
              </a14:m>
              <a:endParaRPr lang="en-US" sz="1100"/>
            </a:p>
          </xdr:txBody>
        </xdr:sp>
      </mc:Choice>
      <mc:Fallback xmlns="">
        <xdr:sp macro="" textlink="">
          <xdr:nvSpPr>
            <xdr:cNvPr id="20" name="TextBox 19">
              <a:extLst>
                <a:ext uri="{FF2B5EF4-FFF2-40B4-BE49-F238E27FC236}">
                  <a16:creationId xmlns:a16="http://schemas.microsoft.com/office/drawing/2014/main" id="{F306DAC8-2816-654E-9036-7FE5582CC974}"/>
                </a:ext>
              </a:extLst>
            </xdr:cNvPr>
            <xdr:cNvSpPr txBox="1"/>
          </xdr:nvSpPr>
          <xdr:spPr>
            <a:xfrm>
              <a:off x="1291167" y="29919084"/>
              <a:ext cx="2406492" cy="286745"/>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latin typeface="Cambria Math" panose="02040503050406030204" pitchFamily="18" charset="0"/>
                </a:rPr>
                <a:t>𝑃𝑜𝐴 𝑅𝑒𝑠𝑒𝑟𝑣𝑒 𝑅 ̂_𝑝:    𝑃𝑟𝑜𝑏[𝑅&lt;𝑅 ̂_𝑝 ]=𝑝</a:t>
              </a:r>
              <a:endParaRPr lang="en-US" sz="1100"/>
            </a:p>
          </xdr:txBody>
        </xdr:sp>
      </mc:Fallback>
    </mc:AlternateContent>
    <xdr:clientData/>
  </xdr:oneCellAnchor>
  <xdr:oneCellAnchor>
    <xdr:from>
      <xdr:col>3</xdr:col>
      <xdr:colOff>635000</xdr:colOff>
      <xdr:row>93</xdr:row>
      <xdr:rowOff>158750</xdr:rowOff>
    </xdr:from>
    <xdr:ext cx="4599401" cy="310598"/>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7C0C0713-808F-624B-9886-D0837875A4ED}"/>
                </a:ext>
              </a:extLst>
            </xdr:cNvPr>
            <xdr:cNvSpPr txBox="1"/>
          </xdr:nvSpPr>
          <xdr:spPr>
            <a:xfrm>
              <a:off x="3111500" y="18848917"/>
              <a:ext cx="4599401" cy="3105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up>
                        <m:r>
                          <a:rPr lang="en-US" sz="1100" b="0" i="1">
                            <a:solidFill>
                              <a:schemeClr val="tx1"/>
                            </a:solidFill>
                            <a:effectLst/>
                            <a:latin typeface="Cambria Math" panose="02040503050406030204" pitchFamily="18" charset="0"/>
                            <a:ea typeface="+mn-ea"/>
                            <a:cs typeface="+mn-cs"/>
                          </a:rPr>
                          <m:t>𝑝𝑠𝑒𝑢𝑑𝑜</m:t>
                        </m:r>
                      </m:sup>
                    </m:sSubSup>
                    <m:r>
                      <a:rPr lang="en-US" sz="1100" b="0" i="1">
                        <a:solidFill>
                          <a:schemeClr val="tx1"/>
                        </a:solidFill>
                        <a:latin typeface="Cambria Math" panose="02040503050406030204" pitchFamily="18" charset="0"/>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d>
                    <m:r>
                      <a:rPr lang="en-US" sz="1100" b="0" i="1">
                        <a:solidFill>
                          <a:schemeClr val="tx1"/>
                        </a:solidFill>
                        <a:effectLst/>
                        <a:latin typeface="Cambria Math" panose="02040503050406030204" pitchFamily="18" charset="0"/>
                        <a:ea typeface="+mn-ea"/>
                        <a:cs typeface="+mn-cs"/>
                      </a:rPr>
                      <m:t>+</m:t>
                    </m:r>
                    <m:r>
                      <m:rPr>
                        <m:sty m:val="p"/>
                      </m:rPr>
                      <a:rPr lang="en-US" sz="1100" b="0" i="0">
                        <a:solidFill>
                          <a:schemeClr val="tx1"/>
                        </a:solidFill>
                        <a:effectLst/>
                        <a:latin typeface="Cambria Math" panose="02040503050406030204" pitchFamily="18" charset="0"/>
                        <a:ea typeface="+mn-ea"/>
                        <a:cs typeface="+mn-cs"/>
                      </a:rPr>
                      <m:t>Std</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Dev</m:t>
                    </m:r>
                    <m:d>
                      <m:dPr>
                        <m:begChr m:val="["/>
                        <m:endChr m:val="]"/>
                        <m:ctrlPr>
                          <a:rPr lang="en-PH" sz="1100" i="1">
                            <a:solidFill>
                              <a:schemeClr val="tx1"/>
                            </a:solidFill>
                            <a:effectLst/>
                            <a:latin typeface="Cambria Math" panose="02040503050406030204" pitchFamily="18" charset="0"/>
                            <a:ea typeface="+mn-ea"/>
                            <a:cs typeface="+mn-cs"/>
                          </a:rPr>
                        </m:ctrlPr>
                      </m:d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Sub>
                      </m:e>
                    </m:d>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𝑟𝑒𝑠𝑖𝑑𝑢𝑎𝑙</m:t>
                        </m:r>
                      </m:e>
                      <m:sub>
                        <m:r>
                          <a:rPr lang="en-US" sz="1100" b="0" i="1">
                            <a:solidFill>
                              <a:schemeClr val="tx1"/>
                            </a:solidFill>
                            <a:latin typeface="Cambria Math" panose="02040503050406030204" pitchFamily="18" charset="0"/>
                          </a:rPr>
                          <m:t>𝐴𝑌</m:t>
                        </m:r>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𝑑𝑒𝑣</m:t>
                        </m:r>
                      </m:sub>
                      <m:sup>
                        <m:r>
                          <a:rPr lang="en-US" sz="1100" b="0" i="1">
                            <a:solidFill>
                              <a:schemeClr val="tx1"/>
                            </a:solidFill>
                            <a:effectLst/>
                            <a:latin typeface="Cambria Math" panose="02040503050406030204" pitchFamily="18" charset="0"/>
                            <a:ea typeface="+mn-ea"/>
                            <a:cs typeface="+mn-cs"/>
                          </a:rPr>
                          <m:t>𝑝𝑠𝑒𝑢𝑑𝑜</m:t>
                        </m:r>
                      </m:sup>
                    </m:sSubSup>
                  </m:oMath>
                </m:oMathPara>
              </a14:m>
              <a:endParaRPr lang="en-US" sz="1100">
                <a:solidFill>
                  <a:schemeClr val="tx1"/>
                </a:solidFill>
              </a:endParaRPr>
            </a:p>
          </xdr:txBody>
        </xdr:sp>
      </mc:Choice>
      <mc:Fallback xmlns="">
        <xdr:sp macro="" textlink="">
          <xdr:nvSpPr>
            <xdr:cNvPr id="25" name="TextBox 24">
              <a:extLst>
                <a:ext uri="{FF2B5EF4-FFF2-40B4-BE49-F238E27FC236}">
                  <a16:creationId xmlns:a16="http://schemas.microsoft.com/office/drawing/2014/main" id="{7C0C0713-808F-624B-9886-D0837875A4ED}"/>
                </a:ext>
              </a:extLst>
            </xdr:cNvPr>
            <xdr:cNvSpPr txBox="1"/>
          </xdr:nvSpPr>
          <xdr:spPr>
            <a:xfrm>
              <a:off x="3111500" y="18848917"/>
              <a:ext cx="4599401" cy="3105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𝐼𝑛𝑐𝐿𝑜𝑠𝑠</a:t>
              </a:r>
              <a:r>
                <a:rPr lang="en-US" sz="1100" b="0" i="0">
                  <a:solidFill>
                    <a:schemeClr val="tx1"/>
                  </a:solidFill>
                  <a:effectLst/>
                  <a:latin typeface="Cambria Math" panose="02040503050406030204" pitchFamily="18" charset="0"/>
                  <a:ea typeface="+mn-ea"/>
                  <a:cs typeface="+mn-cs"/>
                </a:rPr>
                <a:t>〗_(</a:t>
              </a:r>
              <a:r>
                <a:rPr lang="en-PH" sz="1100" i="0">
                  <a:solidFill>
                    <a:schemeClr val="tx1"/>
                  </a:solidFill>
                  <a:effectLst/>
                  <a:latin typeface="Cambria Math" panose="02040503050406030204" pitchFamily="18" charset="0"/>
                  <a:ea typeface="+mn-ea"/>
                  <a:cs typeface="+mn-cs"/>
                </a:rPr>
                <a:t>𝐴𝑌,𝑑𝑒𝑣</a:t>
              </a:r>
              <a:r>
                <a:rPr lang="en-US" sz="1100" b="0" i="0">
                  <a:solidFill>
                    <a:schemeClr val="tx1"/>
                  </a:solidFill>
                  <a:effectLst/>
                  <a:latin typeface="Cambria Math" panose="02040503050406030204" pitchFamily="18" charset="0"/>
                  <a:ea typeface="+mn-ea"/>
                  <a:cs typeface="+mn-cs"/>
                </a:rPr>
                <a:t>)</a:t>
              </a:r>
              <a:r>
                <a:rPr lang="en-PH"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𝑝𝑠𝑒𝑢𝑑𝑜</a:t>
              </a:r>
              <a:r>
                <a:rPr lang="en-US" sz="1100" b="0" i="0">
                  <a:solidFill>
                    <a:schemeClr val="tx1"/>
                  </a:solidFill>
                  <a:latin typeface="Cambria Math" panose="02040503050406030204" pitchFamily="18" charset="0"/>
                </a:rPr>
                <a:t>=</a:t>
              </a:r>
              <a:r>
                <a:rPr lang="en-PH" sz="1100" i="0">
                  <a:solidFill>
                    <a:schemeClr val="tx1"/>
                  </a:solidFill>
                  <a:effectLst/>
                  <a:latin typeface="Cambria Math" panose="02040503050406030204" pitchFamily="18" charset="0"/>
                  <a:ea typeface="+mn-ea"/>
                  <a:cs typeface="+mn-cs"/>
                </a:rPr>
                <a:t>E[〖𝐼𝑛𝑐𝐿𝑜𝑠𝑠〗_(𝐴𝑌,𝑑𝑒𝑣) ]</a:t>
              </a:r>
              <a:r>
                <a:rPr lang="en-US" sz="1100" b="0" i="0">
                  <a:solidFill>
                    <a:schemeClr val="tx1"/>
                  </a:solidFill>
                  <a:effectLst/>
                  <a:latin typeface="Cambria Math" panose="02040503050406030204" pitchFamily="18" charset="0"/>
                  <a:ea typeface="+mn-ea"/>
                  <a:cs typeface="+mn-cs"/>
                </a:rPr>
                <a:t>+Std Dev</a:t>
              </a:r>
              <a:r>
                <a:rPr lang="en-PH" sz="1100" i="0">
                  <a:solidFill>
                    <a:schemeClr val="tx1"/>
                  </a:solidFill>
                  <a:effectLst/>
                  <a:latin typeface="Cambria Math" panose="02040503050406030204" pitchFamily="18" charset="0"/>
                  <a:ea typeface="+mn-ea"/>
                  <a:cs typeface="+mn-cs"/>
                </a:rPr>
                <a:t>[〖𝐼𝑛𝑐𝐿𝑜𝑠𝑠〗_(𝐴𝑌,𝑑𝑒𝑣) ]×</a:t>
              </a:r>
              <a:r>
                <a:rPr lang="en-US"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𝑟𝑒𝑠𝑖𝑑𝑢𝑎𝑙</a:t>
              </a:r>
              <a:r>
                <a:rPr lang="en-US" sz="1100" b="0" i="0">
                  <a:solidFill>
                    <a:schemeClr val="tx1"/>
                  </a:solidFill>
                  <a:effectLst/>
                  <a:latin typeface="Cambria Math" panose="02040503050406030204" pitchFamily="18" charset="0"/>
                  <a:ea typeface="+mn-ea"/>
                  <a:cs typeface="+mn-cs"/>
                </a:rPr>
                <a:t>〗_(</a:t>
              </a:r>
              <a:r>
                <a:rPr lang="en-US" sz="1100" b="0" i="0">
                  <a:solidFill>
                    <a:schemeClr val="tx1"/>
                  </a:solidFill>
                  <a:latin typeface="Cambria Math" panose="02040503050406030204" pitchFamily="18" charset="0"/>
                </a:rPr>
                <a:t>𝐴𝑌,𝑑𝑒𝑣</a:t>
              </a:r>
              <a:r>
                <a:rPr lang="en-US" sz="1100" b="0" i="0">
                  <a:solidFill>
                    <a:schemeClr val="tx1"/>
                  </a:solidFill>
                  <a:effectLst/>
                  <a:latin typeface="Cambria Math" panose="02040503050406030204" pitchFamily="18" charset="0"/>
                  <a:ea typeface="+mn-ea"/>
                  <a:cs typeface="+mn-cs"/>
                </a:rPr>
                <a:t>)^𝑝𝑠𝑒𝑢𝑑𝑜</a:t>
              </a:r>
              <a:endParaRPr lang="en-US" sz="1100">
                <a:solidFill>
                  <a:schemeClr val="tx1"/>
                </a:solidFill>
              </a:endParaRPr>
            </a:p>
          </xdr:txBody>
        </xdr:sp>
      </mc:Fallback>
    </mc:AlternateContent>
    <xdr:clientData/>
  </xdr:oneCellAnchor>
  <xdr:oneCellAnchor>
    <xdr:from>
      <xdr:col>4</xdr:col>
      <xdr:colOff>74082</xdr:colOff>
      <xdr:row>129</xdr:row>
      <xdr:rowOff>158752</xdr:rowOff>
    </xdr:from>
    <xdr:ext cx="4681666" cy="310598"/>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DF52C43A-3656-AF49-9132-1270D5AD4672}"/>
                </a:ext>
              </a:extLst>
            </xdr:cNvPr>
            <xdr:cNvSpPr txBox="1"/>
          </xdr:nvSpPr>
          <xdr:spPr>
            <a:xfrm>
              <a:off x="3376082" y="25886835"/>
              <a:ext cx="4681666" cy="3105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14:m>
                <m:oMathPara xmlns:m="http://schemas.openxmlformats.org/officeDocument/2006/math">
                  <m:oMath>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up>
                        <m:r>
                          <a:rPr lang="en-US" sz="1100" b="0" i="1">
                            <a:solidFill>
                              <a:schemeClr val="tx1"/>
                            </a:solidFill>
                            <a:effectLst/>
                            <a:latin typeface="Cambria Math" panose="02040503050406030204" pitchFamily="18" charset="0"/>
                            <a:ea typeface="+mn-ea"/>
                            <a:cs typeface="+mn-cs"/>
                          </a:rPr>
                          <m:t>𝑝𝑟𝑜𝑐</m:t>
                        </m:r>
                      </m:sup>
                    </m:sSubSup>
                    <m:r>
                      <a:rPr lang="en-US" sz="1100" b="0" i="1">
                        <a:solidFill>
                          <a:schemeClr val="tx1"/>
                        </a:solidFill>
                        <a:latin typeface="Cambria Math" panose="02040503050406030204" pitchFamily="18" charset="0"/>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up>
                            <m:r>
                              <a:rPr lang="en-US" sz="1100" b="0" i="1">
                                <a:solidFill>
                                  <a:schemeClr val="tx1"/>
                                </a:solidFill>
                                <a:effectLst/>
                                <a:latin typeface="Cambria Math" panose="02040503050406030204" pitchFamily="18" charset="0"/>
                                <a:ea typeface="+mn-ea"/>
                                <a:cs typeface="+mn-cs"/>
                              </a:rPr>
                              <m:t>𝑝𝑠𝑒𝑢𝑑𝑜</m:t>
                            </m:r>
                          </m:sup>
                        </m:sSubSup>
                      </m:e>
                    </m:d>
                    <m:r>
                      <a:rPr lang="en-US" sz="1100" b="0" i="1">
                        <a:solidFill>
                          <a:schemeClr val="tx1"/>
                        </a:solidFill>
                        <a:effectLst/>
                        <a:latin typeface="Cambria Math" panose="02040503050406030204" pitchFamily="18" charset="0"/>
                        <a:ea typeface="+mn-ea"/>
                        <a:cs typeface="+mn-cs"/>
                      </a:rPr>
                      <m:t>+</m:t>
                    </m:r>
                    <m:r>
                      <m:rPr>
                        <m:sty m:val="p"/>
                      </m:rPr>
                      <a:rPr lang="en-US" sz="1100" b="0" i="0">
                        <a:solidFill>
                          <a:schemeClr val="tx1"/>
                        </a:solidFill>
                        <a:effectLst/>
                        <a:latin typeface="Cambria Math" panose="02040503050406030204" pitchFamily="18" charset="0"/>
                        <a:ea typeface="+mn-ea"/>
                        <a:cs typeface="+mn-cs"/>
                      </a:rPr>
                      <m:t>Std</m:t>
                    </m:r>
                    <m:r>
                      <a:rPr lang="en-US" sz="1100" b="0" i="0">
                        <a:solidFill>
                          <a:schemeClr val="tx1"/>
                        </a:solidFill>
                        <a:effectLst/>
                        <a:latin typeface="Cambria Math" panose="02040503050406030204" pitchFamily="18" charset="0"/>
                        <a:ea typeface="+mn-ea"/>
                        <a:cs typeface="+mn-cs"/>
                      </a:rPr>
                      <m:t> </m:t>
                    </m:r>
                    <m:r>
                      <m:rPr>
                        <m:sty m:val="p"/>
                      </m:rPr>
                      <a:rPr lang="en-US" sz="1100" b="0" i="0">
                        <a:solidFill>
                          <a:schemeClr val="tx1"/>
                        </a:solidFill>
                        <a:effectLst/>
                        <a:latin typeface="Cambria Math" panose="02040503050406030204" pitchFamily="18" charset="0"/>
                        <a:ea typeface="+mn-ea"/>
                        <a:cs typeface="+mn-cs"/>
                      </a:rPr>
                      <m:t>Dev</m:t>
                    </m:r>
                    <m:d>
                      <m:dPr>
                        <m:begChr m:val="["/>
                        <m:endChr m:val="]"/>
                        <m:ctrlPr>
                          <a:rPr lang="en-PH" sz="1100" i="1">
                            <a:solidFill>
                              <a:schemeClr val="tx1"/>
                            </a:solidFill>
                            <a:effectLst/>
                            <a:latin typeface="Cambria Math" panose="02040503050406030204" pitchFamily="18" charset="0"/>
                            <a:ea typeface="+mn-ea"/>
                            <a:cs typeface="+mn-cs"/>
                          </a:rPr>
                        </m:ctrlPr>
                      </m:dPr>
                      <m:e>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𝐼𝑛𝑐𝐿𝑜𝑠𝑠</m:t>
                            </m:r>
                          </m:e>
                          <m:sub>
                            <m:r>
                              <a:rPr lang="en-PH" sz="1100" i="1">
                                <a:solidFill>
                                  <a:schemeClr val="tx1"/>
                                </a:solidFill>
                                <a:effectLst/>
                                <a:latin typeface="Cambria Math" panose="02040503050406030204" pitchFamily="18" charset="0"/>
                                <a:ea typeface="+mn-ea"/>
                                <a:cs typeface="+mn-cs"/>
                              </a:rPr>
                              <m:t>𝐴𝑌</m:t>
                            </m:r>
                            <m:r>
                              <a:rPr lang="en-PH" sz="1100" i="1">
                                <a:solidFill>
                                  <a:schemeClr val="tx1"/>
                                </a:solidFill>
                                <a:effectLst/>
                                <a:latin typeface="Cambria Math" panose="02040503050406030204" pitchFamily="18" charset="0"/>
                                <a:ea typeface="+mn-ea"/>
                                <a:cs typeface="+mn-cs"/>
                              </a:rPr>
                              <m:t>,</m:t>
                            </m:r>
                            <m:r>
                              <a:rPr lang="en-PH" sz="1100" i="1">
                                <a:solidFill>
                                  <a:schemeClr val="tx1"/>
                                </a:solidFill>
                                <a:effectLst/>
                                <a:latin typeface="Cambria Math" panose="02040503050406030204" pitchFamily="18" charset="0"/>
                                <a:ea typeface="+mn-ea"/>
                                <a:cs typeface="+mn-cs"/>
                              </a:rPr>
                              <m:t>𝑑𝑒𝑣</m:t>
                            </m:r>
                          </m:sub>
                          <m:sup>
                            <m:r>
                              <a:rPr lang="en-US" sz="1100" b="0" i="1">
                                <a:solidFill>
                                  <a:schemeClr val="tx1"/>
                                </a:solidFill>
                                <a:effectLst/>
                                <a:latin typeface="Cambria Math" panose="02040503050406030204" pitchFamily="18" charset="0"/>
                                <a:ea typeface="+mn-ea"/>
                                <a:cs typeface="+mn-cs"/>
                              </a:rPr>
                              <m:t>𝑝𝑠𝑒𝑢𝑑𝑜</m:t>
                            </m:r>
                          </m:sup>
                        </m:sSubSup>
                      </m:e>
                    </m:d>
                    <m:r>
                      <a:rPr lang="en-PH" sz="1100" i="1">
                        <a:solidFill>
                          <a:schemeClr val="tx1"/>
                        </a:solidFill>
                        <a:effectLst/>
                        <a:latin typeface="Cambria Math" panose="02040503050406030204" pitchFamily="18" charset="0"/>
                        <a:ea typeface="+mn-ea"/>
                        <a:cs typeface="+mn-cs"/>
                      </a:rPr>
                      <m:t>×</m:t>
                    </m:r>
                    <m:sSubSup>
                      <m:sSubSupPr>
                        <m:ctrlPr>
                          <a:rPr lang="en-PH" sz="1100" i="1">
                            <a:solidFill>
                              <a:schemeClr val="tx1"/>
                            </a:solidFill>
                            <a:effectLst/>
                            <a:latin typeface="Cambria Math" panose="02040503050406030204" pitchFamily="18" charset="0"/>
                            <a:ea typeface="+mn-ea"/>
                            <a:cs typeface="+mn-cs"/>
                          </a:rPr>
                        </m:ctrlPr>
                      </m:sSubSupPr>
                      <m:e>
                        <m:r>
                          <a:rPr lang="en-PH" sz="1100" i="1">
                            <a:solidFill>
                              <a:schemeClr val="tx1"/>
                            </a:solidFill>
                            <a:effectLst/>
                            <a:latin typeface="Cambria Math" panose="02040503050406030204" pitchFamily="18" charset="0"/>
                            <a:ea typeface="+mn-ea"/>
                            <a:cs typeface="+mn-cs"/>
                          </a:rPr>
                          <m:t>𝑟𝑒𝑠𝑖𝑑𝑢𝑎𝑙</m:t>
                        </m:r>
                      </m:e>
                      <m:sub>
                        <m:r>
                          <a:rPr lang="en-US" sz="1100" b="0" i="1">
                            <a:solidFill>
                              <a:schemeClr val="tx1"/>
                            </a:solidFill>
                            <a:latin typeface="Cambria Math" panose="02040503050406030204" pitchFamily="18" charset="0"/>
                          </a:rPr>
                          <m:t>𝐴𝑌</m:t>
                        </m:r>
                        <m:r>
                          <a:rPr lang="en-US" sz="1100" b="0" i="1">
                            <a:solidFill>
                              <a:schemeClr val="tx1"/>
                            </a:solidFill>
                            <a:latin typeface="Cambria Math" panose="02040503050406030204" pitchFamily="18" charset="0"/>
                          </a:rPr>
                          <m:t>,</m:t>
                        </m:r>
                        <m:r>
                          <a:rPr lang="en-US" sz="1100" b="0" i="1">
                            <a:solidFill>
                              <a:schemeClr val="tx1"/>
                            </a:solidFill>
                            <a:latin typeface="Cambria Math" panose="02040503050406030204" pitchFamily="18" charset="0"/>
                          </a:rPr>
                          <m:t>𝑑𝑒𝑣</m:t>
                        </m:r>
                      </m:sub>
                      <m:sup>
                        <m:r>
                          <a:rPr lang="en-US" sz="1100" b="0" i="1">
                            <a:solidFill>
                              <a:schemeClr val="tx1"/>
                            </a:solidFill>
                            <a:effectLst/>
                            <a:latin typeface="Cambria Math" panose="02040503050406030204" pitchFamily="18" charset="0"/>
                            <a:ea typeface="+mn-ea"/>
                            <a:cs typeface="+mn-cs"/>
                          </a:rPr>
                          <m:t>𝑝𝑟𝑜𝑐</m:t>
                        </m:r>
                      </m:sup>
                    </m:sSubSup>
                  </m:oMath>
                </m:oMathPara>
              </a14:m>
              <a:endParaRPr lang="en-US" sz="1100">
                <a:solidFill>
                  <a:schemeClr val="tx1"/>
                </a:solidFill>
              </a:endParaRPr>
            </a:p>
          </xdr:txBody>
        </xdr:sp>
      </mc:Choice>
      <mc:Fallback xmlns="">
        <xdr:sp macro="" textlink="">
          <xdr:nvSpPr>
            <xdr:cNvPr id="27" name="TextBox 26">
              <a:extLst>
                <a:ext uri="{FF2B5EF4-FFF2-40B4-BE49-F238E27FC236}">
                  <a16:creationId xmlns:a16="http://schemas.microsoft.com/office/drawing/2014/main" id="{DF52C43A-3656-AF49-9132-1270D5AD4672}"/>
                </a:ext>
              </a:extLst>
            </xdr:cNvPr>
            <xdr:cNvSpPr txBox="1"/>
          </xdr:nvSpPr>
          <xdr:spPr>
            <a:xfrm>
              <a:off x="3376082" y="25886835"/>
              <a:ext cx="4681666" cy="31059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lIns="45720" tIns="45720" rIns="45720" bIns="45720" rtlCol="0" anchor="t">
              <a:spAutoFit/>
            </a:bodyPr>
            <a:lstStyle/>
            <a:p>
              <a:pPr/>
              <a:r>
                <a:rPr lang="en-US"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𝐼𝑛𝑐𝐿𝑜𝑠𝑠</a:t>
              </a:r>
              <a:r>
                <a:rPr lang="en-US" sz="1100" b="0" i="0">
                  <a:solidFill>
                    <a:schemeClr val="tx1"/>
                  </a:solidFill>
                  <a:effectLst/>
                  <a:latin typeface="Cambria Math" panose="02040503050406030204" pitchFamily="18" charset="0"/>
                  <a:ea typeface="+mn-ea"/>
                  <a:cs typeface="+mn-cs"/>
                </a:rPr>
                <a:t>〗_(</a:t>
              </a:r>
              <a:r>
                <a:rPr lang="en-PH" sz="1100" i="0">
                  <a:solidFill>
                    <a:schemeClr val="tx1"/>
                  </a:solidFill>
                  <a:effectLst/>
                  <a:latin typeface="Cambria Math" panose="02040503050406030204" pitchFamily="18" charset="0"/>
                  <a:ea typeface="+mn-ea"/>
                  <a:cs typeface="+mn-cs"/>
                </a:rPr>
                <a:t>𝐴𝑌,𝑑𝑒𝑣</a:t>
              </a:r>
              <a:r>
                <a:rPr lang="en-US" sz="1100" b="0" i="0">
                  <a:solidFill>
                    <a:schemeClr val="tx1"/>
                  </a:solidFill>
                  <a:effectLst/>
                  <a:latin typeface="Cambria Math" panose="02040503050406030204" pitchFamily="18" charset="0"/>
                  <a:ea typeface="+mn-ea"/>
                  <a:cs typeface="+mn-cs"/>
                </a:rPr>
                <a:t>)</a:t>
              </a:r>
              <a:r>
                <a:rPr lang="en-PH"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𝑝𝑟𝑜𝑐</a:t>
              </a:r>
              <a:r>
                <a:rPr lang="en-US" sz="1100" b="0" i="0">
                  <a:solidFill>
                    <a:schemeClr val="tx1"/>
                  </a:solidFill>
                  <a:latin typeface="Cambria Math" panose="02040503050406030204" pitchFamily="18" charset="0"/>
                </a:rPr>
                <a:t>=</a:t>
              </a:r>
              <a:r>
                <a:rPr lang="en-PH" sz="1100" i="0">
                  <a:solidFill>
                    <a:schemeClr val="tx1"/>
                  </a:solidFill>
                  <a:effectLst/>
                  <a:latin typeface="Cambria Math" panose="02040503050406030204" pitchFamily="18" charset="0"/>
                  <a:ea typeface="+mn-ea"/>
                  <a:cs typeface="+mn-cs"/>
                </a:rPr>
                <a:t>E[</a:t>
              </a:r>
              <a:r>
                <a:rPr lang="en-US"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𝐼𝑛𝑐𝐿𝑜𝑠𝑠</a:t>
              </a:r>
              <a:r>
                <a:rPr lang="en-US" sz="1100" b="0" i="0">
                  <a:solidFill>
                    <a:schemeClr val="tx1"/>
                  </a:solidFill>
                  <a:effectLst/>
                  <a:latin typeface="Cambria Math" panose="02040503050406030204" pitchFamily="18" charset="0"/>
                  <a:ea typeface="+mn-ea"/>
                  <a:cs typeface="+mn-cs"/>
                </a:rPr>
                <a:t>〗_(</a:t>
              </a:r>
              <a:r>
                <a:rPr lang="en-PH" sz="1100" i="0">
                  <a:solidFill>
                    <a:schemeClr val="tx1"/>
                  </a:solidFill>
                  <a:effectLst/>
                  <a:latin typeface="Cambria Math" panose="02040503050406030204" pitchFamily="18" charset="0"/>
                  <a:ea typeface="+mn-ea"/>
                  <a:cs typeface="+mn-cs"/>
                </a:rPr>
                <a:t>𝐴𝑌,𝑑𝑒𝑣</a:t>
              </a:r>
              <a:r>
                <a:rPr lang="en-US" sz="1100" b="0" i="0">
                  <a:solidFill>
                    <a:schemeClr val="tx1"/>
                  </a:solidFill>
                  <a:effectLst/>
                  <a:latin typeface="Cambria Math" panose="02040503050406030204" pitchFamily="18" charset="0"/>
                  <a:ea typeface="+mn-ea"/>
                  <a:cs typeface="+mn-cs"/>
                </a:rPr>
                <a:t>)</a:t>
              </a:r>
              <a:r>
                <a:rPr lang="en-PH"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𝑝𝑠𝑒𝑢𝑑𝑜 ]+Std Dev</a:t>
              </a:r>
              <a:r>
                <a:rPr lang="en-PH"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𝐼𝑛𝑐𝐿𝑜𝑠𝑠</a:t>
              </a:r>
              <a:r>
                <a:rPr lang="en-US" sz="1100" b="0" i="0">
                  <a:solidFill>
                    <a:schemeClr val="tx1"/>
                  </a:solidFill>
                  <a:effectLst/>
                  <a:latin typeface="Cambria Math" panose="02040503050406030204" pitchFamily="18" charset="0"/>
                  <a:ea typeface="+mn-ea"/>
                  <a:cs typeface="+mn-cs"/>
                </a:rPr>
                <a:t>〗_(</a:t>
              </a:r>
              <a:r>
                <a:rPr lang="en-PH" sz="1100" i="0">
                  <a:solidFill>
                    <a:schemeClr val="tx1"/>
                  </a:solidFill>
                  <a:effectLst/>
                  <a:latin typeface="Cambria Math" panose="02040503050406030204" pitchFamily="18" charset="0"/>
                  <a:ea typeface="+mn-ea"/>
                  <a:cs typeface="+mn-cs"/>
                </a:rPr>
                <a:t>𝐴𝑌,𝑑𝑒𝑣</a:t>
              </a:r>
              <a:r>
                <a:rPr lang="en-US" sz="1100" b="0" i="0">
                  <a:solidFill>
                    <a:schemeClr val="tx1"/>
                  </a:solidFill>
                  <a:effectLst/>
                  <a:latin typeface="Cambria Math" panose="02040503050406030204" pitchFamily="18" charset="0"/>
                  <a:ea typeface="+mn-ea"/>
                  <a:cs typeface="+mn-cs"/>
                </a:rPr>
                <a:t>)</a:t>
              </a:r>
              <a:r>
                <a:rPr lang="en-PH"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𝑝𝑠𝑒𝑢𝑑𝑜</a:t>
              </a:r>
              <a:r>
                <a:rPr lang="en-PH" sz="1100" b="0" i="0">
                  <a:solidFill>
                    <a:schemeClr val="tx1"/>
                  </a:solidFill>
                  <a:effectLst/>
                  <a:latin typeface="Cambria Math" panose="02040503050406030204" pitchFamily="18" charset="0"/>
                  <a:ea typeface="+mn-ea"/>
                  <a:cs typeface="+mn-cs"/>
                </a:rPr>
                <a:t> ]</a:t>
              </a:r>
              <a:r>
                <a:rPr lang="en-PH" sz="1100" i="0">
                  <a:solidFill>
                    <a:schemeClr val="tx1"/>
                  </a:solidFill>
                  <a:effectLst/>
                  <a:latin typeface="Cambria Math" panose="02040503050406030204" pitchFamily="18" charset="0"/>
                  <a:ea typeface="+mn-ea"/>
                  <a:cs typeface="+mn-cs"/>
                </a:rPr>
                <a:t>×</a:t>
              </a:r>
              <a:r>
                <a:rPr lang="en-US" sz="1100" b="0" i="0">
                  <a:solidFill>
                    <a:schemeClr val="tx1"/>
                  </a:solidFill>
                  <a:effectLst/>
                  <a:latin typeface="Cambria Math" panose="02040503050406030204" pitchFamily="18" charset="0"/>
                  <a:ea typeface="+mn-ea"/>
                  <a:cs typeface="+mn-cs"/>
                </a:rPr>
                <a:t>〖</a:t>
              </a:r>
              <a:r>
                <a:rPr lang="en-PH" sz="1100" i="0">
                  <a:solidFill>
                    <a:schemeClr val="tx1"/>
                  </a:solidFill>
                  <a:effectLst/>
                  <a:latin typeface="Cambria Math" panose="02040503050406030204" pitchFamily="18" charset="0"/>
                  <a:ea typeface="+mn-ea"/>
                  <a:cs typeface="+mn-cs"/>
                </a:rPr>
                <a:t>𝑟𝑒𝑠𝑖𝑑𝑢𝑎𝑙</a:t>
              </a:r>
              <a:r>
                <a:rPr lang="en-US" sz="1100" b="0" i="0">
                  <a:solidFill>
                    <a:schemeClr val="tx1"/>
                  </a:solidFill>
                  <a:effectLst/>
                  <a:latin typeface="Cambria Math" panose="02040503050406030204" pitchFamily="18" charset="0"/>
                  <a:ea typeface="+mn-ea"/>
                  <a:cs typeface="+mn-cs"/>
                </a:rPr>
                <a:t>〗_(</a:t>
              </a:r>
              <a:r>
                <a:rPr lang="en-US" sz="1100" b="0" i="0">
                  <a:solidFill>
                    <a:schemeClr val="tx1"/>
                  </a:solidFill>
                  <a:latin typeface="Cambria Math" panose="02040503050406030204" pitchFamily="18" charset="0"/>
                </a:rPr>
                <a:t>𝐴𝑌,𝑑𝑒𝑣</a:t>
              </a:r>
              <a:r>
                <a:rPr lang="en-US" sz="1100" b="0" i="0">
                  <a:solidFill>
                    <a:schemeClr val="tx1"/>
                  </a:solidFill>
                  <a:effectLst/>
                  <a:latin typeface="Cambria Math" panose="02040503050406030204" pitchFamily="18" charset="0"/>
                  <a:ea typeface="+mn-ea"/>
                  <a:cs typeface="+mn-cs"/>
                </a:rPr>
                <a:t>)^𝑝𝑟𝑜𝑐</a:t>
              </a:r>
              <a:endParaRPr lang="en-US" sz="1100">
                <a:solidFill>
                  <a:schemeClr val="tx1"/>
                </a:solidFill>
              </a:endParaRPr>
            </a:p>
          </xdr:txBody>
        </xdr:sp>
      </mc:Fallback>
    </mc:AlternateContent>
    <xdr:clientData/>
  </xdr:oneCellAnchor>
  <xdr:oneCellAnchor>
    <xdr:from>
      <xdr:col>1</xdr:col>
      <xdr:colOff>190499</xdr:colOff>
      <xdr:row>93</xdr:row>
      <xdr:rowOff>158749</xdr:rowOff>
    </xdr:from>
    <xdr:ext cx="1788584" cy="298864"/>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C6D2DB13-8051-F840-970D-5C32BE2919BA}"/>
                </a:ext>
              </a:extLst>
            </xdr:cNvPr>
            <xdr:cNvSpPr txBox="1"/>
          </xdr:nvSpPr>
          <xdr:spPr>
            <a:xfrm>
              <a:off x="1015999" y="19049999"/>
              <a:ext cx="1788584" cy="2988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𝑝𝑠𝑒𝑢𝑑𝑜</m:t>
                        </m:r>
                      </m:sup>
                    </m:sSubSup>
                    <m:r>
                      <a:rPr lang="en-US" sz="1100" b="0" i="1">
                        <a:solidFill>
                          <a:schemeClr val="tx1"/>
                        </a:solidFill>
                        <a:latin typeface="Cambria Math" panose="02040503050406030204" pitchFamily="18" charset="0"/>
                      </a:rPr>
                      <m:t>=</m:t>
                    </m:r>
                    <m:acc>
                      <m:accPr>
                        <m:chr m:val="̂"/>
                        <m:ctrlPr>
                          <a:rPr lang="en-PH" sz="1100" i="1">
                            <a:solidFill>
                              <a:schemeClr val="tx1"/>
                            </a:solidFill>
                            <a:effectLst/>
                            <a:latin typeface="Cambria Math" panose="02040503050406030204" pitchFamily="18" charset="0"/>
                            <a:ea typeface="+mn-ea"/>
                            <a:cs typeface="+mn-cs"/>
                          </a:rPr>
                        </m:ctrlPr>
                      </m:accPr>
                      <m:e>
                        <m:sSub>
                          <m:sSubPr>
                            <m:ctrlPr>
                              <a:rPr lang="en-PH" sz="1100" i="1">
                                <a:solidFill>
                                  <a:schemeClr val="tx1"/>
                                </a:solidFill>
                                <a:effectLst/>
                                <a:latin typeface="Cambria Math" panose="02040503050406030204" pitchFamily="18" charset="0"/>
                                <a:ea typeface="+mn-ea"/>
                                <a:cs typeface="+mn-cs"/>
                              </a:rPr>
                            </m:ctrlPr>
                          </m:sSubPr>
                          <m:e>
                            <m:r>
                              <a:rPr lang="en-PH" sz="1100" i="1">
                                <a:solidFill>
                                  <a:schemeClr val="tx1"/>
                                </a:solidFill>
                                <a:effectLst/>
                                <a:latin typeface="Cambria Math" panose="02040503050406030204" pitchFamily="18" charset="0"/>
                                <a:ea typeface="+mn-ea"/>
                                <a:cs typeface="+mn-cs"/>
                              </a:rPr>
                              <m:t>𝑌</m:t>
                            </m:r>
                          </m:e>
                          <m:sub>
                            <m:r>
                              <a:rPr lang="en-US" sz="1100" b="0" i="1">
                                <a:solidFill>
                                  <a:schemeClr val="tx1"/>
                                </a:solidFill>
                                <a:effectLst/>
                                <a:latin typeface="Cambria Math" panose="02040503050406030204" pitchFamily="18" charset="0"/>
                                <a:ea typeface="+mn-ea"/>
                                <a:cs typeface="+mn-cs"/>
                              </a:rPr>
                              <m:t>𝑖</m:t>
                            </m:r>
                          </m:sub>
                        </m:sSub>
                      </m:e>
                    </m:acc>
                    <m:r>
                      <a:rPr lang="en-US" sz="1100" b="0"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0" i="1">
                            <a:solidFill>
                              <a:schemeClr val="tx1"/>
                            </a:solidFill>
                            <a:effectLst/>
                            <a:latin typeface="Cambria Math" panose="02040503050406030204" pitchFamily="18" charset="0"/>
                            <a:ea typeface="Cambria Math" panose="02040503050406030204" pitchFamily="18" charset="0"/>
                            <a:cs typeface="+mn-cs"/>
                          </a:rPr>
                        </m:ctrlPr>
                      </m:sSubPr>
                      <m:e>
                        <m:acc>
                          <m:accPr>
                            <m:chr m:val="̂"/>
                            <m:ctrlPr>
                              <a:rPr lang="en-US" sz="1100" b="0" i="1">
                                <a:solidFill>
                                  <a:schemeClr val="tx1"/>
                                </a:solidFill>
                                <a:effectLst/>
                                <a:latin typeface="Cambria Math" panose="02040503050406030204" pitchFamily="18" charset="0"/>
                                <a:ea typeface="Cambria Math" panose="02040503050406030204" pitchFamily="18" charset="0"/>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𝜎</m:t>
                            </m:r>
                          </m:e>
                        </m:acc>
                      </m:e>
                      <m:sub>
                        <m:r>
                          <a:rPr lang="en-US" sz="1100" b="0" i="1">
                            <a:solidFill>
                              <a:schemeClr val="tx1"/>
                            </a:solidFill>
                            <a:effectLst/>
                            <a:latin typeface="Cambria Math" panose="02040503050406030204" pitchFamily="18" charset="0"/>
                            <a:ea typeface="+mn-ea"/>
                            <a:cs typeface="+mn-cs"/>
                          </a:rPr>
                          <m:t>𝑖</m:t>
                        </m:r>
                      </m:sub>
                    </m:sSub>
                    <m:r>
                      <a:rPr lang="en-PH" sz="1100" i="1">
                        <a:solidFill>
                          <a:schemeClr val="tx1"/>
                        </a:solidFill>
                        <a:effectLst/>
                        <a:latin typeface="Cambria Math" panose="02040503050406030204" pitchFamily="18" charset="0"/>
                        <a:ea typeface="+mn-ea"/>
                        <a:cs typeface="+mn-cs"/>
                      </a:rPr>
                      <m:t>×</m:t>
                    </m:r>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𝑆</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𝑝𝑠𝑒𝑢𝑑𝑜</m:t>
                        </m:r>
                      </m:sup>
                    </m:sSubSup>
                  </m:oMath>
                </m:oMathPara>
              </a14:m>
              <a:endParaRPr lang="en-US" sz="1100">
                <a:solidFill>
                  <a:schemeClr val="tx1"/>
                </a:solidFill>
              </a:endParaRPr>
            </a:p>
          </xdr:txBody>
        </xdr:sp>
      </mc:Choice>
      <mc:Fallback xmlns="">
        <xdr:sp macro="" textlink="">
          <xdr:nvSpPr>
            <xdr:cNvPr id="30" name="TextBox 29">
              <a:extLst>
                <a:ext uri="{FF2B5EF4-FFF2-40B4-BE49-F238E27FC236}">
                  <a16:creationId xmlns:a16="http://schemas.microsoft.com/office/drawing/2014/main" id="{C6D2DB13-8051-F840-970D-5C32BE2919BA}"/>
                </a:ext>
              </a:extLst>
            </xdr:cNvPr>
            <xdr:cNvSpPr txBox="1"/>
          </xdr:nvSpPr>
          <xdr:spPr>
            <a:xfrm>
              <a:off x="1015999" y="19049999"/>
              <a:ext cx="1788584" cy="2988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solidFill>
                    <a:schemeClr val="tx1"/>
                  </a:solidFill>
                  <a:latin typeface="Cambria Math" panose="02040503050406030204" pitchFamily="18" charset="0"/>
                </a:rPr>
                <a:t>𝑌_𝑖^𝑝𝑠𝑒𝑢𝑑𝑜=(</a:t>
              </a:r>
              <a:r>
                <a:rPr lang="en-PH" sz="1100" i="0">
                  <a:solidFill>
                    <a:schemeClr val="tx1"/>
                  </a:solidFill>
                  <a:effectLst/>
                  <a:latin typeface="Cambria Math" panose="02040503050406030204" pitchFamily="18" charset="0"/>
                  <a:ea typeface="+mn-ea"/>
                  <a:cs typeface="+mn-cs"/>
                </a:rPr>
                <a:t>𝑌_</a:t>
              </a:r>
              <a:r>
                <a:rPr lang="en-US" sz="1100" b="0" i="0">
                  <a:solidFill>
                    <a:schemeClr val="tx1"/>
                  </a:solidFill>
                  <a:effectLst/>
                  <a:latin typeface="Cambria Math" panose="02040503050406030204" pitchFamily="18" charset="0"/>
                  <a:ea typeface="+mn-ea"/>
                  <a:cs typeface="+mn-cs"/>
                </a:rPr>
                <a:t>𝑖 ) ̂</a:t>
              </a:r>
              <a:r>
                <a:rPr lang="en-US" sz="1100" b="0" i="0">
                  <a:solidFill>
                    <a:schemeClr val="tx1"/>
                  </a:solidFill>
                  <a:effectLst/>
                  <a:latin typeface="Cambria Math" panose="02040503050406030204" pitchFamily="18" charset="0"/>
                  <a:ea typeface="Cambria Math" panose="02040503050406030204" pitchFamily="18" charset="0"/>
                  <a:cs typeface="+mn-cs"/>
                </a:rPr>
                <a:t>+𝜎</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mn-ea"/>
                  <a:cs typeface="+mn-cs"/>
                </a:rPr>
                <a:t>_𝑖</a:t>
              </a:r>
              <a:r>
                <a:rPr lang="en-PH" sz="1100" i="0">
                  <a:solidFill>
                    <a:schemeClr val="tx1"/>
                  </a:solidFill>
                  <a:effectLst/>
                  <a:latin typeface="Cambria Math" panose="02040503050406030204" pitchFamily="18" charset="0"/>
                  <a:ea typeface="+mn-ea"/>
                  <a:cs typeface="+mn-cs"/>
                </a:rPr>
                <a:t>×</a:t>
              </a:r>
              <a:r>
                <a:rPr lang="en-US" sz="1100" b="0" i="0">
                  <a:solidFill>
                    <a:schemeClr val="tx1"/>
                  </a:solidFill>
                  <a:latin typeface="Cambria Math" panose="02040503050406030204" pitchFamily="18" charset="0"/>
                </a:rPr>
                <a:t>𝑆_𝑖^𝑝𝑠𝑒𝑢𝑑𝑜</a:t>
              </a:r>
              <a:endParaRPr lang="en-US" sz="1100">
                <a:solidFill>
                  <a:schemeClr val="tx1"/>
                </a:solidFill>
              </a:endParaRPr>
            </a:p>
          </xdr:txBody>
        </xdr:sp>
      </mc:Fallback>
    </mc:AlternateContent>
    <xdr:clientData/>
  </xdr:oneCellAnchor>
  <xdr:oneCellAnchor>
    <xdr:from>
      <xdr:col>1</xdr:col>
      <xdr:colOff>116418</xdr:colOff>
      <xdr:row>129</xdr:row>
      <xdr:rowOff>158750</xdr:rowOff>
    </xdr:from>
    <xdr:ext cx="2317749" cy="298864"/>
    <mc:AlternateContent xmlns:mc="http://schemas.openxmlformats.org/markup-compatibility/2006" xmlns:a14="http://schemas.microsoft.com/office/drawing/2010/main">
      <mc:Choice Requires="a14">
        <xdr:sp macro="" textlink="">
          <xdr:nvSpPr>
            <xdr:cNvPr id="31" name="TextBox 30">
              <a:extLst>
                <a:ext uri="{FF2B5EF4-FFF2-40B4-BE49-F238E27FC236}">
                  <a16:creationId xmlns:a16="http://schemas.microsoft.com/office/drawing/2014/main" id="{04932394-5F33-E041-B2BC-27F8405405B6}"/>
                </a:ext>
              </a:extLst>
            </xdr:cNvPr>
            <xdr:cNvSpPr txBox="1"/>
          </xdr:nvSpPr>
          <xdr:spPr>
            <a:xfrm>
              <a:off x="941918" y="25886833"/>
              <a:ext cx="2317749" cy="2988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14:m>
                <m:oMathPara xmlns:m="http://schemas.openxmlformats.org/officeDocument/2006/math">
                  <m:oMath>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𝑝𝑟𝑜𝑐</m:t>
                        </m:r>
                      </m:sup>
                    </m:sSubSup>
                    <m:r>
                      <a:rPr lang="en-US" sz="1100" b="0" i="1">
                        <a:solidFill>
                          <a:schemeClr val="tx1"/>
                        </a:solidFill>
                        <a:latin typeface="Cambria Math" panose="02040503050406030204" pitchFamily="18" charset="0"/>
                      </a:rPr>
                      <m:t>=</m:t>
                    </m:r>
                    <m:r>
                      <m:rPr>
                        <m:sty m:val="p"/>
                      </m:rPr>
                      <a:rPr lang="en-PH" sz="1100">
                        <a:solidFill>
                          <a:schemeClr val="tx1"/>
                        </a:solidFill>
                        <a:effectLst/>
                        <a:latin typeface="Cambria Math" panose="02040503050406030204" pitchFamily="18" charset="0"/>
                        <a:ea typeface="+mn-ea"/>
                        <a:cs typeface="+mn-cs"/>
                      </a:rPr>
                      <m:t>E</m:t>
                    </m:r>
                    <m:d>
                      <m:dPr>
                        <m:begChr m:val="["/>
                        <m:endChr m:val="]"/>
                        <m:ctrlPr>
                          <a:rPr lang="en-US" sz="1100" b="0" i="1">
                            <a:solidFill>
                              <a:schemeClr val="tx1"/>
                            </a:solidFill>
                            <a:latin typeface="Cambria Math" panose="02040503050406030204" pitchFamily="18" charset="0"/>
                          </a:rPr>
                        </m:ctrlPr>
                      </m:dPr>
                      <m:e>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𝑌</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𝑝𝑠𝑒𝑢𝑑𝑜</m:t>
                            </m:r>
                          </m:sup>
                        </m:sSubSup>
                      </m:e>
                    </m:d>
                    <m:r>
                      <a:rPr lang="en-US" sz="1100" b="0" i="1">
                        <a:solidFill>
                          <a:schemeClr val="tx1"/>
                        </a:solidFill>
                        <a:effectLst/>
                        <a:latin typeface="Cambria Math" panose="02040503050406030204" pitchFamily="18" charset="0"/>
                        <a:ea typeface="Cambria Math" panose="02040503050406030204" pitchFamily="18" charset="0"/>
                        <a:cs typeface="+mn-cs"/>
                      </a:rPr>
                      <m:t>+</m:t>
                    </m:r>
                    <m:sSubSup>
                      <m:sSubSupPr>
                        <m:ctrlPr>
                          <a:rPr lang="en-US" sz="1100" b="0" i="1">
                            <a:solidFill>
                              <a:schemeClr val="tx1"/>
                            </a:solidFill>
                            <a:effectLst/>
                            <a:latin typeface="Cambria Math" panose="02040503050406030204" pitchFamily="18" charset="0"/>
                            <a:ea typeface="Cambria Math" panose="02040503050406030204" pitchFamily="18" charset="0"/>
                            <a:cs typeface="+mn-cs"/>
                          </a:rPr>
                        </m:ctrlPr>
                      </m:sSubSupPr>
                      <m:e>
                        <m:acc>
                          <m:accPr>
                            <m:chr m:val="̂"/>
                            <m:ctrlPr>
                              <a:rPr lang="en-US" sz="1100" b="0" i="1">
                                <a:solidFill>
                                  <a:schemeClr val="tx1"/>
                                </a:solidFill>
                                <a:effectLst/>
                                <a:latin typeface="Cambria Math" panose="02040503050406030204" pitchFamily="18" charset="0"/>
                                <a:ea typeface="Cambria Math" panose="02040503050406030204" pitchFamily="18" charset="0"/>
                                <a:cs typeface="+mn-cs"/>
                              </a:rPr>
                            </m:ctrlPr>
                          </m:accPr>
                          <m:e>
                            <m:r>
                              <a:rPr lang="en-US" sz="1100" b="0" i="1">
                                <a:solidFill>
                                  <a:schemeClr val="tx1"/>
                                </a:solidFill>
                                <a:effectLst/>
                                <a:latin typeface="Cambria Math" panose="02040503050406030204" pitchFamily="18" charset="0"/>
                                <a:ea typeface="Cambria Math" panose="02040503050406030204" pitchFamily="18" charset="0"/>
                                <a:cs typeface="+mn-cs"/>
                              </a:rPr>
                              <m:t>𝜎</m:t>
                            </m:r>
                          </m:e>
                        </m:acc>
                      </m:e>
                      <m:sub>
                        <m:r>
                          <a:rPr lang="en-US" sz="1100" b="0" i="1">
                            <a:solidFill>
                              <a:schemeClr val="tx1"/>
                            </a:solidFill>
                            <a:effectLst/>
                            <a:latin typeface="Cambria Math" panose="02040503050406030204" pitchFamily="18" charset="0"/>
                            <a:ea typeface="Cambria Math" panose="02040503050406030204" pitchFamily="18" charset="0"/>
                            <a:cs typeface="+mn-cs"/>
                          </a:rPr>
                          <m:t>𝑖</m:t>
                        </m:r>
                      </m:sub>
                      <m:sup>
                        <m:r>
                          <a:rPr lang="en-US" sz="1100" b="0" i="1">
                            <a:solidFill>
                              <a:schemeClr val="tx1"/>
                            </a:solidFill>
                            <a:effectLst/>
                            <a:latin typeface="Cambria Math" panose="02040503050406030204" pitchFamily="18" charset="0"/>
                            <a:ea typeface="Cambria Math" panose="02040503050406030204" pitchFamily="18" charset="0"/>
                            <a:cs typeface="+mn-cs"/>
                          </a:rPr>
                          <m:t>𝑝𝑠𝑒𝑢𝑑𝑜</m:t>
                        </m:r>
                      </m:sup>
                    </m:sSubSup>
                    <m:r>
                      <a:rPr lang="en-PH" sz="1100" i="1">
                        <a:solidFill>
                          <a:schemeClr val="tx1"/>
                        </a:solidFill>
                        <a:effectLst/>
                        <a:latin typeface="Cambria Math" panose="02040503050406030204" pitchFamily="18" charset="0"/>
                        <a:ea typeface="+mn-ea"/>
                        <a:cs typeface="+mn-cs"/>
                      </a:rPr>
                      <m:t>×</m:t>
                    </m:r>
                    <m:sSubSup>
                      <m:sSubSupPr>
                        <m:ctrlPr>
                          <a:rPr lang="en-US" sz="1100" b="0" i="1">
                            <a:solidFill>
                              <a:schemeClr val="tx1"/>
                            </a:solidFill>
                            <a:latin typeface="Cambria Math" panose="02040503050406030204" pitchFamily="18" charset="0"/>
                          </a:rPr>
                        </m:ctrlPr>
                      </m:sSubSupPr>
                      <m:e>
                        <m:r>
                          <a:rPr lang="en-US" sz="1100" b="0" i="1">
                            <a:solidFill>
                              <a:schemeClr val="tx1"/>
                            </a:solidFill>
                            <a:latin typeface="Cambria Math" panose="02040503050406030204" pitchFamily="18" charset="0"/>
                          </a:rPr>
                          <m:t>𝑆</m:t>
                        </m:r>
                      </m:e>
                      <m:sub>
                        <m:r>
                          <a:rPr lang="en-US" sz="1100" b="0" i="1">
                            <a:solidFill>
                              <a:schemeClr val="tx1"/>
                            </a:solidFill>
                            <a:latin typeface="Cambria Math" panose="02040503050406030204" pitchFamily="18" charset="0"/>
                          </a:rPr>
                          <m:t>𝑖</m:t>
                        </m:r>
                      </m:sub>
                      <m:sup>
                        <m:r>
                          <a:rPr lang="en-US" sz="1100" b="0" i="1">
                            <a:solidFill>
                              <a:schemeClr val="tx1"/>
                            </a:solidFill>
                            <a:latin typeface="Cambria Math" panose="02040503050406030204" pitchFamily="18" charset="0"/>
                          </a:rPr>
                          <m:t>𝑝𝑟𝑜𝑐</m:t>
                        </m:r>
                      </m:sup>
                    </m:sSubSup>
                  </m:oMath>
                </m:oMathPara>
              </a14:m>
              <a:endParaRPr lang="en-US" sz="1100">
                <a:solidFill>
                  <a:schemeClr val="tx1"/>
                </a:solidFill>
              </a:endParaRPr>
            </a:p>
          </xdr:txBody>
        </xdr:sp>
      </mc:Choice>
      <mc:Fallback xmlns="">
        <xdr:sp macro="" textlink="">
          <xdr:nvSpPr>
            <xdr:cNvPr id="31" name="TextBox 30">
              <a:extLst>
                <a:ext uri="{FF2B5EF4-FFF2-40B4-BE49-F238E27FC236}">
                  <a16:creationId xmlns:a16="http://schemas.microsoft.com/office/drawing/2014/main" id="{04932394-5F33-E041-B2BC-27F8405405B6}"/>
                </a:ext>
              </a:extLst>
            </xdr:cNvPr>
            <xdr:cNvSpPr txBox="1"/>
          </xdr:nvSpPr>
          <xdr:spPr>
            <a:xfrm>
              <a:off x="941918" y="25886833"/>
              <a:ext cx="2317749" cy="298864"/>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45720" tIns="45720" rIns="45720" bIns="45720" rtlCol="0" anchor="t">
              <a:spAutoFit/>
            </a:bodyPr>
            <a:lstStyle/>
            <a:p>
              <a:pPr/>
              <a:r>
                <a:rPr lang="en-US" sz="1100" b="0" i="0">
                  <a:solidFill>
                    <a:schemeClr val="tx1"/>
                  </a:solidFill>
                  <a:latin typeface="Cambria Math" panose="02040503050406030204" pitchFamily="18" charset="0"/>
                </a:rPr>
                <a:t>𝑌_𝑖^𝑝𝑟𝑜𝑐=</a:t>
              </a:r>
              <a:r>
                <a:rPr lang="en-PH" sz="1100" i="0">
                  <a:solidFill>
                    <a:schemeClr val="tx1"/>
                  </a:solidFill>
                  <a:effectLst/>
                  <a:latin typeface="Cambria Math" panose="02040503050406030204" pitchFamily="18" charset="0"/>
                  <a:ea typeface="+mn-ea"/>
                  <a:cs typeface="+mn-cs"/>
                </a:rPr>
                <a:t>E[</a:t>
              </a:r>
              <a:r>
                <a:rPr lang="en-US" sz="1100" b="0" i="0">
                  <a:solidFill>
                    <a:schemeClr val="tx1"/>
                  </a:solidFill>
                  <a:latin typeface="Cambria Math" panose="02040503050406030204" pitchFamily="18" charset="0"/>
                </a:rPr>
                <a:t>𝑌_𝑖^𝑝𝑠𝑒𝑢𝑑𝑜 ]</a:t>
              </a:r>
              <a:r>
                <a:rPr lang="en-US" sz="1100" b="0" i="0">
                  <a:solidFill>
                    <a:schemeClr val="tx1"/>
                  </a:solidFill>
                  <a:effectLst/>
                  <a:latin typeface="Cambria Math" panose="02040503050406030204" pitchFamily="18" charset="0"/>
                  <a:ea typeface="Cambria Math" panose="02040503050406030204" pitchFamily="18" charset="0"/>
                  <a:cs typeface="+mn-cs"/>
                </a:rPr>
                <a:t>+𝜎</a:t>
              </a:r>
              <a:r>
                <a:rPr lang="en-PH"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Cambria Math" panose="02040503050406030204" pitchFamily="18" charset="0"/>
                  <a:cs typeface="+mn-cs"/>
                </a:rPr>
                <a:t>_𝑖^𝑝𝑠𝑒𝑢𝑑𝑜</a:t>
              </a:r>
              <a:r>
                <a:rPr lang="en-PH" sz="1100" i="0">
                  <a:solidFill>
                    <a:schemeClr val="tx1"/>
                  </a:solidFill>
                  <a:effectLst/>
                  <a:latin typeface="Cambria Math" panose="02040503050406030204" pitchFamily="18" charset="0"/>
                  <a:ea typeface="+mn-ea"/>
                  <a:cs typeface="+mn-cs"/>
                </a:rPr>
                <a:t>×</a:t>
              </a:r>
              <a:r>
                <a:rPr lang="en-US" sz="1100" b="0" i="0">
                  <a:solidFill>
                    <a:schemeClr val="tx1"/>
                  </a:solidFill>
                  <a:latin typeface="Cambria Math" panose="02040503050406030204" pitchFamily="18" charset="0"/>
                </a:rPr>
                <a:t>𝑆_𝑖^𝑝𝑟𝑜𝑐</a:t>
              </a:r>
              <a:endParaRPr lang="en-US" sz="1100">
                <a:solidFill>
                  <a:schemeClr val="tx1"/>
                </a:solidFill>
              </a:endParaRP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pple/Dropbox/Rising%20Fellow/_Products/Exam%207/_Problem%20Pack/Support%20Excel%20Files/RF%20Shapland_3%20Suppor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206"/>
  <sheetViews>
    <sheetView showGridLines="0" tabSelected="1" zoomScale="120" zoomScaleNormal="120" workbookViewId="0"/>
  </sheetViews>
  <sheetFormatPr baseColWidth="10" defaultColWidth="10.83203125" defaultRowHeight="16" x14ac:dyDescent="0.2"/>
  <cols>
    <col min="1" max="16384" width="10.83203125" style="31"/>
  </cols>
  <sheetData>
    <row r="1" spans="1:10" ht="19" x14ac:dyDescent="0.25">
      <c r="A1" s="1" t="s">
        <v>46</v>
      </c>
      <c r="B1" s="29"/>
      <c r="C1" s="29"/>
      <c r="D1" s="29"/>
      <c r="E1" s="29"/>
      <c r="F1" s="29"/>
      <c r="G1" s="29"/>
      <c r="H1" s="29"/>
      <c r="I1" s="29"/>
      <c r="J1" s="30"/>
    </row>
    <row r="2" spans="1:10" x14ac:dyDescent="0.2">
      <c r="A2" s="5"/>
      <c r="B2" s="29"/>
      <c r="C2" s="29"/>
      <c r="D2" s="29"/>
      <c r="E2" s="29"/>
      <c r="F2" s="29"/>
      <c r="G2" s="29"/>
      <c r="H2" s="29"/>
      <c r="I2" s="29"/>
      <c r="J2" s="30"/>
    </row>
    <row r="3" spans="1:10" x14ac:dyDescent="0.2">
      <c r="A3" s="5"/>
      <c r="B3" s="29" t="s">
        <v>77</v>
      </c>
      <c r="C3" s="29"/>
      <c r="D3" s="29"/>
      <c r="E3" s="29"/>
      <c r="F3" s="29"/>
      <c r="G3" s="29"/>
      <c r="H3" s="29"/>
      <c r="I3" s="29"/>
      <c r="J3" s="30"/>
    </row>
    <row r="4" spans="1:10" x14ac:dyDescent="0.2">
      <c r="A4" s="5"/>
      <c r="B4" s="29"/>
      <c r="C4" s="29"/>
      <c r="D4" s="29"/>
      <c r="E4" s="29"/>
      <c r="F4" s="29"/>
      <c r="G4" s="29"/>
      <c r="H4" s="29"/>
      <c r="I4" s="29"/>
      <c r="J4" s="30"/>
    </row>
    <row r="5" spans="1:10" x14ac:dyDescent="0.2">
      <c r="A5" s="5"/>
      <c r="B5" s="29"/>
      <c r="C5" s="333" t="s">
        <v>18</v>
      </c>
      <c r="D5" s="334"/>
      <c r="E5" s="334"/>
      <c r="F5" s="334"/>
      <c r="G5" s="335"/>
      <c r="H5" s="29"/>
      <c r="I5" s="29"/>
      <c r="J5" s="30"/>
    </row>
    <row r="6" spans="1:10" ht="17" x14ac:dyDescent="0.2">
      <c r="A6" s="5"/>
      <c r="B6" s="29"/>
      <c r="C6" s="23" t="s">
        <v>7</v>
      </c>
      <c r="D6" s="14" t="s">
        <v>3</v>
      </c>
      <c r="E6" s="14" t="s">
        <v>4</v>
      </c>
      <c r="F6" s="14" t="s">
        <v>5</v>
      </c>
      <c r="G6" s="15" t="s">
        <v>6</v>
      </c>
      <c r="H6" s="29"/>
      <c r="I6" s="29"/>
      <c r="J6" s="30"/>
    </row>
    <row r="7" spans="1:10" x14ac:dyDescent="0.2">
      <c r="A7" s="5"/>
      <c r="B7" s="29"/>
      <c r="C7" s="24">
        <v>2020</v>
      </c>
      <c r="D7" s="16">
        <v>4220</v>
      </c>
      <c r="E7" s="16">
        <v>4970</v>
      </c>
      <c r="F7" s="16">
        <v>2640</v>
      </c>
      <c r="G7" s="17">
        <v>1210</v>
      </c>
      <c r="H7" s="29"/>
      <c r="I7" s="29"/>
      <c r="J7" s="30"/>
    </row>
    <row r="8" spans="1:10" x14ac:dyDescent="0.2">
      <c r="A8" s="5"/>
      <c r="B8" s="29"/>
      <c r="C8" s="25">
        <v>2021</v>
      </c>
      <c r="D8" s="18">
        <v>4480</v>
      </c>
      <c r="E8" s="18">
        <v>4360</v>
      </c>
      <c r="F8" s="18">
        <v>2360</v>
      </c>
      <c r="G8" s="19"/>
      <c r="H8" s="29"/>
      <c r="I8" s="29"/>
      <c r="J8" s="30"/>
    </row>
    <row r="9" spans="1:10" x14ac:dyDescent="0.2">
      <c r="A9" s="5"/>
      <c r="B9" s="29"/>
      <c r="C9" s="25">
        <v>2022</v>
      </c>
      <c r="D9" s="18">
        <v>3130</v>
      </c>
      <c r="E9" s="18">
        <v>3610</v>
      </c>
      <c r="F9" s="6"/>
      <c r="G9" s="19"/>
      <c r="H9" s="29"/>
      <c r="I9" s="29"/>
      <c r="J9" s="30"/>
    </row>
    <row r="10" spans="1:10" x14ac:dyDescent="0.2">
      <c r="A10" s="5"/>
      <c r="B10" s="29"/>
      <c r="C10" s="26">
        <v>2023</v>
      </c>
      <c r="D10" s="20">
        <v>4460</v>
      </c>
      <c r="E10" s="21"/>
      <c r="F10" s="21"/>
      <c r="G10" s="22"/>
      <c r="H10" s="29"/>
      <c r="I10" s="29"/>
      <c r="J10" s="30"/>
    </row>
    <row r="11" spans="1:10" x14ac:dyDescent="0.2">
      <c r="A11" s="5"/>
      <c r="B11" s="29"/>
      <c r="C11" s="29"/>
      <c r="D11" s="29"/>
      <c r="E11" s="29"/>
      <c r="F11" s="29"/>
      <c r="G11" s="29"/>
      <c r="H11" s="29"/>
      <c r="I11" s="29"/>
      <c r="J11" s="30"/>
    </row>
    <row r="12" spans="1:10" x14ac:dyDescent="0.2">
      <c r="A12" s="5"/>
      <c r="B12" s="32" t="s">
        <v>56</v>
      </c>
      <c r="C12" s="29"/>
      <c r="D12" s="29"/>
      <c r="E12" s="29"/>
      <c r="F12" s="29"/>
      <c r="G12" s="29"/>
      <c r="H12" s="29"/>
      <c r="I12" s="29"/>
      <c r="J12" s="30"/>
    </row>
    <row r="13" spans="1:10" x14ac:dyDescent="0.2">
      <c r="A13" s="5"/>
      <c r="B13" s="29"/>
      <c r="C13" s="29"/>
      <c r="D13" s="29"/>
      <c r="E13" s="29"/>
      <c r="F13" s="29"/>
      <c r="G13" s="29"/>
      <c r="H13" s="29"/>
      <c r="I13" s="29"/>
      <c r="J13" s="30"/>
    </row>
    <row r="14" spans="1:10" x14ac:dyDescent="0.2">
      <c r="A14" s="5"/>
      <c r="B14" s="29"/>
      <c r="C14" s="29"/>
      <c r="D14" s="29"/>
      <c r="E14" s="29"/>
      <c r="F14" s="29"/>
      <c r="G14" s="29"/>
      <c r="H14" s="29"/>
      <c r="I14" s="29"/>
      <c r="J14" s="30"/>
    </row>
    <row r="15" spans="1:10" x14ac:dyDescent="0.2">
      <c r="A15" s="5"/>
      <c r="B15" s="29" t="s">
        <v>0</v>
      </c>
      <c r="C15" s="29"/>
      <c r="D15" s="29"/>
      <c r="E15" s="29"/>
      <c r="F15" s="29"/>
      <c r="G15" s="29"/>
      <c r="H15" s="29"/>
      <c r="I15" s="29"/>
      <c r="J15" s="30"/>
    </row>
    <row r="16" spans="1:10" x14ac:dyDescent="0.2">
      <c r="A16" s="5"/>
      <c r="B16" s="29" t="s">
        <v>19</v>
      </c>
      <c r="C16" s="29"/>
      <c r="D16" s="29"/>
      <c r="E16" s="29"/>
      <c r="F16" s="29"/>
      <c r="G16" s="29"/>
      <c r="H16" s="29"/>
      <c r="I16" s="29"/>
      <c r="J16" s="30"/>
    </row>
    <row r="17" spans="1:12" x14ac:dyDescent="0.2">
      <c r="A17" s="5"/>
      <c r="B17" s="29"/>
      <c r="C17" s="29"/>
      <c r="D17" s="29"/>
      <c r="E17" s="29"/>
      <c r="F17" s="29"/>
      <c r="G17" s="29"/>
      <c r="H17" s="29"/>
      <c r="I17" s="29"/>
      <c r="J17" s="30"/>
    </row>
    <row r="18" spans="1:12" x14ac:dyDescent="0.2">
      <c r="A18" s="5"/>
      <c r="B18" s="29" t="s">
        <v>1</v>
      </c>
      <c r="C18" s="29"/>
      <c r="D18" s="29"/>
      <c r="E18" s="29"/>
      <c r="F18" s="29"/>
      <c r="G18" s="29"/>
      <c r="H18" s="29"/>
      <c r="I18" s="29"/>
      <c r="J18" s="30"/>
    </row>
    <row r="19" spans="1:12" x14ac:dyDescent="0.2">
      <c r="A19" s="5"/>
      <c r="B19" s="29" t="s">
        <v>78</v>
      </c>
      <c r="C19" s="29"/>
      <c r="D19" s="29"/>
      <c r="E19" s="29"/>
      <c r="F19" s="29"/>
      <c r="G19" s="29"/>
      <c r="H19" s="29"/>
      <c r="I19" s="29"/>
      <c r="J19" s="30"/>
    </row>
    <row r="20" spans="1:12" ht="17" thickBot="1" x14ac:dyDescent="0.25">
      <c r="A20" s="33"/>
      <c r="B20" s="34"/>
      <c r="C20" s="35"/>
      <c r="D20" s="35"/>
      <c r="E20" s="35"/>
      <c r="F20" s="34"/>
      <c r="G20" s="34"/>
      <c r="H20" s="34"/>
      <c r="I20" s="34"/>
      <c r="J20" s="36"/>
    </row>
    <row r="22" spans="1:12" ht="19" x14ac:dyDescent="0.25">
      <c r="A22" s="2" t="s">
        <v>2</v>
      </c>
    </row>
    <row r="23" spans="1:12" x14ac:dyDescent="0.2">
      <c r="A23" s="3" t="s">
        <v>20</v>
      </c>
      <c r="C23" s="37"/>
    </row>
    <row r="24" spans="1:12" x14ac:dyDescent="0.2">
      <c r="A24" s="9" t="s">
        <v>49</v>
      </c>
      <c r="B24" s="336" t="s">
        <v>57</v>
      </c>
      <c r="C24" s="336"/>
      <c r="D24" s="336"/>
      <c r="E24" s="336"/>
      <c r="F24" s="336"/>
      <c r="G24" s="336"/>
      <c r="H24" s="336"/>
      <c r="I24" s="336"/>
    </row>
    <row r="25" spans="1:12" x14ac:dyDescent="0.2">
      <c r="A25" s="3"/>
      <c r="B25" s="336"/>
      <c r="C25" s="336"/>
      <c r="D25" s="336"/>
      <c r="E25" s="336"/>
      <c r="F25" s="336"/>
      <c r="G25" s="336"/>
      <c r="H25" s="336"/>
      <c r="I25" s="336"/>
    </row>
    <row r="26" spans="1:12" x14ac:dyDescent="0.2">
      <c r="A26" s="3"/>
      <c r="B26" s="46"/>
      <c r="C26" s="46"/>
      <c r="D26" s="46"/>
      <c r="E26" s="46"/>
      <c r="F26" s="46"/>
      <c r="G26" s="46"/>
      <c r="H26" s="46"/>
      <c r="I26" s="46"/>
    </row>
    <row r="27" spans="1:12" x14ac:dyDescent="0.2">
      <c r="A27" s="3"/>
      <c r="B27" s="46"/>
      <c r="C27" s="46"/>
      <c r="D27" s="46"/>
      <c r="E27" s="46"/>
      <c r="F27" s="46"/>
      <c r="G27" s="46"/>
      <c r="H27" s="46"/>
      <c r="I27" s="46"/>
    </row>
    <row r="28" spans="1:12" x14ac:dyDescent="0.2">
      <c r="L28" s="4"/>
    </row>
    <row r="29" spans="1:12" x14ac:dyDescent="0.2">
      <c r="L29" s="4"/>
    </row>
    <row r="30" spans="1:12" x14ac:dyDescent="0.2">
      <c r="L30" s="4"/>
    </row>
    <row r="31" spans="1:12" x14ac:dyDescent="0.2">
      <c r="L31" s="4"/>
    </row>
    <row r="32" spans="1:12" x14ac:dyDescent="0.2">
      <c r="L32" s="4"/>
    </row>
    <row r="33" spans="1:12" x14ac:dyDescent="0.2">
      <c r="A33" s="9" t="s">
        <v>50</v>
      </c>
      <c r="B33" s="7" t="s">
        <v>58</v>
      </c>
      <c r="C33" s="41"/>
      <c r="E33" s="45"/>
      <c r="F33" s="42"/>
      <c r="L33" s="4"/>
    </row>
    <row r="34" spans="1:12" x14ac:dyDescent="0.2">
      <c r="B34" s="45"/>
      <c r="C34" s="41"/>
      <c r="E34" s="45"/>
      <c r="F34" s="42"/>
      <c r="L34" s="4"/>
    </row>
    <row r="35" spans="1:12" ht="19" x14ac:dyDescent="0.25">
      <c r="B35" s="38" t="s">
        <v>7</v>
      </c>
      <c r="C35" s="39" t="s">
        <v>59</v>
      </c>
      <c r="E35" s="38" t="s">
        <v>8</v>
      </c>
      <c r="F35" s="47" t="s">
        <v>60</v>
      </c>
      <c r="H35" s="45"/>
      <c r="I35" s="57"/>
      <c r="L35" s="4"/>
    </row>
    <row r="36" spans="1:12" x14ac:dyDescent="0.2">
      <c r="B36" s="40">
        <v>2020</v>
      </c>
      <c r="C36" s="41">
        <f>SUM(D7:G7)</f>
        <v>13040</v>
      </c>
      <c r="E36" s="40">
        <v>48</v>
      </c>
      <c r="F36" s="42">
        <f>G7/C36</f>
        <v>9.2791411042944791E-2</v>
      </c>
      <c r="H36" s="45"/>
      <c r="I36" s="42"/>
      <c r="L36" s="4"/>
    </row>
    <row r="37" spans="1:12" x14ac:dyDescent="0.2">
      <c r="B37" s="40">
        <v>2021</v>
      </c>
      <c r="C37" s="41">
        <f>SUM(D8:G8)/(1-F36)</f>
        <v>12345.562130177514</v>
      </c>
      <c r="E37" s="40">
        <v>36</v>
      </c>
      <c r="F37" s="42">
        <f>SUM(F7:F9)/SUM($C$36:C37)</f>
        <v>0.19696235105450613</v>
      </c>
      <c r="H37" s="45"/>
      <c r="I37" s="42"/>
      <c r="L37" s="4"/>
    </row>
    <row r="38" spans="1:12" x14ac:dyDescent="0.2">
      <c r="B38" s="40">
        <v>2022</v>
      </c>
      <c r="C38" s="41">
        <f>SUM(D9:G9)/(1-SUM($F$36:F37))</f>
        <v>9489.6665977480006</v>
      </c>
      <c r="E38" s="40">
        <v>24</v>
      </c>
      <c r="F38" s="42">
        <f>SUM(E7:E9)/SUM($C$36:C38)</f>
        <v>0.37103699307464622</v>
      </c>
      <c r="H38" s="45"/>
      <c r="I38" s="42"/>
      <c r="L38" s="4"/>
    </row>
    <row r="39" spans="1:12" x14ac:dyDescent="0.2">
      <c r="B39" s="40">
        <v>2023</v>
      </c>
      <c r="C39" s="41">
        <f>SUM(D10:G10)/(1-SUM($F$36:F38))</f>
        <v>13148.226553385275</v>
      </c>
      <c r="E39" s="40">
        <v>12</v>
      </c>
      <c r="F39" s="42">
        <f>SUM(D7:D10)/SUM($C$36:C39)</f>
        <v>0.33920924482790293</v>
      </c>
      <c r="H39" s="45"/>
      <c r="I39" s="42"/>
      <c r="L39" s="4"/>
    </row>
    <row r="40" spans="1:12" x14ac:dyDescent="0.2">
      <c r="B40" s="45"/>
      <c r="C40" s="41"/>
      <c r="E40" s="45"/>
      <c r="F40" s="42"/>
      <c r="L40" s="4"/>
    </row>
    <row r="41" spans="1:12" x14ac:dyDescent="0.2">
      <c r="L41" s="4"/>
    </row>
    <row r="42" spans="1:12" x14ac:dyDescent="0.2">
      <c r="A42" s="3" t="s">
        <v>21</v>
      </c>
      <c r="C42" s="37"/>
    </row>
    <row r="43" spans="1:12" ht="18" x14ac:dyDescent="0.25">
      <c r="A43" s="9" t="s">
        <v>51</v>
      </c>
      <c r="B43" s="7" t="s">
        <v>61</v>
      </c>
      <c r="C43" s="37"/>
    </row>
    <row r="44" spans="1:12" x14ac:dyDescent="0.2">
      <c r="A44" s="3"/>
      <c r="C44" s="37"/>
    </row>
    <row r="45" spans="1:12" x14ac:dyDescent="0.2">
      <c r="A45" s="3"/>
      <c r="C45" s="37"/>
    </row>
    <row r="46" spans="1:12" ht="15" customHeight="1" thickBot="1" x14ac:dyDescent="0.25"/>
    <row r="47" spans="1:12" ht="15" customHeight="1" thickBot="1" x14ac:dyDescent="0.3">
      <c r="C47" s="338" t="s">
        <v>92</v>
      </c>
      <c r="D47" s="339"/>
      <c r="E47" s="49">
        <f>C39*F38</f>
        <v>4878.4784446322919</v>
      </c>
      <c r="F47" s="48" t="s">
        <v>9</v>
      </c>
    </row>
    <row r="49" spans="1:14" ht="19" x14ac:dyDescent="0.25">
      <c r="A49" s="2" t="s">
        <v>29</v>
      </c>
      <c r="L49" s="4"/>
      <c r="M49" s="4"/>
      <c r="N49" s="4"/>
    </row>
    <row r="50" spans="1:14" ht="16" customHeight="1" x14ac:dyDescent="0.2">
      <c r="B50" s="337" t="s">
        <v>62</v>
      </c>
      <c r="C50" s="337"/>
      <c r="D50" s="337"/>
      <c r="E50" s="337"/>
      <c r="F50" s="337"/>
      <c r="G50" s="337"/>
      <c r="H50" s="337"/>
      <c r="I50" s="337"/>
      <c r="L50" s="4"/>
      <c r="M50" s="4"/>
      <c r="N50" s="4"/>
    </row>
    <row r="51" spans="1:14" x14ac:dyDescent="0.2">
      <c r="B51" s="337"/>
      <c r="C51" s="337"/>
      <c r="D51" s="337"/>
      <c r="E51" s="337"/>
      <c r="F51" s="337"/>
      <c r="G51" s="337"/>
      <c r="H51" s="337"/>
      <c r="I51" s="337"/>
      <c r="L51" s="4"/>
      <c r="M51" s="4"/>
      <c r="N51" s="4"/>
    </row>
    <row r="52" spans="1:14" x14ac:dyDescent="0.2">
      <c r="L52" s="4"/>
      <c r="M52" s="4"/>
      <c r="N52" s="4"/>
    </row>
    <row r="53" spans="1:14" x14ac:dyDescent="0.2">
      <c r="B53" s="31" t="s">
        <v>30</v>
      </c>
      <c r="M53" s="37"/>
    </row>
    <row r="54" spans="1:14" x14ac:dyDescent="0.2">
      <c r="L54" s="4"/>
      <c r="M54" s="4"/>
      <c r="N54" s="4"/>
    </row>
    <row r="55" spans="1:14" x14ac:dyDescent="0.2">
      <c r="C55" s="45" t="s">
        <v>40</v>
      </c>
      <c r="D55" s="50">
        <f>SUM($D$7:$E$9)/SUM($D$7:$D$9)</f>
        <v>2.0938292476754015</v>
      </c>
      <c r="L55" s="4"/>
      <c r="M55" s="4"/>
      <c r="N55" s="4"/>
    </row>
    <row r="56" spans="1:14" x14ac:dyDescent="0.2">
      <c r="C56" s="43"/>
      <c r="L56" s="4"/>
      <c r="M56" s="4"/>
      <c r="N56" s="4"/>
    </row>
    <row r="57" spans="1:14" ht="18" x14ac:dyDescent="0.25">
      <c r="B57" s="51"/>
      <c r="C57" s="62" t="s">
        <v>92</v>
      </c>
      <c r="D57" s="52">
        <f>$D$10*(D55-1)</f>
        <v>4878.4784446322901</v>
      </c>
      <c r="E57" s="31" t="s">
        <v>41</v>
      </c>
      <c r="L57" s="4"/>
      <c r="M57" s="4"/>
      <c r="N57" s="4"/>
    </row>
    <row r="58" spans="1:14" x14ac:dyDescent="0.2">
      <c r="L58" s="4"/>
      <c r="M58" s="4"/>
      <c r="N58" s="4"/>
    </row>
    <row r="59" spans="1:14" x14ac:dyDescent="0.2">
      <c r="B59" s="291" t="s">
        <v>224</v>
      </c>
      <c r="C59" s="291"/>
      <c r="D59" s="291"/>
      <c r="E59" s="291"/>
      <c r="F59" s="291"/>
      <c r="G59" s="291"/>
      <c r="L59" s="4"/>
      <c r="M59" s="4"/>
      <c r="N59" s="4"/>
    </row>
    <row r="60" spans="1:14" x14ac:dyDescent="0.2">
      <c r="B60" s="291"/>
      <c r="C60" s="291"/>
      <c r="D60" s="291"/>
      <c r="E60" s="291"/>
      <c r="F60" s="291"/>
      <c r="G60" s="291"/>
      <c r="L60" s="4"/>
      <c r="M60" s="4"/>
      <c r="N60" s="4"/>
    </row>
    <row r="61" spans="1:14" ht="18" x14ac:dyDescent="0.25">
      <c r="B61" s="291"/>
      <c r="C61" s="292" t="s">
        <v>17</v>
      </c>
      <c r="D61" s="293" t="s">
        <v>64</v>
      </c>
      <c r="E61" s="293" t="s">
        <v>65</v>
      </c>
      <c r="F61" s="291"/>
      <c r="G61" s="291"/>
      <c r="L61" s="4"/>
      <c r="M61" s="4"/>
      <c r="N61" s="4"/>
    </row>
    <row r="62" spans="1:14" x14ac:dyDescent="0.2">
      <c r="B62" s="291"/>
      <c r="C62" s="294">
        <v>1</v>
      </c>
      <c r="D62" s="295">
        <f>C36</f>
        <v>13040</v>
      </c>
      <c r="E62" s="296">
        <f>F39</f>
        <v>0.33920924482790293</v>
      </c>
      <c r="F62" s="291" t="s">
        <v>225</v>
      </c>
      <c r="G62" s="291"/>
      <c r="L62" s="4"/>
      <c r="M62" s="4"/>
      <c r="N62" s="4"/>
    </row>
    <row r="63" spans="1:14" x14ac:dyDescent="0.2">
      <c r="B63" s="291"/>
      <c r="C63" s="297">
        <v>2</v>
      </c>
      <c r="D63" s="295">
        <f t="shared" ref="D63:D65" si="0">C37</f>
        <v>12345.562130177514</v>
      </c>
      <c r="E63" s="298">
        <f>F38</f>
        <v>0.37103699307464622</v>
      </c>
      <c r="F63" s="291"/>
      <c r="G63" s="291"/>
      <c r="L63" s="4"/>
      <c r="M63" s="4"/>
      <c r="N63" s="4"/>
    </row>
    <row r="64" spans="1:14" x14ac:dyDescent="0.2">
      <c r="B64" s="291"/>
      <c r="C64" s="297">
        <v>3</v>
      </c>
      <c r="D64" s="295">
        <f t="shared" si="0"/>
        <v>9489.6665977480006</v>
      </c>
      <c r="E64" s="298">
        <f>F37</f>
        <v>0.19696235105450613</v>
      </c>
      <c r="F64" s="291"/>
      <c r="G64" s="291"/>
      <c r="L64" s="4"/>
      <c r="M64" s="4"/>
      <c r="N64" s="4"/>
    </row>
    <row r="65" spans="1:14" x14ac:dyDescent="0.2">
      <c r="B65" s="291"/>
      <c r="C65" s="297">
        <v>4</v>
      </c>
      <c r="D65" s="295">
        <f t="shared" si="0"/>
        <v>13148.226553385275</v>
      </c>
      <c r="E65" s="298">
        <f>F36</f>
        <v>9.2791411042944791E-2</v>
      </c>
      <c r="F65" s="291"/>
      <c r="G65" s="291"/>
      <c r="L65" s="4"/>
      <c r="M65" s="4"/>
      <c r="N65" s="4"/>
    </row>
    <row r="66" spans="1:14" x14ac:dyDescent="0.2">
      <c r="L66" s="4"/>
      <c r="M66" s="4"/>
      <c r="N66" s="4"/>
    </row>
    <row r="67" spans="1:14" ht="19" x14ac:dyDescent="0.25">
      <c r="A67" s="2" t="s">
        <v>31</v>
      </c>
      <c r="L67" s="4"/>
      <c r="M67" s="4"/>
      <c r="N67" s="4"/>
    </row>
    <row r="68" spans="1:14" x14ac:dyDescent="0.2">
      <c r="B68" s="31" t="s">
        <v>32</v>
      </c>
      <c r="L68" s="4"/>
      <c r="M68" s="4"/>
      <c r="N68" s="4"/>
    </row>
    <row r="69" spans="1:14" x14ac:dyDescent="0.2">
      <c r="L69" s="4"/>
      <c r="M69" s="4"/>
      <c r="N69" s="4"/>
    </row>
    <row r="70" spans="1:14" ht="19" x14ac:dyDescent="0.25">
      <c r="A70" s="2" t="s">
        <v>33</v>
      </c>
      <c r="L70" s="4"/>
      <c r="M70" s="4"/>
      <c r="N70" s="4"/>
    </row>
    <row r="71" spans="1:14" x14ac:dyDescent="0.2">
      <c r="B71" s="31" t="s">
        <v>34</v>
      </c>
      <c r="M71" s="37"/>
    </row>
    <row r="72" spans="1:14" x14ac:dyDescent="0.2">
      <c r="L72" s="4"/>
      <c r="M72" s="4"/>
      <c r="N72" s="4"/>
    </row>
    <row r="73" spans="1:14" x14ac:dyDescent="0.2">
      <c r="L73" s="4"/>
      <c r="M73" s="4"/>
      <c r="N73" s="4"/>
    </row>
    <row r="74" spans="1:14" x14ac:dyDescent="0.2">
      <c r="M74" s="37"/>
    </row>
    <row r="75" spans="1:14" x14ac:dyDescent="0.2">
      <c r="L75" s="4"/>
      <c r="M75" s="4"/>
      <c r="N75" s="4"/>
    </row>
    <row r="76" spans="1:14" x14ac:dyDescent="0.2">
      <c r="L76" s="4"/>
      <c r="M76" s="4"/>
      <c r="N76" s="4"/>
    </row>
    <row r="77" spans="1:14" x14ac:dyDescent="0.2">
      <c r="L77" s="4"/>
      <c r="M77" s="4"/>
      <c r="N77" s="4"/>
    </row>
    <row r="78" spans="1:14" x14ac:dyDescent="0.2">
      <c r="L78" s="4"/>
      <c r="M78" s="4"/>
      <c r="N78" s="4"/>
    </row>
    <row r="79" spans="1:14" x14ac:dyDescent="0.2">
      <c r="L79" s="4"/>
      <c r="M79" s="4"/>
      <c r="N79" s="4"/>
    </row>
    <row r="80" spans="1:14" x14ac:dyDescent="0.2">
      <c r="L80" s="4"/>
      <c r="M80" s="4"/>
      <c r="N80" s="4"/>
    </row>
    <row r="81" spans="12:14" x14ac:dyDescent="0.2">
      <c r="L81" s="4"/>
      <c r="M81" s="4"/>
      <c r="N81" s="4"/>
    </row>
    <row r="82" spans="12:14" x14ac:dyDescent="0.2">
      <c r="L82" s="4"/>
      <c r="M82" s="4"/>
      <c r="N82" s="4"/>
    </row>
    <row r="83" spans="12:14" x14ac:dyDescent="0.2">
      <c r="L83" s="4"/>
      <c r="M83" s="4"/>
      <c r="N83" s="4"/>
    </row>
    <row r="84" spans="12:14" x14ac:dyDescent="0.2">
      <c r="M84" s="37"/>
    </row>
    <row r="85" spans="12:14" x14ac:dyDescent="0.2">
      <c r="L85" s="4"/>
      <c r="M85" s="4"/>
      <c r="N85" s="4"/>
    </row>
    <row r="86" spans="12:14" x14ac:dyDescent="0.2">
      <c r="L86" s="4"/>
      <c r="M86" s="4"/>
      <c r="N86" s="4"/>
    </row>
    <row r="87" spans="12:14" x14ac:dyDescent="0.2">
      <c r="L87" s="4"/>
      <c r="M87" s="4"/>
      <c r="N87" s="4"/>
    </row>
    <row r="88" spans="12:14" x14ac:dyDescent="0.2">
      <c r="L88" s="4"/>
      <c r="M88" s="4"/>
      <c r="N88" s="4"/>
    </row>
    <row r="89" spans="12:14" x14ac:dyDescent="0.2">
      <c r="L89" s="4"/>
      <c r="M89" s="4"/>
      <c r="N89" s="4"/>
    </row>
    <row r="90" spans="12:14" x14ac:dyDescent="0.2">
      <c r="L90" s="4"/>
      <c r="M90" s="4"/>
      <c r="N90" s="4"/>
    </row>
    <row r="91" spans="12:14" x14ac:dyDescent="0.2">
      <c r="L91" s="4"/>
      <c r="M91" s="4"/>
      <c r="N91" s="4"/>
    </row>
    <row r="92" spans="12:14" x14ac:dyDescent="0.2">
      <c r="L92" s="4"/>
      <c r="M92" s="4"/>
      <c r="N92" s="4"/>
    </row>
    <row r="93" spans="12:14" x14ac:dyDescent="0.2">
      <c r="L93" s="4"/>
      <c r="M93" s="4"/>
      <c r="N93" s="4"/>
    </row>
    <row r="94" spans="12:14" x14ac:dyDescent="0.2">
      <c r="M94" s="37"/>
    </row>
    <row r="95" spans="12:14" x14ac:dyDescent="0.2">
      <c r="L95" s="4"/>
      <c r="M95" s="4"/>
      <c r="N95" s="4"/>
    </row>
    <row r="96" spans="12:14" x14ac:dyDescent="0.2">
      <c r="L96" s="4"/>
      <c r="M96" s="4"/>
      <c r="N96" s="4"/>
    </row>
    <row r="97" spans="1:65" x14ac:dyDescent="0.2">
      <c r="L97" s="4"/>
      <c r="M97" s="4"/>
      <c r="N97" s="4"/>
    </row>
    <row r="98" spans="1:65" x14ac:dyDescent="0.2">
      <c r="L98" s="4"/>
      <c r="M98" s="4"/>
      <c r="N98" s="4"/>
    </row>
    <row r="99" spans="1:65" x14ac:dyDescent="0.2">
      <c r="L99" s="4"/>
      <c r="M99" s="4"/>
      <c r="N99" s="4"/>
    </row>
    <row r="100" spans="1:65" x14ac:dyDescent="0.2">
      <c r="L100" s="4"/>
      <c r="M100" s="4"/>
      <c r="N100" s="4"/>
    </row>
    <row r="101" spans="1:65" x14ac:dyDescent="0.2">
      <c r="L101" s="4"/>
      <c r="M101" s="4"/>
      <c r="N101" s="4"/>
    </row>
    <row r="102" spans="1:65" x14ac:dyDescent="0.2">
      <c r="L102" s="4"/>
      <c r="M102" s="4"/>
      <c r="N102" s="4"/>
    </row>
    <row r="103" spans="1:65" x14ac:dyDescent="0.2">
      <c r="L103" s="4"/>
      <c r="M103" s="4"/>
      <c r="N103" s="4"/>
    </row>
    <row r="104" spans="1:65" x14ac:dyDescent="0.2">
      <c r="M104" s="37"/>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sheetData>
  <mergeCells count="4">
    <mergeCell ref="C5:G5"/>
    <mergeCell ref="B24:I25"/>
    <mergeCell ref="B50:I51"/>
    <mergeCell ref="C47:D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234"/>
  <sheetViews>
    <sheetView showGridLines="0" zoomScale="120" zoomScaleNormal="120" workbookViewId="0"/>
  </sheetViews>
  <sheetFormatPr baseColWidth="10" defaultColWidth="10.83203125" defaultRowHeight="16" x14ac:dyDescent="0.2"/>
  <cols>
    <col min="1" max="2" width="10.83203125" style="31"/>
    <col min="3" max="3" width="11.6640625" style="31" bestFit="1" customWidth="1"/>
    <col min="4" max="6" width="10.83203125" style="31"/>
    <col min="7" max="9" width="9.5" style="31" customWidth="1"/>
    <col min="10" max="12" width="10.83203125" style="31"/>
    <col min="13" max="13" width="12.1640625" style="31" customWidth="1"/>
    <col min="14" max="16384" width="10.83203125" style="31"/>
  </cols>
  <sheetData>
    <row r="1" spans="1:10" ht="19" x14ac:dyDescent="0.25">
      <c r="A1" s="1" t="s">
        <v>47</v>
      </c>
      <c r="B1" s="29"/>
      <c r="C1" s="29"/>
      <c r="D1" s="29"/>
      <c r="E1" s="29"/>
      <c r="F1" s="29"/>
      <c r="G1" s="29"/>
      <c r="H1" s="29"/>
      <c r="I1" s="29"/>
      <c r="J1" s="30"/>
    </row>
    <row r="2" spans="1:10" x14ac:dyDescent="0.2">
      <c r="A2" s="5"/>
      <c r="B2" s="29"/>
      <c r="C2" s="29"/>
      <c r="D2" s="29"/>
      <c r="E2" s="29"/>
      <c r="F2" s="29"/>
      <c r="G2" s="29"/>
      <c r="H2" s="29"/>
      <c r="I2" s="29"/>
      <c r="J2" s="30"/>
    </row>
    <row r="3" spans="1:10" x14ac:dyDescent="0.2">
      <c r="A3" s="5"/>
      <c r="B3" s="29" t="s">
        <v>79</v>
      </c>
      <c r="C3" s="29"/>
      <c r="D3" s="29"/>
      <c r="E3" s="29"/>
      <c r="F3" s="29"/>
      <c r="G3" s="29"/>
      <c r="H3" s="29"/>
      <c r="I3" s="29"/>
      <c r="J3" s="30"/>
    </row>
    <row r="4" spans="1:10" x14ac:dyDescent="0.2">
      <c r="A4" s="5"/>
      <c r="B4" s="29"/>
      <c r="C4" s="29"/>
      <c r="D4" s="29"/>
      <c r="E4" s="29"/>
      <c r="F4" s="29"/>
      <c r="G4" s="29"/>
      <c r="H4" s="29"/>
      <c r="I4" s="29"/>
      <c r="J4" s="30"/>
    </row>
    <row r="5" spans="1:10" x14ac:dyDescent="0.2">
      <c r="A5" s="5"/>
      <c r="B5" s="29"/>
      <c r="C5" s="333" t="s">
        <v>10</v>
      </c>
      <c r="D5" s="334"/>
      <c r="E5" s="334"/>
      <c r="F5" s="334"/>
      <c r="G5" s="335"/>
      <c r="H5" s="29"/>
      <c r="I5" s="29"/>
      <c r="J5" s="30"/>
    </row>
    <row r="6" spans="1:10" ht="34" x14ac:dyDescent="0.2">
      <c r="A6" s="5"/>
      <c r="B6" s="29"/>
      <c r="C6" s="23" t="s">
        <v>15</v>
      </c>
      <c r="D6" s="14">
        <v>1</v>
      </c>
      <c r="E6" s="14">
        <v>2</v>
      </c>
      <c r="F6" s="14">
        <v>3</v>
      </c>
      <c r="G6" s="15">
        <v>4</v>
      </c>
      <c r="H6" s="29"/>
      <c r="I6" s="29"/>
      <c r="J6" s="30"/>
    </row>
    <row r="7" spans="1:10" x14ac:dyDescent="0.2">
      <c r="A7" s="5"/>
      <c r="B7" s="29"/>
      <c r="C7" s="24">
        <v>1</v>
      </c>
      <c r="D7" s="16">
        <v>26300</v>
      </c>
      <c r="E7" s="16">
        <v>48655</v>
      </c>
      <c r="F7" s="16">
        <v>60820</v>
      </c>
      <c r="G7" s="17">
        <v>63250</v>
      </c>
      <c r="H7" s="29"/>
      <c r="I7" s="29"/>
      <c r="J7" s="30"/>
    </row>
    <row r="8" spans="1:10" x14ac:dyDescent="0.2">
      <c r="A8" s="5"/>
      <c r="B8" s="29"/>
      <c r="C8" s="25">
        <v>2</v>
      </c>
      <c r="D8" s="18">
        <v>19200</v>
      </c>
      <c r="E8" s="18">
        <v>40320</v>
      </c>
      <c r="F8" s="18">
        <v>52400</v>
      </c>
      <c r="G8" s="19"/>
      <c r="H8" s="29"/>
      <c r="I8" s="29"/>
      <c r="J8" s="30"/>
    </row>
    <row r="9" spans="1:10" x14ac:dyDescent="0.2">
      <c r="A9" s="5"/>
      <c r="B9" s="29"/>
      <c r="C9" s="25">
        <v>3</v>
      </c>
      <c r="D9" s="18">
        <v>22800</v>
      </c>
      <c r="E9" s="18">
        <v>38750</v>
      </c>
      <c r="F9" s="6"/>
      <c r="G9" s="19"/>
      <c r="H9" s="29"/>
      <c r="I9" s="29"/>
      <c r="J9" s="30"/>
    </row>
    <row r="10" spans="1:10" x14ac:dyDescent="0.2">
      <c r="A10" s="5"/>
      <c r="B10" s="29"/>
      <c r="C10" s="26">
        <v>4</v>
      </c>
      <c r="D10" s="20">
        <v>29100</v>
      </c>
      <c r="E10" s="21"/>
      <c r="F10" s="21"/>
      <c r="G10" s="22"/>
      <c r="H10" s="29"/>
      <c r="I10" s="29"/>
      <c r="J10" s="30"/>
    </row>
    <row r="11" spans="1:10" x14ac:dyDescent="0.2">
      <c r="A11" s="5"/>
      <c r="B11" s="29"/>
      <c r="C11" s="29"/>
      <c r="D11" s="29"/>
      <c r="E11" s="29"/>
      <c r="F11" s="29"/>
      <c r="G11" s="29"/>
      <c r="H11" s="29"/>
      <c r="I11" s="29"/>
      <c r="J11" s="30"/>
    </row>
    <row r="12" spans="1:10" x14ac:dyDescent="0.2">
      <c r="A12" s="5"/>
      <c r="B12" s="29"/>
      <c r="C12" s="29"/>
      <c r="D12" s="29"/>
      <c r="E12" s="29"/>
      <c r="F12" s="29"/>
      <c r="G12" s="29"/>
      <c r="H12" s="29"/>
      <c r="I12" s="29"/>
      <c r="J12" s="30"/>
    </row>
    <row r="13" spans="1:10" x14ac:dyDescent="0.2">
      <c r="A13" s="5"/>
      <c r="B13" s="29" t="s">
        <v>0</v>
      </c>
      <c r="C13" s="29"/>
      <c r="D13" s="29"/>
      <c r="E13" s="29"/>
      <c r="F13" s="29"/>
      <c r="G13" s="29"/>
      <c r="H13" s="29"/>
      <c r="I13" s="29"/>
      <c r="J13" s="30"/>
    </row>
    <row r="14" spans="1:10" x14ac:dyDescent="0.2">
      <c r="A14" s="5"/>
      <c r="B14" s="29" t="s">
        <v>11</v>
      </c>
      <c r="C14" s="29"/>
      <c r="D14" s="29"/>
      <c r="E14" s="29"/>
      <c r="F14" s="29"/>
      <c r="G14" s="29"/>
      <c r="H14" s="29"/>
      <c r="I14" s="29"/>
      <c r="J14" s="30"/>
    </row>
    <row r="15" spans="1:10" x14ac:dyDescent="0.2">
      <c r="A15" s="5"/>
      <c r="B15" s="29"/>
      <c r="C15" s="29"/>
      <c r="D15" s="29"/>
      <c r="E15" s="29"/>
      <c r="F15" s="29"/>
      <c r="G15" s="29"/>
      <c r="H15" s="29"/>
      <c r="I15" s="29"/>
      <c r="J15" s="30"/>
    </row>
    <row r="16" spans="1:10" x14ac:dyDescent="0.2">
      <c r="A16" s="5"/>
      <c r="B16" s="29" t="s">
        <v>1</v>
      </c>
      <c r="C16" s="29"/>
      <c r="D16" s="29"/>
      <c r="E16" s="29"/>
      <c r="F16" s="29"/>
      <c r="G16" s="29"/>
      <c r="H16" s="29"/>
      <c r="I16" s="29"/>
      <c r="J16" s="30"/>
    </row>
    <row r="17" spans="1:13" x14ac:dyDescent="0.2">
      <c r="A17" s="5"/>
      <c r="B17" s="29" t="s">
        <v>12</v>
      </c>
      <c r="C17" s="29"/>
      <c r="D17" s="29"/>
      <c r="E17" s="29"/>
      <c r="F17" s="29"/>
      <c r="G17" s="29"/>
      <c r="H17" s="29"/>
      <c r="I17" s="29"/>
      <c r="J17" s="30"/>
    </row>
    <row r="18" spans="1:13" ht="17" thickBot="1" x14ac:dyDescent="0.25">
      <c r="A18" s="33"/>
      <c r="B18" s="34"/>
      <c r="C18" s="35"/>
      <c r="D18" s="35"/>
      <c r="E18" s="35"/>
      <c r="F18" s="34"/>
      <c r="G18" s="34"/>
      <c r="H18" s="34"/>
      <c r="I18" s="34"/>
      <c r="J18" s="36"/>
    </row>
    <row r="20" spans="1:13" ht="19" x14ac:dyDescent="0.25">
      <c r="A20" s="2" t="s">
        <v>2</v>
      </c>
    </row>
    <row r="21" spans="1:13" x14ac:dyDescent="0.2">
      <c r="A21" s="3" t="s">
        <v>22</v>
      </c>
      <c r="C21" s="37"/>
    </row>
    <row r="22" spans="1:13" x14ac:dyDescent="0.2">
      <c r="A22" s="28" t="s">
        <v>49</v>
      </c>
      <c r="B22" s="7" t="s">
        <v>82</v>
      </c>
      <c r="C22" s="37"/>
    </row>
    <row r="23" spans="1:13" x14ac:dyDescent="0.2">
      <c r="A23" s="3"/>
      <c r="C23" s="37"/>
    </row>
    <row r="24" spans="1:13" x14ac:dyDescent="0.2">
      <c r="A24" s="3"/>
      <c r="C24" s="37"/>
    </row>
    <row r="25" spans="1:13" x14ac:dyDescent="0.2">
      <c r="A25" s="3"/>
      <c r="C25" s="37"/>
    </row>
    <row r="26" spans="1:13" x14ac:dyDescent="0.2">
      <c r="A26" s="3"/>
      <c r="C26" s="37"/>
    </row>
    <row r="27" spans="1:13" x14ac:dyDescent="0.2">
      <c r="C27" s="11"/>
      <c r="D27" s="27">
        <v>1</v>
      </c>
      <c r="E27" s="27">
        <v>2</v>
      </c>
      <c r="F27" s="27">
        <v>3</v>
      </c>
      <c r="M27" s="4"/>
    </row>
    <row r="28" spans="1:13" x14ac:dyDescent="0.2">
      <c r="C28" s="10">
        <v>1</v>
      </c>
      <c r="D28" s="8">
        <f>E7/D7-1</f>
        <v>0.85000000000000009</v>
      </c>
      <c r="E28" s="8">
        <f>F7/E7-1</f>
        <v>0.25002569109032979</v>
      </c>
      <c r="F28" s="8">
        <f>G7/F7-1</f>
        <v>3.995396251233152E-2</v>
      </c>
      <c r="M28" s="4"/>
    </row>
    <row r="29" spans="1:13" x14ac:dyDescent="0.2">
      <c r="C29" s="10">
        <v>2</v>
      </c>
      <c r="D29" s="8">
        <f>E8/D8-1</f>
        <v>1.1000000000000001</v>
      </c>
      <c r="E29" s="8">
        <f>F8/E8-1</f>
        <v>0.29960317460317465</v>
      </c>
      <c r="F29" s="8"/>
      <c r="M29" s="4"/>
    </row>
    <row r="30" spans="1:13" x14ac:dyDescent="0.2">
      <c r="C30" s="10">
        <v>3</v>
      </c>
      <c r="D30" s="8">
        <f>E9/D9-1</f>
        <v>0.69956140350877183</v>
      </c>
      <c r="E30" s="8"/>
      <c r="F30" s="8"/>
      <c r="M30" s="4"/>
    </row>
    <row r="31" spans="1:13" x14ac:dyDescent="0.2">
      <c r="L31" s="4"/>
    </row>
    <row r="32" spans="1:13" ht="15.75" customHeight="1" x14ac:dyDescent="0.2">
      <c r="A32" s="28" t="s">
        <v>50</v>
      </c>
      <c r="B32" s="340" t="s">
        <v>63</v>
      </c>
      <c r="C32" s="340"/>
      <c r="D32" s="340"/>
      <c r="E32" s="340"/>
      <c r="F32" s="340"/>
      <c r="G32" s="340"/>
      <c r="H32" s="340"/>
      <c r="I32" s="340"/>
      <c r="L32" s="4"/>
    </row>
    <row r="33" spans="1:12" x14ac:dyDescent="0.2">
      <c r="A33" s="28"/>
      <c r="B33" s="340"/>
      <c r="C33" s="340"/>
      <c r="D33" s="340"/>
      <c r="E33" s="340"/>
      <c r="F33" s="340"/>
      <c r="G33" s="340"/>
      <c r="H33" s="340"/>
      <c r="I33" s="340"/>
      <c r="L33" s="4"/>
    </row>
    <row r="34" spans="1:12" x14ac:dyDescent="0.2">
      <c r="A34" s="28"/>
      <c r="B34" s="54"/>
      <c r="C34" s="54"/>
      <c r="D34" s="54"/>
      <c r="E34" s="54"/>
      <c r="F34" s="54"/>
      <c r="G34" s="54"/>
      <c r="H34" s="54"/>
      <c r="I34" s="54"/>
      <c r="L34" s="4"/>
    </row>
    <row r="35" spans="1:12" x14ac:dyDescent="0.2">
      <c r="A35" s="28"/>
      <c r="B35" s="54"/>
      <c r="C35" s="54"/>
      <c r="D35" s="54"/>
      <c r="E35" s="54"/>
      <c r="F35" s="54"/>
      <c r="G35" s="54"/>
      <c r="H35" s="54"/>
      <c r="I35" s="54"/>
      <c r="L35" s="4"/>
    </row>
    <row r="36" spans="1:12" x14ac:dyDescent="0.2">
      <c r="A36" s="28"/>
      <c r="B36" s="54"/>
      <c r="C36" s="54"/>
      <c r="D36" s="54"/>
      <c r="E36" s="54"/>
      <c r="F36" s="54"/>
      <c r="G36" s="54"/>
      <c r="H36" s="54"/>
      <c r="I36" s="54"/>
      <c r="L36" s="4"/>
    </row>
    <row r="37" spans="1:12" x14ac:dyDescent="0.2">
      <c r="A37" s="28"/>
      <c r="B37" s="54"/>
      <c r="C37" s="54"/>
      <c r="D37" s="54"/>
      <c r="E37" s="54"/>
      <c r="F37" s="54"/>
      <c r="G37" s="54"/>
      <c r="H37" s="54"/>
      <c r="I37" s="54"/>
      <c r="L37" s="4"/>
    </row>
    <row r="38" spans="1:12" x14ac:dyDescent="0.2">
      <c r="A38" s="28"/>
      <c r="B38" s="54"/>
      <c r="C38" s="54"/>
      <c r="D38" s="54"/>
      <c r="E38" s="54"/>
      <c r="F38" s="54"/>
      <c r="G38" s="54"/>
      <c r="H38" s="54"/>
      <c r="I38" s="54"/>
      <c r="L38" s="4"/>
    </row>
    <row r="39" spans="1:12" x14ac:dyDescent="0.2">
      <c r="A39" s="28"/>
      <c r="B39" s="54"/>
      <c r="C39" s="54"/>
      <c r="D39" s="54"/>
      <c r="E39" s="54"/>
      <c r="F39" s="54"/>
      <c r="G39" s="54"/>
      <c r="H39" s="54"/>
      <c r="I39" s="54"/>
      <c r="L39" s="4"/>
    </row>
    <row r="40" spans="1:12" x14ac:dyDescent="0.2">
      <c r="A40" s="28"/>
      <c r="B40" s="54"/>
      <c r="C40" s="54"/>
      <c r="D40" s="54"/>
      <c r="E40" s="54"/>
      <c r="F40" s="54"/>
      <c r="G40" s="54"/>
      <c r="H40" s="54"/>
      <c r="I40" s="54"/>
      <c r="L40" s="4"/>
    </row>
    <row r="41" spans="1:12" x14ac:dyDescent="0.2">
      <c r="A41" s="28"/>
      <c r="B41" s="54"/>
      <c r="C41" s="54"/>
      <c r="D41" s="54"/>
      <c r="E41" s="54"/>
      <c r="F41" s="54"/>
      <c r="G41" s="54"/>
      <c r="H41" s="54"/>
      <c r="I41" s="54"/>
      <c r="L41" s="4"/>
    </row>
    <row r="42" spans="1:12" x14ac:dyDescent="0.2">
      <c r="A42" s="28"/>
      <c r="B42" s="54"/>
      <c r="C42" s="54"/>
      <c r="D42" s="54"/>
      <c r="E42" s="54"/>
      <c r="F42" s="54"/>
      <c r="G42" s="54"/>
      <c r="H42" s="54"/>
      <c r="I42" s="54"/>
      <c r="L42" s="4"/>
    </row>
    <row r="43" spans="1:12" x14ac:dyDescent="0.2">
      <c r="C43" s="59">
        <f>D28</f>
        <v>0.85000000000000009</v>
      </c>
      <c r="E43" s="60">
        <f>D7</f>
        <v>26300</v>
      </c>
      <c r="F43" s="54"/>
      <c r="G43" s="54"/>
      <c r="H43" s="54"/>
      <c r="I43" s="54"/>
      <c r="L43" s="4"/>
    </row>
    <row r="44" spans="1:12" x14ac:dyDescent="0.2">
      <c r="C44" s="59">
        <f>E28</f>
        <v>0.25002569109032979</v>
      </c>
      <c r="E44" s="60">
        <f>E7</f>
        <v>48655</v>
      </c>
      <c r="F44" s="54"/>
      <c r="G44" s="54"/>
      <c r="H44" s="54"/>
      <c r="I44" s="54"/>
      <c r="L44" s="4"/>
    </row>
    <row r="45" spans="1:12" x14ac:dyDescent="0.2">
      <c r="B45" s="9" t="s">
        <v>13</v>
      </c>
      <c r="C45" s="59">
        <f>F28</f>
        <v>3.995396251233152E-2</v>
      </c>
      <c r="D45" s="9" t="s">
        <v>14</v>
      </c>
      <c r="E45" s="60">
        <f>F7</f>
        <v>60820</v>
      </c>
      <c r="F45" s="54"/>
      <c r="G45" s="54"/>
      <c r="H45" s="54"/>
      <c r="I45" s="54"/>
      <c r="L45" s="4"/>
    </row>
    <row r="46" spans="1:12" x14ac:dyDescent="0.2">
      <c r="C46" s="59">
        <f>D29</f>
        <v>1.1000000000000001</v>
      </c>
      <c r="E46" s="60">
        <f>D8</f>
        <v>19200</v>
      </c>
      <c r="F46" s="54"/>
      <c r="G46" s="54"/>
      <c r="H46" s="54"/>
      <c r="I46" s="54"/>
      <c r="L46" s="4"/>
    </row>
    <row r="47" spans="1:12" x14ac:dyDescent="0.2">
      <c r="C47" s="59">
        <f>E29</f>
        <v>0.29960317460317465</v>
      </c>
      <c r="E47" s="60">
        <f>E8</f>
        <v>40320</v>
      </c>
      <c r="F47" s="54"/>
      <c r="G47" s="54"/>
      <c r="H47" s="54"/>
      <c r="I47" s="54"/>
      <c r="L47" s="4"/>
    </row>
    <row r="48" spans="1:12" x14ac:dyDescent="0.2">
      <c r="C48" s="59">
        <f>D30</f>
        <v>0.69956140350877183</v>
      </c>
      <c r="E48" s="60">
        <f>D9</f>
        <v>22800</v>
      </c>
      <c r="F48" s="54"/>
      <c r="G48" s="54"/>
      <c r="H48" s="54"/>
      <c r="I48" s="54"/>
      <c r="L48" s="4"/>
    </row>
    <row r="49" spans="1:12" x14ac:dyDescent="0.2">
      <c r="L49" s="4"/>
    </row>
    <row r="50" spans="1:12" x14ac:dyDescent="0.2">
      <c r="A50" s="28" t="s">
        <v>51</v>
      </c>
      <c r="B50" s="340" t="s">
        <v>68</v>
      </c>
      <c r="C50" s="340"/>
      <c r="D50" s="340"/>
      <c r="E50" s="340"/>
      <c r="F50" s="340"/>
      <c r="G50" s="340"/>
      <c r="H50" s="340"/>
      <c r="I50" s="340"/>
      <c r="L50" s="4"/>
    </row>
    <row r="51" spans="1:12" x14ac:dyDescent="0.2">
      <c r="A51" s="28"/>
      <c r="B51" s="340"/>
      <c r="C51" s="340"/>
      <c r="D51" s="340"/>
      <c r="E51" s="340"/>
      <c r="F51" s="340"/>
      <c r="G51" s="340"/>
      <c r="H51" s="340"/>
      <c r="I51" s="340"/>
      <c r="L51" s="4"/>
    </row>
    <row r="52" spans="1:12" x14ac:dyDescent="0.2">
      <c r="A52" s="28"/>
      <c r="B52" s="53"/>
      <c r="C52" s="53"/>
      <c r="D52" s="53"/>
      <c r="E52" s="53"/>
      <c r="F52" s="53"/>
      <c r="G52" s="53"/>
      <c r="H52" s="53"/>
      <c r="I52" s="53"/>
      <c r="L52" s="4"/>
    </row>
    <row r="53" spans="1:12" x14ac:dyDescent="0.2">
      <c r="A53" s="28"/>
      <c r="B53" s="53"/>
      <c r="C53" s="53"/>
      <c r="D53" s="53"/>
      <c r="E53" s="53"/>
      <c r="F53" s="53"/>
      <c r="G53" s="53"/>
      <c r="H53" s="53"/>
      <c r="I53" s="53"/>
      <c r="L53" s="4"/>
    </row>
    <row r="54" spans="1:12" x14ac:dyDescent="0.2">
      <c r="A54" s="28"/>
      <c r="B54" s="53"/>
      <c r="C54" s="53"/>
      <c r="D54" s="53"/>
      <c r="E54" s="53"/>
      <c r="F54" s="53"/>
      <c r="G54" s="53"/>
      <c r="H54" s="53"/>
      <c r="I54" s="53"/>
      <c r="L54" s="4"/>
    </row>
    <row r="55" spans="1:12" x14ac:dyDescent="0.2">
      <c r="A55" s="28"/>
      <c r="B55" s="53"/>
      <c r="C55" s="53"/>
      <c r="D55" s="53"/>
      <c r="E55" s="53"/>
      <c r="F55" s="53"/>
      <c r="G55" s="53"/>
      <c r="H55" s="53"/>
      <c r="I55" s="53"/>
      <c r="L55" s="4"/>
    </row>
    <row r="56" spans="1:12" x14ac:dyDescent="0.2">
      <c r="A56" s="28"/>
      <c r="B56" s="53"/>
      <c r="C56" s="53"/>
      <c r="D56" s="53"/>
      <c r="E56" s="53"/>
      <c r="F56" s="53"/>
      <c r="G56" s="53"/>
      <c r="H56" s="53"/>
      <c r="I56" s="53"/>
      <c r="L56" s="4"/>
    </row>
    <row r="57" spans="1:12" x14ac:dyDescent="0.2">
      <c r="A57" s="28"/>
      <c r="B57" s="53"/>
      <c r="C57" s="53"/>
      <c r="D57" s="53"/>
      <c r="E57" s="53"/>
      <c r="F57" s="53"/>
      <c r="G57" s="53"/>
      <c r="H57" s="53"/>
      <c r="I57" s="53"/>
      <c r="L57" s="4"/>
    </row>
    <row r="58" spans="1:12" x14ac:dyDescent="0.2">
      <c r="A58" s="28"/>
      <c r="B58" s="53"/>
      <c r="C58" s="53"/>
      <c r="D58" s="53"/>
      <c r="E58" s="53"/>
      <c r="F58" s="53"/>
      <c r="G58" s="53"/>
      <c r="H58" s="53"/>
      <c r="I58" s="53"/>
      <c r="L58" s="4"/>
    </row>
    <row r="59" spans="1:12" x14ac:dyDescent="0.2">
      <c r="A59" s="28" t="s">
        <v>52</v>
      </c>
      <c r="B59" s="7" t="s">
        <v>80</v>
      </c>
      <c r="C59" s="53"/>
      <c r="D59" s="53"/>
      <c r="E59" s="53"/>
      <c r="F59" s="53"/>
      <c r="G59" s="53"/>
      <c r="H59" s="53"/>
      <c r="I59" s="53"/>
      <c r="L59" s="4"/>
    </row>
    <row r="60" spans="1:12" x14ac:dyDescent="0.2">
      <c r="L60" s="4"/>
    </row>
    <row r="61" spans="1:12" x14ac:dyDescent="0.2">
      <c r="L61" s="4"/>
    </row>
    <row r="62" spans="1:12" x14ac:dyDescent="0.2">
      <c r="L62" s="4"/>
    </row>
    <row r="63" spans="1:12" x14ac:dyDescent="0.2">
      <c r="L63" s="4"/>
    </row>
    <row r="64" spans="1:12" x14ac:dyDescent="0.2">
      <c r="L64" s="4"/>
    </row>
    <row r="65" spans="1:12" x14ac:dyDescent="0.2">
      <c r="L65" s="4"/>
    </row>
    <row r="66" spans="1:12" ht="18" x14ac:dyDescent="0.25">
      <c r="B66" s="31" t="s">
        <v>69</v>
      </c>
      <c r="L66" s="4"/>
    </row>
    <row r="67" spans="1:12" x14ac:dyDescent="0.2">
      <c r="L67" s="4"/>
    </row>
    <row r="68" spans="1:12" x14ac:dyDescent="0.2">
      <c r="A68" s="3" t="s">
        <v>23</v>
      </c>
      <c r="C68" s="37"/>
    </row>
    <row r="70" spans="1:12" ht="18" x14ac:dyDescent="0.25">
      <c r="A70" s="28" t="s">
        <v>53</v>
      </c>
      <c r="B70" s="7" t="s">
        <v>70</v>
      </c>
    </row>
    <row r="71" spans="1:12" x14ac:dyDescent="0.2">
      <c r="A71" s="28"/>
      <c r="B71" s="7"/>
    </row>
    <row r="72" spans="1:12" x14ac:dyDescent="0.2">
      <c r="A72" s="28"/>
      <c r="B72" s="38"/>
      <c r="C72" s="39">
        <v>1</v>
      </c>
      <c r="D72" s="39">
        <v>2</v>
      </c>
      <c r="E72" s="39">
        <v>3</v>
      </c>
      <c r="F72" s="39">
        <v>4</v>
      </c>
      <c r="I72" s="58">
        <f>D7</f>
        <v>26300</v>
      </c>
    </row>
    <row r="73" spans="1:12" x14ac:dyDescent="0.2">
      <c r="A73" s="28"/>
      <c r="B73" s="40">
        <v>1</v>
      </c>
      <c r="C73" s="41">
        <v>26300</v>
      </c>
      <c r="D73" s="41">
        <v>22355</v>
      </c>
      <c r="E73" s="41">
        <v>12165</v>
      </c>
      <c r="F73" s="41">
        <v>2430</v>
      </c>
      <c r="I73" s="58">
        <f>E7-D7</f>
        <v>22355</v>
      </c>
    </row>
    <row r="74" spans="1:12" x14ac:dyDescent="0.2">
      <c r="A74" s="28"/>
      <c r="B74" s="40">
        <v>2</v>
      </c>
      <c r="C74" s="41">
        <v>19200</v>
      </c>
      <c r="D74" s="41">
        <v>21120</v>
      </c>
      <c r="E74" s="41">
        <v>12080</v>
      </c>
      <c r="F74" s="45"/>
      <c r="I74" s="58">
        <f>F7-E7</f>
        <v>12165</v>
      </c>
    </row>
    <row r="75" spans="1:12" x14ac:dyDescent="0.2">
      <c r="A75" s="28"/>
      <c r="B75" s="40">
        <v>3</v>
      </c>
      <c r="C75" s="41">
        <v>22800</v>
      </c>
      <c r="D75" s="41">
        <v>15950</v>
      </c>
      <c r="E75" s="45"/>
      <c r="F75" s="45"/>
      <c r="G75" s="9"/>
      <c r="I75" s="58">
        <f>G7-F7</f>
        <v>2430</v>
      </c>
    </row>
    <row r="76" spans="1:12" x14ac:dyDescent="0.2">
      <c r="A76" s="28"/>
      <c r="B76" s="40">
        <v>4</v>
      </c>
      <c r="C76" s="41">
        <v>29100</v>
      </c>
      <c r="I76" s="58">
        <f>D8</f>
        <v>19200</v>
      </c>
      <c r="K76"/>
    </row>
    <row r="77" spans="1:12" x14ac:dyDescent="0.2">
      <c r="A77" s="28"/>
      <c r="B77" s="7"/>
      <c r="H77" s="45" t="s">
        <v>71</v>
      </c>
      <c r="I77" s="58">
        <f>E8-D8</f>
        <v>21120</v>
      </c>
    </row>
    <row r="78" spans="1:12" x14ac:dyDescent="0.2">
      <c r="A78" s="28"/>
      <c r="B78" s="7"/>
      <c r="I78" s="58">
        <f>F8-E8</f>
        <v>12080</v>
      </c>
    </row>
    <row r="79" spans="1:12" x14ac:dyDescent="0.2">
      <c r="A79" s="28"/>
      <c r="B79" s="7"/>
      <c r="I79" s="58">
        <f>D9</f>
        <v>22800</v>
      </c>
    </row>
    <row r="80" spans="1:12" x14ac:dyDescent="0.2">
      <c r="B80" s="7"/>
      <c r="I80" s="58">
        <f>E9-D9</f>
        <v>15950</v>
      </c>
    </row>
    <row r="81" spans="1:9" x14ac:dyDescent="0.2">
      <c r="B81" s="7"/>
      <c r="I81" s="58">
        <f>D10</f>
        <v>29100</v>
      </c>
    </row>
    <row r="82" spans="1:9" x14ac:dyDescent="0.2">
      <c r="B82" s="7"/>
      <c r="H82" s="56"/>
    </row>
    <row r="83" spans="1:9" x14ac:dyDescent="0.2">
      <c r="B83" s="7"/>
      <c r="H83" s="56"/>
    </row>
    <row r="84" spans="1:9" x14ac:dyDescent="0.2">
      <c r="A84" s="28" t="s">
        <v>53</v>
      </c>
      <c r="B84" s="340" t="s">
        <v>72</v>
      </c>
      <c r="C84" s="340"/>
      <c r="D84" s="340"/>
      <c r="E84" s="340"/>
      <c r="F84" s="340"/>
      <c r="G84" s="340"/>
      <c r="H84" s="340"/>
      <c r="I84" s="340"/>
    </row>
    <row r="85" spans="1:9" x14ac:dyDescent="0.2">
      <c r="B85" s="340"/>
      <c r="C85" s="340"/>
      <c r="D85" s="340"/>
      <c r="E85" s="340"/>
      <c r="F85" s="340"/>
      <c r="G85" s="340"/>
      <c r="H85" s="340"/>
      <c r="I85" s="340"/>
    </row>
    <row r="86" spans="1:9" x14ac:dyDescent="0.2">
      <c r="B86" s="53"/>
      <c r="C86" s="53"/>
      <c r="D86" s="53"/>
      <c r="E86" s="53"/>
      <c r="F86" s="53"/>
      <c r="G86" s="53"/>
      <c r="H86" s="53"/>
      <c r="I86" s="53"/>
    </row>
    <row r="87" spans="1:9" x14ac:dyDescent="0.2">
      <c r="B87" s="53"/>
      <c r="C87" s="53"/>
      <c r="D87" s="53"/>
      <c r="E87" s="53"/>
      <c r="F87" s="53"/>
      <c r="G87" s="53"/>
      <c r="H87" s="53"/>
      <c r="I87" s="53"/>
    </row>
    <row r="88" spans="1:9" x14ac:dyDescent="0.2">
      <c r="B88" s="53"/>
      <c r="C88" s="53"/>
      <c r="D88" s="53"/>
      <c r="E88" s="53"/>
      <c r="F88" s="53"/>
      <c r="G88" s="53"/>
      <c r="H88" s="53"/>
      <c r="I88" s="53"/>
    </row>
    <row r="89" spans="1:9" ht="17" x14ac:dyDescent="0.2">
      <c r="B89" s="53"/>
      <c r="C89" s="53"/>
      <c r="D89" s="53"/>
      <c r="E89" s="53"/>
      <c r="F89" s="53"/>
      <c r="G89" s="53" t="s">
        <v>73</v>
      </c>
      <c r="H89" s="53"/>
      <c r="I89" s="53"/>
    </row>
    <row r="90" spans="1:9" x14ac:dyDescent="0.2">
      <c r="B90" s="53"/>
      <c r="C90" s="53"/>
      <c r="D90" s="53"/>
      <c r="E90" s="53"/>
      <c r="F90" s="53"/>
      <c r="G90" s="337" t="s">
        <v>74</v>
      </c>
      <c r="H90" s="337"/>
      <c r="I90" s="337"/>
    </row>
    <row r="91" spans="1:9" x14ac:dyDescent="0.2">
      <c r="B91"/>
      <c r="C91" s="53"/>
      <c r="D91" s="53"/>
      <c r="E91" s="53"/>
      <c r="F91" s="53"/>
      <c r="G91" s="337"/>
      <c r="H91" s="337"/>
      <c r="I91" s="337"/>
    </row>
    <row r="92" spans="1:9" x14ac:dyDescent="0.2">
      <c r="B92" s="53"/>
      <c r="C92" s="53"/>
      <c r="D92" s="53"/>
      <c r="E92" s="53"/>
      <c r="F92" s="53"/>
      <c r="G92" s="337"/>
      <c r="H92" s="337"/>
      <c r="I92" s="337"/>
    </row>
    <row r="93" spans="1:9" x14ac:dyDescent="0.2">
      <c r="B93" s="53"/>
      <c r="C93" s="53"/>
      <c r="D93" s="53"/>
      <c r="E93" s="53"/>
      <c r="F93" s="53"/>
      <c r="G93" s="337"/>
      <c r="H93" s="337"/>
      <c r="I93" s="337"/>
    </row>
    <row r="94" spans="1:9" x14ac:dyDescent="0.2">
      <c r="B94" s="53"/>
      <c r="C94" s="53"/>
      <c r="D94" s="53"/>
      <c r="E94" s="53"/>
      <c r="F94" s="53"/>
      <c r="G94" s="53"/>
      <c r="H94" s="53"/>
      <c r="I94" s="53"/>
    </row>
    <row r="95" spans="1:9" x14ac:dyDescent="0.2">
      <c r="B95" s="53"/>
      <c r="C95" s="53"/>
      <c r="D95" s="53"/>
      <c r="E95" s="53"/>
      <c r="F95" s="53"/>
      <c r="G95" s="53"/>
      <c r="H95" s="53"/>
      <c r="I95" s="53"/>
    </row>
    <row r="96" spans="1:9" x14ac:dyDescent="0.2">
      <c r="B96" s="53"/>
      <c r="C96" s="53"/>
      <c r="D96" s="53"/>
      <c r="E96" s="53"/>
      <c r="F96" s="53"/>
      <c r="G96" s="53"/>
      <c r="H96" s="53"/>
      <c r="I96" s="53"/>
    </row>
    <row r="97" spans="1:14" x14ac:dyDescent="0.2">
      <c r="B97" s="53"/>
      <c r="C97" s="53"/>
      <c r="D97" s="53"/>
      <c r="E97" s="53"/>
      <c r="F97" s="53"/>
      <c r="G97" s="53"/>
      <c r="H97" s="53"/>
      <c r="I97" s="53"/>
    </row>
    <row r="99" spans="1:14" x14ac:dyDescent="0.2">
      <c r="A99" s="28" t="s">
        <v>54</v>
      </c>
      <c r="B99" s="7" t="s">
        <v>24</v>
      </c>
    </row>
    <row r="100" spans="1:14" x14ac:dyDescent="0.2">
      <c r="B100" s="7"/>
    </row>
    <row r="106" spans="1:14" ht="19" x14ac:dyDescent="0.25">
      <c r="A106" s="2" t="s">
        <v>29</v>
      </c>
      <c r="L106" s="4"/>
      <c r="M106" s="4"/>
      <c r="N106" s="4"/>
    </row>
    <row r="107" spans="1:14" ht="19" x14ac:dyDescent="0.25">
      <c r="B107" s="13" t="s">
        <v>35</v>
      </c>
      <c r="L107" s="4"/>
      <c r="M107" s="4"/>
      <c r="N107" s="4"/>
    </row>
    <row r="108" spans="1:14" x14ac:dyDescent="0.2">
      <c r="B108" s="337" t="s">
        <v>75</v>
      </c>
      <c r="C108" s="337"/>
      <c r="D108" s="337"/>
      <c r="E108" s="337"/>
      <c r="F108" s="337"/>
      <c r="G108" s="337"/>
      <c r="H108" s="337"/>
      <c r="I108" s="337"/>
      <c r="L108" s="4"/>
      <c r="M108" s="4"/>
      <c r="N108" s="4"/>
    </row>
    <row r="109" spans="1:14" x14ac:dyDescent="0.2">
      <c r="B109" s="337"/>
      <c r="C109" s="337"/>
      <c r="D109" s="337"/>
      <c r="E109" s="337"/>
      <c r="F109" s="337"/>
      <c r="G109" s="337"/>
      <c r="H109" s="337"/>
      <c r="I109" s="337"/>
      <c r="M109" s="37"/>
    </row>
    <row r="110" spans="1:14" x14ac:dyDescent="0.2">
      <c r="B110" s="337"/>
      <c r="C110" s="337"/>
      <c r="D110" s="337"/>
      <c r="E110" s="337"/>
      <c r="F110" s="337"/>
      <c r="G110" s="337"/>
      <c r="H110" s="337"/>
      <c r="I110" s="337"/>
      <c r="L110" s="4"/>
      <c r="M110" s="4"/>
      <c r="N110" s="4"/>
    </row>
    <row r="111" spans="1:14" x14ac:dyDescent="0.2">
      <c r="L111" s="4"/>
      <c r="M111" s="4"/>
      <c r="N111" s="4"/>
    </row>
    <row r="112" spans="1:14" x14ac:dyDescent="0.2">
      <c r="B112" s="31" t="s">
        <v>36</v>
      </c>
      <c r="L112" s="4"/>
      <c r="M112" s="4"/>
      <c r="N112" s="4"/>
    </row>
    <row r="113" spans="1:14" x14ac:dyDescent="0.2">
      <c r="L113" s="4"/>
      <c r="M113" s="4"/>
      <c r="N113" s="4"/>
    </row>
    <row r="114" spans="1:14" x14ac:dyDescent="0.2">
      <c r="L114" s="4"/>
      <c r="M114" s="4"/>
      <c r="N114" s="4"/>
    </row>
    <row r="115" spans="1:14" x14ac:dyDescent="0.2">
      <c r="B115" s="337" t="s">
        <v>76</v>
      </c>
      <c r="C115" s="337"/>
      <c r="D115" s="337"/>
      <c r="E115" s="337"/>
      <c r="F115" s="337"/>
      <c r="G115" s="337"/>
      <c r="H115" s="337"/>
      <c r="I115" s="337"/>
      <c r="L115" s="4"/>
      <c r="M115" s="4"/>
      <c r="N115" s="4"/>
    </row>
    <row r="116" spans="1:14" x14ac:dyDescent="0.2">
      <c r="B116" s="337"/>
      <c r="C116" s="337"/>
      <c r="D116" s="337"/>
      <c r="E116" s="337"/>
      <c r="F116" s="337"/>
      <c r="G116" s="337"/>
      <c r="H116" s="337"/>
      <c r="I116" s="337"/>
      <c r="L116" s="4"/>
      <c r="M116" s="4"/>
      <c r="N116" s="4"/>
    </row>
    <row r="117" spans="1:14" x14ac:dyDescent="0.2">
      <c r="L117" s="4"/>
      <c r="M117" s="4"/>
      <c r="N117" s="4"/>
    </row>
    <row r="118" spans="1:14" x14ac:dyDescent="0.2">
      <c r="L118" s="4"/>
      <c r="M118" s="4"/>
      <c r="N118" s="4"/>
    </row>
    <row r="119" spans="1:14" x14ac:dyDescent="0.2">
      <c r="B119" s="31" t="s">
        <v>37</v>
      </c>
      <c r="M119" s="37"/>
    </row>
    <row r="120" spans="1:14" x14ac:dyDescent="0.2">
      <c r="L120" s="4"/>
      <c r="M120" s="4"/>
      <c r="N120" s="4"/>
    </row>
    <row r="121" spans="1:14" x14ac:dyDescent="0.2">
      <c r="L121" s="4"/>
      <c r="M121" s="4"/>
      <c r="N121" s="4"/>
    </row>
    <row r="122" spans="1:14" x14ac:dyDescent="0.2">
      <c r="L122" s="4"/>
      <c r="M122" s="4"/>
      <c r="N122" s="4"/>
    </row>
    <row r="123" spans="1:14" x14ac:dyDescent="0.2">
      <c r="L123" s="4"/>
      <c r="M123" s="4"/>
      <c r="N123" s="4"/>
    </row>
    <row r="124" spans="1:14" x14ac:dyDescent="0.2">
      <c r="L124" s="4"/>
      <c r="M124" s="4"/>
      <c r="N124" s="4"/>
    </row>
    <row r="125" spans="1:14" x14ac:dyDescent="0.2">
      <c r="L125" s="4"/>
      <c r="M125" s="4"/>
      <c r="N125" s="4"/>
    </row>
    <row r="126" spans="1:14" x14ac:dyDescent="0.2">
      <c r="L126" s="4"/>
      <c r="M126" s="4"/>
      <c r="N126" s="4"/>
    </row>
    <row r="127" spans="1:14" ht="19" x14ac:dyDescent="0.25">
      <c r="A127" s="2" t="s">
        <v>31</v>
      </c>
      <c r="L127" s="4"/>
      <c r="M127" s="4"/>
      <c r="N127" s="4"/>
    </row>
    <row r="128" spans="1:14" x14ac:dyDescent="0.2">
      <c r="B128" s="31" t="s">
        <v>38</v>
      </c>
      <c r="L128" s="4"/>
      <c r="M128" s="4"/>
      <c r="N128" s="4"/>
    </row>
    <row r="129" spans="1:65" x14ac:dyDescent="0.2">
      <c r="L129" s="4"/>
      <c r="M129" s="4"/>
      <c r="N129" s="4"/>
    </row>
    <row r="130" spans="1:65" ht="19" x14ac:dyDescent="0.25">
      <c r="A130" s="2" t="s">
        <v>33</v>
      </c>
      <c r="L130" s="4"/>
      <c r="M130" s="4"/>
      <c r="N130" s="4"/>
    </row>
    <row r="131" spans="1:65" x14ac:dyDescent="0.2">
      <c r="B131" s="31" t="s">
        <v>39</v>
      </c>
      <c r="L131" s="4"/>
      <c r="M131" s="4"/>
      <c r="N131" s="4"/>
    </row>
    <row r="132" spans="1:65" x14ac:dyDescent="0.2">
      <c r="M132" s="37"/>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row>
    <row r="195" spans="1:65"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row>
    <row r="196" spans="1:65"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row>
    <row r="197" spans="1:65"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row>
    <row r="198" spans="1:65"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row>
    <row r="199" spans="1:65"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row r="213" spans="1:65"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row>
    <row r="214" spans="1:65"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row>
    <row r="215" spans="1:65"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row>
    <row r="216" spans="1:65"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row>
    <row r="217" spans="1:65"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row>
    <row r="218" spans="1:65"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row>
    <row r="219" spans="1:65"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row>
    <row r="220" spans="1:65"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row>
    <row r="221" spans="1:65"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row>
    <row r="222" spans="1:65"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row>
    <row r="223" spans="1:65"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row>
    <row r="224" spans="1:65"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row>
    <row r="225" spans="1:65"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row>
    <row r="226" spans="1:65"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row>
    <row r="227" spans="1:65"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row>
    <row r="228" spans="1:65"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row>
    <row r="229" spans="1:65"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row>
    <row r="230" spans="1:65"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row>
    <row r="231" spans="1:65"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row>
    <row r="232" spans="1:65"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row>
    <row r="233" spans="1:65"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row>
    <row r="234" spans="1:65"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row>
  </sheetData>
  <mergeCells count="7">
    <mergeCell ref="B108:I110"/>
    <mergeCell ref="B115:I116"/>
    <mergeCell ref="C5:G5"/>
    <mergeCell ref="B32:I33"/>
    <mergeCell ref="B50:I51"/>
    <mergeCell ref="B84:I85"/>
    <mergeCell ref="G90:I9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181"/>
  <sheetViews>
    <sheetView showGridLines="0" zoomScale="120" zoomScaleNormal="120" workbookViewId="0"/>
  </sheetViews>
  <sheetFormatPr baseColWidth="10" defaultColWidth="10.83203125" defaultRowHeight="16" x14ac:dyDescent="0.2"/>
  <cols>
    <col min="1" max="10" width="10.83203125" style="31" customWidth="1"/>
    <col min="11" max="16384" width="10.83203125" style="31"/>
  </cols>
  <sheetData>
    <row r="1" spans="1:10" ht="19" x14ac:dyDescent="0.25">
      <c r="A1" s="44" t="s">
        <v>48</v>
      </c>
      <c r="B1" s="29"/>
      <c r="C1" s="29"/>
      <c r="D1" s="29"/>
      <c r="E1" s="29"/>
      <c r="F1" s="29"/>
      <c r="G1" s="29"/>
      <c r="H1" s="29"/>
      <c r="I1" s="29"/>
      <c r="J1" s="30"/>
    </row>
    <row r="2" spans="1:10" x14ac:dyDescent="0.2">
      <c r="A2" s="5"/>
      <c r="B2" s="29"/>
      <c r="C2" s="29"/>
      <c r="D2" s="29"/>
      <c r="E2" s="29"/>
      <c r="F2" s="29"/>
      <c r="G2" s="29"/>
      <c r="H2" s="29"/>
      <c r="I2" s="29"/>
      <c r="J2" s="30"/>
    </row>
    <row r="3" spans="1:10" x14ac:dyDescent="0.2">
      <c r="A3" s="5"/>
      <c r="B3" s="29" t="s">
        <v>25</v>
      </c>
      <c r="C3" s="29"/>
      <c r="D3" s="29"/>
      <c r="E3" s="29"/>
      <c r="F3" s="29"/>
      <c r="G3" s="29"/>
      <c r="H3" s="29"/>
      <c r="I3" s="29"/>
      <c r="J3" s="30"/>
    </row>
    <row r="4" spans="1:10" x14ac:dyDescent="0.2">
      <c r="A4" s="5"/>
      <c r="B4" s="29" t="s">
        <v>26</v>
      </c>
      <c r="C4" s="29"/>
      <c r="D4" s="29"/>
      <c r="E4" s="29"/>
      <c r="F4" s="29"/>
      <c r="G4" s="29"/>
      <c r="H4" s="29"/>
      <c r="I4" s="29"/>
      <c r="J4" s="30"/>
    </row>
    <row r="5" spans="1:10" x14ac:dyDescent="0.2">
      <c r="A5" s="5"/>
      <c r="B5" s="29"/>
      <c r="C5" s="29"/>
      <c r="D5" s="29"/>
      <c r="E5" s="29"/>
      <c r="F5" s="29"/>
      <c r="G5" s="29"/>
      <c r="H5" s="29"/>
      <c r="I5" s="29"/>
      <c r="J5" s="30"/>
    </row>
    <row r="6" spans="1:10" x14ac:dyDescent="0.2">
      <c r="A6" s="5"/>
      <c r="B6" s="299"/>
      <c r="C6" s="343" t="s">
        <v>16</v>
      </c>
      <c r="D6" s="344"/>
      <c r="E6" s="345"/>
      <c r="F6" s="299"/>
      <c r="G6" s="299"/>
      <c r="H6" s="299"/>
      <c r="I6" s="299"/>
      <c r="J6" s="30"/>
    </row>
    <row r="7" spans="1:10" x14ac:dyDescent="0.2">
      <c r="A7" s="5"/>
      <c r="B7" s="299"/>
      <c r="C7" s="346"/>
      <c r="D7" s="347"/>
      <c r="E7" s="348"/>
      <c r="F7" s="12"/>
      <c r="G7" s="12"/>
      <c r="H7" s="12"/>
      <c r="I7" s="299"/>
      <c r="J7" s="30"/>
    </row>
    <row r="8" spans="1:10" ht="20" customHeight="1" x14ac:dyDescent="0.2">
      <c r="A8" s="5"/>
      <c r="B8" s="299"/>
      <c r="C8" s="300" t="s">
        <v>226</v>
      </c>
      <c r="D8" s="301" t="s">
        <v>227</v>
      </c>
      <c r="E8" s="302" t="s">
        <v>228</v>
      </c>
      <c r="F8" s="12"/>
      <c r="G8" s="303"/>
      <c r="H8" s="303"/>
      <c r="I8" s="299"/>
      <c r="J8" s="30"/>
    </row>
    <row r="9" spans="1:10" x14ac:dyDescent="0.2">
      <c r="A9" s="5"/>
      <c r="B9" s="299"/>
      <c r="C9" s="304">
        <v>1</v>
      </c>
      <c r="D9" s="305">
        <v>5.56</v>
      </c>
      <c r="E9" s="306">
        <v>0</v>
      </c>
      <c r="F9" s="12"/>
      <c r="G9" s="303"/>
      <c r="H9" s="303"/>
      <c r="I9" s="299"/>
      <c r="J9" s="30"/>
    </row>
    <row r="10" spans="1:10" x14ac:dyDescent="0.2">
      <c r="A10" s="5"/>
      <c r="B10" s="299"/>
      <c r="C10" s="307">
        <v>2</v>
      </c>
      <c r="D10" s="308">
        <v>5.9</v>
      </c>
      <c r="E10" s="309">
        <v>-1.1100000000000001</v>
      </c>
      <c r="F10" s="12"/>
      <c r="G10" s="303"/>
      <c r="H10" s="303"/>
      <c r="I10" s="299"/>
      <c r="J10" s="30"/>
    </row>
    <row r="11" spans="1:10" x14ac:dyDescent="0.2">
      <c r="A11" s="5"/>
      <c r="B11" s="299"/>
      <c r="C11" s="307">
        <v>3</v>
      </c>
      <c r="D11" s="308">
        <v>5.96</v>
      </c>
      <c r="E11" s="309">
        <v>-1.86</v>
      </c>
      <c r="F11" s="12"/>
      <c r="G11" s="303"/>
      <c r="H11" s="303"/>
      <c r="I11" s="299"/>
      <c r="J11" s="30"/>
    </row>
    <row r="12" spans="1:10" x14ac:dyDescent="0.2">
      <c r="A12" s="5"/>
      <c r="B12" s="299"/>
      <c r="C12" s="307">
        <v>4</v>
      </c>
      <c r="D12" s="308">
        <v>5.69</v>
      </c>
      <c r="E12" s="309">
        <v>-2.72</v>
      </c>
      <c r="F12" s="12"/>
      <c r="G12" s="303"/>
      <c r="H12" s="303"/>
      <c r="I12" s="299"/>
      <c r="J12" s="30"/>
    </row>
    <row r="13" spans="1:10" x14ac:dyDescent="0.2">
      <c r="A13" s="5"/>
      <c r="B13" s="299"/>
      <c r="C13" s="310">
        <v>5</v>
      </c>
      <c r="D13" s="311">
        <v>5.37</v>
      </c>
      <c r="E13" s="312">
        <v>-2.61</v>
      </c>
      <c r="F13" s="12"/>
      <c r="G13" s="313"/>
      <c r="H13" s="313"/>
      <c r="I13" s="299"/>
      <c r="J13" s="30"/>
    </row>
    <row r="14" spans="1:10" x14ac:dyDescent="0.2">
      <c r="A14" s="5"/>
      <c r="B14" s="299"/>
      <c r="C14" s="299"/>
      <c r="D14" s="299"/>
      <c r="E14" s="299"/>
      <c r="F14" s="299"/>
      <c r="G14" s="299"/>
      <c r="H14" s="299"/>
      <c r="I14" s="299"/>
      <c r="J14" s="30"/>
    </row>
    <row r="15" spans="1:10" x14ac:dyDescent="0.2">
      <c r="A15" s="5"/>
      <c r="B15" s="314" t="s">
        <v>55</v>
      </c>
      <c r="C15" s="299"/>
      <c r="D15" s="299"/>
      <c r="E15" s="299"/>
      <c r="F15" s="299"/>
      <c r="G15" s="299"/>
      <c r="H15" s="299"/>
      <c r="I15" s="299"/>
      <c r="J15" s="30"/>
    </row>
    <row r="16" spans="1:10" x14ac:dyDescent="0.2">
      <c r="A16" s="5"/>
      <c r="B16" s="299"/>
      <c r="C16" s="299"/>
      <c r="D16" s="299"/>
      <c r="E16" s="299"/>
      <c r="F16" s="299"/>
      <c r="G16" s="299"/>
      <c r="H16" s="299"/>
      <c r="I16" s="299"/>
      <c r="J16" s="30"/>
    </row>
    <row r="17" spans="1:10" x14ac:dyDescent="0.2">
      <c r="A17" s="5"/>
      <c r="B17" s="299"/>
      <c r="C17" s="299"/>
      <c r="D17" s="299"/>
      <c r="E17" s="299"/>
      <c r="F17" s="299"/>
      <c r="G17" s="299"/>
      <c r="H17" s="299"/>
      <c r="I17" s="299"/>
      <c r="J17" s="30"/>
    </row>
    <row r="18" spans="1:10" x14ac:dyDescent="0.2">
      <c r="A18" s="5"/>
      <c r="B18" s="299" t="s">
        <v>27</v>
      </c>
      <c r="C18" s="299"/>
      <c r="D18" s="299"/>
      <c r="E18" s="299"/>
      <c r="F18" s="299"/>
      <c r="G18" s="299"/>
      <c r="H18" s="299"/>
      <c r="I18" s="299"/>
      <c r="J18" s="30"/>
    </row>
    <row r="19" spans="1:10" ht="17" thickBot="1" x14ac:dyDescent="0.25">
      <c r="A19" s="33"/>
      <c r="B19" s="315"/>
      <c r="C19" s="316"/>
      <c r="D19" s="316"/>
      <c r="E19" s="316"/>
      <c r="F19" s="315"/>
      <c r="G19" s="315"/>
      <c r="H19" s="315"/>
      <c r="I19" s="315"/>
      <c r="J19" s="36"/>
    </row>
    <row r="20" spans="1:10" x14ac:dyDescent="0.2">
      <c r="B20" s="291"/>
      <c r="C20" s="291"/>
      <c r="D20" s="291"/>
      <c r="E20" s="291"/>
      <c r="F20" s="291"/>
      <c r="G20" s="291"/>
      <c r="H20" s="291"/>
      <c r="I20" s="291"/>
    </row>
    <row r="21" spans="1:10" ht="19" x14ac:dyDescent="0.25">
      <c r="A21" s="2" t="s">
        <v>2</v>
      </c>
      <c r="B21" s="291"/>
      <c r="C21" s="291"/>
      <c r="D21" s="291"/>
      <c r="E21" s="291"/>
      <c r="F21" s="291"/>
      <c r="G21" s="291"/>
      <c r="H21" s="291"/>
      <c r="I21" s="291"/>
    </row>
    <row r="22" spans="1:10" ht="18" customHeight="1" x14ac:dyDescent="0.25">
      <c r="A22" s="28" t="s">
        <v>49</v>
      </c>
      <c r="B22" s="55" t="s">
        <v>81</v>
      </c>
      <c r="C22" s="54"/>
      <c r="D22" s="54"/>
      <c r="E22" s="54"/>
      <c r="F22" s="54"/>
      <c r="G22" s="54"/>
      <c r="H22" s="54"/>
      <c r="I22" s="54"/>
    </row>
    <row r="23" spans="1:10" x14ac:dyDescent="0.2">
      <c r="A23" s="28"/>
      <c r="B23" s="54"/>
      <c r="C23" s="54"/>
      <c r="D23" s="54"/>
      <c r="E23" s="54"/>
      <c r="F23" s="54"/>
      <c r="G23" s="54"/>
      <c r="H23" s="54"/>
      <c r="I23" s="54"/>
    </row>
    <row r="24" spans="1:10" ht="18" x14ac:dyDescent="0.25">
      <c r="A24" s="28"/>
      <c r="B24" s="7"/>
      <c r="C24" s="292" t="s">
        <v>17</v>
      </c>
      <c r="D24" s="293" t="s">
        <v>64</v>
      </c>
      <c r="E24" s="293" t="s">
        <v>65</v>
      </c>
      <c r="F24" s="291"/>
      <c r="G24" s="291"/>
      <c r="H24" s="291"/>
      <c r="I24" s="291"/>
    </row>
    <row r="25" spans="1:10" x14ac:dyDescent="0.2">
      <c r="A25" s="28"/>
      <c r="B25" s="7"/>
      <c r="C25" s="294">
        <v>1</v>
      </c>
      <c r="D25" s="317">
        <f>EXP(D9)</f>
        <v>259.82283632295071</v>
      </c>
      <c r="E25" s="318">
        <f>EXP(E9)</f>
        <v>1</v>
      </c>
      <c r="F25" s="291"/>
      <c r="G25" s="291"/>
      <c r="H25" s="291"/>
      <c r="I25" s="291"/>
    </row>
    <row r="26" spans="1:10" x14ac:dyDescent="0.2">
      <c r="A26" s="28"/>
      <c r="B26" s="7"/>
      <c r="C26" s="297">
        <v>2</v>
      </c>
      <c r="D26" s="319">
        <f t="shared" ref="D26:E29" si="0">EXP(D10)</f>
        <v>365.03746786532889</v>
      </c>
      <c r="E26" s="320">
        <f t="shared" si="0"/>
        <v>0.32955896107518906</v>
      </c>
      <c r="F26" s="291"/>
      <c r="G26" s="291"/>
      <c r="H26" s="291"/>
      <c r="I26" s="291"/>
    </row>
    <row r="27" spans="1:10" x14ac:dyDescent="0.2">
      <c r="A27" s="28"/>
      <c r="B27" s="7"/>
      <c r="C27" s="297">
        <v>3</v>
      </c>
      <c r="D27" s="319">
        <f t="shared" si="0"/>
        <v>387.6101242377834</v>
      </c>
      <c r="E27" s="320">
        <f t="shared" si="0"/>
        <v>0.15567263036799731</v>
      </c>
      <c r="F27" s="291"/>
      <c r="G27" s="291"/>
      <c r="H27" s="291"/>
      <c r="I27" s="291"/>
    </row>
    <row r="28" spans="1:10" x14ac:dyDescent="0.2">
      <c r="A28" s="28"/>
      <c r="B28" s="7"/>
      <c r="C28" s="297">
        <v>4</v>
      </c>
      <c r="D28" s="319">
        <f t="shared" si="0"/>
        <v>295.89362064048407</v>
      </c>
      <c r="E28" s="320">
        <f t="shared" si="0"/>
        <v>6.5874754426402948E-2</v>
      </c>
      <c r="F28" s="291"/>
      <c r="G28" s="291"/>
      <c r="H28" s="291"/>
      <c r="I28" s="291"/>
    </row>
    <row r="29" spans="1:10" x14ac:dyDescent="0.2">
      <c r="A29" s="28"/>
      <c r="B29" s="7"/>
      <c r="C29" s="321">
        <v>5</v>
      </c>
      <c r="D29" s="322">
        <f t="shared" si="0"/>
        <v>214.86286770433543</v>
      </c>
      <c r="E29" s="323">
        <f t="shared" si="0"/>
        <v>7.3534543763057097E-2</v>
      </c>
      <c r="F29" s="291"/>
      <c r="G29" s="291"/>
      <c r="H29" s="291"/>
      <c r="I29" s="291"/>
    </row>
    <row r="30" spans="1:10" x14ac:dyDescent="0.2">
      <c r="A30" s="28"/>
      <c r="B30" s="7"/>
      <c r="C30" s="297"/>
      <c r="D30" s="324"/>
      <c r="E30" s="320">
        <f>SUM(E25:E29)</f>
        <v>1.6246408896326463</v>
      </c>
      <c r="F30" s="291"/>
      <c r="G30" s="291"/>
      <c r="H30" s="291"/>
      <c r="I30" s="291"/>
    </row>
    <row r="31" spans="1:10" x14ac:dyDescent="0.2">
      <c r="A31" s="28"/>
      <c r="B31" s="7"/>
      <c r="C31" s="291"/>
      <c r="D31" s="291"/>
      <c r="E31" s="291"/>
      <c r="F31" s="291"/>
      <c r="G31" s="291"/>
      <c r="H31" s="291"/>
      <c r="I31" s="291"/>
    </row>
    <row r="32" spans="1:10" x14ac:dyDescent="0.2">
      <c r="A32" s="28" t="s">
        <v>50</v>
      </c>
      <c r="B32" s="7" t="s">
        <v>28</v>
      </c>
      <c r="C32" s="291"/>
      <c r="D32" s="291"/>
      <c r="E32" s="291"/>
      <c r="F32" s="291"/>
      <c r="G32" s="291"/>
      <c r="H32" s="291"/>
      <c r="I32" s="291"/>
    </row>
    <row r="33" spans="1:14" ht="19" x14ac:dyDescent="0.25">
      <c r="A33" s="2"/>
      <c r="B33" s="291"/>
      <c r="C33" s="291"/>
      <c r="D33" s="291"/>
      <c r="E33" s="291"/>
      <c r="F33" s="291"/>
      <c r="G33" s="291"/>
      <c r="H33" s="291"/>
      <c r="I33" s="291"/>
    </row>
    <row r="34" spans="1:14" ht="18" x14ac:dyDescent="0.25">
      <c r="A34" s="3"/>
      <c r="B34" s="291"/>
      <c r="C34" s="325"/>
      <c r="D34" s="291"/>
      <c r="E34" s="292" t="s">
        <v>17</v>
      </c>
      <c r="F34" s="293" t="s">
        <v>64</v>
      </c>
      <c r="G34" s="293" t="s">
        <v>65</v>
      </c>
      <c r="H34" s="291"/>
      <c r="I34" s="291"/>
    </row>
    <row r="35" spans="1:14" x14ac:dyDescent="0.2">
      <c r="B35" s="291"/>
      <c r="C35" s="291"/>
      <c r="D35" s="291"/>
      <c r="E35" s="297">
        <v>1</v>
      </c>
      <c r="F35" s="326">
        <f>D25*$E$30</f>
        <v>422.11880395059609</v>
      </c>
      <c r="G35" s="298">
        <f>E25/$E$30</f>
        <v>0.61552063990345196</v>
      </c>
      <c r="H35" s="291"/>
      <c r="I35" s="291"/>
      <c r="L35" s="4"/>
    </row>
    <row r="36" spans="1:14" x14ac:dyDescent="0.2">
      <c r="B36" s="291"/>
      <c r="C36" s="291"/>
      <c r="D36" s="291"/>
      <c r="E36" s="297">
        <v>2</v>
      </c>
      <c r="F36" s="326">
        <f>D26*$E$30</f>
        <v>593.05479654197643</v>
      </c>
      <c r="G36" s="298">
        <f>E26/$E$30</f>
        <v>0.2028503426069172</v>
      </c>
      <c r="H36" s="291"/>
      <c r="I36" s="291"/>
      <c r="L36" s="4"/>
    </row>
    <row r="37" spans="1:14" x14ac:dyDescent="0.2">
      <c r="B37" s="291"/>
      <c r="C37" s="291"/>
      <c r="D37" s="291"/>
      <c r="E37" s="297">
        <v>3</v>
      </c>
      <c r="F37" s="326">
        <f>D27*$E$30</f>
        <v>629.72725707229301</v>
      </c>
      <c r="G37" s="298">
        <f>E27/$E$30</f>
        <v>9.5819717059563256E-2</v>
      </c>
      <c r="H37" s="291"/>
      <c r="I37" s="291"/>
      <c r="L37" s="4"/>
    </row>
    <row r="38" spans="1:14" x14ac:dyDescent="0.2">
      <c r="B38" s="291"/>
      <c r="C38" s="291"/>
      <c r="D38" s="291"/>
      <c r="E38" s="297">
        <v>4</v>
      </c>
      <c r="F38" s="326">
        <f>D28*$E$30</f>
        <v>480.72087507398078</v>
      </c>
      <c r="G38" s="298">
        <f>E28/$E$30</f>
        <v>4.05472709980223E-2</v>
      </c>
      <c r="H38" s="291"/>
      <c r="I38" s="291"/>
      <c r="L38" s="4"/>
    </row>
    <row r="39" spans="1:14" x14ac:dyDescent="0.2">
      <c r="B39" s="291"/>
      <c r="C39" s="291"/>
      <c r="D39" s="291"/>
      <c r="E39" s="297">
        <v>5</v>
      </c>
      <c r="F39" s="326">
        <f>D29*$E$30</f>
        <v>349.0750005361931</v>
      </c>
      <c r="G39" s="298">
        <f>E29/$E$30</f>
        <v>4.5262029432045298E-2</v>
      </c>
      <c r="H39" s="291"/>
      <c r="I39" s="291"/>
      <c r="L39" s="4"/>
    </row>
    <row r="40" spans="1:14" x14ac:dyDescent="0.2">
      <c r="B40" s="291"/>
      <c r="C40" s="291"/>
      <c r="D40" s="291"/>
      <c r="E40" s="294"/>
      <c r="F40" s="327"/>
      <c r="G40" s="296">
        <f>SUM(G35:G39)</f>
        <v>0.99999999999999989</v>
      </c>
      <c r="H40" s="291"/>
      <c r="I40" s="291"/>
      <c r="L40" s="4"/>
    </row>
    <row r="41" spans="1:14" x14ac:dyDescent="0.2">
      <c r="B41" s="291"/>
      <c r="C41" s="291"/>
      <c r="D41" s="291"/>
      <c r="E41" s="291"/>
      <c r="F41" s="291"/>
      <c r="G41" s="291"/>
      <c r="H41" s="291"/>
      <c r="I41" s="291"/>
      <c r="L41" s="4"/>
    </row>
    <row r="42" spans="1:14" ht="19" x14ac:dyDescent="0.25">
      <c r="A42" s="2" t="s">
        <v>29</v>
      </c>
      <c r="B42" s="291"/>
      <c r="C42" s="291"/>
      <c r="D42" s="291"/>
      <c r="E42" s="291"/>
      <c r="F42" s="291"/>
      <c r="G42" s="291"/>
      <c r="H42" s="291"/>
      <c r="I42" s="291"/>
      <c r="L42" s="4"/>
      <c r="M42" s="4"/>
      <c r="N42" s="4"/>
    </row>
    <row r="43" spans="1:14" x14ac:dyDescent="0.2">
      <c r="B43" s="342" t="s">
        <v>66</v>
      </c>
      <c r="C43" s="342"/>
      <c r="D43" s="342"/>
      <c r="E43" s="342"/>
      <c r="F43" s="342"/>
      <c r="G43" s="342"/>
      <c r="H43" s="342"/>
      <c r="I43" s="342"/>
      <c r="L43" s="4"/>
      <c r="M43" s="4"/>
      <c r="N43" s="4"/>
    </row>
    <row r="44" spans="1:14" x14ac:dyDescent="0.2">
      <c r="B44" s="342"/>
      <c r="C44" s="342"/>
      <c r="D44" s="342"/>
      <c r="E44" s="342"/>
      <c r="F44" s="342"/>
      <c r="G44" s="342"/>
      <c r="H44" s="342"/>
      <c r="I44" s="342"/>
      <c r="L44" s="4"/>
      <c r="M44" s="4"/>
      <c r="N44" s="4"/>
    </row>
    <row r="45" spans="1:14" x14ac:dyDescent="0.2">
      <c r="B45" s="291"/>
      <c r="C45" s="291"/>
      <c r="D45" s="291"/>
      <c r="E45" s="291"/>
      <c r="F45" s="291"/>
      <c r="G45" s="291"/>
      <c r="H45" s="291"/>
      <c r="I45" s="291"/>
      <c r="L45" s="4"/>
      <c r="M45" s="4"/>
      <c r="N45" s="4"/>
    </row>
    <row r="46" spans="1:14" x14ac:dyDescent="0.2">
      <c r="B46" s="7" t="s">
        <v>44</v>
      </c>
      <c r="C46" s="291"/>
      <c r="D46" s="291"/>
      <c r="E46" s="291"/>
      <c r="F46" s="291"/>
      <c r="G46" s="291"/>
      <c r="H46" s="291"/>
      <c r="I46" s="291"/>
      <c r="M46" s="37"/>
    </row>
    <row r="47" spans="1:14" ht="18" x14ac:dyDescent="0.25">
      <c r="B47" s="291" t="s">
        <v>229</v>
      </c>
      <c r="C47" s="291"/>
      <c r="D47" s="328">
        <f>$D$25*$E$26</f>
        <v>85.626944002200531</v>
      </c>
      <c r="E47" s="291"/>
      <c r="F47" s="291"/>
      <c r="G47" s="291"/>
      <c r="H47" s="291"/>
      <c r="I47" s="291"/>
      <c r="L47" s="4"/>
      <c r="M47" s="4"/>
      <c r="N47" s="4"/>
    </row>
    <row r="48" spans="1:14" x14ac:dyDescent="0.2">
      <c r="B48" s="291"/>
      <c r="C48" s="291"/>
      <c r="D48" s="329"/>
      <c r="E48" s="291"/>
      <c r="F48" s="291"/>
      <c r="G48" s="291"/>
      <c r="H48" s="291"/>
      <c r="I48" s="291"/>
      <c r="L48" s="4"/>
      <c r="M48" s="4"/>
      <c r="N48" s="4"/>
    </row>
    <row r="49" spans="1:14" x14ac:dyDescent="0.2">
      <c r="B49" s="7" t="s">
        <v>45</v>
      </c>
      <c r="C49" s="291"/>
      <c r="D49" s="329"/>
      <c r="E49" s="291"/>
      <c r="F49" s="291"/>
      <c r="G49" s="291"/>
      <c r="H49" s="291"/>
      <c r="I49" s="291"/>
      <c r="L49" s="4"/>
      <c r="M49" s="4"/>
      <c r="N49" s="4"/>
    </row>
    <row r="50" spans="1:14" ht="18" x14ac:dyDescent="0.25">
      <c r="B50" s="291" t="s">
        <v>230</v>
      </c>
      <c r="C50" s="291"/>
      <c r="D50" s="328">
        <f>$F$35*$G$36</f>
        <v>85.626944002200531</v>
      </c>
      <c r="E50" s="291"/>
      <c r="F50" s="291"/>
      <c r="G50" s="291"/>
      <c r="H50" s="291"/>
      <c r="I50" s="291"/>
      <c r="L50" s="4"/>
      <c r="M50" s="4"/>
      <c r="N50" s="4"/>
    </row>
    <row r="51" spans="1:14" x14ac:dyDescent="0.2">
      <c r="L51" s="4"/>
      <c r="M51" s="4"/>
      <c r="N51" s="4"/>
    </row>
    <row r="52" spans="1:14" x14ac:dyDescent="0.2">
      <c r="B52" s="341" t="s">
        <v>67</v>
      </c>
      <c r="C52" s="341"/>
      <c r="D52" s="341"/>
      <c r="E52" s="341"/>
      <c r="F52" s="341"/>
      <c r="G52" s="341"/>
      <c r="H52" s="341"/>
      <c r="I52" s="341"/>
      <c r="L52" s="4"/>
      <c r="M52" s="4"/>
      <c r="N52" s="4"/>
    </row>
    <row r="53" spans="1:14" x14ac:dyDescent="0.2">
      <c r="B53" s="341"/>
      <c r="C53" s="341"/>
      <c r="D53" s="341"/>
      <c r="E53" s="341"/>
      <c r="F53" s="341"/>
      <c r="G53" s="341"/>
      <c r="H53" s="341"/>
      <c r="I53" s="341"/>
      <c r="L53" s="4"/>
      <c r="M53" s="4"/>
      <c r="N53" s="4"/>
    </row>
    <row r="54" spans="1:14" x14ac:dyDescent="0.2">
      <c r="B54" s="4"/>
      <c r="L54" s="4"/>
      <c r="M54" s="4"/>
      <c r="N54" s="4"/>
    </row>
    <row r="55" spans="1:14" ht="19" x14ac:dyDescent="0.25">
      <c r="A55" s="2" t="s">
        <v>31</v>
      </c>
      <c r="L55" s="4"/>
      <c r="M55" s="4"/>
      <c r="N55" s="4"/>
    </row>
    <row r="56" spans="1:14" x14ac:dyDescent="0.2">
      <c r="B56" s="31" t="s">
        <v>43</v>
      </c>
      <c r="L56" s="4"/>
      <c r="M56" s="4"/>
      <c r="N56" s="4"/>
    </row>
    <row r="57" spans="1:14" x14ac:dyDescent="0.2">
      <c r="L57" s="4"/>
      <c r="M57" s="4"/>
      <c r="N57" s="4"/>
    </row>
    <row r="58" spans="1:14" ht="19" x14ac:dyDescent="0.25">
      <c r="A58" s="2" t="s">
        <v>33</v>
      </c>
      <c r="L58" s="4"/>
      <c r="M58" s="4"/>
      <c r="N58" s="4"/>
    </row>
    <row r="59" spans="1:14" x14ac:dyDescent="0.2">
      <c r="B59" s="31" t="s">
        <v>42</v>
      </c>
      <c r="M59" s="37"/>
    </row>
    <row r="60" spans="1:14" x14ac:dyDescent="0.2">
      <c r="L60" s="4"/>
      <c r="M60" s="4"/>
      <c r="N60" s="4"/>
    </row>
    <row r="61" spans="1:14" x14ac:dyDescent="0.2">
      <c r="L61" s="4"/>
      <c r="M61" s="4"/>
      <c r="N61" s="4"/>
    </row>
    <row r="62" spans="1:14" x14ac:dyDescent="0.2">
      <c r="L62" s="4"/>
      <c r="M62" s="4"/>
      <c r="N62" s="4"/>
    </row>
    <row r="63" spans="1:14" x14ac:dyDescent="0.2">
      <c r="L63" s="4"/>
      <c r="M63" s="4"/>
      <c r="N63" s="4"/>
    </row>
    <row r="64" spans="1:14" x14ac:dyDescent="0.2">
      <c r="L64" s="4"/>
      <c r="M64" s="4"/>
      <c r="N64" s="4"/>
    </row>
    <row r="65" spans="1:65" x14ac:dyDescent="0.2">
      <c r="L65" s="4"/>
      <c r="M65" s="4"/>
      <c r="N65" s="4"/>
    </row>
    <row r="66" spans="1:65" x14ac:dyDescent="0.2">
      <c r="L66" s="4"/>
      <c r="M66" s="4"/>
      <c r="N66" s="4"/>
    </row>
    <row r="67" spans="1:65" x14ac:dyDescent="0.2">
      <c r="L67" s="4"/>
      <c r="M67" s="4"/>
      <c r="N67" s="4"/>
    </row>
    <row r="68" spans="1:65" x14ac:dyDescent="0.2">
      <c r="L68" s="4"/>
      <c r="M68" s="4"/>
      <c r="N68" s="4"/>
    </row>
    <row r="69" spans="1:65" x14ac:dyDescent="0.2">
      <c r="M69" s="37"/>
    </row>
    <row r="70" spans="1:65" x14ac:dyDescent="0.2">
      <c r="L70" s="4"/>
      <c r="M70" s="4"/>
      <c r="N70" s="4"/>
    </row>
    <row r="71" spans="1:65" x14ac:dyDescent="0.2">
      <c r="L71" s="4"/>
      <c r="M71" s="4"/>
      <c r="N71" s="4"/>
    </row>
    <row r="72" spans="1:65" x14ac:dyDescent="0.2">
      <c r="L72" s="4"/>
      <c r="M72" s="4"/>
      <c r="N72" s="4"/>
    </row>
    <row r="73" spans="1:65" x14ac:dyDescent="0.2">
      <c r="L73" s="4"/>
      <c r="M73" s="4"/>
      <c r="N73" s="4"/>
    </row>
    <row r="74" spans="1:65" x14ac:dyDescent="0.2">
      <c r="L74" s="4"/>
      <c r="M74" s="4"/>
      <c r="N74" s="4"/>
    </row>
    <row r="75" spans="1:65" x14ac:dyDescent="0.2">
      <c r="L75" s="4"/>
      <c r="M75" s="4"/>
      <c r="N75" s="4"/>
    </row>
    <row r="76" spans="1:65" x14ac:dyDescent="0.2">
      <c r="L76" s="4"/>
      <c r="M76" s="4"/>
      <c r="N76" s="4"/>
    </row>
    <row r="77" spans="1:65" x14ac:dyDescent="0.2">
      <c r="L77" s="4"/>
      <c r="M77" s="4"/>
      <c r="N77" s="4"/>
    </row>
    <row r="78" spans="1:65" x14ac:dyDescent="0.2">
      <c r="L78" s="4"/>
      <c r="M78" s="4"/>
      <c r="N78" s="4"/>
    </row>
    <row r="79" spans="1:65" x14ac:dyDescent="0.2">
      <c r="M79" s="37"/>
    </row>
    <row r="80" spans="1:65"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row>
    <row r="81" spans="1:65"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row>
    <row r="82" spans="1:65"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row>
    <row r="83" spans="1:65"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row>
    <row r="84" spans="1:65"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row>
    <row r="85" spans="1:65"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row>
    <row r="86" spans="1:65"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row>
    <row r="87" spans="1:65"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row>
    <row r="88" spans="1:65"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row>
    <row r="89" spans="1:65"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row>
    <row r="90" spans="1:65"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row>
    <row r="91" spans="1:65"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row>
    <row r="92" spans="1:65"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row>
    <row r="93" spans="1:65"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row>
    <row r="94" spans="1:65"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row>
    <row r="95" spans="1:65"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row>
    <row r="96" spans="1:65"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row>
    <row r="97" spans="1:65"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row>
    <row r="98" spans="1:65"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row>
    <row r="99" spans="1:65"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row>
    <row r="100" spans="1:65"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row>
    <row r="101" spans="1:65"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row>
    <row r="102" spans="1:65"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row>
    <row r="103" spans="1:65"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row>
    <row r="104" spans="1:6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row>
    <row r="105" spans="1:65"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row>
    <row r="106" spans="1:65"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row>
    <row r="107" spans="1:65"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row>
    <row r="108" spans="1:65"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row>
    <row r="109" spans="1:65"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row>
    <row r="110" spans="1:65"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row>
    <row r="111" spans="1:65"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row>
    <row r="112" spans="1:65"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row>
    <row r="113" spans="1:65"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row>
    <row r="114" spans="1:65"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row>
    <row r="115" spans="1:65"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row>
    <row r="116" spans="1:65"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row>
    <row r="117" spans="1:65"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row>
    <row r="118" spans="1:65"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row>
    <row r="119" spans="1:65"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row>
    <row r="120" spans="1:65"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row>
    <row r="121" spans="1:65"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row>
    <row r="122" spans="1:65"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row>
    <row r="123" spans="1:65"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row>
    <row r="124" spans="1:65"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row>
    <row r="125" spans="1:65"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row>
    <row r="126" spans="1:65"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row>
    <row r="127" spans="1:65"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row>
    <row r="128" spans="1:65"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row>
    <row r="129" spans="1:65"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row>
    <row r="130" spans="1:65"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row>
    <row r="131" spans="1:65"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row>
    <row r="132" spans="1:65"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row>
    <row r="133" spans="1:65"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row>
    <row r="134" spans="1:65"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row>
    <row r="135" spans="1:65"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row>
    <row r="136" spans="1:65"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row>
    <row r="137" spans="1:65"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row>
    <row r="138" spans="1:65"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row>
    <row r="139" spans="1:65"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row>
    <row r="140" spans="1:65"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row>
    <row r="141" spans="1:65"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row>
    <row r="142" spans="1:65"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row>
    <row r="143" spans="1:65"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row>
    <row r="144" spans="1:65"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row>
    <row r="145" spans="1:65"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row>
    <row r="146" spans="1:65"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row>
    <row r="160" spans="1:65"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row>
    <row r="161" spans="1:65"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row>
    <row r="162" spans="1:65"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row>
    <row r="167" spans="1:65"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sheetData>
  <mergeCells count="3">
    <mergeCell ref="B52:I53"/>
    <mergeCell ref="B43:I44"/>
    <mergeCell ref="C6: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C838-7255-314B-A44D-372A3FCF2D67}">
  <dimension ref="A1:BM192"/>
  <sheetViews>
    <sheetView showGridLines="0" zoomScale="120" zoomScaleNormal="120" workbookViewId="0"/>
  </sheetViews>
  <sheetFormatPr baseColWidth="10" defaultColWidth="10.83203125" defaultRowHeight="16" x14ac:dyDescent="0.2"/>
  <cols>
    <col min="1" max="1" width="10.83203125" style="78"/>
    <col min="2" max="3" width="10.83203125" style="78" customWidth="1"/>
    <col min="4" max="5" width="11" style="78" customWidth="1"/>
    <col min="6" max="7" width="10.83203125" style="78" customWidth="1"/>
    <col min="8" max="9" width="10.83203125" style="78"/>
    <col min="10" max="10" width="10.83203125" style="78" customWidth="1"/>
    <col min="11" max="11" width="10.83203125" style="78"/>
    <col min="12" max="13" width="11.5" style="78" bestFit="1" customWidth="1"/>
    <col min="14" max="14" width="13" style="78" bestFit="1" customWidth="1"/>
    <col min="15" max="16384" width="10.83203125" style="78"/>
  </cols>
  <sheetData>
    <row r="1" spans="1:18" ht="19" x14ac:dyDescent="0.25">
      <c r="A1" s="1" t="s">
        <v>100</v>
      </c>
      <c r="B1" s="76"/>
      <c r="C1" s="76"/>
      <c r="D1" s="76"/>
      <c r="E1" s="76"/>
      <c r="F1" s="76"/>
      <c r="G1" s="76"/>
      <c r="H1" s="76"/>
      <c r="I1" s="76"/>
      <c r="J1" s="77"/>
    </row>
    <row r="2" spans="1:18" x14ac:dyDescent="0.2">
      <c r="A2" s="79"/>
      <c r="B2" s="76"/>
      <c r="C2" s="76"/>
      <c r="D2" s="76"/>
      <c r="E2" s="76"/>
      <c r="F2" s="76"/>
      <c r="G2" s="76"/>
      <c r="H2" s="76"/>
      <c r="I2" s="76"/>
      <c r="J2" s="77"/>
    </row>
    <row r="3" spans="1:18" ht="16" customHeight="1" x14ac:dyDescent="0.2">
      <c r="A3" s="80"/>
      <c r="B3" s="61" t="s">
        <v>83</v>
      </c>
      <c r="C3" s="76"/>
      <c r="D3" s="76"/>
      <c r="E3" s="76"/>
      <c r="F3" s="76"/>
      <c r="G3" s="76"/>
      <c r="H3" s="76"/>
      <c r="I3" s="76"/>
      <c r="J3" s="77"/>
      <c r="N3" s="136"/>
      <c r="O3" s="136"/>
      <c r="P3" s="136"/>
      <c r="Q3" s="136"/>
      <c r="R3" s="136"/>
    </row>
    <row r="4" spans="1:18" x14ac:dyDescent="0.2">
      <c r="A4" s="80"/>
      <c r="B4" s="399" t="s">
        <v>238</v>
      </c>
      <c r="C4" s="349"/>
      <c r="D4" s="349"/>
      <c r="E4" s="349"/>
      <c r="F4" s="349"/>
      <c r="G4" s="349"/>
      <c r="H4" s="349"/>
      <c r="I4" s="349"/>
      <c r="J4" s="77"/>
      <c r="N4" s="136"/>
      <c r="O4" s="136"/>
      <c r="P4" s="136"/>
      <c r="Q4" s="136"/>
      <c r="R4" s="136"/>
    </row>
    <row r="5" spans="1:18" x14ac:dyDescent="0.2">
      <c r="A5" s="80"/>
      <c r="B5" s="349"/>
      <c r="C5" s="349"/>
      <c r="D5" s="349"/>
      <c r="E5" s="349"/>
      <c r="F5" s="349"/>
      <c r="G5" s="349"/>
      <c r="H5" s="349"/>
      <c r="I5" s="349"/>
      <c r="J5" s="77"/>
      <c r="N5" s="136"/>
      <c r="O5" s="136"/>
      <c r="P5" s="136"/>
      <c r="Q5" s="136"/>
      <c r="R5" s="136"/>
    </row>
    <row r="6" spans="1:18" x14ac:dyDescent="0.2">
      <c r="A6" s="79"/>
      <c r="B6" s="76"/>
      <c r="C6" s="76"/>
      <c r="D6" s="76"/>
      <c r="E6" s="76"/>
      <c r="F6" s="76"/>
      <c r="G6" s="76"/>
      <c r="H6" s="76"/>
      <c r="I6" s="76"/>
      <c r="J6" s="77"/>
      <c r="N6" s="136"/>
      <c r="O6" s="136"/>
      <c r="P6" s="136"/>
      <c r="Q6" s="136"/>
      <c r="R6" s="136"/>
    </row>
    <row r="7" spans="1:18" x14ac:dyDescent="0.2">
      <c r="A7" s="79"/>
      <c r="B7" s="76"/>
      <c r="C7" s="354" t="s">
        <v>112</v>
      </c>
      <c r="D7" s="355"/>
      <c r="E7" s="355"/>
      <c r="F7" s="356"/>
      <c r="G7" s="76"/>
      <c r="H7" s="76"/>
      <c r="I7" s="76"/>
      <c r="J7" s="77"/>
    </row>
    <row r="8" spans="1:18" ht="17" x14ac:dyDescent="0.2">
      <c r="A8" s="79"/>
      <c r="B8" s="76"/>
      <c r="C8" s="84" t="s">
        <v>7</v>
      </c>
      <c r="D8" s="85" t="s">
        <v>3</v>
      </c>
      <c r="E8" s="85" t="s">
        <v>4</v>
      </c>
      <c r="F8" s="86" t="s">
        <v>5</v>
      </c>
      <c r="G8" s="76"/>
      <c r="H8" s="76"/>
      <c r="I8" s="76"/>
      <c r="J8" s="77"/>
    </row>
    <row r="9" spans="1:18" x14ac:dyDescent="0.2">
      <c r="A9" s="79"/>
      <c r="B9" s="76"/>
      <c r="C9" s="90">
        <v>2021</v>
      </c>
      <c r="D9" s="91">
        <v>11600</v>
      </c>
      <c r="E9" s="91">
        <v>5500</v>
      </c>
      <c r="F9" s="236">
        <v>2200</v>
      </c>
      <c r="G9" s="76"/>
      <c r="H9" s="76"/>
      <c r="I9" s="76"/>
      <c r="J9" s="77"/>
      <c r="N9" s="136"/>
      <c r="O9" s="136"/>
      <c r="P9" s="136"/>
      <c r="Q9" s="136"/>
      <c r="R9" s="136"/>
    </row>
    <row r="10" spans="1:18" x14ac:dyDescent="0.2">
      <c r="A10" s="79"/>
      <c r="B10" s="76"/>
      <c r="C10" s="90">
        <v>2022</v>
      </c>
      <c r="D10" s="91">
        <v>13400</v>
      </c>
      <c r="E10" s="91">
        <v>5100</v>
      </c>
      <c r="F10" s="92"/>
      <c r="G10" s="76"/>
      <c r="H10" s="76"/>
      <c r="I10" s="76"/>
      <c r="J10" s="77"/>
    </row>
    <row r="11" spans="1:18" x14ac:dyDescent="0.2">
      <c r="A11" s="79"/>
      <c r="B11" s="76"/>
      <c r="C11" s="94">
        <v>2023</v>
      </c>
      <c r="D11" s="95">
        <v>13000</v>
      </c>
      <c r="E11" s="96"/>
      <c r="F11" s="97"/>
      <c r="G11" s="76"/>
      <c r="H11" s="76"/>
      <c r="I11" s="76"/>
      <c r="J11" s="77"/>
    </row>
    <row r="12" spans="1:18" x14ac:dyDescent="0.2">
      <c r="A12" s="80"/>
      <c r="B12" s="76"/>
      <c r="C12" s="76"/>
      <c r="D12" s="76"/>
      <c r="E12" s="76"/>
      <c r="F12" s="76"/>
      <c r="G12" s="76"/>
      <c r="H12" s="76"/>
      <c r="I12" s="76"/>
      <c r="J12" s="77"/>
    </row>
    <row r="13" spans="1:18" x14ac:dyDescent="0.2">
      <c r="A13" s="80"/>
      <c r="B13" s="76"/>
      <c r="C13" s="350" t="s">
        <v>17</v>
      </c>
      <c r="D13" s="352" t="s">
        <v>101</v>
      </c>
      <c r="E13" s="353"/>
      <c r="F13" s="352" t="s">
        <v>106</v>
      </c>
      <c r="G13" s="353"/>
      <c r="H13" s="76"/>
      <c r="I13" s="76"/>
      <c r="J13" s="77"/>
    </row>
    <row r="14" spans="1:18" x14ac:dyDescent="0.2">
      <c r="A14" s="80"/>
      <c r="B14" s="76"/>
      <c r="C14" s="351"/>
      <c r="D14" s="81" t="s">
        <v>88</v>
      </c>
      <c r="E14" s="83" t="s">
        <v>89</v>
      </c>
      <c r="F14" s="82" t="s">
        <v>88</v>
      </c>
      <c r="G14" s="83" t="s">
        <v>89</v>
      </c>
      <c r="H14" s="76"/>
      <c r="I14" s="76"/>
      <c r="J14" s="77"/>
    </row>
    <row r="15" spans="1:18" x14ac:dyDescent="0.2">
      <c r="A15" s="80"/>
      <c r="B15" s="76"/>
      <c r="C15" s="99">
        <v>1</v>
      </c>
      <c r="D15" s="100">
        <v>9.3933999999999997</v>
      </c>
      <c r="E15" s="137">
        <v>7.9500000000000001E-2</v>
      </c>
      <c r="F15" s="138">
        <v>0</v>
      </c>
      <c r="G15" s="137">
        <v>0</v>
      </c>
      <c r="H15" s="76"/>
      <c r="I15" s="76"/>
      <c r="J15" s="77"/>
    </row>
    <row r="16" spans="1:18" x14ac:dyDescent="0.2">
      <c r="A16" s="80"/>
      <c r="B16" s="76"/>
      <c r="C16" s="102">
        <v>2</v>
      </c>
      <c r="D16" s="103">
        <v>9.4720999999999993</v>
      </c>
      <c r="E16" s="139">
        <v>7.6999999999999999E-2</v>
      </c>
      <c r="F16" s="235">
        <v>-0.85799999999999998</v>
      </c>
      <c r="G16" s="139">
        <v>0.10979999999999999</v>
      </c>
      <c r="H16" s="76"/>
      <c r="I16" s="76"/>
      <c r="J16" s="77"/>
    </row>
    <row r="17" spans="1:10" x14ac:dyDescent="0.2">
      <c r="A17" s="80"/>
      <c r="B17" s="76"/>
      <c r="C17" s="105">
        <v>3</v>
      </c>
      <c r="D17" s="106">
        <v>9.4726999999999997</v>
      </c>
      <c r="E17" s="140">
        <v>8.3099999999999993E-2</v>
      </c>
      <c r="F17" s="141">
        <v>-1.6972</v>
      </c>
      <c r="G17" s="140">
        <v>0.21709999999999999</v>
      </c>
      <c r="H17" s="76"/>
      <c r="I17" s="76"/>
      <c r="J17" s="77"/>
    </row>
    <row r="18" spans="1:10" x14ac:dyDescent="0.2">
      <c r="A18" s="80"/>
      <c r="B18" s="108"/>
      <c r="C18" s="109"/>
      <c r="D18" s="109"/>
      <c r="E18" s="109"/>
      <c r="F18" s="109"/>
      <c r="G18" s="142"/>
      <c r="H18" s="76"/>
      <c r="I18" s="76"/>
      <c r="J18" s="77"/>
    </row>
    <row r="19" spans="1:10" x14ac:dyDescent="0.2">
      <c r="A19" s="80"/>
      <c r="B19" s="213" t="s">
        <v>185</v>
      </c>
      <c r="C19" s="98"/>
      <c r="D19" s="214">
        <v>89.78</v>
      </c>
      <c r="E19" s="98"/>
      <c r="F19" s="98"/>
      <c r="G19" s="98"/>
      <c r="H19" s="76"/>
      <c r="I19" s="76"/>
      <c r="J19" s="77"/>
    </row>
    <row r="20" spans="1:10" x14ac:dyDescent="0.2">
      <c r="A20" s="80"/>
      <c r="B20" s="76"/>
      <c r="C20" s="98"/>
      <c r="D20" s="110"/>
      <c r="E20" s="98"/>
      <c r="F20" s="151"/>
      <c r="G20" s="76"/>
      <c r="H20" s="76"/>
      <c r="I20" s="76"/>
      <c r="J20" s="77"/>
    </row>
    <row r="21" spans="1:10" x14ac:dyDescent="0.2">
      <c r="A21" s="80"/>
      <c r="B21" s="299" t="s">
        <v>191</v>
      </c>
      <c r="C21" s="98"/>
      <c r="D21" s="110"/>
      <c r="E21" s="98"/>
      <c r="F21" s="76"/>
      <c r="G21" s="76"/>
      <c r="H21" s="76"/>
      <c r="I21" s="76"/>
      <c r="J21" s="77"/>
    </row>
    <row r="22" spans="1:10" x14ac:dyDescent="0.2">
      <c r="A22" s="80"/>
      <c r="B22" s="76"/>
      <c r="C22" s="98"/>
      <c r="D22" s="110"/>
      <c r="E22" s="98"/>
      <c r="F22" s="76"/>
      <c r="G22" s="76"/>
      <c r="H22" s="76"/>
      <c r="I22" s="76"/>
      <c r="J22" s="77"/>
    </row>
    <row r="23" spans="1:10" x14ac:dyDescent="0.2">
      <c r="A23" s="80"/>
      <c r="B23" s="76"/>
      <c r="C23" s="232"/>
      <c r="D23" s="359" t="s">
        <v>192</v>
      </c>
      <c r="E23" s="360"/>
      <c r="F23" s="361"/>
      <c r="G23" s="216"/>
      <c r="H23" s="76"/>
      <c r="I23" s="76"/>
      <c r="J23" s="77"/>
    </row>
    <row r="24" spans="1:10" x14ac:dyDescent="0.2">
      <c r="A24" s="80"/>
      <c r="B24" s="76"/>
      <c r="C24" s="218" t="s">
        <v>192</v>
      </c>
      <c r="D24" s="219" t="s">
        <v>186</v>
      </c>
      <c r="E24" s="220" t="s">
        <v>187</v>
      </c>
      <c r="F24" s="221" t="s">
        <v>188</v>
      </c>
      <c r="G24" s="216"/>
      <c r="H24" s="76"/>
      <c r="I24" s="76"/>
      <c r="J24" s="77"/>
    </row>
    <row r="25" spans="1:10" x14ac:dyDescent="0.2">
      <c r="A25" s="80"/>
      <c r="B25" s="76"/>
      <c r="C25" s="230" t="s">
        <v>186</v>
      </c>
      <c r="D25" s="222">
        <v>1</v>
      </c>
      <c r="E25" s="223">
        <v>0.17499999999999999</v>
      </c>
      <c r="F25" s="224">
        <v>0</v>
      </c>
      <c r="G25" s="216"/>
      <c r="H25" s="76"/>
      <c r="I25" s="76"/>
      <c r="J25" s="77"/>
    </row>
    <row r="26" spans="1:10" x14ac:dyDescent="0.2">
      <c r="A26" s="80"/>
      <c r="B26" s="76"/>
      <c r="C26" s="231" t="s">
        <v>187</v>
      </c>
      <c r="D26" s="225">
        <v>0.17499999999999999</v>
      </c>
      <c r="E26" s="215">
        <v>1</v>
      </c>
      <c r="F26" s="226">
        <v>0</v>
      </c>
      <c r="G26" s="216"/>
      <c r="H26" s="76"/>
      <c r="I26" s="76"/>
      <c r="J26" s="77"/>
    </row>
    <row r="27" spans="1:10" x14ac:dyDescent="0.2">
      <c r="A27" s="80"/>
      <c r="B27" s="76"/>
      <c r="C27" s="218" t="s">
        <v>188</v>
      </c>
      <c r="D27" s="227">
        <v>0</v>
      </c>
      <c r="E27" s="228">
        <v>0</v>
      </c>
      <c r="F27" s="229">
        <v>1</v>
      </c>
      <c r="G27" s="216"/>
      <c r="H27" s="76"/>
      <c r="I27" s="76"/>
      <c r="J27" s="77"/>
    </row>
    <row r="28" spans="1:10" x14ac:dyDescent="0.2">
      <c r="A28" s="80"/>
      <c r="B28" s="76"/>
      <c r="C28" s="216"/>
      <c r="D28" s="216"/>
      <c r="E28" s="216"/>
      <c r="F28" s="216"/>
      <c r="G28" s="216"/>
      <c r="H28" s="76"/>
      <c r="I28" s="76"/>
      <c r="J28" s="77"/>
    </row>
    <row r="29" spans="1:10" x14ac:dyDescent="0.2">
      <c r="A29" s="80"/>
      <c r="B29" s="76"/>
      <c r="C29" s="217"/>
      <c r="D29" s="357" t="s">
        <v>192</v>
      </c>
      <c r="E29" s="358"/>
      <c r="F29" s="216"/>
      <c r="G29" s="216"/>
      <c r="H29" s="76"/>
      <c r="I29" s="76"/>
      <c r="J29" s="77"/>
    </row>
    <row r="30" spans="1:10" x14ac:dyDescent="0.2">
      <c r="A30" s="80"/>
      <c r="B30" s="76"/>
      <c r="C30" s="218" t="s">
        <v>192</v>
      </c>
      <c r="D30" s="219" t="s">
        <v>189</v>
      </c>
      <c r="E30" s="221" t="s">
        <v>190</v>
      </c>
      <c r="F30" s="216"/>
      <c r="G30" s="216"/>
      <c r="H30" s="76"/>
      <c r="I30" s="76"/>
      <c r="J30" s="77"/>
    </row>
    <row r="31" spans="1:10" x14ac:dyDescent="0.2">
      <c r="A31" s="80"/>
      <c r="B31" s="76"/>
      <c r="C31" s="230" t="s">
        <v>189</v>
      </c>
      <c r="D31" s="222">
        <v>1</v>
      </c>
      <c r="E31" s="224">
        <v>0.151</v>
      </c>
      <c r="F31" s="216"/>
      <c r="G31" s="216"/>
      <c r="H31" s="76"/>
      <c r="I31" s="76"/>
      <c r="J31" s="77"/>
    </row>
    <row r="32" spans="1:10" x14ac:dyDescent="0.2">
      <c r="A32" s="80"/>
      <c r="B32" s="76"/>
      <c r="C32" s="218" t="s">
        <v>190</v>
      </c>
      <c r="D32" s="227">
        <v>0.151</v>
      </c>
      <c r="E32" s="229">
        <v>1</v>
      </c>
      <c r="F32" s="216"/>
      <c r="G32" s="216"/>
      <c r="H32" s="76"/>
      <c r="I32" s="76"/>
      <c r="J32" s="77"/>
    </row>
    <row r="33" spans="1:10" x14ac:dyDescent="0.2">
      <c r="A33" s="80"/>
      <c r="B33" s="76"/>
      <c r="C33" s="216"/>
      <c r="D33" s="216"/>
      <c r="E33" s="216"/>
      <c r="F33" s="216"/>
      <c r="G33" s="216"/>
      <c r="H33" s="76"/>
      <c r="I33" s="76"/>
      <c r="J33" s="77"/>
    </row>
    <row r="34" spans="1:10" x14ac:dyDescent="0.2">
      <c r="A34" s="80"/>
      <c r="B34" s="76"/>
      <c r="C34" s="217"/>
      <c r="D34" s="357" t="s">
        <v>192</v>
      </c>
      <c r="E34" s="358"/>
      <c r="F34" s="216"/>
      <c r="G34" s="216"/>
      <c r="H34" s="76"/>
      <c r="I34" s="76"/>
      <c r="J34" s="77"/>
    </row>
    <row r="35" spans="1:10" x14ac:dyDescent="0.2">
      <c r="A35" s="80"/>
      <c r="B35" s="76"/>
      <c r="C35" s="218" t="s">
        <v>192</v>
      </c>
      <c r="D35" s="219" t="s">
        <v>189</v>
      </c>
      <c r="E35" s="221" t="s">
        <v>190</v>
      </c>
      <c r="F35" s="216"/>
      <c r="G35" s="216"/>
      <c r="H35" s="76"/>
      <c r="I35" s="76"/>
      <c r="J35" s="77"/>
    </row>
    <row r="36" spans="1:10" x14ac:dyDescent="0.2">
      <c r="A36" s="80"/>
      <c r="B36" s="76"/>
      <c r="C36" s="230" t="s">
        <v>186</v>
      </c>
      <c r="D36" s="222">
        <v>-0.41099999999999998</v>
      </c>
      <c r="E36" s="224">
        <v>-0.36599999999999999</v>
      </c>
      <c r="F36" s="216"/>
      <c r="G36" s="216"/>
      <c r="H36" s="76"/>
      <c r="I36" s="76"/>
      <c r="J36" s="77"/>
    </row>
    <row r="37" spans="1:10" x14ac:dyDescent="0.2">
      <c r="A37" s="80"/>
      <c r="B37" s="76"/>
      <c r="C37" s="231" t="s">
        <v>187</v>
      </c>
      <c r="D37" s="225">
        <v>-0.42499999999999999</v>
      </c>
      <c r="E37" s="226">
        <v>-6.4000000000000001E-2</v>
      </c>
      <c r="F37" s="216"/>
      <c r="G37" s="216"/>
      <c r="H37" s="76"/>
      <c r="I37" s="76"/>
      <c r="J37" s="77"/>
    </row>
    <row r="38" spans="1:10" x14ac:dyDescent="0.2">
      <c r="A38" s="80"/>
      <c r="B38" s="76"/>
      <c r="C38" s="218" t="s">
        <v>188</v>
      </c>
      <c r="D38" s="227">
        <v>0</v>
      </c>
      <c r="E38" s="229">
        <v>0</v>
      </c>
      <c r="F38" s="216"/>
      <c r="G38" s="216"/>
      <c r="H38" s="76"/>
      <c r="I38" s="76"/>
      <c r="J38" s="77"/>
    </row>
    <row r="39" spans="1:10" x14ac:dyDescent="0.2">
      <c r="A39" s="80"/>
      <c r="B39" s="76"/>
      <c r="C39" s="98"/>
      <c r="D39" s="110"/>
      <c r="E39" s="98"/>
      <c r="F39" s="76"/>
      <c r="G39" s="76"/>
      <c r="H39" s="76"/>
      <c r="I39" s="76"/>
      <c r="J39" s="77"/>
    </row>
    <row r="40" spans="1:10" x14ac:dyDescent="0.2">
      <c r="A40" s="80"/>
      <c r="B40" s="76"/>
      <c r="C40" s="98"/>
      <c r="D40" s="110"/>
      <c r="E40" s="98"/>
      <c r="F40" s="76"/>
      <c r="G40" s="76"/>
      <c r="H40" s="76"/>
      <c r="I40" s="76"/>
      <c r="J40" s="77"/>
    </row>
    <row r="41" spans="1:10" x14ac:dyDescent="0.2">
      <c r="A41" s="80"/>
      <c r="B41" s="299" t="s">
        <v>221</v>
      </c>
      <c r="C41" s="98"/>
      <c r="D41" s="110"/>
      <c r="E41" s="98"/>
      <c r="F41" s="76"/>
      <c r="G41" s="76"/>
      <c r="H41" s="76"/>
      <c r="I41" s="76"/>
      <c r="J41" s="77"/>
    </row>
    <row r="42" spans="1:10" x14ac:dyDescent="0.2">
      <c r="A42" s="80"/>
      <c r="B42" s="76"/>
      <c r="C42" s="98"/>
      <c r="D42" s="110"/>
      <c r="E42" s="98"/>
      <c r="F42" s="76"/>
      <c r="G42" s="76"/>
      <c r="H42" s="76"/>
      <c r="I42" s="76"/>
      <c r="J42" s="77"/>
    </row>
    <row r="43" spans="1:10" ht="16" customHeight="1" x14ac:dyDescent="0.2">
      <c r="A43" s="80" t="s">
        <v>0</v>
      </c>
      <c r="B43" s="330" t="s">
        <v>231</v>
      </c>
      <c r="C43" s="237"/>
      <c r="D43" s="237"/>
      <c r="E43" s="237"/>
      <c r="F43" s="237"/>
      <c r="G43" s="237"/>
      <c r="H43" s="237"/>
      <c r="I43" s="237"/>
      <c r="J43" s="77"/>
    </row>
    <row r="44" spans="1:10" ht="16" customHeight="1" x14ac:dyDescent="0.2">
      <c r="A44" s="233" t="s">
        <v>1</v>
      </c>
      <c r="B44" s="330" t="s">
        <v>232</v>
      </c>
      <c r="C44" s="237"/>
      <c r="D44" s="237"/>
      <c r="E44" s="237"/>
      <c r="F44" s="237"/>
      <c r="G44" s="237"/>
      <c r="H44" s="237"/>
      <c r="I44" s="237"/>
      <c r="J44" s="77"/>
    </row>
    <row r="45" spans="1:10" ht="16" customHeight="1" x14ac:dyDescent="0.2">
      <c r="A45" s="233" t="s">
        <v>121</v>
      </c>
      <c r="B45" s="330" t="s">
        <v>233</v>
      </c>
      <c r="C45" s="237"/>
      <c r="D45" s="237"/>
      <c r="E45" s="237"/>
      <c r="F45" s="237"/>
      <c r="G45" s="237"/>
      <c r="H45" s="237"/>
      <c r="I45" s="237"/>
      <c r="J45" s="77"/>
    </row>
    <row r="46" spans="1:10" ht="16" customHeight="1" x14ac:dyDescent="0.2">
      <c r="A46" s="80" t="s">
        <v>1</v>
      </c>
      <c r="B46" s="332" t="s">
        <v>234</v>
      </c>
      <c r="C46" s="237"/>
      <c r="D46" s="237"/>
      <c r="E46" s="237"/>
      <c r="F46" s="237"/>
      <c r="G46" s="237"/>
      <c r="H46" s="237"/>
      <c r="I46" s="237"/>
      <c r="J46" s="77"/>
    </row>
    <row r="47" spans="1:10" ht="17" thickBot="1" x14ac:dyDescent="0.25">
      <c r="A47" s="112"/>
      <c r="B47" s="113"/>
      <c r="C47" s="114"/>
      <c r="D47" s="114"/>
      <c r="E47" s="114"/>
      <c r="F47" s="113"/>
      <c r="G47" s="113"/>
      <c r="H47" s="113"/>
      <c r="I47" s="113"/>
      <c r="J47" s="115"/>
    </row>
    <row r="49" spans="1:9" ht="19" x14ac:dyDescent="0.25">
      <c r="A49" s="2" t="s">
        <v>2</v>
      </c>
    </row>
    <row r="50" spans="1:9" ht="16" customHeight="1" x14ac:dyDescent="0.2">
      <c r="A50" s="3" t="s">
        <v>96</v>
      </c>
      <c r="B50" s="7"/>
      <c r="C50" s="7"/>
      <c r="D50" s="7"/>
      <c r="E50" s="7"/>
      <c r="F50" s="7"/>
      <c r="G50" s="7"/>
      <c r="H50" s="7"/>
      <c r="I50" s="7"/>
    </row>
    <row r="51" spans="1:9" ht="19" customHeight="1" x14ac:dyDescent="0.2">
      <c r="A51" s="9" t="s">
        <v>49</v>
      </c>
      <c r="B51" s="364" t="s">
        <v>219</v>
      </c>
      <c r="C51" s="364"/>
      <c r="D51" s="364"/>
      <c r="E51" s="364"/>
      <c r="F51" s="364"/>
      <c r="G51" s="364"/>
      <c r="H51" s="364"/>
      <c r="I51" s="364"/>
    </row>
    <row r="52" spans="1:9" ht="19" customHeight="1" x14ac:dyDescent="0.2">
      <c r="A52" s="9"/>
      <c r="B52" s="364"/>
      <c r="C52" s="364"/>
      <c r="D52" s="364"/>
      <c r="E52" s="364"/>
      <c r="F52" s="364"/>
      <c r="G52" s="364"/>
      <c r="H52" s="364"/>
      <c r="I52" s="364"/>
    </row>
    <row r="53" spans="1:9" ht="16" customHeight="1" x14ac:dyDescent="0.2">
      <c r="A53" s="9"/>
    </row>
    <row r="54" spans="1:9" ht="16" customHeight="1" x14ac:dyDescent="0.2">
      <c r="A54" s="9"/>
      <c r="F54" s="116"/>
      <c r="G54" s="116"/>
    </row>
    <row r="55" spans="1:9" ht="16" customHeight="1" x14ac:dyDescent="0.2">
      <c r="A55" s="9"/>
    </row>
    <row r="56" spans="1:9" ht="16" customHeight="1" x14ac:dyDescent="0.2">
      <c r="A56" s="9"/>
    </row>
    <row r="57" spans="1:9" ht="16" customHeight="1" thickBot="1" x14ac:dyDescent="0.25">
      <c r="A57" s="9"/>
    </row>
    <row r="58" spans="1:9" ht="15" customHeight="1" x14ac:dyDescent="0.25">
      <c r="A58" s="9"/>
      <c r="C58" s="117" t="s">
        <v>93</v>
      </c>
      <c r="D58" s="238" t="s">
        <v>97</v>
      </c>
      <c r="G58" s="143" t="s">
        <v>95</v>
      </c>
    </row>
    <row r="59" spans="1:9" ht="16" customHeight="1" x14ac:dyDescent="0.25">
      <c r="A59" s="9"/>
      <c r="C59" s="119" t="s">
        <v>94</v>
      </c>
      <c r="D59" s="120">
        <v>1</v>
      </c>
      <c r="E59" s="121">
        <v>2</v>
      </c>
      <c r="F59" s="121">
        <v>3</v>
      </c>
      <c r="G59" s="144" t="s">
        <v>157</v>
      </c>
    </row>
    <row r="60" spans="1:9" ht="16" customHeight="1" x14ac:dyDescent="0.2">
      <c r="A60" s="9"/>
      <c r="C60" s="123">
        <v>1</v>
      </c>
      <c r="D60" s="124"/>
      <c r="E60" s="124"/>
      <c r="F60" s="240"/>
      <c r="G60" s="145">
        <v>0</v>
      </c>
    </row>
    <row r="61" spans="1:9" ht="16" customHeight="1" x14ac:dyDescent="0.2">
      <c r="A61" s="9"/>
      <c r="C61" s="123">
        <v>2</v>
      </c>
      <c r="D61" s="124"/>
      <c r="E61" s="131"/>
      <c r="F61" s="239">
        <f>EXP(D16+F17)</f>
        <v>2380.1052776644324</v>
      </c>
      <c r="G61" s="145">
        <f>F61</f>
        <v>2380.1052776644324</v>
      </c>
    </row>
    <row r="62" spans="1:9" ht="16" customHeight="1" x14ac:dyDescent="0.2">
      <c r="A62" s="9"/>
      <c r="C62" s="123">
        <v>3</v>
      </c>
      <c r="D62" s="242"/>
      <c r="E62" s="130">
        <f>EXP(D17+F16)</f>
        <v>5512.0947372475903</v>
      </c>
      <c r="F62" s="241">
        <f>EXP(D17+F17)</f>
        <v>2381.5337693356787</v>
      </c>
      <c r="G62" s="146">
        <f>SUM(E62:F62)</f>
        <v>7893.628506583269</v>
      </c>
    </row>
    <row r="63" spans="1:9" ht="16" customHeight="1" thickBot="1" x14ac:dyDescent="0.25">
      <c r="A63" s="9"/>
      <c r="C63" s="147" t="s">
        <v>91</v>
      </c>
      <c r="G63" s="148">
        <f>SUM(G60:G62)</f>
        <v>10273.733784247701</v>
      </c>
    </row>
    <row r="64" spans="1:9" ht="16" customHeight="1" x14ac:dyDescent="0.2">
      <c r="A64" s="9"/>
    </row>
    <row r="65" spans="1:17" ht="16" customHeight="1" x14ac:dyDescent="0.2">
      <c r="A65" s="3" t="s">
        <v>193</v>
      </c>
    </row>
    <row r="66" spans="1:17" ht="18" customHeight="1" x14ac:dyDescent="0.2">
      <c r="A66" s="9" t="s">
        <v>50</v>
      </c>
      <c r="B66" s="364" t="s">
        <v>196</v>
      </c>
      <c r="C66" s="364"/>
      <c r="D66" s="364"/>
      <c r="E66" s="364"/>
      <c r="F66" s="364"/>
      <c r="G66" s="364"/>
      <c r="H66" s="364"/>
      <c r="I66" s="364"/>
    </row>
    <row r="67" spans="1:17" ht="16" customHeight="1" x14ac:dyDescent="0.2">
      <c r="A67" s="9"/>
      <c r="B67" s="364"/>
      <c r="C67" s="364"/>
      <c r="D67" s="364"/>
      <c r="E67" s="364"/>
      <c r="F67" s="364"/>
      <c r="G67" s="364"/>
      <c r="H67" s="364"/>
      <c r="I67" s="364"/>
    </row>
    <row r="68" spans="1:17" ht="16" customHeight="1" x14ac:dyDescent="0.2">
      <c r="A68" s="9"/>
    </row>
    <row r="69" spans="1:17" ht="16" customHeight="1" x14ac:dyDescent="0.2">
      <c r="A69" s="9"/>
      <c r="F69" s="116"/>
      <c r="G69" s="149"/>
    </row>
    <row r="70" spans="1:17" ht="16" customHeight="1" x14ac:dyDescent="0.2">
      <c r="A70" s="9"/>
    </row>
    <row r="71" spans="1:17" ht="16" customHeight="1" x14ac:dyDescent="0.2">
      <c r="A71" s="9"/>
      <c r="B71" s="9"/>
      <c r="D71" s="376" t="s">
        <v>198</v>
      </c>
      <c r="E71" s="376"/>
      <c r="F71" s="376"/>
      <c r="G71" s="376"/>
      <c r="H71" s="376"/>
      <c r="P71" s="243"/>
      <c r="Q71" s="243"/>
    </row>
    <row r="72" spans="1:17" ht="16" customHeight="1" x14ac:dyDescent="0.2">
      <c r="A72" s="9"/>
      <c r="B72" s="9"/>
      <c r="C72" s="247" t="s">
        <v>192</v>
      </c>
      <c r="D72" s="266" t="s">
        <v>186</v>
      </c>
      <c r="E72" s="247" t="s">
        <v>187</v>
      </c>
      <c r="F72" s="247" t="s">
        <v>188</v>
      </c>
      <c r="G72" s="247" t="s">
        <v>189</v>
      </c>
      <c r="H72" s="247" t="s">
        <v>190</v>
      </c>
      <c r="P72" s="243"/>
      <c r="Q72" s="243"/>
    </row>
    <row r="73" spans="1:17" ht="16" customHeight="1" x14ac:dyDescent="0.2">
      <c r="A73" s="9"/>
      <c r="B73" s="9"/>
      <c r="C73" s="246" t="s">
        <v>186</v>
      </c>
      <c r="D73" s="254">
        <f>E15^2</f>
        <v>6.3202500000000003E-3</v>
      </c>
      <c r="E73" s="255">
        <f>D74</f>
        <v>1.0712624999999999E-3</v>
      </c>
      <c r="F73" s="255">
        <f>D75</f>
        <v>0</v>
      </c>
      <c r="G73" s="255">
        <f>D76</f>
        <v>-3.5876600999999999E-3</v>
      </c>
      <c r="H73" s="256">
        <f>D77</f>
        <v>-6.3169586999999999E-3</v>
      </c>
      <c r="P73" s="243"/>
      <c r="Q73" s="243"/>
    </row>
    <row r="74" spans="1:17" ht="16" customHeight="1" x14ac:dyDescent="0.2">
      <c r="A74" s="9"/>
      <c r="B74" s="9"/>
      <c r="C74" s="246" t="s">
        <v>187</v>
      </c>
      <c r="D74" s="257">
        <f>E15*E16*D26</f>
        <v>1.0712624999999999E-3</v>
      </c>
      <c r="E74" s="258">
        <f>E16^2</f>
        <v>5.9290000000000002E-3</v>
      </c>
      <c r="F74" s="259">
        <f>E75</f>
        <v>0</v>
      </c>
      <c r="G74" s="259">
        <f>E76</f>
        <v>-3.5932049999999999E-3</v>
      </c>
      <c r="H74" s="260">
        <f>E77</f>
        <v>-1.0698687999999999E-3</v>
      </c>
      <c r="P74" s="243"/>
      <c r="Q74" s="243"/>
    </row>
    <row r="75" spans="1:17" ht="16" customHeight="1" x14ac:dyDescent="0.2">
      <c r="A75" s="9"/>
      <c r="B75" s="9"/>
      <c r="C75" s="246" t="s">
        <v>188</v>
      </c>
      <c r="D75" s="257">
        <f>E15*E17*D27</f>
        <v>0</v>
      </c>
      <c r="E75" s="261">
        <f>E16*E17*E27</f>
        <v>0</v>
      </c>
      <c r="F75" s="258">
        <f>E17^2</f>
        <v>6.9056099999999987E-3</v>
      </c>
      <c r="G75" s="259">
        <f>F76</f>
        <v>0</v>
      </c>
      <c r="H75" s="260">
        <f>F77</f>
        <v>0</v>
      </c>
    </row>
    <row r="76" spans="1:17" ht="16" customHeight="1" x14ac:dyDescent="0.2">
      <c r="A76" s="9"/>
      <c r="B76" s="9"/>
      <c r="C76" s="246" t="s">
        <v>189</v>
      </c>
      <c r="D76" s="262">
        <f>E15*G16*D36</f>
        <v>-3.5876600999999999E-3</v>
      </c>
      <c r="E76" s="261">
        <f>E16*G16*D37</f>
        <v>-3.5932049999999999E-3</v>
      </c>
      <c r="F76" s="261">
        <f>E17*G16*D38</f>
        <v>0</v>
      </c>
      <c r="G76" s="258">
        <f>G16^2</f>
        <v>1.2056039999999999E-2</v>
      </c>
      <c r="H76" s="260">
        <f>G77</f>
        <v>3.5994745799999995E-3</v>
      </c>
    </row>
    <row r="77" spans="1:17" ht="16" customHeight="1" x14ac:dyDescent="0.2">
      <c r="A77" s="9"/>
      <c r="B77" s="9"/>
      <c r="C77" s="246" t="s">
        <v>190</v>
      </c>
      <c r="D77" s="263">
        <f>E15*G17*E36</f>
        <v>-6.3169586999999999E-3</v>
      </c>
      <c r="E77" s="264">
        <f>E16*G17*E37</f>
        <v>-1.0698687999999999E-3</v>
      </c>
      <c r="F77" s="264">
        <f>E17*G17*E38</f>
        <v>0</v>
      </c>
      <c r="G77" s="264">
        <f>G16*G17*D32</f>
        <v>3.5994745799999995E-3</v>
      </c>
      <c r="H77" s="265">
        <f>G17^2</f>
        <v>4.7132409999999993E-2</v>
      </c>
    </row>
    <row r="78" spans="1:17" ht="16" customHeight="1" x14ac:dyDescent="0.2">
      <c r="A78" s="9"/>
    </row>
    <row r="79" spans="1:17" ht="16" customHeight="1" x14ac:dyDescent="0.2">
      <c r="A79" s="9"/>
      <c r="B79" s="7" t="s">
        <v>73</v>
      </c>
    </row>
    <row r="80" spans="1:17" ht="16" customHeight="1" x14ac:dyDescent="0.2">
      <c r="A80" s="9"/>
      <c r="B80" s="331" t="s">
        <v>197</v>
      </c>
    </row>
    <row r="81" spans="1:20" ht="16" customHeight="1" x14ac:dyDescent="0.2">
      <c r="A81" s="9"/>
    </row>
    <row r="82" spans="1:20" ht="16" customHeight="1" x14ac:dyDescent="0.2">
      <c r="A82" s="9"/>
    </row>
    <row r="83" spans="1:20" ht="16" customHeight="1" x14ac:dyDescent="0.2">
      <c r="A83" s="9" t="s">
        <v>51</v>
      </c>
      <c r="B83" s="364" t="s">
        <v>220</v>
      </c>
      <c r="C83" s="364"/>
      <c r="D83" s="364"/>
      <c r="E83" s="364"/>
      <c r="F83" s="364"/>
      <c r="G83" s="364"/>
      <c r="H83" s="364"/>
      <c r="I83" s="364"/>
    </row>
    <row r="84" spans="1:20" ht="16" customHeight="1" x14ac:dyDescent="0.2">
      <c r="A84" s="9"/>
      <c r="B84" s="364"/>
      <c r="C84" s="364"/>
      <c r="D84" s="364"/>
      <c r="E84" s="364"/>
      <c r="F84" s="364"/>
      <c r="G84" s="364"/>
      <c r="H84" s="364"/>
      <c r="I84" s="364"/>
    </row>
    <row r="85" spans="1:20" ht="16" customHeight="1" x14ac:dyDescent="0.2">
      <c r="A85" s="9"/>
      <c r="B85" s="364"/>
      <c r="C85" s="364"/>
      <c r="D85" s="364"/>
      <c r="E85" s="364"/>
      <c r="F85" s="364"/>
      <c r="G85" s="364"/>
      <c r="H85" s="364"/>
      <c r="I85" s="364"/>
    </row>
    <row r="86" spans="1:20" ht="16" customHeight="1" x14ac:dyDescent="0.2">
      <c r="A86" s="9"/>
    </row>
    <row r="87" spans="1:20" ht="16" customHeight="1" x14ac:dyDescent="0.2">
      <c r="A87" s="9"/>
      <c r="G87" s="149"/>
    </row>
    <row r="88" spans="1:20" ht="16" customHeight="1" x14ac:dyDescent="0.2">
      <c r="A88" s="9"/>
    </row>
    <row r="89" spans="1:20" ht="16" customHeight="1" x14ac:dyDescent="0.2">
      <c r="A89" s="9"/>
      <c r="B89" s="9"/>
    </row>
    <row r="90" spans="1:20" ht="16" customHeight="1" x14ac:dyDescent="0.2">
      <c r="A90" s="9"/>
      <c r="B90" s="9"/>
      <c r="D90" s="376" t="s">
        <v>202</v>
      </c>
      <c r="E90" s="376"/>
      <c r="F90" s="376"/>
      <c r="G90" s="376"/>
      <c r="H90" s="376"/>
    </row>
    <row r="91" spans="1:20" ht="16" customHeight="1" x14ac:dyDescent="0.2">
      <c r="A91" s="9"/>
      <c r="B91" s="9"/>
      <c r="C91" s="273" t="s">
        <v>206</v>
      </c>
      <c r="D91" s="247" t="s">
        <v>186</v>
      </c>
      <c r="E91" s="247" t="s">
        <v>187</v>
      </c>
      <c r="F91" s="247" t="s">
        <v>188</v>
      </c>
      <c r="G91" s="247" t="s">
        <v>189</v>
      </c>
      <c r="H91" s="247" t="s">
        <v>190</v>
      </c>
    </row>
    <row r="92" spans="1:20" ht="16" customHeight="1" x14ac:dyDescent="0.2">
      <c r="A92" s="9"/>
      <c r="B92" s="9"/>
      <c r="C92" s="243" t="s">
        <v>199</v>
      </c>
      <c r="D92" s="248">
        <v>0</v>
      </c>
      <c r="E92" s="249">
        <f>F61</f>
        <v>2380.1052776644324</v>
      </c>
      <c r="F92" s="234">
        <v>0</v>
      </c>
      <c r="G92" s="234">
        <v>0</v>
      </c>
      <c r="H92" s="250">
        <f>F61</f>
        <v>2380.1052776644324</v>
      </c>
      <c r="L92" s="126"/>
      <c r="P92" s="243"/>
      <c r="Q92" s="243"/>
      <c r="R92" s="243"/>
      <c r="S92" s="243"/>
      <c r="T92" s="243"/>
    </row>
    <row r="93" spans="1:20" ht="16" customHeight="1" x14ac:dyDescent="0.2">
      <c r="A93" s="9"/>
      <c r="B93" s="9"/>
      <c r="C93" s="243" t="s">
        <v>200</v>
      </c>
      <c r="D93" s="118">
        <v>0</v>
      </c>
      <c r="E93" s="116">
        <v>0</v>
      </c>
      <c r="F93" s="251">
        <f>E62</f>
        <v>5512.0947372475903</v>
      </c>
      <c r="G93" s="251">
        <f>E62</f>
        <v>5512.0947372475903</v>
      </c>
      <c r="H93" s="117">
        <v>0</v>
      </c>
      <c r="M93" s="275"/>
      <c r="P93" s="243"/>
      <c r="Q93" s="243"/>
      <c r="R93" s="243"/>
      <c r="S93" s="243"/>
      <c r="T93" s="243"/>
    </row>
    <row r="94" spans="1:20" ht="16" customHeight="1" x14ac:dyDescent="0.2">
      <c r="A94" s="9"/>
      <c r="B94" s="9"/>
      <c r="C94" s="243" t="s">
        <v>201</v>
      </c>
      <c r="D94" s="135">
        <v>0</v>
      </c>
      <c r="E94" s="122">
        <v>0</v>
      </c>
      <c r="F94" s="252">
        <f>F62</f>
        <v>2381.5337693356787</v>
      </c>
      <c r="G94" s="122">
        <v>0</v>
      </c>
      <c r="H94" s="253">
        <f>F62</f>
        <v>2381.5337693356787</v>
      </c>
      <c r="N94" s="126"/>
      <c r="P94" s="243"/>
      <c r="Q94" s="243"/>
      <c r="R94" s="243"/>
      <c r="S94" s="243"/>
      <c r="T94" s="243"/>
    </row>
    <row r="95" spans="1:20" ht="16" customHeight="1" x14ac:dyDescent="0.2">
      <c r="A95" s="9"/>
      <c r="B95" s="9"/>
      <c r="P95" s="243"/>
    </row>
    <row r="96" spans="1:20" ht="16" customHeight="1" x14ac:dyDescent="0.2">
      <c r="A96" s="9" t="s">
        <v>52</v>
      </c>
      <c r="B96" s="364" t="s">
        <v>235</v>
      </c>
      <c r="C96" s="364"/>
      <c r="D96" s="364"/>
      <c r="E96" s="364"/>
      <c r="F96" s="364"/>
      <c r="G96" s="364"/>
      <c r="H96" s="364"/>
      <c r="I96" s="364"/>
    </row>
    <row r="97" spans="1:13" ht="16" customHeight="1" x14ac:dyDescent="0.2">
      <c r="A97" s="9"/>
      <c r="B97" s="364"/>
      <c r="C97" s="364"/>
      <c r="D97" s="364"/>
      <c r="E97" s="364"/>
      <c r="F97" s="364"/>
      <c r="G97" s="364"/>
      <c r="H97" s="364"/>
      <c r="I97" s="364"/>
    </row>
    <row r="98" spans="1:13" ht="16" customHeight="1" x14ac:dyDescent="0.2">
      <c r="A98" s="9"/>
      <c r="B98" s="364"/>
      <c r="C98" s="364"/>
      <c r="D98" s="364"/>
      <c r="E98" s="364"/>
      <c r="F98" s="364"/>
      <c r="G98" s="364"/>
      <c r="H98" s="364"/>
      <c r="I98" s="364"/>
    </row>
    <row r="99" spans="1:13" ht="16" customHeight="1" x14ac:dyDescent="0.2">
      <c r="A99" s="9"/>
    </row>
    <row r="100" spans="1:13" ht="16" customHeight="1" x14ac:dyDescent="0.2">
      <c r="A100" s="9"/>
      <c r="F100" s="116"/>
      <c r="G100" s="149"/>
    </row>
    <row r="101" spans="1:13" ht="16" customHeight="1" x14ac:dyDescent="0.2">
      <c r="A101" s="9"/>
    </row>
    <row r="102" spans="1:13" ht="16" customHeight="1" x14ac:dyDescent="0.2">
      <c r="A102" s="9"/>
    </row>
    <row r="103" spans="1:13" ht="16" customHeight="1" x14ac:dyDescent="0.2">
      <c r="A103" s="9"/>
      <c r="B103" s="9"/>
      <c r="C103" s="376" t="s">
        <v>209</v>
      </c>
      <c r="D103" s="376"/>
      <c r="E103" s="376"/>
      <c r="F103" s="376"/>
    </row>
    <row r="104" spans="1:13" ht="16" customHeight="1" x14ac:dyDescent="0.2">
      <c r="A104" s="9"/>
      <c r="B104" s="9"/>
      <c r="C104" s="245"/>
      <c r="D104" s="244" t="s">
        <v>203</v>
      </c>
      <c r="E104" s="244" t="s">
        <v>204</v>
      </c>
      <c r="F104" s="244" t="s">
        <v>205</v>
      </c>
    </row>
    <row r="105" spans="1:13" ht="16" customHeight="1" x14ac:dyDescent="0.2">
      <c r="A105" s="9"/>
      <c r="B105" s="9"/>
      <c r="C105" s="246" t="s">
        <v>203</v>
      </c>
      <c r="D105" s="274" cm="1">
        <f t="array" ref="D105:F107">MMULT(MMULT(D92:H94,D73:H77),TRANSPOSE(D92:H94))</f>
        <v>288466.23966110346</v>
      </c>
      <c r="E105" s="274">
        <v>82.252913276313734</v>
      </c>
      <c r="F105" s="274">
        <v>261096.35264560647</v>
      </c>
    </row>
    <row r="106" spans="1:13" ht="16" customHeight="1" x14ac:dyDescent="0.2">
      <c r="A106" s="9"/>
      <c r="B106" s="9"/>
      <c r="C106" s="246" t="s">
        <v>204</v>
      </c>
      <c r="D106" s="274">
        <v>82.252913276308391</v>
      </c>
      <c r="E106" s="274">
        <v>576115.38418061065</v>
      </c>
      <c r="F106" s="274">
        <v>137902.76394431366</v>
      </c>
    </row>
    <row r="107" spans="1:13" ht="16" customHeight="1" x14ac:dyDescent="0.2">
      <c r="A107" s="9"/>
      <c r="B107" s="9"/>
      <c r="C107" s="246" t="s">
        <v>205</v>
      </c>
      <c r="D107" s="274">
        <v>261096.35264560647</v>
      </c>
      <c r="E107" s="274">
        <v>137902.76394431366</v>
      </c>
      <c r="F107" s="274">
        <v>306487.60525390744</v>
      </c>
    </row>
    <row r="108" spans="1:13" ht="16" customHeight="1" thickBot="1" x14ac:dyDescent="0.25">
      <c r="A108" s="9"/>
      <c r="B108" s="9"/>
    </row>
    <row r="109" spans="1:13" ht="16" customHeight="1" thickBot="1" x14ac:dyDescent="0.25">
      <c r="A109" s="9"/>
      <c r="D109" s="377" t="s">
        <v>211</v>
      </c>
      <c r="E109" s="378"/>
      <c r="F109" s="129">
        <f>SUM(_xlfn.ANCHORARRAY(D105))</f>
        <v>1969231.9681020144</v>
      </c>
    </row>
    <row r="110" spans="1:13" ht="16" customHeight="1" x14ac:dyDescent="0.2">
      <c r="A110" s="9"/>
    </row>
    <row r="111" spans="1:13" ht="16" customHeight="1" x14ac:dyDescent="0.2">
      <c r="A111" s="3" t="s">
        <v>194</v>
      </c>
      <c r="M111" s="277"/>
    </row>
    <row r="112" spans="1:13" ht="19" customHeight="1" x14ac:dyDescent="0.2">
      <c r="A112" s="9" t="s">
        <v>53</v>
      </c>
      <c r="B112" s="364" t="s">
        <v>236</v>
      </c>
      <c r="C112" s="364"/>
      <c r="D112" s="364"/>
      <c r="E112" s="364"/>
      <c r="F112" s="364"/>
      <c r="G112" s="364"/>
      <c r="H112" s="364"/>
      <c r="I112" s="364"/>
      <c r="M112" s="277"/>
    </row>
    <row r="113" spans="1:14" ht="16" customHeight="1" x14ac:dyDescent="0.2">
      <c r="A113" s="9"/>
      <c r="B113" s="280"/>
      <c r="C113" s="280"/>
      <c r="D113" s="280"/>
      <c r="E113" s="280"/>
      <c r="F113" s="280"/>
      <c r="G113" s="280"/>
      <c r="H113" s="280"/>
      <c r="I113" s="7"/>
      <c r="L113" s="278"/>
      <c r="M113" s="278"/>
    </row>
    <row r="114" spans="1:14" ht="16" customHeight="1" x14ac:dyDescent="0.2">
      <c r="A114" s="9"/>
      <c r="B114" s="280"/>
      <c r="C114" s="280"/>
      <c r="D114" s="280"/>
      <c r="E114" s="280"/>
      <c r="F114" s="281"/>
      <c r="G114" s="280"/>
      <c r="H114" s="280"/>
      <c r="I114" s="280"/>
      <c r="L114" s="279"/>
      <c r="M114" s="279"/>
      <c r="N114" s="279"/>
    </row>
    <row r="115" spans="1:14" ht="16" customHeight="1" thickBot="1" x14ac:dyDescent="0.25">
      <c r="A115" s="9"/>
      <c r="B115" s="280"/>
      <c r="C115" s="280"/>
      <c r="D115" s="280"/>
      <c r="E115" s="280"/>
      <c r="F115" s="280"/>
      <c r="G115" s="280"/>
      <c r="H115" s="280"/>
      <c r="I115" s="280"/>
      <c r="J115" s="126"/>
      <c r="L115" s="279"/>
      <c r="M115" s="279"/>
      <c r="N115" s="279"/>
    </row>
    <row r="116" spans="1:14" ht="19" customHeight="1" thickBot="1" x14ac:dyDescent="0.25">
      <c r="A116" s="9"/>
      <c r="B116" s="280"/>
      <c r="C116" s="280"/>
      <c r="D116" s="372" t="s">
        <v>210</v>
      </c>
      <c r="E116" s="373"/>
      <c r="F116" s="282">
        <f>$D$19*G63</f>
        <v>922375.81914975855</v>
      </c>
      <c r="G116" s="280"/>
      <c r="H116" s="280"/>
      <c r="I116" s="280"/>
    </row>
    <row r="117" spans="1:14" ht="16" customHeight="1" x14ac:dyDescent="0.2">
      <c r="A117" s="9"/>
      <c r="B117" s="280"/>
      <c r="C117" s="280"/>
      <c r="D117" s="280"/>
      <c r="E117" s="280"/>
      <c r="F117" s="280"/>
      <c r="G117" s="280"/>
      <c r="H117" s="280"/>
      <c r="I117" s="280"/>
    </row>
    <row r="118" spans="1:14" ht="16" customHeight="1" x14ac:dyDescent="0.2">
      <c r="A118" s="9"/>
      <c r="B118" s="7" t="s">
        <v>73</v>
      </c>
      <c r="C118" s="280"/>
      <c r="D118" s="280"/>
      <c r="E118" s="280"/>
      <c r="F118" s="280"/>
      <c r="G118" s="280"/>
      <c r="H118" s="280"/>
      <c r="I118" s="280"/>
    </row>
    <row r="119" spans="1:14" ht="16" customHeight="1" x14ac:dyDescent="0.2">
      <c r="A119" s="9"/>
      <c r="B119" s="280" t="s">
        <v>223</v>
      </c>
      <c r="C119" s="280"/>
      <c r="D119" s="280"/>
      <c r="E119" s="280"/>
      <c r="F119" s="280"/>
      <c r="G119" s="280"/>
      <c r="H119" s="280"/>
      <c r="I119" s="280"/>
    </row>
    <row r="120" spans="1:14" ht="16" customHeight="1" x14ac:dyDescent="0.2">
      <c r="A120" s="9"/>
    </row>
    <row r="121" spans="1:14" ht="16" customHeight="1" x14ac:dyDescent="0.2">
      <c r="A121" s="3" t="s">
        <v>195</v>
      </c>
    </row>
    <row r="122" spans="1:14" ht="16" customHeight="1" x14ac:dyDescent="0.2">
      <c r="A122" s="9" t="s">
        <v>54</v>
      </c>
      <c r="B122" s="364" t="s">
        <v>207</v>
      </c>
      <c r="C122" s="364"/>
      <c r="D122" s="364"/>
      <c r="E122" s="364"/>
      <c r="F122" s="364"/>
      <c r="G122" s="364"/>
      <c r="H122" s="364"/>
      <c r="I122" s="364"/>
      <c r="L122" s="4"/>
    </row>
    <row r="123" spans="1:14" ht="16" customHeight="1" x14ac:dyDescent="0.2">
      <c r="A123" s="9"/>
      <c r="B123" s="364"/>
      <c r="C123" s="364"/>
      <c r="D123" s="364"/>
      <c r="E123" s="364"/>
      <c r="F123" s="364"/>
      <c r="G123" s="364"/>
      <c r="H123" s="364"/>
      <c r="I123" s="364"/>
      <c r="L123" s="4"/>
    </row>
    <row r="124" spans="1:14" ht="16" customHeight="1" x14ac:dyDescent="0.2">
      <c r="A124" s="9"/>
      <c r="K124" s="276"/>
      <c r="L124" s="4"/>
    </row>
    <row r="125" spans="1:14" ht="16" customHeight="1" x14ac:dyDescent="0.2">
      <c r="A125" s="9"/>
      <c r="F125" s="116"/>
      <c r="G125" s="116"/>
      <c r="K125" s="276"/>
      <c r="L125" s="4"/>
    </row>
    <row r="126" spans="1:14" ht="16" customHeight="1" x14ac:dyDescent="0.2">
      <c r="A126" s="9"/>
      <c r="L126" s="4"/>
    </row>
    <row r="127" spans="1:14" ht="16" customHeight="1" x14ac:dyDescent="0.2">
      <c r="A127" s="9"/>
      <c r="L127" s="4"/>
    </row>
    <row r="128" spans="1:14" ht="16" customHeight="1" x14ac:dyDescent="0.2">
      <c r="A128" s="9"/>
      <c r="L128" s="4"/>
    </row>
    <row r="129" spans="1:14" ht="16" customHeight="1" thickBot="1" x14ac:dyDescent="0.25">
      <c r="A129" s="9"/>
      <c r="L129" s="4"/>
    </row>
    <row r="130" spans="1:14" ht="16" customHeight="1" x14ac:dyDescent="0.2">
      <c r="A130" s="9"/>
      <c r="C130" s="369" t="s">
        <v>208</v>
      </c>
      <c r="D130" s="370"/>
      <c r="E130" s="371"/>
      <c r="I130" s="4"/>
    </row>
    <row r="131" spans="1:14" ht="16" customHeight="1" x14ac:dyDescent="0.2">
      <c r="A131" s="9"/>
      <c r="C131" s="267" t="s">
        <v>95</v>
      </c>
      <c r="D131" s="268" t="s">
        <v>98</v>
      </c>
      <c r="E131" s="269" t="s">
        <v>99</v>
      </c>
      <c r="I131" s="4"/>
    </row>
    <row r="132" spans="1:14" ht="16" customHeight="1" thickBot="1" x14ac:dyDescent="0.25">
      <c r="A132" s="9"/>
      <c r="C132" s="270">
        <f>G63</f>
        <v>10273.733784247701</v>
      </c>
      <c r="D132" s="271">
        <f>SQRT(SUM(F109,F116))</f>
        <v>1700.4728128528761</v>
      </c>
      <c r="E132" s="272">
        <f>D132/C132</f>
        <v>0.1655165345495074</v>
      </c>
      <c r="I132" s="4"/>
    </row>
    <row r="133" spans="1:14" ht="16" customHeight="1" x14ac:dyDescent="0.2">
      <c r="A133" s="9"/>
      <c r="K133" s="4"/>
    </row>
    <row r="134" spans="1:14" ht="16" customHeight="1" x14ac:dyDescent="0.2">
      <c r="A134" s="9"/>
      <c r="K134" s="4"/>
    </row>
    <row r="135" spans="1:14" ht="16" customHeight="1" x14ac:dyDescent="0.2">
      <c r="A135" s="9"/>
      <c r="L135" s="4"/>
    </row>
    <row r="136" spans="1:14" ht="19" x14ac:dyDescent="0.25">
      <c r="A136" s="2" t="s">
        <v>29</v>
      </c>
      <c r="L136" s="4"/>
      <c r="M136" s="4"/>
      <c r="N136" s="4"/>
    </row>
    <row r="137" spans="1:14" ht="16" customHeight="1" x14ac:dyDescent="0.25">
      <c r="A137" s="2"/>
      <c r="B137" s="365" t="s">
        <v>212</v>
      </c>
      <c r="C137" s="366"/>
      <c r="D137" s="366"/>
      <c r="E137" s="366"/>
      <c r="F137" s="366"/>
      <c r="G137" s="366"/>
      <c r="H137" s="366"/>
      <c r="I137" s="366"/>
      <c r="L137" s="4"/>
      <c r="M137" s="4"/>
      <c r="N137" s="4"/>
    </row>
    <row r="138" spans="1:14" ht="16" customHeight="1" x14ac:dyDescent="0.25">
      <c r="A138" s="2"/>
      <c r="B138" s="366"/>
      <c r="C138" s="366"/>
      <c r="D138" s="366"/>
      <c r="E138" s="366"/>
      <c r="F138" s="366"/>
      <c r="G138" s="366"/>
      <c r="H138" s="366"/>
      <c r="I138" s="366"/>
      <c r="L138" s="4"/>
      <c r="M138" s="4"/>
      <c r="N138" s="4"/>
    </row>
    <row r="139" spans="1:14" ht="16" customHeight="1" x14ac:dyDescent="0.25">
      <c r="A139" s="2"/>
      <c r="B139" s="366"/>
      <c r="C139" s="366"/>
      <c r="D139" s="366"/>
      <c r="E139" s="366"/>
      <c r="F139" s="366"/>
      <c r="G139" s="366"/>
      <c r="H139" s="366"/>
      <c r="I139" s="366"/>
      <c r="L139" s="4"/>
      <c r="M139" s="4"/>
      <c r="N139" s="4"/>
    </row>
    <row r="140" spans="1:14" ht="16" customHeight="1" x14ac:dyDescent="0.25">
      <c r="A140" s="2"/>
      <c r="B140" s="366"/>
      <c r="C140" s="366"/>
      <c r="D140" s="366"/>
      <c r="E140" s="366"/>
      <c r="F140" s="366"/>
      <c r="G140" s="366"/>
      <c r="H140" s="366"/>
      <c r="I140" s="366"/>
      <c r="L140" s="4"/>
      <c r="M140" s="4"/>
      <c r="N140" s="4"/>
    </row>
    <row r="141" spans="1:14" ht="16" customHeight="1" x14ac:dyDescent="0.25">
      <c r="A141" s="2"/>
      <c r="B141" s="366"/>
      <c r="C141" s="366"/>
      <c r="D141" s="366"/>
      <c r="E141" s="366"/>
      <c r="F141" s="366"/>
      <c r="G141" s="366"/>
      <c r="H141" s="366"/>
      <c r="I141" s="366"/>
      <c r="L141" s="4"/>
      <c r="M141" s="4"/>
      <c r="N141" s="4"/>
    </row>
    <row r="142" spans="1:14" ht="16" customHeight="1" x14ac:dyDescent="0.25">
      <c r="A142" s="2"/>
      <c r="B142" s="366"/>
      <c r="C142" s="366"/>
      <c r="D142" s="366"/>
      <c r="E142" s="366"/>
      <c r="F142" s="366"/>
      <c r="G142" s="366"/>
      <c r="H142" s="366"/>
      <c r="I142" s="366"/>
      <c r="L142" s="4"/>
      <c r="M142" s="4"/>
      <c r="N142" s="4"/>
    </row>
    <row r="143" spans="1:14" ht="16" customHeight="1" x14ac:dyDescent="0.25">
      <c r="A143" s="2"/>
      <c r="B143" s="366"/>
      <c r="C143" s="366"/>
      <c r="D143" s="366"/>
      <c r="E143" s="366"/>
      <c r="F143" s="366"/>
      <c r="G143" s="366"/>
      <c r="H143" s="366"/>
      <c r="I143" s="366"/>
      <c r="L143" s="4"/>
      <c r="M143" s="4"/>
      <c r="N143" s="4"/>
    </row>
    <row r="144" spans="1:14" ht="16" customHeight="1" x14ac:dyDescent="0.25">
      <c r="A144" s="2"/>
      <c r="B144" s="366"/>
      <c r="C144" s="366"/>
      <c r="D144" s="366"/>
      <c r="E144" s="366"/>
      <c r="F144" s="366"/>
      <c r="G144" s="366"/>
      <c r="H144" s="366"/>
      <c r="I144" s="366"/>
      <c r="L144" s="4"/>
      <c r="M144" s="4"/>
      <c r="N144" s="4"/>
    </row>
    <row r="145" spans="1:65" ht="16" customHeight="1" x14ac:dyDescent="0.25">
      <c r="A145" s="2"/>
      <c r="B145" s="366"/>
      <c r="C145" s="366"/>
      <c r="D145" s="366"/>
      <c r="E145" s="366"/>
      <c r="F145" s="366"/>
      <c r="G145" s="366"/>
      <c r="H145" s="366"/>
      <c r="I145" s="366"/>
      <c r="L145" s="4"/>
      <c r="M145" s="4"/>
      <c r="N145" s="4"/>
    </row>
    <row r="146" spans="1:65" x14ac:dyDescent="0.2">
      <c r="A146" s="4"/>
      <c r="B146" s="75"/>
      <c r="C146" s="75"/>
      <c r="D146" s="75"/>
      <c r="E146" s="75"/>
      <c r="F146" s="75"/>
      <c r="G146" s="75"/>
      <c r="H146" s="75"/>
      <c r="I146" s="75"/>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row>
    <row r="147" spans="1:65" x14ac:dyDescent="0.2">
      <c r="A147" s="4"/>
      <c r="B147" s="367" t="s">
        <v>84</v>
      </c>
      <c r="C147" s="367"/>
      <c r="D147" s="367"/>
      <c r="E147" s="367"/>
      <c r="F147" s="368" t="s">
        <v>85</v>
      </c>
      <c r="G147" s="367"/>
      <c r="H147" s="367"/>
      <c r="I147" s="367"/>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row>
    <row r="148" spans="1:65" x14ac:dyDescent="0.2">
      <c r="A148" s="4"/>
      <c r="B148" s="362" t="s">
        <v>102</v>
      </c>
      <c r="C148" s="363"/>
      <c r="D148" s="363"/>
      <c r="E148" s="363"/>
      <c r="F148" s="153" t="s">
        <v>103</v>
      </c>
      <c r="G148" s="150"/>
      <c r="H148" s="150"/>
      <c r="I148" s="150"/>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row>
    <row r="149" spans="1:65" ht="16" customHeight="1" x14ac:dyDescent="0.2">
      <c r="A149" s="4"/>
      <c r="B149" s="362" t="s">
        <v>104</v>
      </c>
      <c r="C149" s="363"/>
      <c r="D149" s="363"/>
      <c r="E149" s="363"/>
      <c r="F149" s="362" t="s">
        <v>105</v>
      </c>
      <c r="G149" s="363"/>
      <c r="H149" s="363"/>
      <c r="I149" s="363"/>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row>
    <row r="150" spans="1:65" ht="16" customHeight="1" x14ac:dyDescent="0.2">
      <c r="A150" s="4"/>
      <c r="B150" s="75"/>
      <c r="C150" s="75"/>
      <c r="D150" s="75"/>
      <c r="E150" s="75"/>
      <c r="F150" s="362" t="s">
        <v>111</v>
      </c>
      <c r="G150" s="363"/>
      <c r="H150" s="363"/>
      <c r="I150" s="363"/>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row>
    <row r="151" spans="1:65" x14ac:dyDescent="0.2">
      <c r="A151" s="4"/>
      <c r="B151" s="75"/>
      <c r="C151" s="75"/>
      <c r="D151" s="75"/>
      <c r="E151" s="75"/>
      <c r="F151" s="75"/>
      <c r="G151" s="75"/>
      <c r="H151" s="75"/>
      <c r="I151" s="75"/>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row>
    <row r="152" spans="1:65" ht="19" x14ac:dyDescent="0.25">
      <c r="A152" s="4"/>
      <c r="B152" s="13" t="s">
        <v>216</v>
      </c>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row>
    <row r="153" spans="1:65" x14ac:dyDescent="0.2">
      <c r="A153" s="4"/>
      <c r="B153" s="381" t="s">
        <v>222</v>
      </c>
      <c r="C153" s="366"/>
      <c r="D153" s="366"/>
      <c r="E153" s="366"/>
      <c r="F153" s="366"/>
      <c r="G153" s="366"/>
      <c r="H153" s="366"/>
      <c r="I153" s="366"/>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row>
    <row r="154" spans="1:65" x14ac:dyDescent="0.2">
      <c r="A154" s="4"/>
      <c r="B154" s="382"/>
      <c r="C154" s="366"/>
      <c r="D154" s="366"/>
      <c r="E154" s="366"/>
      <c r="F154" s="366"/>
      <c r="G154" s="366"/>
      <c r="H154" s="366"/>
      <c r="I154" s="366"/>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row>
    <row r="155" spans="1:65" x14ac:dyDescent="0.2">
      <c r="A155" s="4"/>
      <c r="B155" s="133"/>
      <c r="C155" s="133"/>
      <c r="D155" s="133"/>
      <c r="E155" s="133"/>
      <c r="F155" s="133"/>
      <c r="G155" s="133"/>
      <c r="H155" s="133"/>
      <c r="I155" s="133"/>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row>
    <row r="156" spans="1:65" x14ac:dyDescent="0.2">
      <c r="A156" s="4"/>
      <c r="B156" s="133"/>
      <c r="C156" s="133"/>
      <c r="D156" s="133"/>
      <c r="E156" s="133"/>
      <c r="F156" s="133"/>
      <c r="G156" s="133"/>
      <c r="H156" s="133"/>
      <c r="I156" s="133"/>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row>
    <row r="157" spans="1:65" x14ac:dyDescent="0.2">
      <c r="A157" s="4"/>
      <c r="B157" s="133"/>
      <c r="C157" s="133"/>
      <c r="D157" s="133"/>
      <c r="E157" s="133"/>
      <c r="F157" s="133"/>
      <c r="G157" s="133"/>
      <c r="H157" s="133"/>
      <c r="I157" s="133"/>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row>
    <row r="158" spans="1:65" x14ac:dyDescent="0.2">
      <c r="A158" s="4"/>
      <c r="B158" s="75"/>
      <c r="C158" s="75"/>
      <c r="D158" s="75"/>
      <c r="E158" s="75"/>
      <c r="F158" s="75"/>
      <c r="G158" s="75"/>
      <c r="H158" s="75"/>
      <c r="I158" s="75"/>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row>
    <row r="159" spans="1:65" x14ac:dyDescent="0.2">
      <c r="A159" s="4"/>
      <c r="C159" s="383" t="s">
        <v>217</v>
      </c>
      <c r="D159" s="383"/>
      <c r="E159" s="383"/>
      <c r="F159" s="75"/>
      <c r="G159" s="75"/>
      <c r="H159" s="75"/>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row>
    <row r="160" spans="1:65" x14ac:dyDescent="0.2">
      <c r="A160" s="4"/>
      <c r="B160" s="245"/>
      <c r="C160" s="247" t="s">
        <v>203</v>
      </c>
      <c r="D160" s="247" t="s">
        <v>204</v>
      </c>
      <c r="E160" s="247" t="s">
        <v>205</v>
      </c>
      <c r="F160" s="75"/>
      <c r="G160" s="75"/>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row>
    <row r="161" spans="1:65" x14ac:dyDescent="0.2">
      <c r="A161" s="4"/>
      <c r="B161" s="246" t="s">
        <v>203</v>
      </c>
      <c r="C161" s="283">
        <f>F61</f>
        <v>2380.1052776644324</v>
      </c>
      <c r="D161" s="284">
        <v>0</v>
      </c>
      <c r="E161" s="285">
        <v>0</v>
      </c>
      <c r="F161" s="75"/>
      <c r="G161" s="75"/>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row>
    <row r="162" spans="1:65" x14ac:dyDescent="0.2">
      <c r="A162" s="4"/>
      <c r="B162" s="246" t="s">
        <v>204</v>
      </c>
      <c r="C162" s="286">
        <v>0</v>
      </c>
      <c r="D162" s="274">
        <f>E62</f>
        <v>5512.0947372475903</v>
      </c>
      <c r="E162" s="287">
        <v>0</v>
      </c>
      <c r="F162" s="75"/>
      <c r="G162" s="75"/>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row>
    <row r="163" spans="1:65" x14ac:dyDescent="0.2">
      <c r="A163" s="4"/>
      <c r="B163" s="246" t="s">
        <v>205</v>
      </c>
      <c r="C163" s="288">
        <v>0</v>
      </c>
      <c r="D163" s="289">
        <v>0</v>
      </c>
      <c r="E163" s="290">
        <f>F62</f>
        <v>2381.5337693356787</v>
      </c>
      <c r="F163" s="75"/>
      <c r="G163" s="75"/>
      <c r="H163" s="75"/>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row>
    <row r="164" spans="1:65" x14ac:dyDescent="0.2">
      <c r="A164" s="4"/>
      <c r="B164" s="75"/>
      <c r="C164" s="75"/>
      <c r="D164" s="75"/>
      <c r="E164" s="75"/>
      <c r="F164" s="75"/>
      <c r="G164" s="75"/>
      <c r="H164" s="75"/>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row>
    <row r="165" spans="1:65" x14ac:dyDescent="0.2">
      <c r="A165" s="4"/>
      <c r="C165" s="376" t="s">
        <v>218</v>
      </c>
      <c r="D165" s="376"/>
      <c r="E165" s="376"/>
      <c r="F165" s="376"/>
      <c r="G165" s="376"/>
      <c r="H165" s="75"/>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row>
    <row r="166" spans="1:65" x14ac:dyDescent="0.2">
      <c r="A166" s="4"/>
      <c r="B166" s="273" t="s">
        <v>206</v>
      </c>
      <c r="C166" s="247" t="s">
        <v>186</v>
      </c>
      <c r="D166" s="247" t="s">
        <v>187</v>
      </c>
      <c r="E166" s="247" t="s">
        <v>188</v>
      </c>
      <c r="F166" s="247" t="s">
        <v>189</v>
      </c>
      <c r="G166" s="247" t="s">
        <v>190</v>
      </c>
      <c r="H166" s="75"/>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row>
    <row r="167" spans="1:65" x14ac:dyDescent="0.2">
      <c r="A167" s="4"/>
      <c r="B167" s="243" t="s">
        <v>199</v>
      </c>
      <c r="C167" s="248">
        <v>0</v>
      </c>
      <c r="D167" s="249">
        <v>1</v>
      </c>
      <c r="E167" s="234">
        <v>0</v>
      </c>
      <c r="F167" s="234">
        <v>0</v>
      </c>
      <c r="G167" s="250">
        <v>1</v>
      </c>
      <c r="H167" s="75"/>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row>
    <row r="168" spans="1:65" x14ac:dyDescent="0.2">
      <c r="A168" s="4"/>
      <c r="B168" s="243" t="s">
        <v>200</v>
      </c>
      <c r="C168" s="118">
        <v>0</v>
      </c>
      <c r="D168" s="116">
        <v>0</v>
      </c>
      <c r="E168" s="251">
        <v>1</v>
      </c>
      <c r="F168" s="251">
        <v>1</v>
      </c>
      <c r="G168" s="117">
        <v>0</v>
      </c>
      <c r="H168" s="75"/>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row>
    <row r="169" spans="1:65" x14ac:dyDescent="0.2">
      <c r="A169" s="4"/>
      <c r="B169" s="243" t="s">
        <v>201</v>
      </c>
      <c r="C169" s="135">
        <v>0</v>
      </c>
      <c r="D169" s="122">
        <v>0</v>
      </c>
      <c r="E169" s="252">
        <v>1</v>
      </c>
      <c r="F169" s="122">
        <v>0</v>
      </c>
      <c r="G169" s="253">
        <v>1</v>
      </c>
      <c r="H169" s="75"/>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row>
    <row r="170" spans="1:65" x14ac:dyDescent="0.2">
      <c r="A170" s="4"/>
      <c r="B170" s="75"/>
      <c r="C170" s="75"/>
      <c r="D170" s="75"/>
      <c r="E170" s="75"/>
      <c r="F170" s="75"/>
      <c r="G170" s="75"/>
      <c r="H170" s="75"/>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row>
    <row r="171" spans="1:65" x14ac:dyDescent="0.2">
      <c r="A171" s="4"/>
      <c r="C171" s="376" t="s">
        <v>202</v>
      </c>
      <c r="D171" s="376"/>
      <c r="E171" s="376"/>
      <c r="F171" s="376"/>
      <c r="G171" s="376"/>
      <c r="H171" s="75"/>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row>
    <row r="172" spans="1:65" x14ac:dyDescent="0.2">
      <c r="A172" s="4"/>
      <c r="B172" s="273" t="s">
        <v>206</v>
      </c>
      <c r="C172" s="247" t="s">
        <v>186</v>
      </c>
      <c r="D172" s="247" t="s">
        <v>187</v>
      </c>
      <c r="E172" s="247" t="s">
        <v>188</v>
      </c>
      <c r="F172" s="247" t="s">
        <v>189</v>
      </c>
      <c r="G172" s="247" t="s">
        <v>190</v>
      </c>
      <c r="H172" s="75"/>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row>
    <row r="173" spans="1:65" x14ac:dyDescent="0.2">
      <c r="A173" s="4"/>
      <c r="B173" s="243" t="s">
        <v>199</v>
      </c>
      <c r="C173" s="248" cm="1">
        <f t="array" ref="C173:G175">MMULT(C161:E163,C167:G169)</f>
        <v>0</v>
      </c>
      <c r="D173" s="249">
        <v>2380.1052776644324</v>
      </c>
      <c r="E173" s="234">
        <v>0</v>
      </c>
      <c r="F173" s="234">
        <v>0</v>
      </c>
      <c r="G173" s="250">
        <v>2380.1052776644324</v>
      </c>
      <c r="H173" s="75"/>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row>
    <row r="174" spans="1:65" x14ac:dyDescent="0.2">
      <c r="A174" s="4"/>
      <c r="B174" s="243" t="s">
        <v>200</v>
      </c>
      <c r="C174" s="118">
        <v>0</v>
      </c>
      <c r="D174" s="116">
        <v>0</v>
      </c>
      <c r="E174" s="251">
        <v>5512.0947372475903</v>
      </c>
      <c r="F174" s="251">
        <v>5512.0947372475903</v>
      </c>
      <c r="G174" s="117">
        <v>0</v>
      </c>
      <c r="H174" s="75"/>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row>
    <row r="175" spans="1:65" x14ac:dyDescent="0.2">
      <c r="A175" s="4"/>
      <c r="B175" s="243" t="s">
        <v>201</v>
      </c>
      <c r="C175" s="135">
        <v>0</v>
      </c>
      <c r="D175" s="122">
        <v>0</v>
      </c>
      <c r="E175" s="252">
        <v>2381.5337693356787</v>
      </c>
      <c r="F175" s="122">
        <v>0</v>
      </c>
      <c r="G175" s="253">
        <v>2381.5337693356787</v>
      </c>
      <c r="H175" s="75"/>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row>
    <row r="176" spans="1:65" x14ac:dyDescent="0.2">
      <c r="A176" s="4"/>
      <c r="B176" s="75"/>
      <c r="C176" s="75"/>
      <c r="D176" s="75"/>
      <c r="E176" s="75"/>
      <c r="F176" s="75"/>
      <c r="G176" s="75"/>
      <c r="H176" s="75"/>
      <c r="I176" s="75"/>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ht="19" x14ac:dyDescent="0.25">
      <c r="A177" s="2" t="s">
        <v>86</v>
      </c>
      <c r="B177" s="13"/>
    </row>
    <row r="178" spans="1:65" ht="18" customHeight="1" x14ac:dyDescent="0.2">
      <c r="A178" s="4"/>
      <c r="B178" s="374" t="s">
        <v>213</v>
      </c>
      <c r="C178" s="366"/>
      <c r="D178" s="379" t="s">
        <v>214</v>
      </c>
      <c r="E178" s="380"/>
      <c r="F178" s="380"/>
      <c r="G178" s="380"/>
      <c r="H178" s="380"/>
      <c r="I178" s="380"/>
      <c r="J178" s="380"/>
      <c r="K178" s="134"/>
    </row>
    <row r="179" spans="1:65" ht="18" customHeight="1" x14ac:dyDescent="0.2">
      <c r="A179" s="4"/>
      <c r="B179" s="366"/>
      <c r="C179" s="366"/>
      <c r="D179" s="380"/>
      <c r="E179" s="380"/>
      <c r="F179" s="380"/>
      <c r="G179" s="380"/>
      <c r="H179" s="380"/>
      <c r="I179" s="380"/>
      <c r="J179" s="380"/>
      <c r="K179" s="134"/>
    </row>
    <row r="180" spans="1:65" x14ac:dyDescent="0.2">
      <c r="A180" s="4"/>
      <c r="B180" s="75"/>
      <c r="C180" s="75"/>
      <c r="D180" s="75"/>
      <c r="E180" s="75"/>
      <c r="F180" s="75"/>
      <c r="G180" s="75"/>
      <c r="H180" s="75"/>
      <c r="I180" s="75"/>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row>
    <row r="181" spans="1:65" ht="19" x14ac:dyDescent="0.25">
      <c r="A181" s="2" t="s">
        <v>87</v>
      </c>
      <c r="B181" s="159"/>
      <c r="C181" s="159"/>
      <c r="D181" s="159"/>
      <c r="E181" s="159"/>
      <c r="F181" s="159"/>
      <c r="G181" s="159"/>
      <c r="H181" s="159"/>
      <c r="I181" s="159"/>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374" t="s">
        <v>215</v>
      </c>
      <c r="C182" s="375"/>
      <c r="D182" s="375"/>
      <c r="E182" s="375"/>
      <c r="F182" s="375"/>
      <c r="G182" s="375"/>
      <c r="H182" s="375"/>
      <c r="I182" s="375"/>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375"/>
      <c r="C183" s="375"/>
      <c r="D183" s="375"/>
      <c r="E183" s="375"/>
      <c r="F183" s="375"/>
      <c r="G183" s="375"/>
      <c r="H183" s="375"/>
      <c r="I183" s="375"/>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ht="19" x14ac:dyDescent="0.25">
      <c r="A185" s="2" t="s">
        <v>31</v>
      </c>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152" t="s">
        <v>107</v>
      </c>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x14ac:dyDescent="0.2">
      <c r="A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x14ac:dyDescent="0.2">
      <c r="A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sheetData>
  <mergeCells count="34">
    <mergeCell ref="B182:I183"/>
    <mergeCell ref="B83:I85"/>
    <mergeCell ref="D71:H71"/>
    <mergeCell ref="D90:H90"/>
    <mergeCell ref="C103:F103"/>
    <mergeCell ref="D109:E109"/>
    <mergeCell ref="B96:I98"/>
    <mergeCell ref="F150:I150"/>
    <mergeCell ref="B178:C179"/>
    <mergeCell ref="D178:J179"/>
    <mergeCell ref="B153:I154"/>
    <mergeCell ref="C165:G165"/>
    <mergeCell ref="C171:G171"/>
    <mergeCell ref="C159:E159"/>
    <mergeCell ref="D34:E34"/>
    <mergeCell ref="D29:E29"/>
    <mergeCell ref="D23:F23"/>
    <mergeCell ref="B148:E148"/>
    <mergeCell ref="B149:E149"/>
    <mergeCell ref="F149:I149"/>
    <mergeCell ref="B112:I112"/>
    <mergeCell ref="B122:I123"/>
    <mergeCell ref="B137:I145"/>
    <mergeCell ref="B147:E147"/>
    <mergeCell ref="F147:I147"/>
    <mergeCell ref="C130:E130"/>
    <mergeCell ref="D116:E116"/>
    <mergeCell ref="B51:I52"/>
    <mergeCell ref="B66:I67"/>
    <mergeCell ref="B4:I5"/>
    <mergeCell ref="C13:C14"/>
    <mergeCell ref="D13:E13"/>
    <mergeCell ref="F13:G13"/>
    <mergeCell ref="C7:F7"/>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1030-9C9A-2841-BC89-97C55CEC5650}">
  <dimension ref="A1:BM212"/>
  <sheetViews>
    <sheetView showGridLines="0" zoomScale="120" zoomScaleNormal="120" workbookViewId="0"/>
  </sheetViews>
  <sheetFormatPr baseColWidth="10" defaultColWidth="10.83203125" defaultRowHeight="16" x14ac:dyDescent="0.2"/>
  <cols>
    <col min="1" max="1" width="10.83203125" style="78"/>
    <col min="2" max="3" width="10.83203125" style="78" customWidth="1"/>
    <col min="4" max="5" width="10.83203125" style="78"/>
    <col min="6" max="7" width="10.83203125" style="78" customWidth="1"/>
    <col min="8" max="9" width="10.83203125" style="78"/>
    <col min="10" max="10" width="10.83203125" style="78" customWidth="1"/>
    <col min="11" max="16384" width="10.83203125" style="78"/>
  </cols>
  <sheetData>
    <row r="1" spans="1:10" ht="19" x14ac:dyDescent="0.25">
      <c r="A1" s="1" t="s">
        <v>158</v>
      </c>
      <c r="B1" s="76"/>
      <c r="C1" s="76"/>
      <c r="D1" s="76"/>
      <c r="E1" s="76"/>
      <c r="F1" s="76"/>
      <c r="G1" s="76"/>
      <c r="H1" s="76"/>
      <c r="I1" s="76"/>
      <c r="J1" s="77"/>
    </row>
    <row r="2" spans="1:10" x14ac:dyDescent="0.2">
      <c r="A2" s="79"/>
      <c r="B2" s="76"/>
      <c r="C2" s="76"/>
      <c r="D2" s="76"/>
      <c r="E2" s="76"/>
      <c r="F2" s="76"/>
      <c r="G2" s="76"/>
      <c r="H2" s="76"/>
      <c r="I2" s="76"/>
      <c r="J2" s="77"/>
    </row>
    <row r="3" spans="1:10" x14ac:dyDescent="0.2">
      <c r="A3" s="80"/>
      <c r="B3" s="61" t="s">
        <v>83</v>
      </c>
      <c r="C3" s="76"/>
      <c r="D3" s="76"/>
      <c r="E3" s="76"/>
      <c r="F3" s="76"/>
      <c r="G3" s="76"/>
      <c r="H3" s="76"/>
      <c r="I3" s="76"/>
      <c r="J3" s="77"/>
    </row>
    <row r="4" spans="1:10" ht="16" customHeight="1" x14ac:dyDescent="0.2">
      <c r="A4" s="80"/>
      <c r="B4" s="394" t="s">
        <v>155</v>
      </c>
      <c r="C4" s="349"/>
      <c r="D4" s="349"/>
      <c r="E4" s="349"/>
      <c r="F4" s="349"/>
      <c r="G4" s="349"/>
      <c r="H4" s="349"/>
      <c r="I4" s="349"/>
      <c r="J4" s="77"/>
    </row>
    <row r="5" spans="1:10" ht="16" customHeight="1" x14ac:dyDescent="0.2">
      <c r="A5" s="80"/>
      <c r="B5" s="349"/>
      <c r="C5" s="349"/>
      <c r="D5" s="349"/>
      <c r="E5" s="349"/>
      <c r="F5" s="349"/>
      <c r="G5" s="349"/>
      <c r="H5" s="349"/>
      <c r="I5" s="349"/>
      <c r="J5" s="77"/>
    </row>
    <row r="6" spans="1:10" x14ac:dyDescent="0.2">
      <c r="A6" s="79"/>
      <c r="B6" s="76"/>
      <c r="C6" s="76"/>
      <c r="D6" s="76"/>
      <c r="E6" s="76"/>
      <c r="F6" s="76"/>
      <c r="G6" s="76"/>
      <c r="H6" s="76"/>
      <c r="I6" s="76"/>
      <c r="J6" s="77"/>
    </row>
    <row r="7" spans="1:10" ht="18" x14ac:dyDescent="0.25">
      <c r="A7" s="79"/>
      <c r="B7" s="76"/>
      <c r="C7" s="352" t="s">
        <v>113</v>
      </c>
      <c r="D7" s="395"/>
      <c r="E7" s="395"/>
      <c r="F7" s="395"/>
      <c r="G7" s="353"/>
      <c r="H7" s="76"/>
      <c r="I7" s="76"/>
      <c r="J7" s="77"/>
    </row>
    <row r="8" spans="1:10" ht="17" x14ac:dyDescent="0.2">
      <c r="A8" s="79"/>
      <c r="B8" s="76"/>
      <c r="C8" s="84" t="s">
        <v>7</v>
      </c>
      <c r="D8" s="85" t="s">
        <v>3</v>
      </c>
      <c r="E8" s="85" t="s">
        <v>4</v>
      </c>
      <c r="F8" s="85" t="s">
        <v>5</v>
      </c>
      <c r="G8" s="86" t="s">
        <v>6</v>
      </c>
      <c r="H8" s="76"/>
      <c r="I8" s="76"/>
      <c r="J8" s="77"/>
    </row>
    <row r="9" spans="1:10" x14ac:dyDescent="0.2">
      <c r="A9" s="79"/>
      <c r="B9" s="76"/>
      <c r="C9" s="87">
        <v>2020</v>
      </c>
      <c r="D9" s="88">
        <v>4220</v>
      </c>
      <c r="E9" s="88">
        <v>4970</v>
      </c>
      <c r="F9" s="88">
        <v>2640</v>
      </c>
      <c r="G9" s="89">
        <v>1210</v>
      </c>
      <c r="H9" s="76"/>
      <c r="I9" s="76"/>
      <c r="J9" s="77"/>
    </row>
    <row r="10" spans="1:10" x14ac:dyDescent="0.2">
      <c r="A10" s="79"/>
      <c r="B10" s="76"/>
      <c r="C10" s="90">
        <v>2021</v>
      </c>
      <c r="D10" s="91">
        <v>4480</v>
      </c>
      <c r="E10" s="91">
        <v>4360</v>
      </c>
      <c r="F10" s="91">
        <v>2360</v>
      </c>
      <c r="G10" s="92"/>
      <c r="H10" s="76"/>
      <c r="I10" s="76"/>
      <c r="J10" s="77"/>
    </row>
    <row r="11" spans="1:10" x14ac:dyDescent="0.2">
      <c r="A11" s="79"/>
      <c r="B11" s="76"/>
      <c r="C11" s="90">
        <v>2022</v>
      </c>
      <c r="D11" s="91">
        <v>3130</v>
      </c>
      <c r="E11" s="91">
        <v>3610</v>
      </c>
      <c r="F11" s="93"/>
      <c r="G11" s="92"/>
      <c r="H11" s="76"/>
      <c r="I11" s="76"/>
      <c r="J11" s="77"/>
    </row>
    <row r="12" spans="1:10" x14ac:dyDescent="0.2">
      <c r="A12" s="79"/>
      <c r="B12" s="76"/>
      <c r="C12" s="94">
        <v>2023</v>
      </c>
      <c r="D12" s="95">
        <v>4460</v>
      </c>
      <c r="E12" s="96"/>
      <c r="F12" s="96"/>
      <c r="G12" s="97"/>
      <c r="H12" s="76"/>
      <c r="I12" s="76"/>
      <c r="J12" s="77"/>
    </row>
    <row r="13" spans="1:10" x14ac:dyDescent="0.2">
      <c r="A13" s="80"/>
      <c r="B13" s="76"/>
      <c r="C13" s="76"/>
      <c r="D13" s="76"/>
      <c r="E13" s="76"/>
      <c r="F13" s="76"/>
      <c r="G13" s="76"/>
      <c r="H13" s="76"/>
      <c r="I13" s="76"/>
      <c r="J13" s="77"/>
    </row>
    <row r="14" spans="1:10" x14ac:dyDescent="0.2">
      <c r="A14" s="80"/>
      <c r="B14" s="151" t="s">
        <v>114</v>
      </c>
      <c r="C14" s="76"/>
      <c r="D14" s="76"/>
      <c r="E14" s="76"/>
      <c r="F14" s="76"/>
      <c r="G14" s="76"/>
      <c r="H14" s="76"/>
      <c r="I14" s="76"/>
      <c r="J14" s="77"/>
    </row>
    <row r="15" spans="1:10" x14ac:dyDescent="0.2">
      <c r="A15" s="80"/>
      <c r="B15" s="76"/>
      <c r="C15" s="76"/>
      <c r="D15" s="76"/>
      <c r="E15" s="76"/>
      <c r="F15" s="76"/>
      <c r="G15" s="76"/>
      <c r="H15" s="76"/>
      <c r="I15" s="76"/>
      <c r="J15" s="77"/>
    </row>
    <row r="16" spans="1:10" x14ac:dyDescent="0.2">
      <c r="A16" s="80"/>
      <c r="B16" s="76"/>
      <c r="C16" s="350" t="s">
        <v>17</v>
      </c>
      <c r="D16" s="99" t="s">
        <v>108</v>
      </c>
      <c r="E16" s="155" t="s">
        <v>109</v>
      </c>
      <c r="F16" s="98"/>
      <c r="G16" s="76"/>
      <c r="H16" s="76"/>
      <c r="I16" s="76"/>
      <c r="J16" s="77"/>
    </row>
    <row r="17" spans="1:10" x14ac:dyDescent="0.2">
      <c r="A17" s="80"/>
      <c r="B17" s="76"/>
      <c r="C17" s="351"/>
      <c r="D17" s="105" t="s">
        <v>88</v>
      </c>
      <c r="E17" s="154" t="s">
        <v>88</v>
      </c>
      <c r="F17" s="98"/>
      <c r="G17" s="76"/>
      <c r="H17" s="76"/>
      <c r="I17" s="76"/>
      <c r="J17" s="77"/>
    </row>
    <row r="18" spans="1:10" x14ac:dyDescent="0.2">
      <c r="A18" s="80"/>
      <c r="B18" s="76"/>
      <c r="C18" s="99">
        <v>1</v>
      </c>
      <c r="D18" s="100">
        <v>9.4760000000000009</v>
      </c>
      <c r="E18" s="101">
        <v>-1.081</v>
      </c>
      <c r="F18" s="98"/>
      <c r="G18" s="76"/>
      <c r="H18" s="76"/>
      <c r="I18" s="76"/>
      <c r="J18" s="77"/>
    </row>
    <row r="19" spans="1:10" x14ac:dyDescent="0.2">
      <c r="A19" s="80"/>
      <c r="B19" s="76"/>
      <c r="C19" s="102">
        <v>2</v>
      </c>
      <c r="D19" s="103">
        <v>9.4209999999999994</v>
      </c>
      <c r="E19" s="104">
        <v>-0.99099999999999999</v>
      </c>
      <c r="F19" s="98"/>
      <c r="G19" s="76"/>
      <c r="H19" s="76"/>
      <c r="I19" s="76"/>
      <c r="J19" s="77"/>
    </row>
    <row r="20" spans="1:10" x14ac:dyDescent="0.2">
      <c r="A20" s="80"/>
      <c r="B20" s="76"/>
      <c r="C20" s="102">
        <v>3</v>
      </c>
      <c r="D20" s="103">
        <v>9.1579999999999995</v>
      </c>
      <c r="E20" s="104">
        <v>-1.625</v>
      </c>
      <c r="F20" s="98"/>
      <c r="G20" s="76"/>
      <c r="H20" s="76"/>
      <c r="I20" s="76"/>
      <c r="J20" s="77"/>
    </row>
    <row r="21" spans="1:10" x14ac:dyDescent="0.2">
      <c r="A21" s="80"/>
      <c r="B21" s="76"/>
      <c r="C21" s="105">
        <v>4</v>
      </c>
      <c r="D21" s="106">
        <v>9.484</v>
      </c>
      <c r="E21" s="107">
        <v>-2.3769999999999998</v>
      </c>
      <c r="F21" s="98"/>
      <c r="G21" s="76"/>
      <c r="H21" s="76"/>
      <c r="I21" s="76"/>
      <c r="J21" s="77"/>
    </row>
    <row r="22" spans="1:10" x14ac:dyDescent="0.2">
      <c r="A22" s="80"/>
      <c r="B22" s="108"/>
      <c r="C22" s="109"/>
      <c r="D22" s="109"/>
      <c r="E22" s="98"/>
      <c r="F22" s="98"/>
      <c r="G22" s="76"/>
      <c r="H22" s="76"/>
      <c r="I22" s="76"/>
      <c r="J22" s="77"/>
    </row>
    <row r="23" spans="1:10" x14ac:dyDescent="0.2">
      <c r="A23" s="80"/>
      <c r="B23" s="76" t="s">
        <v>90</v>
      </c>
      <c r="C23" s="98"/>
      <c r="D23" s="170">
        <v>26.4</v>
      </c>
      <c r="E23" s="98"/>
      <c r="F23" s="98"/>
      <c r="G23" s="76"/>
      <c r="H23" s="76"/>
      <c r="I23" s="76"/>
      <c r="J23" s="77"/>
    </row>
    <row r="24" spans="1:10" x14ac:dyDescent="0.2">
      <c r="A24" s="80"/>
      <c r="B24" s="76"/>
      <c r="C24" s="98"/>
      <c r="D24" s="110"/>
      <c r="E24" s="98"/>
      <c r="F24" s="76" t="s">
        <v>135</v>
      </c>
      <c r="G24" s="76"/>
      <c r="H24" s="76"/>
      <c r="I24" s="76"/>
      <c r="J24" s="77"/>
    </row>
    <row r="25" spans="1:10" x14ac:dyDescent="0.2">
      <c r="A25" s="80"/>
      <c r="B25" s="64" t="s">
        <v>119</v>
      </c>
      <c r="C25" s="65"/>
      <c r="D25" s="66"/>
      <c r="E25" s="65"/>
      <c r="F25" s="67"/>
      <c r="G25" s="67"/>
      <c r="H25" s="67"/>
      <c r="I25" s="67"/>
      <c r="J25" s="77"/>
    </row>
    <row r="26" spans="1:10" x14ac:dyDescent="0.2">
      <c r="A26" s="80"/>
      <c r="B26" s="67"/>
      <c r="C26" s="65"/>
      <c r="D26" s="66"/>
      <c r="E26" s="65"/>
      <c r="F26" s="67"/>
      <c r="G26" s="67"/>
      <c r="H26" s="67"/>
      <c r="I26" s="67"/>
      <c r="J26" s="77"/>
    </row>
    <row r="27" spans="1:10" x14ac:dyDescent="0.2">
      <c r="A27" s="80"/>
      <c r="B27" s="67"/>
      <c r="C27" s="68" t="s">
        <v>7</v>
      </c>
      <c r="D27" s="69" t="s">
        <v>115</v>
      </c>
      <c r="E27" s="70" t="s">
        <v>116</v>
      </c>
      <c r="F27" s="70" t="s">
        <v>117</v>
      </c>
      <c r="G27" s="71" t="s">
        <v>118</v>
      </c>
      <c r="H27" s="67"/>
      <c r="I27" s="67"/>
      <c r="J27" s="77"/>
    </row>
    <row r="28" spans="1:10" x14ac:dyDescent="0.2">
      <c r="A28" s="80"/>
      <c r="B28" s="67"/>
      <c r="C28" s="72">
        <v>2020</v>
      </c>
      <c r="D28" s="171">
        <v>1</v>
      </c>
      <c r="E28" s="172">
        <v>2</v>
      </c>
      <c r="F28" s="172">
        <v>3</v>
      </c>
      <c r="G28" s="173" t="s">
        <v>181</v>
      </c>
      <c r="H28" s="67"/>
      <c r="I28" s="67"/>
      <c r="J28" s="77"/>
    </row>
    <row r="29" spans="1:10" x14ac:dyDescent="0.2">
      <c r="A29" s="80"/>
      <c r="B29" s="67"/>
      <c r="C29" s="73">
        <v>2021</v>
      </c>
      <c r="D29" s="174">
        <v>4</v>
      </c>
      <c r="E29" s="175">
        <v>5</v>
      </c>
      <c r="F29" s="175">
        <v>6</v>
      </c>
      <c r="G29" s="176"/>
      <c r="H29" s="67"/>
      <c r="I29" s="67"/>
      <c r="J29" s="77"/>
    </row>
    <row r="30" spans="1:10" x14ac:dyDescent="0.2">
      <c r="A30" s="80"/>
      <c r="B30" s="67"/>
      <c r="C30" s="73">
        <v>2022</v>
      </c>
      <c r="D30" s="174">
        <v>7</v>
      </c>
      <c r="E30" s="175">
        <v>8</v>
      </c>
      <c r="F30" s="177"/>
      <c r="G30" s="176"/>
      <c r="H30" s="67"/>
      <c r="I30" s="67"/>
      <c r="J30" s="77"/>
    </row>
    <row r="31" spans="1:10" x14ac:dyDescent="0.2">
      <c r="A31" s="80"/>
      <c r="B31" s="67"/>
      <c r="C31" s="74">
        <v>2023</v>
      </c>
      <c r="D31" s="178" t="s">
        <v>181</v>
      </c>
      <c r="E31" s="179"/>
      <c r="F31" s="179"/>
      <c r="G31" s="180"/>
      <c r="H31" s="67"/>
      <c r="I31" s="67"/>
      <c r="J31" s="77"/>
    </row>
    <row r="32" spans="1:10" x14ac:dyDescent="0.2">
      <c r="A32" s="80"/>
      <c r="B32" s="67"/>
      <c r="C32" s="65"/>
      <c r="D32" s="66"/>
      <c r="E32" s="65"/>
      <c r="F32" s="67"/>
      <c r="G32" s="67"/>
      <c r="H32" s="67"/>
      <c r="I32" s="67"/>
      <c r="J32" s="77"/>
    </row>
    <row r="33" spans="1:10" x14ac:dyDescent="0.2">
      <c r="A33" s="80"/>
      <c r="B33" s="397" t="s">
        <v>133</v>
      </c>
      <c r="C33" s="397"/>
      <c r="D33" s="397"/>
      <c r="E33" s="397"/>
      <c r="F33" s="397"/>
      <c r="G33" s="397"/>
      <c r="H33" s="397"/>
      <c r="I33" s="397"/>
      <c r="J33" s="77"/>
    </row>
    <row r="34" spans="1:10" x14ac:dyDescent="0.2">
      <c r="A34" s="80"/>
      <c r="B34" s="397"/>
      <c r="C34" s="397"/>
      <c r="D34" s="397"/>
      <c r="E34" s="397"/>
      <c r="F34" s="397"/>
      <c r="G34" s="397"/>
      <c r="H34" s="397"/>
      <c r="I34" s="397"/>
      <c r="J34" s="77"/>
    </row>
    <row r="35" spans="1:10" x14ac:dyDescent="0.2">
      <c r="A35" s="80"/>
      <c r="B35" s="181"/>
      <c r="C35" s="177"/>
      <c r="D35" s="177"/>
      <c r="E35" s="177"/>
      <c r="F35" s="177"/>
      <c r="G35" s="182"/>
      <c r="H35" s="182"/>
      <c r="I35" s="182"/>
      <c r="J35" s="77"/>
    </row>
    <row r="36" spans="1:10" x14ac:dyDescent="0.2">
      <c r="A36" s="80"/>
      <c r="B36" s="183"/>
      <c r="C36" s="184" t="s">
        <v>7</v>
      </c>
      <c r="D36" s="185" t="s">
        <v>115</v>
      </c>
      <c r="E36" s="186" t="s">
        <v>116</v>
      </c>
      <c r="F36" s="186" t="s">
        <v>117</v>
      </c>
      <c r="G36" s="187" t="s">
        <v>118</v>
      </c>
      <c r="H36" s="182"/>
      <c r="I36" s="182"/>
      <c r="J36" s="77"/>
    </row>
    <row r="37" spans="1:10" x14ac:dyDescent="0.2">
      <c r="A37" s="80"/>
      <c r="B37" s="183"/>
      <c r="C37" s="188">
        <v>2020</v>
      </c>
      <c r="D37" s="189">
        <v>4</v>
      </c>
      <c r="E37" s="190">
        <v>7</v>
      </c>
      <c r="F37" s="190">
        <v>2</v>
      </c>
      <c r="G37" s="191">
        <v>5</v>
      </c>
      <c r="H37" s="182"/>
      <c r="I37" s="182"/>
      <c r="J37" s="77"/>
    </row>
    <row r="38" spans="1:10" x14ac:dyDescent="0.2">
      <c r="A38" s="80"/>
      <c r="B38" s="183"/>
      <c r="C38" s="192">
        <v>2021</v>
      </c>
      <c r="D38" s="193">
        <v>8</v>
      </c>
      <c r="E38" s="194">
        <v>3</v>
      </c>
      <c r="F38" s="195">
        <v>2</v>
      </c>
      <c r="G38" s="196">
        <v>1</v>
      </c>
      <c r="H38" s="182"/>
      <c r="I38" s="182"/>
      <c r="J38" s="77"/>
    </row>
    <row r="39" spans="1:10" x14ac:dyDescent="0.2">
      <c r="A39" s="80"/>
      <c r="B39" s="183"/>
      <c r="C39" s="192">
        <v>2022</v>
      </c>
      <c r="D39" s="193">
        <v>1</v>
      </c>
      <c r="E39" s="195">
        <v>2</v>
      </c>
      <c r="F39" s="194">
        <v>5</v>
      </c>
      <c r="G39" s="196">
        <v>3</v>
      </c>
      <c r="H39" s="182"/>
      <c r="I39" s="182"/>
      <c r="J39" s="77"/>
    </row>
    <row r="40" spans="1:10" x14ac:dyDescent="0.2">
      <c r="A40" s="80"/>
      <c r="B40" s="183"/>
      <c r="C40" s="197">
        <v>2023</v>
      </c>
      <c r="D40" s="197">
        <v>4</v>
      </c>
      <c r="E40" s="198">
        <v>4</v>
      </c>
      <c r="F40" s="198">
        <v>8</v>
      </c>
      <c r="G40" s="195">
        <v>6</v>
      </c>
      <c r="H40" s="182"/>
      <c r="I40" s="182"/>
      <c r="J40" s="77"/>
    </row>
    <row r="41" spans="1:10" x14ac:dyDescent="0.2">
      <c r="A41" s="80"/>
      <c r="B41" s="76"/>
      <c r="C41" s="76"/>
      <c r="D41" s="76"/>
      <c r="E41" s="76"/>
      <c r="F41" s="76"/>
      <c r="G41" s="76"/>
      <c r="H41" s="76"/>
      <c r="I41" s="76"/>
      <c r="J41" s="77"/>
    </row>
    <row r="42" spans="1:10" x14ac:dyDescent="0.2">
      <c r="A42" s="80"/>
      <c r="B42" s="76"/>
      <c r="C42" s="98"/>
      <c r="D42" s="110"/>
      <c r="E42" s="98"/>
      <c r="F42" s="76"/>
      <c r="G42" s="76"/>
      <c r="H42" s="76"/>
      <c r="I42" s="76"/>
      <c r="J42" s="77"/>
    </row>
    <row r="43" spans="1:10" ht="16" customHeight="1" x14ac:dyDescent="0.2">
      <c r="A43" s="80" t="s">
        <v>0</v>
      </c>
      <c r="B43" s="394" t="s">
        <v>152</v>
      </c>
      <c r="C43" s="349"/>
      <c r="D43" s="349"/>
      <c r="E43" s="349"/>
      <c r="F43" s="349"/>
      <c r="G43" s="349"/>
      <c r="H43" s="349"/>
      <c r="I43" s="349"/>
      <c r="J43" s="77"/>
    </row>
    <row r="44" spans="1:10" ht="16" customHeight="1" x14ac:dyDescent="0.2">
      <c r="A44" s="80"/>
      <c r="B44" s="76"/>
      <c r="C44" s="111"/>
      <c r="D44" s="111"/>
      <c r="E44" s="111"/>
      <c r="F44" s="111"/>
      <c r="G44" s="111"/>
      <c r="H44" s="111"/>
      <c r="I44" s="111"/>
      <c r="J44" s="77"/>
    </row>
    <row r="45" spans="1:10" ht="16" customHeight="1" x14ac:dyDescent="0.2">
      <c r="A45" s="80" t="s">
        <v>1</v>
      </c>
      <c r="B45" s="394" t="s">
        <v>131</v>
      </c>
      <c r="C45" s="349"/>
      <c r="D45" s="349"/>
      <c r="E45" s="349"/>
      <c r="F45" s="349"/>
      <c r="G45" s="349"/>
      <c r="H45" s="349"/>
      <c r="I45" s="349"/>
      <c r="J45" s="77"/>
    </row>
    <row r="46" spans="1:10" ht="16" customHeight="1" x14ac:dyDescent="0.2">
      <c r="A46" s="80"/>
      <c r="B46" s="349"/>
      <c r="C46" s="349"/>
      <c r="D46" s="349"/>
      <c r="E46" s="349"/>
      <c r="F46" s="349"/>
      <c r="G46" s="349"/>
      <c r="H46" s="349"/>
      <c r="I46" s="349"/>
      <c r="J46" s="77"/>
    </row>
    <row r="47" spans="1:10" ht="16" customHeight="1" x14ac:dyDescent="0.2">
      <c r="A47" s="80"/>
      <c r="B47" s="76"/>
      <c r="C47" s="111"/>
      <c r="D47" s="111"/>
      <c r="E47" s="111"/>
      <c r="F47" s="111"/>
      <c r="G47" s="111"/>
      <c r="H47" s="111"/>
      <c r="I47" s="111"/>
      <c r="J47" s="77"/>
    </row>
    <row r="48" spans="1:10" ht="16" customHeight="1" x14ac:dyDescent="0.2">
      <c r="A48" s="80" t="s">
        <v>121</v>
      </c>
      <c r="B48" s="394" t="s">
        <v>156</v>
      </c>
      <c r="C48" s="349"/>
      <c r="D48" s="349"/>
      <c r="E48" s="349"/>
      <c r="F48" s="349"/>
      <c r="G48" s="349"/>
      <c r="H48" s="349"/>
      <c r="I48" s="349"/>
      <c r="J48" s="77"/>
    </row>
    <row r="49" spans="1:10" ht="16" customHeight="1" x14ac:dyDescent="0.2">
      <c r="A49" s="80"/>
      <c r="B49" s="349"/>
      <c r="C49" s="349"/>
      <c r="D49" s="349"/>
      <c r="E49" s="349"/>
      <c r="F49" s="349"/>
      <c r="G49" s="349"/>
      <c r="H49" s="349"/>
      <c r="I49" s="349"/>
      <c r="J49" s="77"/>
    </row>
    <row r="50" spans="1:10" ht="17" thickBot="1" x14ac:dyDescent="0.25">
      <c r="A50" s="112"/>
      <c r="B50" s="113"/>
      <c r="C50" s="114"/>
      <c r="D50" s="114"/>
      <c r="E50" s="114"/>
      <c r="F50" s="113"/>
      <c r="G50" s="113"/>
      <c r="H50" s="113"/>
      <c r="I50" s="113"/>
      <c r="J50" s="115"/>
    </row>
    <row r="52" spans="1:10" ht="19" x14ac:dyDescent="0.25">
      <c r="A52" s="2" t="s">
        <v>2</v>
      </c>
    </row>
    <row r="53" spans="1:10" ht="16" customHeight="1" x14ac:dyDescent="0.2">
      <c r="A53" s="3" t="s">
        <v>130</v>
      </c>
      <c r="B53" s="7"/>
      <c r="C53" s="7"/>
      <c r="D53" s="7"/>
      <c r="E53" s="7"/>
      <c r="F53" s="7"/>
      <c r="G53" s="7"/>
      <c r="H53" s="7"/>
      <c r="I53" s="7"/>
    </row>
    <row r="54" spans="1:10" ht="18" customHeight="1" x14ac:dyDescent="0.2">
      <c r="A54" s="9" t="s">
        <v>49</v>
      </c>
      <c r="B54" s="364" t="s">
        <v>175</v>
      </c>
      <c r="C54" s="364"/>
      <c r="D54" s="364"/>
      <c r="E54" s="364"/>
      <c r="F54" s="364"/>
      <c r="G54" s="364"/>
      <c r="H54" s="364"/>
      <c r="I54" s="364"/>
    </row>
    <row r="55" spans="1:10" ht="18" customHeight="1" x14ac:dyDescent="0.2">
      <c r="A55" s="9"/>
      <c r="B55" s="364"/>
      <c r="C55" s="364"/>
      <c r="D55" s="364"/>
      <c r="E55" s="364"/>
      <c r="F55" s="364"/>
      <c r="G55" s="364"/>
      <c r="H55" s="364"/>
      <c r="I55" s="364"/>
    </row>
    <row r="56" spans="1:10" ht="16" customHeight="1" x14ac:dyDescent="0.2">
      <c r="A56" s="9"/>
    </row>
    <row r="57" spans="1:10" ht="16" customHeight="1" x14ac:dyDescent="0.2">
      <c r="A57" s="9"/>
      <c r="F57" s="116"/>
      <c r="G57" s="116"/>
    </row>
    <row r="58" spans="1:10" ht="16" customHeight="1" x14ac:dyDescent="0.2">
      <c r="A58" s="9"/>
    </row>
    <row r="59" spans="1:10" ht="16" customHeight="1" x14ac:dyDescent="0.2">
      <c r="A59" s="9"/>
    </row>
    <row r="60" spans="1:10" ht="16" customHeight="1" x14ac:dyDescent="0.2">
      <c r="A60" s="9"/>
    </row>
    <row r="61" spans="1:10" ht="15" customHeight="1" x14ac:dyDescent="0.25">
      <c r="A61" s="9"/>
      <c r="C61" s="117" t="s">
        <v>93</v>
      </c>
      <c r="D61" s="398" t="s">
        <v>123</v>
      </c>
      <c r="E61" s="390"/>
      <c r="F61" s="390"/>
      <c r="G61" s="390"/>
    </row>
    <row r="62" spans="1:10" ht="16" customHeight="1" x14ac:dyDescent="0.2">
      <c r="A62" s="9"/>
      <c r="C62" s="119" t="s">
        <v>94</v>
      </c>
      <c r="D62" s="120">
        <v>1</v>
      </c>
      <c r="E62" s="121">
        <v>2</v>
      </c>
      <c r="F62" s="121">
        <v>3</v>
      </c>
      <c r="G62" s="122">
        <v>4</v>
      </c>
    </row>
    <row r="63" spans="1:10" ht="16" customHeight="1" x14ac:dyDescent="0.2">
      <c r="A63" s="9"/>
      <c r="C63" s="123">
        <v>1</v>
      </c>
      <c r="D63" s="124">
        <f>EXP($D18+E$18)</f>
        <v>4424.8869097641782</v>
      </c>
      <c r="E63" s="124">
        <f>EXP($D18+E$19)</f>
        <v>4841.597464967781</v>
      </c>
      <c r="F63" s="124">
        <f>EXP($D18+E$20)</f>
        <v>2568.3013344465244</v>
      </c>
      <c r="G63" s="124">
        <f>EXP($D18+E$21)</f>
        <v>1210.7557131996787</v>
      </c>
    </row>
    <row r="64" spans="1:10" ht="16" customHeight="1" x14ac:dyDescent="0.2">
      <c r="A64" s="9"/>
      <c r="C64" s="123">
        <v>2</v>
      </c>
      <c r="D64" s="124">
        <f t="shared" ref="D64:D66" si="0">EXP($D19+E$18)</f>
        <v>4188.0897414655765</v>
      </c>
      <c r="E64" s="124">
        <f t="shared" ref="E64:E65" si="1">EXP($D19+E$19)</f>
        <v>4582.5000929612361</v>
      </c>
      <c r="F64" s="124">
        <f>EXP($D19+E$20)</f>
        <v>2430.859068522745</v>
      </c>
      <c r="G64" s="124"/>
    </row>
    <row r="65" spans="1:9" ht="16" customHeight="1" x14ac:dyDescent="0.2">
      <c r="A65" s="9"/>
      <c r="C65" s="123">
        <v>3</v>
      </c>
      <c r="D65" s="124">
        <f t="shared" si="0"/>
        <v>3219.5600539636544</v>
      </c>
      <c r="E65" s="124">
        <f t="shared" si="1"/>
        <v>3522.7598158915894</v>
      </c>
      <c r="F65" s="124"/>
      <c r="G65" s="124"/>
    </row>
    <row r="66" spans="1:9" ht="16" customHeight="1" x14ac:dyDescent="0.2">
      <c r="A66" s="9"/>
      <c r="C66" s="117">
        <v>4</v>
      </c>
      <c r="D66" s="124">
        <f t="shared" si="0"/>
        <v>4460.4279797701411</v>
      </c>
      <c r="E66" s="124"/>
      <c r="F66" s="124"/>
      <c r="G66" s="124"/>
    </row>
    <row r="67" spans="1:9" ht="16" customHeight="1" x14ac:dyDescent="0.2">
      <c r="A67" s="9"/>
    </row>
    <row r="68" spans="1:9" ht="16" customHeight="1" x14ac:dyDescent="0.2">
      <c r="A68" s="9"/>
      <c r="B68" s="7" t="s">
        <v>73</v>
      </c>
    </row>
    <row r="69" spans="1:9" ht="16" customHeight="1" x14ac:dyDescent="0.2">
      <c r="A69" s="9"/>
      <c r="B69" s="152" t="s">
        <v>120</v>
      </c>
    </row>
    <row r="70" spans="1:9" ht="16" customHeight="1" x14ac:dyDescent="0.2">
      <c r="A70" s="9"/>
    </row>
    <row r="71" spans="1:9" ht="16" customHeight="1" x14ac:dyDescent="0.2">
      <c r="A71" s="9" t="s">
        <v>50</v>
      </c>
      <c r="B71" s="364" t="s">
        <v>163</v>
      </c>
      <c r="C71" s="364"/>
      <c r="D71" s="364"/>
      <c r="E71" s="364"/>
      <c r="F71" s="364"/>
      <c r="G71" s="364"/>
      <c r="H71" s="364"/>
      <c r="I71" s="364"/>
    </row>
    <row r="72" spans="1:9" ht="16" customHeight="1" x14ac:dyDescent="0.2">
      <c r="A72" s="9"/>
      <c r="B72" s="364"/>
      <c r="C72" s="364"/>
      <c r="D72" s="364"/>
      <c r="E72" s="364"/>
      <c r="F72" s="364"/>
      <c r="G72" s="364"/>
      <c r="H72" s="364"/>
      <c r="I72" s="364"/>
    </row>
    <row r="73" spans="1:9" ht="16" customHeight="1" x14ac:dyDescent="0.2">
      <c r="A73" s="9"/>
    </row>
    <row r="74" spans="1:9" ht="16" customHeight="1" x14ac:dyDescent="0.2">
      <c r="A74" s="9"/>
      <c r="F74" s="116"/>
      <c r="G74" s="116"/>
    </row>
    <row r="75" spans="1:9" ht="16" customHeight="1" x14ac:dyDescent="0.2">
      <c r="A75" s="9"/>
    </row>
    <row r="76" spans="1:9" ht="16" customHeight="1" x14ac:dyDescent="0.2">
      <c r="A76" s="9"/>
    </row>
    <row r="77" spans="1:9" ht="16" customHeight="1" x14ac:dyDescent="0.2">
      <c r="A77" s="9"/>
    </row>
    <row r="78" spans="1:9" ht="16" customHeight="1" x14ac:dyDescent="0.25">
      <c r="A78" s="9"/>
      <c r="D78" s="387" t="s">
        <v>176</v>
      </c>
      <c r="E78" s="388"/>
      <c r="F78" s="388"/>
      <c r="G78" s="388"/>
    </row>
    <row r="79" spans="1:9" ht="16" customHeight="1" x14ac:dyDescent="0.2">
      <c r="A79" s="9"/>
      <c r="C79" s="117" t="s">
        <v>93</v>
      </c>
    </row>
    <row r="80" spans="1:9" ht="16" customHeight="1" x14ac:dyDescent="0.2">
      <c r="A80" s="9"/>
      <c r="C80" s="119" t="s">
        <v>94</v>
      </c>
      <c r="D80" s="120">
        <v>1</v>
      </c>
      <c r="E80" s="121">
        <v>2</v>
      </c>
      <c r="F80" s="121">
        <v>3</v>
      </c>
      <c r="G80" s="122">
        <v>4</v>
      </c>
    </row>
    <row r="81" spans="1:12" ht="16" customHeight="1" x14ac:dyDescent="0.2">
      <c r="A81" s="9"/>
      <c r="C81" s="123">
        <v>1</v>
      </c>
      <c r="D81" s="168">
        <f t="shared" ref="D81:F82" si="2">(D9-D63)/SQRT($D$23*D63)</f>
        <v>-0.59946131351679111</v>
      </c>
      <c r="E81" s="168">
        <f t="shared" si="2"/>
        <v>0.35915117790178247</v>
      </c>
      <c r="F81" s="168">
        <f t="shared" si="2"/>
        <v>0.2753506592168718</v>
      </c>
      <c r="G81" s="169">
        <v>0</v>
      </c>
    </row>
    <row r="82" spans="1:12" ht="16" customHeight="1" x14ac:dyDescent="0.2">
      <c r="A82" s="9"/>
      <c r="C82" s="123">
        <v>2</v>
      </c>
      <c r="D82" s="168">
        <f t="shared" si="2"/>
        <v>0.8778885902002751</v>
      </c>
      <c r="E82" s="168">
        <f>(E10-E64)/SQRT($D$23*E64)</f>
        <v>-0.63970094474767236</v>
      </c>
      <c r="F82" s="168">
        <f>(F10-F64)/SQRT($D$23*F64)</f>
        <v>-0.27971360150698221</v>
      </c>
      <c r="G82" s="169"/>
    </row>
    <row r="83" spans="1:12" ht="16" customHeight="1" x14ac:dyDescent="0.2">
      <c r="A83" s="9"/>
      <c r="C83" s="123">
        <v>3</v>
      </c>
      <c r="D83" s="168">
        <f>(D11-D65)/SQRT($D$23*D65)</f>
        <v>-0.30719498251412325</v>
      </c>
      <c r="E83" s="168">
        <f>(E11-E65)/SQRT($D$23*E65)</f>
        <v>0.28607051191906141</v>
      </c>
      <c r="F83" s="169"/>
      <c r="G83" s="169"/>
    </row>
    <row r="84" spans="1:12" ht="16" customHeight="1" x14ac:dyDescent="0.2">
      <c r="A84" s="9"/>
      <c r="C84" s="117">
        <v>4</v>
      </c>
      <c r="D84" s="169">
        <v>0</v>
      </c>
      <c r="E84" s="169"/>
      <c r="F84" s="169"/>
      <c r="G84" s="169"/>
    </row>
    <row r="85" spans="1:12" ht="16" customHeight="1" x14ac:dyDescent="0.2">
      <c r="A85" s="9"/>
    </row>
    <row r="86" spans="1:12" ht="16" customHeight="1" x14ac:dyDescent="0.2">
      <c r="A86" s="9"/>
      <c r="B86" s="7" t="s">
        <v>124</v>
      </c>
    </row>
    <row r="87" spans="1:12" ht="16" customHeight="1" x14ac:dyDescent="0.25">
      <c r="A87" s="9"/>
      <c r="B87" s="158" t="s">
        <v>177</v>
      </c>
    </row>
    <row r="88" spans="1:12" ht="16" customHeight="1" x14ac:dyDescent="0.2">
      <c r="A88" s="9"/>
      <c r="B88" s="152" t="s">
        <v>125</v>
      </c>
    </row>
    <row r="89" spans="1:12" ht="16" customHeight="1" x14ac:dyDescent="0.2">
      <c r="A89" s="9"/>
      <c r="B89" s="152" t="s">
        <v>126</v>
      </c>
    </row>
    <row r="90" spans="1:12" ht="16" customHeight="1" x14ac:dyDescent="0.2">
      <c r="A90" s="9"/>
    </row>
    <row r="91" spans="1:12" ht="16" customHeight="1" x14ac:dyDescent="0.2">
      <c r="A91" s="3" t="s">
        <v>136</v>
      </c>
      <c r="L91" s="4"/>
    </row>
    <row r="92" spans="1:12" ht="16" customHeight="1" x14ac:dyDescent="0.2">
      <c r="A92" s="9" t="s">
        <v>51</v>
      </c>
      <c r="B92" s="364" t="s">
        <v>137</v>
      </c>
      <c r="C92" s="364"/>
      <c r="D92" s="364"/>
      <c r="E92" s="364"/>
      <c r="F92" s="364"/>
      <c r="G92" s="364"/>
      <c r="H92" s="364"/>
      <c r="I92" s="364"/>
    </row>
    <row r="93" spans="1:12" ht="16" customHeight="1" x14ac:dyDescent="0.2">
      <c r="A93" s="9"/>
      <c r="B93" s="364"/>
      <c r="C93" s="364"/>
      <c r="D93" s="364"/>
      <c r="E93" s="364"/>
      <c r="F93" s="364"/>
      <c r="G93" s="364"/>
      <c r="H93" s="364"/>
      <c r="I93" s="364"/>
    </row>
    <row r="94" spans="1:12" ht="16" customHeight="1" x14ac:dyDescent="0.2">
      <c r="A94" s="9"/>
      <c r="I94" s="7"/>
    </row>
    <row r="95" spans="1:12" ht="16" customHeight="1" x14ac:dyDescent="0.2">
      <c r="A95" s="9"/>
      <c r="F95" s="116"/>
      <c r="G95" s="116"/>
    </row>
    <row r="96" spans="1:12" ht="16" customHeight="1" x14ac:dyDescent="0.2">
      <c r="A96" s="9"/>
    </row>
    <row r="97" spans="1:13" ht="16" customHeight="1" x14ac:dyDescent="0.2">
      <c r="A97" s="9"/>
      <c r="B97" s="63" t="s">
        <v>128</v>
      </c>
    </row>
    <row r="98" spans="1:13" ht="16" customHeight="1" x14ac:dyDescent="0.2">
      <c r="A98" s="9"/>
      <c r="B98" s="159" t="s">
        <v>178</v>
      </c>
    </row>
    <row r="99" spans="1:13" ht="16" customHeight="1" x14ac:dyDescent="0.2">
      <c r="A99" s="9"/>
      <c r="B99" s="152" t="s">
        <v>129</v>
      </c>
    </row>
    <row r="100" spans="1:13" ht="16" customHeight="1" x14ac:dyDescent="0.2">
      <c r="A100" s="9"/>
    </row>
    <row r="101" spans="1:13" ht="16" customHeight="1" x14ac:dyDescent="0.2">
      <c r="A101" s="9"/>
      <c r="B101" s="7" t="s">
        <v>124</v>
      </c>
    </row>
    <row r="102" spans="1:13" ht="16" customHeight="1" x14ac:dyDescent="0.2">
      <c r="A102" s="9"/>
      <c r="B102" s="152" t="s">
        <v>164</v>
      </c>
    </row>
    <row r="103" spans="1:13" ht="16" customHeight="1" x14ac:dyDescent="0.2">
      <c r="A103" s="9"/>
      <c r="B103" s="159" t="s">
        <v>182</v>
      </c>
    </row>
    <row r="104" spans="1:13" ht="16" customHeight="1" x14ac:dyDescent="0.2">
      <c r="A104" s="9"/>
      <c r="B104" s="152" t="s">
        <v>165</v>
      </c>
    </row>
    <row r="105" spans="1:13" ht="16" customHeight="1" x14ac:dyDescent="0.2">
      <c r="A105" s="9"/>
    </row>
    <row r="106" spans="1:13" ht="16" customHeight="1" x14ac:dyDescent="0.2">
      <c r="A106" s="9" t="s">
        <v>52</v>
      </c>
      <c r="B106" s="364" t="s">
        <v>140</v>
      </c>
      <c r="C106" s="364"/>
      <c r="D106" s="364"/>
      <c r="E106" s="364"/>
      <c r="F106" s="364"/>
      <c r="G106" s="364"/>
      <c r="H106" s="364"/>
      <c r="I106" s="364"/>
      <c r="L106" s="4"/>
    </row>
    <row r="107" spans="1:13" ht="16" customHeight="1" x14ac:dyDescent="0.2">
      <c r="A107" s="9"/>
      <c r="B107" s="364"/>
      <c r="C107" s="364"/>
      <c r="D107" s="364"/>
      <c r="E107" s="364"/>
      <c r="F107" s="364"/>
      <c r="G107" s="364"/>
      <c r="H107" s="364"/>
      <c r="I107" s="364"/>
      <c r="L107" s="4"/>
    </row>
    <row r="108" spans="1:13" ht="16" customHeight="1" x14ac:dyDescent="0.2">
      <c r="A108" s="9"/>
      <c r="B108" s="364"/>
      <c r="C108" s="364"/>
      <c r="D108" s="364"/>
      <c r="E108" s="364"/>
      <c r="F108" s="364"/>
      <c r="G108" s="364"/>
      <c r="H108" s="364"/>
      <c r="I108" s="364"/>
      <c r="L108" s="4"/>
    </row>
    <row r="109" spans="1:13" ht="16" customHeight="1" x14ac:dyDescent="0.2">
      <c r="A109" s="9"/>
    </row>
    <row r="110" spans="1:13" ht="16" customHeight="1" x14ac:dyDescent="0.25">
      <c r="A110" s="9"/>
      <c r="C110" s="117" t="s">
        <v>93</v>
      </c>
      <c r="D110" s="389" t="s">
        <v>166</v>
      </c>
      <c r="E110" s="390"/>
      <c r="F110" s="390"/>
      <c r="G110" s="390"/>
      <c r="I110" s="125" t="s">
        <v>127</v>
      </c>
      <c r="J110" s="157" t="s">
        <v>174</v>
      </c>
    </row>
    <row r="111" spans="1:13" ht="16" customHeight="1" x14ac:dyDescent="0.2">
      <c r="A111" s="9"/>
      <c r="C111" s="119" t="s">
        <v>94</v>
      </c>
      <c r="D111" s="164">
        <v>1</v>
      </c>
      <c r="E111" s="165">
        <v>2</v>
      </c>
      <c r="F111" s="165">
        <v>3</v>
      </c>
      <c r="G111" s="166">
        <v>4</v>
      </c>
      <c r="H111" s="159"/>
      <c r="I111" s="167">
        <v>1</v>
      </c>
      <c r="J111" s="199">
        <f>D81</f>
        <v>-0.59946131351679111</v>
      </c>
      <c r="M111" s="126"/>
    </row>
    <row r="112" spans="1:13" ht="16" customHeight="1" x14ac:dyDescent="0.2">
      <c r="A112" s="9"/>
      <c r="C112" s="123">
        <v>1</v>
      </c>
      <c r="D112" s="200">
        <f>D63+SQRT($D$23*D63)*VLOOKUP(D37,$I$111:$J$118,2,FALSE)</f>
        <v>4724.9360977729175</v>
      </c>
      <c r="E112" s="200">
        <f t="shared" ref="E112:G112" si="3">E63+SQRT($D$23*E63)*VLOOKUP(E37,$I$111:$J$118,2,FALSE)</f>
        <v>4731.7701361687132</v>
      </c>
      <c r="F112" s="200">
        <f t="shared" si="3"/>
        <v>2661.8208497465948</v>
      </c>
      <c r="G112" s="201">
        <f t="shared" si="3"/>
        <v>1096.3870041304563</v>
      </c>
      <c r="H112" s="159"/>
      <c r="I112" s="167">
        <v>2</v>
      </c>
      <c r="J112" s="199">
        <f>E81</f>
        <v>0.35915117790178247</v>
      </c>
    </row>
    <row r="113" spans="1:12" ht="16" customHeight="1" x14ac:dyDescent="0.2">
      <c r="A113" s="9"/>
      <c r="C113" s="123">
        <v>2</v>
      </c>
      <c r="D113" s="200">
        <f t="shared" ref="D113" si="4">D64+SQRT($D$23*D64)*VLOOKUP(D38,$I$111:$J$118,2,FALSE)</f>
        <v>4283.2121955281327</v>
      </c>
      <c r="E113" s="200">
        <f>E64+SQRT($D$23*E64)*VLOOKUP(E38,$I$111:$J$118,2,FALSE)</f>
        <v>4678.2722624034077</v>
      </c>
      <c r="F113" s="202">
        <f>F64+SQRT($D$23*F64)*VLOOKUP(F38,$I$111:$J$118,2,FALSE)</f>
        <v>2521.8418372828537</v>
      </c>
      <c r="G113" s="203">
        <f>SUM(D113:F113)*(F118-1)</f>
        <v>1038.9191382184738</v>
      </c>
      <c r="H113" s="159"/>
      <c r="I113" s="167">
        <v>3</v>
      </c>
      <c r="J113" s="199">
        <f>F81</f>
        <v>0.2753506592168718</v>
      </c>
    </row>
    <row r="114" spans="1:12" ht="16" customHeight="1" x14ac:dyDescent="0.2">
      <c r="A114" s="9"/>
      <c r="C114" s="123">
        <v>3</v>
      </c>
      <c r="D114" s="200">
        <f t="shared" ref="D114:E114" si="5">D65+SQRT($D$23*D65)*VLOOKUP(D39,$I$111:$J$118,2,FALSE)</f>
        <v>3044.7922659343735</v>
      </c>
      <c r="E114" s="202">
        <f t="shared" si="5"/>
        <v>3632.2867107564784</v>
      </c>
      <c r="F114" s="203">
        <f>SUM(D114:E114)*(E118-1)</f>
        <v>1879.2141817216175</v>
      </c>
      <c r="G114" s="203">
        <f>SUM(D114:F114)*(F118-1)</f>
        <v>774.10468761016296</v>
      </c>
      <c r="H114" s="159"/>
      <c r="I114" s="167">
        <v>4</v>
      </c>
      <c r="J114" s="199">
        <f>D82</f>
        <v>0.8778885902002751</v>
      </c>
    </row>
    <row r="115" spans="1:12" ht="16" customHeight="1" x14ac:dyDescent="0.2">
      <c r="A115" s="9"/>
      <c r="C115" s="117">
        <v>4</v>
      </c>
      <c r="D115" s="204">
        <f>D66+SQRT($D$23*D66)*VLOOKUP(D40,$I$111:$J$118,2,FALSE)</f>
        <v>4761.6797681281469</v>
      </c>
      <c r="E115" s="203">
        <f>D115*(D118-1)</f>
        <v>5152.551308450019</v>
      </c>
      <c r="F115" s="203">
        <f>SUM(D115:E115)*(E118-1)</f>
        <v>2790.2865467085339</v>
      </c>
      <c r="G115" s="203">
        <f>SUM(D115:F115)*(F118-1)</f>
        <v>1149.4027219419013</v>
      </c>
      <c r="H115" s="159"/>
      <c r="I115" s="167">
        <v>5</v>
      </c>
      <c r="J115" s="199">
        <f>E82</f>
        <v>-0.63970094474767236</v>
      </c>
    </row>
    <row r="116" spans="1:12" ht="16" customHeight="1" x14ac:dyDescent="0.2">
      <c r="A116" s="9"/>
      <c r="D116" s="159"/>
      <c r="E116" s="159"/>
      <c r="F116" s="159"/>
      <c r="G116" s="159"/>
      <c r="H116" s="159"/>
      <c r="I116" s="167">
        <v>6</v>
      </c>
      <c r="J116" s="199">
        <f>F82</f>
        <v>-0.27971360150698221</v>
      </c>
    </row>
    <row r="117" spans="1:12" ht="16" customHeight="1" x14ac:dyDescent="0.2">
      <c r="A117" s="9"/>
      <c r="C117" s="125"/>
      <c r="D117" s="205" t="s">
        <v>160</v>
      </c>
      <c r="E117" s="206" t="s">
        <v>161</v>
      </c>
      <c r="F117" s="206" t="s">
        <v>162</v>
      </c>
      <c r="G117" s="159"/>
      <c r="H117" s="159"/>
      <c r="I117" s="167">
        <v>7</v>
      </c>
      <c r="J117" s="199">
        <f>D83</f>
        <v>-0.30719498251412325</v>
      </c>
    </row>
    <row r="118" spans="1:12" ht="16" customHeight="1" x14ac:dyDescent="0.2">
      <c r="C118" s="117" t="s">
        <v>110</v>
      </c>
      <c r="D118" s="207">
        <f>SUM(D112:E114)/SUM(D112:D114)</f>
        <v>2.0820869019664308</v>
      </c>
      <c r="E118" s="207">
        <f>SUM(D112:F113)/SUM(D112:E113)</f>
        <v>1.2814425571843322</v>
      </c>
      <c r="F118" s="207">
        <f>SUM(D112:G112)/SUM(D112:F112)</f>
        <v>1.0904719687928259</v>
      </c>
      <c r="G118" s="159"/>
      <c r="H118" s="159"/>
      <c r="I118" s="167">
        <v>8</v>
      </c>
      <c r="J118" s="199">
        <f>E83</f>
        <v>0.28607051191906141</v>
      </c>
      <c r="L118" s="4"/>
    </row>
    <row r="119" spans="1:12" ht="16" customHeight="1" x14ac:dyDescent="0.2">
      <c r="A119" s="9"/>
      <c r="L119" s="4"/>
    </row>
    <row r="120" spans="1:12" ht="16" customHeight="1" x14ac:dyDescent="0.25">
      <c r="A120" s="9"/>
      <c r="B120" s="127"/>
      <c r="C120" s="156" t="s">
        <v>167</v>
      </c>
      <c r="L120" s="4"/>
    </row>
    <row r="121" spans="1:12" ht="16" customHeight="1" x14ac:dyDescent="0.25">
      <c r="A121" s="9"/>
      <c r="B121" s="128"/>
      <c r="C121" s="156" t="s">
        <v>168</v>
      </c>
      <c r="L121" s="4"/>
    </row>
    <row r="122" spans="1:12" ht="16" customHeight="1" thickBot="1" x14ac:dyDescent="0.25">
      <c r="A122" s="9"/>
      <c r="L122" s="4"/>
    </row>
    <row r="123" spans="1:12" ht="16" customHeight="1" thickBot="1" x14ac:dyDescent="0.25">
      <c r="A123" s="9"/>
      <c r="E123" s="392" t="s">
        <v>172</v>
      </c>
      <c r="F123" s="393"/>
      <c r="G123" s="129">
        <f>SUM(G113:G115,F114:F115,E115)</f>
        <v>12784.478584650707</v>
      </c>
      <c r="H123" s="78" t="s">
        <v>138</v>
      </c>
      <c r="L123" s="4"/>
    </row>
    <row r="124" spans="1:12" ht="16" customHeight="1" x14ac:dyDescent="0.2">
      <c r="A124" s="9"/>
      <c r="L124" s="4"/>
    </row>
    <row r="125" spans="1:12" ht="16" customHeight="1" x14ac:dyDescent="0.2">
      <c r="A125" s="9"/>
      <c r="B125" s="7" t="s">
        <v>73</v>
      </c>
      <c r="L125" s="4"/>
    </row>
    <row r="126" spans="1:12" ht="16" customHeight="1" x14ac:dyDescent="0.2">
      <c r="A126" s="9"/>
      <c r="B126" s="152" t="s">
        <v>139</v>
      </c>
      <c r="L126" s="4"/>
    </row>
    <row r="127" spans="1:12" ht="16" customHeight="1" x14ac:dyDescent="0.2">
      <c r="A127" s="9"/>
      <c r="L127" s="4"/>
    </row>
    <row r="128" spans="1:12" ht="18" customHeight="1" x14ac:dyDescent="0.2">
      <c r="A128" s="9" t="s">
        <v>53</v>
      </c>
      <c r="B128" s="364" t="s">
        <v>180</v>
      </c>
      <c r="C128" s="364"/>
      <c r="D128" s="364"/>
      <c r="E128" s="364"/>
      <c r="F128" s="364"/>
      <c r="G128" s="364"/>
      <c r="H128" s="364"/>
      <c r="I128" s="364"/>
      <c r="L128" s="4"/>
    </row>
    <row r="129" spans="1:12" ht="16" customHeight="1" x14ac:dyDescent="0.2">
      <c r="A129" s="9"/>
      <c r="B129" s="364"/>
      <c r="C129" s="364"/>
      <c r="D129" s="364"/>
      <c r="E129" s="364"/>
      <c r="F129" s="364"/>
      <c r="G129" s="364"/>
      <c r="H129" s="364"/>
      <c r="I129" s="364"/>
      <c r="L129" s="4"/>
    </row>
    <row r="130" spans="1:12" ht="16" customHeight="1" x14ac:dyDescent="0.2">
      <c r="A130" s="9"/>
      <c r="B130" s="159"/>
      <c r="C130" s="159"/>
      <c r="D130" s="159"/>
      <c r="E130" s="159"/>
      <c r="F130" s="159"/>
      <c r="G130" s="159"/>
      <c r="H130" s="159"/>
      <c r="I130" s="159"/>
      <c r="L130" s="4"/>
    </row>
    <row r="131" spans="1:12" ht="16" customHeight="1" x14ac:dyDescent="0.2">
      <c r="A131" s="9"/>
      <c r="B131" s="159"/>
      <c r="C131" s="159"/>
      <c r="D131" s="159"/>
      <c r="E131" s="159"/>
      <c r="F131" s="162"/>
      <c r="G131" s="162"/>
      <c r="H131" s="159"/>
      <c r="I131" s="159"/>
      <c r="L131" s="4"/>
    </row>
    <row r="132" spans="1:12" ht="16" customHeight="1" x14ac:dyDescent="0.2">
      <c r="A132" s="9"/>
      <c r="B132" s="159"/>
      <c r="C132" s="159"/>
      <c r="D132" s="159"/>
      <c r="E132" s="159"/>
      <c r="F132" s="159"/>
      <c r="G132" s="159"/>
      <c r="H132" s="159"/>
      <c r="I132" s="159"/>
      <c r="L132" s="4"/>
    </row>
    <row r="133" spans="1:12" ht="16" customHeight="1" x14ac:dyDescent="0.2">
      <c r="A133" s="9"/>
      <c r="B133" s="159"/>
      <c r="C133" s="159"/>
      <c r="D133" s="159"/>
      <c r="E133" s="159"/>
      <c r="F133" s="159"/>
      <c r="G133" s="159"/>
      <c r="H133" s="159"/>
      <c r="I133" s="159"/>
      <c r="L133" s="4"/>
    </row>
    <row r="134" spans="1:12" ht="16" customHeight="1" x14ac:dyDescent="0.25">
      <c r="A134" s="9"/>
      <c r="B134" s="159"/>
      <c r="C134" s="161" t="s">
        <v>93</v>
      </c>
      <c r="D134" s="387" t="s">
        <v>159</v>
      </c>
      <c r="E134" s="391"/>
      <c r="F134" s="391"/>
      <c r="G134" s="391"/>
      <c r="H134" s="159"/>
      <c r="I134" s="159"/>
      <c r="L134" s="4"/>
    </row>
    <row r="135" spans="1:12" ht="16" customHeight="1" x14ac:dyDescent="0.2">
      <c r="A135" s="9"/>
      <c r="B135" s="159"/>
      <c r="C135" s="163" t="s">
        <v>94</v>
      </c>
      <c r="D135" s="164">
        <v>1</v>
      </c>
      <c r="E135" s="165">
        <v>2</v>
      </c>
      <c r="F135" s="165">
        <v>3</v>
      </c>
      <c r="G135" s="166">
        <v>4</v>
      </c>
      <c r="H135" s="159"/>
      <c r="I135" s="159"/>
      <c r="L135" s="4"/>
    </row>
    <row r="136" spans="1:12" ht="16" customHeight="1" x14ac:dyDescent="0.2">
      <c r="A136" s="9"/>
      <c r="B136" s="159"/>
      <c r="C136" s="167">
        <v>1</v>
      </c>
      <c r="D136" s="169"/>
      <c r="E136" s="169"/>
      <c r="F136" s="169"/>
      <c r="G136" s="208"/>
      <c r="H136" s="159"/>
      <c r="I136" s="159"/>
      <c r="L136" s="4"/>
    </row>
    <row r="137" spans="1:12" ht="16" customHeight="1" x14ac:dyDescent="0.2">
      <c r="A137" s="9"/>
      <c r="B137" s="159"/>
      <c r="C137" s="167">
        <v>2</v>
      </c>
      <c r="D137" s="169"/>
      <c r="E137" s="169"/>
      <c r="F137" s="209"/>
      <c r="G137" s="210">
        <f>G113+SQRT($D$23*G113)*VLOOKUP(G38,$I$111:$J$118,2,FALSE)</f>
        <v>939.6409146099802</v>
      </c>
      <c r="H137" s="159"/>
      <c r="I137" s="159"/>
      <c r="L137" s="4"/>
    </row>
    <row r="138" spans="1:12" ht="16" customHeight="1" x14ac:dyDescent="0.2">
      <c r="A138" s="9"/>
      <c r="B138" s="159"/>
      <c r="C138" s="167">
        <v>3</v>
      </c>
      <c r="D138" s="169"/>
      <c r="E138" s="209"/>
      <c r="F138" s="210">
        <f>F114+SQRT($D$23*F114)*VLOOKUP(F39,$I$111:$J$118,2,FALSE)</f>
        <v>1736.7298544775581</v>
      </c>
      <c r="G138" s="210">
        <f>G114+SQRT($D$23*G114)*VLOOKUP(G39,$I$111:$J$118,2,FALSE)</f>
        <v>813.46766426752015</v>
      </c>
      <c r="H138" s="159"/>
      <c r="I138" s="159"/>
      <c r="L138" s="4"/>
    </row>
    <row r="139" spans="1:12" ht="16" customHeight="1" x14ac:dyDescent="0.2">
      <c r="A139" s="9"/>
      <c r="B139" s="159"/>
      <c r="C139" s="161">
        <v>4</v>
      </c>
      <c r="D139" s="211"/>
      <c r="E139" s="210">
        <f>E115+SQRT($D$23*E115)*VLOOKUP(E40,$I$111:$J$118,2,FALSE)</f>
        <v>5476.3331811262469</v>
      </c>
      <c r="F139" s="210">
        <f t="shared" ref="F139" si="6">F115+SQRT($D$23*F115)*VLOOKUP(F40,$I$111:$J$118,2,FALSE)</f>
        <v>2867.9290374882003</v>
      </c>
      <c r="G139" s="210">
        <f t="shared" ref="G139" si="7">G115+SQRT($D$23*G115)*VLOOKUP(G40,$I$111:$J$118,2,FALSE)</f>
        <v>1100.6777431009621</v>
      </c>
      <c r="H139" s="159"/>
      <c r="I139" s="159"/>
      <c r="L139" s="4"/>
    </row>
    <row r="140" spans="1:12" ht="16" customHeight="1" x14ac:dyDescent="0.2">
      <c r="A140" s="9"/>
      <c r="B140" s="159"/>
      <c r="C140" s="159"/>
      <c r="D140" s="159"/>
      <c r="E140" s="159"/>
      <c r="F140" s="159"/>
      <c r="G140" s="159"/>
      <c r="H140" s="159"/>
      <c r="I140" s="159"/>
      <c r="L140" s="4"/>
    </row>
    <row r="141" spans="1:12" ht="16" customHeight="1" x14ac:dyDescent="0.2">
      <c r="A141" s="9"/>
      <c r="B141" s="210"/>
      <c r="C141" s="159" t="s">
        <v>173</v>
      </c>
      <c r="D141" s="159"/>
      <c r="E141" s="159"/>
      <c r="F141" s="159"/>
      <c r="G141" s="159"/>
      <c r="H141" s="159"/>
      <c r="I141" s="159"/>
      <c r="L141" s="4"/>
    </row>
    <row r="142" spans="1:12" ht="16" customHeight="1" thickBot="1" x14ac:dyDescent="0.25">
      <c r="A142" s="9"/>
      <c r="B142" s="159"/>
      <c r="C142" s="159"/>
      <c r="D142" s="159"/>
      <c r="E142" s="159"/>
      <c r="F142" s="159"/>
      <c r="G142" s="159"/>
      <c r="H142" s="159"/>
      <c r="I142" s="159"/>
      <c r="L142" s="4"/>
    </row>
    <row r="143" spans="1:12" ht="16" customHeight="1" thickBot="1" x14ac:dyDescent="0.25">
      <c r="A143" s="9"/>
      <c r="B143" s="159"/>
      <c r="C143" s="159"/>
      <c r="D143" s="384" t="s">
        <v>169</v>
      </c>
      <c r="E143" s="385"/>
      <c r="F143" s="385"/>
      <c r="G143" s="212">
        <f>SUM(G137:G139,F138:F139,E139)</f>
        <v>12934.778395070467</v>
      </c>
      <c r="H143" s="159"/>
      <c r="I143" s="159"/>
      <c r="L143" s="4"/>
    </row>
    <row r="144" spans="1:12" ht="16" customHeight="1" x14ac:dyDescent="0.2">
      <c r="A144" s="9"/>
      <c r="L144" s="4"/>
    </row>
    <row r="145" spans="1:14" ht="16" customHeight="1" x14ac:dyDescent="0.2">
      <c r="A145" s="9"/>
      <c r="B145" s="7" t="s">
        <v>73</v>
      </c>
      <c r="L145" s="4"/>
    </row>
    <row r="146" spans="1:14" ht="16" customHeight="1" x14ac:dyDescent="0.2">
      <c r="A146" s="9"/>
      <c r="B146" s="152" t="s">
        <v>141</v>
      </c>
      <c r="L146" s="4"/>
    </row>
    <row r="147" spans="1:14" ht="16" customHeight="1" x14ac:dyDescent="0.2">
      <c r="A147" s="9"/>
      <c r="L147" s="4"/>
    </row>
    <row r="148" spans="1:14" ht="16" customHeight="1" x14ac:dyDescent="0.2">
      <c r="A148" s="3" t="s">
        <v>142</v>
      </c>
      <c r="L148" s="4"/>
    </row>
    <row r="149" spans="1:14" ht="16" customHeight="1" x14ac:dyDescent="0.2">
      <c r="A149" s="132"/>
      <c r="B149" s="375" t="s">
        <v>170</v>
      </c>
      <c r="C149" s="375"/>
      <c r="D149" s="375"/>
      <c r="E149" s="375"/>
      <c r="F149" s="375"/>
      <c r="G149" s="375"/>
      <c r="H149" s="375"/>
      <c r="I149" s="375"/>
      <c r="L149" s="4"/>
    </row>
    <row r="150" spans="1:14" ht="16" customHeight="1" x14ac:dyDescent="0.2">
      <c r="A150" s="132"/>
      <c r="B150" s="375"/>
      <c r="C150" s="375"/>
      <c r="D150" s="375"/>
      <c r="E150" s="375"/>
      <c r="F150" s="375"/>
      <c r="G150" s="375"/>
      <c r="H150" s="375"/>
      <c r="I150" s="375"/>
      <c r="L150" s="4"/>
    </row>
    <row r="151" spans="1:14" ht="16" customHeight="1" x14ac:dyDescent="0.2">
      <c r="A151" s="132"/>
      <c r="B151" s="375"/>
      <c r="C151" s="375"/>
      <c r="D151" s="375"/>
      <c r="E151" s="375"/>
      <c r="F151" s="375"/>
      <c r="G151" s="375"/>
      <c r="H151" s="375"/>
      <c r="I151" s="375"/>
      <c r="L151" s="4"/>
    </row>
    <row r="152" spans="1:14" ht="16" customHeight="1" x14ac:dyDescent="0.2">
      <c r="A152" s="9"/>
      <c r="B152" s="375"/>
      <c r="C152" s="375"/>
      <c r="D152" s="375"/>
      <c r="E152" s="375"/>
      <c r="F152" s="375"/>
      <c r="G152" s="375"/>
      <c r="H152" s="375"/>
      <c r="I152" s="375"/>
      <c r="L152" s="4"/>
    </row>
    <row r="153" spans="1:14" ht="16" customHeight="1" x14ac:dyDescent="0.2">
      <c r="A153" s="9"/>
      <c r="L153" s="4"/>
    </row>
    <row r="154" spans="1:14" ht="16" customHeight="1" x14ac:dyDescent="0.2">
      <c r="A154" s="9"/>
      <c r="F154" s="116"/>
      <c r="G154" s="116"/>
      <c r="L154" s="4"/>
    </row>
    <row r="155" spans="1:14" ht="16" customHeight="1" x14ac:dyDescent="0.2">
      <c r="A155" s="9"/>
      <c r="L155" s="4"/>
    </row>
    <row r="156" spans="1:14" ht="16" customHeight="1" x14ac:dyDescent="0.2">
      <c r="A156" s="9"/>
      <c r="L156" s="4"/>
    </row>
    <row r="157" spans="1:14" ht="19" x14ac:dyDescent="0.25">
      <c r="A157" s="2" t="s">
        <v>29</v>
      </c>
      <c r="L157" s="4"/>
      <c r="M157" s="4"/>
      <c r="N157" s="4"/>
    </row>
    <row r="158" spans="1:14" ht="16" customHeight="1" x14ac:dyDescent="0.25">
      <c r="A158" s="2"/>
      <c r="B158" s="396" t="s">
        <v>171</v>
      </c>
      <c r="C158" s="366"/>
      <c r="D158" s="366"/>
      <c r="E158" s="366"/>
      <c r="F158" s="366"/>
      <c r="G158" s="366"/>
      <c r="H158" s="366"/>
      <c r="I158" s="366"/>
      <c r="L158" s="4"/>
      <c r="M158" s="4"/>
      <c r="N158" s="4"/>
    </row>
    <row r="159" spans="1:14" ht="16" customHeight="1" x14ac:dyDescent="0.25">
      <c r="A159" s="2"/>
      <c r="B159" s="366"/>
      <c r="C159" s="366"/>
      <c r="D159" s="366"/>
      <c r="E159" s="366"/>
      <c r="F159" s="366"/>
      <c r="G159" s="366"/>
      <c r="H159" s="366"/>
      <c r="I159" s="366"/>
      <c r="L159" s="4"/>
      <c r="M159" s="4"/>
      <c r="N159" s="4"/>
    </row>
    <row r="160" spans="1:14" ht="16" customHeight="1" x14ac:dyDescent="0.25">
      <c r="A160" s="2"/>
      <c r="B160" s="366"/>
      <c r="C160" s="366"/>
      <c r="D160" s="366"/>
      <c r="E160" s="366"/>
      <c r="F160" s="366"/>
      <c r="G160" s="366"/>
      <c r="H160" s="366"/>
      <c r="I160" s="366"/>
      <c r="L160" s="4"/>
      <c r="M160" s="4"/>
      <c r="N160" s="4"/>
    </row>
    <row r="161" spans="1:65" ht="16" customHeight="1" x14ac:dyDescent="0.25">
      <c r="A161" s="2"/>
      <c r="B161" s="133"/>
      <c r="C161" s="133"/>
      <c r="D161" s="133"/>
      <c r="E161" s="133"/>
      <c r="F161" s="133"/>
      <c r="G161" s="133"/>
      <c r="H161" s="133"/>
      <c r="I161" s="133"/>
      <c r="L161" s="4"/>
      <c r="M161" s="4"/>
      <c r="N161" s="4"/>
    </row>
    <row r="162" spans="1:65" x14ac:dyDescent="0.2">
      <c r="A162" s="4"/>
      <c r="B162" s="367" t="s">
        <v>84</v>
      </c>
      <c r="C162" s="367"/>
      <c r="D162" s="367"/>
      <c r="E162" s="367"/>
      <c r="F162" s="368" t="s">
        <v>85</v>
      </c>
      <c r="G162" s="367"/>
      <c r="H162" s="367"/>
      <c r="I162" s="367"/>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row>
    <row r="163" spans="1:65" x14ac:dyDescent="0.2">
      <c r="A163" s="4"/>
      <c r="B163" s="362" t="s">
        <v>149</v>
      </c>
      <c r="C163" s="363"/>
      <c r="D163" s="363"/>
      <c r="E163" s="363"/>
      <c r="F163" s="362" t="s">
        <v>150</v>
      </c>
      <c r="G163" s="363"/>
      <c r="H163" s="363"/>
      <c r="I163" s="363"/>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row>
    <row r="164" spans="1:65" ht="16" customHeight="1" x14ac:dyDescent="0.2">
      <c r="A164" s="4"/>
      <c r="B164" s="362" t="s">
        <v>153</v>
      </c>
      <c r="C164" s="363"/>
      <c r="D164" s="363"/>
      <c r="E164" s="363"/>
      <c r="F164" s="362" t="s">
        <v>154</v>
      </c>
      <c r="G164" s="363"/>
      <c r="H164" s="363"/>
      <c r="I164" s="363"/>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row>
    <row r="165" spans="1:65" x14ac:dyDescent="0.2">
      <c r="A165" s="4"/>
      <c r="B165" s="75"/>
      <c r="C165" s="75"/>
      <c r="D165" s="75"/>
      <c r="E165" s="75"/>
      <c r="F165" s="75"/>
      <c r="G165" s="75"/>
      <c r="H165" s="75"/>
      <c r="I165" s="75"/>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row>
    <row r="166" spans="1:65" ht="19" x14ac:dyDescent="0.25">
      <c r="B166" s="13" t="s">
        <v>122</v>
      </c>
      <c r="L166" s="4"/>
      <c r="M166" s="4"/>
      <c r="N166" s="4"/>
    </row>
    <row r="167" spans="1:65" ht="16" customHeight="1" x14ac:dyDescent="0.2">
      <c r="A167" s="4"/>
      <c r="B167" s="382" t="s">
        <v>151</v>
      </c>
      <c r="C167" s="366"/>
      <c r="D167" s="366"/>
      <c r="E167" s="366"/>
      <c r="F167" s="366"/>
      <c r="G167" s="366"/>
      <c r="H167" s="366"/>
      <c r="I167" s="366"/>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row>
    <row r="168" spans="1:65" x14ac:dyDescent="0.2">
      <c r="A168" s="4"/>
      <c r="B168" s="366"/>
      <c r="C168" s="366"/>
      <c r="D168" s="366"/>
      <c r="E168" s="366"/>
      <c r="F168" s="366"/>
      <c r="G168" s="366"/>
      <c r="H168" s="366"/>
      <c r="I168" s="366"/>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row>
    <row r="169" spans="1:65" x14ac:dyDescent="0.2">
      <c r="A169" s="4"/>
      <c r="B169" s="366"/>
      <c r="C169" s="366"/>
      <c r="D169" s="366"/>
      <c r="E169" s="366"/>
      <c r="F169" s="366"/>
      <c r="G169" s="366"/>
      <c r="H169" s="366"/>
      <c r="I169" s="366"/>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row>
    <row r="170" spans="1:65" x14ac:dyDescent="0.2">
      <c r="A170" s="4"/>
      <c r="B170" s="366"/>
      <c r="C170" s="366"/>
      <c r="D170" s="366"/>
      <c r="E170" s="366"/>
      <c r="F170" s="366"/>
      <c r="G170" s="366"/>
      <c r="H170" s="366"/>
      <c r="I170" s="366"/>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row>
    <row r="171" spans="1:65" x14ac:dyDescent="0.2">
      <c r="A171" s="4"/>
      <c r="B171" s="366"/>
      <c r="C171" s="366"/>
      <c r="D171" s="366"/>
      <c r="E171" s="366"/>
      <c r="F171" s="366"/>
      <c r="G171" s="366"/>
      <c r="H171" s="366"/>
      <c r="I171" s="366"/>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row>
    <row r="172" spans="1:65" x14ac:dyDescent="0.2">
      <c r="A172" s="4"/>
      <c r="B172" s="366"/>
      <c r="C172" s="366"/>
      <c r="D172" s="366"/>
      <c r="E172" s="366"/>
      <c r="F172" s="366"/>
      <c r="G172" s="366"/>
      <c r="H172" s="366"/>
      <c r="I172" s="366"/>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row>
    <row r="173" spans="1:65" x14ac:dyDescent="0.2">
      <c r="A173" s="4"/>
      <c r="B173" s="366"/>
      <c r="C173" s="366"/>
      <c r="D173" s="366"/>
      <c r="E173" s="366"/>
      <c r="F173" s="366"/>
      <c r="G173" s="366"/>
      <c r="H173" s="366"/>
      <c r="I173" s="366"/>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row>
    <row r="174" spans="1:65" x14ac:dyDescent="0.2">
      <c r="A174" s="4"/>
      <c r="B174" s="366"/>
      <c r="C174" s="366"/>
      <c r="D174" s="366"/>
      <c r="E174" s="366"/>
      <c r="F174" s="366"/>
      <c r="G174" s="366"/>
      <c r="H174" s="366"/>
      <c r="I174" s="366"/>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row>
    <row r="175" spans="1:65" x14ac:dyDescent="0.2">
      <c r="A175" s="4"/>
      <c r="B175" s="366"/>
      <c r="C175" s="366"/>
      <c r="D175" s="366"/>
      <c r="E175" s="366"/>
      <c r="F175" s="366"/>
      <c r="G175" s="366"/>
      <c r="H175" s="366"/>
      <c r="I175" s="366"/>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row>
    <row r="176" spans="1:65" x14ac:dyDescent="0.2">
      <c r="A176" s="4"/>
      <c r="B176" s="366"/>
      <c r="C176" s="366"/>
      <c r="D176" s="366"/>
      <c r="E176" s="366"/>
      <c r="F176" s="366"/>
      <c r="G176" s="366"/>
      <c r="H176" s="366"/>
      <c r="I176" s="366"/>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row>
    <row r="177" spans="1:65" x14ac:dyDescent="0.2">
      <c r="A177" s="4"/>
      <c r="B177" s="366"/>
      <c r="C177" s="366"/>
      <c r="D177" s="366"/>
      <c r="E177" s="366"/>
      <c r="F177" s="366"/>
      <c r="G177" s="366"/>
      <c r="H177" s="366"/>
      <c r="I177" s="366"/>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row>
    <row r="178" spans="1:65" x14ac:dyDescent="0.2">
      <c r="A178" s="4"/>
      <c r="B178" s="366"/>
      <c r="C178" s="366"/>
      <c r="D178" s="366"/>
      <c r="E178" s="366"/>
      <c r="F178" s="366"/>
      <c r="G178" s="366"/>
      <c r="H178" s="366"/>
      <c r="I178" s="366"/>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row>
    <row r="179" spans="1:65" x14ac:dyDescent="0.2">
      <c r="A179" s="4"/>
      <c r="B179" s="75"/>
      <c r="C179" s="75"/>
      <c r="D179" s="75"/>
      <c r="E179" s="75"/>
      <c r="F179" s="75"/>
      <c r="G179" s="75"/>
      <c r="H179" s="75"/>
      <c r="I179" s="75"/>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row>
    <row r="180" spans="1:65" ht="19" x14ac:dyDescent="0.25">
      <c r="B180" s="13" t="s">
        <v>132</v>
      </c>
      <c r="L180" s="4"/>
      <c r="M180" s="4"/>
      <c r="N180" s="4"/>
    </row>
    <row r="181" spans="1:65" ht="16" customHeight="1" x14ac:dyDescent="0.2">
      <c r="A181" s="4"/>
      <c r="B181" s="365" t="s">
        <v>237</v>
      </c>
      <c r="C181" s="365"/>
      <c r="D181" s="365"/>
      <c r="E181" s="365"/>
      <c r="F181" s="365"/>
      <c r="G181" s="365"/>
      <c r="H181" s="365"/>
      <c r="I181" s="365"/>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row>
    <row r="182" spans="1:65" x14ac:dyDescent="0.2">
      <c r="A182" s="4"/>
      <c r="B182" s="365"/>
      <c r="C182" s="365"/>
      <c r="D182" s="365"/>
      <c r="E182" s="365"/>
      <c r="F182" s="365"/>
      <c r="G182" s="365"/>
      <c r="H182" s="365"/>
      <c r="I182" s="365"/>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row>
    <row r="183" spans="1:65" x14ac:dyDescent="0.2">
      <c r="A183" s="4"/>
      <c r="B183" s="365"/>
      <c r="C183" s="365"/>
      <c r="D183" s="365"/>
      <c r="E183" s="365"/>
      <c r="F183" s="365"/>
      <c r="G183" s="365"/>
      <c r="H183" s="365"/>
      <c r="I183" s="365"/>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row>
    <row r="184" spans="1:65" x14ac:dyDescent="0.2">
      <c r="A184" s="4"/>
      <c r="B184" s="365"/>
      <c r="C184" s="365"/>
      <c r="D184" s="365"/>
      <c r="E184" s="365"/>
      <c r="F184" s="365"/>
      <c r="G184" s="365"/>
      <c r="H184" s="365"/>
      <c r="I184" s="365"/>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row>
    <row r="185" spans="1:65" x14ac:dyDescent="0.2">
      <c r="A185" s="4"/>
      <c r="B185" s="365"/>
      <c r="C185" s="365"/>
      <c r="D185" s="365"/>
      <c r="E185" s="365"/>
      <c r="F185" s="365"/>
      <c r="G185" s="365"/>
      <c r="H185" s="365"/>
      <c r="I185" s="365"/>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row>
    <row r="186" spans="1:65" x14ac:dyDescent="0.2">
      <c r="A186" s="4"/>
      <c r="B186" s="365"/>
      <c r="C186" s="365"/>
      <c r="D186" s="365"/>
      <c r="E186" s="365"/>
      <c r="F186" s="365"/>
      <c r="G186" s="365"/>
      <c r="H186" s="365"/>
      <c r="I186" s="365"/>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row>
    <row r="187" spans="1:65" x14ac:dyDescent="0.2">
      <c r="A187" s="4"/>
      <c r="B187" s="133"/>
      <c r="C187" s="133"/>
      <c r="D187" s="133"/>
      <c r="E187" s="133"/>
      <c r="F187" s="133"/>
      <c r="G187" s="133"/>
      <c r="H187" s="133"/>
      <c r="I187" s="133"/>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row>
    <row r="188" spans="1:65" x14ac:dyDescent="0.2">
      <c r="A188" s="4"/>
      <c r="B188" s="368" t="s">
        <v>147</v>
      </c>
      <c r="C188" s="367"/>
      <c r="D188" s="367"/>
      <c r="E188" s="367"/>
      <c r="F188" s="368" t="s">
        <v>148</v>
      </c>
      <c r="G188" s="367"/>
      <c r="H188" s="367"/>
      <c r="I188" s="367"/>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row>
    <row r="189" spans="1:65" x14ac:dyDescent="0.2">
      <c r="A189" s="4"/>
      <c r="B189" s="363" t="s">
        <v>143</v>
      </c>
      <c r="C189" s="363"/>
      <c r="D189" s="363"/>
      <c r="E189" s="363"/>
      <c r="F189" s="382" t="s">
        <v>145</v>
      </c>
      <c r="G189" s="366"/>
      <c r="H189" s="366"/>
      <c r="I189" s="366"/>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row>
    <row r="190" spans="1:65" ht="16" customHeight="1" x14ac:dyDescent="0.2">
      <c r="A190" s="4"/>
      <c r="B190" s="362" t="s">
        <v>144</v>
      </c>
      <c r="C190" s="363"/>
      <c r="D190" s="363"/>
      <c r="E190" s="363"/>
      <c r="F190" s="366"/>
      <c r="G190" s="366"/>
      <c r="H190" s="366"/>
      <c r="I190" s="366"/>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row>
    <row r="191" spans="1:65" ht="16" customHeight="1" x14ac:dyDescent="0.2">
      <c r="A191" s="4"/>
      <c r="B191" s="363"/>
      <c r="C191" s="363"/>
      <c r="D191" s="363"/>
      <c r="E191" s="363"/>
      <c r="F191" s="382" t="s">
        <v>146</v>
      </c>
      <c r="G191" s="366"/>
      <c r="H191" s="366"/>
      <c r="I191" s="366"/>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row>
    <row r="192" spans="1:65" x14ac:dyDescent="0.2">
      <c r="A192" s="4"/>
      <c r="B192" s="75"/>
      <c r="C192" s="75"/>
      <c r="D192" s="75"/>
      <c r="E192" s="75"/>
      <c r="F192" s="366"/>
      <c r="G192" s="366"/>
      <c r="H192" s="366"/>
      <c r="I192" s="366"/>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row>
    <row r="193" spans="1:65" x14ac:dyDescent="0.2">
      <c r="A193" s="4"/>
      <c r="B193" s="75"/>
      <c r="C193" s="75"/>
      <c r="D193" s="75"/>
      <c r="E193" s="75"/>
      <c r="F193" s="133"/>
      <c r="G193" s="133"/>
      <c r="H193" s="133"/>
      <c r="I193" s="133"/>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row>
    <row r="194" spans="1:65" ht="19" x14ac:dyDescent="0.25">
      <c r="A194" s="2" t="s">
        <v>86</v>
      </c>
      <c r="B194" s="13"/>
    </row>
    <row r="195" spans="1:65" ht="16" customHeight="1" x14ac:dyDescent="0.2">
      <c r="A195" s="4"/>
      <c r="B195" s="375" t="s">
        <v>183</v>
      </c>
      <c r="C195" s="375"/>
      <c r="D195" s="386" t="s">
        <v>184</v>
      </c>
      <c r="E195" s="386"/>
      <c r="F195" s="386"/>
      <c r="G195" s="386"/>
      <c r="H195" s="386"/>
      <c r="I195" s="386"/>
      <c r="J195" s="386"/>
      <c r="K195" s="134"/>
    </row>
    <row r="196" spans="1:65" x14ac:dyDescent="0.2">
      <c r="A196" s="4"/>
      <c r="B196" s="375"/>
      <c r="C196" s="375"/>
      <c r="D196" s="386"/>
      <c r="E196" s="386"/>
      <c r="F196" s="386"/>
      <c r="G196" s="386"/>
      <c r="H196" s="386"/>
      <c r="I196" s="386"/>
      <c r="J196" s="386"/>
      <c r="K196" s="134"/>
    </row>
    <row r="197" spans="1:65" x14ac:dyDescent="0.2">
      <c r="A197" s="4"/>
      <c r="B197" s="375"/>
      <c r="C197" s="375"/>
      <c r="D197" s="386"/>
      <c r="E197" s="386"/>
      <c r="F197" s="386"/>
      <c r="G197" s="386"/>
      <c r="H197" s="386"/>
      <c r="I197" s="386"/>
      <c r="J197" s="386"/>
      <c r="K197" s="134"/>
    </row>
    <row r="198" spans="1:65" x14ac:dyDescent="0.2">
      <c r="A198" s="4"/>
      <c r="B198" s="375"/>
      <c r="C198" s="375"/>
      <c r="D198" s="386"/>
      <c r="E198" s="386"/>
      <c r="F198" s="386"/>
      <c r="G198" s="386"/>
      <c r="H198" s="386"/>
      <c r="I198" s="386"/>
      <c r="J198" s="386"/>
      <c r="K198" s="134"/>
    </row>
    <row r="199" spans="1:65" x14ac:dyDescent="0.2">
      <c r="A199" s="4"/>
      <c r="B199" s="160"/>
      <c r="C199" s="160"/>
      <c r="D199" s="160"/>
      <c r="E199" s="160"/>
      <c r="F199" s="160"/>
      <c r="G199" s="160"/>
      <c r="H199" s="160"/>
      <c r="I199" s="160"/>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row>
    <row r="200" spans="1:65" ht="19" x14ac:dyDescent="0.25">
      <c r="A200" s="2" t="s">
        <v>87</v>
      </c>
      <c r="B200" s="159"/>
      <c r="C200" s="159"/>
      <c r="D200" s="159"/>
      <c r="E200" s="159"/>
      <c r="F200" s="159"/>
      <c r="G200" s="159"/>
      <c r="H200" s="159"/>
      <c r="I200" s="159"/>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row>
    <row r="201" spans="1:65" x14ac:dyDescent="0.2">
      <c r="A201" s="4"/>
      <c r="B201" s="375" t="s">
        <v>179</v>
      </c>
      <c r="C201" s="375"/>
      <c r="D201" s="375"/>
      <c r="E201" s="375"/>
      <c r="F201" s="375"/>
      <c r="G201" s="375"/>
      <c r="H201" s="375"/>
      <c r="I201" s="375"/>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row>
    <row r="202" spans="1:65" x14ac:dyDescent="0.2">
      <c r="A202" s="4"/>
      <c r="B202" s="375"/>
      <c r="C202" s="375"/>
      <c r="D202" s="375"/>
      <c r="E202" s="375"/>
      <c r="F202" s="375"/>
      <c r="G202" s="375"/>
      <c r="H202" s="375"/>
      <c r="I202" s="375"/>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row>
    <row r="203" spans="1:65" x14ac:dyDescent="0.2">
      <c r="A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row>
    <row r="204" spans="1:65" ht="19" x14ac:dyDescent="0.25">
      <c r="A204" s="2" t="s">
        <v>31</v>
      </c>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row>
    <row r="205" spans="1:65" x14ac:dyDescent="0.2">
      <c r="A205" s="4"/>
      <c r="B205" s="152" t="s">
        <v>134</v>
      </c>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row>
    <row r="206" spans="1:65" x14ac:dyDescent="0.2">
      <c r="A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row>
    <row r="207" spans="1:65" x14ac:dyDescent="0.2">
      <c r="A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row>
    <row r="208" spans="1:65" x14ac:dyDescent="0.2">
      <c r="A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row>
    <row r="209" spans="1:65" x14ac:dyDescent="0.2">
      <c r="A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row>
    <row r="210" spans="1:65" x14ac:dyDescent="0.2">
      <c r="A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row>
    <row r="211" spans="1:65" x14ac:dyDescent="0.2">
      <c r="A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row>
    <row r="212" spans="1:65" x14ac:dyDescent="0.2">
      <c r="A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row>
  </sheetData>
  <mergeCells count="38">
    <mergeCell ref="B4:I5"/>
    <mergeCell ref="C7:G7"/>
    <mergeCell ref="C16:C17"/>
    <mergeCell ref="B43:I43"/>
    <mergeCell ref="B163:E163"/>
    <mergeCell ref="B106:I108"/>
    <mergeCell ref="B128:I129"/>
    <mergeCell ref="B158:I160"/>
    <mergeCell ref="B162:E162"/>
    <mergeCell ref="B45:I46"/>
    <mergeCell ref="B33:I34"/>
    <mergeCell ref="B48:I49"/>
    <mergeCell ref="B54:I55"/>
    <mergeCell ref="D61:G61"/>
    <mergeCell ref="B201:I202"/>
    <mergeCell ref="B189:E189"/>
    <mergeCell ref="F189:I190"/>
    <mergeCell ref="B190:E190"/>
    <mergeCell ref="D78:G78"/>
    <mergeCell ref="D110:G110"/>
    <mergeCell ref="B92:I93"/>
    <mergeCell ref="B149:I152"/>
    <mergeCell ref="D134:G134"/>
    <mergeCell ref="E123:F123"/>
    <mergeCell ref="B181:I186"/>
    <mergeCell ref="B167:I178"/>
    <mergeCell ref="B71:I72"/>
    <mergeCell ref="F162:I162"/>
    <mergeCell ref="D143:F143"/>
    <mergeCell ref="B164:E164"/>
    <mergeCell ref="B195:C198"/>
    <mergeCell ref="D195:J198"/>
    <mergeCell ref="F164:I164"/>
    <mergeCell ref="B191:E191"/>
    <mergeCell ref="F191:I192"/>
    <mergeCell ref="B188:E188"/>
    <mergeCell ref="F188:I188"/>
    <mergeCell ref="F163:I163"/>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ODP Cross-Classified</vt:lpstr>
      <vt:lpstr>GLM Representation</vt:lpstr>
      <vt:lpstr>Re-normalizing ODP CC</vt:lpstr>
      <vt:lpstr>Delta Method</vt:lpstr>
      <vt:lpstr>Semi-Parametric Bootstrap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Steve Roll</cp:lastModifiedBy>
  <dcterms:created xsi:type="dcterms:W3CDTF">2020-08-07T14:18:21Z</dcterms:created>
  <dcterms:modified xsi:type="dcterms:W3CDTF">2026-09-01T17:36:29Z</dcterms:modified>
</cp:coreProperties>
</file>