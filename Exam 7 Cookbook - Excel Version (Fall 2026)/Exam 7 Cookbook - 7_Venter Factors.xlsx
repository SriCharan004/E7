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Cookbook/Exam 7 Cookbook - Excel Version/"/>
    </mc:Choice>
  </mc:AlternateContent>
  <xr:revisionPtr revIDLastSave="0" documentId="13_ncr:1_{D23DB065-0D76-244A-A206-6DB34009A694}" xr6:coauthVersionLast="47" xr6:coauthVersionMax="47" xr10:uidLastSave="{00000000-0000-0000-0000-000000000000}"/>
  <bookViews>
    <workbookView xWindow="12940" yWindow="500" windowWidth="18980" windowHeight="20400" xr2:uid="{00000000-000D-0000-FFFF-FFFF00000000}"/>
  </bookViews>
  <sheets>
    <sheet name="Correlation Dev Factors" sheetId="1" r:id="rId1"/>
    <sheet name="Parameterized BF-Constant" sheetId="2" r:id="rId2"/>
    <sheet name="Parameterized BF-Var ∝ f(d)h(w)" sheetId="3" r:id="rId3"/>
    <sheet name="Test High Low Diagonals" sheetId="4" r:id="rId4"/>
    <sheet name="Goodness of Fit" sheetId="5" r:id="rId5"/>
    <sheet name="High-Low Diag Regression"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2" i="8" l="1"/>
  <c r="G22" i="8"/>
  <c r="F22" i="8"/>
  <c r="E22" i="8"/>
  <c r="D22" i="8"/>
  <c r="C22" i="8"/>
  <c r="H21" i="8"/>
  <c r="G21" i="8"/>
  <c r="F21" i="8"/>
  <c r="E21" i="8"/>
  <c r="D21" i="8"/>
  <c r="C21" i="8"/>
  <c r="H20" i="8"/>
  <c r="G20" i="8"/>
  <c r="F20" i="8"/>
  <c r="E20" i="8"/>
  <c r="D20" i="8"/>
  <c r="C20" i="8"/>
  <c r="H19" i="8"/>
  <c r="G19" i="8"/>
  <c r="F19" i="8"/>
  <c r="E19" i="8"/>
  <c r="D19" i="8"/>
  <c r="C19" i="8"/>
  <c r="H18" i="8"/>
  <c r="G18" i="8"/>
  <c r="F18" i="8"/>
  <c r="E18" i="8"/>
  <c r="D18" i="8"/>
  <c r="C18" i="8"/>
  <c r="H17" i="8"/>
  <c r="G17" i="8"/>
  <c r="F17" i="8"/>
  <c r="E17" i="8"/>
  <c r="D17" i="8"/>
  <c r="C17" i="8"/>
  <c r="H21" i="4"/>
  <c r="H62" i="4" s="1"/>
  <c r="G21" i="4"/>
  <c r="G62" i="4" s="1"/>
  <c r="F21" i="4"/>
  <c r="F62" i="4" s="1"/>
  <c r="E21" i="4"/>
  <c r="E62" i="4" s="1"/>
  <c r="D20" i="4"/>
  <c r="D61" i="4" s="1"/>
  <c r="H20" i="4"/>
  <c r="H61" i="4" s="1"/>
  <c r="G20" i="4"/>
  <c r="G61" i="4" s="1"/>
  <c r="F20" i="4"/>
  <c r="F61" i="4" s="1"/>
  <c r="E20" i="4"/>
  <c r="E61" i="4" s="1"/>
  <c r="D21" i="4"/>
  <c r="D62" i="4" s="1"/>
  <c r="G112" i="5"/>
  <c r="D112" i="5"/>
  <c r="F56" i="5"/>
  <c r="E55" i="5"/>
  <c r="C59" i="5"/>
  <c r="C58" i="5"/>
  <c r="C57" i="5"/>
  <c r="C56" i="5"/>
  <c r="C55" i="5"/>
  <c r="C41" i="5"/>
  <c r="C42" i="5"/>
  <c r="C43" i="5"/>
  <c r="C44" i="5"/>
  <c r="C40" i="5"/>
  <c r="C32" i="4"/>
  <c r="C31" i="4"/>
  <c r="C30" i="4"/>
  <c r="C29" i="4"/>
  <c r="C69" i="3"/>
  <c r="C68" i="3"/>
  <c r="C67" i="3"/>
  <c r="C56" i="3"/>
  <c r="C55" i="3"/>
  <c r="C54" i="3"/>
  <c r="C43" i="3"/>
  <c r="C42" i="3"/>
  <c r="C41" i="3"/>
  <c r="C38" i="3"/>
  <c r="C37" i="3"/>
  <c r="C36" i="3"/>
  <c r="E91" i="2"/>
  <c r="E90" i="2"/>
  <c r="E89" i="2"/>
  <c r="C60" i="2"/>
  <c r="C59" i="2"/>
  <c r="C58" i="2"/>
  <c r="C42" i="2"/>
  <c r="C41" i="2"/>
  <c r="C40" i="2"/>
  <c r="E15" i="1"/>
  <c r="D64" i="1" s="1"/>
  <c r="E14" i="1"/>
  <c r="F102" i="1" s="1"/>
  <c r="E18" i="1"/>
  <c r="E17" i="1"/>
  <c r="E16" i="1"/>
  <c r="F93" i="1"/>
  <c r="F100" i="1" s="1"/>
  <c r="E93" i="1"/>
  <c r="E100" i="1" s="1"/>
  <c r="D93" i="1"/>
  <c r="D100" i="1" s="1"/>
  <c r="G80" i="5"/>
  <c r="G56" i="5"/>
  <c r="H55" i="5"/>
  <c r="F46" i="5"/>
  <c r="I42" i="5"/>
  <c r="I41" i="5"/>
  <c r="I40" i="5"/>
  <c r="D31" i="4"/>
  <c r="D48" i="4" s="1"/>
  <c r="D30" i="4"/>
  <c r="D47" i="4" s="1"/>
  <c r="D29" i="4"/>
  <c r="D46" i="4" s="1"/>
  <c r="C47" i="4"/>
  <c r="C48" i="4"/>
  <c r="C46" i="4"/>
  <c r="D32" i="4"/>
  <c r="E31" i="4"/>
  <c r="F30" i="4"/>
  <c r="E30" i="4"/>
  <c r="E50" i="4" s="1"/>
  <c r="G29" i="4"/>
  <c r="F29" i="4"/>
  <c r="F51" i="4" s="1"/>
  <c r="E29" i="4"/>
  <c r="E49" i="4" s="1"/>
  <c r="D80" i="5"/>
  <c r="H46" i="5"/>
  <c r="G46" i="5"/>
  <c r="E46" i="5"/>
  <c r="D46" i="5"/>
  <c r="I44" i="5"/>
  <c r="I43" i="5"/>
  <c r="C51" i="4"/>
  <c r="C50" i="4"/>
  <c r="C49" i="4"/>
  <c r="E36" i="3"/>
  <c r="D36" i="3"/>
  <c r="D38" i="3"/>
  <c r="D43" i="3" s="1"/>
  <c r="E37" i="3"/>
  <c r="D37" i="3"/>
  <c r="F36" i="3"/>
  <c r="F30" i="2"/>
  <c r="F31" i="2" s="1"/>
  <c r="E29" i="2"/>
  <c r="D29" i="2"/>
  <c r="C31" i="1"/>
  <c r="D34" i="1"/>
  <c r="C34" i="1"/>
  <c r="D33" i="1"/>
  <c r="C33" i="1"/>
  <c r="D32" i="1"/>
  <c r="C32" i="1"/>
  <c r="D31" i="1"/>
  <c r="H63" i="4" l="1"/>
  <c r="H64" i="4" s="1"/>
  <c r="G63" i="4"/>
  <c r="G64" i="4" s="1"/>
  <c r="G41" i="5"/>
  <c r="E102" i="1"/>
  <c r="D102" i="1"/>
  <c r="D103" i="1" s="1"/>
  <c r="F103" i="1"/>
  <c r="E103" i="1"/>
  <c r="F41" i="5"/>
  <c r="F42" i="5"/>
  <c r="D42" i="3"/>
  <c r="H68" i="3" s="1"/>
  <c r="E41" i="5"/>
  <c r="E58" i="5"/>
  <c r="H69" i="3"/>
  <c r="D56" i="3"/>
  <c r="D41" i="3"/>
  <c r="E54" i="3" s="1"/>
  <c r="E30" i="2"/>
  <c r="E31" i="2" s="1"/>
  <c r="G115" i="1"/>
  <c r="G117" i="1" s="1"/>
  <c r="D45" i="1"/>
  <c r="E42" i="5"/>
  <c r="E43" i="5"/>
  <c r="E56" i="5"/>
  <c r="E40" i="5"/>
  <c r="H40" i="5"/>
  <c r="F55" i="5"/>
  <c r="E57" i="5"/>
  <c r="F57" i="5"/>
  <c r="G40" i="5"/>
  <c r="F40" i="5"/>
  <c r="G55" i="5"/>
  <c r="D53" i="1"/>
  <c r="D62" i="1" s="1"/>
  <c r="D68" i="5" l="1" a="1"/>
  <c r="D68" i="5" s="1"/>
  <c r="D67" i="5" a="1"/>
  <c r="D67" i="5" s="1"/>
  <c r="F32" i="2"/>
  <c r="H89" i="2" s="1"/>
  <c r="E55" i="3"/>
  <c r="E59" i="3" s="1"/>
  <c r="E71" i="3" s="1"/>
  <c r="E69" i="3" s="1"/>
  <c r="D55" i="3"/>
  <c r="D54" i="3"/>
  <c r="D30" i="2"/>
  <c r="D31" i="2" s="1"/>
  <c r="H67" i="3"/>
  <c r="D55" i="1"/>
  <c r="F54" i="3"/>
  <c r="F59" i="3" s="1"/>
  <c r="F71" i="3" s="1"/>
  <c r="F69" i="3" s="1"/>
  <c r="G79" i="5"/>
  <c r="D79" i="5"/>
  <c r="D82" i="5" l="1"/>
  <c r="G82" i="5"/>
  <c r="F73" i="3"/>
  <c r="D32" i="2"/>
  <c r="F91" i="2" s="1"/>
  <c r="E32" i="2"/>
  <c r="D41" i="2" s="1"/>
  <c r="H59" i="2" s="1"/>
  <c r="D59" i="3"/>
  <c r="D71" i="3" s="1"/>
  <c r="F68" i="3"/>
  <c r="F90" i="2" l="1"/>
  <c r="F89" i="2"/>
  <c r="D42" i="2"/>
  <c r="H60" i="2" s="1"/>
  <c r="G90" i="2"/>
  <c r="G89" i="2"/>
  <c r="D40" i="2"/>
  <c r="E50" i="2" l="1"/>
  <c r="E62" i="2" s="1"/>
  <c r="D50" i="2"/>
  <c r="D62" i="2" s="1"/>
  <c r="H58" i="2"/>
  <c r="F50" i="2"/>
  <c r="F62" i="2" s="1"/>
  <c r="E60" i="2" l="1"/>
  <c r="F60" i="2"/>
  <c r="F64" i="2" s="1"/>
  <c r="F59" i="2"/>
  <c r="F9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D20" authorId="0" shapeId="0" xr:uid="{BF7820D1-1A80-5743-B0D1-0D30C96DA2C9}">
      <text>
        <r>
          <rPr>
            <b/>
            <sz val="10"/>
            <color rgb="FF000000"/>
            <rFont val="Tahoma"/>
            <family val="2"/>
          </rPr>
          <t>Rising Fellow:</t>
        </r>
        <r>
          <rPr>
            <sz val="10"/>
            <color rgb="FF000000"/>
            <rFont val="Tahoma"/>
            <family val="2"/>
          </rPr>
          <t xml:space="preserve">
</t>
        </r>
        <r>
          <rPr>
            <sz val="10"/>
            <color rgb="FF000000"/>
            <rFont val="Tahoma"/>
            <family val="2"/>
          </rPr>
          <t>See the "High-Low Diag Regression" tab for how these were calculated.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<sst xmlns="http://schemas.openxmlformats.org/spreadsheetml/2006/main" count="374" uniqueCount="246">
  <si>
    <t>Solution</t>
  </si>
  <si>
    <t>Given the following information:</t>
  </si>
  <si>
    <t>Age-to-Age Factors</t>
  </si>
  <si>
    <t>Accident Year</t>
  </si>
  <si>
    <t>36-48 Months</t>
  </si>
  <si>
    <t>48-60 Months</t>
  </si>
  <si>
    <t>Degrees of Freedom</t>
  </si>
  <si>
    <t>t-statistic for 0.95</t>
  </si>
  <si>
    <t>Using the Venter correlation test at the 10% t-statistic significance level, test the null hypothesis that the</t>
  </si>
  <si>
    <t>age-to-age factors from 12-24 months and 24-36 months are independent.</t>
  </si>
  <si>
    <t>X</t>
  </si>
  <si>
    <t>Y</t>
  </si>
  <si>
    <t>(12-24mo)</t>
  </si>
  <si>
    <t>(24-36mo)</t>
  </si>
  <si>
    <t>T =</t>
  </si>
  <si>
    <t>Reject the null hypothesis that the age-to-age factors are independent.</t>
  </si>
  <si>
    <t xml:space="preserve">n = </t>
  </si>
  <si>
    <t xml:space="preserve">3.29 &gt; 2.92, so T is significant at the 10% level using a 2-tailed test. </t>
  </si>
  <si>
    <t>Incremental Losses</t>
  </si>
  <si>
    <t>12 Months</t>
  </si>
  <si>
    <t>24 Months</t>
  </si>
  <si>
    <t>36 Months</t>
  </si>
  <si>
    <t>LDF</t>
  </si>
  <si>
    <t>CDF</t>
  </si>
  <si>
    <t>% Paid</t>
  </si>
  <si>
    <t>d</t>
  </si>
  <si>
    <t>f(d)</t>
  </si>
  <si>
    <t>AY</t>
  </si>
  <si>
    <t>h(w)</t>
  </si>
  <si>
    <t>Calculate the expected future incremental losses and sum for the estimated unpaid loss.</t>
  </si>
  <si>
    <t>Development</t>
  </si>
  <si>
    <t>Period(d)</t>
  </si>
  <si>
    <t>(12 Months)</t>
  </si>
  <si>
    <t>(24 Months)</t>
  </si>
  <si>
    <t>(36 Months)</t>
  </si>
  <si>
    <t>(Incremental Losses)^2/f(d)</t>
  </si>
  <si>
    <t>(Incremental Losses)^2/h(w)</t>
  </si>
  <si>
    <t>48 Months</t>
  </si>
  <si>
    <t>Cumulative Losses</t>
  </si>
  <si>
    <t>IncLoss</t>
  </si>
  <si>
    <t>CumLoss</t>
  </si>
  <si>
    <t>Age 0</t>
  </si>
  <si>
    <t>Age 1</t>
  </si>
  <si>
    <t>Age 2</t>
  </si>
  <si>
    <t>Incremental Paid Losses</t>
  </si>
  <si>
    <t>60 Months</t>
  </si>
  <si>
    <t>Age(d)</t>
  </si>
  <si>
    <t>Year(w)</t>
  </si>
  <si>
    <t xml:space="preserve">p = </t>
  </si>
  <si>
    <t>Set up a table of the data that can be used in a regression model to test for diagonal effects and interpret</t>
  </si>
  <si>
    <t>the results of the multivariate regression (given below) to test for significantly high or low diagonals.</t>
  </si>
  <si>
    <t>Dummy 1
(Diagonal 2)</t>
  </si>
  <si>
    <t>Dummy 2
(Diagonal 3)</t>
  </si>
  <si>
    <t>Below are the final factors from a parameterized BF model:</t>
  </si>
  <si>
    <t>Below are the volume-weighted loss development factors for the chain ladder method:</t>
  </si>
  <si>
    <t>24-36</t>
  </si>
  <si>
    <t>36-48</t>
  </si>
  <si>
    <t>48-60</t>
  </si>
  <si>
    <t>12-24</t>
  </si>
  <si>
    <t>Use the adjusted SSE to determine whether the chain ladder method is superior to the alternative loss</t>
  </si>
  <si>
    <t>emergence pattern used by the parameterized BF model.</t>
  </si>
  <si>
    <t>Calculate the sum of the squared (SSE) error between the actual and fitted incremental losses for each method.</t>
  </si>
  <si>
    <t>The chain ladder model has the lowest adjusted SSE, so by this test it’s superior to the alternative loss emergence pattern.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</si>
  <si>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</si>
  <si>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</si>
  <si>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</si>
  <si>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</si>
  <si>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</si>
  <si>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</si>
  <si>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</si>
  <si>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</si>
  <si>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</si>
  <si>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</si>
  <si>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</si>
  <si>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</si>
  <si>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</si>
  <si>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</si>
  <si>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</si>
  <si>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</si>
  <si>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</si>
  <si>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</si>
  <si>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</si>
  <si>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</si>
  <si>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</si>
  <si>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</si>
  <si>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</si>
  <si>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</si>
  <si>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Run the multivariate regression and test if any of the diagonal dummy variables are significant.</t>
  </si>
  <si>
    <t>Given:</t>
  </si>
  <si>
    <t>Dummy 1</t>
  </si>
  <si>
    <t>Diag. 2</t>
  </si>
  <si>
    <t>Dummy 2</t>
  </si>
  <si>
    <t>Diag. 3</t>
  </si>
  <si>
    <t>b</t>
  </si>
  <si>
    <t>Std. Dev. (b)</t>
  </si>
  <si>
    <t>Significant?</t>
  </si>
  <si>
    <t>b / Std. Dev. (b)</t>
  </si>
  <si>
    <t>Discussion</t>
  </si>
  <si>
    <t>Testing for Correlation in the Entire Triangle</t>
  </si>
  <si>
    <t>Column-Pair</t>
  </si>
  <si>
    <t>T</t>
  </si>
  <si>
    <t># elements (n)</t>
  </si>
  <si>
    <t>More generally:</t>
  </si>
  <si>
    <t>m - number of column-pairs tested</t>
  </si>
  <si>
    <t xml:space="preserve">The standard deviation of a binomial </t>
  </si>
  <si>
    <t>distribution with a 10% probability is:</t>
  </si>
  <si>
    <t xml:space="preserve">There are 2 significantly correlated column-pairs. </t>
  </si>
  <si>
    <t>Source</t>
  </si>
  <si>
    <t>Venter Factors – pg. 833-834 and Venter Factors Errata</t>
  </si>
  <si>
    <t>More Practice</t>
  </si>
  <si>
    <t>CAS 2016 – 6 a</t>
  </si>
  <si>
    <t>CAS 2015 – 5</t>
  </si>
  <si>
    <t>CAS 2014 – 4</t>
  </si>
  <si>
    <t>RF Venter Factors – 1</t>
  </si>
  <si>
    <t>Venter Factors – pg. 822-825</t>
  </si>
  <si>
    <t>RF Venter Factors – 2</t>
  </si>
  <si>
    <t>Venter Factors – pg. 823-824</t>
  </si>
  <si>
    <t>RF Venter Factors – 3</t>
  </si>
  <si>
    <t>RF Venter Factors – 7</t>
  </si>
  <si>
    <t>-</t>
  </si>
  <si>
    <t>Venter Factors – pg. 834-837</t>
  </si>
  <si>
    <t xml:space="preserve">CAS 2018 – 10 </t>
  </si>
  <si>
    <t>RF Venter Factors – 4</t>
  </si>
  <si>
    <t>Number of Parameters</t>
  </si>
  <si>
    <t>RF Venter Factors – 6</t>
  </si>
  <si>
    <t>RF Venter Factors – 8</t>
  </si>
  <si>
    <t>significance of each column-pair.</t>
  </si>
  <si>
    <t>that there is correlation within the triangle at the 10% significance level. The</t>
  </si>
  <si>
    <t>threshold Venter uses is the mean plus 3.33 standard deviations using a binomial</t>
  </si>
  <si>
    <t xml:space="preserve">distribution. </t>
  </si>
  <si>
    <t>This is less than the threshold of the mean plus</t>
  </si>
  <si>
    <t>3.33 standard deviations so we conclude there is</t>
  </si>
  <si>
    <t>not correlation within the triangle at the 10% level.</t>
  </si>
  <si>
    <t>example</t>
  </si>
  <si>
    <t>Venter Factors – pg. 814-815 discusses the test and pg. 824-826 shows the results of the numerical</t>
  </si>
  <si>
    <t>12-24 and 
24-36</t>
  </si>
  <si>
    <t>24-36 and 
36-48</t>
  </si>
  <si>
    <t>12-24 and 
36-48</t>
  </si>
  <si>
    <t xml:space="preserve">m = </t>
  </si>
  <si>
    <t>f(d) Triangle</t>
  </si>
  <si>
    <t>Cape Cod Version of Parameterized BF</t>
  </si>
  <si>
    <t>•  Assume observations of incremental losses have a constant variance</t>
  </si>
  <si>
    <t>•  Volume-weighted loss development factors are used as the f(d) starting point</t>
  </si>
  <si>
    <t>•  Assume losses are fully developed at 36 months</t>
  </si>
  <si>
    <t>•  Assume observations of incremental losses have a variance proportional to f(d)h(w)</t>
  </si>
  <si>
    <t>•  The starting column factors, f(d), are:</t>
  </si>
  <si>
    <t>Venter Factors - Correlation of Development Factors</t>
  </si>
  <si>
    <t>Venter Factors - Parameterized BF: f(d)h(w) – Constant Variance</t>
  </si>
  <si>
    <t>Venter Factors - Parameterized BF: f(d)h(w) – Var ∝ f(d)h(w)</t>
  </si>
  <si>
    <t>Venter Factors - Testing for Significantly High/Low Diagonals</t>
  </si>
  <si>
    <t>Venter Factors - Goodness of Fit Test</t>
  </si>
  <si>
    <t>12-24  Months</t>
  </si>
  <si>
    <t>24-36 
Months</t>
  </si>
  <si>
    <t>1)</t>
  </si>
  <si>
    <t>2)</t>
  </si>
  <si>
    <t>3)</t>
  </si>
  <si>
    <t>Compare the absolute value of T to the corresponding t-statistic to test the significance.</t>
  </si>
  <si>
    <t>If the number of correlated column-pairs is greater than the threshold, conclude</t>
  </si>
  <si>
    <t>Calculate T, a t-distributed statistic with n-2 degrees of freedom, and test the</t>
  </si>
  <si>
    <t>For each column-pair of LDFs, calculate the sample correlation coefficient.</t>
  </si>
  <si>
    <t xml:space="preserve">Note: </t>
  </si>
  <si>
    <t>An exam problem would give the regression results because the Pearson Vue environment can't show the full output of a multivariate regression. For those interested, the multivariate regression output is shown on the "High-Low Diag Regression" tab</t>
  </si>
  <si>
    <r>
      <t>t</t>
    </r>
    <r>
      <rPr>
        <vertAlign val="subscript"/>
        <sz val="12"/>
        <color rgb="FF000000"/>
        <rFont val="Calibri"/>
        <family val="2"/>
      </rPr>
      <t>n-2, ⍺ / 2 %</t>
    </r>
  </si>
  <si>
    <t>Calculate X and Y, the age-to-age factors minus 1 for the column-pair. This is the incremental loss development piece of the age-to-age factor.</t>
  </si>
  <si>
    <t>Note:</t>
  </si>
  <si>
    <t>4)</t>
  </si>
  <si>
    <t>Calculate r, the sample correlation coefficient between X and Y.</t>
  </si>
  <si>
    <t>You could skip this step. The sample correlation is the same whether 1 is subtracted or not, but this is what Venter does in the paper.</t>
  </si>
  <si>
    <t>In Excel</t>
  </si>
  <si>
    <t>r = CORREL(Array 1, Array 2)</t>
  </si>
  <si>
    <t xml:space="preserve">r = </t>
  </si>
  <si>
    <t>Calculate T, a t-distributed statistic with n-2 degrees of freedom.</t>
  </si>
  <si>
    <t xml:space="preserve">Degrees of Freedom = </t>
  </si>
  <si>
    <r>
      <t>threshold = t</t>
    </r>
    <r>
      <rPr>
        <vertAlign val="subscript"/>
        <sz val="12"/>
        <color theme="1"/>
        <rFont val="Calibri"/>
        <family val="2"/>
      </rPr>
      <t>2</t>
    </r>
    <r>
      <rPr>
        <sz val="12"/>
        <color theme="1"/>
        <rFont val="Calibri"/>
        <family val="2"/>
      </rPr>
      <t xml:space="preserve">, 5% = </t>
    </r>
  </si>
  <si>
    <t>Conclusion:</t>
  </si>
  <si>
    <t xml:space="preserve">Use the CORREL() function to easily calculate the correlation of the column-pairs.
The t-statistic values should be given, but if you need to calculate them, use the formula below:
t-statistic = T.INV( probability , deg of freedom) </t>
  </si>
  <si>
    <r>
      <t xml:space="preserve">According to Venter Factors (pg. 832-833), this tests </t>
    </r>
    <r>
      <rPr>
        <i/>
        <u/>
        <sz val="12"/>
        <color theme="1"/>
        <rFont val="Calibri"/>
        <family val="2"/>
      </rPr>
      <t>Mack’s 2nd assumption</t>
    </r>
    <r>
      <rPr>
        <sz val="12"/>
        <color theme="1"/>
        <rFont val="Calibri"/>
        <family val="2"/>
      </rPr>
      <t xml:space="preserve"> that losses are independent between accident years in the triangle. Unfortunately, this conflicts with the Mack – Chain Ladder paper, which says that the </t>
    </r>
    <r>
      <rPr>
        <i/>
        <u/>
        <sz val="12"/>
        <color theme="1"/>
        <rFont val="Calibri"/>
        <family val="2"/>
      </rPr>
      <t>1st assumption</t>
    </r>
    <r>
      <rPr>
        <sz val="12"/>
        <color theme="1"/>
        <rFont val="Calibri"/>
        <family val="2"/>
      </rPr>
      <t xml:space="preserve"> implies age-to-age factors are uncorrelated (pg. 155 in Mack). In my opinion, there’s some overlap between assumptions 1 and 2 in how they’re presented in the two papers.
Be careful with the degrees of freedom (n-2) on a problem. This also means that this test is only for column-pairs with 3+ elements.</t>
    </r>
  </si>
  <si>
    <t>A potential twist to this problem is to test the whole triangle for correlation. Do this by comparing the number of significantly correlated column-pairs of LDFs against a threshold for the triangle. 
For the whole-triangle test, you need to look at all possible column-pair combinations, not just adjacent column-pairs (e.g. also look at the correlation between 12-24 Month and 36-48 Month LDFs). I verified this with Gary Venter.
Below is a mini-recipe to test the entire triangle for correlation, based on the example above:</t>
  </si>
  <si>
    <t xml:space="preserve">correlation (r) </t>
  </si>
  <si>
    <r>
      <t xml:space="preserve">We are testing whether the </t>
    </r>
    <r>
      <rPr>
        <i/>
        <u/>
        <sz val="12"/>
        <color theme="1"/>
        <rFont val="Calibri"/>
        <family val="2"/>
      </rPr>
      <t>absolute value</t>
    </r>
    <r>
      <rPr>
        <sz val="12"/>
        <color theme="1"/>
        <rFont val="Calibri"/>
        <family val="2"/>
      </rPr>
      <t xml:space="preserve"> of T is greater than t</t>
    </r>
    <r>
      <rPr>
        <vertAlign val="subscript"/>
        <sz val="12"/>
        <color theme="1"/>
        <rFont val="Calibri"/>
        <family val="2"/>
      </rPr>
      <t>n-2, ⍺ / 2 %</t>
    </r>
    <r>
      <rPr>
        <sz val="12"/>
        <color theme="1"/>
        <rFont val="Calibri"/>
        <family val="2"/>
      </rPr>
      <t xml:space="preserve"> . This is the reason why the second T-value, -9.07, is significant.</t>
    </r>
  </si>
  <si>
    <r>
      <t>Threshold</t>
    </r>
    <r>
      <rPr>
        <vertAlign val="subscript"/>
        <sz val="12"/>
        <color theme="1"/>
        <rFont val="Calibri"/>
        <family val="2"/>
      </rPr>
      <t>10%</t>
    </r>
    <r>
      <rPr>
        <sz val="12"/>
        <color theme="1"/>
        <rFont val="Calibri"/>
        <family val="2"/>
      </rPr>
      <t xml:space="preserve"> = </t>
    </r>
  </si>
  <si>
    <t>Resv(2023) =</t>
  </si>
  <si>
    <t>Calculate the estimated loss reserve for 2023 using the parameterized BF model after 1 iteration of h(w) and f(d).</t>
  </si>
  <si>
    <t>5)</t>
  </si>
  <si>
    <t>Calculate the initial f(d) values.</t>
  </si>
  <si>
    <t>Calculate row factors, h(w).</t>
  </si>
  <si>
    <t>Calculate column factors, f(d). Note that the final f(d)s won’t sum to 1 (see discussion).</t>
  </si>
  <si>
    <t>Calculate row factors, h(w). Since the formula calculates h(w)2, make sure to take the square root to get h(w).</t>
  </si>
  <si>
    <t>Calculate column factors, f(d). Since the formula calculates f(d)2, make sure to take the square root to get f(d).</t>
  </si>
  <si>
    <t>Calculate the expected future incremental losses and calculate the unpaid reserve estimate and ultimate loss.</t>
  </si>
  <si>
    <t>Calculate the cumulative loss triangle.</t>
  </si>
  <si>
    <t>Create the table so that the regression model uses incremental losses as the dependent variable. The prior cumulative losses and the diagonal number are the independent variables in the model.</t>
  </si>
  <si>
    <t>Calculate the incremental expected losses for all development periods after the first column for the parameterized BF model (the alternative model).</t>
  </si>
  <si>
    <t>Calculate the incremental expected losses for all development periods after the first column for the chain ladder method. Use the actual cumulative loss at the prior development period for each calculation.</t>
  </si>
  <si>
    <t>Calculate the adjusted SSE for each method.</t>
  </si>
  <si>
    <t>Interpret the results.</t>
  </si>
  <si>
    <t>•  The model with the lowest adjusted SSE best explains the incremental losses.</t>
  </si>
  <si>
    <t>36-Ult</t>
  </si>
  <si>
    <t>LDF Age</t>
  </si>
  <si>
    <t>•  Use the chain ladder method to calculate the LDFs and the cumulative %Paid at each development period. 
•  Set f(d) to the incremental %Paid unless different starting values are specified.</t>
  </si>
  <si>
    <t>AY(w)</t>
  </si>
  <si>
    <r>
      <t>h</t>
    </r>
    <r>
      <rPr>
        <vertAlign val="superscript"/>
        <sz val="12"/>
        <color theme="1"/>
        <rFont val="Calibri"/>
        <family val="2"/>
      </rPr>
      <t>CC</t>
    </r>
    <r>
      <rPr>
        <sz val="12"/>
        <color theme="1"/>
        <rFont val="Calibri"/>
        <family val="2"/>
      </rPr>
      <t xml:space="preserve"> = </t>
    </r>
  </si>
  <si>
    <r>
      <t xml:space="preserve">This method is an iterative process. Repeat steps 2 and 3 to calculate the f(d)’s and h(w)’s until convergence. The initial f(d) values can be anything reasonable, but the paper mentions using the f(d)’s from the chain ladder method as a natural starting point. Unless you’re given a specific starting point or are running short of time, I would stick to that. 
Keep in mind the following points on how to interpret f(d) and h(w):
</t>
    </r>
    <r>
      <rPr>
        <b/>
        <sz val="12"/>
        <color theme="1"/>
        <rFont val="Calibri"/>
        <family val="2"/>
      </rPr>
      <t xml:space="preserve">The final f(d) factors won’t necessarily sum to 1. </t>
    </r>
    <r>
      <rPr>
        <sz val="12"/>
        <color theme="1"/>
        <rFont val="Calibri"/>
        <family val="2"/>
      </rPr>
      <t xml:space="preserve">
•  You can see this if you put a large number for the last incremental. Don’t think of f(d) as the same as % Incremental Emergence.
</t>
    </r>
    <r>
      <rPr>
        <b/>
        <sz val="12"/>
        <color theme="1"/>
        <rFont val="Calibri"/>
        <family val="2"/>
      </rPr>
      <t>The final h(w) factors aren’t the same as the expected ultimate loss.</t>
    </r>
    <r>
      <rPr>
        <sz val="12"/>
        <color theme="1"/>
        <rFont val="Calibri"/>
        <family val="2"/>
      </rPr>
      <t xml:space="preserve">
•  Both f(d) and h(w) must be used together to calculate expected incremental loss.</t>
    </r>
  </si>
  <si>
    <t>A potential twist to this problem is to use only one or two h(w) parameters instead of a separate parameter for each accident year. The Cape Cod version of this method only has one h parameter and step 2 is calculated by summing over the entire triangle as follows:</t>
  </si>
  <si>
    <t>For the f(d) and h(w) calculations, use both SUMPRODUCT() and SUMSQ() formulas to make the calculation easier in the Pearson Vue spreadsheet.</t>
  </si>
  <si>
    <t xml:space="preserve">Ult (2023) = </t>
  </si>
  <si>
    <t>Calculate the estimated ultimate loss for accident year 2023 using the factor times parameter model after 1 iteration.</t>
  </si>
  <si>
    <r>
      <t>This is a similar type of problem as the parameterized BF method with constant variance. The key difference is the h(w) and f(d) formulas. Make sure to identify in the problem (or state your assumption) which variance assumption is used so that you use the correct formulas. 
If you only need to calculate the estimated reserve for one accident year, you can ignore some of the additional calculations. In the above problem, calculating f(0) is unnecessary to solve the problem.
The formulas above calculate h(w)</t>
    </r>
    <r>
      <rPr>
        <vertAlign val="superscript"/>
        <sz val="12"/>
        <color theme="1"/>
        <rFont val="Calibri"/>
        <family val="2"/>
      </rPr>
      <t>2</t>
    </r>
    <r>
      <rPr>
        <sz val="12"/>
        <color theme="1"/>
        <rFont val="Calibri"/>
        <family val="2"/>
      </rPr>
      <t xml:space="preserve"> and f(d)</t>
    </r>
    <r>
      <rPr>
        <vertAlign val="superscript"/>
        <sz val="12"/>
        <color theme="1"/>
        <rFont val="Calibri"/>
        <family val="2"/>
      </rPr>
      <t>2</t>
    </r>
    <r>
      <rPr>
        <sz val="12"/>
        <color theme="1"/>
        <rFont val="Calibri"/>
        <family val="2"/>
      </rPr>
      <t xml:space="preserve">. </t>
    </r>
    <r>
      <rPr>
        <b/>
        <sz val="12"/>
        <color theme="1"/>
        <rFont val="Calibri"/>
        <family val="2"/>
      </rPr>
      <t>Remember to take the square root to get h(w) and f(d).</t>
    </r>
  </si>
  <si>
    <t>This test is described in Venter Factors but not carried out, so step 3 is my interpretation of how the CAS could ask a question based on results from the model. This is like the test Venter uses on pg. 820 to test Implication 1: Significance of Factors.
When setting up the data, a dummy variable is not needed for Diagonal 1 because this would over-parameterize the model. The fact that the incremental loss of 390 (row 1) is not in Diagonal 2 or 3 implies that it is in Diagonal 1.
Use a similar model for the additive chain ladder method. To run the additive chain ladder (without calendar effects or constant), use dummy variables instead of the prior cumulative loss. The factors for the additive chain ladder will be the average incremental loss for each development period. 
The setup for this is below:</t>
  </si>
  <si>
    <t>Coefficients for both diagonal parameters are less than twice the standard deviation. Therefore, we conclude that there are no significantly high/low diagonals.</t>
  </si>
  <si>
    <t>Summary of Multivariate Regression Parameters</t>
  </si>
  <si>
    <r>
      <t xml:space="preserve">If a coefficient for a diagonal dummy variable is </t>
    </r>
    <r>
      <rPr>
        <b/>
        <sz val="12"/>
        <color theme="1"/>
        <rFont val="Calibri"/>
        <family val="2"/>
      </rPr>
      <t>greater than twice the standard deviation</t>
    </r>
    <r>
      <rPr>
        <sz val="12"/>
        <color theme="1"/>
        <rFont val="Calibri"/>
        <family val="2"/>
      </rPr>
      <t xml:space="preserve"> of the coefficient, this indicates that the diagonal is significantly high (or low).</t>
    </r>
  </si>
  <si>
    <t>Expected Incremental Losses – Chain Ladder</t>
  </si>
  <si>
    <t>Expected Incremental Losses - Parameterized BF</t>
  </si>
  <si>
    <t xml:space="preserve">SSE (BF) = </t>
  </si>
  <si>
    <t xml:space="preserve">SSE (CL) = </t>
  </si>
  <si>
    <t>You can either create a triangle of helper calculations or calculate SSE using an array function as done above.</t>
  </si>
  <si>
    <t>p = # parameters in the model</t>
  </si>
  <si>
    <t>n = # incremental loss observations</t>
  </si>
  <si>
    <t xml:space="preserve">Adj SSE (BF) = </t>
  </si>
  <si>
    <t xml:space="preserve">Adj SSE (CL) = </t>
  </si>
  <si>
    <t>Parameterized BF</t>
  </si>
  <si>
    <t>Chain Ladder</t>
  </si>
  <si>
    <t>The goodness of fit test is a test for implication 2: Superiority to Alternative Loss Emergence Patterns. We’re trying to determine which model best explains the incremental losses in the loss triangle.</t>
  </si>
  <si>
    <t>AIC and BIC Test Statistics</t>
  </si>
  <si>
    <r>
      <t xml:space="preserve">One twist to this problem would be to use the AIC or BIC test statistics instead of the adjusted SSE. A lower test statistic is better.
The AIC and BIC formulas in the Venter Factors paper (below) are </t>
    </r>
    <r>
      <rPr>
        <i/>
        <u/>
        <sz val="12"/>
        <color theme="1"/>
        <rFont val="Calibri"/>
        <family val="2"/>
      </rPr>
      <t>approximations</t>
    </r>
    <r>
      <rPr>
        <sz val="12"/>
        <color theme="1"/>
        <rFont val="Calibri"/>
        <family val="2"/>
      </rPr>
      <t xml:space="preserve"> of the AIC and BIC. Shapland also has some formulas for AIC and BIC on page 35, and the footnote points out that different authors have different AIC/BIC formulas. Remember that the absolute values aren’t important. What matters with AIC and BIC is the comparison between models to see which model is a better fit.</t>
    </r>
  </si>
  <si>
    <t xml:space="preserve">Parameterized BF Method: </t>
  </si>
  <si>
    <r>
      <rPr>
        <b/>
        <sz val="12"/>
        <color theme="1"/>
        <rFont val="Calibri"/>
        <family val="2"/>
      </rPr>
      <t>CL Method:</t>
    </r>
    <r>
      <rPr>
        <sz val="12"/>
        <color theme="1"/>
        <rFont val="Calibri"/>
        <family val="2"/>
      </rPr>
      <t xml:space="preserve"> </t>
    </r>
  </si>
  <si>
    <t>•  A parameter is needed for each AY and development period. Since we assume the first AY is fully developed and because we’re not predicting the first development period, two fewer parameters are needed. See Venter’s discussion on pg. 817 for more.</t>
  </si>
  <si>
    <t xml:space="preserve">•  A parameter is needed for each AY except the first because we assume the first AY is fully developed. Think of the number of parameters here as the number of LDFs you’d use. </t>
  </si>
  <si>
    <t>You can save some time for the SSE calculations by calculating it in one cell using an array formula.</t>
  </si>
  <si>
    <t>Key points when setting up the table:</t>
  </si>
  <si>
    <r>
      <t xml:space="preserve">•  </t>
    </r>
    <r>
      <rPr>
        <b/>
        <sz val="12"/>
        <color theme="1"/>
        <rFont val="Calibri"/>
        <family val="2"/>
      </rPr>
      <t>The 1st column shows the incremental losses, excluding the first development period</t>
    </r>
    <r>
      <rPr>
        <sz val="12"/>
        <color theme="1"/>
        <rFont val="Calibri"/>
        <family val="2"/>
      </rPr>
      <t xml:space="preserve"> (because there are no prior cumulative losses).
•  </t>
    </r>
    <r>
      <rPr>
        <b/>
        <sz val="12"/>
        <color theme="1"/>
        <rFont val="Calibri"/>
        <family val="2"/>
      </rPr>
      <t>There is a column for each development period</t>
    </r>
    <r>
      <rPr>
        <sz val="12"/>
        <color theme="1"/>
        <rFont val="Calibri"/>
        <family val="2"/>
      </rPr>
      <t xml:space="preserve"> (excluding the last one) to show the prior cumulative losses of the incremental losses in column 1.
• </t>
    </r>
    <r>
      <rPr>
        <b/>
        <sz val="12"/>
        <color theme="1"/>
        <rFont val="Calibri"/>
        <family val="2"/>
      </rPr>
      <t xml:space="preserve"> Include a dummy variable (1 or 0) to indicate which calendar year diagonal the incremental loss is in.</t>
    </r>
    <r>
      <rPr>
        <sz val="12"/>
        <color theme="1"/>
        <rFont val="Calibri"/>
        <family val="2"/>
      </rPr>
      <t xml:space="preserve"> But ignore the first two diagonals to avoid over-parameterizing the model.</t>
    </r>
  </si>
  <si>
    <t>Notes:</t>
  </si>
  <si>
    <t>•	We exclude the first column because we’re only making predictions for incremental losses after the first development period. Therefore, we don’t consider the first development period in the test.</t>
  </si>
  <si>
    <t>Example for the BF method:</t>
  </si>
  <si>
    <t xml:space="preserve">AIC(BF) = </t>
  </si>
  <si>
    <t xml:space="preserve">BIC(BF) = </t>
  </si>
  <si>
    <t>CumLoss
Age 0</t>
  </si>
  <si>
    <t>CumLoss
Age 1</t>
  </si>
  <si>
    <t>CumLoss
Age 2</t>
  </si>
  <si>
    <t>y variable</t>
  </si>
  <si>
    <t>x variables</t>
  </si>
  <si>
    <t>Multi-Variate Regression for Testing High-Low Diagonals</t>
  </si>
  <si>
    <r>
      <t xml:space="preserve">The output in this tab corresponds with the regression output given in the "Testing for Significantly High/Low Diagonals". A multi-variate regression couldn't be reasonably tested on the exam, but this is how it would be done:
In Step 2 of the recipe, we set up the table for the regression (shown below). In Excel, if you go to Tools -&gt; Data Analysis -&gt; Regression, you can create a multi-variate regression. Simply enter the references for the y variable (IncLoss) and the five x variables and run the regression.
</t>
    </r>
    <r>
      <rPr>
        <b/>
        <sz val="12"/>
        <color theme="1"/>
        <rFont val="Calibri"/>
        <family val="2"/>
      </rPr>
      <t>Important note:</t>
    </r>
    <r>
      <rPr>
        <sz val="12"/>
        <color theme="1"/>
        <rFont val="Calibri"/>
        <family val="2"/>
      </rPr>
      <t xml:space="preserve"> Make sure to check "constant is zero" to set the intercept to zero, because we're testing a chain ladder-like model.</t>
    </r>
  </si>
  <si>
    <t>Exam Spreadsheet Tips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</si>
</sst>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quot;$&quot;* #,##0_);_(&quot;$&quot;* \(#,##0\);_(&quot;$&quot;* &quot;-&quot;??_);_(@_)"/>
    <numFmt numFmtId="165" formatCode="0.000"/>
    <numFmt numFmtId="166" formatCode="_-* #,##0.000_-;\-* #,##0.000_-;_-* &quot;-&quot;??_-;_-@_-"/>
    <numFmt numFmtId="167" formatCode="0.0%"/>
    <numFmt numFmtId="168" formatCode="_-* #,##0_-;\-* #,##0_-;_-* &quot;-&quot;??_-;_-@_-"/>
    <numFmt numFmtId="169" formatCode="_(* #,##0_);_(* \(#,##0\);_(* &quot;-&quot;??_);_(@_)"/>
    <numFmt numFmtId="170" formatCode="0.0"/>
  </numFmts>
  <fonts count="26"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FF0000"/>
      <name val="Calibri"/>
      <family val="2"/>
    </font>
    <font>
      <u/>
      <sz val="12"/>
      <color theme="1"/>
      <name val="Calibri"/>
      <family val="2"/>
    </font>
    <font>
      <sz val="12"/>
      <color rgb="FF000000"/>
      <name val="Calibri"/>
      <family val="2"/>
    </font>
    <font>
      <b/>
      <sz val="12"/>
      <color theme="1"/>
      <name val="Calibri"/>
      <family val="2"/>
    </font>
    <font>
      <b/>
      <sz val="12"/>
      <color rgb="FF000000"/>
      <name val="Calibri"/>
      <family val="2"/>
    </font>
    <font>
      <sz val="12"/>
      <name val="Calibri"/>
      <family val="2"/>
    </font>
    <font>
      <u/>
      <sz val="14"/>
      <color theme="1"/>
      <name val="Calibri"/>
      <family val="2"/>
    </font>
    <font>
      <i/>
      <sz val="12"/>
      <color theme="1"/>
      <name val="Calibri"/>
      <family val="2"/>
    </font>
    <font>
      <vertAlign val="subscript"/>
      <sz val="12"/>
      <color theme="1"/>
      <name val="Calibri"/>
      <family val="2"/>
    </font>
    <font>
      <i/>
      <sz val="12"/>
      <color rgb="FF000000"/>
      <name val="Calibri"/>
      <family val="2"/>
    </font>
    <font>
      <vertAlign val="subscript"/>
      <sz val="12"/>
      <color rgb="FF000000"/>
      <name val="Calibri"/>
      <family val="2"/>
    </font>
    <font>
      <i/>
      <u/>
      <sz val="12"/>
      <color theme="1"/>
      <name val="Calibri"/>
      <family val="2"/>
    </font>
    <font>
      <vertAlign val="superscript"/>
      <sz val="12"/>
      <color theme="1"/>
      <name val="Calibri"/>
      <family val="2"/>
    </font>
    <font>
      <sz val="10"/>
      <color rgb="FF000000"/>
      <name val="Tahoma"/>
      <family val="2"/>
    </font>
    <font>
      <b/>
      <sz val="10"/>
      <color rgb="FF000000"/>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2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4">
    <xf numFmtId="0" fontId="0" fillId="0" borderId="0"/>
    <xf numFmtId="44"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cellStyleXfs>
  <cellXfs count="210">
    <xf numFmtId="0" fontId="0" fillId="0" borderId="0" xfId="0"/>
    <xf numFmtId="0" fontId="8" fillId="2" borderId="1" xfId="0" applyFont="1" applyFill="1" applyBorder="1"/>
    <xf numFmtId="0" fontId="8" fillId="0" borderId="0" xfId="0" applyFont="1"/>
    <xf numFmtId="0" fontId="9" fillId="0" borderId="0" xfId="0" applyFont="1"/>
    <xf numFmtId="0" fontId="10" fillId="0" borderId="0" xfId="0" applyFont="1"/>
    <xf numFmtId="2" fontId="11" fillId="2" borderId="1" xfId="0" applyNumberFormat="1" applyFont="1" applyFill="1" applyBorder="1" applyAlignment="1">
      <alignment horizontal="left"/>
    </xf>
    <xf numFmtId="0" fontId="13" fillId="2" borderId="0" xfId="0" applyFont="1" applyFill="1" applyAlignment="1">
      <alignment horizontal="center" vertical="center" wrapText="1"/>
    </xf>
    <xf numFmtId="0" fontId="13" fillId="0" borderId="0" xfId="0" applyFont="1" applyAlignment="1">
      <alignment horizontal="center" vertical="center" wrapText="1"/>
    </xf>
    <xf numFmtId="165" fontId="13" fillId="0" borderId="0" xfId="0" applyNumberFormat="1" applyFont="1" applyAlignment="1">
      <alignment horizontal="center" vertical="center" wrapText="1"/>
    </xf>
    <xf numFmtId="0" fontId="14" fillId="0" borderId="0" xfId="0" applyFont="1"/>
    <xf numFmtId="0" fontId="13" fillId="0" borderId="0" xfId="0" applyFont="1"/>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6" xfId="0" applyFont="1" applyBorder="1" applyAlignment="1">
      <alignment horizontal="center" vertical="center" wrapText="1"/>
    </xf>
    <xf numFmtId="3" fontId="13" fillId="0" borderId="0" xfId="0" applyNumberFormat="1" applyFont="1" applyAlignment="1">
      <alignment horizontal="center" vertical="center" wrapText="1"/>
    </xf>
    <xf numFmtId="3" fontId="13" fillId="0" borderId="6" xfId="0" applyNumberFormat="1" applyFont="1" applyBorder="1" applyAlignment="1">
      <alignment horizontal="center" vertical="center" wrapText="1"/>
    </xf>
    <xf numFmtId="0" fontId="14" fillId="2" borderId="0" xfId="0" applyFont="1" applyFill="1"/>
    <xf numFmtId="0" fontId="10" fillId="0" borderId="0" xfId="0" applyFont="1" applyAlignment="1">
      <alignment horizontal="center" vertical="center"/>
    </xf>
    <xf numFmtId="0" fontId="10" fillId="0" borderId="6" xfId="0" applyFont="1" applyBorder="1" applyAlignment="1">
      <alignment horizontal="center" vertical="center"/>
    </xf>
    <xf numFmtId="0" fontId="17" fillId="0" borderId="0" xfId="0" applyFont="1"/>
    <xf numFmtId="0" fontId="14" fillId="0" borderId="0" xfId="0" applyFont="1" applyAlignment="1">
      <alignment horizontal="right"/>
    </xf>
    <xf numFmtId="2" fontId="13" fillId="2" borderId="14" xfId="0" applyNumberFormat="1" applyFont="1" applyFill="1" applyBorder="1" applyAlignment="1">
      <alignment horizontal="center" vertical="center" wrapText="1"/>
    </xf>
    <xf numFmtId="2" fontId="13" fillId="2" borderId="15" xfId="0" applyNumberFormat="1" applyFont="1" applyFill="1" applyBorder="1" applyAlignment="1">
      <alignment horizontal="center" vertical="center" wrapText="1"/>
    </xf>
    <xf numFmtId="2" fontId="13" fillId="2" borderId="0" xfId="0" applyNumberFormat="1" applyFont="1" applyFill="1" applyAlignment="1">
      <alignment horizontal="center" vertical="center" wrapText="1"/>
    </xf>
    <xf numFmtId="2" fontId="13" fillId="2" borderId="6" xfId="0" applyNumberFormat="1" applyFont="1" applyFill="1" applyBorder="1" applyAlignment="1">
      <alignment horizontal="center" vertical="center" wrapText="1"/>
    </xf>
    <xf numFmtId="2" fontId="13" fillId="2" borderId="8" xfId="0" applyNumberFormat="1" applyFont="1" applyFill="1" applyBorder="1" applyAlignment="1">
      <alignment horizontal="center" vertical="center" wrapText="1"/>
    </xf>
    <xf numFmtId="2" fontId="13" fillId="2" borderId="7" xfId="0" applyNumberFormat="1"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2" fillId="2" borderId="0" xfId="0" applyFont="1" applyFill="1"/>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2" fontId="13" fillId="0" borderId="6" xfId="0" applyNumberFormat="1" applyFont="1" applyBorder="1" applyAlignment="1">
      <alignment horizontal="center" vertical="center" wrapText="1"/>
    </xf>
    <xf numFmtId="3" fontId="13" fillId="2" borderId="9" xfId="0" applyNumberFormat="1" applyFont="1" applyFill="1" applyBorder="1" applyAlignment="1">
      <alignment horizontal="center" vertical="center" wrapText="1"/>
    </xf>
    <xf numFmtId="3" fontId="13" fillId="2" borderId="14" xfId="0" applyNumberFormat="1" applyFont="1" applyFill="1" applyBorder="1" applyAlignment="1">
      <alignment horizontal="center" vertical="center" wrapText="1"/>
    </xf>
    <xf numFmtId="0" fontId="13" fillId="2" borderId="15" xfId="0" applyFont="1" applyFill="1" applyBorder="1" applyAlignment="1">
      <alignment horizontal="center" vertical="center" wrapText="1"/>
    </xf>
    <xf numFmtId="3" fontId="13" fillId="2" borderId="22" xfId="0" applyNumberFormat="1" applyFont="1" applyFill="1" applyBorder="1" applyAlignment="1">
      <alignment horizontal="center" vertical="center" wrapText="1"/>
    </xf>
    <xf numFmtId="3" fontId="13" fillId="2" borderId="0" xfId="0" applyNumberFormat="1" applyFont="1" applyFill="1" applyAlignment="1">
      <alignment horizontal="center" vertical="center" wrapText="1"/>
    </xf>
    <xf numFmtId="3" fontId="13" fillId="2" borderId="23" xfId="0"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2" fillId="2" borderId="9" xfId="0" applyFont="1" applyFill="1" applyBorder="1" applyAlignment="1">
      <alignment horizontal="center"/>
    </xf>
    <xf numFmtId="0" fontId="12" fillId="2" borderId="14" xfId="0" applyFont="1" applyFill="1" applyBorder="1" applyAlignment="1">
      <alignment horizontal="center"/>
    </xf>
    <xf numFmtId="0" fontId="12" fillId="2" borderId="15" xfId="0" applyFont="1" applyFill="1" applyBorder="1" applyAlignment="1">
      <alignment horizontal="center"/>
    </xf>
    <xf numFmtId="0" fontId="13" fillId="2" borderId="23" xfId="0" applyFont="1" applyFill="1" applyBorder="1" applyAlignment="1">
      <alignment horizontal="center" wrapText="1"/>
    </xf>
    <xf numFmtId="0" fontId="13" fillId="2" borderId="8" xfId="0" applyFont="1" applyFill="1" applyBorder="1" applyAlignment="1">
      <alignment horizontal="center" wrapText="1"/>
    </xf>
    <xf numFmtId="0" fontId="13" fillId="2" borderId="7" xfId="0" applyFont="1" applyFill="1" applyBorder="1" applyAlignment="1">
      <alignment horizontal="center" wrapText="1"/>
    </xf>
    <xf numFmtId="3" fontId="13" fillId="2" borderId="15" xfId="0" applyNumberFormat="1"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3" fillId="2" borderId="23" xfId="0" applyFont="1" applyFill="1" applyBorder="1" applyAlignment="1">
      <alignment horizontal="center" vertical="center" wrapText="1"/>
    </xf>
    <xf numFmtId="0" fontId="13" fillId="2" borderId="20" xfId="0" applyFont="1" applyFill="1" applyBorder="1" applyAlignment="1">
      <alignment horizontal="center" vertical="center"/>
    </xf>
    <xf numFmtId="0" fontId="16" fillId="2" borderId="13" xfId="0" applyFont="1" applyFill="1" applyBorder="1" applyAlignment="1">
      <alignment horizontal="center" vertical="center" wrapText="1"/>
    </xf>
    <xf numFmtId="16" fontId="16" fillId="2" borderId="21" xfId="0" quotePrefix="1" applyNumberFormat="1" applyFont="1" applyFill="1" applyBorder="1" applyAlignment="1">
      <alignment horizontal="center" vertical="center" wrapText="1"/>
    </xf>
    <xf numFmtId="0" fontId="16" fillId="2" borderId="16" xfId="0" applyFont="1" applyFill="1" applyBorder="1" applyAlignment="1">
      <alignment horizontal="center" vertical="center" wrapText="1"/>
    </xf>
    <xf numFmtId="0" fontId="16" fillId="2" borderId="17" xfId="0" applyFont="1" applyFill="1" applyBorder="1" applyAlignment="1">
      <alignment horizontal="center" vertical="center" wrapText="1"/>
    </xf>
    <xf numFmtId="3" fontId="13" fillId="2" borderId="8" xfId="0" applyNumberFormat="1" applyFont="1" applyFill="1" applyBorder="1" applyAlignment="1">
      <alignment horizontal="center" vertical="center" wrapText="1"/>
    </xf>
    <xf numFmtId="3" fontId="13" fillId="2" borderId="7" xfId="0" applyNumberFormat="1" applyFont="1" applyFill="1" applyBorder="1" applyAlignment="1">
      <alignment horizontal="center" vertical="center" wrapText="1"/>
    </xf>
    <xf numFmtId="0" fontId="13" fillId="2" borderId="21" xfId="0" applyFont="1" applyFill="1" applyBorder="1" applyAlignment="1">
      <alignment horizontal="center" vertical="center" wrapText="1"/>
    </xf>
    <xf numFmtId="0" fontId="6" fillId="2" borderId="0" xfId="0" applyFont="1" applyFill="1"/>
    <xf numFmtId="0" fontId="6" fillId="2" borderId="2" xfId="0" applyFont="1" applyFill="1" applyBorder="1"/>
    <xf numFmtId="0" fontId="6" fillId="0" borderId="0" xfId="0" applyFont="1"/>
    <xf numFmtId="2" fontId="6" fillId="2" borderId="1" xfId="0" applyNumberFormat="1" applyFont="1" applyFill="1" applyBorder="1" applyAlignment="1">
      <alignment horizontal="left"/>
    </xf>
    <xf numFmtId="0" fontId="6" fillId="2" borderId="3" xfId="0" applyFont="1" applyFill="1" applyBorder="1"/>
    <xf numFmtId="0" fontId="6" fillId="2" borderId="4" xfId="0" applyFont="1" applyFill="1" applyBorder="1"/>
    <xf numFmtId="164" fontId="6" fillId="2" borderId="4" xfId="1" applyNumberFormat="1" applyFont="1" applyFill="1" applyBorder="1"/>
    <xf numFmtId="0" fontId="6" fillId="2" borderId="5" xfId="0" applyFont="1" applyFill="1" applyBorder="1"/>
    <xf numFmtId="165" fontId="6" fillId="0" borderId="0" xfId="0" applyNumberFormat="1" applyFont="1"/>
    <xf numFmtId="0" fontId="20" fillId="0" borderId="6" xfId="0" applyFont="1" applyBorder="1" applyAlignment="1">
      <alignment horizontal="center" vertical="center" wrapText="1"/>
    </xf>
    <xf numFmtId="2" fontId="13" fillId="0" borderId="0" xfId="0" applyNumberFormat="1" applyFont="1" applyAlignment="1">
      <alignment horizontal="center" vertical="center" wrapText="1"/>
    </xf>
    <xf numFmtId="0" fontId="13" fillId="0" borderId="6" xfId="0" applyFont="1" applyBorder="1" applyAlignment="1">
      <alignment horizontal="right" vertical="center"/>
    </xf>
    <xf numFmtId="0" fontId="13" fillId="0" borderId="7" xfId="0" applyFont="1" applyBorder="1" applyAlignment="1">
      <alignment vertical="top" wrapText="1"/>
    </xf>
    <xf numFmtId="0" fontId="15" fillId="0" borderId="0" xfId="0" applyFont="1" applyAlignment="1">
      <alignment horizontal="right"/>
    </xf>
    <xf numFmtId="0" fontId="6" fillId="0" borderId="6" xfId="0" applyFont="1" applyBorder="1"/>
    <xf numFmtId="0" fontId="18" fillId="0" borderId="12" xfId="0" applyFont="1" applyBorder="1" applyAlignment="1">
      <alignment horizontal="centerContinuous"/>
    </xf>
    <xf numFmtId="0" fontId="6" fillId="0" borderId="4" xfId="0" applyFont="1" applyBorder="1"/>
    <xf numFmtId="0" fontId="18" fillId="0" borderId="12" xfId="0" applyFont="1" applyBorder="1" applyAlignment="1">
      <alignment horizontal="center"/>
    </xf>
    <xf numFmtId="0" fontId="6" fillId="2" borderId="0" xfId="0" quotePrefix="1" applyFont="1" applyFill="1"/>
    <xf numFmtId="10" fontId="6" fillId="0" borderId="0" xfId="0" applyNumberFormat="1" applyFont="1"/>
    <xf numFmtId="0" fontId="6" fillId="2" borderId="9" xfId="0" applyFont="1" applyFill="1" applyBorder="1" applyAlignment="1">
      <alignment horizontal="center"/>
    </xf>
    <xf numFmtId="0" fontId="6" fillId="2" borderId="14" xfId="0" applyFont="1" applyFill="1" applyBorder="1" applyAlignment="1">
      <alignment horizontal="center"/>
    </xf>
    <xf numFmtId="0" fontId="6" fillId="2" borderId="15" xfId="0" applyFont="1" applyFill="1" applyBorder="1" applyAlignment="1">
      <alignment horizontal="center"/>
    </xf>
    <xf numFmtId="0" fontId="6" fillId="0" borderId="0" xfId="0" applyFont="1" applyAlignment="1">
      <alignment horizontal="left" vertical="top" wrapTex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6" xfId="0" applyFont="1" applyBorder="1" applyAlignment="1">
      <alignment horizontal="center" vertical="center"/>
    </xf>
    <xf numFmtId="0" fontId="6" fillId="0" borderId="0" xfId="0" applyFont="1" applyAlignment="1">
      <alignment horizontal="center" vertical="center"/>
    </xf>
    <xf numFmtId="2" fontId="6" fillId="2" borderId="21" xfId="0" applyNumberFormat="1" applyFont="1" applyFill="1" applyBorder="1" applyAlignment="1">
      <alignment horizontal="center"/>
    </xf>
    <xf numFmtId="2" fontId="6" fillId="2" borderId="16" xfId="0" applyNumberFormat="1" applyFont="1" applyFill="1" applyBorder="1" applyAlignment="1">
      <alignment horizontal="center"/>
    </xf>
    <xf numFmtId="2" fontId="6" fillId="2" borderId="17" xfId="0" applyNumberFormat="1" applyFont="1" applyFill="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6" xfId="0" applyFont="1" applyBorder="1" applyAlignment="1">
      <alignment horizontal="center"/>
    </xf>
    <xf numFmtId="168" fontId="6" fillId="0" borderId="0" xfId="2" applyNumberFormat="1" applyFont="1"/>
    <xf numFmtId="168" fontId="6" fillId="0" borderId="0" xfId="0" applyNumberFormat="1" applyFont="1"/>
    <xf numFmtId="167" fontId="6" fillId="0" borderId="0" xfId="0" applyNumberFormat="1" applyFont="1" applyAlignment="1">
      <alignment horizontal="center"/>
    </xf>
    <xf numFmtId="167" fontId="6" fillId="0" borderId="0" xfId="0" applyNumberFormat="1" applyFont="1"/>
    <xf numFmtId="166" fontId="6" fillId="0" borderId="0" xfId="2" applyNumberFormat="1" applyFont="1"/>
    <xf numFmtId="10" fontId="6" fillId="0" borderId="0" xfId="0" applyNumberFormat="1" applyFont="1" applyAlignment="1">
      <alignment horizontal="center"/>
    </xf>
    <xf numFmtId="168" fontId="6" fillId="0" borderId="0" xfId="0" applyNumberFormat="1" applyFont="1" applyAlignment="1">
      <alignment horizontal="center"/>
    </xf>
    <xf numFmtId="168" fontId="6" fillId="0" borderId="11" xfId="0" applyNumberFormat="1" applyFont="1" applyBorder="1" applyAlignment="1">
      <alignment horizontal="center"/>
    </xf>
    <xf numFmtId="166" fontId="6" fillId="0" borderId="0" xfId="0" applyNumberFormat="1" applyFont="1"/>
    <xf numFmtId="0" fontId="6" fillId="0" borderId="0" xfId="0" applyFont="1" applyAlignment="1">
      <alignment horizontal="center"/>
    </xf>
    <xf numFmtId="165" fontId="5" fillId="0" borderId="0" xfId="0" applyNumberFormat="1" applyFont="1"/>
    <xf numFmtId="0" fontId="5" fillId="0" borderId="0" xfId="0" applyFont="1"/>
    <xf numFmtId="0" fontId="5" fillId="0" borderId="10" xfId="0" applyFont="1" applyBorder="1"/>
    <xf numFmtId="165" fontId="13" fillId="0" borderId="11" xfId="0" applyNumberFormat="1" applyFont="1" applyBorder="1" applyAlignment="1">
      <alignment horizontal="center" vertical="center" wrapText="1"/>
    </xf>
    <xf numFmtId="0" fontId="5" fillId="0" borderId="0" xfId="0" applyFont="1" applyAlignment="1">
      <alignment horizontal="center"/>
    </xf>
    <xf numFmtId="0" fontId="12" fillId="0" borderId="0" xfId="0" applyFont="1"/>
    <xf numFmtId="0" fontId="5" fillId="0" borderId="10" xfId="0" applyFont="1" applyBorder="1" applyAlignment="1">
      <alignment horizontal="center"/>
    </xf>
    <xf numFmtId="0" fontId="5" fillId="0" borderId="0" xfId="0" applyFont="1" applyAlignment="1">
      <alignment horizontal="right"/>
    </xf>
    <xf numFmtId="165" fontId="13" fillId="2" borderId="6" xfId="0" applyNumberFormat="1" applyFont="1" applyFill="1" applyBorder="1" applyAlignment="1">
      <alignment horizontal="center" vertical="center" wrapText="1"/>
    </xf>
    <xf numFmtId="165" fontId="13" fillId="2" borderId="7" xfId="0" applyNumberFormat="1" applyFont="1" applyFill="1" applyBorder="1" applyAlignment="1">
      <alignment horizontal="center" vertical="center" wrapText="1"/>
    </xf>
    <xf numFmtId="165" fontId="6" fillId="0" borderId="0" xfId="0" applyNumberFormat="1" applyFont="1" applyAlignment="1">
      <alignment horizontal="center"/>
    </xf>
    <xf numFmtId="0" fontId="6" fillId="0" borderId="10" xfId="0" applyFont="1" applyBorder="1" applyAlignment="1">
      <alignment horizontal="center"/>
    </xf>
    <xf numFmtId="2" fontId="6" fillId="0" borderId="11" xfId="0" applyNumberFormat="1" applyFont="1" applyBorder="1" applyAlignment="1">
      <alignment horizontal="center"/>
    </xf>
    <xf numFmtId="165" fontId="13" fillId="0" borderId="8" xfId="0" applyNumberFormat="1" applyFont="1" applyBorder="1" applyAlignment="1">
      <alignment horizontal="center" vertical="center" wrapText="1"/>
    </xf>
    <xf numFmtId="0" fontId="15" fillId="0" borderId="0" xfId="0" applyFont="1" applyAlignment="1">
      <alignment horizontal="left" vertical="center" wrapText="1"/>
    </xf>
    <xf numFmtId="0" fontId="6" fillId="0" borderId="11" xfId="0" applyFont="1" applyBorder="1" applyAlignment="1">
      <alignment horizontal="center"/>
    </xf>
    <xf numFmtId="2" fontId="5" fillId="0" borderId="0" xfId="0" applyNumberFormat="1" applyFont="1" applyAlignment="1">
      <alignment horizontal="center"/>
    </xf>
    <xf numFmtId="0" fontId="5" fillId="2" borderId="0" xfId="0" applyFont="1" applyFill="1"/>
    <xf numFmtId="3" fontId="6" fillId="0" borderId="0" xfId="0" applyNumberFormat="1" applyFont="1" applyAlignment="1">
      <alignment horizontal="center"/>
    </xf>
    <xf numFmtId="10" fontId="13" fillId="2" borderId="8" xfId="0" applyNumberFormat="1" applyFont="1" applyFill="1" applyBorder="1" applyAlignment="1">
      <alignment horizontal="center" vertical="center" wrapText="1"/>
    </xf>
    <xf numFmtId="10" fontId="13" fillId="2" borderId="16" xfId="0" applyNumberFormat="1" applyFont="1" applyFill="1" applyBorder="1" applyAlignment="1">
      <alignment horizontal="center" vertical="center" wrapText="1"/>
    </xf>
    <xf numFmtId="0" fontId="14" fillId="0" borderId="0" xfId="0" applyFont="1" applyAlignment="1">
      <alignment vertical="top"/>
    </xf>
    <xf numFmtId="0" fontId="6" fillId="0" borderId="0" xfId="2" applyNumberFormat="1" applyFont="1" applyAlignment="1">
      <alignment horizontal="center"/>
    </xf>
    <xf numFmtId="16" fontId="5" fillId="0" borderId="8" xfId="0" quotePrefix="1" applyNumberFormat="1" applyFont="1" applyBorder="1" applyAlignment="1">
      <alignment horizontal="center"/>
    </xf>
    <xf numFmtId="0" fontId="5" fillId="0" borderId="8" xfId="0" applyFont="1" applyBorder="1" applyAlignment="1">
      <alignment horizontal="center"/>
    </xf>
    <xf numFmtId="0" fontId="5" fillId="0" borderId="7" xfId="0" applyFont="1" applyBorder="1" applyAlignment="1">
      <alignment horizontal="center"/>
    </xf>
    <xf numFmtId="167" fontId="6" fillId="0" borderId="8" xfId="3" applyNumberFormat="1" applyFont="1" applyBorder="1" applyAlignment="1">
      <alignment horizontal="center"/>
    </xf>
    <xf numFmtId="165" fontId="6" fillId="0" borderId="0" xfId="2" applyNumberFormat="1" applyFont="1" applyAlignment="1">
      <alignment horizontal="center"/>
    </xf>
    <xf numFmtId="0" fontId="5" fillId="0" borderId="6" xfId="0" applyFont="1" applyBorder="1" applyAlignment="1">
      <alignment horizontal="center"/>
    </xf>
    <xf numFmtId="0" fontId="5" fillId="2" borderId="0" xfId="0" quotePrefix="1" applyFont="1" applyFill="1"/>
    <xf numFmtId="168" fontId="6" fillId="0" borderId="0" xfId="2" applyNumberFormat="1" applyFont="1" applyAlignment="1">
      <alignment horizontal="center"/>
    </xf>
    <xf numFmtId="168" fontId="5" fillId="0" borderId="0" xfId="2" applyNumberFormat="1" applyFont="1"/>
    <xf numFmtId="168" fontId="5" fillId="0" borderId="9" xfId="2" applyNumberFormat="1" applyFont="1" applyBorder="1"/>
    <xf numFmtId="168" fontId="5" fillId="0" borderId="11" xfId="0" applyNumberFormat="1" applyFont="1" applyBorder="1" applyAlignment="1">
      <alignment horizontal="center"/>
    </xf>
    <xf numFmtId="168" fontId="5" fillId="0" borderId="11" xfId="0" applyNumberFormat="1" applyFont="1" applyBorder="1"/>
    <xf numFmtId="0" fontId="6" fillId="3" borderId="0" xfId="0" applyFont="1" applyFill="1"/>
    <xf numFmtId="2" fontId="6" fillId="3" borderId="0" xfId="0" applyNumberFormat="1" applyFont="1" applyFill="1"/>
    <xf numFmtId="2" fontId="6" fillId="3" borderId="4" xfId="0" applyNumberFormat="1" applyFont="1" applyFill="1" applyBorder="1"/>
    <xf numFmtId="0" fontId="13" fillId="0" borderId="7" xfId="0" applyFont="1" applyBorder="1" applyAlignment="1">
      <alignment horizontal="center" vertical="center"/>
    </xf>
    <xf numFmtId="165" fontId="13" fillId="2" borderId="23" xfId="0" applyNumberFormat="1" applyFont="1" applyFill="1" applyBorder="1" applyAlignment="1">
      <alignment horizontal="center" vertical="center" wrapText="1"/>
    </xf>
    <xf numFmtId="165" fontId="13" fillId="2" borderId="8" xfId="0" applyNumberFormat="1" applyFont="1" applyFill="1" applyBorder="1" applyAlignment="1">
      <alignment horizontal="center" vertical="center" wrapText="1"/>
    </xf>
    <xf numFmtId="165" fontId="6" fillId="2" borderId="21" xfId="0" applyNumberFormat="1" applyFont="1" applyFill="1" applyBorder="1" applyAlignment="1">
      <alignment horizontal="center"/>
    </xf>
    <xf numFmtId="165" fontId="6" fillId="2" borderId="16" xfId="0" applyNumberFormat="1" applyFont="1" applyFill="1" applyBorder="1" applyAlignment="1">
      <alignment horizontal="center"/>
    </xf>
    <xf numFmtId="165" fontId="6" fillId="2" borderId="17" xfId="0" applyNumberFormat="1" applyFont="1" applyFill="1" applyBorder="1" applyAlignment="1">
      <alignment horizontal="center"/>
    </xf>
    <xf numFmtId="0" fontId="5" fillId="0" borderId="24" xfId="0" applyFont="1" applyBorder="1"/>
    <xf numFmtId="0" fontId="5" fillId="0" borderId="3" xfId="0" applyFont="1" applyBorder="1"/>
    <xf numFmtId="3" fontId="5" fillId="0" borderId="5" xfId="0" applyNumberFormat="1" applyFont="1" applyBorder="1" applyAlignment="1">
      <alignment horizontal="center"/>
    </xf>
    <xf numFmtId="3" fontId="6" fillId="0" borderId="25" xfId="0" applyNumberFormat="1" applyFont="1" applyBorder="1"/>
    <xf numFmtId="169" fontId="5" fillId="0" borderId="11" xfId="2" applyNumberFormat="1" applyFont="1" applyBorder="1"/>
    <xf numFmtId="0" fontId="14" fillId="0" borderId="0" xfId="0" applyFont="1" applyAlignment="1">
      <alignment horizontal="left" vertical="top" wrapText="1"/>
    </xf>
    <xf numFmtId="0" fontId="4" fillId="0" borderId="0" xfId="0" applyFont="1"/>
    <xf numFmtId="0" fontId="13" fillId="0" borderId="8" xfId="0" applyFont="1" applyBorder="1" applyAlignment="1">
      <alignment horizontal="center" wrapText="1"/>
    </xf>
    <xf numFmtId="0" fontId="13" fillId="0" borderId="7" xfId="0" applyFont="1" applyBorder="1" applyAlignment="1">
      <alignment horizontal="center" wrapText="1"/>
    </xf>
    <xf numFmtId="0" fontId="12" fillId="0" borderId="0" xfId="0" applyFont="1" applyAlignment="1">
      <alignment horizontal="center"/>
    </xf>
    <xf numFmtId="0" fontId="3" fillId="0" borderId="0" xfId="0" applyFont="1" applyAlignment="1">
      <alignment horizontal="left" vertical="top" wrapText="1"/>
    </xf>
    <xf numFmtId="0" fontId="3" fillId="0" borderId="0" xfId="0" applyFont="1"/>
    <xf numFmtId="3" fontId="3" fillId="0" borderId="11" xfId="0" applyNumberFormat="1" applyFont="1" applyBorder="1" applyAlignment="1">
      <alignment horizontal="center"/>
    </xf>
    <xf numFmtId="0" fontId="3" fillId="0" borderId="10" xfId="0" applyFont="1" applyBorder="1" applyAlignment="1">
      <alignment horizontal="center"/>
    </xf>
    <xf numFmtId="0" fontId="2" fillId="0" borderId="0" xfId="0" applyFont="1"/>
    <xf numFmtId="0" fontId="6" fillId="3" borderId="4" xfId="0" applyFont="1" applyFill="1" applyBorder="1"/>
    <xf numFmtId="2" fontId="13" fillId="2" borderId="9" xfId="0" applyNumberFormat="1" applyFont="1" applyFill="1" applyBorder="1" applyAlignment="1">
      <alignment horizontal="center" vertical="center" wrapText="1"/>
    </xf>
    <xf numFmtId="2" fontId="13" fillId="2" borderId="23" xfId="0" applyNumberFormat="1" applyFont="1" applyFill="1" applyBorder="1" applyAlignment="1">
      <alignment horizontal="center" vertical="center" wrapText="1"/>
    </xf>
    <xf numFmtId="170" fontId="13" fillId="2" borderId="14" xfId="0" applyNumberFormat="1" applyFont="1" applyFill="1" applyBorder="1" applyAlignment="1">
      <alignment horizontal="center" vertical="center" wrapText="1"/>
    </xf>
    <xf numFmtId="170" fontId="13" fillId="2" borderId="15" xfId="0" applyNumberFormat="1" applyFont="1" applyFill="1" applyBorder="1" applyAlignment="1">
      <alignment horizontal="center" vertical="center" wrapText="1"/>
    </xf>
    <xf numFmtId="170" fontId="6" fillId="2" borderId="0" xfId="0" applyNumberFormat="1" applyFont="1" applyFill="1"/>
    <xf numFmtId="170" fontId="13" fillId="2" borderId="8" xfId="0" applyNumberFormat="1" applyFont="1" applyFill="1" applyBorder="1" applyAlignment="1">
      <alignment horizontal="center" vertical="center" wrapText="1"/>
    </xf>
    <xf numFmtId="170" fontId="13" fillId="2" borderId="7" xfId="0" applyNumberFormat="1" applyFont="1" applyFill="1" applyBorder="1" applyAlignment="1">
      <alignment horizontal="center" vertical="center" wrapText="1"/>
    </xf>
    <xf numFmtId="2" fontId="13" fillId="0" borderId="9" xfId="0" applyNumberFormat="1" applyFont="1" applyBorder="1" applyAlignment="1">
      <alignment horizontal="center" vertical="center" wrapText="1"/>
    </xf>
    <xf numFmtId="2" fontId="13" fillId="0" borderId="14" xfId="0" applyNumberFormat="1" applyFont="1" applyBorder="1" applyAlignment="1">
      <alignment horizontal="center" vertical="center" wrapText="1"/>
    </xf>
    <xf numFmtId="170" fontId="13" fillId="0" borderId="14" xfId="0" applyNumberFormat="1" applyFont="1" applyBorder="1" applyAlignment="1">
      <alignment horizontal="center" vertical="center" wrapText="1"/>
    </xf>
    <xf numFmtId="2" fontId="13" fillId="0" borderId="23" xfId="0" applyNumberFormat="1" applyFont="1" applyBorder="1" applyAlignment="1">
      <alignment horizontal="center" vertical="center" wrapText="1"/>
    </xf>
    <xf numFmtId="2" fontId="13" fillId="0" borderId="8" xfId="0" applyNumberFormat="1" applyFont="1" applyBorder="1" applyAlignment="1">
      <alignment horizontal="center" vertical="center" wrapText="1"/>
    </xf>
    <xf numFmtId="170" fontId="13" fillId="0" borderId="8" xfId="0" applyNumberFormat="1" applyFont="1" applyBorder="1" applyAlignment="1">
      <alignment horizontal="center" vertical="center" wrapText="1"/>
    </xf>
    <xf numFmtId="0" fontId="5" fillId="0" borderId="0" xfId="0" applyFont="1" applyAlignment="1">
      <alignment horizontal="left" vertical="top" wrapText="1"/>
    </xf>
    <xf numFmtId="0" fontId="6" fillId="0" borderId="0" xfId="0" applyFont="1" applyAlignment="1">
      <alignment horizontal="left" vertical="top" wrapText="1"/>
    </xf>
    <xf numFmtId="0" fontId="13" fillId="0" borderId="0" xfId="0" applyFont="1" applyAlignment="1">
      <alignment horizontal="center" wrapText="1"/>
    </xf>
    <xf numFmtId="0" fontId="13" fillId="0" borderId="8" xfId="0" applyFont="1" applyBorder="1" applyAlignment="1">
      <alignment horizontal="center" wrapText="1"/>
    </xf>
    <xf numFmtId="0" fontId="6" fillId="2" borderId="21" xfId="0" applyFont="1" applyFill="1" applyBorder="1" applyAlignment="1">
      <alignment horizontal="center"/>
    </xf>
    <xf numFmtId="0" fontId="6" fillId="2" borderId="16" xfId="0" applyFont="1" applyFill="1" applyBorder="1" applyAlignment="1">
      <alignment horizontal="center"/>
    </xf>
    <xf numFmtId="0" fontId="6" fillId="2" borderId="17" xfId="0" applyFont="1" applyFill="1" applyBorder="1" applyAlignment="1">
      <alignment horizontal="center"/>
    </xf>
    <xf numFmtId="0" fontId="13" fillId="2" borderId="18" xfId="0" applyFont="1" applyFill="1" applyBorder="1" applyAlignment="1">
      <alignment horizontal="center" wrapText="1"/>
    </xf>
    <xf numFmtId="0" fontId="13" fillId="2" borderId="20" xfId="0" applyFont="1" applyFill="1" applyBorder="1" applyAlignment="1">
      <alignment horizontal="center" wrapText="1"/>
    </xf>
    <xf numFmtId="0" fontId="14" fillId="0" borderId="0" xfId="0" applyFont="1" applyAlignment="1">
      <alignment horizontal="left" vertical="top" wrapText="1"/>
    </xf>
    <xf numFmtId="0" fontId="13" fillId="0" borderId="6" xfId="0" applyFont="1" applyBorder="1" applyAlignment="1">
      <alignment horizontal="center" wrapText="1"/>
    </xf>
    <xf numFmtId="0" fontId="13" fillId="0" borderId="7" xfId="0" applyFont="1" applyBorder="1" applyAlignment="1">
      <alignment horizontal="center" wrapText="1"/>
    </xf>
    <xf numFmtId="0" fontId="13" fillId="0" borderId="22" xfId="0" applyFont="1" applyBorder="1" applyAlignment="1">
      <alignment horizontal="center" wrapText="1"/>
    </xf>
    <xf numFmtId="0" fontId="13" fillId="0" borderId="23" xfId="0" applyFont="1" applyBorder="1" applyAlignment="1">
      <alignment horizontal="center" wrapText="1"/>
    </xf>
    <xf numFmtId="0" fontId="12" fillId="0" borderId="0" xfId="0" applyFont="1" applyAlignment="1">
      <alignment horizontal="center"/>
    </xf>
    <xf numFmtId="0" fontId="5" fillId="2" borderId="21" xfId="0" applyFont="1" applyFill="1" applyBorder="1" applyAlignment="1">
      <alignment horizontal="center"/>
    </xf>
    <xf numFmtId="0" fontId="13" fillId="2" borderId="18"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5" fillId="2" borderId="0" xfId="0" applyFont="1" applyFill="1" applyAlignment="1">
      <alignment horizontal="left" vertical="top"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2"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vertical="top" wrapText="1" indent="2"/>
    </xf>
    <xf numFmtId="0" fontId="5" fillId="0" borderId="0" xfId="0" applyFont="1" applyAlignment="1">
      <alignment horizontal="left" vertical="top" wrapText="1" indent="2"/>
    </xf>
    <xf numFmtId="0" fontId="6" fillId="0" borderId="0" xfId="0" applyFont="1" applyAlignment="1">
      <alignment horizontal="left" vertical="top" wrapText="1" indent="2"/>
    </xf>
    <xf numFmtId="0" fontId="3" fillId="0" borderId="0" xfId="0" applyFont="1" applyAlignment="1">
      <alignment horizontal="left" vertical="top" wrapText="1"/>
    </xf>
    <xf numFmtId="0" fontId="3" fillId="0" borderId="0" xfId="0" applyFont="1" applyAlignment="1">
      <alignment horizontal="left" vertical="top" wrapText="1" indent="1"/>
    </xf>
    <xf numFmtId="0" fontId="2" fillId="0" borderId="0" xfId="0" applyFont="1" applyAlignment="1">
      <alignment horizontal="left" vertical="top" wrapText="1"/>
    </xf>
    <xf numFmtId="168" fontId="1" fillId="0" borderId="0" xfId="2" applyNumberFormat="1" applyFont="1"/>
    <xf numFmtId="168" fontId="1" fillId="0" borderId="9" xfId="2" applyNumberFormat="1" applyFont="1" applyBorder="1"/>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80710</xdr:colOff>
      <xdr:row>119</xdr:row>
      <xdr:rowOff>186083</xdr:rowOff>
    </xdr:from>
    <xdr:ext cx="2146998" cy="19575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906210" y="24993416"/>
              <a:ext cx="2146998" cy="1957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𝑆𝑡𝑑</m:t>
                    </m:r>
                    <m:sSub>
                      <m:sSubPr>
                        <m:ctrlPr>
                          <a:rPr lang="en-US" sz="1100" b="0" i="1">
                            <a:latin typeface="Cambria Math" panose="02040503050406030204" pitchFamily="18" charset="0"/>
                          </a:rPr>
                        </m:ctrlPr>
                      </m:sSubPr>
                      <m:e>
                        <m:r>
                          <a:rPr lang="en-US" sz="1100" b="0" i="1">
                            <a:latin typeface="Cambria Math" panose="02040503050406030204" pitchFamily="18" charset="0"/>
                          </a:rPr>
                          <m:t>𝐷𝑒𝑣</m:t>
                        </m:r>
                      </m:e>
                      <m:sub>
                        <m:r>
                          <a:rPr lang="en-US" sz="1100" b="0" i="1">
                            <a:latin typeface="Cambria Math" panose="02040503050406030204" pitchFamily="18" charset="0"/>
                          </a:rPr>
                          <m:t>10%</m:t>
                        </m:r>
                      </m:sub>
                    </m:sSub>
                    <m:r>
                      <a:rPr lang="en-US" sz="1100" b="0" i="1">
                        <a:latin typeface="Cambria Math" panose="02040503050406030204" pitchFamily="18" charset="0"/>
                      </a:rPr>
                      <m:t>=</m:t>
                    </m:r>
                    <m:rad>
                      <m:radPr>
                        <m:degHide m:val="on"/>
                        <m:ctrlPr>
                          <a:rPr lang="en-US" sz="1100" b="0" i="1">
                            <a:latin typeface="Cambria Math" panose="02040503050406030204" pitchFamily="18" charset="0"/>
                          </a:rPr>
                        </m:ctrlPr>
                      </m:radPr>
                      <m:deg/>
                      <m:e>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×.9×</m:t>
                        </m:r>
                        <m:r>
                          <a:rPr lang="en-US" sz="1100" b="0" i="1">
                            <a:latin typeface="Cambria Math" panose="02040503050406030204" pitchFamily="18" charset="0"/>
                            <a:ea typeface="Cambria Math" panose="02040503050406030204" pitchFamily="18" charset="0"/>
                          </a:rPr>
                          <m:t>𝑚</m:t>
                        </m:r>
                      </m:e>
                    </m:rad>
                    <m:r>
                      <a:rPr lang="en-US" sz="1100" b="0" i="1">
                        <a:latin typeface="Cambria Math" panose="02040503050406030204" pitchFamily="18" charset="0"/>
                      </a:rPr>
                      <m:t>=.3</m:t>
                    </m:r>
                    <m:rad>
                      <m:radPr>
                        <m:degHide m:val="on"/>
                        <m:ctrlPr>
                          <a:rPr lang="en-US" sz="1100" b="0" i="1">
                            <a:latin typeface="Cambria Math" panose="02040503050406030204" pitchFamily="18" charset="0"/>
                          </a:rPr>
                        </m:ctrlPr>
                      </m:radPr>
                      <m:deg/>
                      <m:e>
                        <m:r>
                          <a:rPr lang="en-US" sz="1100" b="0" i="1">
                            <a:latin typeface="Cambria Math" panose="02040503050406030204" pitchFamily="18" charset="0"/>
                          </a:rPr>
                          <m:t>𝑚</m:t>
                        </m:r>
                      </m:e>
                    </m:rad>
                  </m:oMath>
                </m:oMathPara>
              </a14:m>
              <a:endParaRPr lang="en-US" sz="1100"/>
            </a:p>
          </xdr:txBody>
        </xdr:sp>
      </mc:Choice>
      <mc:Fallback xmlns="">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906210" y="24993416"/>
              <a:ext cx="2146998" cy="1957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𝑆𝑡𝑑〖𝐷𝑒𝑣〗_(10%)=√(.1</a:t>
              </a:r>
              <a:r>
                <a:rPr lang="en-US" sz="1100" b="0" i="0">
                  <a:latin typeface="Cambria Math" panose="02040503050406030204" pitchFamily="18" charset="0"/>
                  <a:ea typeface="Cambria Math" panose="02040503050406030204" pitchFamily="18" charset="0"/>
                </a:rPr>
                <a:t>×.9×𝑚)</a:t>
              </a:r>
              <a:r>
                <a:rPr lang="en-US" sz="1100" b="0" i="0">
                  <a:latin typeface="Cambria Math" panose="02040503050406030204" pitchFamily="18" charset="0"/>
                </a:rPr>
                <a:t>=.3√𝑚</a:t>
              </a:r>
              <a:endParaRPr lang="en-US" sz="1100"/>
            </a:p>
          </xdr:txBody>
        </xdr:sp>
      </mc:Fallback>
    </mc:AlternateContent>
    <xdr:clientData/>
  </xdr:oneCellAnchor>
  <xdr:oneCellAnchor>
    <xdr:from>
      <xdr:col>1</xdr:col>
      <xdr:colOff>205408</xdr:colOff>
      <xdr:row>123</xdr:row>
      <xdr:rowOff>107397</xdr:rowOff>
    </xdr:from>
    <xdr:ext cx="1539011"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030908" y="25719064"/>
              <a:ext cx="1539011" cy="17222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𝑉𝑎𝑟𝑖𝑎𝑛𝑐𝑒</m:t>
                    </m:r>
                    <m:r>
                      <a:rPr lang="en-US" sz="1100" b="0" i="1">
                        <a:latin typeface="Cambria Math" panose="02040503050406030204" pitchFamily="18" charset="0"/>
                      </a:rPr>
                      <m:t>=</m:t>
                    </m:r>
                    <m:r>
                      <a:rPr lang="en-US" sz="1100" b="0" i="1">
                        <a:latin typeface="Cambria Math" panose="02040503050406030204" pitchFamily="18" charset="0"/>
                      </a:rPr>
                      <m:t>𝑚</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𝑝</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𝑝</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030908" y="25719064"/>
              <a:ext cx="1539011" cy="17222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𝑉𝑎𝑟𝑖𝑎𝑛𝑐𝑒=𝑚</a:t>
              </a:r>
              <a:r>
                <a:rPr lang="en-US" sz="1100" b="0" i="0">
                  <a:latin typeface="Cambria Math" panose="02040503050406030204" pitchFamily="18" charset="0"/>
                  <a:ea typeface="Cambria Math" panose="02040503050406030204" pitchFamily="18" charset="0"/>
                </a:rPr>
                <a:t>∙𝑝(1−𝑝)</a:t>
              </a:r>
              <a:endParaRPr lang="en-US" sz="1100"/>
            </a:p>
          </xdr:txBody>
        </xdr:sp>
      </mc:Fallback>
    </mc:AlternateContent>
    <xdr:clientData/>
  </xdr:oneCellAnchor>
  <xdr:twoCellAnchor>
    <xdr:from>
      <xdr:col>1</xdr:col>
      <xdr:colOff>476249</xdr:colOff>
      <xdr:row>47</xdr:row>
      <xdr:rowOff>137584</xdr:rowOff>
    </xdr:from>
    <xdr:to>
      <xdr:col>2</xdr:col>
      <xdr:colOff>783166</xdr:colOff>
      <xdr:row>50</xdr:row>
      <xdr:rowOff>126804</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9A97FFB7-B33A-8E4E-BC17-56A46225E309}"/>
                </a:ext>
              </a:extLst>
            </xdr:cNvPr>
            <xdr:cNvSpPr txBox="1"/>
          </xdr:nvSpPr>
          <xdr:spPr>
            <a:xfrm>
              <a:off x="1301749" y="10191751"/>
              <a:ext cx="1132417" cy="5924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𝑇</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𝑟</m:t>
                    </m:r>
                    <m:r>
                      <a:rPr lang="en-US" sz="1100" i="1">
                        <a:solidFill>
                          <a:schemeClr val="tx1"/>
                        </a:solidFill>
                        <a:effectLst/>
                        <a:latin typeface="Cambria Math" panose="02040503050406030204" pitchFamily="18" charset="0"/>
                        <a:ea typeface="+mn-ea"/>
                        <a:cs typeface="+mn-cs"/>
                      </a:rPr>
                      <m:t>×</m:t>
                    </m:r>
                    <m:rad>
                      <m:radPr>
                        <m:degHide m:val="on"/>
                        <m:ctrlPr>
                          <a:rPr lang="en-US" sz="1100" i="1">
                            <a:solidFill>
                              <a:schemeClr val="tx1"/>
                            </a:solidFill>
                            <a:effectLst/>
                            <a:latin typeface="Cambria Math" panose="02040503050406030204" pitchFamily="18" charset="0"/>
                            <a:ea typeface="+mn-ea"/>
                            <a:cs typeface="+mn-cs"/>
                          </a:rPr>
                        </m:ctrlPr>
                      </m:radPr>
                      <m:deg/>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−2)</m:t>
                            </m:r>
                          </m:num>
                          <m:den>
                            <m:r>
                              <a:rPr lang="en-US" sz="1100" i="1">
                                <a:solidFill>
                                  <a:schemeClr val="tx1"/>
                                </a:solidFill>
                                <a:effectLst/>
                                <a:latin typeface="Cambria Math" panose="02040503050406030204" pitchFamily="18" charset="0"/>
                                <a:ea typeface="+mn-ea"/>
                                <a:cs typeface="+mn-cs"/>
                              </a:rPr>
                              <m:t>(1−</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𝑟</m:t>
                                </m:r>
                              </m:e>
                              <m:sup>
                                <m:argPr>
                                  <m:argSz m:val="-1"/>
                                </m:argPr>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den>
                        </m:f>
                      </m:e>
                    </m:rad>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9A97FFB7-B33A-8E4E-BC17-56A46225E309}"/>
                </a:ext>
              </a:extLst>
            </xdr:cNvPr>
            <xdr:cNvSpPr txBox="1"/>
          </xdr:nvSpPr>
          <xdr:spPr>
            <a:xfrm>
              <a:off x="1301749" y="10191751"/>
              <a:ext cx="1132417" cy="5924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𝑇=𝑟×√(((𝑛−</a:t>
              </a:r>
              <a:r>
                <a:rPr lang="en-US" sz="1100" b="0" i="0">
                  <a:solidFill>
                    <a:schemeClr val="tx1"/>
                  </a:solidFill>
                  <a:effectLst/>
                  <a:latin typeface="Cambria Math" panose="02040503050406030204" pitchFamily="18" charset="0"/>
                  <a:ea typeface="+mn-ea"/>
                  <a:cs typeface="+mn-cs"/>
                </a:rPr>
                <a:t>2</a:t>
              </a:r>
              <a:r>
                <a:rPr lang="en-US" sz="1100" i="0">
                  <a:solidFill>
                    <a:schemeClr val="tx1"/>
                  </a:solidFill>
                  <a:effectLst/>
                  <a:latin typeface="Cambria Math" panose="02040503050406030204" pitchFamily="18" charset="0"/>
                  <a:ea typeface="+mn-ea"/>
                  <a:cs typeface="+mn-cs"/>
                </a:rPr>
                <a:t>))/((1−𝑟^2)))</a:t>
              </a:r>
              <a:endParaRPr lang="en-US" sz="1100">
                <a:solidFill>
                  <a:schemeClr val="tx1"/>
                </a:solidFill>
                <a:effectLst/>
                <a:latin typeface="+mn-lt"/>
                <a:ea typeface="+mn-ea"/>
                <a:cs typeface="+mn-cs"/>
              </a:endParaRPr>
            </a:p>
          </xdr:txBody>
        </xdr:sp>
      </mc:Fallback>
    </mc:AlternateContent>
    <xdr:clientData/>
  </xdr:twoCellAnchor>
  <xdr:oneCellAnchor>
    <xdr:from>
      <xdr:col>4</xdr:col>
      <xdr:colOff>433915</xdr:colOff>
      <xdr:row>48</xdr:row>
      <xdr:rowOff>158751</xdr:rowOff>
    </xdr:from>
    <xdr:ext cx="2029466" cy="17209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6D9CDD6-B9A3-614C-8E79-BA0C2FBC4FDD}"/>
                </a:ext>
              </a:extLst>
            </xdr:cNvPr>
            <xdr:cNvSpPr txBox="1"/>
          </xdr:nvSpPr>
          <xdr:spPr>
            <a:xfrm>
              <a:off x="3735915" y="10414001"/>
              <a:ext cx="202946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𝑝𝑜𝑖𝑛𝑡𝑠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𝑡h𝑒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𝑐𝑜𝑙𝑢𝑚𝑛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𝑝𝑎𝑖𝑟</m:t>
                    </m:r>
                    <m:r>
                      <m:rPr>
                        <m:nor/>
                      </m:rPr>
                      <a:rPr lang="en-US">
                        <a:effectLst/>
                      </a:rPr>
                      <m:t> </m:t>
                    </m:r>
                  </m:oMath>
                </m:oMathPara>
              </a14:m>
              <a:endParaRPr lang="en-US" sz="1100">
                <a:solidFill>
                  <a:schemeClr val="tx1"/>
                </a:solidFill>
              </a:endParaRPr>
            </a:p>
          </xdr:txBody>
        </xdr:sp>
      </mc:Choice>
      <mc:Fallback xmlns="">
        <xdr:sp macro="" textlink="">
          <xdr:nvSpPr>
            <xdr:cNvPr id="8" name="TextBox 7">
              <a:extLst>
                <a:ext uri="{FF2B5EF4-FFF2-40B4-BE49-F238E27FC236}">
                  <a16:creationId xmlns:a16="http://schemas.microsoft.com/office/drawing/2014/main" id="{86D9CDD6-B9A3-614C-8E79-BA0C2FBC4FDD}"/>
                </a:ext>
              </a:extLst>
            </xdr:cNvPr>
            <xdr:cNvSpPr txBox="1"/>
          </xdr:nvSpPr>
          <xdr:spPr>
            <a:xfrm>
              <a:off x="3735915" y="10414001"/>
              <a:ext cx="202946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𝑛→#𝑝𝑜𝑖𝑛𝑡𝑠 𝑖𝑛 𝑡ℎ𝑒 𝑐𝑜𝑙𝑢𝑚𝑛 𝑝𝑎𝑖𝑟</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433917</xdr:colOff>
      <xdr:row>58</xdr:row>
      <xdr:rowOff>42333</xdr:rowOff>
    </xdr:from>
    <xdr:to>
      <xdr:col>3</xdr:col>
      <xdr:colOff>222251</xdr:colOff>
      <xdr:row>59</xdr:row>
      <xdr:rowOff>116417</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8FEAC381-D15E-8B4E-8FFF-867A75AD3A63}"/>
                </a:ext>
              </a:extLst>
            </xdr:cNvPr>
            <xdr:cNvSpPr txBox="1"/>
          </xdr:nvSpPr>
          <xdr:spPr>
            <a:xfrm>
              <a:off x="1259417" y="12107333"/>
              <a:ext cx="1439334" cy="27516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𝑡h𝑟𝑒𝑠h𝑜𝑙𝑑</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−2, , </m:t>
                        </m:r>
                        <m:r>
                          <a:rPr lang="en-US" sz="1100" i="1">
                            <a:solidFill>
                              <a:schemeClr val="tx1"/>
                            </a:solidFill>
                            <a:effectLst/>
                            <a:latin typeface="Cambria Math" panose="02040503050406030204" pitchFamily="18" charset="0"/>
                            <a:ea typeface="+mn-ea"/>
                            <a:cs typeface="+mn-cs"/>
                          </a:rPr>
                          <m:t>𝛼</m:t>
                        </m:r>
                        <m:r>
                          <a:rPr lang="en-US" sz="1100" i="1">
                            <a:solidFill>
                              <a:schemeClr val="tx1"/>
                            </a:solidFill>
                            <a:effectLst/>
                            <a:latin typeface="Cambria Math" panose="02040503050406030204" pitchFamily="18" charset="0"/>
                            <a:ea typeface="+mn-ea"/>
                            <a:cs typeface="+mn-cs"/>
                          </a:rPr>
                          <m:t>/2%</m:t>
                        </m:r>
                      </m:sub>
                    </m:sSub>
                    <m:r>
                      <m:rPr>
                        <m:nor/>
                      </m:rPr>
                      <a:rPr lang="en-US">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8FEAC381-D15E-8B4E-8FFF-867A75AD3A63}"/>
                </a:ext>
              </a:extLst>
            </xdr:cNvPr>
            <xdr:cNvSpPr txBox="1"/>
          </xdr:nvSpPr>
          <xdr:spPr>
            <a:xfrm>
              <a:off x="1259417" y="12107333"/>
              <a:ext cx="1439334" cy="27516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𝑡ℎ𝑟𝑒𝑠ℎ𝑜𝑙𝑑=𝑡_(𝑛−2, , 𝛼/2%)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twoCellAnchor>
  <xdr:oneCellAnchor>
    <xdr:from>
      <xdr:col>4</xdr:col>
      <xdr:colOff>412748</xdr:colOff>
      <xdr:row>58</xdr:row>
      <xdr:rowOff>84668</xdr:rowOff>
    </xdr:from>
    <xdr:ext cx="2903424" cy="288797"/>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DAF38458-3A69-164A-BE45-F343D6A1C207}"/>
                </a:ext>
              </a:extLst>
            </xdr:cNvPr>
            <xdr:cNvSpPr txBox="1"/>
          </xdr:nvSpPr>
          <xdr:spPr>
            <a:xfrm>
              <a:off x="3714748" y="12149668"/>
              <a:ext cx="2903424" cy="288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𝑎</m:t>
                        </m:r>
                      </m:num>
                      <m:den>
                        <m:r>
                          <a:rPr lang="en-US" sz="1100" i="1">
                            <a:solidFill>
                              <a:schemeClr val="tx1"/>
                            </a:solidFill>
                            <a:effectLst/>
                            <a:latin typeface="Cambria Math" panose="02040503050406030204" pitchFamily="18" charset="0"/>
                            <a:ea typeface="+mn-ea"/>
                            <a:cs typeface="+mn-cs"/>
                          </a:rPr>
                          <m:t>2</m:t>
                        </m:r>
                      </m:den>
                    </m:f>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𝑃𝑟𝑜𝑏</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𝑡h𝑒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𝑢𝑝𝑝𝑒𝑟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𝑡𝑎𝑖𝑙</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𝑜𝑓</m:t>
                    </m:r>
                    <m:r>
                      <a:rPr lang="en-US" sz="1100" i="1">
                        <a:solidFill>
                          <a:schemeClr val="tx1"/>
                        </a:solidFill>
                        <a:effectLst/>
                        <a:latin typeface="Cambria Math" panose="02040503050406030204" pitchFamily="18" charset="0"/>
                        <a:ea typeface="+mn-ea"/>
                        <a:cs typeface="+mn-cs"/>
                      </a:rPr>
                      <m:t> 2 </m:t>
                    </m:r>
                    <m:r>
                      <a:rPr lang="en-US" sz="1100" i="1">
                        <a:solidFill>
                          <a:schemeClr val="tx1"/>
                        </a:solidFill>
                        <a:effectLst/>
                        <a:latin typeface="Cambria Math" panose="02040503050406030204" pitchFamily="18" charset="0"/>
                        <a:ea typeface="+mn-ea"/>
                        <a:cs typeface="+mn-cs"/>
                      </a:rPr>
                      <m:t>𝑡𝑎𝑖𝑙𝑒𝑑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𝑡𝑒𝑠𝑡</m:t>
                    </m:r>
                    <m:r>
                      <m:rPr>
                        <m:nor/>
                      </m:rPr>
                      <a:rPr lang="en-US">
                        <a:effectLst/>
                      </a:rPr>
                      <m:t> </m:t>
                    </m:r>
                  </m:oMath>
                </m:oMathPara>
              </a14:m>
              <a:endParaRPr lang="en-US" sz="1100">
                <a:solidFill>
                  <a:schemeClr val="tx1"/>
                </a:solidFill>
              </a:endParaRPr>
            </a:p>
          </xdr:txBody>
        </xdr:sp>
      </mc:Choice>
      <mc:Fallback xmlns="">
        <xdr:sp macro="" textlink="">
          <xdr:nvSpPr>
            <xdr:cNvPr id="10" name="TextBox 9">
              <a:extLst>
                <a:ext uri="{FF2B5EF4-FFF2-40B4-BE49-F238E27FC236}">
                  <a16:creationId xmlns:a16="http://schemas.microsoft.com/office/drawing/2014/main" id="{DAF38458-3A69-164A-BE45-F343D6A1C207}"/>
                </a:ext>
              </a:extLst>
            </xdr:cNvPr>
            <xdr:cNvSpPr txBox="1"/>
          </xdr:nvSpPr>
          <xdr:spPr>
            <a:xfrm>
              <a:off x="3714748" y="12149668"/>
              <a:ext cx="2903424" cy="288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𝑎/2%→ 𝑃𝑟𝑜𝑏. 𝑖𝑛 𝑡ℎ𝑒 𝑢𝑝𝑝𝑒𝑟 𝑡𝑎𝑖𝑙 𝑜𝑓 2 𝑡𝑎𝑖𝑙𝑒𝑑 𝑡𝑒𝑠𝑡</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285751</xdr:colOff>
      <xdr:row>112</xdr:row>
      <xdr:rowOff>190500</xdr:rowOff>
    </xdr:from>
    <xdr:to>
      <xdr:col>3</xdr:col>
      <xdr:colOff>560919</xdr:colOff>
      <xdr:row>114</xdr:row>
      <xdr:rowOff>58279</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D786637F-33E9-1345-A3BA-E118FED487B6}"/>
                </a:ext>
              </a:extLst>
            </xdr:cNvPr>
            <xdr:cNvSpPr txBox="1"/>
          </xdr:nvSpPr>
          <xdr:spPr>
            <a:xfrm>
              <a:off x="1111251" y="23558500"/>
              <a:ext cx="1926168" cy="2699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𝑇h𝑟𝑒𝑠h𝑜𝑙𝑑</m:t>
                        </m:r>
                      </m:e>
                      <m:sub>
                        <m:r>
                          <a:rPr lang="en-US" sz="1100" b="0" i="1">
                            <a:latin typeface="Cambria Math" panose="02040503050406030204" pitchFamily="18" charset="0"/>
                          </a:rPr>
                          <m:t>10%</m:t>
                        </m:r>
                      </m:sub>
                    </m:sSub>
                    <m:r>
                      <a:rPr lang="en-US" sz="1100" b="0" i="1">
                        <a:latin typeface="Cambria Math" panose="02040503050406030204" pitchFamily="18" charset="0"/>
                      </a:rPr>
                      <m:t>=0.1</m:t>
                    </m:r>
                    <m:r>
                      <a:rPr lang="en-US" sz="1100" b="0" i="1">
                        <a:latin typeface="Cambria Math" panose="02040503050406030204" pitchFamily="18" charset="0"/>
                      </a:rPr>
                      <m:t>𝑚</m:t>
                    </m:r>
                    <m:r>
                      <a:rPr lang="en-US" sz="1100" b="0" i="1">
                        <a:latin typeface="Cambria Math" panose="02040503050406030204" pitchFamily="18" charset="0"/>
                      </a:rPr>
                      <m:t>+</m:t>
                    </m:r>
                    <m:rad>
                      <m:radPr>
                        <m:degHide m:val="on"/>
                        <m:ctrlPr>
                          <a:rPr lang="en-US" sz="1100" b="0" i="1">
                            <a:latin typeface="Cambria Math" panose="02040503050406030204" pitchFamily="18" charset="0"/>
                          </a:rPr>
                        </m:ctrlPr>
                      </m:radPr>
                      <m:deg/>
                      <m:e>
                        <m:r>
                          <a:rPr lang="en-US" sz="1100" b="0" i="1">
                            <a:latin typeface="Cambria Math" panose="02040503050406030204" pitchFamily="18" charset="0"/>
                          </a:rPr>
                          <m:t>𝑚</m:t>
                        </m:r>
                      </m:e>
                    </m:rad>
                  </m:oMath>
                </m:oMathPara>
              </a14:m>
              <a:endParaRPr lang="en-US" sz="1100"/>
            </a:p>
          </xdr:txBody>
        </xdr:sp>
      </mc:Choice>
      <mc:Fallback xmlns="">
        <xdr:sp macro="" textlink="">
          <xdr:nvSpPr>
            <xdr:cNvPr id="11" name="TextBox 2">
              <a:extLst>
                <a:ext uri="{FF2B5EF4-FFF2-40B4-BE49-F238E27FC236}">
                  <a16:creationId xmlns:a16="http://schemas.microsoft.com/office/drawing/2014/main" id="{D786637F-33E9-1345-A3BA-E118FED487B6}"/>
                </a:ext>
              </a:extLst>
            </xdr:cNvPr>
            <xdr:cNvSpPr txBox="1"/>
          </xdr:nvSpPr>
          <xdr:spPr>
            <a:xfrm>
              <a:off x="1111251" y="23558500"/>
              <a:ext cx="1926168" cy="26994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latin typeface="Cambria Math" panose="02040503050406030204" pitchFamily="18" charset="0"/>
                </a:rPr>
                <a:t>〖</a:t>
              </a:r>
              <a:r>
                <a:rPr lang="en-US" sz="1100" b="0" i="0">
                  <a:latin typeface="Cambria Math" panose="02040503050406030204" pitchFamily="18" charset="0"/>
                </a:rPr>
                <a:t>𝑇ℎ𝑟𝑒𝑠ℎ𝑜𝑙𝑑〗_(10%)=0.1𝑚+√𝑚</a:t>
              </a:r>
              <a:endParaRPr lang="en-US"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317500</xdr:colOff>
      <xdr:row>34</xdr:row>
      <xdr:rowOff>127000</xdr:rowOff>
    </xdr:from>
    <xdr:to>
      <xdr:col>3</xdr:col>
      <xdr:colOff>264583</xdr:colOff>
      <xdr:row>36</xdr:row>
      <xdr:rowOff>179917</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4AEBBB7E-79C2-184A-B078-F641A160FC99}"/>
                </a:ext>
              </a:extLst>
            </xdr:cNvPr>
            <xdr:cNvSpPr txBox="1"/>
          </xdr:nvSpPr>
          <xdr:spPr>
            <a:xfrm>
              <a:off x="1143000" y="7069667"/>
              <a:ext cx="1598083" cy="4550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h</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𝑤</m:t>
                        </m:r>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r>
                              <a:rPr lang="en-US" sz="1100" i="1">
                                <a:solidFill>
                                  <a:schemeClr val="tx1"/>
                                </a:solidFill>
                                <a:effectLst/>
                                <a:latin typeface="Cambria Math" panose="02040503050406030204" pitchFamily="18" charset="0"/>
                                <a:ea typeface="+mn-ea"/>
                                <a:cs typeface="+mn-cs"/>
                              </a:rPr>
                              <m:t>𝑑</m:t>
                            </m:r>
                          </m:sub>
                          <m:sup/>
                          <m:e>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𝑞</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𝑓</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sup>
                                <m:argPr>
                                  <m:argSz m:val="-1"/>
                                </m:argPr>
                                <m:r>
                                  <a:rPr lang="en-US" sz="1100" i="1">
                                    <a:solidFill>
                                      <a:schemeClr val="tx1"/>
                                    </a:solidFill>
                                    <a:effectLst/>
                                    <a:latin typeface="Cambria Math" panose="02040503050406030204" pitchFamily="18" charset="0"/>
                                    <a:ea typeface="+mn-ea"/>
                                    <a:cs typeface="+mn-cs"/>
                                  </a:rPr>
                                  <m:t>2</m:t>
                                </m:r>
                              </m:sup>
                            </m:sSup>
                          </m:e>
                        </m:nary>
                      </m:den>
                    </m:f>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4AEBBB7E-79C2-184A-B078-F641A160FC99}"/>
                </a:ext>
              </a:extLst>
            </xdr:cNvPr>
            <xdr:cNvSpPr txBox="1"/>
          </xdr:nvSpPr>
          <xdr:spPr>
            <a:xfrm>
              <a:off x="1143000" y="7069667"/>
              <a:ext cx="1598083" cy="4550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ℎ(𝑤)=(∑1_𝑑▒〖𝑓(𝑑)×𝑞(𝑤,𝑑)〗)/(∑1▒〖𝑓〖(𝑑)〗^2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359832</xdr:colOff>
      <xdr:row>44</xdr:row>
      <xdr:rowOff>169334</xdr:rowOff>
    </xdr:from>
    <xdr:to>
      <xdr:col>3</xdr:col>
      <xdr:colOff>412749</xdr:colOff>
      <xdr:row>47</xdr:row>
      <xdr:rowOff>15694</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0ABB786C-5710-7442-9BFC-3E85774E055B}"/>
                </a:ext>
              </a:extLst>
            </xdr:cNvPr>
            <xdr:cNvSpPr txBox="1"/>
          </xdr:nvSpPr>
          <xdr:spPr>
            <a:xfrm>
              <a:off x="1185332" y="9122834"/>
              <a:ext cx="1703917" cy="44961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𝑓</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𝑑</m:t>
                        </m:r>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r>
                              <a:rPr lang="en-US" sz="1100" i="1">
                                <a:solidFill>
                                  <a:schemeClr val="tx1"/>
                                </a:solidFill>
                                <a:effectLst/>
                                <a:latin typeface="Cambria Math" panose="02040503050406030204" pitchFamily="18" charset="0"/>
                                <a:ea typeface="+mn-ea"/>
                                <a:cs typeface="+mn-cs"/>
                              </a:rPr>
                              <m:t>𝑤</m:t>
                            </m:r>
                          </m:sub>
                          <m:sup/>
                          <m:e>
                            <m:r>
                              <a:rPr lang="en-US" sz="1100" i="1">
                                <a:solidFill>
                                  <a:schemeClr val="tx1"/>
                                </a:solidFill>
                                <a:effectLst/>
                                <a:latin typeface="Cambria Math" panose="02040503050406030204" pitchFamily="18" charset="0"/>
                                <a:ea typeface="+mn-ea"/>
                                <a:cs typeface="+mn-cs"/>
                              </a:rPr>
                              <m:t>h</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𝑞</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h</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e>
                              <m:sup>
                                <m:r>
                                  <a:rPr lang="en-US" sz="1100" i="1">
                                    <a:solidFill>
                                      <a:schemeClr val="tx1"/>
                                    </a:solidFill>
                                    <a:effectLst/>
                                    <a:latin typeface="Cambria Math" panose="02040503050406030204" pitchFamily="18" charset="0"/>
                                    <a:ea typeface="+mn-ea"/>
                                    <a:cs typeface="+mn-cs"/>
                                  </a:rPr>
                                  <m:t>2</m:t>
                                </m:r>
                              </m:sup>
                            </m:sSup>
                          </m:e>
                        </m:nary>
                      </m:den>
                    </m:f>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0ABB786C-5710-7442-9BFC-3E85774E055B}"/>
                </a:ext>
              </a:extLst>
            </xdr:cNvPr>
            <xdr:cNvSpPr txBox="1"/>
          </xdr:nvSpPr>
          <xdr:spPr>
            <a:xfrm>
              <a:off x="1185332" y="9122834"/>
              <a:ext cx="1703917" cy="44961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𝑓(𝑑)=(∑1_𝑤▒〖ℎ(𝑤)×𝑞(𝑤,𝑑)〗)/(∑1▒〖ℎ〖(𝑤)〗^2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380998</xdr:colOff>
      <xdr:row>45</xdr:row>
      <xdr:rowOff>10585</xdr:rowOff>
    </xdr:from>
    <xdr:ext cx="1860381" cy="357277"/>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49CC844-C889-B84D-A63D-6BFE42C3B877}"/>
                </a:ext>
              </a:extLst>
            </xdr:cNvPr>
            <xdr:cNvSpPr txBox="1"/>
          </xdr:nvSpPr>
          <xdr:spPr>
            <a:xfrm>
              <a:off x="3682998" y="9165168"/>
              <a:ext cx="1860381" cy="357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𝑓</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𝑑</m:t>
                        </m:r>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h</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𝐼𝑛𝑐</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h</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e>
                              <m:sup>
                                <m:r>
                                  <a:rPr lang="en-US" sz="1100" i="1">
                                    <a:solidFill>
                                      <a:schemeClr val="tx1"/>
                                    </a:solidFill>
                                    <a:effectLst/>
                                    <a:latin typeface="Cambria Math" panose="02040503050406030204" pitchFamily="18" charset="0"/>
                                    <a:ea typeface="+mn-ea"/>
                                    <a:cs typeface="+mn-cs"/>
                                  </a:rPr>
                                  <m:t>2</m:t>
                                </m:r>
                              </m:sup>
                            </m:sSup>
                          </m:e>
                        </m:nary>
                      </m:den>
                    </m:f>
                    <m:r>
                      <m:rPr>
                        <m:nor/>
                      </m:rPr>
                      <a:rPr lang="en-US">
                        <a:effectLst/>
                      </a:rPr>
                      <m:t> </m:t>
                    </m:r>
                  </m:oMath>
                </m:oMathPara>
              </a14:m>
              <a:endParaRPr lang="en-US" sz="1100">
                <a:solidFill>
                  <a:schemeClr val="tx1"/>
                </a:solidFill>
              </a:endParaRPr>
            </a:p>
          </xdr:txBody>
        </xdr:sp>
      </mc:Choice>
      <mc:Fallback xmlns="">
        <xdr:sp macro="" textlink="">
          <xdr:nvSpPr>
            <xdr:cNvPr id="8" name="TextBox 7">
              <a:extLst>
                <a:ext uri="{FF2B5EF4-FFF2-40B4-BE49-F238E27FC236}">
                  <a16:creationId xmlns:a16="http://schemas.microsoft.com/office/drawing/2014/main" id="{A49CC844-C889-B84D-A63D-6BFE42C3B877}"/>
                </a:ext>
              </a:extLst>
            </xdr:cNvPr>
            <xdr:cNvSpPr txBox="1"/>
          </xdr:nvSpPr>
          <xdr:spPr>
            <a:xfrm>
              <a:off x="3682998" y="9165168"/>
              <a:ext cx="1860381" cy="357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𝑓(𝑑)=(∑1▒〖ℎ(𝐴𝑌)×𝐼𝑛𝑐〖𝐿𝑜𝑠𝑠〗_(𝐴𝑌,𝑑) 〗)/(∑1▒〖ℎ〖(𝐴𝑌)〗^2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328082</xdr:colOff>
      <xdr:row>53</xdr:row>
      <xdr:rowOff>21166</xdr:rowOff>
    </xdr:from>
    <xdr:to>
      <xdr:col>3</xdr:col>
      <xdr:colOff>306915</xdr:colOff>
      <xdr:row>54</xdr:row>
      <xdr:rowOff>84666</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90F355A8-490F-2547-8567-27C00BF6FC1E}"/>
                </a:ext>
              </a:extLst>
            </xdr:cNvPr>
            <xdr:cNvSpPr txBox="1"/>
          </xdr:nvSpPr>
          <xdr:spPr>
            <a:xfrm>
              <a:off x="1153582" y="10784416"/>
              <a:ext cx="1629833" cy="264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𝑞</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e>
                        </m:d>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h</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90F355A8-490F-2547-8567-27C00BF6FC1E}"/>
                </a:ext>
              </a:extLst>
            </xdr:cNvPr>
            <xdr:cNvSpPr txBox="1"/>
          </xdr:nvSpPr>
          <xdr:spPr>
            <a:xfrm>
              <a:off x="1153582" y="10784416"/>
              <a:ext cx="1629833" cy="264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E[𝑞(𝑤,𝑑)]=𝑓(𝑑)×ℎ(𝑤)</a:t>
              </a:r>
              <a:endParaRPr lang="en-US" sz="1100">
                <a:solidFill>
                  <a:schemeClr val="tx1"/>
                </a:solidFill>
                <a:effectLst/>
                <a:latin typeface="+mn-lt"/>
                <a:ea typeface="+mn-ea"/>
                <a:cs typeface="+mn-cs"/>
              </a:endParaRPr>
            </a:p>
          </xdr:txBody>
        </xdr:sp>
      </mc:Fallback>
    </mc:AlternateContent>
    <xdr:clientData/>
  </xdr:twoCellAnchor>
  <xdr:oneCellAnchor>
    <xdr:from>
      <xdr:col>4</xdr:col>
      <xdr:colOff>349250</xdr:colOff>
      <xdr:row>35</xdr:row>
      <xdr:rowOff>31750</xdr:rowOff>
    </xdr:from>
    <xdr:ext cx="1769715" cy="357277"/>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6C4B5E8-762E-4F4E-BFC3-1ADE8B061300}"/>
                </a:ext>
              </a:extLst>
            </xdr:cNvPr>
            <xdr:cNvSpPr txBox="1"/>
          </xdr:nvSpPr>
          <xdr:spPr>
            <a:xfrm>
              <a:off x="3651250" y="7175500"/>
              <a:ext cx="1769715" cy="357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h</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𝑤</m:t>
                        </m:r>
                      </m:e>
                    </m:d>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𝐼𝑛𝑐</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𝑓</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sup>
                                <m:argPr>
                                  <m:argSz m:val="-1"/>
                                </m:argPr>
                                <m:r>
                                  <a:rPr lang="en-US" sz="1100" i="1">
                                    <a:solidFill>
                                      <a:schemeClr val="tx1"/>
                                    </a:solidFill>
                                    <a:effectLst/>
                                    <a:latin typeface="Cambria Math" panose="02040503050406030204" pitchFamily="18" charset="0"/>
                                    <a:ea typeface="+mn-ea"/>
                                    <a:cs typeface="+mn-cs"/>
                                  </a:rPr>
                                  <m:t>2</m:t>
                                </m:r>
                              </m:sup>
                            </m:sSup>
                          </m:e>
                        </m:nary>
                      </m:den>
                    </m:f>
                    <m:r>
                      <m:rPr>
                        <m:nor/>
                      </m:rPr>
                      <a:rPr lang="en-US">
                        <a:effectLst/>
                      </a:rPr>
                      <m:t> </m:t>
                    </m:r>
                  </m:oMath>
                </m:oMathPara>
              </a14:m>
              <a:endParaRPr lang="en-US" sz="1100">
                <a:solidFill>
                  <a:schemeClr val="tx1"/>
                </a:solidFill>
              </a:endParaRPr>
            </a:p>
          </xdr:txBody>
        </xdr:sp>
      </mc:Choice>
      <mc:Fallback xmlns="">
        <xdr:sp macro="" textlink="">
          <xdr:nvSpPr>
            <xdr:cNvPr id="10" name="TextBox 9">
              <a:extLst>
                <a:ext uri="{FF2B5EF4-FFF2-40B4-BE49-F238E27FC236}">
                  <a16:creationId xmlns:a16="http://schemas.microsoft.com/office/drawing/2014/main" id="{B6C4B5E8-762E-4F4E-BFC3-1ADE8B061300}"/>
                </a:ext>
              </a:extLst>
            </xdr:cNvPr>
            <xdr:cNvSpPr txBox="1"/>
          </xdr:nvSpPr>
          <xdr:spPr>
            <a:xfrm>
              <a:off x="3651250" y="7175500"/>
              <a:ext cx="1769715" cy="357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ℎ(𝑤)=(∑1▒〖𝑓(𝑑)×𝐼𝑛𝑐〖𝐿𝑜𝑠𝑠〗_(𝐴𝑌,𝑑) 〗)/(∑1▒〖𝑓〖(𝑑)〗^2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4</xdr:col>
      <xdr:colOff>317499</xdr:colOff>
      <xdr:row>53</xdr:row>
      <xdr:rowOff>52917</xdr:rowOff>
    </xdr:from>
    <xdr:ext cx="1905585" cy="191078"/>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6E93B121-0D5C-3245-BDED-50B3CE9C34FB}"/>
                </a:ext>
              </a:extLst>
            </xdr:cNvPr>
            <xdr:cNvSpPr txBox="1"/>
          </xdr:nvSpPr>
          <xdr:spPr>
            <a:xfrm>
              <a:off x="3619499" y="10816167"/>
              <a:ext cx="190558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𝑓</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𝑑</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h</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𝐴𝑌</m:t>
                        </m:r>
                      </m:e>
                    </m:d>
                    <m:r>
                      <m:rPr>
                        <m:nor/>
                      </m:rPr>
                      <a:rPr lang="en-US">
                        <a:effectLst/>
                      </a:rPr>
                      <m:t>  </m:t>
                    </m:r>
                  </m:oMath>
                </m:oMathPara>
              </a14:m>
              <a:endParaRPr lang="en-US" sz="1100">
                <a:solidFill>
                  <a:schemeClr val="tx1"/>
                </a:solidFill>
              </a:endParaRPr>
            </a:p>
          </xdr:txBody>
        </xdr:sp>
      </mc:Choice>
      <mc:Fallback xmlns="">
        <xdr:sp macro="" textlink="">
          <xdr:nvSpPr>
            <xdr:cNvPr id="14" name="TextBox 13">
              <a:extLst>
                <a:ext uri="{FF2B5EF4-FFF2-40B4-BE49-F238E27FC236}">
                  <a16:creationId xmlns:a16="http://schemas.microsoft.com/office/drawing/2014/main" id="{6E93B121-0D5C-3245-BDED-50B3CE9C34FB}"/>
                </a:ext>
              </a:extLst>
            </xdr:cNvPr>
            <xdr:cNvSpPr txBox="1"/>
          </xdr:nvSpPr>
          <xdr:spPr>
            <a:xfrm>
              <a:off x="3619499" y="10816167"/>
              <a:ext cx="190558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E[𝐼𝑛𝑐〖𝐿𝑜𝑠𝑠〗_(𝐴𝑌,𝑑) ]=𝑓(𝑑)×ℎ(𝐴𝑌)</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359833</xdr:colOff>
      <xdr:row>85</xdr:row>
      <xdr:rowOff>84666</xdr:rowOff>
    </xdr:from>
    <xdr:to>
      <xdr:col>3</xdr:col>
      <xdr:colOff>497416</xdr:colOff>
      <xdr:row>87</xdr:row>
      <xdr:rowOff>155706</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7ACC551F-8AE2-6843-B5A9-352023EBD1EE}"/>
                </a:ext>
              </a:extLst>
            </xdr:cNvPr>
            <xdr:cNvSpPr txBox="1"/>
          </xdr:nvSpPr>
          <xdr:spPr>
            <a:xfrm>
              <a:off x="1185333" y="16584083"/>
              <a:ext cx="1788583" cy="47320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h</m:t>
                        </m:r>
                      </m:e>
                      <m:sup>
                        <m:argPr>
                          <m:argSz m:val="-1"/>
                        </m:argPr>
                        <m:r>
                          <a:rPr lang="en-US" sz="1100" i="1">
                            <a:solidFill>
                              <a:schemeClr val="tx1"/>
                            </a:solidFill>
                            <a:effectLst/>
                            <a:latin typeface="Cambria Math" panose="02040503050406030204" pitchFamily="18" charset="0"/>
                            <a:ea typeface="+mn-ea"/>
                            <a:cs typeface="+mn-cs"/>
                          </a:rPr>
                          <m:t>𝑐𝑐</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argPr>
                              <m:argSz m:val="-1"/>
                            </m:argPr>
                            <m:r>
                              <a:rPr lang="en-US" sz="1100" i="1">
                                <a:solidFill>
                                  <a:schemeClr val="tx1"/>
                                </a:solidFill>
                                <a:effectLst/>
                                <a:latin typeface="Cambria Math" panose="02040503050406030204" pitchFamily="18" charset="0"/>
                                <a:ea typeface="+mn-ea"/>
                                <a:cs typeface="+mn-cs"/>
                              </a:rPr>
                              <m:t>𝑇𝑟𝑖𝑎𝑛𝑔𝑙𝑒</m:t>
                            </m:r>
                          </m:sub>
                          <m:sup/>
                          <m:e>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𝑞</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nary>
                      </m:num>
                      <m:den>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argPr>
                              <m:argSz m:val="-1"/>
                            </m:argPr>
                            <m:r>
                              <a:rPr lang="en-US" sz="1100" i="1">
                                <a:solidFill>
                                  <a:schemeClr val="tx1"/>
                                </a:solidFill>
                                <a:effectLst/>
                                <a:latin typeface="Cambria Math" panose="02040503050406030204" pitchFamily="18" charset="0"/>
                                <a:ea typeface="+mn-ea"/>
                                <a:cs typeface="+mn-cs"/>
                              </a:rPr>
                              <m:t>𝑇𝑟𝑖𝑎𝑛𝑔𝑙𝑒</m:t>
                            </m:r>
                          </m:sub>
                          <m:sup/>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sup>
                                <m:argPr>
                                  <m:argSz m:val="-1"/>
                                </m:argPr>
                                <m:r>
                                  <a:rPr lang="en-US" sz="1100" i="1">
                                    <a:solidFill>
                                      <a:schemeClr val="tx1"/>
                                    </a:solidFill>
                                    <a:effectLst/>
                                    <a:latin typeface="Cambria Math" panose="02040503050406030204" pitchFamily="18" charset="0"/>
                                    <a:ea typeface="+mn-ea"/>
                                    <a:cs typeface="+mn-cs"/>
                                  </a:rPr>
                                  <m:t>2</m:t>
                                </m:r>
                              </m:sup>
                            </m:sSup>
                          </m:e>
                        </m:nary>
                      </m:den>
                    </m:f>
                  </m:oMath>
                </m:oMathPara>
              </a14:m>
              <a:endParaRPr lang="en-US"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7ACC551F-8AE2-6843-B5A9-352023EBD1EE}"/>
                </a:ext>
              </a:extLst>
            </xdr:cNvPr>
            <xdr:cNvSpPr txBox="1"/>
          </xdr:nvSpPr>
          <xdr:spPr>
            <a:xfrm>
              <a:off x="1185333" y="16584083"/>
              <a:ext cx="1788583" cy="47320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ℎ^𝑐𝑐=(∑1_𝑇𝑟𝑖𝑎𝑛𝑔𝑙𝑒▒〖𝑓(𝑑)×𝑞(𝑤,𝑑)〗)/(∑1_𝑇𝑟𝑖𝑎𝑛𝑔𝑙𝑒▒〖𝑓(𝑑)〗^2 )</a:t>
              </a:r>
              <a:endParaRPr lang="en-US"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412749</xdr:colOff>
      <xdr:row>28</xdr:row>
      <xdr:rowOff>95251</xdr:rowOff>
    </xdr:from>
    <xdr:to>
      <xdr:col>3</xdr:col>
      <xdr:colOff>42333</xdr:colOff>
      <xdr:row>31</xdr:row>
      <xdr:rowOff>91332</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FB92D8C7-8437-224F-A14A-F28414BCC4B6}"/>
                </a:ext>
              </a:extLst>
            </xdr:cNvPr>
            <xdr:cNvSpPr txBox="1"/>
          </xdr:nvSpPr>
          <xdr:spPr>
            <a:xfrm>
              <a:off x="1238249" y="5863168"/>
              <a:ext cx="1322917" cy="5993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h</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argPr>
                              <m:argSz m:val="-1"/>
                            </m:argPr>
                            <m:r>
                              <a:rPr lang="en-US" sz="1100" i="1">
                                <a:solidFill>
                                  <a:schemeClr val="tx1"/>
                                </a:solidFill>
                                <a:effectLst/>
                                <a:latin typeface="Cambria Math" panose="02040503050406030204" pitchFamily="18" charset="0"/>
                                <a:ea typeface="+mn-ea"/>
                                <a:cs typeface="+mn-cs"/>
                              </a:rPr>
                              <m:t>𝑑</m:t>
                            </m:r>
                          </m:sub>
                          <m:sup/>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𝑞</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sup>
                                    <m:argPr>
                                      <m:argSz m:val="-1"/>
                                    </m:argPr>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den>
                            </m:f>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nary>
                      </m:den>
                    </m:f>
                  </m:oMath>
                </m:oMathPara>
              </a14:m>
              <a:endParaRPr lang="en-US"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FB92D8C7-8437-224F-A14A-F28414BCC4B6}"/>
                </a:ext>
              </a:extLst>
            </xdr:cNvPr>
            <xdr:cNvSpPr txBox="1"/>
          </xdr:nvSpPr>
          <xdr:spPr>
            <a:xfrm>
              <a:off x="1238249" y="5863168"/>
              <a:ext cx="1322917" cy="5993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ℎ〖(𝑤)〗^2=(∑1_𝑑▒(𝑞〖(𝑤,𝑑)〗^2)/(𝑓(𝑑)))/(∑1▒〖𝑓(𝑑)〗)</a:t>
              </a:r>
              <a:endParaRPr lang="en-US" sz="1100">
                <a:solidFill>
                  <a:schemeClr val="tx1"/>
                </a:solidFill>
                <a:effectLst/>
                <a:latin typeface="+mn-lt"/>
                <a:ea typeface="+mn-ea"/>
                <a:cs typeface="+mn-cs"/>
              </a:endParaRPr>
            </a:p>
          </xdr:txBody>
        </xdr:sp>
      </mc:Fallback>
    </mc:AlternateContent>
    <xdr:clientData/>
  </xdr:twoCellAnchor>
  <xdr:oneCellAnchor>
    <xdr:from>
      <xdr:col>4</xdr:col>
      <xdr:colOff>317498</xdr:colOff>
      <xdr:row>28</xdr:row>
      <xdr:rowOff>116418</xdr:rowOff>
    </xdr:from>
    <xdr:ext cx="1416285" cy="5155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D6E4F0-A2A8-634C-AE81-8BE89963DE88}"/>
                </a:ext>
              </a:extLst>
            </xdr:cNvPr>
            <xdr:cNvSpPr txBox="1"/>
          </xdr:nvSpPr>
          <xdr:spPr>
            <a:xfrm>
              <a:off x="3661831" y="5884335"/>
              <a:ext cx="1416285" cy="51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h</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e>
                      <m:sup>
                        <m:argPr>
                          <m:argSz m:val="-1"/>
                        </m:argPr>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argPr>
                              <m:argSz m:val="-2"/>
                            </m:argPr>
                            <m:r>
                              <a:rPr lang="en-US" sz="1100" i="1">
                                <a:solidFill>
                                  <a:schemeClr val="tx1"/>
                                </a:solidFill>
                                <a:effectLst/>
                                <a:latin typeface="Cambria Math" panose="02040503050406030204" pitchFamily="18" charset="0"/>
                                <a:ea typeface="+mn-ea"/>
                                <a:cs typeface="+mn-cs"/>
                              </a:rPr>
                              <m:t>𝑑</m:t>
                            </m:r>
                          </m:sub>
                          <m:sup/>
                          <m:e>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up>
                                    <m:argPr>
                                      <m:argSz m:val="-1"/>
                                    </m:argPr>
                                    <m:r>
                                      <a:rPr lang="en-US" sz="1100" i="1">
                                        <a:solidFill>
                                          <a:schemeClr val="tx1"/>
                                        </a:solidFill>
                                        <a:effectLst/>
                                        <a:latin typeface="Cambria Math" panose="02040503050406030204" pitchFamily="18" charset="0"/>
                                        <a:ea typeface="+mn-ea"/>
                                        <a:cs typeface="+mn-cs"/>
                                      </a:rPr>
                                      <m:t>2</m:t>
                                    </m:r>
                                  </m:sup>
                                </m:sSubSup>
                              </m:num>
                              <m:den>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den>
                            </m:f>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𝑓</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𝑑</m:t>
                                </m:r>
                              </m:e>
                            </m:d>
                          </m:e>
                        </m:nary>
                      </m:den>
                    </m:f>
                    <m:r>
                      <m:rPr>
                        <m:nor/>
                      </m:rPr>
                      <a:rPr lang="en-US">
                        <a:effectLst/>
                      </a:rPr>
                      <m:t> </m:t>
                    </m:r>
                  </m:oMath>
                </m:oMathPara>
              </a14:m>
              <a:endParaRPr lang="en-US" sz="1100">
                <a:solidFill>
                  <a:schemeClr val="tx1"/>
                </a:solidFill>
              </a:endParaRPr>
            </a:p>
          </xdr:txBody>
        </xdr:sp>
      </mc:Choice>
      <mc:Fallback xmlns="">
        <xdr:sp macro="" textlink="">
          <xdr:nvSpPr>
            <xdr:cNvPr id="3" name="TextBox 2">
              <a:extLst>
                <a:ext uri="{FF2B5EF4-FFF2-40B4-BE49-F238E27FC236}">
                  <a16:creationId xmlns:a16="http://schemas.microsoft.com/office/drawing/2014/main" id="{42D6E4F0-A2A8-634C-AE81-8BE89963DE88}"/>
                </a:ext>
              </a:extLst>
            </xdr:cNvPr>
            <xdr:cNvSpPr txBox="1"/>
          </xdr:nvSpPr>
          <xdr:spPr>
            <a:xfrm>
              <a:off x="3661831" y="5884335"/>
              <a:ext cx="1416285" cy="51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ℎ〖(𝑤)〗^2=(∑1_𝑑▒(〖𝐼𝑛𝑐𝐿𝑜𝑠𝑠〗_(𝐴𝑌,𝑑)^2)/(𝑓(𝑑)))/(∑1▒𝑓(𝑑)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338667</xdr:colOff>
      <xdr:row>46</xdr:row>
      <xdr:rowOff>169334</xdr:rowOff>
    </xdr:from>
    <xdr:to>
      <xdr:col>3</xdr:col>
      <xdr:colOff>74083</xdr:colOff>
      <xdr:row>49</xdr:row>
      <xdr:rowOff>169334</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973C862E-73C0-3641-9820-93265594499D}"/>
                </a:ext>
              </a:extLst>
            </xdr:cNvPr>
            <xdr:cNvSpPr txBox="1"/>
          </xdr:nvSpPr>
          <xdr:spPr>
            <a:xfrm>
              <a:off x="1164167" y="9556751"/>
              <a:ext cx="1386416" cy="6032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𝑓</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sup>
                        <m:argPr>
                          <m:argSz m:val="-1"/>
                        </m:argPr>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pHide m:val="on"/>
                            <m:ctrlPr>
                              <a:rPr lang="en-US" sz="1100" i="1">
                                <a:solidFill>
                                  <a:schemeClr val="tx1"/>
                                </a:solidFill>
                                <a:effectLst/>
                                <a:latin typeface="Cambria Math" panose="02040503050406030204" pitchFamily="18" charset="0"/>
                                <a:ea typeface="+mn-ea"/>
                                <a:cs typeface="+mn-cs"/>
                              </a:rPr>
                            </m:ctrlPr>
                          </m:naryPr>
                          <m:sub>
                            <m:argPr>
                              <m:argSz m:val="-1"/>
                            </m:argPr>
                            <m:r>
                              <a:rPr lang="en-US" sz="1100" i="1">
                                <a:solidFill>
                                  <a:schemeClr val="tx1"/>
                                </a:solidFill>
                                <a:effectLst/>
                                <a:latin typeface="Cambria Math" panose="02040503050406030204" pitchFamily="18" charset="0"/>
                                <a:ea typeface="+mn-ea"/>
                                <a:cs typeface="+mn-cs"/>
                              </a:rPr>
                              <m:t>𝑤</m:t>
                            </m:r>
                          </m:sub>
                          <m:sup/>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𝑞</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sup>
                                    <m:argPr>
                                      <m:argSz m:val="-1"/>
                                    </m:argPr>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h</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den>
                            </m:f>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h</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e>
                        </m:nary>
                      </m:den>
                    </m:f>
                  </m:oMath>
                </m:oMathPara>
              </a14:m>
              <a:endParaRPr lang="en-US"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973C862E-73C0-3641-9820-93265594499D}"/>
                </a:ext>
              </a:extLst>
            </xdr:cNvPr>
            <xdr:cNvSpPr txBox="1"/>
          </xdr:nvSpPr>
          <xdr:spPr>
            <a:xfrm>
              <a:off x="1164167" y="9556751"/>
              <a:ext cx="1386416" cy="6032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𝑓〖(𝑑)〗^2=(∑1_𝑤▒(𝑞〖(𝑤,𝑑)〗^2)/(ℎ(𝑤)))/(∑1▒〖ℎ(𝑤)〗)</a:t>
              </a:r>
              <a:endParaRPr lang="en-US" sz="1100">
                <a:solidFill>
                  <a:schemeClr val="tx1"/>
                </a:solidFill>
                <a:effectLst/>
                <a:latin typeface="+mn-lt"/>
                <a:ea typeface="+mn-ea"/>
                <a:cs typeface="+mn-cs"/>
              </a:endParaRPr>
            </a:p>
          </xdr:txBody>
        </xdr:sp>
      </mc:Fallback>
    </mc:AlternateContent>
    <xdr:clientData/>
  </xdr:twoCellAnchor>
  <xdr:twoCellAnchor>
    <xdr:from>
      <xdr:col>1</xdr:col>
      <xdr:colOff>476250</xdr:colOff>
      <xdr:row>62</xdr:row>
      <xdr:rowOff>179917</xdr:rowOff>
    </xdr:from>
    <xdr:to>
      <xdr:col>3</xdr:col>
      <xdr:colOff>412750</xdr:colOff>
      <xdr:row>64</xdr:row>
      <xdr:rowOff>42333</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5AE15179-A69C-E443-A778-3B9078369F68}"/>
                </a:ext>
              </a:extLst>
            </xdr:cNvPr>
            <xdr:cNvSpPr txBox="1"/>
          </xdr:nvSpPr>
          <xdr:spPr>
            <a:xfrm>
              <a:off x="1301750" y="8561917"/>
              <a:ext cx="1629833" cy="264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𝑞</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e>
                        </m:d>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h</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5AE15179-A69C-E443-A778-3B9078369F68}"/>
                </a:ext>
              </a:extLst>
            </xdr:cNvPr>
            <xdr:cNvSpPr txBox="1"/>
          </xdr:nvSpPr>
          <xdr:spPr>
            <a:xfrm>
              <a:off x="1301750" y="8561917"/>
              <a:ext cx="1629833" cy="264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E[𝑞(𝑤,𝑑)]=𝑓(𝑑)×ℎ(𝑤)</a:t>
              </a:r>
              <a:endParaRPr lang="en-US" sz="1100">
                <a:solidFill>
                  <a:schemeClr val="tx1"/>
                </a:solidFill>
                <a:effectLst/>
                <a:latin typeface="+mn-lt"/>
                <a:ea typeface="+mn-ea"/>
                <a:cs typeface="+mn-cs"/>
              </a:endParaRPr>
            </a:p>
          </xdr:txBody>
        </xdr:sp>
      </mc:Fallback>
    </mc:AlternateContent>
    <xdr:clientData/>
  </xdr:twoCellAnchor>
  <xdr:oneCellAnchor>
    <xdr:from>
      <xdr:col>4</xdr:col>
      <xdr:colOff>423334</xdr:colOff>
      <xdr:row>63</xdr:row>
      <xdr:rowOff>10585</xdr:rowOff>
    </xdr:from>
    <xdr:ext cx="1905585" cy="19107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EAE7A7E-E055-FE45-917F-759F90ADD476}"/>
                </a:ext>
              </a:extLst>
            </xdr:cNvPr>
            <xdr:cNvSpPr txBox="1"/>
          </xdr:nvSpPr>
          <xdr:spPr>
            <a:xfrm>
              <a:off x="3767667" y="8593668"/>
              <a:ext cx="190558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𝑓</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𝑑</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h</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𝐴𝑌</m:t>
                        </m:r>
                      </m:e>
                    </m:d>
                    <m:r>
                      <m:rPr>
                        <m:nor/>
                      </m:rPr>
                      <a:rPr lang="en-US">
                        <a:effectLst/>
                      </a:rPr>
                      <m:t>  </m:t>
                    </m:r>
                  </m:oMath>
                </m:oMathPara>
              </a14:m>
              <a:endParaRPr lang="en-US" sz="1100">
                <a:solidFill>
                  <a:schemeClr val="tx1"/>
                </a:solidFill>
              </a:endParaRPr>
            </a:p>
          </xdr:txBody>
        </xdr:sp>
      </mc:Choice>
      <mc:Fallback xmlns="">
        <xdr:sp macro="" textlink="">
          <xdr:nvSpPr>
            <xdr:cNvPr id="8" name="TextBox 7">
              <a:extLst>
                <a:ext uri="{FF2B5EF4-FFF2-40B4-BE49-F238E27FC236}">
                  <a16:creationId xmlns:a16="http://schemas.microsoft.com/office/drawing/2014/main" id="{CEAE7A7E-E055-FE45-917F-759F90ADD476}"/>
                </a:ext>
              </a:extLst>
            </xdr:cNvPr>
            <xdr:cNvSpPr txBox="1"/>
          </xdr:nvSpPr>
          <xdr:spPr>
            <a:xfrm>
              <a:off x="3767667" y="8593668"/>
              <a:ext cx="190558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E[𝐼𝑛𝑐〖𝐿𝑜𝑠𝑠〗_(𝐴𝑌,𝑑) ]=𝑓(𝑑)×ℎ(𝐴𝑌)</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4</xdr:col>
      <xdr:colOff>317500</xdr:colOff>
      <xdr:row>46</xdr:row>
      <xdr:rowOff>179916</xdr:rowOff>
    </xdr:from>
    <xdr:ext cx="1350690" cy="51360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381D2CCF-54EA-284F-B499-5BD94C066CCA}"/>
                </a:ext>
              </a:extLst>
            </xdr:cNvPr>
            <xdr:cNvSpPr txBox="1"/>
          </xdr:nvSpPr>
          <xdr:spPr>
            <a:xfrm>
              <a:off x="3683000" y="9567333"/>
              <a:ext cx="1350690" cy="513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solidFill>
                          <a:schemeClr val="tx1"/>
                        </a:solidFill>
                        <a:effectLst/>
                        <a:latin typeface="Cambria Math" panose="02040503050406030204" pitchFamily="18" charset="0"/>
                        <a:ea typeface="+mn-ea"/>
                        <a:cs typeface="+mn-cs"/>
                      </a:rPr>
                      <m:t>𝑓</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e>
                      <m:sup>
                        <m:argPr>
                          <m:argSz m:val="-1"/>
                        </m:argPr>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𝐼𝑛𝑐</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up>
                                    <m:argPr>
                                      <m:argSz m:val="-1"/>
                                    </m:argPr>
                                    <m:r>
                                      <a:rPr lang="en-US" sz="1100" i="1">
                                        <a:solidFill>
                                          <a:schemeClr val="tx1"/>
                                        </a:solidFill>
                                        <a:effectLst/>
                                        <a:latin typeface="Cambria Math" panose="02040503050406030204" pitchFamily="18" charset="0"/>
                                        <a:ea typeface="+mn-ea"/>
                                        <a:cs typeface="+mn-cs"/>
                                      </a:rPr>
                                      <m:t>2</m:t>
                                    </m:r>
                                  </m:sup>
                                </m:sSubSup>
                              </m:num>
                              <m:den>
                                <m:r>
                                  <a:rPr lang="en-US" sz="1100" i="1">
                                    <a:solidFill>
                                      <a:schemeClr val="tx1"/>
                                    </a:solidFill>
                                    <a:effectLst/>
                                    <a:latin typeface="Cambria Math" panose="02040503050406030204" pitchFamily="18" charset="0"/>
                                    <a:ea typeface="+mn-ea"/>
                                    <a:cs typeface="+mn-cs"/>
                                  </a:rPr>
                                  <m:t>h</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den>
                            </m:f>
                          </m:e>
                        </m:nary>
                      </m:num>
                      <m:den>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r>
                              <a:rPr lang="en-US" sz="1100" i="1">
                                <a:solidFill>
                                  <a:schemeClr val="tx1"/>
                                </a:solidFill>
                                <a:effectLst/>
                                <a:latin typeface="Cambria Math" panose="02040503050406030204" pitchFamily="18" charset="0"/>
                                <a:ea typeface="+mn-ea"/>
                                <a:cs typeface="+mn-cs"/>
                              </a:rPr>
                              <m:t>h</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𝐴𝑌</m:t>
                                </m:r>
                              </m:e>
                            </m:d>
                          </m:e>
                        </m:nary>
                      </m:den>
                    </m:f>
                    <m:r>
                      <m:rPr>
                        <m:nor/>
                      </m:rPr>
                      <a:rPr lang="en-US">
                        <a:effectLst/>
                      </a:rPr>
                      <m:t> </m:t>
                    </m:r>
                  </m:oMath>
                </m:oMathPara>
              </a14:m>
              <a:endParaRPr lang="en-US" sz="1100">
                <a:solidFill>
                  <a:schemeClr val="tx1"/>
                </a:solidFill>
              </a:endParaRPr>
            </a:p>
          </xdr:txBody>
        </xdr:sp>
      </mc:Choice>
      <mc:Fallback xmlns="">
        <xdr:sp macro="" textlink="">
          <xdr:nvSpPr>
            <xdr:cNvPr id="9" name="TextBox 8">
              <a:extLst>
                <a:ext uri="{FF2B5EF4-FFF2-40B4-BE49-F238E27FC236}">
                  <a16:creationId xmlns:a16="http://schemas.microsoft.com/office/drawing/2014/main" id="{381D2CCF-54EA-284F-B499-5BD94C066CCA}"/>
                </a:ext>
              </a:extLst>
            </xdr:cNvPr>
            <xdr:cNvSpPr txBox="1"/>
          </xdr:nvSpPr>
          <xdr:spPr>
            <a:xfrm>
              <a:off x="3683000" y="9567333"/>
              <a:ext cx="1350690" cy="513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effectLst/>
                  <a:latin typeface="Cambria Math" panose="02040503050406030204" pitchFamily="18" charset="0"/>
                  <a:ea typeface="+mn-ea"/>
                  <a:cs typeface="+mn-cs"/>
                </a:rPr>
                <a:t>𝑓</a:t>
              </a:r>
              <a:r>
                <a:rPr lang="en-US" sz="1100" i="0">
                  <a:solidFill>
                    <a:schemeClr val="tx1"/>
                  </a:solidFill>
                  <a:effectLst/>
                  <a:latin typeface="+mn-lt"/>
                  <a:ea typeface="+mn-ea"/>
                  <a:cs typeface="+mn-cs"/>
                </a:rPr>
                <a:t>〖(𝑑)〗^2=(∑1▒(𝐼𝑛𝑐〖𝐿𝑜𝑠𝑠〗_(𝐴𝑌,𝑑)^2)/(ℎ(𝐴𝑌)))/(∑1▒ℎ(𝐴𝑌)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338667</xdr:colOff>
      <xdr:row>49</xdr:row>
      <xdr:rowOff>169335</xdr:rowOff>
    </xdr:from>
    <xdr:to>
      <xdr:col>4</xdr:col>
      <xdr:colOff>179917</xdr:colOff>
      <xdr:row>51</xdr:row>
      <xdr:rowOff>50579</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01024F8D-1980-A64C-B7DD-6E9DA88EE30A}"/>
                </a:ext>
              </a:extLst>
            </xdr:cNvPr>
            <xdr:cNvSpPr txBox="1"/>
          </xdr:nvSpPr>
          <xdr:spPr>
            <a:xfrm>
              <a:off x="1164167" y="10202335"/>
              <a:ext cx="2317750"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2"/>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d>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1"/>
                            </m:argPr>
                            <m:r>
                              <a:rPr lang="en-US" sz="1100" i="1">
                                <a:solidFill>
                                  <a:schemeClr val="tx1"/>
                                </a:solidFill>
                                <a:effectLst/>
                                <a:latin typeface="Cambria Math" panose="02040503050406030204" pitchFamily="18" charset="0"/>
                                <a:ea typeface="+mn-ea"/>
                                <a:cs typeface="+mn-cs"/>
                              </a:rPr>
                              <m:t>𝑑</m:t>
                            </m:r>
                          </m:sub>
                        </m:sSub>
                        <m:r>
                          <a:rPr lang="en-US" sz="1100" i="1">
                            <a:solidFill>
                              <a:schemeClr val="tx1"/>
                            </a:solidFill>
                            <a:effectLst/>
                            <a:latin typeface="Cambria Math" panose="02040503050406030204" pitchFamily="18" charset="0"/>
                            <a:ea typeface="+mn-ea"/>
                            <a:cs typeface="+mn-cs"/>
                          </a:rPr>
                          <m:t>−1</m:t>
                        </m:r>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𝑑</m:t>
                        </m:r>
                      </m:sub>
                    </m:sSub>
                    <m:r>
                      <m:rPr>
                        <m:nor/>
                      </m:rPr>
                      <a:rPr lang="en-US">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01024F8D-1980-A64C-B7DD-6E9DA88EE30A}"/>
                </a:ext>
              </a:extLst>
            </xdr:cNvPr>
            <xdr:cNvSpPr txBox="1"/>
          </xdr:nvSpPr>
          <xdr:spPr>
            <a:xfrm>
              <a:off x="1164167" y="10202335"/>
              <a:ext cx="2317750"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𝐸[𝐼𝑛𝑐〖𝐿𝑜𝑠𝑠〗_(𝐴𝑌,𝑑) ]=(〖𝐿𝐷𝐹〗_𝑑−1)×〖𝐿𝑜𝑠𝑠〗_𝑑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twoCellAnchor>
  <xdr:twoCellAnchor>
    <xdr:from>
      <xdr:col>1</xdr:col>
      <xdr:colOff>423333</xdr:colOff>
      <xdr:row>62</xdr:row>
      <xdr:rowOff>127003</xdr:rowOff>
    </xdr:from>
    <xdr:to>
      <xdr:col>4</xdr:col>
      <xdr:colOff>317501</xdr:colOff>
      <xdr:row>64</xdr:row>
      <xdr:rowOff>180859</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8E1B69C2-FA8F-6F4F-A61F-294129E93E60}"/>
                </a:ext>
              </a:extLst>
            </xdr:cNvPr>
            <xdr:cNvSpPr txBox="1"/>
          </xdr:nvSpPr>
          <xdr:spPr>
            <a:xfrm>
              <a:off x="1248833" y="12784670"/>
              <a:ext cx="2370668" cy="45602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𝑆𝑆𝐸</m:t>
                    </m:r>
                    <m:r>
                      <a:rPr lang="en-US"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US" sz="1100" i="1">
                            <a:solidFill>
                              <a:schemeClr val="tx1"/>
                            </a:solidFill>
                            <a:effectLst/>
                            <a:latin typeface="Cambria Math" panose="02040503050406030204" pitchFamily="18" charset="0"/>
                            <a:ea typeface="+mn-ea"/>
                            <a:cs typeface="+mn-cs"/>
                          </a:rPr>
                        </m:ctrlPr>
                      </m:naryPr>
                      <m:sub/>
                      <m:sup/>
                      <m:e>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𝑘</m:t>
                                        </m:r>
                                      </m:sub>
                                    </m:sSub>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𝐼𝑛𝑐𝐿𝑜𝑠𝑠</m:t>
                                    </m:r>
                                  </m:e>
                                  <m:sub>
                                    <m:argPr>
                                      <m:argSz m:val="-1"/>
                                    </m:argPr>
                                    <m:r>
                                      <a:rPr lang="en-US" sz="1100" i="1">
                                        <a:solidFill>
                                          <a:schemeClr val="tx1"/>
                                        </a:solidFill>
                                        <a:effectLst/>
                                        <a:latin typeface="Cambria Math" panose="02040503050406030204" pitchFamily="18" charset="0"/>
                                        <a:ea typeface="+mn-ea"/>
                                        <a:cs typeface="+mn-cs"/>
                                      </a:rPr>
                                      <m:t>𝑘</m:t>
                                    </m:r>
                                  </m:sub>
                                </m:sSub>
                              </m:e>
                            </m:d>
                          </m:e>
                          <m:sup>
                            <m:argPr>
                              <m:argSz m:val="-1"/>
                            </m:argPr>
                            <m:r>
                              <a:rPr lang="en-US" sz="1100" i="1">
                                <a:solidFill>
                                  <a:schemeClr val="tx1"/>
                                </a:solidFill>
                                <a:effectLst/>
                                <a:latin typeface="Cambria Math" panose="02040503050406030204" pitchFamily="18" charset="0"/>
                                <a:ea typeface="+mn-ea"/>
                                <a:cs typeface="+mn-cs"/>
                              </a:rPr>
                              <m:t>2</m:t>
                            </m:r>
                          </m:sup>
                        </m:sSup>
                      </m:e>
                    </m:nary>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8E1B69C2-FA8F-6F4F-A61F-294129E93E60}"/>
                </a:ext>
              </a:extLst>
            </xdr:cNvPr>
            <xdr:cNvSpPr txBox="1"/>
          </xdr:nvSpPr>
          <xdr:spPr>
            <a:xfrm>
              <a:off x="1248833" y="12784670"/>
              <a:ext cx="2370668" cy="45602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𝑆𝑆𝐸=∑1▒(𝐸[〖𝐼𝑛𝑐𝐿𝑜𝑠𝑠〗_𝑘 ]−〖𝐼𝑛𝑐𝐿𝑜𝑠𝑠〗_𝑘 )^2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338667</xdr:colOff>
      <xdr:row>73</xdr:row>
      <xdr:rowOff>169333</xdr:rowOff>
    </xdr:from>
    <xdr:to>
      <xdr:col>3</xdr:col>
      <xdr:colOff>359833</xdr:colOff>
      <xdr:row>76</xdr:row>
      <xdr:rowOff>21167</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7E061B4C-08B9-D24A-891B-9E9489CC5FF8}"/>
                </a:ext>
              </a:extLst>
            </xdr:cNvPr>
            <xdr:cNvSpPr txBox="1"/>
          </xdr:nvSpPr>
          <xdr:spPr>
            <a:xfrm>
              <a:off x="1164167" y="15060083"/>
              <a:ext cx="1672166" cy="45508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𝐴𝑑𝑗𝑢𝑠𝑡𝑒𝑑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𝑆𝑆𝐸</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𝑆𝑆𝐸</m:t>
                        </m:r>
                      </m:num>
                      <m:den>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𝑝</m:t>
                                </m:r>
                              </m:e>
                            </m:d>
                          </m:e>
                          <m:sup>
                            <m:r>
                              <a:rPr lang="en-US" sz="1100" i="1">
                                <a:solidFill>
                                  <a:schemeClr val="tx1"/>
                                </a:solidFill>
                                <a:effectLst/>
                                <a:latin typeface="Cambria Math" panose="02040503050406030204" pitchFamily="18" charset="0"/>
                                <a:ea typeface="+mn-ea"/>
                                <a:cs typeface="+mn-cs"/>
                              </a:rPr>
                              <m:t>2</m:t>
                            </m:r>
                          </m:sup>
                        </m:sSup>
                      </m:den>
                    </m:f>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7E061B4C-08B9-D24A-891B-9E9489CC5FF8}"/>
                </a:ext>
              </a:extLst>
            </xdr:cNvPr>
            <xdr:cNvSpPr txBox="1"/>
          </xdr:nvSpPr>
          <xdr:spPr>
            <a:xfrm>
              <a:off x="1164167" y="15060083"/>
              <a:ext cx="1672166" cy="45508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𝐴𝑑𝑗𝑢𝑠𝑡𝑒𝑑 𝑆𝑆𝐸=𝑆𝑆𝐸/(𝑛−𝑝)^2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370417</xdr:colOff>
      <xdr:row>34</xdr:row>
      <xdr:rowOff>148166</xdr:rowOff>
    </xdr:from>
    <xdr:to>
      <xdr:col>3</xdr:col>
      <xdr:colOff>349250</xdr:colOff>
      <xdr:row>36</xdr:row>
      <xdr:rowOff>10583</xdr:rowOff>
    </xdr:to>
    <mc:AlternateContent xmlns:mc="http://schemas.openxmlformats.org/markup-compatibility/2006" xmlns:a14="http://schemas.microsoft.com/office/drawing/2010/main">
      <mc:Choice Requires="a14">
        <xdr:sp macro="" textlink="">
          <xdr:nvSpPr>
            <xdr:cNvPr id="12" name="TextBox 2">
              <a:extLst>
                <a:ext uri="{FF2B5EF4-FFF2-40B4-BE49-F238E27FC236}">
                  <a16:creationId xmlns:a16="http://schemas.microsoft.com/office/drawing/2014/main" id="{F15713B0-D2AF-C94E-B981-1117E71A5017}"/>
                </a:ext>
              </a:extLst>
            </xdr:cNvPr>
            <xdr:cNvSpPr txBox="1"/>
          </xdr:nvSpPr>
          <xdr:spPr>
            <a:xfrm>
              <a:off x="1195917" y="7154333"/>
              <a:ext cx="1629833" cy="264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𝑞</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e>
                        </m:d>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𝑓</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h</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oMath>
                </m:oMathPara>
              </a14:m>
              <a:endParaRPr lang="en-US" sz="1100">
                <a:solidFill>
                  <a:schemeClr val="tx1"/>
                </a:solidFill>
                <a:effectLst/>
                <a:latin typeface="+mn-lt"/>
                <a:ea typeface="+mn-ea"/>
                <a:cs typeface="+mn-cs"/>
              </a:endParaRPr>
            </a:p>
          </xdr:txBody>
        </xdr:sp>
      </mc:Choice>
      <mc:Fallback xmlns="">
        <xdr:sp macro="" textlink="">
          <xdr:nvSpPr>
            <xdr:cNvPr id="12" name="TextBox 2">
              <a:extLst>
                <a:ext uri="{FF2B5EF4-FFF2-40B4-BE49-F238E27FC236}">
                  <a16:creationId xmlns:a16="http://schemas.microsoft.com/office/drawing/2014/main" id="{F15713B0-D2AF-C94E-B981-1117E71A5017}"/>
                </a:ext>
              </a:extLst>
            </xdr:cNvPr>
            <xdr:cNvSpPr txBox="1"/>
          </xdr:nvSpPr>
          <xdr:spPr>
            <a:xfrm>
              <a:off x="1195917" y="7154333"/>
              <a:ext cx="1629833" cy="264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E[𝑞(𝑤,𝑑)]=𝑓(𝑑)×ℎ(𝑤)</a:t>
              </a:r>
              <a:endParaRPr lang="en-US" sz="1100">
                <a:solidFill>
                  <a:schemeClr val="tx1"/>
                </a:solidFill>
                <a:effectLst/>
                <a:latin typeface="+mn-lt"/>
                <a:ea typeface="+mn-ea"/>
                <a:cs typeface="+mn-cs"/>
              </a:endParaRPr>
            </a:p>
          </xdr:txBody>
        </xdr:sp>
      </mc:Fallback>
    </mc:AlternateContent>
    <xdr:clientData/>
  </xdr:twoCellAnchor>
  <xdr:oneCellAnchor>
    <xdr:from>
      <xdr:col>4</xdr:col>
      <xdr:colOff>423334</xdr:colOff>
      <xdr:row>34</xdr:row>
      <xdr:rowOff>179917</xdr:rowOff>
    </xdr:from>
    <xdr:ext cx="1905585" cy="19107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059332E-5BB8-1445-8396-CE6365918A22}"/>
                </a:ext>
              </a:extLst>
            </xdr:cNvPr>
            <xdr:cNvSpPr txBox="1"/>
          </xdr:nvSpPr>
          <xdr:spPr>
            <a:xfrm>
              <a:off x="3725334" y="7186084"/>
              <a:ext cx="190558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𝐼𝑛𝑐</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𝐴𝑌</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Sub>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𝑓</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𝑑</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h</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𝐴𝑌</m:t>
                        </m:r>
                      </m:e>
                    </m:d>
                    <m:r>
                      <m:rPr>
                        <m:nor/>
                      </m:rPr>
                      <a:rPr lang="en-US">
                        <a:effectLst/>
                      </a:rPr>
                      <m:t>  </m:t>
                    </m:r>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E059332E-5BB8-1445-8396-CE6365918A22}"/>
                </a:ext>
              </a:extLst>
            </xdr:cNvPr>
            <xdr:cNvSpPr txBox="1"/>
          </xdr:nvSpPr>
          <xdr:spPr>
            <a:xfrm>
              <a:off x="3725334" y="7186084"/>
              <a:ext cx="190558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E[𝐼𝑛𝑐〖𝐿𝑜𝑠𝑠〗_(𝐴𝑌,𝑑) ]=𝑓(𝑑)×ℎ(𝐴𝑌)</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2</xdr:col>
      <xdr:colOff>95251</xdr:colOff>
      <xdr:row>106</xdr:row>
      <xdr:rowOff>95250</xdr:rowOff>
    </xdr:from>
    <xdr:to>
      <xdr:col>3</xdr:col>
      <xdr:colOff>476250</xdr:colOff>
      <xdr:row>108</xdr:row>
      <xdr:rowOff>19264</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794A37CA-90E2-4045-B28F-33FAC8A5101E}"/>
                </a:ext>
              </a:extLst>
            </xdr:cNvPr>
            <xdr:cNvSpPr txBox="1"/>
          </xdr:nvSpPr>
          <xdr:spPr>
            <a:xfrm>
              <a:off x="1746251" y="20923250"/>
              <a:ext cx="1206499" cy="32618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𝐴𝐼𝐶</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𝑆𝑆𝐸</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𝑒</m:t>
                        </m:r>
                      </m:e>
                      <m:sup>
                        <m:f>
                          <m:fPr>
                            <m:type m:val="skw"/>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2</m:t>
                            </m:r>
                            <m:r>
                              <a:rPr lang="en-US" sz="1100" i="1">
                                <a:solidFill>
                                  <a:schemeClr val="tx1"/>
                                </a:solidFill>
                                <a:effectLst/>
                                <a:latin typeface="Cambria Math" panose="02040503050406030204" pitchFamily="18" charset="0"/>
                                <a:ea typeface="+mn-ea"/>
                                <a:cs typeface="+mn-cs"/>
                              </a:rPr>
                              <m:t>𝑝</m:t>
                            </m:r>
                          </m:num>
                          <m:den>
                            <m:r>
                              <a:rPr lang="en-US" sz="1100" i="1">
                                <a:solidFill>
                                  <a:schemeClr val="tx1"/>
                                </a:solidFill>
                                <a:effectLst/>
                                <a:latin typeface="Cambria Math" panose="02040503050406030204" pitchFamily="18" charset="0"/>
                                <a:ea typeface="+mn-ea"/>
                                <a:cs typeface="+mn-cs"/>
                              </a:rPr>
                              <m:t>𝑛</m:t>
                            </m:r>
                          </m:den>
                        </m:f>
                      </m:sup>
                    </m:sSup>
                  </m:oMath>
                </m:oMathPara>
              </a14:m>
              <a:endParaRPr lang="en-US"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794A37CA-90E2-4045-B28F-33FAC8A5101E}"/>
                </a:ext>
              </a:extLst>
            </xdr:cNvPr>
            <xdr:cNvSpPr txBox="1"/>
          </xdr:nvSpPr>
          <xdr:spPr>
            <a:xfrm>
              <a:off x="1746251" y="20923250"/>
              <a:ext cx="1206499" cy="32618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𝐴𝐼𝐶=𝑆𝑆𝐸×𝑒^(2𝑝⁄𝑛)</a:t>
              </a:r>
              <a:endParaRPr lang="en-US" sz="1100">
                <a:solidFill>
                  <a:schemeClr val="tx1"/>
                </a:solidFill>
                <a:effectLst/>
                <a:latin typeface="+mn-lt"/>
                <a:ea typeface="+mn-ea"/>
                <a:cs typeface="+mn-cs"/>
              </a:endParaRPr>
            </a:p>
          </xdr:txBody>
        </xdr:sp>
      </mc:Fallback>
    </mc:AlternateContent>
    <xdr:clientData/>
  </xdr:twoCellAnchor>
  <xdr:twoCellAnchor>
    <xdr:from>
      <xdr:col>4</xdr:col>
      <xdr:colOff>709084</xdr:colOff>
      <xdr:row>106</xdr:row>
      <xdr:rowOff>95249</xdr:rowOff>
    </xdr:from>
    <xdr:to>
      <xdr:col>6</xdr:col>
      <xdr:colOff>190501</xdr:colOff>
      <xdr:row>107</xdr:row>
      <xdr:rowOff>199828</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FF157F73-2FF3-ED48-85A9-144A29B470F1}"/>
                </a:ext>
              </a:extLst>
            </xdr:cNvPr>
            <xdr:cNvSpPr txBox="1"/>
          </xdr:nvSpPr>
          <xdr:spPr>
            <a:xfrm>
              <a:off x="4011084" y="20923249"/>
              <a:ext cx="1132417" cy="3056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𝐵𝐼𝐶</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𝑆𝑆𝐸</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𝑛</m:t>
                        </m:r>
                      </m:e>
                      <m:sup>
                        <m:f>
                          <m:fPr>
                            <m:type m:val="skw"/>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𝑝</m:t>
                            </m:r>
                          </m:num>
                          <m:den>
                            <m:r>
                              <a:rPr lang="en-US" sz="1100" i="1">
                                <a:solidFill>
                                  <a:schemeClr val="tx1"/>
                                </a:solidFill>
                                <a:effectLst/>
                                <a:latin typeface="Cambria Math" panose="02040503050406030204" pitchFamily="18" charset="0"/>
                                <a:ea typeface="+mn-ea"/>
                                <a:cs typeface="+mn-cs"/>
                              </a:rPr>
                              <m:t>𝑛</m:t>
                            </m:r>
                          </m:den>
                        </m:f>
                      </m:sup>
                    </m:sSup>
                  </m:oMath>
                </m:oMathPara>
              </a14:m>
              <a:endParaRPr lang="en-US" sz="1100">
                <a:solidFill>
                  <a:schemeClr val="tx1"/>
                </a:solidFill>
                <a:effectLst/>
                <a:latin typeface="+mn-lt"/>
                <a:ea typeface="+mn-ea"/>
                <a:cs typeface="+mn-cs"/>
              </a:endParaRPr>
            </a:p>
          </xdr:txBody>
        </xdr:sp>
      </mc:Choice>
      <mc:Fallback xmlns="">
        <xdr:sp macro="" textlink="">
          <xdr:nvSpPr>
            <xdr:cNvPr id="16" name="TextBox 2">
              <a:extLst>
                <a:ext uri="{FF2B5EF4-FFF2-40B4-BE49-F238E27FC236}">
                  <a16:creationId xmlns:a16="http://schemas.microsoft.com/office/drawing/2014/main" id="{FF157F73-2FF3-ED48-85A9-144A29B470F1}"/>
                </a:ext>
              </a:extLst>
            </xdr:cNvPr>
            <xdr:cNvSpPr txBox="1"/>
          </xdr:nvSpPr>
          <xdr:spPr>
            <a:xfrm>
              <a:off x="4011084" y="20923249"/>
              <a:ext cx="1132417" cy="3056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𝐵𝐼𝐶=𝑆𝑆𝐸×𝑛^(𝑝⁄𝑛)</a:t>
              </a:r>
              <a:endParaRPr lang="en-US" sz="1100">
                <a:solidFill>
                  <a:schemeClr val="tx1"/>
                </a:solidFill>
                <a:effectLst/>
                <a:latin typeface="+mn-lt"/>
                <a:ea typeface="+mn-ea"/>
                <a:cs typeface="+mn-cs"/>
              </a:endParaRP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18"/>
  <sheetViews>
    <sheetView showGridLines="0" tabSelected="1" zoomScale="120" zoomScaleNormal="120" workbookViewId="0"/>
  </sheetViews>
  <sheetFormatPr baseColWidth="10" defaultColWidth="10.83203125" defaultRowHeight="16" x14ac:dyDescent="0.2"/>
  <cols>
    <col min="1" max="11" width="10.83203125" style="64" customWidth="1"/>
    <col min="12" max="16384" width="10.83203125" style="64"/>
  </cols>
  <sheetData>
    <row r="1" spans="1:10" ht="19" x14ac:dyDescent="0.25">
      <c r="A1" s="1" t="s">
        <v>146</v>
      </c>
      <c r="B1" s="62"/>
      <c r="C1" s="62"/>
      <c r="D1" s="62"/>
      <c r="E1" s="62"/>
      <c r="F1" s="62"/>
      <c r="G1" s="62"/>
      <c r="H1" s="62"/>
      <c r="I1" s="62"/>
      <c r="J1" s="63"/>
    </row>
    <row r="2" spans="1:10" x14ac:dyDescent="0.2">
      <c r="A2" s="65"/>
      <c r="B2" s="62"/>
      <c r="C2" s="62"/>
      <c r="D2" s="62"/>
      <c r="E2" s="62"/>
      <c r="F2" s="62"/>
      <c r="G2" s="62"/>
      <c r="H2" s="62"/>
      <c r="I2" s="62"/>
      <c r="J2" s="63"/>
    </row>
    <row r="3" spans="1:10" x14ac:dyDescent="0.2">
      <c r="A3" s="5"/>
      <c r="B3" s="62" t="s">
        <v>1</v>
      </c>
      <c r="C3" s="62"/>
      <c r="D3" s="62"/>
      <c r="E3" s="62"/>
      <c r="F3" s="62"/>
      <c r="G3" s="62"/>
      <c r="H3" s="62"/>
      <c r="I3" s="62"/>
      <c r="J3" s="63"/>
    </row>
    <row r="4" spans="1:10" x14ac:dyDescent="0.2">
      <c r="A4" s="5"/>
      <c r="B4" s="62"/>
      <c r="C4" s="62"/>
      <c r="D4" s="62"/>
      <c r="E4" s="62"/>
      <c r="F4" s="62"/>
      <c r="G4" s="62"/>
      <c r="H4" s="62"/>
      <c r="I4" s="62"/>
      <c r="J4" s="63"/>
    </row>
    <row r="5" spans="1:10" x14ac:dyDescent="0.2">
      <c r="A5" s="5"/>
      <c r="B5" s="186" t="s">
        <v>3</v>
      </c>
      <c r="C5" s="183" t="s">
        <v>2</v>
      </c>
      <c r="D5" s="184"/>
      <c r="E5" s="184"/>
      <c r="F5" s="185"/>
      <c r="G5" s="33"/>
      <c r="H5" s="33"/>
      <c r="I5" s="62"/>
      <c r="J5" s="63"/>
    </row>
    <row r="6" spans="1:10" ht="34" x14ac:dyDescent="0.2">
      <c r="A6" s="5"/>
      <c r="B6" s="187"/>
      <c r="C6" s="27" t="s">
        <v>151</v>
      </c>
      <c r="D6" s="27" t="s">
        <v>152</v>
      </c>
      <c r="E6" s="27" t="s">
        <v>4</v>
      </c>
      <c r="F6" s="28" t="s">
        <v>5</v>
      </c>
      <c r="G6" s="6"/>
      <c r="H6" s="6"/>
      <c r="I6" s="62"/>
      <c r="J6" s="63"/>
    </row>
    <row r="7" spans="1:10" x14ac:dyDescent="0.2">
      <c r="A7" s="5"/>
      <c r="B7" s="30">
        <v>2019</v>
      </c>
      <c r="C7" s="21">
        <v>2.5</v>
      </c>
      <c r="D7" s="21">
        <v>1.4</v>
      </c>
      <c r="E7" s="21">
        <v>1.26</v>
      </c>
      <c r="F7" s="22">
        <v>1.08</v>
      </c>
      <c r="G7" s="6"/>
      <c r="H7" s="6"/>
      <c r="I7" s="62"/>
      <c r="J7" s="63"/>
    </row>
    <row r="8" spans="1:10" x14ac:dyDescent="0.2">
      <c r="A8" s="5"/>
      <c r="B8" s="31">
        <v>2020</v>
      </c>
      <c r="C8" s="23">
        <v>2.1</v>
      </c>
      <c r="D8" s="23">
        <v>1.2</v>
      </c>
      <c r="E8" s="23">
        <v>1.34</v>
      </c>
      <c r="F8" s="24">
        <v>1.05</v>
      </c>
      <c r="G8" s="6"/>
      <c r="H8" s="6"/>
      <c r="I8" s="62"/>
      <c r="J8" s="63"/>
    </row>
    <row r="9" spans="1:10" x14ac:dyDescent="0.2">
      <c r="A9" s="5"/>
      <c r="B9" s="31">
        <v>2021</v>
      </c>
      <c r="C9" s="23">
        <v>6.3</v>
      </c>
      <c r="D9" s="23">
        <v>1.62</v>
      </c>
      <c r="E9" s="23">
        <v>1.2</v>
      </c>
      <c r="F9" s="24"/>
      <c r="G9" s="6"/>
      <c r="H9" s="6"/>
      <c r="I9" s="62"/>
      <c r="J9" s="63"/>
    </row>
    <row r="10" spans="1:10" x14ac:dyDescent="0.2">
      <c r="A10" s="5"/>
      <c r="B10" s="31">
        <v>2022</v>
      </c>
      <c r="C10" s="23">
        <v>4.2</v>
      </c>
      <c r="D10" s="23">
        <v>1.45</v>
      </c>
      <c r="E10" s="23"/>
      <c r="F10" s="24"/>
      <c r="G10" s="6"/>
      <c r="H10" s="6"/>
      <c r="I10" s="62"/>
      <c r="J10" s="63"/>
    </row>
    <row r="11" spans="1:10" x14ac:dyDescent="0.2">
      <c r="A11" s="5"/>
      <c r="B11" s="32">
        <v>2023</v>
      </c>
      <c r="C11" s="25">
        <v>3.6</v>
      </c>
      <c r="D11" s="25"/>
      <c r="E11" s="25"/>
      <c r="F11" s="26"/>
      <c r="G11" s="6"/>
      <c r="H11" s="6"/>
      <c r="I11" s="62"/>
      <c r="J11" s="63"/>
    </row>
    <row r="12" spans="1:10" x14ac:dyDescent="0.2">
      <c r="A12" s="5"/>
      <c r="B12" s="62"/>
      <c r="C12" s="62"/>
      <c r="D12" s="62"/>
      <c r="E12" s="62"/>
      <c r="F12" s="62"/>
      <c r="G12" s="62"/>
      <c r="H12" s="62"/>
      <c r="I12" s="62"/>
      <c r="J12" s="63"/>
    </row>
    <row r="13" spans="1:10" ht="34" x14ac:dyDescent="0.2">
      <c r="A13" s="5"/>
      <c r="B13" s="62"/>
      <c r="C13" s="62"/>
      <c r="D13" s="29" t="s">
        <v>6</v>
      </c>
      <c r="E13" s="28" t="s">
        <v>7</v>
      </c>
      <c r="F13" s="62"/>
      <c r="G13" s="62"/>
      <c r="H13" s="62"/>
      <c r="I13" s="62"/>
      <c r="J13" s="63"/>
    </row>
    <row r="14" spans="1:10" x14ac:dyDescent="0.2">
      <c r="A14" s="5"/>
      <c r="B14" s="62"/>
      <c r="C14" s="62"/>
      <c r="D14" s="31">
        <v>1</v>
      </c>
      <c r="E14" s="114">
        <f>_xlfn.T.INV(0.95,D14)</f>
        <v>6.3137515146750376</v>
      </c>
      <c r="F14" s="62"/>
      <c r="G14" s="62"/>
      <c r="H14" s="62"/>
      <c r="I14" s="62"/>
      <c r="J14" s="63"/>
    </row>
    <row r="15" spans="1:10" x14ac:dyDescent="0.2">
      <c r="A15" s="5"/>
      <c r="B15" s="62"/>
      <c r="C15" s="62"/>
      <c r="D15" s="31">
        <v>2</v>
      </c>
      <c r="E15" s="114">
        <f>_xlfn.T.INV(0.95,D15)</f>
        <v>2.9199855803537247</v>
      </c>
      <c r="F15" s="62"/>
      <c r="G15" s="62"/>
      <c r="H15" s="62"/>
      <c r="I15" s="62"/>
      <c r="J15" s="63"/>
    </row>
    <row r="16" spans="1:10" x14ac:dyDescent="0.2">
      <c r="A16" s="5"/>
      <c r="B16" s="62"/>
      <c r="C16" s="62"/>
      <c r="D16" s="31">
        <v>3</v>
      </c>
      <c r="E16" s="114">
        <f t="shared" ref="E16:E18" si="0">_xlfn.T.INV(0.95,D16)</f>
        <v>2.3533634348018233</v>
      </c>
      <c r="F16" s="62"/>
      <c r="G16" s="62"/>
      <c r="H16" s="62"/>
      <c r="I16" s="62"/>
      <c r="J16" s="63"/>
    </row>
    <row r="17" spans="1:12" x14ac:dyDescent="0.2">
      <c r="A17" s="5"/>
      <c r="B17" s="62"/>
      <c r="C17" s="62"/>
      <c r="D17" s="31">
        <v>4</v>
      </c>
      <c r="E17" s="114">
        <f t="shared" si="0"/>
        <v>2.131846786326649</v>
      </c>
      <c r="F17" s="62"/>
      <c r="G17" s="62"/>
      <c r="H17" s="62"/>
      <c r="I17" s="62"/>
      <c r="J17" s="63"/>
    </row>
    <row r="18" spans="1:12" x14ac:dyDescent="0.2">
      <c r="A18" s="5"/>
      <c r="B18" s="62"/>
      <c r="C18" s="62"/>
      <c r="D18" s="32">
        <v>5</v>
      </c>
      <c r="E18" s="115">
        <f t="shared" si="0"/>
        <v>2.0150483733330233</v>
      </c>
      <c r="F18" s="62"/>
      <c r="G18" s="62"/>
      <c r="H18" s="62"/>
      <c r="I18" s="62"/>
      <c r="J18" s="63"/>
    </row>
    <row r="19" spans="1:12" x14ac:dyDescent="0.2">
      <c r="A19" s="5"/>
      <c r="B19" s="62"/>
      <c r="C19" s="62"/>
      <c r="D19" s="62"/>
      <c r="E19" s="62"/>
      <c r="F19" s="62"/>
      <c r="G19" s="62"/>
      <c r="H19" s="62"/>
      <c r="I19" s="62"/>
      <c r="J19" s="63"/>
    </row>
    <row r="20" spans="1:12" x14ac:dyDescent="0.2">
      <c r="A20" s="5"/>
      <c r="B20" s="62"/>
      <c r="C20" s="62"/>
      <c r="D20" s="62"/>
      <c r="E20" s="62"/>
      <c r="F20" s="62"/>
      <c r="G20" s="62"/>
      <c r="H20" s="62"/>
      <c r="I20" s="62"/>
      <c r="J20" s="63"/>
    </row>
    <row r="21" spans="1:12" x14ac:dyDescent="0.2">
      <c r="A21" s="5"/>
      <c r="B21" s="62" t="s">
        <v>8</v>
      </c>
      <c r="C21" s="62"/>
      <c r="D21" s="62"/>
      <c r="E21" s="62"/>
      <c r="F21" s="62"/>
      <c r="G21" s="62"/>
      <c r="H21" s="62"/>
      <c r="I21" s="62"/>
      <c r="J21" s="63"/>
    </row>
    <row r="22" spans="1:12" x14ac:dyDescent="0.2">
      <c r="A22" s="5"/>
      <c r="B22" s="62" t="s">
        <v>9</v>
      </c>
      <c r="C22" s="62"/>
      <c r="D22" s="62"/>
      <c r="E22" s="62"/>
      <c r="F22" s="62"/>
      <c r="G22" s="62"/>
      <c r="H22" s="62"/>
      <c r="I22" s="62"/>
      <c r="J22" s="63"/>
    </row>
    <row r="23" spans="1:12" ht="17" thickBot="1" x14ac:dyDescent="0.25">
      <c r="A23" s="66"/>
      <c r="B23" s="67"/>
      <c r="C23" s="68"/>
      <c r="D23" s="68"/>
      <c r="E23" s="68"/>
      <c r="F23" s="67"/>
      <c r="G23" s="67"/>
      <c r="H23" s="67"/>
      <c r="I23" s="67"/>
      <c r="J23" s="69"/>
    </row>
    <row r="25" spans="1:12" ht="19" x14ac:dyDescent="0.25">
      <c r="A25" s="2" t="s">
        <v>0</v>
      </c>
    </row>
    <row r="26" spans="1:12" x14ac:dyDescent="0.2">
      <c r="A26" s="20" t="s">
        <v>153</v>
      </c>
      <c r="B26" s="188" t="s">
        <v>163</v>
      </c>
      <c r="C26" s="188"/>
      <c r="D26" s="188"/>
      <c r="E26" s="188"/>
      <c r="F26" s="188"/>
      <c r="G26" s="188"/>
      <c r="H26" s="188"/>
      <c r="I26" s="188"/>
      <c r="L26" s="4"/>
    </row>
    <row r="27" spans="1:12" x14ac:dyDescent="0.2">
      <c r="A27" s="3"/>
      <c r="B27" s="188"/>
      <c r="C27" s="188"/>
      <c r="D27" s="188"/>
      <c r="E27" s="188"/>
      <c r="F27" s="188"/>
      <c r="G27" s="188"/>
      <c r="H27" s="188"/>
      <c r="I27" s="188"/>
      <c r="L27" s="4"/>
    </row>
    <row r="28" spans="1:12" x14ac:dyDescent="0.2">
      <c r="A28" s="3"/>
      <c r="C28" s="70"/>
      <c r="L28" s="4"/>
    </row>
    <row r="29" spans="1:12" ht="17" x14ac:dyDescent="0.2">
      <c r="C29" s="13" t="s">
        <v>10</v>
      </c>
      <c r="D29" s="7" t="s">
        <v>11</v>
      </c>
      <c r="L29" s="4"/>
    </row>
    <row r="30" spans="1:12" ht="17" x14ac:dyDescent="0.2">
      <c r="C30" s="11" t="s">
        <v>12</v>
      </c>
      <c r="D30" s="12" t="s">
        <v>13</v>
      </c>
      <c r="F30" s="9"/>
      <c r="L30" s="4"/>
    </row>
    <row r="31" spans="1:12" x14ac:dyDescent="0.2">
      <c r="C31" s="36">
        <f t="shared" ref="C31:D34" si="1">C7-1</f>
        <v>1.5</v>
      </c>
      <c r="D31" s="7">
        <f t="shared" si="1"/>
        <v>0.39999999999999991</v>
      </c>
      <c r="L31" s="4"/>
    </row>
    <row r="32" spans="1:12" x14ac:dyDescent="0.2">
      <c r="C32" s="13">
        <f t="shared" si="1"/>
        <v>1.1000000000000001</v>
      </c>
      <c r="D32" s="7">
        <f t="shared" si="1"/>
        <v>0.19999999999999996</v>
      </c>
      <c r="L32" s="4"/>
    </row>
    <row r="33" spans="1:12" x14ac:dyDescent="0.2">
      <c r="C33" s="13">
        <f t="shared" si="1"/>
        <v>5.3</v>
      </c>
      <c r="D33" s="7">
        <f t="shared" si="1"/>
        <v>0.62000000000000011</v>
      </c>
      <c r="L33" s="4"/>
    </row>
    <row r="34" spans="1:12" x14ac:dyDescent="0.2">
      <c r="C34" s="13">
        <f t="shared" si="1"/>
        <v>3.2</v>
      </c>
      <c r="D34" s="7">
        <f t="shared" si="1"/>
        <v>0.44999999999999996</v>
      </c>
      <c r="L34" s="4"/>
    </row>
    <row r="35" spans="1:12" x14ac:dyDescent="0.2">
      <c r="L35" s="4"/>
    </row>
    <row r="36" spans="1:12" x14ac:dyDescent="0.2">
      <c r="B36" s="9" t="s">
        <v>164</v>
      </c>
      <c r="L36" s="4"/>
    </row>
    <row r="37" spans="1:12" x14ac:dyDescent="0.2">
      <c r="B37" s="179" t="s">
        <v>167</v>
      </c>
      <c r="C37" s="179"/>
      <c r="D37" s="179"/>
      <c r="E37" s="179"/>
      <c r="F37" s="179"/>
      <c r="G37" s="179"/>
      <c r="H37" s="179"/>
      <c r="I37" s="179"/>
      <c r="L37" s="4"/>
    </row>
    <row r="38" spans="1:12" x14ac:dyDescent="0.2">
      <c r="B38" s="179"/>
      <c r="C38" s="179"/>
      <c r="D38" s="179"/>
      <c r="E38" s="179"/>
      <c r="F38" s="179"/>
      <c r="G38" s="179"/>
      <c r="H38" s="179"/>
      <c r="I38" s="179"/>
      <c r="L38" s="4"/>
    </row>
    <row r="40" spans="1:12" x14ac:dyDescent="0.2">
      <c r="A40" s="20" t="s">
        <v>154</v>
      </c>
      <c r="B40" s="9" t="s">
        <v>166</v>
      </c>
      <c r="C40" s="106"/>
      <c r="D40" s="107"/>
      <c r="E40" s="107"/>
      <c r="F40" s="107"/>
      <c r="G40" s="107"/>
      <c r="H40" s="107"/>
    </row>
    <row r="41" spans="1:12" x14ac:dyDescent="0.2">
      <c r="A41" s="20"/>
      <c r="B41" s="107"/>
      <c r="C41" s="107"/>
      <c r="D41" s="107"/>
      <c r="E41" s="107"/>
      <c r="F41" s="107"/>
      <c r="G41" s="107"/>
      <c r="H41" s="107"/>
    </row>
    <row r="42" spans="1:12" x14ac:dyDescent="0.2">
      <c r="A42" s="20"/>
      <c r="B42" s="111" t="s">
        <v>168</v>
      </c>
      <c r="C42" s="107"/>
      <c r="D42" s="107"/>
      <c r="E42" s="107"/>
      <c r="F42" s="107"/>
      <c r="G42" s="107"/>
      <c r="H42" s="107"/>
    </row>
    <row r="43" spans="1:12" x14ac:dyDescent="0.2">
      <c r="A43" s="20"/>
      <c r="B43" s="107" t="s">
        <v>169</v>
      </c>
      <c r="C43" s="107"/>
      <c r="D43" s="107"/>
      <c r="E43" s="107"/>
      <c r="F43" s="107"/>
      <c r="G43" s="107"/>
      <c r="H43" s="107"/>
    </row>
    <row r="44" spans="1:12" ht="17" thickBot="1" x14ac:dyDescent="0.25">
      <c r="A44" s="20"/>
      <c r="B44" s="107"/>
      <c r="C44" s="107"/>
      <c r="D44" s="107"/>
      <c r="E44" s="107"/>
      <c r="F44" s="107"/>
      <c r="G44" s="107"/>
      <c r="H44" s="107"/>
    </row>
    <row r="45" spans="1:12" ht="17" thickBot="1" x14ac:dyDescent="0.25">
      <c r="A45" s="20"/>
      <c r="B45" s="107"/>
      <c r="C45" s="112" t="s">
        <v>170</v>
      </c>
      <c r="D45" s="109">
        <f>CORREL(C31:C34,D31:D34)</f>
        <v>0.91852426829370237</v>
      </c>
      <c r="E45" s="107"/>
      <c r="F45" s="107"/>
      <c r="G45" s="107"/>
      <c r="H45" s="107"/>
    </row>
    <row r="46" spans="1:12" x14ac:dyDescent="0.2">
      <c r="C46" s="8"/>
    </row>
    <row r="47" spans="1:12" x14ac:dyDescent="0.2">
      <c r="A47" s="20" t="s">
        <v>155</v>
      </c>
      <c r="B47" s="9" t="s">
        <v>171</v>
      </c>
    </row>
    <row r="48" spans="1:12" x14ac:dyDescent="0.2">
      <c r="A48" s="3"/>
      <c r="C48" s="70"/>
    </row>
    <row r="53" spans="1:4" x14ac:dyDescent="0.2">
      <c r="C53" s="105" t="s">
        <v>16</v>
      </c>
      <c r="D53" s="105">
        <f>COUNT(C31:C34)</f>
        <v>4</v>
      </c>
    </row>
    <row r="54" spans="1:4" ht="17" thickBot="1" x14ac:dyDescent="0.25">
      <c r="C54" s="105"/>
      <c r="D54" s="105"/>
    </row>
    <row r="55" spans="1:4" ht="17" thickBot="1" x14ac:dyDescent="0.25">
      <c r="C55" s="117" t="s">
        <v>14</v>
      </c>
      <c r="D55" s="118">
        <f>D45*SQRT(($D$53-2)/(1-D45^2))</f>
        <v>3.2855482530523386</v>
      </c>
    </row>
    <row r="57" spans="1:4" x14ac:dyDescent="0.2">
      <c r="A57" s="20" t="s">
        <v>165</v>
      </c>
      <c r="B57" s="9" t="s">
        <v>156</v>
      </c>
    </row>
    <row r="58" spans="1:4" x14ac:dyDescent="0.2">
      <c r="A58" s="20"/>
      <c r="B58" s="9"/>
    </row>
    <row r="59" spans="1:4" x14ac:dyDescent="0.2">
      <c r="A59" s="20"/>
      <c r="B59" s="9"/>
    </row>
    <row r="60" spans="1:4" x14ac:dyDescent="0.2">
      <c r="A60" s="20"/>
      <c r="B60" s="9"/>
    </row>
    <row r="61" spans="1:4" x14ac:dyDescent="0.2">
      <c r="A61" s="20"/>
      <c r="B61" s="9"/>
    </row>
    <row r="62" spans="1:4" x14ac:dyDescent="0.2">
      <c r="A62" s="20"/>
      <c r="B62" s="9"/>
      <c r="C62" s="113" t="s">
        <v>172</v>
      </c>
      <c r="D62" s="105">
        <f>D53-2</f>
        <v>2</v>
      </c>
    </row>
    <row r="64" spans="1:4" ht="18" x14ac:dyDescent="0.25">
      <c r="C64" s="113" t="s">
        <v>173</v>
      </c>
      <c r="D64" s="116">
        <f>E15</f>
        <v>2.9199855803537247</v>
      </c>
    </row>
    <row r="66" spans="1:14" x14ac:dyDescent="0.2">
      <c r="B66" s="9" t="s">
        <v>174</v>
      </c>
    </row>
    <row r="67" spans="1:14" x14ac:dyDescent="0.2">
      <c r="B67" s="107" t="s">
        <v>17</v>
      </c>
    </row>
    <row r="68" spans="1:14" x14ac:dyDescent="0.2">
      <c r="B68" s="107" t="s">
        <v>15</v>
      </c>
    </row>
    <row r="69" spans="1:14" x14ac:dyDescent="0.2">
      <c r="M69" s="70"/>
    </row>
    <row r="70" spans="1:14" ht="19" x14ac:dyDescent="0.25">
      <c r="A70" s="2" t="s">
        <v>97</v>
      </c>
      <c r="L70" s="4"/>
      <c r="M70" s="4"/>
      <c r="N70" s="4"/>
    </row>
    <row r="71" spans="1:14" x14ac:dyDescent="0.2">
      <c r="B71" s="179" t="s">
        <v>176</v>
      </c>
      <c r="C71" s="180"/>
      <c r="D71" s="180"/>
      <c r="E71" s="180"/>
      <c r="F71" s="180"/>
      <c r="G71" s="180"/>
      <c r="H71" s="180"/>
      <c r="I71" s="180"/>
      <c r="L71" s="4"/>
      <c r="M71" s="4"/>
      <c r="N71" s="4"/>
    </row>
    <row r="72" spans="1:14" x14ac:dyDescent="0.2">
      <c r="B72" s="180"/>
      <c r="C72" s="180"/>
      <c r="D72" s="180"/>
      <c r="E72" s="180"/>
      <c r="F72" s="180"/>
      <c r="G72" s="180"/>
      <c r="H72" s="180"/>
      <c r="I72" s="180"/>
      <c r="L72" s="4"/>
      <c r="M72" s="4"/>
      <c r="N72" s="4"/>
    </row>
    <row r="73" spans="1:14" x14ac:dyDescent="0.2">
      <c r="B73" s="180"/>
      <c r="C73" s="180"/>
      <c r="D73" s="180"/>
      <c r="E73" s="180"/>
      <c r="F73" s="180"/>
      <c r="G73" s="180"/>
      <c r="H73" s="180"/>
      <c r="I73" s="180"/>
      <c r="L73" s="4"/>
      <c r="M73" s="4"/>
      <c r="N73" s="4"/>
    </row>
    <row r="74" spans="1:14" x14ac:dyDescent="0.2">
      <c r="B74" s="180"/>
      <c r="C74" s="180"/>
      <c r="D74" s="180"/>
      <c r="E74" s="180"/>
      <c r="F74" s="180"/>
      <c r="G74" s="180"/>
      <c r="H74" s="180"/>
      <c r="I74" s="180"/>
      <c r="L74" s="4"/>
      <c r="M74" s="4"/>
      <c r="N74" s="4"/>
    </row>
    <row r="75" spans="1:14" x14ac:dyDescent="0.2">
      <c r="B75" s="180"/>
      <c r="C75" s="180"/>
      <c r="D75" s="180"/>
      <c r="E75" s="180"/>
      <c r="F75" s="180"/>
      <c r="G75" s="180"/>
      <c r="H75" s="180"/>
      <c r="I75" s="180"/>
      <c r="L75" s="4"/>
      <c r="M75" s="4"/>
      <c r="N75" s="4"/>
    </row>
    <row r="76" spans="1:14" x14ac:dyDescent="0.2">
      <c r="B76" s="180"/>
      <c r="C76" s="180"/>
      <c r="D76" s="180"/>
      <c r="E76" s="180"/>
      <c r="F76" s="180"/>
      <c r="G76" s="180"/>
      <c r="H76" s="180"/>
      <c r="I76" s="180"/>
      <c r="L76" s="4"/>
      <c r="M76" s="4"/>
      <c r="N76" s="4"/>
    </row>
    <row r="77" spans="1:14" x14ac:dyDescent="0.2">
      <c r="B77" s="180"/>
      <c r="C77" s="180"/>
      <c r="D77" s="180"/>
      <c r="E77" s="180"/>
      <c r="F77" s="180"/>
      <c r="G77" s="180"/>
      <c r="H77" s="180"/>
      <c r="I77" s="180"/>
      <c r="L77" s="4"/>
      <c r="M77" s="4"/>
      <c r="N77" s="4"/>
    </row>
    <row r="78" spans="1:14" x14ac:dyDescent="0.2">
      <c r="M78" s="70"/>
    </row>
    <row r="79" spans="1:14" ht="19" x14ac:dyDescent="0.25">
      <c r="B79" s="19" t="s">
        <v>98</v>
      </c>
      <c r="L79" s="4"/>
      <c r="M79" s="4"/>
      <c r="N79" s="4"/>
    </row>
    <row r="80" spans="1:14" x14ac:dyDescent="0.2">
      <c r="B80" s="179" t="s">
        <v>177</v>
      </c>
      <c r="C80" s="180"/>
      <c r="D80" s="180"/>
      <c r="E80" s="180"/>
      <c r="F80" s="180"/>
      <c r="G80" s="180"/>
      <c r="H80" s="180"/>
      <c r="I80" s="180"/>
      <c r="L80" s="4"/>
      <c r="M80" s="4"/>
      <c r="N80" s="4"/>
    </row>
    <row r="81" spans="1:14" x14ac:dyDescent="0.2">
      <c r="B81" s="180"/>
      <c r="C81" s="180"/>
      <c r="D81" s="180"/>
      <c r="E81" s="180"/>
      <c r="F81" s="180"/>
      <c r="G81" s="180"/>
      <c r="H81" s="180"/>
      <c r="I81" s="180"/>
      <c r="L81" s="4"/>
      <c r="M81" s="4"/>
      <c r="N81" s="4"/>
    </row>
    <row r="82" spans="1:14" x14ac:dyDescent="0.2">
      <c r="B82" s="180"/>
      <c r="C82" s="180"/>
      <c r="D82" s="180"/>
      <c r="E82" s="180"/>
      <c r="F82" s="180"/>
      <c r="G82" s="180"/>
      <c r="H82" s="180"/>
      <c r="I82" s="180"/>
      <c r="L82" s="4"/>
      <c r="M82" s="4"/>
      <c r="N82" s="4"/>
    </row>
    <row r="83" spans="1:14" x14ac:dyDescent="0.2">
      <c r="B83" s="180"/>
      <c r="C83" s="180"/>
      <c r="D83" s="180"/>
      <c r="E83" s="180"/>
      <c r="F83" s="180"/>
      <c r="G83" s="180"/>
      <c r="H83" s="180"/>
      <c r="I83" s="180"/>
      <c r="L83" s="4"/>
      <c r="M83" s="4"/>
      <c r="N83" s="4"/>
    </row>
    <row r="84" spans="1:14" x14ac:dyDescent="0.2">
      <c r="B84" s="180"/>
      <c r="C84" s="180"/>
      <c r="D84" s="180"/>
      <c r="E84" s="180"/>
      <c r="F84" s="180"/>
      <c r="G84" s="180"/>
      <c r="H84" s="180"/>
      <c r="I84" s="180"/>
      <c r="L84" s="4"/>
      <c r="M84" s="4"/>
      <c r="N84" s="4"/>
    </row>
    <row r="85" spans="1:14" x14ac:dyDescent="0.2">
      <c r="B85" s="180"/>
      <c r="C85" s="180"/>
      <c r="D85" s="180"/>
      <c r="E85" s="180"/>
      <c r="F85" s="180"/>
      <c r="G85" s="180"/>
      <c r="H85" s="180"/>
      <c r="I85" s="180"/>
      <c r="L85" s="4"/>
      <c r="M85" s="4"/>
      <c r="N85" s="4"/>
    </row>
    <row r="86" spans="1:14" x14ac:dyDescent="0.2">
      <c r="B86" s="180"/>
      <c r="C86" s="180"/>
      <c r="D86" s="180"/>
      <c r="E86" s="180"/>
      <c r="F86" s="180"/>
      <c r="G86" s="180"/>
      <c r="H86" s="180"/>
      <c r="I86" s="180"/>
      <c r="L86" s="4"/>
      <c r="M86" s="4"/>
      <c r="N86" s="4"/>
    </row>
    <row r="87" spans="1:14" x14ac:dyDescent="0.2">
      <c r="B87" s="180"/>
      <c r="C87" s="180"/>
      <c r="D87" s="180"/>
      <c r="E87" s="180"/>
      <c r="F87" s="180"/>
      <c r="G87" s="180"/>
      <c r="H87" s="180"/>
      <c r="I87" s="180"/>
      <c r="L87" s="4"/>
      <c r="M87" s="4"/>
      <c r="N87" s="4"/>
    </row>
    <row r="88" spans="1:14" ht="16" customHeight="1" x14ac:dyDescent="0.25">
      <c r="B88" s="19"/>
      <c r="L88" s="4"/>
      <c r="M88" s="4"/>
      <c r="N88" s="4"/>
    </row>
    <row r="89" spans="1:14" x14ac:dyDescent="0.2">
      <c r="A89" s="20" t="s">
        <v>153</v>
      </c>
      <c r="B89" s="9" t="s">
        <v>159</v>
      </c>
      <c r="L89" s="4"/>
      <c r="M89" s="4"/>
      <c r="N89" s="4"/>
    </row>
    <row r="90" spans="1:14" x14ac:dyDescent="0.2">
      <c r="B90" s="9"/>
      <c r="L90" s="4"/>
      <c r="M90" s="4"/>
      <c r="N90" s="4"/>
    </row>
    <row r="91" spans="1:14" ht="16" customHeight="1" x14ac:dyDescent="0.2">
      <c r="C91" s="189" t="s">
        <v>99</v>
      </c>
      <c r="D91" s="191" t="s">
        <v>135</v>
      </c>
      <c r="E91" s="181" t="s">
        <v>136</v>
      </c>
      <c r="F91" s="181" t="s">
        <v>137</v>
      </c>
      <c r="L91" s="4"/>
      <c r="M91" s="4"/>
      <c r="N91" s="4"/>
    </row>
    <row r="92" spans="1:14" x14ac:dyDescent="0.2">
      <c r="C92" s="190"/>
      <c r="D92" s="192"/>
      <c r="E92" s="182"/>
      <c r="F92" s="182"/>
      <c r="L92" s="4"/>
      <c r="M92" s="4"/>
      <c r="N92" s="4"/>
    </row>
    <row r="93" spans="1:14" x14ac:dyDescent="0.2">
      <c r="C93" s="73" t="s">
        <v>178</v>
      </c>
      <c r="D93" s="8">
        <f>CORREL($C$7:$C$10,$D$7:$D$10)</f>
        <v>0.91852426829370237</v>
      </c>
      <c r="E93" s="8">
        <f>CORREL($D$7:$D$9,$E$7:$E$9)</f>
        <v>-0.99398041253568648</v>
      </c>
      <c r="F93" s="8">
        <f>CORREL($C$7:$C$9,$E$7:$E$9)</f>
        <v>-0.86806546801693663</v>
      </c>
      <c r="L93" s="4"/>
      <c r="M93" s="4"/>
      <c r="N93" s="4"/>
    </row>
    <row r="94" spans="1:14" x14ac:dyDescent="0.2">
      <c r="M94" s="70"/>
    </row>
    <row r="95" spans="1:14" x14ac:dyDescent="0.2">
      <c r="A95" s="20" t="s">
        <v>154</v>
      </c>
      <c r="B95" s="9" t="s">
        <v>158</v>
      </c>
      <c r="L95" s="4"/>
      <c r="M95" s="4"/>
      <c r="N95" s="4"/>
    </row>
    <row r="96" spans="1:14" x14ac:dyDescent="0.2">
      <c r="B96" s="9" t="s">
        <v>126</v>
      </c>
      <c r="L96" s="4"/>
      <c r="M96" s="4"/>
      <c r="N96" s="4"/>
    </row>
    <row r="97" spans="1:65" x14ac:dyDescent="0.2">
      <c r="B97" s="9"/>
      <c r="L97" s="4"/>
      <c r="M97" s="4"/>
      <c r="N97" s="4"/>
    </row>
    <row r="98" spans="1:65" x14ac:dyDescent="0.2">
      <c r="C98" s="189" t="s">
        <v>99</v>
      </c>
      <c r="D98" s="181" t="s">
        <v>135</v>
      </c>
      <c r="E98" s="181" t="s">
        <v>136</v>
      </c>
      <c r="F98" s="181" t="s">
        <v>137</v>
      </c>
      <c r="M98" s="4"/>
      <c r="N98" s="4"/>
      <c r="O98" s="4"/>
    </row>
    <row r="99" spans="1:65" x14ac:dyDescent="0.2">
      <c r="C99" s="190"/>
      <c r="D99" s="182"/>
      <c r="E99" s="182"/>
      <c r="F99" s="182"/>
      <c r="M99" s="4"/>
      <c r="N99" s="4"/>
      <c r="O99" s="4"/>
    </row>
    <row r="100" spans="1:65" ht="17" x14ac:dyDescent="0.2">
      <c r="C100" s="71" t="s">
        <v>100</v>
      </c>
      <c r="D100" s="72">
        <f>D93*SQRT((D101-2)/(1-D93^2))</f>
        <v>3.2855482530523386</v>
      </c>
      <c r="E100" s="72">
        <f>E93*SQRT((E101-2)/(1-E93^2))</f>
        <v>-9.0726470872655742</v>
      </c>
      <c r="F100" s="72">
        <f>F93*SQRT((F101-2)/(1-F93^2))</f>
        <v>-1.7485465295457234</v>
      </c>
      <c r="M100" s="4"/>
      <c r="N100" s="4"/>
      <c r="O100" s="4"/>
    </row>
    <row r="101" spans="1:65" x14ac:dyDescent="0.2">
      <c r="C101" s="73" t="s">
        <v>101</v>
      </c>
      <c r="D101" s="7">
        <v>4</v>
      </c>
      <c r="E101" s="7">
        <v>3</v>
      </c>
      <c r="F101" s="7">
        <v>3</v>
      </c>
      <c r="M101" s="4"/>
      <c r="N101" s="4"/>
      <c r="O101" s="4"/>
    </row>
    <row r="102" spans="1:65" ht="19" x14ac:dyDescent="0.2">
      <c r="C102" s="74" t="s">
        <v>162</v>
      </c>
      <c r="D102" s="119">
        <f>E15</f>
        <v>2.9199855803537247</v>
      </c>
      <c r="E102" s="119">
        <f>$E$14</f>
        <v>6.3137515146750376</v>
      </c>
      <c r="F102" s="119">
        <f>$E$14</f>
        <v>6.3137515146750376</v>
      </c>
      <c r="M102" s="4"/>
      <c r="N102" s="4"/>
      <c r="O102" s="4"/>
    </row>
    <row r="103" spans="1:65" ht="17" x14ac:dyDescent="0.2">
      <c r="C103" s="13" t="s">
        <v>95</v>
      </c>
      <c r="D103" s="7" t="b">
        <f>ABS(D100)&gt;D102</f>
        <v>1</v>
      </c>
      <c r="E103" s="7" t="b">
        <f>ABS(E100)&gt;E102</f>
        <v>1</v>
      </c>
      <c r="F103" s="7" t="b">
        <f>ABS(F100)&gt;F102</f>
        <v>0</v>
      </c>
      <c r="M103" s="4"/>
      <c r="N103" s="4"/>
      <c r="O103" s="4"/>
    </row>
    <row r="104" spans="1:65" x14ac:dyDescent="0.2">
      <c r="C104" s="7"/>
      <c r="D104" s="7"/>
      <c r="E104" s="7"/>
      <c r="F104" s="7"/>
      <c r="M104" s="4"/>
      <c r="N104" s="4"/>
      <c r="O104" s="4"/>
    </row>
    <row r="105" spans="1:65" ht="17" x14ac:dyDescent="0.2">
      <c r="B105" s="120" t="s">
        <v>160</v>
      </c>
      <c r="C105" s="7"/>
      <c r="D105" s="7"/>
      <c r="E105" s="7"/>
      <c r="L105" s="4"/>
      <c r="M105" s="4"/>
      <c r="N105" s="4"/>
    </row>
    <row r="106" spans="1:65" ht="18" customHeight="1" x14ac:dyDescent="0.2">
      <c r="B106" s="179" t="s">
        <v>179</v>
      </c>
      <c r="C106" s="179"/>
      <c r="D106" s="179"/>
      <c r="E106" s="179"/>
      <c r="F106" s="179"/>
      <c r="G106" s="179"/>
      <c r="H106" s="179"/>
      <c r="I106" s="179"/>
      <c r="L106" s="4"/>
      <c r="M106" s="4"/>
      <c r="N106" s="4"/>
    </row>
    <row r="107" spans="1:65" x14ac:dyDescent="0.2">
      <c r="B107" s="179"/>
      <c r="C107" s="179"/>
      <c r="D107" s="179"/>
      <c r="E107" s="179"/>
      <c r="F107" s="179"/>
      <c r="G107" s="179"/>
      <c r="H107" s="179"/>
      <c r="I107" s="179"/>
      <c r="M107" s="70"/>
    </row>
    <row r="108" spans="1:65" x14ac:dyDescent="0.2">
      <c r="A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75" t="s">
        <v>155</v>
      </c>
      <c r="B109" s="9" t="s">
        <v>157</v>
      </c>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9" t="s">
        <v>127</v>
      </c>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9" t="s">
        <v>128</v>
      </c>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9" t="s">
        <v>129</v>
      </c>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ht="17" thickBot="1" x14ac:dyDescent="0.25">
      <c r="A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ht="17" thickBot="1" x14ac:dyDescent="0.25">
      <c r="A115" s="4"/>
      <c r="D115" s="76"/>
      <c r="F115" s="117" t="s">
        <v>138</v>
      </c>
      <c r="G115" s="121">
        <f>COUNT(D100:F100)</f>
        <v>3</v>
      </c>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64" t="s">
        <v>103</v>
      </c>
      <c r="D116" s="76"/>
      <c r="F116" s="105"/>
      <c r="G116" s="105"/>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ht="18" x14ac:dyDescent="0.25">
      <c r="A117" s="4"/>
      <c r="D117" s="76"/>
      <c r="F117" s="110" t="s">
        <v>180</v>
      </c>
      <c r="G117" s="122">
        <f>0.1*G115+SQRT(G115)</f>
        <v>2.0320508075688775</v>
      </c>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64" t="s">
        <v>104</v>
      </c>
      <c r="D118" s="76"/>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64" t="s">
        <v>105</v>
      </c>
      <c r="D119" s="76"/>
      <c r="F119" s="64" t="s">
        <v>106</v>
      </c>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D120" s="76"/>
      <c r="F120" s="64" t="s">
        <v>130</v>
      </c>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D121" s="76"/>
      <c r="F121" s="64" t="s">
        <v>131</v>
      </c>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D122" s="76"/>
      <c r="F122" s="64" t="s">
        <v>132</v>
      </c>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64" t="s">
        <v>102</v>
      </c>
      <c r="D123" s="76"/>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D124" s="76"/>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ht="19" x14ac:dyDescent="0.25">
      <c r="A126" s="2" t="s">
        <v>245</v>
      </c>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179" t="s">
        <v>175</v>
      </c>
      <c r="C127" s="180"/>
      <c r="D127" s="180"/>
      <c r="E127" s="180"/>
      <c r="F127" s="180"/>
      <c r="G127" s="180"/>
      <c r="H127" s="180"/>
      <c r="I127" s="180"/>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180"/>
      <c r="C128" s="180"/>
      <c r="D128" s="180"/>
      <c r="E128" s="180"/>
      <c r="F128" s="180"/>
      <c r="G128" s="180"/>
      <c r="H128" s="180"/>
      <c r="I128" s="180"/>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180"/>
      <c r="C129" s="180"/>
      <c r="D129" s="180"/>
      <c r="E129" s="180"/>
      <c r="F129" s="180"/>
      <c r="G129" s="180"/>
      <c r="H129" s="180"/>
      <c r="I129" s="180"/>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180"/>
      <c r="C130" s="180"/>
      <c r="D130" s="180"/>
      <c r="E130" s="180"/>
      <c r="F130" s="180"/>
      <c r="G130" s="180"/>
      <c r="H130" s="180"/>
      <c r="I130" s="180"/>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180"/>
      <c r="C131" s="180"/>
      <c r="D131" s="180"/>
      <c r="E131" s="180"/>
      <c r="F131" s="180"/>
      <c r="G131" s="180"/>
      <c r="H131" s="180"/>
      <c r="I131" s="180"/>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ht="19" x14ac:dyDescent="0.25">
      <c r="A133" s="2" t="s">
        <v>107</v>
      </c>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64" t="s">
        <v>108</v>
      </c>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ht="19" x14ac:dyDescent="0.25">
      <c r="A136" s="2" t="s">
        <v>109</v>
      </c>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64" t="s">
        <v>110</v>
      </c>
      <c r="C137" s="4"/>
      <c r="D137" s="64" t="s">
        <v>113</v>
      </c>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64" t="s">
        <v>111</v>
      </c>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64" t="s">
        <v>112</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sheetData>
  <mergeCells count="16">
    <mergeCell ref="B127:I131"/>
    <mergeCell ref="B80:I87"/>
    <mergeCell ref="F91:F92"/>
    <mergeCell ref="B106:I107"/>
    <mergeCell ref="C5:F5"/>
    <mergeCell ref="B5:B6"/>
    <mergeCell ref="B26:I27"/>
    <mergeCell ref="C98:C99"/>
    <mergeCell ref="D98:D99"/>
    <mergeCell ref="E98:E99"/>
    <mergeCell ref="F98:F99"/>
    <mergeCell ref="E91:E92"/>
    <mergeCell ref="D91:D92"/>
    <mergeCell ref="C91:C92"/>
    <mergeCell ref="B37:I38"/>
    <mergeCell ref="B71:I77"/>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214"/>
  <sheetViews>
    <sheetView showGridLines="0" zoomScale="120" zoomScaleNormal="120" workbookViewId="0"/>
  </sheetViews>
  <sheetFormatPr baseColWidth="10" defaultColWidth="10.83203125" defaultRowHeight="16" x14ac:dyDescent="0.2"/>
  <cols>
    <col min="1" max="11" width="10.83203125" style="64" customWidth="1"/>
    <col min="12" max="16384" width="10.83203125" style="64"/>
  </cols>
  <sheetData>
    <row r="1" spans="1:10" ht="19" x14ac:dyDescent="0.25">
      <c r="A1" s="1" t="s">
        <v>147</v>
      </c>
      <c r="B1" s="62"/>
      <c r="C1" s="62"/>
      <c r="D1" s="62"/>
      <c r="E1" s="62"/>
      <c r="F1" s="62"/>
      <c r="G1" s="62"/>
      <c r="H1" s="62"/>
      <c r="I1" s="62"/>
      <c r="J1" s="63"/>
    </row>
    <row r="2" spans="1:10" x14ac:dyDescent="0.2">
      <c r="A2" s="65"/>
      <c r="B2" s="62"/>
      <c r="C2" s="62"/>
      <c r="D2" s="62"/>
      <c r="E2" s="62"/>
      <c r="F2" s="62"/>
      <c r="G2" s="62"/>
      <c r="H2" s="62"/>
      <c r="I2" s="62"/>
      <c r="J2" s="63"/>
    </row>
    <row r="3" spans="1:10" x14ac:dyDescent="0.2">
      <c r="A3" s="5"/>
      <c r="B3" s="62" t="s">
        <v>1</v>
      </c>
      <c r="C3" s="62"/>
      <c r="D3" s="62"/>
      <c r="E3" s="62"/>
      <c r="F3" s="62"/>
      <c r="G3" s="62"/>
      <c r="H3" s="62"/>
      <c r="I3" s="62"/>
      <c r="J3" s="63"/>
    </row>
    <row r="4" spans="1:10" x14ac:dyDescent="0.2">
      <c r="A4" s="5"/>
      <c r="B4" s="62"/>
      <c r="C4" s="62"/>
      <c r="D4" s="62"/>
      <c r="E4" s="62"/>
      <c r="F4" s="62"/>
      <c r="G4" s="62"/>
      <c r="H4" s="62"/>
      <c r="I4" s="62"/>
      <c r="J4" s="63"/>
    </row>
    <row r="5" spans="1:10" x14ac:dyDescent="0.2">
      <c r="A5" s="5"/>
      <c r="B5" s="62"/>
      <c r="C5" s="194" t="s">
        <v>44</v>
      </c>
      <c r="D5" s="184"/>
      <c r="E5" s="184"/>
      <c r="F5" s="185"/>
      <c r="G5" s="62"/>
      <c r="H5" s="62"/>
      <c r="I5" s="62"/>
      <c r="J5" s="63"/>
    </row>
    <row r="6" spans="1:10" x14ac:dyDescent="0.2">
      <c r="A6" s="5"/>
      <c r="B6" s="62"/>
      <c r="C6" s="195" t="s">
        <v>3</v>
      </c>
      <c r="D6" s="44"/>
      <c r="E6" s="45"/>
      <c r="F6" s="46"/>
      <c r="G6" s="62"/>
      <c r="H6" s="62"/>
      <c r="I6" s="62"/>
      <c r="J6" s="63"/>
    </row>
    <row r="7" spans="1:10" ht="17" x14ac:dyDescent="0.2">
      <c r="A7" s="5"/>
      <c r="B7" s="62"/>
      <c r="C7" s="196"/>
      <c r="D7" s="47" t="s">
        <v>19</v>
      </c>
      <c r="E7" s="48" t="s">
        <v>20</v>
      </c>
      <c r="F7" s="49" t="s">
        <v>21</v>
      </c>
      <c r="G7" s="62"/>
      <c r="H7" s="62"/>
      <c r="I7" s="62"/>
      <c r="J7" s="63"/>
    </row>
    <row r="8" spans="1:10" x14ac:dyDescent="0.2">
      <c r="A8" s="5"/>
      <c r="B8" s="62"/>
      <c r="C8" s="30">
        <v>2021</v>
      </c>
      <c r="D8" s="37">
        <v>12080</v>
      </c>
      <c r="E8" s="38">
        <v>2470</v>
      </c>
      <c r="F8" s="39">
        <v>860</v>
      </c>
      <c r="G8" s="62"/>
      <c r="H8" s="62"/>
      <c r="I8" s="62"/>
      <c r="J8" s="63"/>
    </row>
    <row r="9" spans="1:10" x14ac:dyDescent="0.2">
      <c r="A9" s="5"/>
      <c r="B9" s="62"/>
      <c r="C9" s="31">
        <v>2022</v>
      </c>
      <c r="D9" s="40">
        <v>15830</v>
      </c>
      <c r="E9" s="41">
        <v>4320</v>
      </c>
      <c r="F9" s="34"/>
      <c r="G9" s="62"/>
      <c r="H9" s="62"/>
      <c r="I9" s="62"/>
      <c r="J9" s="63"/>
    </row>
    <row r="10" spans="1:10" x14ac:dyDescent="0.2">
      <c r="A10" s="5"/>
      <c r="B10" s="62"/>
      <c r="C10" s="32">
        <v>2023</v>
      </c>
      <c r="D10" s="42">
        <v>25580</v>
      </c>
      <c r="E10" s="43"/>
      <c r="F10" s="35"/>
      <c r="G10" s="62"/>
      <c r="H10" s="62"/>
      <c r="I10" s="62"/>
      <c r="J10" s="63"/>
    </row>
    <row r="11" spans="1:10" x14ac:dyDescent="0.2">
      <c r="A11" s="5"/>
      <c r="B11" s="62"/>
      <c r="C11" s="62"/>
      <c r="D11" s="62"/>
      <c r="E11" s="62"/>
      <c r="F11" s="62"/>
      <c r="G11" s="62"/>
      <c r="H11" s="62"/>
      <c r="I11" s="62"/>
      <c r="J11" s="63"/>
    </row>
    <row r="12" spans="1:10" x14ac:dyDescent="0.2">
      <c r="A12" s="5"/>
      <c r="B12" s="62"/>
      <c r="C12" s="62"/>
      <c r="D12" s="62"/>
      <c r="E12" s="62"/>
      <c r="F12" s="62"/>
      <c r="G12" s="62"/>
      <c r="H12" s="62"/>
      <c r="I12" s="62"/>
      <c r="J12" s="63"/>
    </row>
    <row r="13" spans="1:10" x14ac:dyDescent="0.2">
      <c r="A13" s="5"/>
      <c r="B13" s="80" t="s">
        <v>141</v>
      </c>
      <c r="C13" s="62"/>
      <c r="D13" s="62"/>
      <c r="E13" s="62"/>
      <c r="F13" s="62"/>
      <c r="G13" s="62"/>
      <c r="H13" s="62"/>
      <c r="I13" s="62"/>
      <c r="J13" s="63"/>
    </row>
    <row r="14" spans="1:10" x14ac:dyDescent="0.2">
      <c r="A14" s="5"/>
      <c r="B14" s="80" t="s">
        <v>142</v>
      </c>
      <c r="C14" s="62"/>
      <c r="D14" s="62"/>
      <c r="E14" s="62"/>
      <c r="F14" s="62"/>
      <c r="G14" s="62"/>
      <c r="H14" s="62"/>
      <c r="I14" s="62"/>
      <c r="J14" s="63"/>
    </row>
    <row r="15" spans="1:10" x14ac:dyDescent="0.2">
      <c r="A15" s="5"/>
      <c r="B15" s="135" t="s">
        <v>143</v>
      </c>
      <c r="C15" s="62"/>
      <c r="D15" s="62"/>
      <c r="E15" s="62"/>
      <c r="F15" s="62"/>
      <c r="G15" s="62"/>
      <c r="H15" s="62"/>
      <c r="I15" s="62"/>
      <c r="J15" s="63"/>
    </row>
    <row r="16" spans="1:10" x14ac:dyDescent="0.2">
      <c r="A16" s="5"/>
      <c r="B16" s="62"/>
      <c r="C16" s="62"/>
      <c r="D16" s="62"/>
      <c r="E16" s="62"/>
      <c r="F16" s="62"/>
      <c r="G16" s="62"/>
      <c r="H16" s="62"/>
      <c r="I16" s="62"/>
      <c r="J16" s="63"/>
    </row>
    <row r="17" spans="1:12" x14ac:dyDescent="0.2">
      <c r="A17" s="5"/>
      <c r="B17" s="62"/>
      <c r="C17" s="62"/>
      <c r="D17" s="62"/>
      <c r="E17" s="62"/>
      <c r="F17" s="62"/>
      <c r="G17" s="62"/>
      <c r="H17" s="62"/>
      <c r="I17" s="62"/>
      <c r="J17" s="63"/>
    </row>
    <row r="18" spans="1:12" x14ac:dyDescent="0.2">
      <c r="A18" s="5"/>
      <c r="B18" s="123" t="s">
        <v>182</v>
      </c>
      <c r="C18" s="62"/>
      <c r="D18" s="62"/>
      <c r="E18" s="62"/>
      <c r="F18" s="62"/>
      <c r="G18" s="62"/>
      <c r="H18" s="62"/>
      <c r="I18" s="62"/>
      <c r="J18" s="63"/>
    </row>
    <row r="19" spans="1:12" ht="17" thickBot="1" x14ac:dyDescent="0.25">
      <c r="A19" s="66"/>
      <c r="B19" s="67"/>
      <c r="C19" s="68"/>
      <c r="D19" s="68"/>
      <c r="E19" s="68"/>
      <c r="F19" s="67"/>
      <c r="G19" s="67"/>
      <c r="H19" s="67"/>
      <c r="I19" s="67"/>
      <c r="J19" s="69"/>
    </row>
    <row r="21" spans="1:12" ht="19" x14ac:dyDescent="0.25">
      <c r="A21" s="2" t="s">
        <v>0</v>
      </c>
    </row>
    <row r="22" spans="1:12" s="107" customFormat="1" x14ac:dyDescent="0.2">
      <c r="A22" s="20" t="s">
        <v>153</v>
      </c>
      <c r="B22" s="9" t="s">
        <v>184</v>
      </c>
      <c r="C22" s="106"/>
    </row>
    <row r="23" spans="1:12" s="107" customFormat="1" x14ac:dyDescent="0.2">
      <c r="A23" s="20"/>
      <c r="L23" s="4"/>
    </row>
    <row r="24" spans="1:12" s="107" customFormat="1" x14ac:dyDescent="0.2">
      <c r="A24" s="20"/>
      <c r="B24" s="179" t="s">
        <v>199</v>
      </c>
      <c r="C24" s="179"/>
      <c r="D24" s="179"/>
      <c r="E24" s="179"/>
      <c r="F24" s="179"/>
      <c r="G24" s="179"/>
      <c r="H24" s="179"/>
      <c r="I24" s="179"/>
      <c r="L24" s="4"/>
    </row>
    <row r="25" spans="1:12" s="107" customFormat="1" x14ac:dyDescent="0.2">
      <c r="A25" s="20"/>
      <c r="B25" s="179"/>
      <c r="C25" s="179"/>
      <c r="D25" s="179"/>
      <c r="E25" s="179"/>
      <c r="F25" s="179"/>
      <c r="G25" s="179"/>
      <c r="H25" s="179"/>
      <c r="I25" s="179"/>
      <c r="L25" s="4"/>
    </row>
    <row r="26" spans="1:12" s="107" customFormat="1" x14ac:dyDescent="0.2">
      <c r="A26" s="20"/>
      <c r="L26" s="4"/>
    </row>
    <row r="27" spans="1:12" s="107" customFormat="1" x14ac:dyDescent="0.2">
      <c r="A27" s="20"/>
      <c r="C27" s="134" t="s">
        <v>25</v>
      </c>
      <c r="D27" s="105">
        <v>0</v>
      </c>
      <c r="E27" s="105">
        <v>1</v>
      </c>
      <c r="F27" s="128">
        <v>2</v>
      </c>
      <c r="L27" s="4"/>
    </row>
    <row r="28" spans="1:12" s="107" customFormat="1" x14ac:dyDescent="0.2">
      <c r="A28" s="20"/>
      <c r="C28" s="131" t="s">
        <v>198</v>
      </c>
      <c r="D28" s="129" t="s">
        <v>58</v>
      </c>
      <c r="E28" s="130" t="s">
        <v>55</v>
      </c>
      <c r="F28" s="130" t="s">
        <v>197</v>
      </c>
      <c r="L28" s="4"/>
    </row>
    <row r="29" spans="1:12" s="107" customFormat="1" x14ac:dyDescent="0.2">
      <c r="A29" s="20"/>
      <c r="C29" s="95" t="s">
        <v>22</v>
      </c>
      <c r="D29" s="116">
        <f>SUM(D8:E9)/SUM(D8:D9)</f>
        <v>1.2432819777857398</v>
      </c>
      <c r="E29" s="116">
        <f>SUM(D8:F8)/SUM(D8:E8)</f>
        <v>1.059106529209622</v>
      </c>
      <c r="F29" s="133">
        <v>1</v>
      </c>
      <c r="L29" s="4"/>
    </row>
    <row r="30" spans="1:12" s="107" customFormat="1" x14ac:dyDescent="0.2">
      <c r="A30" s="20"/>
      <c r="C30" s="95" t="s">
        <v>23</v>
      </c>
      <c r="D30" s="116">
        <f>D29*E30</f>
        <v>1.3167680603215293</v>
      </c>
      <c r="E30" s="116">
        <f>E29*F30</f>
        <v>1.059106529209622</v>
      </c>
      <c r="F30" s="133">
        <f>F29</f>
        <v>1</v>
      </c>
      <c r="L30" s="4"/>
    </row>
    <row r="31" spans="1:12" s="107" customFormat="1" x14ac:dyDescent="0.2">
      <c r="A31" s="20"/>
      <c r="C31" s="93" t="s">
        <v>24</v>
      </c>
      <c r="D31" s="132">
        <f>1/D30</f>
        <v>0.75943518842325153</v>
      </c>
      <c r="E31" s="132">
        <f t="shared" ref="E31:F31" si="0">1/E30</f>
        <v>0.94419208306294611</v>
      </c>
      <c r="F31" s="132">
        <f t="shared" si="0"/>
        <v>1</v>
      </c>
      <c r="L31" s="4"/>
    </row>
    <row r="32" spans="1:12" s="107" customFormat="1" x14ac:dyDescent="0.2">
      <c r="A32" s="20"/>
      <c r="C32" s="95" t="s">
        <v>26</v>
      </c>
      <c r="D32" s="101">
        <f>D31</f>
        <v>0.75943518842325153</v>
      </c>
      <c r="E32" s="101">
        <f>E31-D31</f>
        <v>0.18475689463969458</v>
      </c>
      <c r="F32" s="101">
        <f>F31-E31</f>
        <v>5.5807916937053892E-2</v>
      </c>
      <c r="L32" s="4"/>
    </row>
    <row r="33" spans="1:12" s="107" customFormat="1" x14ac:dyDescent="0.2">
      <c r="A33" s="20"/>
      <c r="C33" s="105"/>
      <c r="D33" s="101"/>
      <c r="E33" s="101"/>
      <c r="F33" s="101"/>
      <c r="L33" s="4"/>
    </row>
    <row r="34" spans="1:12" s="107" customFormat="1" ht="16" customHeight="1" x14ac:dyDescent="0.2">
      <c r="A34" s="20" t="s">
        <v>154</v>
      </c>
      <c r="B34" s="127" t="s">
        <v>185</v>
      </c>
      <c r="C34" s="127"/>
      <c r="D34" s="127"/>
      <c r="E34" s="127"/>
      <c r="F34" s="127"/>
      <c r="G34" s="127"/>
      <c r="H34" s="127"/>
      <c r="I34" s="127"/>
    </row>
    <row r="35" spans="1:12" s="107" customFormat="1" x14ac:dyDescent="0.2">
      <c r="A35" s="20"/>
      <c r="L35" s="4"/>
    </row>
    <row r="36" spans="1:12" s="107" customFormat="1" x14ac:dyDescent="0.2">
      <c r="A36" s="20"/>
      <c r="L36" s="4"/>
    </row>
    <row r="37" spans="1:12" s="107" customFormat="1" x14ac:dyDescent="0.2">
      <c r="A37" s="20"/>
      <c r="L37" s="4"/>
    </row>
    <row r="38" spans="1:12" s="107" customFormat="1" x14ac:dyDescent="0.2">
      <c r="A38" s="20"/>
      <c r="L38" s="4"/>
    </row>
    <row r="39" spans="1:12" s="107" customFormat="1" x14ac:dyDescent="0.2">
      <c r="A39" s="20"/>
      <c r="C39" s="131" t="s">
        <v>200</v>
      </c>
      <c r="D39" s="130" t="s">
        <v>28</v>
      </c>
      <c r="L39" s="4"/>
    </row>
    <row r="40" spans="1:12" s="107" customFormat="1" x14ac:dyDescent="0.2">
      <c r="A40" s="20"/>
      <c r="C40" s="95">
        <f>C8</f>
        <v>2021</v>
      </c>
      <c r="D40" s="136">
        <f>SUMPRODUCT($D$32:$F$32,$D8:$F8)/SUMSQ($D$32:$F$32)</f>
        <v>15762.958239723954</v>
      </c>
      <c r="L40" s="4"/>
    </row>
    <row r="41" spans="1:12" s="107" customFormat="1" x14ac:dyDescent="0.2">
      <c r="A41" s="20"/>
      <c r="C41" s="95">
        <f>C9</f>
        <v>2022</v>
      </c>
      <c r="D41" s="136">
        <f>SUMPRODUCT($D$32:$E$32,$D9:$E9)/SUMSQ($D$32:$E$32)</f>
        <v>20986.238784962534</v>
      </c>
      <c r="L41" s="4"/>
    </row>
    <row r="42" spans="1:12" s="107" customFormat="1" x14ac:dyDescent="0.2">
      <c r="A42" s="20"/>
      <c r="C42" s="95">
        <f>C10</f>
        <v>2023</v>
      </c>
      <c r="D42" s="136">
        <f>SUMPRODUCT($D$32,$D10)/SUMSQ($D$32)</f>
        <v>33682.926983024714</v>
      </c>
      <c r="L42" s="4"/>
    </row>
    <row r="43" spans="1:12" s="107" customFormat="1" x14ac:dyDescent="0.2">
      <c r="A43" s="20"/>
      <c r="L43" s="4"/>
    </row>
    <row r="44" spans="1:12" s="107" customFormat="1" x14ac:dyDescent="0.2">
      <c r="A44" s="20" t="s">
        <v>155</v>
      </c>
      <c r="B44" s="9" t="s">
        <v>186</v>
      </c>
      <c r="C44" s="106"/>
    </row>
    <row r="45" spans="1:12" s="107" customFormat="1" x14ac:dyDescent="0.2">
      <c r="A45" s="20"/>
      <c r="L45" s="4"/>
    </row>
    <row r="46" spans="1:12" s="107" customFormat="1" x14ac:dyDescent="0.2">
      <c r="A46" s="20"/>
      <c r="L46" s="4"/>
    </row>
    <row r="47" spans="1:12" s="107" customFormat="1" x14ac:dyDescent="0.2">
      <c r="A47" s="20"/>
      <c r="L47" s="4"/>
    </row>
    <row r="48" spans="1:12" s="107" customFormat="1" x14ac:dyDescent="0.2">
      <c r="A48" s="20"/>
      <c r="L48" s="4"/>
    </row>
    <row r="49" spans="1:12" s="107" customFormat="1" x14ac:dyDescent="0.2">
      <c r="A49" s="20"/>
      <c r="C49" s="93" t="s">
        <v>25</v>
      </c>
      <c r="D49" s="94">
        <v>12</v>
      </c>
      <c r="E49" s="94">
        <v>24</v>
      </c>
      <c r="F49" s="94">
        <v>36</v>
      </c>
      <c r="L49" s="4"/>
    </row>
    <row r="50" spans="1:12" s="107" customFormat="1" x14ac:dyDescent="0.2">
      <c r="A50" s="20"/>
      <c r="C50" s="95" t="s">
        <v>26</v>
      </c>
      <c r="D50" s="101">
        <f>SUMPRODUCT($D$40:$D$42,D$8:D$10)/SUMSQ($D$40:$D$42)</f>
        <v>0.75913852622821154</v>
      </c>
      <c r="E50" s="101">
        <f>SUMPRODUCT($D$40:$D$41,E$8:E$9)/SUMSQ($D$40:$D$41)</f>
        <v>0.18812071698063459</v>
      </c>
      <c r="F50" s="101">
        <f>SUMPRODUCT($D$40,F$8)/SUMSQ($D$40)</f>
        <v>5.4558287024622648E-2</v>
      </c>
      <c r="L50" s="4"/>
    </row>
    <row r="51" spans="1:12" s="107" customFormat="1" x14ac:dyDescent="0.2">
      <c r="A51" s="20"/>
      <c r="L51" s="4"/>
    </row>
    <row r="52" spans="1:12" s="107" customFormat="1" ht="16" customHeight="1" x14ac:dyDescent="0.2">
      <c r="A52" s="20" t="s">
        <v>165</v>
      </c>
      <c r="B52" s="127" t="s">
        <v>29</v>
      </c>
      <c r="C52" s="127"/>
      <c r="D52" s="127"/>
      <c r="E52" s="127"/>
      <c r="F52" s="127"/>
      <c r="G52" s="127"/>
      <c r="H52" s="127"/>
      <c r="I52" s="127"/>
    </row>
    <row r="53" spans="1:12" s="107" customFormat="1" x14ac:dyDescent="0.2">
      <c r="A53" s="20"/>
      <c r="L53" s="4"/>
    </row>
    <row r="54" spans="1:12" s="107" customFormat="1" x14ac:dyDescent="0.2">
      <c r="A54" s="20"/>
      <c r="E54" s="64"/>
      <c r="F54" s="64"/>
      <c r="L54" s="4"/>
    </row>
    <row r="55" spans="1:12" s="107" customFormat="1" x14ac:dyDescent="0.2">
      <c r="A55" s="20"/>
      <c r="L55" s="4"/>
    </row>
    <row r="56" spans="1:12" x14ac:dyDescent="0.2">
      <c r="L56" s="4"/>
    </row>
    <row r="57" spans="1:12" x14ac:dyDescent="0.2">
      <c r="C57" s="93" t="s">
        <v>27</v>
      </c>
      <c r="D57" s="94">
        <v>12</v>
      </c>
      <c r="E57" s="94">
        <v>24</v>
      </c>
      <c r="F57" s="94">
        <v>36</v>
      </c>
      <c r="H57" s="94" t="s">
        <v>28</v>
      </c>
      <c r="L57" s="4"/>
    </row>
    <row r="58" spans="1:12" x14ac:dyDescent="0.2">
      <c r="C58" s="95">
        <f>C8</f>
        <v>2021</v>
      </c>
      <c r="D58" s="96"/>
      <c r="E58" s="96"/>
      <c r="F58" s="96"/>
      <c r="H58" s="102">
        <f>D40</f>
        <v>15762.958239723954</v>
      </c>
    </row>
    <row r="59" spans="1:12" x14ac:dyDescent="0.2">
      <c r="C59" s="95">
        <f>C9</f>
        <v>2022</v>
      </c>
      <c r="D59" s="96"/>
      <c r="E59" s="208"/>
      <c r="F59" s="209">
        <f t="shared" ref="D58:F60" si="1">$H59*F$62</f>
        <v>1144.9732391972541</v>
      </c>
      <c r="H59" s="102">
        <f>D41</f>
        <v>20986.238784962534</v>
      </c>
    </row>
    <row r="60" spans="1:12" x14ac:dyDescent="0.2">
      <c r="C60" s="95">
        <f>C10</f>
        <v>2023</v>
      </c>
      <c r="D60" s="96"/>
      <c r="E60" s="209">
        <f t="shared" si="1"/>
        <v>6336.4563740529729</v>
      </c>
      <c r="F60" s="208">
        <f t="shared" si="1"/>
        <v>1837.6827981692693</v>
      </c>
      <c r="H60" s="102">
        <f>D42</f>
        <v>33682.926983024714</v>
      </c>
    </row>
    <row r="62" spans="1:12" x14ac:dyDescent="0.2">
      <c r="C62" s="95" t="s">
        <v>26</v>
      </c>
      <c r="D62" s="81">
        <f>D50</f>
        <v>0.75913852622821154</v>
      </c>
      <c r="E62" s="81">
        <f>E50</f>
        <v>0.18812071698063459</v>
      </c>
      <c r="F62" s="81">
        <f>F50</f>
        <v>5.4558287024622648E-2</v>
      </c>
    </row>
    <row r="63" spans="1:12" ht="17" thickBot="1" x14ac:dyDescent="0.25"/>
    <row r="64" spans="1:12" ht="17" thickBot="1" x14ac:dyDescent="0.25">
      <c r="E64" s="108" t="s">
        <v>181</v>
      </c>
      <c r="F64" s="103">
        <f>SUM(E60:F60)</f>
        <v>8174.1391722222425</v>
      </c>
    </row>
    <row r="66" spans="1:14" ht="19" x14ac:dyDescent="0.25">
      <c r="A66" s="2" t="s">
        <v>97</v>
      </c>
      <c r="M66" s="70"/>
    </row>
    <row r="67" spans="1:14" x14ac:dyDescent="0.2">
      <c r="B67" s="179" t="s">
        <v>202</v>
      </c>
      <c r="C67" s="180"/>
      <c r="D67" s="180"/>
      <c r="E67" s="180"/>
      <c r="F67" s="180"/>
      <c r="G67" s="180"/>
      <c r="H67" s="180"/>
      <c r="I67" s="180"/>
      <c r="L67" s="4"/>
      <c r="M67" s="4"/>
      <c r="N67" s="4"/>
    </row>
    <row r="68" spans="1:14" x14ac:dyDescent="0.2">
      <c r="B68" s="180"/>
      <c r="C68" s="180"/>
      <c r="D68" s="180"/>
      <c r="E68" s="180"/>
      <c r="F68" s="180"/>
      <c r="G68" s="180"/>
      <c r="H68" s="180"/>
      <c r="I68" s="180"/>
      <c r="L68" s="4"/>
      <c r="M68" s="4"/>
      <c r="N68" s="4"/>
    </row>
    <row r="69" spans="1:14" x14ac:dyDescent="0.2">
      <c r="B69" s="180"/>
      <c r="C69" s="180"/>
      <c r="D69" s="180"/>
      <c r="E69" s="180"/>
      <c r="F69" s="180"/>
      <c r="G69" s="180"/>
      <c r="H69" s="180"/>
      <c r="I69" s="180"/>
      <c r="L69" s="4"/>
      <c r="M69" s="4"/>
      <c r="N69" s="4"/>
    </row>
    <row r="70" spans="1:14" x14ac:dyDescent="0.2">
      <c r="B70" s="180"/>
      <c r="C70" s="180"/>
      <c r="D70" s="180"/>
      <c r="E70" s="180"/>
      <c r="F70" s="180"/>
      <c r="G70" s="180"/>
      <c r="H70" s="180"/>
      <c r="I70" s="180"/>
      <c r="L70" s="4"/>
      <c r="M70" s="4"/>
      <c r="N70" s="4"/>
    </row>
    <row r="71" spans="1:14" x14ac:dyDescent="0.2">
      <c r="B71" s="180"/>
      <c r="C71" s="180"/>
      <c r="D71" s="180"/>
      <c r="E71" s="180"/>
      <c r="F71" s="180"/>
      <c r="G71" s="180"/>
      <c r="H71" s="180"/>
      <c r="I71" s="180"/>
      <c r="L71" s="4"/>
      <c r="M71" s="4"/>
      <c r="N71" s="4"/>
    </row>
    <row r="72" spans="1:14" x14ac:dyDescent="0.2">
      <c r="B72" s="180"/>
      <c r="C72" s="180"/>
      <c r="D72" s="180"/>
      <c r="E72" s="180"/>
      <c r="F72" s="180"/>
      <c r="G72" s="180"/>
      <c r="H72" s="180"/>
      <c r="I72" s="180"/>
      <c r="L72" s="4"/>
      <c r="M72" s="4"/>
      <c r="N72" s="4"/>
    </row>
    <row r="73" spans="1:14" x14ac:dyDescent="0.2">
      <c r="B73" s="180"/>
      <c r="C73" s="180"/>
      <c r="D73" s="180"/>
      <c r="E73" s="180"/>
      <c r="F73" s="180"/>
      <c r="G73" s="180"/>
      <c r="H73" s="180"/>
      <c r="I73" s="180"/>
      <c r="L73" s="4"/>
      <c r="M73" s="4"/>
      <c r="N73" s="4"/>
    </row>
    <row r="74" spans="1:14" x14ac:dyDescent="0.2">
      <c r="B74" s="180"/>
      <c r="C74" s="180"/>
      <c r="D74" s="180"/>
      <c r="E74" s="180"/>
      <c r="F74" s="180"/>
      <c r="G74" s="180"/>
      <c r="H74" s="180"/>
      <c r="I74" s="180"/>
      <c r="L74" s="4"/>
      <c r="M74" s="4"/>
      <c r="N74" s="4"/>
    </row>
    <row r="75" spans="1:14" x14ac:dyDescent="0.2">
      <c r="B75" s="180"/>
      <c r="C75" s="180"/>
      <c r="D75" s="180"/>
      <c r="E75" s="180"/>
      <c r="F75" s="180"/>
      <c r="G75" s="180"/>
      <c r="H75" s="180"/>
      <c r="I75" s="180"/>
      <c r="L75" s="4"/>
      <c r="M75" s="4"/>
      <c r="N75" s="4"/>
    </row>
    <row r="76" spans="1:14" x14ac:dyDescent="0.2">
      <c r="B76" s="180"/>
      <c r="C76" s="180"/>
      <c r="D76" s="180"/>
      <c r="E76" s="180"/>
      <c r="F76" s="180"/>
      <c r="G76" s="180"/>
      <c r="H76" s="180"/>
      <c r="I76" s="180"/>
      <c r="L76" s="4"/>
      <c r="M76" s="4"/>
      <c r="N76" s="4"/>
    </row>
    <row r="77" spans="1:14" x14ac:dyDescent="0.2">
      <c r="B77" s="180"/>
      <c r="C77" s="180"/>
      <c r="D77" s="180"/>
      <c r="E77" s="180"/>
      <c r="F77" s="180"/>
      <c r="G77" s="180"/>
      <c r="H77" s="180"/>
      <c r="I77" s="180"/>
      <c r="L77" s="4"/>
      <c r="M77" s="4"/>
      <c r="N77" s="4"/>
    </row>
    <row r="78" spans="1:14" x14ac:dyDescent="0.2">
      <c r="B78" s="180"/>
      <c r="C78" s="180"/>
      <c r="D78" s="180"/>
      <c r="E78" s="180"/>
      <c r="F78" s="180"/>
      <c r="G78" s="180"/>
      <c r="H78" s="180"/>
      <c r="I78" s="180"/>
      <c r="L78" s="4"/>
      <c r="M78" s="4"/>
      <c r="N78" s="4"/>
    </row>
    <row r="79" spans="1:14" x14ac:dyDescent="0.2">
      <c r="B79" s="180"/>
      <c r="C79" s="180"/>
      <c r="D79" s="180"/>
      <c r="E79" s="180"/>
      <c r="F79" s="180"/>
      <c r="G79" s="180"/>
      <c r="H79" s="180"/>
      <c r="I79" s="180"/>
      <c r="L79" s="4"/>
      <c r="M79" s="4"/>
      <c r="N79" s="4"/>
    </row>
    <row r="80" spans="1:14" x14ac:dyDescent="0.2">
      <c r="M80" s="70"/>
    </row>
    <row r="81" spans="1:14" ht="19" x14ac:dyDescent="0.25">
      <c r="B81" s="19" t="s">
        <v>140</v>
      </c>
      <c r="M81" s="70"/>
    </row>
    <row r="82" spans="1:14" x14ac:dyDescent="0.2">
      <c r="B82" s="179" t="s">
        <v>203</v>
      </c>
      <c r="C82" s="180"/>
      <c r="D82" s="180"/>
      <c r="E82" s="180"/>
      <c r="F82" s="180"/>
      <c r="G82" s="180"/>
      <c r="H82" s="180"/>
      <c r="I82" s="180"/>
      <c r="L82" s="4"/>
      <c r="M82" s="4"/>
      <c r="N82" s="4"/>
    </row>
    <row r="83" spans="1:14" x14ac:dyDescent="0.2">
      <c r="B83" s="180"/>
      <c r="C83" s="180"/>
      <c r="D83" s="180"/>
      <c r="E83" s="180"/>
      <c r="F83" s="180"/>
      <c r="G83" s="180"/>
      <c r="H83" s="180"/>
      <c r="I83" s="180"/>
      <c r="L83" s="4"/>
      <c r="M83" s="4"/>
      <c r="N83" s="4"/>
    </row>
    <row r="84" spans="1:14" x14ac:dyDescent="0.2">
      <c r="B84" s="180"/>
      <c r="C84" s="180"/>
      <c r="D84" s="180"/>
      <c r="E84" s="180"/>
      <c r="F84" s="180"/>
      <c r="G84" s="180"/>
      <c r="H84" s="180"/>
      <c r="I84" s="180"/>
      <c r="L84" s="4"/>
      <c r="M84" s="4"/>
      <c r="N84" s="4"/>
    </row>
    <row r="85" spans="1:14" x14ac:dyDescent="0.2">
      <c r="L85" s="4"/>
      <c r="M85" s="4"/>
      <c r="N85" s="4"/>
    </row>
    <row r="86" spans="1:14" x14ac:dyDescent="0.2">
      <c r="L86" s="4"/>
      <c r="M86" s="4"/>
      <c r="N86" s="4"/>
    </row>
    <row r="87" spans="1:14" x14ac:dyDescent="0.2">
      <c r="E87" s="193" t="s">
        <v>139</v>
      </c>
      <c r="F87" s="193"/>
      <c r="G87" s="193"/>
      <c r="H87" s="193"/>
      <c r="L87" s="4"/>
      <c r="M87" s="4"/>
      <c r="N87" s="4"/>
    </row>
    <row r="88" spans="1:14" x14ac:dyDescent="0.2">
      <c r="E88" s="93" t="s">
        <v>27</v>
      </c>
      <c r="F88" s="94">
        <v>12</v>
      </c>
      <c r="G88" s="94">
        <v>24</v>
      </c>
      <c r="H88" s="94">
        <v>36</v>
      </c>
      <c r="L88" s="4"/>
      <c r="M88" s="4"/>
      <c r="N88" s="4"/>
    </row>
    <row r="89" spans="1:14" x14ac:dyDescent="0.2">
      <c r="E89" s="95">
        <f>C8</f>
        <v>2021</v>
      </c>
      <c r="F89" s="100">
        <f>D$32</f>
        <v>0.75943518842325153</v>
      </c>
      <c r="G89" s="100">
        <f>E$32</f>
        <v>0.18475689463969458</v>
      </c>
      <c r="H89" s="100">
        <f>F$32</f>
        <v>5.5807916937053892E-2</v>
      </c>
      <c r="L89" s="4"/>
      <c r="M89" s="4"/>
      <c r="N89" s="4"/>
    </row>
    <row r="90" spans="1:14" x14ac:dyDescent="0.2">
      <c r="E90" s="95">
        <f>C9</f>
        <v>2022</v>
      </c>
      <c r="F90" s="100">
        <f>D$32</f>
        <v>0.75943518842325153</v>
      </c>
      <c r="G90" s="100">
        <f>E$32</f>
        <v>0.18475689463969458</v>
      </c>
      <c r="H90" s="104"/>
      <c r="L90" s="4"/>
      <c r="M90" s="4"/>
      <c r="N90" s="4"/>
    </row>
    <row r="91" spans="1:14" x14ac:dyDescent="0.2">
      <c r="E91" s="95">
        <f>C10</f>
        <v>2023</v>
      </c>
      <c r="F91" s="100">
        <f>D$32</f>
        <v>0.75943518842325153</v>
      </c>
      <c r="G91" s="104"/>
      <c r="H91" s="104"/>
      <c r="L91" s="4"/>
      <c r="M91" s="4"/>
      <c r="N91" s="4"/>
    </row>
    <row r="92" spans="1:14" ht="17" thickBot="1" x14ac:dyDescent="0.25">
      <c r="L92" s="4"/>
      <c r="M92" s="4"/>
      <c r="N92" s="4"/>
    </row>
    <row r="93" spans="1:14" ht="20" thickBot="1" x14ac:dyDescent="0.25">
      <c r="E93" s="112" t="s">
        <v>201</v>
      </c>
      <c r="F93" s="139">
        <f>SUMPRODUCT($F$89:$H$91,$D$8:$F$10)/SUMSQ($F$89:$H$91)</f>
        <v>23270.673801167657</v>
      </c>
      <c r="L93" s="4"/>
      <c r="M93" s="4"/>
      <c r="N93" s="4"/>
    </row>
    <row r="94" spans="1:14" x14ac:dyDescent="0.2">
      <c r="L94" s="4"/>
      <c r="M94" s="4"/>
      <c r="N94" s="4"/>
    </row>
    <row r="95" spans="1:14" ht="19" x14ac:dyDescent="0.25">
      <c r="A95" s="2" t="s">
        <v>245</v>
      </c>
      <c r="L95" s="4"/>
      <c r="M95" s="4"/>
      <c r="N95" s="4"/>
    </row>
    <row r="96" spans="1:14" x14ac:dyDescent="0.2">
      <c r="B96" s="179" t="s">
        <v>204</v>
      </c>
      <c r="C96" s="180"/>
      <c r="D96" s="180"/>
      <c r="E96" s="180"/>
      <c r="F96" s="180"/>
      <c r="G96" s="180"/>
      <c r="H96" s="180"/>
      <c r="I96" s="180"/>
      <c r="L96" s="4"/>
      <c r="M96" s="4"/>
      <c r="N96" s="4"/>
    </row>
    <row r="97" spans="1:14" x14ac:dyDescent="0.2">
      <c r="B97" s="180"/>
      <c r="C97" s="180"/>
      <c r="D97" s="180"/>
      <c r="E97" s="180"/>
      <c r="F97" s="180"/>
      <c r="G97" s="180"/>
      <c r="H97" s="180"/>
      <c r="I97" s="180"/>
      <c r="L97" s="4"/>
      <c r="M97" s="4"/>
      <c r="N97" s="4"/>
    </row>
    <row r="98" spans="1:14" x14ac:dyDescent="0.2">
      <c r="L98" s="4"/>
      <c r="M98" s="4"/>
      <c r="N98" s="4"/>
    </row>
    <row r="99" spans="1:14" ht="19" x14ac:dyDescent="0.25">
      <c r="A99" s="2" t="s">
        <v>107</v>
      </c>
      <c r="L99" s="4"/>
      <c r="M99" s="4"/>
      <c r="N99" s="4"/>
    </row>
    <row r="100" spans="1:14" x14ac:dyDescent="0.2">
      <c r="B100" s="64" t="s">
        <v>114</v>
      </c>
      <c r="L100" s="4"/>
      <c r="M100" s="4"/>
      <c r="N100" s="4"/>
    </row>
    <row r="101" spans="1:14" x14ac:dyDescent="0.2">
      <c r="L101" s="4"/>
      <c r="M101" s="4"/>
      <c r="N101" s="4"/>
    </row>
    <row r="102" spans="1:14" ht="19" x14ac:dyDescent="0.25">
      <c r="A102" s="2" t="s">
        <v>109</v>
      </c>
      <c r="M102" s="70"/>
    </row>
    <row r="103" spans="1:14" x14ac:dyDescent="0.2">
      <c r="B103" s="64" t="s">
        <v>115</v>
      </c>
      <c r="L103" s="4"/>
      <c r="M103" s="4"/>
      <c r="N103" s="4"/>
    </row>
    <row r="104" spans="1:14" x14ac:dyDescent="0.2">
      <c r="L104" s="4"/>
      <c r="M104" s="4"/>
      <c r="N104" s="4"/>
    </row>
    <row r="105" spans="1:14" x14ac:dyDescent="0.2">
      <c r="L105" s="4"/>
      <c r="M105" s="4"/>
      <c r="N105" s="4"/>
    </row>
    <row r="106" spans="1:14" x14ac:dyDescent="0.2">
      <c r="L106" s="4"/>
      <c r="M106" s="4"/>
      <c r="N106" s="4"/>
    </row>
    <row r="107" spans="1:14" x14ac:dyDescent="0.2">
      <c r="L107" s="4"/>
      <c r="M107" s="4"/>
      <c r="N107" s="4"/>
    </row>
    <row r="108" spans="1:14" x14ac:dyDescent="0.2">
      <c r="L108" s="4"/>
      <c r="M108" s="4"/>
      <c r="N108" s="4"/>
    </row>
    <row r="109" spans="1:14" x14ac:dyDescent="0.2">
      <c r="L109" s="4"/>
      <c r="M109" s="4"/>
      <c r="N109" s="4"/>
    </row>
    <row r="110" spans="1:14" x14ac:dyDescent="0.2">
      <c r="L110" s="4"/>
      <c r="M110" s="4"/>
      <c r="N110" s="4"/>
    </row>
    <row r="111" spans="1:14" x14ac:dyDescent="0.2">
      <c r="L111" s="4"/>
      <c r="M111" s="4"/>
      <c r="N111" s="4"/>
    </row>
    <row r="112" spans="1:14" x14ac:dyDescent="0.2">
      <c r="M112" s="70"/>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sheetData>
  <mergeCells count="7">
    <mergeCell ref="E87:H87"/>
    <mergeCell ref="B67:I79"/>
    <mergeCell ref="B82:I84"/>
    <mergeCell ref="B96:I97"/>
    <mergeCell ref="C5:F5"/>
    <mergeCell ref="C6:C7"/>
    <mergeCell ref="B24:I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202"/>
  <sheetViews>
    <sheetView showGridLines="0" zoomScale="120" zoomScaleNormal="120" workbookViewId="0"/>
  </sheetViews>
  <sheetFormatPr baseColWidth="10" defaultColWidth="10.83203125" defaultRowHeight="16" x14ac:dyDescent="0.2"/>
  <cols>
    <col min="1" max="2" width="10.83203125" style="64" customWidth="1"/>
    <col min="3" max="3" width="11.33203125" style="64" customWidth="1"/>
    <col min="4" max="4" width="11.6640625" style="64" customWidth="1"/>
    <col min="5" max="11" width="10.83203125" style="64" customWidth="1"/>
    <col min="12" max="16384" width="10.83203125" style="64"/>
  </cols>
  <sheetData>
    <row r="1" spans="1:10" ht="19" x14ac:dyDescent="0.25">
      <c r="A1" s="1" t="s">
        <v>148</v>
      </c>
      <c r="B1" s="62"/>
      <c r="C1" s="62"/>
      <c r="D1" s="62"/>
      <c r="E1" s="62"/>
      <c r="F1" s="62"/>
      <c r="G1" s="62"/>
      <c r="H1" s="62"/>
      <c r="I1" s="62"/>
      <c r="J1" s="63"/>
    </row>
    <row r="2" spans="1:10" x14ac:dyDescent="0.2">
      <c r="A2" s="65"/>
      <c r="B2" s="62"/>
      <c r="C2" s="62"/>
      <c r="D2" s="62"/>
      <c r="E2" s="62"/>
      <c r="F2" s="62"/>
      <c r="G2" s="62"/>
      <c r="H2" s="62"/>
      <c r="I2" s="62"/>
      <c r="J2" s="63"/>
    </row>
    <row r="3" spans="1:10" x14ac:dyDescent="0.2">
      <c r="A3" s="5"/>
      <c r="B3" s="62" t="s">
        <v>1</v>
      </c>
      <c r="C3" s="62"/>
      <c r="D3" s="62"/>
      <c r="E3" s="62"/>
      <c r="F3" s="62"/>
      <c r="G3" s="62"/>
      <c r="H3" s="62"/>
      <c r="I3" s="62"/>
      <c r="J3" s="63"/>
    </row>
    <row r="4" spans="1:10" x14ac:dyDescent="0.2">
      <c r="A4" s="5"/>
      <c r="B4" s="62"/>
      <c r="C4" s="62"/>
      <c r="D4" s="62"/>
      <c r="E4" s="62"/>
      <c r="F4" s="62"/>
      <c r="G4" s="62"/>
      <c r="H4" s="62"/>
      <c r="I4" s="62"/>
      <c r="J4" s="63"/>
    </row>
    <row r="5" spans="1:10" x14ac:dyDescent="0.2">
      <c r="A5" s="5"/>
      <c r="B5" s="62"/>
      <c r="C5" s="183" t="s">
        <v>18</v>
      </c>
      <c r="D5" s="184"/>
      <c r="E5" s="184"/>
      <c r="F5" s="185"/>
      <c r="G5" s="62"/>
      <c r="H5" s="62"/>
      <c r="I5" s="62"/>
      <c r="J5" s="63"/>
    </row>
    <row r="6" spans="1:10" x14ac:dyDescent="0.2">
      <c r="A6" s="5"/>
      <c r="B6" s="62"/>
      <c r="C6" s="195" t="s">
        <v>3</v>
      </c>
      <c r="D6" s="44"/>
      <c r="E6" s="45"/>
      <c r="F6" s="46"/>
      <c r="G6" s="62"/>
      <c r="H6" s="62"/>
      <c r="I6" s="62"/>
      <c r="J6" s="63"/>
    </row>
    <row r="7" spans="1:10" ht="17" x14ac:dyDescent="0.2">
      <c r="A7" s="5"/>
      <c r="B7" s="62"/>
      <c r="C7" s="196"/>
      <c r="D7" s="47" t="s">
        <v>19</v>
      </c>
      <c r="E7" s="48" t="s">
        <v>20</v>
      </c>
      <c r="F7" s="49" t="s">
        <v>21</v>
      </c>
      <c r="G7" s="62"/>
      <c r="H7" s="62"/>
      <c r="I7" s="62"/>
      <c r="J7" s="63"/>
    </row>
    <row r="8" spans="1:10" x14ac:dyDescent="0.2">
      <c r="A8" s="5"/>
      <c r="B8" s="62"/>
      <c r="C8" s="30">
        <v>2021</v>
      </c>
      <c r="D8" s="37">
        <v>12080</v>
      </c>
      <c r="E8" s="38">
        <v>2470</v>
      </c>
      <c r="F8" s="50">
        <v>860</v>
      </c>
      <c r="G8" s="62"/>
      <c r="H8" s="62"/>
      <c r="I8" s="62"/>
      <c r="J8" s="63"/>
    </row>
    <row r="9" spans="1:10" x14ac:dyDescent="0.2">
      <c r="A9" s="5"/>
      <c r="B9" s="62"/>
      <c r="C9" s="31">
        <v>2022</v>
      </c>
      <c r="D9" s="40">
        <v>15830</v>
      </c>
      <c r="E9" s="41">
        <v>4320</v>
      </c>
      <c r="F9" s="34"/>
      <c r="G9" s="62"/>
      <c r="H9" s="62"/>
      <c r="I9" s="62"/>
      <c r="J9" s="63"/>
    </row>
    <row r="10" spans="1:10" x14ac:dyDescent="0.2">
      <c r="A10" s="5"/>
      <c r="B10" s="62"/>
      <c r="C10" s="32">
        <v>2023</v>
      </c>
      <c r="D10" s="42">
        <v>25580</v>
      </c>
      <c r="E10" s="43"/>
      <c r="F10" s="35"/>
      <c r="G10" s="62"/>
      <c r="H10" s="62"/>
      <c r="I10" s="62"/>
      <c r="J10" s="63"/>
    </row>
    <row r="11" spans="1:10" x14ac:dyDescent="0.2">
      <c r="A11" s="5"/>
      <c r="B11" s="62"/>
      <c r="C11" s="62"/>
      <c r="D11" s="62"/>
      <c r="E11" s="62"/>
      <c r="F11" s="62"/>
      <c r="G11" s="62"/>
      <c r="H11" s="62"/>
      <c r="I11" s="62"/>
      <c r="J11" s="63"/>
    </row>
    <row r="12" spans="1:10" x14ac:dyDescent="0.2">
      <c r="A12" s="5"/>
      <c r="B12" s="80" t="s">
        <v>144</v>
      </c>
      <c r="C12" s="62"/>
      <c r="D12" s="62"/>
      <c r="E12" s="62"/>
      <c r="F12" s="62"/>
      <c r="G12" s="62"/>
      <c r="H12" s="62"/>
      <c r="I12" s="62"/>
      <c r="J12" s="63"/>
    </row>
    <row r="13" spans="1:10" x14ac:dyDescent="0.2">
      <c r="A13" s="5"/>
      <c r="B13" s="80" t="s">
        <v>145</v>
      </c>
      <c r="C13" s="62"/>
      <c r="D13" s="62"/>
      <c r="E13" s="62"/>
      <c r="F13" s="62"/>
      <c r="G13" s="62"/>
      <c r="H13" s="62"/>
      <c r="I13" s="62"/>
      <c r="J13" s="63"/>
    </row>
    <row r="14" spans="1:10" x14ac:dyDescent="0.2">
      <c r="A14" s="5"/>
      <c r="B14" s="62"/>
      <c r="C14" s="62"/>
      <c r="D14" s="62"/>
      <c r="E14" s="62"/>
      <c r="F14" s="62"/>
      <c r="G14" s="62"/>
      <c r="H14" s="62"/>
      <c r="I14" s="62"/>
      <c r="J14" s="63"/>
    </row>
    <row r="15" spans="1:10" ht="17" customHeight="1" x14ac:dyDescent="0.2">
      <c r="A15" s="5"/>
      <c r="B15" s="62"/>
      <c r="C15" s="30" t="s">
        <v>30</v>
      </c>
      <c r="D15" s="51">
        <v>0</v>
      </c>
      <c r="E15" s="52">
        <v>1</v>
      </c>
      <c r="F15" s="39">
        <v>2</v>
      </c>
      <c r="G15" s="62"/>
      <c r="H15" s="62"/>
      <c r="I15" s="62"/>
      <c r="J15" s="63"/>
    </row>
    <row r="16" spans="1:10" ht="17" customHeight="1" x14ac:dyDescent="0.2">
      <c r="A16" s="5"/>
      <c r="B16" s="62"/>
      <c r="C16" s="32" t="s">
        <v>31</v>
      </c>
      <c r="D16" s="53" t="s">
        <v>32</v>
      </c>
      <c r="E16" s="43" t="s">
        <v>33</v>
      </c>
      <c r="F16" s="35" t="s">
        <v>34</v>
      </c>
      <c r="G16" s="62"/>
      <c r="H16" s="62"/>
      <c r="I16" s="62"/>
      <c r="J16" s="63"/>
    </row>
    <row r="17" spans="1:10" ht="17" customHeight="1" x14ac:dyDescent="0.2">
      <c r="A17" s="5"/>
      <c r="B17" s="62"/>
      <c r="C17" s="29" t="s">
        <v>26</v>
      </c>
      <c r="D17" s="90">
        <v>0.75</v>
      </c>
      <c r="E17" s="91">
        <v>0.2</v>
      </c>
      <c r="F17" s="92">
        <v>0.05</v>
      </c>
      <c r="G17" s="62"/>
      <c r="H17" s="62"/>
      <c r="I17" s="62"/>
      <c r="J17" s="63"/>
    </row>
    <row r="18" spans="1:10" x14ac:dyDescent="0.2">
      <c r="A18" s="5"/>
      <c r="B18" s="62"/>
      <c r="C18" s="62"/>
      <c r="D18" s="62"/>
      <c r="E18" s="62"/>
      <c r="F18" s="62"/>
      <c r="G18" s="62"/>
      <c r="H18" s="62"/>
      <c r="I18" s="62"/>
      <c r="J18" s="63"/>
    </row>
    <row r="19" spans="1:10" x14ac:dyDescent="0.2">
      <c r="A19" s="5"/>
      <c r="B19" s="80" t="s">
        <v>143</v>
      </c>
      <c r="C19" s="62"/>
      <c r="D19" s="62"/>
      <c r="E19" s="62"/>
      <c r="F19" s="62"/>
      <c r="G19" s="62"/>
      <c r="H19" s="62"/>
      <c r="I19" s="62"/>
      <c r="J19" s="63"/>
    </row>
    <row r="20" spans="1:10" x14ac:dyDescent="0.2">
      <c r="A20" s="5"/>
      <c r="B20" s="62"/>
      <c r="C20" s="62"/>
      <c r="D20" s="62"/>
      <c r="E20" s="62"/>
      <c r="F20" s="62"/>
      <c r="G20" s="62"/>
      <c r="H20" s="62"/>
      <c r="I20" s="62"/>
      <c r="J20" s="63"/>
    </row>
    <row r="21" spans="1:10" x14ac:dyDescent="0.2">
      <c r="A21" s="5"/>
      <c r="B21" s="62"/>
      <c r="C21" s="62"/>
      <c r="D21" s="62"/>
      <c r="E21" s="62"/>
      <c r="F21" s="62"/>
      <c r="G21" s="62"/>
      <c r="H21" s="62"/>
      <c r="I21" s="62"/>
      <c r="J21" s="63"/>
    </row>
    <row r="22" spans="1:10" x14ac:dyDescent="0.2">
      <c r="A22" s="5"/>
      <c r="B22" s="197" t="s">
        <v>206</v>
      </c>
      <c r="C22" s="197"/>
      <c r="D22" s="197"/>
      <c r="E22" s="197"/>
      <c r="F22" s="197"/>
      <c r="G22" s="197"/>
      <c r="H22" s="197"/>
      <c r="I22" s="197"/>
      <c r="J22" s="63"/>
    </row>
    <row r="23" spans="1:10" x14ac:dyDescent="0.2">
      <c r="A23" s="5"/>
      <c r="B23" s="197"/>
      <c r="C23" s="197"/>
      <c r="D23" s="197"/>
      <c r="E23" s="197"/>
      <c r="F23" s="197"/>
      <c r="G23" s="197"/>
      <c r="H23" s="197"/>
      <c r="I23" s="197"/>
      <c r="J23" s="63"/>
    </row>
    <row r="24" spans="1:10" ht="17" thickBot="1" x14ac:dyDescent="0.25">
      <c r="A24" s="66"/>
      <c r="B24" s="67"/>
      <c r="C24" s="68"/>
      <c r="D24" s="68"/>
      <c r="E24" s="68"/>
      <c r="F24" s="67"/>
      <c r="G24" s="67"/>
      <c r="H24" s="67"/>
      <c r="I24" s="67"/>
      <c r="J24" s="69"/>
    </row>
    <row r="26" spans="1:10" ht="19" x14ac:dyDescent="0.25">
      <c r="A26" s="2" t="s">
        <v>0</v>
      </c>
    </row>
    <row r="27" spans="1:10" x14ac:dyDescent="0.2">
      <c r="A27" s="20" t="s">
        <v>153</v>
      </c>
      <c r="B27" s="188" t="s">
        <v>187</v>
      </c>
      <c r="C27" s="188"/>
      <c r="D27" s="188"/>
      <c r="E27" s="188"/>
      <c r="F27" s="188"/>
      <c r="G27" s="188"/>
      <c r="H27" s="188"/>
      <c r="I27" s="188"/>
      <c r="J27" s="107"/>
    </row>
    <row r="28" spans="1:10" x14ac:dyDescent="0.2">
      <c r="A28" s="20"/>
      <c r="B28" s="188"/>
      <c r="C28" s="188"/>
      <c r="D28" s="188"/>
      <c r="E28" s="188"/>
      <c r="F28" s="188"/>
      <c r="G28" s="188"/>
      <c r="H28" s="188"/>
      <c r="I28" s="188"/>
      <c r="J28" s="107"/>
    </row>
    <row r="29" spans="1:10" x14ac:dyDescent="0.2">
      <c r="A29" s="20"/>
      <c r="B29" s="107"/>
      <c r="C29" s="107"/>
      <c r="D29" s="107"/>
      <c r="E29" s="107"/>
      <c r="F29" s="107"/>
      <c r="G29" s="107"/>
      <c r="H29" s="107"/>
      <c r="I29" s="107"/>
      <c r="J29" s="107"/>
    </row>
    <row r="30" spans="1:10" x14ac:dyDescent="0.2">
      <c r="A30" s="20"/>
      <c r="B30" s="107"/>
      <c r="C30" s="107"/>
      <c r="D30" s="107"/>
      <c r="E30" s="107"/>
      <c r="F30" s="107"/>
      <c r="G30" s="107"/>
      <c r="H30" s="107"/>
      <c r="I30" s="107"/>
      <c r="J30" s="107"/>
    </row>
    <row r="31" spans="1:10" x14ac:dyDescent="0.2">
      <c r="A31" s="20"/>
      <c r="B31" s="107"/>
      <c r="C31" s="107"/>
      <c r="D31" s="107"/>
      <c r="E31" s="107"/>
      <c r="F31" s="107"/>
      <c r="G31" s="107"/>
      <c r="H31" s="107"/>
      <c r="I31" s="107"/>
      <c r="J31" s="107"/>
    </row>
    <row r="32" spans="1:10" x14ac:dyDescent="0.2">
      <c r="A32" s="20"/>
      <c r="B32" s="107"/>
      <c r="C32" s="107"/>
      <c r="D32" s="107"/>
      <c r="E32" s="107"/>
      <c r="F32" s="107"/>
      <c r="G32" s="107"/>
      <c r="H32" s="107"/>
      <c r="I32" s="107"/>
      <c r="J32" s="107"/>
    </row>
    <row r="33" spans="1:10" x14ac:dyDescent="0.2">
      <c r="A33" s="20"/>
      <c r="B33" s="107"/>
      <c r="C33" s="107"/>
      <c r="D33" s="107"/>
      <c r="E33" s="107"/>
      <c r="F33" s="107"/>
      <c r="G33" s="107"/>
      <c r="H33" s="107"/>
      <c r="I33" s="107"/>
      <c r="J33" s="107"/>
    </row>
    <row r="34" spans="1:10" x14ac:dyDescent="0.2">
      <c r="A34" s="20"/>
      <c r="B34" s="107"/>
      <c r="C34" s="10" t="s">
        <v>35</v>
      </c>
      <c r="G34" s="107"/>
      <c r="H34" s="107"/>
      <c r="I34" s="107"/>
      <c r="J34" s="107"/>
    </row>
    <row r="35" spans="1:10" x14ac:dyDescent="0.2">
      <c r="A35" s="20"/>
      <c r="B35" s="107"/>
      <c r="C35" s="93" t="s">
        <v>27</v>
      </c>
      <c r="D35" s="94">
        <v>12</v>
      </c>
      <c r="E35" s="94">
        <v>24</v>
      </c>
      <c r="F35" s="94">
        <v>36</v>
      </c>
      <c r="G35" s="107"/>
      <c r="H35" s="107"/>
      <c r="I35" s="107"/>
      <c r="J35" s="107"/>
    </row>
    <row r="36" spans="1:10" x14ac:dyDescent="0.2">
      <c r="A36" s="20"/>
      <c r="B36" s="107"/>
      <c r="C36" s="95">
        <f>C8</f>
        <v>2021</v>
      </c>
      <c r="D36" s="96">
        <f>D8^2/D$17</f>
        <v>194568533.33333334</v>
      </c>
      <c r="E36" s="96">
        <f>E8^2/E$17</f>
        <v>30504500</v>
      </c>
      <c r="F36" s="96">
        <f>F8^2/F$17</f>
        <v>14792000</v>
      </c>
      <c r="G36" s="107"/>
      <c r="H36" s="107"/>
      <c r="I36" s="107"/>
      <c r="J36" s="107"/>
    </row>
    <row r="37" spans="1:10" x14ac:dyDescent="0.2">
      <c r="A37" s="20"/>
      <c r="B37" s="107"/>
      <c r="C37" s="95">
        <f>C9</f>
        <v>2022</v>
      </c>
      <c r="D37" s="96">
        <f>D9^2/D$17</f>
        <v>334118533.33333331</v>
      </c>
      <c r="E37" s="96">
        <f>E9^2/E$17</f>
        <v>93312000</v>
      </c>
      <c r="F37" s="96"/>
      <c r="G37" s="107"/>
      <c r="H37" s="107"/>
      <c r="I37" s="107"/>
      <c r="J37" s="107"/>
    </row>
    <row r="38" spans="1:10" x14ac:dyDescent="0.2">
      <c r="A38" s="20"/>
      <c r="B38" s="107"/>
      <c r="C38" s="95">
        <f>C10</f>
        <v>2023</v>
      </c>
      <c r="D38" s="96">
        <f>D10^2/D$17</f>
        <v>872448533.33333337</v>
      </c>
      <c r="E38" s="96"/>
      <c r="F38" s="96"/>
      <c r="G38" s="107"/>
      <c r="H38" s="107"/>
      <c r="I38" s="107"/>
      <c r="J38" s="107"/>
    </row>
    <row r="39" spans="1:10" x14ac:dyDescent="0.2">
      <c r="A39" s="20"/>
      <c r="B39" s="107"/>
      <c r="G39" s="107"/>
      <c r="H39" s="107"/>
      <c r="I39" s="107"/>
      <c r="J39" s="107"/>
    </row>
    <row r="40" spans="1:10" x14ac:dyDescent="0.2">
      <c r="A40" s="20"/>
      <c r="B40" s="107"/>
      <c r="C40" s="93" t="s">
        <v>27</v>
      </c>
      <c r="D40" s="94" t="s">
        <v>28</v>
      </c>
      <c r="G40" s="107"/>
      <c r="H40" s="107"/>
      <c r="I40" s="107"/>
      <c r="J40" s="107"/>
    </row>
    <row r="41" spans="1:10" x14ac:dyDescent="0.2">
      <c r="A41" s="20"/>
      <c r="B41" s="107"/>
      <c r="C41" s="95">
        <f>C8</f>
        <v>2021</v>
      </c>
      <c r="D41" s="136">
        <f>SQRT(SUM(D36:F36)/SUM($D$17:$F$17))</f>
        <v>15487.576741806102</v>
      </c>
      <c r="G41" s="107"/>
      <c r="H41" s="107"/>
      <c r="I41" s="107"/>
      <c r="J41" s="107"/>
    </row>
    <row r="42" spans="1:10" x14ac:dyDescent="0.2">
      <c r="A42" s="20"/>
      <c r="B42" s="107"/>
      <c r="C42" s="95">
        <f>C9</f>
        <v>2022</v>
      </c>
      <c r="D42" s="136">
        <f>SQRT(SUM(D37:E37)/SUM($D$17:$E$17))</f>
        <v>21211.47984448474</v>
      </c>
      <c r="E42" s="97"/>
      <c r="G42" s="107"/>
      <c r="H42" s="107"/>
      <c r="I42" s="107"/>
      <c r="J42" s="107"/>
    </row>
    <row r="43" spans="1:10" x14ac:dyDescent="0.2">
      <c r="A43" s="20"/>
      <c r="B43" s="107"/>
      <c r="C43" s="95">
        <f>C10</f>
        <v>2023</v>
      </c>
      <c r="D43" s="136">
        <f>SQRT(SUM(D38)/SUM($D$17))</f>
        <v>34106.666666666664</v>
      </c>
      <c r="G43" s="107"/>
      <c r="H43" s="107"/>
      <c r="I43" s="107"/>
      <c r="J43" s="107"/>
    </row>
    <row r="44" spans="1:10" x14ac:dyDescent="0.2">
      <c r="A44" s="20"/>
      <c r="B44" s="107"/>
      <c r="C44" s="107"/>
      <c r="D44" s="107"/>
      <c r="E44" s="107"/>
      <c r="F44" s="107"/>
      <c r="G44" s="107"/>
      <c r="H44" s="107"/>
      <c r="I44" s="107"/>
      <c r="J44" s="107"/>
    </row>
    <row r="45" spans="1:10" x14ac:dyDescent="0.2">
      <c r="A45" s="20" t="s">
        <v>154</v>
      </c>
      <c r="B45" s="188" t="s">
        <v>188</v>
      </c>
      <c r="C45" s="188"/>
      <c r="D45" s="188"/>
      <c r="E45" s="188"/>
      <c r="F45" s="188"/>
      <c r="G45" s="188"/>
      <c r="H45" s="188"/>
      <c r="I45" s="188"/>
      <c r="J45" s="107"/>
    </row>
    <row r="46" spans="1:10" x14ac:dyDescent="0.2">
      <c r="A46" s="20"/>
      <c r="B46" s="188"/>
      <c r="C46" s="188"/>
      <c r="D46" s="188"/>
      <c r="E46" s="188"/>
      <c r="F46" s="188"/>
      <c r="G46" s="188"/>
      <c r="H46" s="188"/>
      <c r="I46" s="188"/>
      <c r="J46" s="107"/>
    </row>
    <row r="47" spans="1:10" x14ac:dyDescent="0.2">
      <c r="A47" s="20"/>
      <c r="B47" s="107"/>
      <c r="C47" s="107"/>
      <c r="D47" s="107"/>
      <c r="E47" s="107"/>
      <c r="F47" s="107"/>
      <c r="G47" s="107"/>
      <c r="H47" s="107"/>
      <c r="I47" s="107"/>
      <c r="J47" s="107"/>
    </row>
    <row r="48" spans="1:10" x14ac:dyDescent="0.2">
      <c r="A48" s="20"/>
      <c r="B48" s="107"/>
      <c r="C48" s="107"/>
      <c r="D48" s="107"/>
      <c r="E48" s="107"/>
      <c r="F48" s="107"/>
      <c r="G48" s="107"/>
      <c r="H48" s="107"/>
      <c r="I48" s="107"/>
      <c r="J48" s="107"/>
    </row>
    <row r="49" spans="1:10" x14ac:dyDescent="0.2">
      <c r="A49" s="20"/>
      <c r="B49" s="107"/>
      <c r="C49" s="107"/>
      <c r="D49" s="107"/>
      <c r="E49" s="107"/>
      <c r="F49" s="107"/>
      <c r="G49" s="107"/>
      <c r="H49" s="107"/>
      <c r="I49" s="107"/>
      <c r="J49" s="107"/>
    </row>
    <row r="50" spans="1:10" x14ac:dyDescent="0.2">
      <c r="A50" s="20"/>
      <c r="B50" s="107"/>
      <c r="C50" s="107"/>
      <c r="D50" s="107"/>
      <c r="E50" s="107"/>
      <c r="F50" s="107"/>
      <c r="G50" s="107"/>
      <c r="H50" s="107"/>
      <c r="I50" s="107"/>
      <c r="J50" s="107"/>
    </row>
    <row r="51" spans="1:10" x14ac:dyDescent="0.2">
      <c r="A51" s="20"/>
      <c r="B51" s="107"/>
      <c r="C51" s="107"/>
      <c r="D51" s="107"/>
      <c r="E51" s="107"/>
      <c r="F51" s="107"/>
      <c r="G51" s="107"/>
      <c r="H51" s="107"/>
      <c r="I51" s="107"/>
      <c r="J51" s="107"/>
    </row>
    <row r="52" spans="1:10" x14ac:dyDescent="0.2">
      <c r="A52" s="20"/>
      <c r="B52" s="107"/>
      <c r="C52" s="10" t="s">
        <v>36</v>
      </c>
      <c r="G52" s="107"/>
      <c r="H52" s="107"/>
      <c r="I52" s="107"/>
      <c r="J52" s="107"/>
    </row>
    <row r="53" spans="1:10" x14ac:dyDescent="0.2">
      <c r="A53" s="20"/>
      <c r="B53" s="107"/>
      <c r="C53" s="93" t="s">
        <v>27</v>
      </c>
      <c r="D53" s="94">
        <v>12</v>
      </c>
      <c r="E53" s="94">
        <v>24</v>
      </c>
      <c r="F53" s="94">
        <v>36</v>
      </c>
      <c r="G53" s="107"/>
      <c r="H53" s="107"/>
      <c r="I53" s="107"/>
      <c r="J53" s="107"/>
    </row>
    <row r="54" spans="1:10" x14ac:dyDescent="0.2">
      <c r="A54" s="20"/>
      <c r="B54" s="107"/>
      <c r="C54" s="95">
        <f>C8</f>
        <v>2021</v>
      </c>
      <c r="D54" s="136">
        <f>D8^2/$D41</f>
        <v>9422.1583164844815</v>
      </c>
      <c r="E54" s="136">
        <f>E8^2/$D41</f>
        <v>393.92218044877535</v>
      </c>
      <c r="F54" s="136">
        <f>F8^2/$D41</f>
        <v>47.754404212479187</v>
      </c>
      <c r="G54" s="107"/>
      <c r="H54" s="107"/>
      <c r="I54" s="107"/>
      <c r="J54" s="107"/>
    </row>
    <row r="55" spans="1:10" x14ac:dyDescent="0.2">
      <c r="A55" s="20"/>
      <c r="B55" s="107"/>
      <c r="C55" s="95">
        <f>C9</f>
        <v>2022</v>
      </c>
      <c r="D55" s="136">
        <f>D9^2/$D42</f>
        <v>11813.833916220436</v>
      </c>
      <c r="E55" s="136">
        <f>E9^2/$D42</f>
        <v>879.82545945998515</v>
      </c>
      <c r="F55" s="136"/>
      <c r="G55" s="107"/>
      <c r="H55" s="107"/>
      <c r="I55" s="107"/>
      <c r="J55" s="107"/>
    </row>
    <row r="56" spans="1:10" x14ac:dyDescent="0.2">
      <c r="A56" s="20"/>
      <c r="B56" s="107"/>
      <c r="C56" s="95">
        <f>C10</f>
        <v>2023</v>
      </c>
      <c r="D56" s="136">
        <f>D10^2/$D43</f>
        <v>19185</v>
      </c>
      <c r="E56" s="136"/>
      <c r="F56" s="136"/>
      <c r="G56" s="107"/>
      <c r="H56" s="107"/>
      <c r="I56" s="107"/>
      <c r="J56" s="107"/>
    </row>
    <row r="57" spans="1:10" x14ac:dyDescent="0.2">
      <c r="A57" s="20"/>
      <c r="B57" s="107"/>
      <c r="C57" s="105"/>
      <c r="D57" s="105"/>
      <c r="E57" s="105"/>
      <c r="F57" s="105"/>
      <c r="G57" s="107"/>
      <c r="H57" s="107"/>
      <c r="I57" s="107"/>
      <c r="J57" s="107"/>
    </row>
    <row r="58" spans="1:10" x14ac:dyDescent="0.2">
      <c r="A58" s="20"/>
      <c r="B58" s="107"/>
      <c r="C58" s="93" t="s">
        <v>25</v>
      </c>
      <c r="D58" s="94">
        <v>1</v>
      </c>
      <c r="E58" s="94">
        <v>2</v>
      </c>
      <c r="F58" s="94">
        <v>3</v>
      </c>
      <c r="G58" s="107"/>
      <c r="H58" s="107"/>
      <c r="I58" s="107"/>
      <c r="J58" s="107"/>
    </row>
    <row r="59" spans="1:10" x14ac:dyDescent="0.2">
      <c r="A59" s="20"/>
      <c r="B59" s="107"/>
      <c r="C59" s="95" t="s">
        <v>26</v>
      </c>
      <c r="D59" s="98">
        <f>SQRT(SUM(D54:D56)/SUM($D41:$D43))</f>
        <v>0.75556060106161038</v>
      </c>
      <c r="E59" s="98">
        <f>SQRT(SUM(E54:E55)/SUM($D41:$D42))</f>
        <v>0.18630059679430874</v>
      </c>
      <c r="F59" s="98">
        <f>SQRT(SUM(F54)/SUM($D41))</f>
        <v>5.5528376991254867E-2</v>
      </c>
      <c r="G59" s="107"/>
      <c r="H59" s="107"/>
      <c r="I59" s="107"/>
      <c r="J59" s="107"/>
    </row>
    <row r="60" spans="1:10" x14ac:dyDescent="0.2">
      <c r="A60" s="20"/>
      <c r="B60" s="107"/>
      <c r="C60" s="107"/>
      <c r="D60" s="107"/>
      <c r="E60" s="107"/>
      <c r="F60" s="107"/>
      <c r="G60" s="107"/>
      <c r="H60" s="107"/>
      <c r="I60" s="107"/>
      <c r="J60" s="107"/>
    </row>
    <row r="61" spans="1:10" x14ac:dyDescent="0.2">
      <c r="A61" s="20" t="s">
        <v>155</v>
      </c>
      <c r="B61" s="188" t="s">
        <v>189</v>
      </c>
      <c r="C61" s="188"/>
      <c r="D61" s="188"/>
      <c r="E61" s="188"/>
      <c r="F61" s="188"/>
      <c r="G61" s="188"/>
      <c r="H61" s="188"/>
      <c r="I61" s="188"/>
      <c r="J61" s="107"/>
    </row>
    <row r="62" spans="1:10" x14ac:dyDescent="0.2">
      <c r="A62" s="20"/>
      <c r="B62" s="188"/>
      <c r="C62" s="188"/>
      <c r="D62" s="188"/>
      <c r="E62" s="188"/>
      <c r="F62" s="188"/>
      <c r="G62" s="188"/>
      <c r="H62" s="188"/>
      <c r="I62" s="188"/>
      <c r="J62" s="107"/>
    </row>
    <row r="63" spans="1:10" x14ac:dyDescent="0.2">
      <c r="A63" s="20"/>
      <c r="B63" s="107"/>
      <c r="C63" s="107"/>
      <c r="D63" s="107"/>
      <c r="E63" s="107"/>
      <c r="F63" s="107"/>
      <c r="G63" s="107"/>
      <c r="H63" s="107"/>
      <c r="I63" s="107"/>
      <c r="J63" s="107"/>
    </row>
    <row r="64" spans="1:10" x14ac:dyDescent="0.2">
      <c r="A64" s="20"/>
      <c r="B64" s="107"/>
      <c r="C64" s="107"/>
      <c r="D64" s="107"/>
      <c r="E64" s="107"/>
      <c r="F64" s="107"/>
      <c r="G64" s="107"/>
      <c r="H64" s="107"/>
      <c r="I64" s="107"/>
      <c r="J64" s="107"/>
    </row>
    <row r="65" spans="1:14" x14ac:dyDescent="0.2">
      <c r="A65" s="20"/>
      <c r="B65" s="107"/>
      <c r="C65" s="107"/>
      <c r="D65" s="107"/>
      <c r="E65" s="107"/>
      <c r="F65" s="107"/>
      <c r="G65" s="107"/>
      <c r="H65" s="107"/>
      <c r="I65" s="107"/>
      <c r="J65" s="107"/>
    </row>
    <row r="66" spans="1:14" x14ac:dyDescent="0.2">
      <c r="A66" s="20"/>
      <c r="B66" s="107"/>
      <c r="C66" s="93" t="s">
        <v>27</v>
      </c>
      <c r="D66" s="94">
        <v>12</v>
      </c>
      <c r="E66" s="94">
        <v>24</v>
      </c>
      <c r="F66" s="94">
        <v>36</v>
      </c>
      <c r="H66" s="94" t="s">
        <v>28</v>
      </c>
      <c r="I66" s="107"/>
      <c r="J66" s="107"/>
    </row>
    <row r="67" spans="1:14" x14ac:dyDescent="0.2">
      <c r="A67" s="20"/>
      <c r="B67" s="107"/>
      <c r="C67" s="95">
        <f>C8</f>
        <v>2021</v>
      </c>
      <c r="D67" s="96"/>
      <c r="E67" s="96"/>
      <c r="F67" s="96"/>
      <c r="H67" s="97">
        <f>D41</f>
        <v>15487.576741806102</v>
      </c>
      <c r="I67" s="107"/>
      <c r="J67" s="107"/>
    </row>
    <row r="68" spans="1:14" x14ac:dyDescent="0.2">
      <c r="A68" s="20"/>
      <c r="B68" s="107"/>
      <c r="C68" s="95">
        <f>C9</f>
        <v>2022</v>
      </c>
      <c r="D68" s="96"/>
      <c r="E68" s="137"/>
      <c r="F68" s="138">
        <f>$H68*F$71</f>
        <v>1177.8390493469528</v>
      </c>
      <c r="H68" s="97">
        <f>D42</f>
        <v>21211.47984448474</v>
      </c>
      <c r="I68" s="107"/>
      <c r="J68" s="107"/>
    </row>
    <row r="69" spans="1:14" x14ac:dyDescent="0.2">
      <c r="A69" s="20"/>
      <c r="B69" s="9"/>
      <c r="C69" s="95">
        <f>C10</f>
        <v>2023</v>
      </c>
      <c r="D69" s="96"/>
      <c r="E69" s="138">
        <f>$H69*E$71</f>
        <v>6354.0923546645563</v>
      </c>
      <c r="F69" s="137">
        <f>$H69*F$71</f>
        <v>1893.8878445817325</v>
      </c>
      <c r="H69" s="97">
        <f>D43</f>
        <v>34106.666666666664</v>
      </c>
    </row>
    <row r="70" spans="1:14" x14ac:dyDescent="0.2">
      <c r="A70" s="20"/>
      <c r="B70" s="9"/>
    </row>
    <row r="71" spans="1:14" x14ac:dyDescent="0.2">
      <c r="A71" s="20"/>
      <c r="B71" s="9"/>
      <c r="C71" s="95" t="s">
        <v>26</v>
      </c>
      <c r="D71" s="99">
        <f>D59</f>
        <v>0.75556060106161038</v>
      </c>
      <c r="E71" s="99">
        <f>E59</f>
        <v>0.18630059679430874</v>
      </c>
      <c r="F71" s="99">
        <f>F59</f>
        <v>5.5528376991254867E-2</v>
      </c>
    </row>
    <row r="72" spans="1:14" ht="17" thickBot="1" x14ac:dyDescent="0.25">
      <c r="A72" s="20"/>
      <c r="B72" s="9"/>
    </row>
    <row r="73" spans="1:14" ht="17" thickBot="1" x14ac:dyDescent="0.25">
      <c r="A73" s="20"/>
      <c r="B73" s="9"/>
      <c r="E73" s="108" t="s">
        <v>205</v>
      </c>
      <c r="F73" s="140">
        <f>SUM(E69:F69)+D10</f>
        <v>33827.980199246289</v>
      </c>
    </row>
    <row r="74" spans="1:14" x14ac:dyDescent="0.2">
      <c r="A74" s="20"/>
      <c r="B74" s="9"/>
    </row>
    <row r="75" spans="1:14" ht="19" x14ac:dyDescent="0.25">
      <c r="A75" s="2" t="s">
        <v>97</v>
      </c>
      <c r="L75" s="4"/>
      <c r="M75" s="4"/>
      <c r="N75" s="4"/>
    </row>
    <row r="76" spans="1:14" ht="19" customHeight="1" x14ac:dyDescent="0.2">
      <c r="B76" s="179" t="s">
        <v>207</v>
      </c>
      <c r="C76" s="180"/>
      <c r="D76" s="180"/>
      <c r="E76" s="180"/>
      <c r="F76" s="180"/>
      <c r="G76" s="180"/>
      <c r="H76" s="180"/>
      <c r="I76" s="180"/>
      <c r="L76" s="4"/>
      <c r="M76" s="4"/>
      <c r="N76" s="4"/>
    </row>
    <row r="77" spans="1:14" x14ac:dyDescent="0.2">
      <c r="B77" s="180"/>
      <c r="C77" s="180"/>
      <c r="D77" s="180"/>
      <c r="E77" s="180"/>
      <c r="F77" s="180"/>
      <c r="G77" s="180"/>
      <c r="H77" s="180"/>
      <c r="I77" s="180"/>
      <c r="L77" s="4"/>
      <c r="M77" s="4"/>
      <c r="N77" s="4"/>
    </row>
    <row r="78" spans="1:14" x14ac:dyDescent="0.2">
      <c r="B78" s="180"/>
      <c r="C78" s="180"/>
      <c r="D78" s="180"/>
      <c r="E78" s="180"/>
      <c r="F78" s="180"/>
      <c r="G78" s="180"/>
      <c r="H78" s="180"/>
      <c r="I78" s="180"/>
      <c r="M78" s="70"/>
    </row>
    <row r="79" spans="1:14" x14ac:dyDescent="0.2">
      <c r="B79" s="180"/>
      <c r="C79" s="180"/>
      <c r="D79" s="180"/>
      <c r="E79" s="180"/>
      <c r="F79" s="180"/>
      <c r="G79" s="180"/>
      <c r="H79" s="180"/>
      <c r="I79" s="180"/>
      <c r="L79" s="4"/>
      <c r="M79" s="4"/>
      <c r="N79" s="4"/>
    </row>
    <row r="80" spans="1:14" x14ac:dyDescent="0.2">
      <c r="B80" s="180"/>
      <c r="C80" s="180"/>
      <c r="D80" s="180"/>
      <c r="E80" s="180"/>
      <c r="F80" s="180"/>
      <c r="G80" s="180"/>
      <c r="H80" s="180"/>
      <c r="I80" s="180"/>
      <c r="L80" s="4"/>
      <c r="M80" s="4"/>
      <c r="N80" s="4"/>
    </row>
    <row r="81" spans="1:15" x14ac:dyDescent="0.2">
      <c r="B81" s="180"/>
      <c r="C81" s="180"/>
      <c r="D81" s="180"/>
      <c r="E81" s="180"/>
      <c r="F81" s="180"/>
      <c r="G81" s="180"/>
      <c r="H81" s="180"/>
      <c r="I81" s="180"/>
      <c r="L81" s="4"/>
      <c r="M81" s="4"/>
      <c r="N81" s="4"/>
    </row>
    <row r="82" spans="1:15" x14ac:dyDescent="0.2">
      <c r="B82" s="180"/>
      <c r="C82" s="180"/>
      <c r="D82" s="180"/>
      <c r="E82" s="180"/>
      <c r="F82" s="180"/>
      <c r="G82" s="180"/>
      <c r="H82" s="180"/>
      <c r="I82" s="180"/>
      <c r="L82" s="4"/>
      <c r="M82" s="4"/>
      <c r="N82" s="4"/>
    </row>
    <row r="83" spans="1:15" x14ac:dyDescent="0.2">
      <c r="B83" s="180"/>
      <c r="C83" s="180"/>
      <c r="D83" s="180"/>
      <c r="E83" s="180"/>
      <c r="F83" s="180"/>
      <c r="G83" s="180"/>
      <c r="H83" s="180"/>
      <c r="I83" s="180"/>
      <c r="L83" s="4"/>
      <c r="M83" s="4"/>
      <c r="N83" s="4"/>
    </row>
    <row r="84" spans="1:15" x14ac:dyDescent="0.2">
      <c r="L84" s="4"/>
      <c r="M84" s="4"/>
      <c r="N84" s="4"/>
    </row>
    <row r="85" spans="1:15" ht="19" x14ac:dyDescent="0.25">
      <c r="A85" s="2" t="s">
        <v>107</v>
      </c>
      <c r="L85" s="4"/>
      <c r="M85" s="4"/>
      <c r="N85" s="4"/>
    </row>
    <row r="86" spans="1:15" x14ac:dyDescent="0.2">
      <c r="B86" s="64" t="s">
        <v>116</v>
      </c>
      <c r="L86" s="4"/>
      <c r="M86" s="4"/>
      <c r="N86" s="4"/>
    </row>
    <row r="87" spans="1:15" x14ac:dyDescent="0.2">
      <c r="L87" s="4"/>
      <c r="M87" s="4"/>
      <c r="N87" s="4"/>
    </row>
    <row r="88" spans="1:15" ht="19" x14ac:dyDescent="0.25">
      <c r="A88" s="2" t="s">
        <v>109</v>
      </c>
      <c r="M88" s="70"/>
    </row>
    <row r="89" spans="1:15" x14ac:dyDescent="0.2">
      <c r="A89" s="4"/>
      <c r="B89" s="64" t="s">
        <v>117</v>
      </c>
      <c r="C89" s="4"/>
      <c r="D89" s="4"/>
      <c r="E89" s="4"/>
      <c r="F89" s="4"/>
      <c r="G89" s="4"/>
      <c r="H89" s="4"/>
      <c r="I89" s="4"/>
      <c r="J89" s="4"/>
      <c r="K89" s="4"/>
      <c r="L89" s="4"/>
      <c r="M89" s="4"/>
      <c r="N89" s="4"/>
      <c r="O89" s="4"/>
    </row>
    <row r="90" spans="1:15" x14ac:dyDescent="0.2">
      <c r="A90" s="4"/>
      <c r="B90" s="64" t="s">
        <v>118</v>
      </c>
      <c r="C90" s="4"/>
      <c r="D90" s="4"/>
      <c r="E90" s="4"/>
      <c r="F90" s="4"/>
      <c r="G90" s="4"/>
      <c r="H90" s="4"/>
      <c r="I90" s="4"/>
      <c r="J90" s="4"/>
      <c r="K90" s="4"/>
      <c r="L90" s="4"/>
      <c r="M90" s="4"/>
      <c r="N90" s="4"/>
      <c r="O90" s="4"/>
    </row>
    <row r="91" spans="1:15" x14ac:dyDescent="0.2">
      <c r="A91" s="4"/>
      <c r="B91" s="4"/>
      <c r="C91" s="4"/>
      <c r="D91" s="4"/>
      <c r="E91" s="4"/>
      <c r="F91" s="4"/>
      <c r="G91" s="4"/>
      <c r="H91" s="4"/>
      <c r="I91" s="4"/>
      <c r="J91" s="4"/>
      <c r="K91" s="4"/>
      <c r="L91" s="4"/>
      <c r="M91" s="4"/>
      <c r="N91" s="4"/>
      <c r="O91" s="4"/>
    </row>
    <row r="92" spans="1:15" x14ac:dyDescent="0.2">
      <c r="A92" s="4"/>
      <c r="B92" s="4"/>
      <c r="C92" s="4"/>
      <c r="D92" s="4"/>
      <c r="E92" s="4"/>
      <c r="F92" s="4"/>
      <c r="G92" s="4"/>
      <c r="H92" s="4"/>
      <c r="I92" s="4"/>
      <c r="J92" s="4"/>
      <c r="K92" s="4"/>
      <c r="L92" s="4"/>
      <c r="M92" s="4"/>
      <c r="N92" s="4"/>
      <c r="O92" s="4"/>
    </row>
    <row r="93" spans="1:15" x14ac:dyDescent="0.2">
      <c r="A93" s="4"/>
      <c r="B93" s="4"/>
      <c r="C93" s="4"/>
      <c r="D93" s="4"/>
      <c r="E93" s="4"/>
      <c r="F93" s="4"/>
      <c r="G93" s="4"/>
      <c r="H93" s="4"/>
      <c r="I93" s="4"/>
      <c r="J93" s="4"/>
      <c r="K93" s="4"/>
      <c r="L93" s="4"/>
      <c r="M93" s="4"/>
      <c r="N93" s="4"/>
      <c r="O93" s="4"/>
    </row>
    <row r="94" spans="1:15" x14ac:dyDescent="0.2">
      <c r="A94" s="4"/>
      <c r="C94" s="4"/>
      <c r="D94" s="4"/>
      <c r="E94" s="4"/>
      <c r="F94" s="4"/>
      <c r="G94" s="4"/>
      <c r="H94" s="4"/>
      <c r="I94" s="4"/>
      <c r="J94" s="4"/>
      <c r="K94" s="4"/>
      <c r="L94" s="4"/>
      <c r="M94" s="4"/>
      <c r="N94" s="4"/>
      <c r="O94" s="4"/>
    </row>
    <row r="95" spans="1:15" x14ac:dyDescent="0.2">
      <c r="A95" s="4"/>
      <c r="B95" s="4"/>
      <c r="C95" s="4"/>
      <c r="D95" s="4"/>
      <c r="E95" s="4"/>
      <c r="F95" s="4"/>
      <c r="G95" s="4"/>
      <c r="H95" s="4"/>
      <c r="I95" s="4"/>
      <c r="J95" s="4"/>
      <c r="K95" s="4"/>
      <c r="L95" s="4"/>
      <c r="M95" s="4"/>
      <c r="N95" s="4"/>
      <c r="O95" s="4"/>
    </row>
    <row r="96" spans="1:15" x14ac:dyDescent="0.2">
      <c r="A96" s="4"/>
      <c r="B96" s="4"/>
      <c r="C96" s="4"/>
      <c r="D96" s="4"/>
      <c r="E96" s="4"/>
      <c r="F96" s="4"/>
      <c r="G96" s="4"/>
      <c r="H96" s="4"/>
      <c r="I96" s="4"/>
      <c r="J96" s="4"/>
      <c r="K96" s="4"/>
      <c r="L96" s="4"/>
      <c r="M96" s="4"/>
      <c r="N96" s="4"/>
      <c r="O96" s="4"/>
    </row>
    <row r="97" spans="1:65" x14ac:dyDescent="0.2">
      <c r="A97" s="4"/>
      <c r="B97" s="4"/>
      <c r="C97" s="4"/>
      <c r="D97" s="4"/>
      <c r="E97" s="4"/>
      <c r="F97" s="4"/>
      <c r="G97" s="4"/>
      <c r="H97" s="4"/>
      <c r="I97" s="4"/>
      <c r="J97" s="4"/>
      <c r="K97" s="4"/>
      <c r="L97" s="4"/>
      <c r="M97" s="4"/>
      <c r="N97" s="4"/>
      <c r="O97" s="4"/>
    </row>
    <row r="98" spans="1:65" x14ac:dyDescent="0.2">
      <c r="A98" s="4"/>
      <c r="B98" s="4"/>
      <c r="C98" s="4"/>
      <c r="D98" s="4"/>
      <c r="E98" s="4"/>
      <c r="F98" s="4"/>
      <c r="G98" s="4"/>
      <c r="H98" s="4"/>
      <c r="I98" s="4"/>
      <c r="J98" s="4"/>
      <c r="K98" s="4"/>
      <c r="L98" s="4"/>
      <c r="M98" s="4"/>
      <c r="N98" s="4"/>
      <c r="O98" s="4"/>
    </row>
    <row r="99" spans="1:65" x14ac:dyDescent="0.2">
      <c r="A99" s="4"/>
      <c r="B99" s="4"/>
      <c r="C99" s="4"/>
      <c r="D99" s="4"/>
      <c r="E99" s="4"/>
      <c r="F99" s="4"/>
      <c r="G99" s="4"/>
      <c r="H99" s="4"/>
      <c r="I99" s="4"/>
      <c r="J99" s="4"/>
      <c r="K99" s="4"/>
      <c r="L99" s="4"/>
      <c r="M99" s="4"/>
      <c r="N99" s="4"/>
      <c r="O99" s="4"/>
    </row>
    <row r="100" spans="1:65" x14ac:dyDescent="0.2">
      <c r="A100" s="4"/>
      <c r="B100" s="4"/>
      <c r="C100" s="4"/>
      <c r="D100" s="4"/>
      <c r="E100" s="4"/>
      <c r="F100" s="4"/>
      <c r="G100" s="4"/>
      <c r="H100" s="4"/>
      <c r="I100" s="4"/>
      <c r="J100" s="4"/>
      <c r="K100" s="4"/>
      <c r="L100" s="4"/>
      <c r="M100" s="4"/>
      <c r="N100" s="4"/>
      <c r="O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sheetData>
  <mergeCells count="7">
    <mergeCell ref="B61:I62"/>
    <mergeCell ref="B76:I83"/>
    <mergeCell ref="C5:F5"/>
    <mergeCell ref="C6:C7"/>
    <mergeCell ref="B22:I23"/>
    <mergeCell ref="B45:I46"/>
    <mergeCell ref="B27:I2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M202"/>
  <sheetViews>
    <sheetView showGridLines="0" zoomScale="120" zoomScaleNormal="120" workbookViewId="0"/>
  </sheetViews>
  <sheetFormatPr baseColWidth="10" defaultColWidth="10.83203125" defaultRowHeight="16" x14ac:dyDescent="0.2"/>
  <cols>
    <col min="1" max="11" width="10.83203125" style="64" customWidth="1"/>
    <col min="12" max="16384" width="10.83203125" style="64"/>
  </cols>
  <sheetData>
    <row r="1" spans="1:10" ht="19" x14ac:dyDescent="0.25">
      <c r="A1" s="1" t="s">
        <v>149</v>
      </c>
      <c r="B1" s="62"/>
      <c r="C1" s="62"/>
      <c r="D1" s="62"/>
      <c r="E1" s="62"/>
      <c r="F1" s="62"/>
      <c r="G1" s="62"/>
      <c r="H1" s="62"/>
      <c r="I1" s="62"/>
      <c r="J1" s="63"/>
    </row>
    <row r="2" spans="1:10" x14ac:dyDescent="0.2">
      <c r="A2" s="65"/>
      <c r="B2" s="62"/>
      <c r="C2" s="62"/>
      <c r="D2" s="62"/>
      <c r="E2" s="62"/>
      <c r="F2" s="62"/>
      <c r="G2" s="62"/>
      <c r="H2" s="62"/>
      <c r="I2" s="62"/>
      <c r="J2" s="63"/>
    </row>
    <row r="3" spans="1:10" x14ac:dyDescent="0.2">
      <c r="A3" s="5"/>
      <c r="B3" s="62" t="s">
        <v>1</v>
      </c>
      <c r="C3" s="62"/>
      <c r="D3" s="62"/>
      <c r="E3" s="62"/>
      <c r="F3" s="62"/>
      <c r="G3" s="62"/>
      <c r="H3" s="62"/>
      <c r="I3" s="62"/>
      <c r="J3" s="63"/>
    </row>
    <row r="4" spans="1:10" x14ac:dyDescent="0.2">
      <c r="A4" s="5"/>
      <c r="B4" s="62"/>
      <c r="C4" s="62"/>
      <c r="D4" s="62"/>
      <c r="E4" s="62"/>
      <c r="F4" s="62"/>
      <c r="G4" s="62"/>
      <c r="H4" s="62"/>
      <c r="I4" s="62"/>
      <c r="J4" s="63"/>
    </row>
    <row r="5" spans="1:10" x14ac:dyDescent="0.2">
      <c r="A5" s="5"/>
      <c r="B5" s="62"/>
      <c r="C5" s="183" t="s">
        <v>18</v>
      </c>
      <c r="D5" s="184"/>
      <c r="E5" s="184"/>
      <c r="F5" s="184"/>
      <c r="G5" s="185"/>
      <c r="H5" s="62"/>
      <c r="I5" s="62"/>
      <c r="J5" s="63"/>
    </row>
    <row r="6" spans="1:10" x14ac:dyDescent="0.2">
      <c r="A6" s="5"/>
      <c r="B6" s="62"/>
      <c r="C6" s="195" t="s">
        <v>3</v>
      </c>
      <c r="D6" s="82"/>
      <c r="E6" s="83"/>
      <c r="F6" s="83"/>
      <c r="G6" s="84"/>
      <c r="H6" s="62"/>
      <c r="I6" s="62"/>
      <c r="J6" s="63"/>
    </row>
    <row r="7" spans="1:10" x14ac:dyDescent="0.2">
      <c r="A7" s="5"/>
      <c r="B7" s="62"/>
      <c r="C7" s="196"/>
      <c r="D7" s="47">
        <v>0</v>
      </c>
      <c r="E7" s="48">
        <v>1</v>
      </c>
      <c r="F7" s="48">
        <v>2</v>
      </c>
      <c r="G7" s="49">
        <v>3</v>
      </c>
      <c r="H7" s="62"/>
      <c r="I7" s="62"/>
      <c r="J7" s="63"/>
    </row>
    <row r="8" spans="1:10" x14ac:dyDescent="0.2">
      <c r="A8" s="5"/>
      <c r="B8" s="62"/>
      <c r="C8" s="30">
        <v>2020</v>
      </c>
      <c r="D8" s="37">
        <v>410</v>
      </c>
      <c r="E8" s="38">
        <v>390</v>
      </c>
      <c r="F8" s="38">
        <v>140</v>
      </c>
      <c r="G8" s="50">
        <v>60</v>
      </c>
      <c r="H8" s="62"/>
      <c r="I8" s="62"/>
      <c r="J8" s="63"/>
    </row>
    <row r="9" spans="1:10" x14ac:dyDescent="0.2">
      <c r="A9" s="5"/>
      <c r="B9" s="62"/>
      <c r="C9" s="31">
        <v>2021</v>
      </c>
      <c r="D9" s="40">
        <v>620</v>
      </c>
      <c r="E9" s="41">
        <v>480</v>
      </c>
      <c r="F9" s="41">
        <v>340</v>
      </c>
      <c r="G9" s="34"/>
      <c r="H9" s="62"/>
      <c r="I9" s="62"/>
      <c r="J9" s="63"/>
    </row>
    <row r="10" spans="1:10" x14ac:dyDescent="0.2">
      <c r="A10" s="5"/>
      <c r="B10" s="62"/>
      <c r="C10" s="31">
        <v>2022</v>
      </c>
      <c r="D10" s="40">
        <v>570</v>
      </c>
      <c r="E10" s="41">
        <v>620</v>
      </c>
      <c r="F10" s="6"/>
      <c r="G10" s="34"/>
      <c r="H10" s="62"/>
      <c r="I10" s="62"/>
      <c r="J10" s="63"/>
    </row>
    <row r="11" spans="1:10" x14ac:dyDescent="0.2">
      <c r="A11" s="5"/>
      <c r="B11" s="62"/>
      <c r="C11" s="32">
        <v>2023</v>
      </c>
      <c r="D11" s="42">
        <v>610</v>
      </c>
      <c r="E11" s="43"/>
      <c r="F11" s="43"/>
      <c r="G11" s="35"/>
      <c r="H11" s="62"/>
      <c r="I11" s="62"/>
      <c r="J11" s="63"/>
    </row>
    <row r="12" spans="1:10" x14ac:dyDescent="0.2">
      <c r="A12" s="5"/>
      <c r="B12" s="62"/>
      <c r="C12" s="62"/>
      <c r="D12" s="62"/>
      <c r="E12" s="62"/>
      <c r="F12" s="62"/>
      <c r="G12" s="62"/>
      <c r="H12" s="62"/>
      <c r="I12" s="62"/>
      <c r="J12" s="63"/>
    </row>
    <row r="13" spans="1:10" x14ac:dyDescent="0.2">
      <c r="A13" s="5"/>
      <c r="B13" s="62"/>
      <c r="C13" s="62"/>
      <c r="D13" s="62"/>
      <c r="E13" s="62"/>
      <c r="F13" s="62"/>
      <c r="G13" s="62"/>
      <c r="H13" s="62"/>
      <c r="I13" s="62"/>
      <c r="J13" s="63"/>
    </row>
    <row r="14" spans="1:10" x14ac:dyDescent="0.2">
      <c r="A14" s="5"/>
      <c r="B14" s="62" t="s">
        <v>49</v>
      </c>
      <c r="C14" s="62"/>
      <c r="D14" s="62"/>
      <c r="E14" s="62"/>
      <c r="F14" s="62"/>
      <c r="G14" s="62"/>
      <c r="H14" s="62"/>
      <c r="I14" s="62"/>
      <c r="J14" s="63"/>
    </row>
    <row r="15" spans="1:10" x14ac:dyDescent="0.2">
      <c r="A15" s="5"/>
      <c r="B15" s="62" t="s">
        <v>50</v>
      </c>
      <c r="C15" s="62"/>
      <c r="D15" s="62"/>
      <c r="E15" s="62"/>
      <c r="F15" s="62"/>
      <c r="G15" s="62"/>
      <c r="H15" s="62"/>
      <c r="I15" s="62"/>
      <c r="J15" s="63"/>
    </row>
    <row r="16" spans="1:10" x14ac:dyDescent="0.2">
      <c r="A16" s="5"/>
      <c r="B16" s="62"/>
      <c r="C16" s="62"/>
      <c r="D16" s="62"/>
      <c r="E16" s="62"/>
      <c r="F16" s="62"/>
      <c r="G16" s="62"/>
      <c r="H16" s="62"/>
      <c r="I16" s="62"/>
      <c r="J16" s="63"/>
    </row>
    <row r="17" spans="1:10" x14ac:dyDescent="0.2">
      <c r="A17" s="5"/>
      <c r="B17" s="16" t="s">
        <v>88</v>
      </c>
      <c r="C17" s="62"/>
      <c r="D17" s="62"/>
      <c r="E17" s="62"/>
      <c r="F17" s="62"/>
      <c r="G17" s="62"/>
      <c r="H17" s="62"/>
      <c r="I17" s="62"/>
      <c r="J17" s="63"/>
    </row>
    <row r="18" spans="1:10" ht="17" x14ac:dyDescent="0.2">
      <c r="A18" s="5"/>
      <c r="B18" s="62"/>
      <c r="C18" s="195"/>
      <c r="D18" s="51" t="s">
        <v>40</v>
      </c>
      <c r="E18" s="52" t="s">
        <v>40</v>
      </c>
      <c r="F18" s="52" t="s">
        <v>40</v>
      </c>
      <c r="G18" s="52" t="s">
        <v>89</v>
      </c>
      <c r="H18" s="39" t="s">
        <v>91</v>
      </c>
      <c r="I18" s="62"/>
      <c r="J18" s="63"/>
    </row>
    <row r="19" spans="1:10" ht="17" x14ac:dyDescent="0.2">
      <c r="A19" s="5"/>
      <c r="B19" s="62"/>
      <c r="C19" s="196"/>
      <c r="D19" s="53" t="s">
        <v>41</v>
      </c>
      <c r="E19" s="43" t="s">
        <v>42</v>
      </c>
      <c r="F19" s="43" t="s">
        <v>43</v>
      </c>
      <c r="G19" s="43" t="s">
        <v>90</v>
      </c>
      <c r="H19" s="35" t="s">
        <v>92</v>
      </c>
      <c r="I19" s="62"/>
      <c r="J19" s="63"/>
    </row>
    <row r="20" spans="1:10" ht="17" x14ac:dyDescent="0.2">
      <c r="A20" s="5"/>
      <c r="B20" s="62"/>
      <c r="C20" s="30" t="s">
        <v>93</v>
      </c>
      <c r="D20" s="166">
        <f>'High-Low Diag Regression'!C42</f>
        <v>0.92940155650579592</v>
      </c>
      <c r="E20" s="21">
        <f>'High-Low Diag Regression'!C43</f>
        <v>0.25065835024649147</v>
      </c>
      <c r="F20" s="21">
        <f>'High-Low Diag Regression'!C44</f>
        <v>-1.8360067830082712E-2</v>
      </c>
      <c r="G20" s="168">
        <f>'High-Low Diag Regression'!C45</f>
        <v>-78.377822615393427</v>
      </c>
      <c r="H20" s="169">
        <f>'High-Low Diag Regression'!C46</f>
        <v>77.258463760277749</v>
      </c>
      <c r="I20" s="170"/>
      <c r="J20" s="63"/>
    </row>
    <row r="21" spans="1:10" x14ac:dyDescent="0.2">
      <c r="A21" s="5"/>
      <c r="B21" s="62"/>
      <c r="C21" s="54" t="s">
        <v>94</v>
      </c>
      <c r="D21" s="167">
        <f>'High-Low Diag Regression'!D42</f>
        <v>7.6136048858907762E-2</v>
      </c>
      <c r="E21" s="25">
        <f>'High-Low Diag Regression'!D43</f>
        <v>5.7235632881203348E-2</v>
      </c>
      <c r="F21" s="25">
        <f>'High-Low Diag Regression'!D44</f>
        <v>6.8504339012860183E-2</v>
      </c>
      <c r="G21" s="171">
        <f>'High-Low Diag Regression'!D45</f>
        <v>49.810463596761181</v>
      </c>
      <c r="H21" s="172">
        <f>'High-Low Diag Regression'!D46</f>
        <v>55.607130358388936</v>
      </c>
      <c r="I21" s="62"/>
      <c r="J21" s="63"/>
    </row>
    <row r="22" spans="1:10" ht="17" thickBot="1" x14ac:dyDescent="0.25">
      <c r="A22" s="66"/>
      <c r="B22" s="67"/>
      <c r="C22" s="67"/>
      <c r="D22" s="67"/>
      <c r="E22" s="67"/>
      <c r="F22" s="67"/>
      <c r="G22" s="67"/>
      <c r="H22" s="67"/>
      <c r="I22" s="67"/>
      <c r="J22" s="69"/>
    </row>
    <row r="24" spans="1:10" ht="19" x14ac:dyDescent="0.25">
      <c r="A24" s="2" t="s">
        <v>0</v>
      </c>
    </row>
    <row r="25" spans="1:10" x14ac:dyDescent="0.2">
      <c r="A25" s="20" t="s">
        <v>153</v>
      </c>
      <c r="B25" s="9" t="s">
        <v>190</v>
      </c>
      <c r="C25" s="106"/>
      <c r="D25" s="107"/>
      <c r="E25" s="107"/>
      <c r="F25" s="107"/>
      <c r="G25" s="107"/>
      <c r="H25" s="107"/>
      <c r="I25" s="107"/>
      <c r="J25" s="107"/>
    </row>
    <row r="26" spans="1:10" x14ac:dyDescent="0.2">
      <c r="A26" s="20"/>
      <c r="B26" s="107"/>
      <c r="C26" s="107"/>
      <c r="D26" s="107"/>
      <c r="E26" s="107"/>
      <c r="F26" s="107"/>
      <c r="G26" s="107"/>
      <c r="H26" s="107"/>
      <c r="I26" s="107"/>
      <c r="J26" s="107"/>
    </row>
    <row r="27" spans="1:10" x14ac:dyDescent="0.2">
      <c r="A27" s="20"/>
      <c r="B27" s="107"/>
      <c r="C27" s="193" t="s">
        <v>38</v>
      </c>
      <c r="D27" s="193"/>
      <c r="E27" s="193"/>
      <c r="F27" s="193"/>
      <c r="G27" s="193"/>
      <c r="H27" s="107"/>
      <c r="I27" s="107"/>
      <c r="J27" s="107"/>
    </row>
    <row r="28" spans="1:10" ht="17" x14ac:dyDescent="0.2">
      <c r="A28" s="20"/>
      <c r="B28" s="107"/>
      <c r="C28" s="11" t="s">
        <v>27</v>
      </c>
      <c r="D28" s="12">
        <v>0</v>
      </c>
      <c r="E28" s="12">
        <v>1</v>
      </c>
      <c r="F28" s="12">
        <v>2</v>
      </c>
      <c r="G28" s="12">
        <v>3</v>
      </c>
      <c r="H28" s="107"/>
      <c r="I28" s="107"/>
      <c r="J28" s="107"/>
    </row>
    <row r="29" spans="1:10" x14ac:dyDescent="0.2">
      <c r="A29" s="20"/>
      <c r="B29" s="107"/>
      <c r="C29" s="13">
        <f>C8</f>
        <v>2020</v>
      </c>
      <c r="D29" s="14">
        <f>SUM($D8:D8)</f>
        <v>410</v>
      </c>
      <c r="E29" s="14">
        <f>SUM($D8:E8)</f>
        <v>800</v>
      </c>
      <c r="F29" s="14">
        <f>SUM($D8:F8)</f>
        <v>940</v>
      </c>
      <c r="G29" s="14">
        <f>SUM($D8:G8)</f>
        <v>1000</v>
      </c>
      <c r="H29" s="107"/>
      <c r="I29" s="107"/>
      <c r="J29" s="107"/>
    </row>
    <row r="30" spans="1:10" x14ac:dyDescent="0.2">
      <c r="A30" s="20"/>
      <c r="B30" s="107"/>
      <c r="C30" s="13">
        <f>C9</f>
        <v>2021</v>
      </c>
      <c r="D30" s="14">
        <f>SUM($D9:D9)</f>
        <v>620</v>
      </c>
      <c r="E30" s="14">
        <f>SUM($D9:E9)</f>
        <v>1100</v>
      </c>
      <c r="F30" s="14">
        <f>SUM($D9:F9)</f>
        <v>1440</v>
      </c>
      <c r="G30" s="7"/>
      <c r="H30" s="107"/>
      <c r="I30" s="107"/>
      <c r="J30" s="107"/>
    </row>
    <row r="31" spans="1:10" x14ac:dyDescent="0.2">
      <c r="A31" s="20"/>
      <c r="B31" s="107"/>
      <c r="C31" s="13">
        <f>C10</f>
        <v>2022</v>
      </c>
      <c r="D31" s="14">
        <f>SUM($D10:D10)</f>
        <v>570</v>
      </c>
      <c r="E31" s="14">
        <f>SUM($D10:E10)</f>
        <v>1190</v>
      </c>
      <c r="F31" s="7"/>
      <c r="G31" s="7"/>
      <c r="H31" s="107"/>
      <c r="I31" s="107"/>
      <c r="J31" s="107"/>
    </row>
    <row r="32" spans="1:10" x14ac:dyDescent="0.2">
      <c r="A32" s="20"/>
      <c r="B32" s="107"/>
      <c r="C32" s="13">
        <f>C11</f>
        <v>2023</v>
      </c>
      <c r="D32" s="14">
        <f>SUM($D11:D11)</f>
        <v>610</v>
      </c>
      <c r="E32" s="7"/>
      <c r="F32" s="7"/>
      <c r="G32" s="7"/>
      <c r="H32" s="107"/>
      <c r="I32" s="107"/>
      <c r="J32" s="107"/>
    </row>
    <row r="33" spans="1:10" x14ac:dyDescent="0.2">
      <c r="A33" s="20"/>
      <c r="B33" s="107"/>
      <c r="C33" s="107"/>
      <c r="D33" s="107"/>
      <c r="E33" s="107"/>
      <c r="F33" s="107"/>
      <c r="G33" s="107"/>
      <c r="H33" s="107"/>
      <c r="I33" s="107"/>
      <c r="J33" s="107"/>
    </row>
    <row r="34" spans="1:10" x14ac:dyDescent="0.2">
      <c r="A34" s="20" t="s">
        <v>154</v>
      </c>
      <c r="B34" s="188" t="s">
        <v>191</v>
      </c>
      <c r="C34" s="188"/>
      <c r="D34" s="188"/>
      <c r="E34" s="188"/>
      <c r="F34" s="188"/>
      <c r="G34" s="188"/>
      <c r="H34" s="188"/>
      <c r="I34" s="188"/>
      <c r="J34" s="107"/>
    </row>
    <row r="35" spans="1:10" x14ac:dyDescent="0.2">
      <c r="A35" s="20"/>
      <c r="B35" s="188"/>
      <c r="C35" s="188"/>
      <c r="D35" s="188"/>
      <c r="E35" s="188"/>
      <c r="F35" s="188"/>
      <c r="G35" s="188"/>
      <c r="H35" s="188"/>
      <c r="I35" s="188"/>
      <c r="J35" s="107"/>
    </row>
    <row r="36" spans="1:10" x14ac:dyDescent="0.2">
      <c r="A36" s="20"/>
      <c r="B36" s="107"/>
      <c r="C36" s="107"/>
      <c r="D36" s="107"/>
      <c r="E36" s="107"/>
      <c r="F36" s="107"/>
      <c r="G36" s="107"/>
      <c r="H36" s="107"/>
      <c r="I36" s="107"/>
      <c r="J36" s="107"/>
    </row>
    <row r="37" spans="1:10" x14ac:dyDescent="0.2">
      <c r="A37" s="20"/>
      <c r="B37" s="161" t="s">
        <v>231</v>
      </c>
      <c r="C37" s="107"/>
      <c r="D37" s="107"/>
      <c r="E37" s="107"/>
      <c r="F37" s="107"/>
      <c r="G37" s="107"/>
      <c r="H37" s="107"/>
      <c r="I37" s="107"/>
      <c r="J37" s="107"/>
    </row>
    <row r="38" spans="1:10" x14ac:dyDescent="0.2">
      <c r="A38" s="20"/>
      <c r="B38" s="202" t="s">
        <v>232</v>
      </c>
      <c r="C38" s="203"/>
      <c r="D38" s="203"/>
      <c r="E38" s="203"/>
      <c r="F38" s="203"/>
      <c r="G38" s="203"/>
      <c r="H38" s="203"/>
      <c r="I38" s="203"/>
      <c r="J38" s="107"/>
    </row>
    <row r="39" spans="1:10" x14ac:dyDescent="0.2">
      <c r="A39" s="20"/>
      <c r="B39" s="203"/>
      <c r="C39" s="203"/>
      <c r="D39" s="203"/>
      <c r="E39" s="203"/>
      <c r="F39" s="203"/>
      <c r="G39" s="203"/>
      <c r="H39" s="203"/>
      <c r="I39" s="203"/>
      <c r="J39" s="107"/>
    </row>
    <row r="40" spans="1:10" x14ac:dyDescent="0.2">
      <c r="A40" s="20"/>
      <c r="B40" s="203"/>
      <c r="C40" s="203"/>
      <c r="D40" s="203"/>
      <c r="E40" s="203"/>
      <c r="F40" s="203"/>
      <c r="G40" s="203"/>
      <c r="H40" s="203"/>
      <c r="I40" s="203"/>
      <c r="J40" s="107"/>
    </row>
    <row r="41" spans="1:10" x14ac:dyDescent="0.2">
      <c r="A41" s="20"/>
      <c r="B41" s="203"/>
      <c r="C41" s="203"/>
      <c r="D41" s="203"/>
      <c r="E41" s="203"/>
      <c r="F41" s="203"/>
      <c r="G41" s="203"/>
      <c r="H41" s="203"/>
      <c r="I41" s="203"/>
      <c r="J41" s="107"/>
    </row>
    <row r="42" spans="1:10" x14ac:dyDescent="0.2">
      <c r="A42" s="20"/>
      <c r="B42" s="203"/>
      <c r="C42" s="203"/>
      <c r="D42" s="203"/>
      <c r="E42" s="203"/>
      <c r="F42" s="203"/>
      <c r="G42" s="203"/>
      <c r="H42" s="203"/>
      <c r="I42" s="203"/>
      <c r="J42" s="107"/>
    </row>
    <row r="43" spans="1:10" x14ac:dyDescent="0.2">
      <c r="A43" s="20"/>
      <c r="B43" s="203"/>
      <c r="C43" s="203"/>
      <c r="D43" s="203"/>
      <c r="E43" s="203"/>
      <c r="F43" s="203"/>
      <c r="G43" s="203"/>
      <c r="H43" s="203"/>
      <c r="I43" s="203"/>
      <c r="J43" s="107"/>
    </row>
    <row r="44" spans="1:10" x14ac:dyDescent="0.2">
      <c r="A44" s="20"/>
      <c r="B44" s="107"/>
      <c r="C44" s="107"/>
      <c r="D44" s="107"/>
      <c r="E44" s="107"/>
      <c r="F44" s="107"/>
      <c r="G44" s="107"/>
      <c r="H44" s="107"/>
      <c r="I44" s="107"/>
      <c r="J44" s="107"/>
    </row>
    <row r="45" spans="1:10" ht="32" customHeight="1" x14ac:dyDescent="0.2">
      <c r="A45" s="20"/>
      <c r="B45" s="107"/>
      <c r="C45" s="158" t="s">
        <v>39</v>
      </c>
      <c r="D45" s="157" t="s">
        <v>238</v>
      </c>
      <c r="E45" s="157" t="s">
        <v>239</v>
      </c>
      <c r="F45" s="158" t="s">
        <v>240</v>
      </c>
      <c r="G45" s="157" t="s">
        <v>51</v>
      </c>
      <c r="H45" s="157" t="s">
        <v>52</v>
      </c>
      <c r="I45" s="107"/>
      <c r="J45" s="107"/>
    </row>
    <row r="46" spans="1:10" x14ac:dyDescent="0.2">
      <c r="A46" s="20"/>
      <c r="B46" s="107"/>
      <c r="C46" s="15">
        <f>E8</f>
        <v>390</v>
      </c>
      <c r="D46" s="14">
        <f>D29</f>
        <v>410</v>
      </c>
      <c r="E46" s="7">
        <v>0</v>
      </c>
      <c r="F46" s="13">
        <v>0</v>
      </c>
      <c r="G46" s="7">
        <v>0</v>
      </c>
      <c r="H46" s="7">
        <v>0</v>
      </c>
      <c r="I46" s="107"/>
      <c r="J46" s="107"/>
    </row>
    <row r="47" spans="1:10" x14ac:dyDescent="0.2">
      <c r="A47" s="20"/>
      <c r="B47" s="107"/>
      <c r="C47" s="15">
        <f>E9</f>
        <v>480</v>
      </c>
      <c r="D47" s="14">
        <f>D30</f>
        <v>620</v>
      </c>
      <c r="E47" s="7">
        <v>0</v>
      </c>
      <c r="F47" s="13">
        <v>0</v>
      </c>
      <c r="G47" s="7">
        <v>1</v>
      </c>
      <c r="H47" s="7">
        <v>0</v>
      </c>
      <c r="I47" s="107"/>
      <c r="J47" s="107"/>
    </row>
    <row r="48" spans="1:10" x14ac:dyDescent="0.2">
      <c r="A48" s="20"/>
      <c r="B48" s="107"/>
      <c r="C48" s="15">
        <f>E10</f>
        <v>620</v>
      </c>
      <c r="D48" s="14">
        <f>D31</f>
        <v>570</v>
      </c>
      <c r="E48" s="7">
        <v>0</v>
      </c>
      <c r="F48" s="13">
        <v>0</v>
      </c>
      <c r="G48" s="7">
        <v>0</v>
      </c>
      <c r="H48" s="7">
        <v>1</v>
      </c>
      <c r="I48" s="107"/>
      <c r="J48" s="107"/>
    </row>
    <row r="49" spans="1:10" x14ac:dyDescent="0.2">
      <c r="A49" s="20"/>
      <c r="B49" s="107"/>
      <c r="C49" s="15">
        <f>F8</f>
        <v>140</v>
      </c>
      <c r="D49" s="7">
        <v>0</v>
      </c>
      <c r="E49" s="14">
        <f>E29</f>
        <v>800</v>
      </c>
      <c r="F49" s="13">
        <v>0</v>
      </c>
      <c r="G49" s="7">
        <v>1</v>
      </c>
      <c r="H49" s="7">
        <v>0</v>
      </c>
      <c r="I49" s="107"/>
      <c r="J49" s="107"/>
    </row>
    <row r="50" spans="1:10" x14ac:dyDescent="0.2">
      <c r="A50" s="20"/>
      <c r="B50" s="107"/>
      <c r="C50" s="15">
        <f>F9</f>
        <v>340</v>
      </c>
      <c r="D50" s="7">
        <v>0</v>
      </c>
      <c r="E50" s="14">
        <f>E30</f>
        <v>1100</v>
      </c>
      <c r="F50" s="13">
        <v>0</v>
      </c>
      <c r="G50" s="7">
        <v>0</v>
      </c>
      <c r="H50" s="7">
        <v>1</v>
      </c>
      <c r="I50" s="107"/>
      <c r="J50" s="107"/>
    </row>
    <row r="51" spans="1:10" x14ac:dyDescent="0.2">
      <c r="A51" s="20"/>
      <c r="B51" s="107"/>
      <c r="C51" s="15">
        <f>G8</f>
        <v>60</v>
      </c>
      <c r="D51" s="7">
        <v>0</v>
      </c>
      <c r="E51" s="7">
        <v>0</v>
      </c>
      <c r="F51" s="15">
        <f>F29</f>
        <v>940</v>
      </c>
      <c r="G51" s="7">
        <v>0</v>
      </c>
      <c r="H51" s="7">
        <v>1</v>
      </c>
      <c r="I51" s="107"/>
      <c r="J51" s="107"/>
    </row>
    <row r="52" spans="1:10" x14ac:dyDescent="0.2">
      <c r="A52" s="20"/>
      <c r="B52" s="107"/>
      <c r="C52" s="107"/>
      <c r="D52" s="107"/>
      <c r="E52" s="107"/>
      <c r="F52" s="107"/>
      <c r="G52" s="107"/>
      <c r="H52" s="107"/>
      <c r="I52" s="107"/>
      <c r="J52" s="107"/>
    </row>
    <row r="53" spans="1:10" x14ac:dyDescent="0.2">
      <c r="A53" s="20" t="s">
        <v>155</v>
      </c>
      <c r="B53" s="9" t="s">
        <v>87</v>
      </c>
      <c r="C53" s="106"/>
      <c r="D53" s="107"/>
      <c r="E53" s="107"/>
      <c r="F53" s="107"/>
      <c r="G53" s="107"/>
      <c r="H53" s="107"/>
      <c r="I53" s="107"/>
      <c r="J53" s="107"/>
    </row>
    <row r="54" spans="1:10" x14ac:dyDescent="0.2">
      <c r="A54" s="20"/>
      <c r="B54" s="9"/>
      <c r="C54" s="106"/>
      <c r="D54" s="107"/>
      <c r="E54" s="107"/>
      <c r="F54" s="107"/>
      <c r="G54" s="107"/>
      <c r="H54" s="107"/>
      <c r="I54" s="107"/>
      <c r="J54" s="107"/>
    </row>
    <row r="55" spans="1:10" x14ac:dyDescent="0.2">
      <c r="A55" s="20"/>
      <c r="B55" s="179" t="s">
        <v>211</v>
      </c>
      <c r="C55" s="179"/>
      <c r="D55" s="179"/>
      <c r="E55" s="179"/>
      <c r="F55" s="179"/>
      <c r="G55" s="179"/>
      <c r="H55" s="179"/>
      <c r="I55" s="179"/>
      <c r="J55" s="107"/>
    </row>
    <row r="56" spans="1:10" x14ac:dyDescent="0.2">
      <c r="A56" s="20"/>
      <c r="B56" s="179"/>
      <c r="C56" s="179"/>
      <c r="D56" s="179"/>
      <c r="E56" s="179"/>
      <c r="F56" s="179"/>
      <c r="G56" s="179"/>
      <c r="H56" s="179"/>
      <c r="I56" s="179"/>
      <c r="J56" s="107"/>
    </row>
    <row r="57" spans="1:10" x14ac:dyDescent="0.2">
      <c r="A57" s="20"/>
      <c r="B57" s="107"/>
      <c r="C57" s="107"/>
      <c r="D57" s="107"/>
      <c r="E57" s="107"/>
      <c r="F57" s="107"/>
      <c r="G57" s="107"/>
      <c r="H57" s="107"/>
      <c r="I57" s="107"/>
      <c r="J57" s="107"/>
    </row>
    <row r="58" spans="1:10" x14ac:dyDescent="0.2">
      <c r="A58" s="20"/>
      <c r="B58" s="107"/>
      <c r="C58" s="200" t="s">
        <v>210</v>
      </c>
      <c r="D58" s="201"/>
      <c r="E58" s="201"/>
      <c r="F58" s="201"/>
      <c r="G58" s="201"/>
      <c r="H58" s="201"/>
      <c r="I58" s="107"/>
      <c r="J58" s="107"/>
    </row>
    <row r="59" spans="1:10" ht="17" x14ac:dyDescent="0.2">
      <c r="A59" s="20"/>
      <c r="B59" s="9"/>
      <c r="C59" s="198"/>
      <c r="D59" s="7" t="s">
        <v>40</v>
      </c>
      <c r="E59" s="7" t="s">
        <v>40</v>
      </c>
      <c r="F59" s="7" t="s">
        <v>40</v>
      </c>
      <c r="G59" s="7" t="s">
        <v>89</v>
      </c>
      <c r="H59" s="7" t="s">
        <v>91</v>
      </c>
    </row>
    <row r="60" spans="1:10" ht="17" x14ac:dyDescent="0.2">
      <c r="A60" s="20"/>
      <c r="B60" s="9"/>
      <c r="C60" s="199"/>
      <c r="D60" s="12" t="s">
        <v>41</v>
      </c>
      <c r="E60" s="12" t="s">
        <v>42</v>
      </c>
      <c r="F60" s="12" t="s">
        <v>43</v>
      </c>
      <c r="G60" s="12" t="s">
        <v>90</v>
      </c>
      <c r="H60" s="12" t="s">
        <v>92</v>
      </c>
    </row>
    <row r="61" spans="1:10" ht="17" x14ac:dyDescent="0.2">
      <c r="A61" s="20"/>
      <c r="B61" s="9"/>
      <c r="C61" s="13" t="s">
        <v>93</v>
      </c>
      <c r="D61" s="173">
        <f t="shared" ref="D61:H62" si="0">D20</f>
        <v>0.92940155650579592</v>
      </c>
      <c r="E61" s="174">
        <f t="shared" si="0"/>
        <v>0.25065835024649147</v>
      </c>
      <c r="F61" s="174">
        <f t="shared" si="0"/>
        <v>-1.8360067830082712E-2</v>
      </c>
      <c r="G61" s="175">
        <f t="shared" si="0"/>
        <v>-78.377822615393427</v>
      </c>
      <c r="H61" s="175">
        <f t="shared" si="0"/>
        <v>77.258463760277749</v>
      </c>
    </row>
    <row r="62" spans="1:10" x14ac:dyDescent="0.2">
      <c r="A62" s="20"/>
      <c r="B62" s="9"/>
      <c r="C62" s="144" t="s">
        <v>94</v>
      </c>
      <c r="D62" s="176">
        <f t="shared" si="0"/>
        <v>7.6136048858907762E-2</v>
      </c>
      <c r="E62" s="177">
        <f t="shared" si="0"/>
        <v>5.7235632881203348E-2</v>
      </c>
      <c r="F62" s="177">
        <f t="shared" si="0"/>
        <v>6.8504339012860183E-2</v>
      </c>
      <c r="G62" s="178">
        <f t="shared" si="0"/>
        <v>49.810463596761181</v>
      </c>
      <c r="H62" s="178">
        <f t="shared" si="0"/>
        <v>55.607130358388936</v>
      </c>
    </row>
    <row r="63" spans="1:10" x14ac:dyDescent="0.2">
      <c r="A63" s="20"/>
      <c r="B63" s="9"/>
      <c r="C63" s="76" t="s">
        <v>96</v>
      </c>
      <c r="G63" s="116">
        <f>ABS(G20)/G21</f>
        <v>1.5735212434459207</v>
      </c>
      <c r="H63" s="116">
        <f>ABS(H20)/H21</f>
        <v>1.3893625379037831</v>
      </c>
    </row>
    <row r="64" spans="1:10" x14ac:dyDescent="0.2">
      <c r="A64" s="20"/>
      <c r="B64" s="9"/>
      <c r="C64" s="76" t="s">
        <v>95</v>
      </c>
      <c r="G64" s="9" t="str">
        <f>IF(G63&gt;2, "Significant", "Not Significant")</f>
        <v>Not Significant</v>
      </c>
      <c r="H64" s="9" t="str">
        <f>IF(H63&gt;2, "Significant", "Not Significant")</f>
        <v>Not Significant</v>
      </c>
    </row>
    <row r="65" spans="1:14" x14ac:dyDescent="0.2">
      <c r="A65" s="20"/>
      <c r="B65" s="9"/>
    </row>
    <row r="66" spans="1:14" x14ac:dyDescent="0.2">
      <c r="A66" s="20"/>
      <c r="B66" s="179" t="s">
        <v>209</v>
      </c>
      <c r="C66" s="179"/>
      <c r="D66" s="179"/>
      <c r="E66" s="179"/>
      <c r="F66" s="179"/>
      <c r="G66" s="179"/>
      <c r="H66" s="179"/>
      <c r="I66" s="179"/>
    </row>
    <row r="67" spans="1:14" x14ac:dyDescent="0.2">
      <c r="B67" s="179"/>
      <c r="C67" s="179"/>
      <c r="D67" s="179"/>
      <c r="E67" s="179"/>
      <c r="F67" s="179"/>
      <c r="G67" s="179"/>
      <c r="H67" s="179"/>
      <c r="I67" s="179"/>
    </row>
    <row r="69" spans="1:14" x14ac:dyDescent="0.2">
      <c r="B69" s="9" t="s">
        <v>160</v>
      </c>
      <c r="L69" s="4"/>
      <c r="M69" s="4"/>
      <c r="N69" s="4"/>
    </row>
    <row r="70" spans="1:14" x14ac:dyDescent="0.2">
      <c r="B70" s="179" t="s">
        <v>161</v>
      </c>
      <c r="C70" s="180"/>
      <c r="D70" s="180"/>
      <c r="E70" s="180"/>
      <c r="F70" s="180"/>
      <c r="G70" s="180"/>
      <c r="H70" s="180"/>
      <c r="I70" s="180"/>
      <c r="L70" s="4"/>
      <c r="M70" s="4"/>
      <c r="N70" s="4"/>
    </row>
    <row r="71" spans="1:14" x14ac:dyDescent="0.2">
      <c r="B71" s="180"/>
      <c r="C71" s="180"/>
      <c r="D71" s="180"/>
      <c r="E71" s="180"/>
      <c r="F71" s="180"/>
      <c r="G71" s="180"/>
      <c r="H71" s="180"/>
      <c r="I71" s="180"/>
      <c r="L71" s="4"/>
      <c r="M71" s="4"/>
      <c r="N71" s="4"/>
    </row>
    <row r="72" spans="1:14" x14ac:dyDescent="0.2">
      <c r="B72" s="180"/>
      <c r="C72" s="180"/>
      <c r="D72" s="180"/>
      <c r="E72" s="180"/>
      <c r="F72" s="180"/>
      <c r="G72" s="180"/>
      <c r="H72" s="180"/>
      <c r="I72" s="180"/>
      <c r="L72" s="4"/>
      <c r="M72" s="4"/>
      <c r="N72" s="4"/>
    </row>
    <row r="73" spans="1:14" x14ac:dyDescent="0.2">
      <c r="L73" s="4"/>
      <c r="M73" s="4"/>
      <c r="N73" s="4"/>
    </row>
    <row r="74" spans="1:14" ht="19" x14ac:dyDescent="0.25">
      <c r="A74" s="2" t="s">
        <v>97</v>
      </c>
      <c r="L74" s="4"/>
      <c r="M74" s="4"/>
      <c r="N74" s="4"/>
    </row>
    <row r="75" spans="1:14" x14ac:dyDescent="0.2">
      <c r="B75" s="179" t="s">
        <v>208</v>
      </c>
      <c r="C75" s="180"/>
      <c r="D75" s="180"/>
      <c r="E75" s="180"/>
      <c r="F75" s="180"/>
      <c r="G75" s="180"/>
      <c r="H75" s="180"/>
      <c r="I75" s="180"/>
      <c r="L75" s="4"/>
      <c r="M75" s="4"/>
      <c r="N75" s="4"/>
    </row>
    <row r="76" spans="1:14" x14ac:dyDescent="0.2">
      <c r="B76" s="180"/>
      <c r="C76" s="180"/>
      <c r="D76" s="180"/>
      <c r="E76" s="180"/>
      <c r="F76" s="180"/>
      <c r="G76" s="180"/>
      <c r="H76" s="180"/>
      <c r="I76" s="180"/>
      <c r="L76" s="4"/>
      <c r="M76" s="4"/>
      <c r="N76" s="4"/>
    </row>
    <row r="77" spans="1:14" x14ac:dyDescent="0.2">
      <c r="B77" s="180"/>
      <c r="C77" s="180"/>
      <c r="D77" s="180"/>
      <c r="E77" s="180"/>
      <c r="F77" s="180"/>
      <c r="G77" s="180"/>
      <c r="H77" s="180"/>
      <c r="I77" s="180"/>
      <c r="L77" s="4"/>
      <c r="M77" s="4"/>
      <c r="N77" s="4"/>
    </row>
    <row r="78" spans="1:14" x14ac:dyDescent="0.2">
      <c r="B78" s="180"/>
      <c r="C78" s="180"/>
      <c r="D78" s="180"/>
      <c r="E78" s="180"/>
      <c r="F78" s="180"/>
      <c r="G78" s="180"/>
      <c r="H78" s="180"/>
      <c r="I78" s="180"/>
      <c r="L78" s="4"/>
      <c r="M78" s="4"/>
      <c r="N78" s="4"/>
    </row>
    <row r="79" spans="1:14" x14ac:dyDescent="0.2">
      <c r="B79" s="180"/>
      <c r="C79" s="180"/>
      <c r="D79" s="180"/>
      <c r="E79" s="180"/>
      <c r="F79" s="180"/>
      <c r="G79" s="180"/>
      <c r="H79" s="180"/>
      <c r="I79" s="180"/>
      <c r="L79" s="4"/>
      <c r="M79" s="4"/>
      <c r="N79" s="4"/>
    </row>
    <row r="80" spans="1:14" x14ac:dyDescent="0.2">
      <c r="B80" s="180"/>
      <c r="C80" s="180"/>
      <c r="D80" s="180"/>
      <c r="E80" s="180"/>
      <c r="F80" s="180"/>
      <c r="G80" s="180"/>
      <c r="H80" s="180"/>
      <c r="I80" s="180"/>
      <c r="M80" s="70"/>
    </row>
    <row r="81" spans="1:14" x14ac:dyDescent="0.2">
      <c r="B81" s="180"/>
      <c r="C81" s="180"/>
      <c r="D81" s="180"/>
      <c r="E81" s="180"/>
      <c r="F81" s="180"/>
      <c r="G81" s="180"/>
      <c r="H81" s="180"/>
      <c r="I81" s="180"/>
      <c r="L81" s="4"/>
      <c r="M81" s="4"/>
      <c r="N81" s="4"/>
    </row>
    <row r="82" spans="1:14" x14ac:dyDescent="0.2">
      <c r="B82" s="180"/>
      <c r="C82" s="180"/>
      <c r="D82" s="180"/>
      <c r="E82" s="180"/>
      <c r="F82" s="180"/>
      <c r="G82" s="180"/>
      <c r="H82" s="180"/>
      <c r="I82" s="180"/>
      <c r="L82" s="4"/>
      <c r="M82" s="4"/>
      <c r="N82" s="4"/>
    </row>
    <row r="83" spans="1:14" x14ac:dyDescent="0.2">
      <c r="B83" s="180"/>
      <c r="C83" s="180"/>
      <c r="D83" s="180"/>
      <c r="E83" s="180"/>
      <c r="F83" s="180"/>
      <c r="G83" s="180"/>
      <c r="H83" s="180"/>
      <c r="I83" s="180"/>
      <c r="L83" s="4"/>
      <c r="M83" s="4"/>
      <c r="N83" s="4"/>
    </row>
    <row r="84" spans="1:14" x14ac:dyDescent="0.2">
      <c r="B84" s="180"/>
      <c r="C84" s="180"/>
      <c r="D84" s="180"/>
      <c r="E84" s="180"/>
      <c r="F84" s="180"/>
      <c r="G84" s="180"/>
      <c r="H84" s="180"/>
      <c r="I84" s="180"/>
      <c r="L84" s="4"/>
      <c r="M84" s="4"/>
      <c r="N84" s="4"/>
    </row>
    <row r="85" spans="1:14" x14ac:dyDescent="0.2">
      <c r="B85" s="180"/>
      <c r="C85" s="180"/>
      <c r="D85" s="180"/>
      <c r="E85" s="180"/>
      <c r="F85" s="180"/>
      <c r="G85" s="180"/>
      <c r="H85" s="180"/>
      <c r="I85" s="180"/>
      <c r="L85" s="4"/>
      <c r="M85" s="4"/>
      <c r="N85" s="4"/>
    </row>
    <row r="86" spans="1:14" x14ac:dyDescent="0.2">
      <c r="B86" s="180"/>
      <c r="C86" s="180"/>
      <c r="D86" s="180"/>
      <c r="E86" s="180"/>
      <c r="F86" s="180"/>
      <c r="G86" s="180"/>
      <c r="H86" s="180"/>
      <c r="I86" s="180"/>
      <c r="L86" s="4"/>
      <c r="M86" s="4"/>
      <c r="N86" s="4"/>
    </row>
    <row r="87" spans="1:14" x14ac:dyDescent="0.2">
      <c r="B87" s="180"/>
      <c r="C87" s="180"/>
      <c r="D87" s="180"/>
      <c r="E87" s="180"/>
      <c r="F87" s="180"/>
      <c r="G87" s="180"/>
      <c r="H87" s="180"/>
      <c r="I87" s="180"/>
      <c r="L87" s="4"/>
      <c r="M87" s="4"/>
      <c r="N87" s="4"/>
    </row>
    <row r="88" spans="1:14" x14ac:dyDescent="0.2">
      <c r="L88" s="4"/>
      <c r="M88" s="4"/>
      <c r="N88" s="4"/>
    </row>
    <row r="89" spans="1:14" x14ac:dyDescent="0.2">
      <c r="C89" s="86" t="s">
        <v>39</v>
      </c>
      <c r="D89" s="87" t="s">
        <v>41</v>
      </c>
      <c r="E89" s="87" t="s">
        <v>42</v>
      </c>
      <c r="F89" s="87" t="s">
        <v>43</v>
      </c>
      <c r="L89" s="4"/>
      <c r="M89" s="4"/>
      <c r="N89" s="4"/>
    </row>
    <row r="90" spans="1:14" x14ac:dyDescent="0.2">
      <c r="C90" s="88">
        <v>390</v>
      </c>
      <c r="D90" s="89">
        <v>1</v>
      </c>
      <c r="E90" s="89" t="s">
        <v>119</v>
      </c>
      <c r="F90" s="89" t="s">
        <v>119</v>
      </c>
      <c r="M90" s="70"/>
    </row>
    <row r="91" spans="1:14" x14ac:dyDescent="0.2">
      <c r="C91" s="88">
        <v>480</v>
      </c>
      <c r="D91" s="89">
        <v>1</v>
      </c>
      <c r="E91" s="89" t="s">
        <v>119</v>
      </c>
      <c r="F91" s="89" t="s">
        <v>119</v>
      </c>
      <c r="L91" s="4"/>
      <c r="M91" s="4"/>
      <c r="N91" s="4"/>
    </row>
    <row r="92" spans="1:14" x14ac:dyDescent="0.2">
      <c r="C92" s="88">
        <v>620</v>
      </c>
      <c r="D92" s="89">
        <v>1</v>
      </c>
      <c r="E92" s="89" t="s">
        <v>119</v>
      </c>
      <c r="F92" s="89" t="s">
        <v>119</v>
      </c>
      <c r="L92" s="4"/>
      <c r="M92" s="4"/>
      <c r="N92" s="4"/>
    </row>
    <row r="93" spans="1:14" x14ac:dyDescent="0.2">
      <c r="C93" s="88">
        <v>140</v>
      </c>
      <c r="D93" s="89" t="s">
        <v>119</v>
      </c>
      <c r="E93" s="89">
        <v>1</v>
      </c>
      <c r="F93" s="89" t="s">
        <v>119</v>
      </c>
      <c r="L93" s="4"/>
      <c r="M93" s="4"/>
      <c r="N93" s="4"/>
    </row>
    <row r="94" spans="1:14" x14ac:dyDescent="0.2">
      <c r="C94" s="88">
        <v>340</v>
      </c>
      <c r="D94" s="89" t="s">
        <v>119</v>
      </c>
      <c r="E94" s="89">
        <v>1</v>
      </c>
      <c r="F94" s="89" t="s">
        <v>119</v>
      </c>
      <c r="L94" s="4"/>
      <c r="M94" s="4"/>
      <c r="N94" s="4"/>
    </row>
    <row r="95" spans="1:14" x14ac:dyDescent="0.2">
      <c r="A95" s="4"/>
      <c r="C95" s="18">
        <v>60</v>
      </c>
      <c r="D95" s="17" t="s">
        <v>119</v>
      </c>
      <c r="E95" s="17" t="s">
        <v>119</v>
      </c>
      <c r="F95" s="17">
        <v>1</v>
      </c>
      <c r="G95" s="4"/>
      <c r="H95" s="4"/>
      <c r="I95" s="4"/>
      <c r="J95" s="4"/>
      <c r="L95" s="4"/>
      <c r="M95" s="4"/>
      <c r="N95" s="4"/>
    </row>
    <row r="96" spans="1:14" x14ac:dyDescent="0.2">
      <c r="A96" s="4"/>
      <c r="B96" s="4"/>
      <c r="C96" s="4"/>
      <c r="D96" s="4"/>
      <c r="E96" s="4"/>
      <c r="F96" s="4"/>
      <c r="G96" s="4"/>
      <c r="H96" s="4"/>
      <c r="I96" s="4"/>
      <c r="J96" s="4"/>
      <c r="L96" s="4"/>
      <c r="M96" s="4"/>
      <c r="N96" s="4"/>
    </row>
    <row r="97" spans="1:65" ht="19" x14ac:dyDescent="0.25">
      <c r="A97" s="2" t="s">
        <v>107</v>
      </c>
      <c r="B97" s="4"/>
      <c r="C97" s="4"/>
      <c r="D97" s="4"/>
      <c r="E97" s="4"/>
      <c r="F97" s="4"/>
      <c r="G97" s="4"/>
      <c r="H97" s="4"/>
      <c r="I97" s="4"/>
      <c r="J97" s="4"/>
      <c r="L97" s="4"/>
      <c r="M97" s="4"/>
      <c r="N97" s="4"/>
    </row>
    <row r="98" spans="1:65" x14ac:dyDescent="0.2">
      <c r="A98" s="4"/>
      <c r="B98" s="64" t="s">
        <v>120</v>
      </c>
      <c r="C98" s="4"/>
      <c r="D98" s="4"/>
      <c r="E98" s="4"/>
      <c r="F98" s="4"/>
      <c r="G98" s="4"/>
      <c r="H98" s="4"/>
      <c r="I98" s="4"/>
      <c r="J98" s="4"/>
      <c r="L98" s="4"/>
      <c r="M98" s="4"/>
      <c r="N98" s="4"/>
    </row>
    <row r="99" spans="1:65" x14ac:dyDescent="0.2">
      <c r="A99" s="4"/>
      <c r="B99" s="4"/>
      <c r="C99" s="4"/>
      <c r="D99" s="4"/>
      <c r="E99" s="4"/>
      <c r="F99" s="4"/>
      <c r="G99" s="4"/>
      <c r="H99" s="4"/>
      <c r="I99" s="4"/>
      <c r="J99" s="4"/>
      <c r="L99" s="4"/>
      <c r="M99" s="4"/>
      <c r="N99" s="4"/>
    </row>
    <row r="100" spans="1:65" ht="19" x14ac:dyDescent="0.25">
      <c r="A100" s="2" t="s">
        <v>109</v>
      </c>
      <c r="B100" s="4"/>
      <c r="C100" s="4"/>
      <c r="D100" s="4"/>
      <c r="E100" s="4"/>
      <c r="F100" s="4"/>
      <c r="G100" s="4"/>
      <c r="H100" s="4"/>
      <c r="I100" s="4"/>
      <c r="J100" s="4"/>
      <c r="M100" s="70"/>
    </row>
    <row r="101" spans="1:65" x14ac:dyDescent="0.2">
      <c r="A101" s="4"/>
      <c r="B101" s="64" t="s">
        <v>121</v>
      </c>
      <c r="C101" s="4"/>
      <c r="D101" s="64" t="s">
        <v>122</v>
      </c>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sheetData>
  <mergeCells count="12">
    <mergeCell ref="B75:I87"/>
    <mergeCell ref="B66:I67"/>
    <mergeCell ref="C58:H58"/>
    <mergeCell ref="B55:I56"/>
    <mergeCell ref="C27:G27"/>
    <mergeCell ref="B38:I43"/>
    <mergeCell ref="B70:I72"/>
    <mergeCell ref="C6:C7"/>
    <mergeCell ref="C59:C60"/>
    <mergeCell ref="C5:G5"/>
    <mergeCell ref="C18:C19"/>
    <mergeCell ref="B34:I3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213"/>
  <sheetViews>
    <sheetView showGridLines="0" zoomScale="120" zoomScaleNormal="120" workbookViewId="0"/>
  </sheetViews>
  <sheetFormatPr baseColWidth="10" defaultColWidth="10.83203125" defaultRowHeight="16" x14ac:dyDescent="0.2"/>
  <cols>
    <col min="1" max="11" width="10.83203125" style="64" customWidth="1"/>
    <col min="12" max="16384" width="10.83203125" style="64"/>
  </cols>
  <sheetData>
    <row r="1" spans="1:10" ht="19" x14ac:dyDescent="0.25">
      <c r="A1" s="1" t="s">
        <v>150</v>
      </c>
      <c r="B1" s="62"/>
      <c r="C1" s="62"/>
      <c r="D1" s="62"/>
      <c r="E1" s="62"/>
      <c r="F1" s="62"/>
      <c r="G1" s="62"/>
      <c r="H1" s="62"/>
      <c r="I1" s="62"/>
      <c r="J1" s="63"/>
    </row>
    <row r="2" spans="1:10" x14ac:dyDescent="0.2">
      <c r="A2" s="65"/>
      <c r="B2" s="62"/>
      <c r="C2" s="62"/>
      <c r="D2" s="62"/>
      <c r="E2" s="62"/>
      <c r="F2" s="62"/>
      <c r="G2" s="62"/>
      <c r="H2" s="62"/>
      <c r="I2" s="62"/>
      <c r="J2" s="63"/>
    </row>
    <row r="3" spans="1:10" x14ac:dyDescent="0.2">
      <c r="A3" s="5"/>
      <c r="B3" s="62" t="s">
        <v>1</v>
      </c>
      <c r="C3" s="62"/>
      <c r="D3" s="62"/>
      <c r="E3" s="62"/>
      <c r="F3" s="62"/>
      <c r="G3" s="62"/>
      <c r="H3" s="62"/>
      <c r="I3" s="62"/>
      <c r="J3" s="63"/>
    </row>
    <row r="4" spans="1:10" x14ac:dyDescent="0.2">
      <c r="A4" s="5"/>
      <c r="B4" s="62"/>
      <c r="C4" s="62"/>
      <c r="D4" s="62"/>
      <c r="E4" s="62"/>
      <c r="F4" s="62"/>
      <c r="G4" s="62"/>
      <c r="H4" s="62"/>
      <c r="I4" s="62"/>
      <c r="J4" s="63"/>
    </row>
    <row r="5" spans="1:10" x14ac:dyDescent="0.2">
      <c r="A5" s="5"/>
      <c r="B5" s="183" t="s">
        <v>44</v>
      </c>
      <c r="C5" s="184"/>
      <c r="D5" s="184"/>
      <c r="E5" s="184"/>
      <c r="F5" s="184"/>
      <c r="G5" s="185"/>
      <c r="H5" s="62"/>
      <c r="I5" s="62"/>
      <c r="J5" s="63"/>
    </row>
    <row r="6" spans="1:10" x14ac:dyDescent="0.2">
      <c r="A6" s="5"/>
      <c r="B6" s="195" t="s">
        <v>3</v>
      </c>
      <c r="C6" s="44"/>
      <c r="D6" s="45"/>
      <c r="E6" s="45"/>
      <c r="F6" s="45"/>
      <c r="G6" s="46"/>
      <c r="H6" s="62"/>
      <c r="I6" s="62"/>
      <c r="J6" s="63"/>
    </row>
    <row r="7" spans="1:10" ht="17" x14ac:dyDescent="0.2">
      <c r="A7" s="5"/>
      <c r="B7" s="196"/>
      <c r="C7" s="53" t="s">
        <v>19</v>
      </c>
      <c r="D7" s="43" t="s">
        <v>20</v>
      </c>
      <c r="E7" s="43" t="s">
        <v>21</v>
      </c>
      <c r="F7" s="43" t="s">
        <v>37</v>
      </c>
      <c r="G7" s="35" t="s">
        <v>45</v>
      </c>
      <c r="H7" s="62"/>
      <c r="I7" s="62"/>
      <c r="J7" s="63"/>
    </row>
    <row r="8" spans="1:10" x14ac:dyDescent="0.2">
      <c r="A8" s="5"/>
      <c r="B8" s="30">
        <v>2019</v>
      </c>
      <c r="C8" s="37">
        <v>2820</v>
      </c>
      <c r="D8" s="38">
        <v>2400</v>
      </c>
      <c r="E8" s="38">
        <v>1100</v>
      </c>
      <c r="F8" s="52">
        <v>770</v>
      </c>
      <c r="G8" s="39">
        <v>430</v>
      </c>
      <c r="H8" s="62"/>
      <c r="I8" s="62"/>
      <c r="J8" s="63"/>
    </row>
    <row r="9" spans="1:10" x14ac:dyDescent="0.2">
      <c r="A9" s="5"/>
      <c r="B9" s="31">
        <v>2020</v>
      </c>
      <c r="C9" s="40">
        <v>1890</v>
      </c>
      <c r="D9" s="41">
        <v>2860</v>
      </c>
      <c r="E9" s="41">
        <v>1860</v>
      </c>
      <c r="F9" s="41">
        <v>1090</v>
      </c>
      <c r="G9" s="34"/>
      <c r="H9" s="62"/>
      <c r="I9" s="62"/>
      <c r="J9" s="63"/>
    </row>
    <row r="10" spans="1:10" x14ac:dyDescent="0.2">
      <c r="A10" s="5"/>
      <c r="B10" s="31">
        <v>2021</v>
      </c>
      <c r="C10" s="40">
        <v>2480</v>
      </c>
      <c r="D10" s="41">
        <v>4230</v>
      </c>
      <c r="E10" s="41">
        <v>1760</v>
      </c>
      <c r="F10" s="6"/>
      <c r="G10" s="34"/>
      <c r="H10" s="62"/>
      <c r="I10" s="62"/>
      <c r="J10" s="63"/>
    </row>
    <row r="11" spans="1:10" x14ac:dyDescent="0.2">
      <c r="A11" s="5"/>
      <c r="B11" s="31">
        <v>2022</v>
      </c>
      <c r="C11" s="40">
        <v>2430</v>
      </c>
      <c r="D11" s="41">
        <v>3950</v>
      </c>
      <c r="E11" s="6"/>
      <c r="F11" s="6"/>
      <c r="G11" s="34"/>
      <c r="H11" s="62"/>
      <c r="I11" s="62"/>
      <c r="J11" s="63"/>
    </row>
    <row r="12" spans="1:10" x14ac:dyDescent="0.2">
      <c r="A12" s="5"/>
      <c r="B12" s="32">
        <v>2023</v>
      </c>
      <c r="C12" s="42">
        <v>2250</v>
      </c>
      <c r="D12" s="43"/>
      <c r="E12" s="43"/>
      <c r="F12" s="43"/>
      <c r="G12" s="35"/>
      <c r="H12" s="62"/>
      <c r="I12" s="62"/>
      <c r="J12" s="63"/>
    </row>
    <row r="13" spans="1:10" x14ac:dyDescent="0.2">
      <c r="A13" s="5"/>
      <c r="B13" s="62"/>
      <c r="C13" s="62"/>
      <c r="D13" s="62"/>
      <c r="E13" s="62"/>
      <c r="F13" s="62"/>
      <c r="G13" s="62"/>
      <c r="H13" s="62"/>
      <c r="I13" s="62"/>
      <c r="J13" s="63"/>
    </row>
    <row r="14" spans="1:10" x14ac:dyDescent="0.2">
      <c r="A14" s="5"/>
      <c r="B14" s="80" t="s">
        <v>53</v>
      </c>
      <c r="C14" s="62"/>
      <c r="D14" s="62"/>
      <c r="E14" s="62"/>
      <c r="F14" s="62"/>
      <c r="G14" s="62"/>
      <c r="H14" s="62"/>
      <c r="I14" s="62"/>
      <c r="J14" s="63"/>
    </row>
    <row r="15" spans="1:10" x14ac:dyDescent="0.2">
      <c r="A15" s="5"/>
      <c r="B15" s="62"/>
      <c r="C15" s="62"/>
      <c r="D15" s="62"/>
      <c r="E15" s="62"/>
      <c r="F15" s="62"/>
      <c r="G15" s="62"/>
      <c r="H15" s="62"/>
      <c r="I15" s="62"/>
      <c r="J15" s="63"/>
    </row>
    <row r="16" spans="1:10" ht="17" x14ac:dyDescent="0.2">
      <c r="A16" s="5"/>
      <c r="B16" s="29" t="s">
        <v>46</v>
      </c>
      <c r="C16" s="61">
        <v>12</v>
      </c>
      <c r="D16" s="27">
        <v>24</v>
      </c>
      <c r="E16" s="27">
        <v>36</v>
      </c>
      <c r="F16" s="27">
        <v>48</v>
      </c>
      <c r="G16" s="28">
        <v>60</v>
      </c>
      <c r="H16" s="62"/>
      <c r="I16" s="62"/>
      <c r="J16" s="63"/>
    </row>
    <row r="17" spans="1:12" ht="17" x14ac:dyDescent="0.2">
      <c r="A17" s="5"/>
      <c r="B17" s="32" t="s">
        <v>26</v>
      </c>
      <c r="C17" s="145">
        <v>0.26300000000000001</v>
      </c>
      <c r="D17" s="146">
        <v>0.379</v>
      </c>
      <c r="E17" s="146">
        <v>0.18099999999999999</v>
      </c>
      <c r="F17" s="146">
        <v>0.122</v>
      </c>
      <c r="G17" s="115">
        <v>5.8000000000000003E-2</v>
      </c>
      <c r="H17" s="62"/>
      <c r="I17" s="62"/>
      <c r="J17" s="63"/>
    </row>
    <row r="18" spans="1:12" x14ac:dyDescent="0.2">
      <c r="A18" s="5"/>
      <c r="B18" s="27"/>
      <c r="C18" s="126"/>
      <c r="D18" s="125"/>
      <c r="E18" s="125"/>
      <c r="F18" s="125"/>
      <c r="G18" s="125"/>
      <c r="H18" s="62"/>
      <c r="I18" s="62"/>
      <c r="J18" s="63"/>
    </row>
    <row r="19" spans="1:12" ht="17" x14ac:dyDescent="0.2">
      <c r="A19" s="5"/>
      <c r="B19" s="29" t="s">
        <v>47</v>
      </c>
      <c r="C19" s="61">
        <v>2019</v>
      </c>
      <c r="D19" s="27">
        <v>2020</v>
      </c>
      <c r="E19" s="27">
        <v>2021</v>
      </c>
      <c r="F19" s="27">
        <v>2022</v>
      </c>
      <c r="G19" s="28">
        <v>2023</v>
      </c>
      <c r="H19" s="62"/>
      <c r="I19" s="62"/>
      <c r="J19" s="63"/>
    </row>
    <row r="20" spans="1:12" ht="17" x14ac:dyDescent="0.2">
      <c r="A20" s="5"/>
      <c r="B20" s="32" t="s">
        <v>28</v>
      </c>
      <c r="C20" s="42">
        <v>7464</v>
      </c>
      <c r="D20" s="59">
        <v>7873</v>
      </c>
      <c r="E20" s="59">
        <v>10482</v>
      </c>
      <c r="F20" s="59">
        <v>10038</v>
      </c>
      <c r="G20" s="60">
        <v>8555</v>
      </c>
      <c r="H20" s="62"/>
      <c r="I20" s="62"/>
      <c r="J20" s="63"/>
    </row>
    <row r="21" spans="1:12" x14ac:dyDescent="0.2">
      <c r="A21" s="5"/>
      <c r="B21" s="62"/>
      <c r="C21" s="62"/>
      <c r="D21" s="62"/>
      <c r="E21" s="62"/>
      <c r="F21" s="62"/>
      <c r="G21" s="62"/>
      <c r="H21" s="62"/>
      <c r="I21" s="62"/>
      <c r="J21" s="63"/>
    </row>
    <row r="22" spans="1:12" x14ac:dyDescent="0.2">
      <c r="A22" s="5"/>
      <c r="B22" s="80" t="s">
        <v>54</v>
      </c>
      <c r="C22" s="62"/>
      <c r="D22" s="62"/>
      <c r="E22" s="62"/>
      <c r="F22" s="62"/>
      <c r="G22" s="62"/>
      <c r="H22" s="62"/>
      <c r="I22" s="62"/>
      <c r="J22" s="63"/>
    </row>
    <row r="23" spans="1:12" x14ac:dyDescent="0.2">
      <c r="A23" s="5"/>
      <c r="B23" s="62"/>
      <c r="C23" s="62"/>
      <c r="D23" s="62"/>
      <c r="E23" s="62"/>
      <c r="F23" s="62"/>
      <c r="G23" s="62"/>
      <c r="H23" s="62"/>
      <c r="I23" s="62"/>
      <c r="J23" s="63"/>
    </row>
    <row r="24" spans="1:12" ht="17" x14ac:dyDescent="0.2">
      <c r="A24" s="5"/>
      <c r="B24" s="55"/>
      <c r="C24" s="56" t="s">
        <v>58</v>
      </c>
      <c r="D24" s="57" t="s">
        <v>55</v>
      </c>
      <c r="E24" s="57" t="s">
        <v>56</v>
      </c>
      <c r="F24" s="58" t="s">
        <v>57</v>
      </c>
      <c r="G24" s="62"/>
      <c r="H24" s="62"/>
      <c r="I24" s="62"/>
      <c r="J24" s="63"/>
    </row>
    <row r="25" spans="1:12" ht="17" x14ac:dyDescent="0.2">
      <c r="A25" s="5"/>
      <c r="B25" s="55" t="s">
        <v>22</v>
      </c>
      <c r="C25" s="147">
        <v>2.3969999999999998</v>
      </c>
      <c r="D25" s="148">
        <v>1.2829999999999999</v>
      </c>
      <c r="E25" s="148">
        <v>1.1439999999999999</v>
      </c>
      <c r="F25" s="149">
        <v>1.0609999999999999</v>
      </c>
      <c r="G25" s="62"/>
      <c r="H25" s="62"/>
      <c r="I25" s="62"/>
      <c r="J25" s="63"/>
    </row>
    <row r="26" spans="1:12" x14ac:dyDescent="0.2">
      <c r="A26" s="5"/>
      <c r="B26" s="62"/>
      <c r="C26" s="62"/>
      <c r="D26" s="62"/>
      <c r="E26" s="62"/>
      <c r="F26" s="62"/>
      <c r="G26" s="62"/>
      <c r="H26" s="62"/>
      <c r="I26" s="62"/>
      <c r="J26" s="63"/>
    </row>
    <row r="27" spans="1:12" x14ac:dyDescent="0.2">
      <c r="A27" s="5"/>
      <c r="B27" s="62"/>
      <c r="C27" s="62"/>
      <c r="D27" s="62"/>
      <c r="E27" s="62"/>
      <c r="F27" s="62"/>
      <c r="G27" s="62"/>
      <c r="H27" s="62"/>
      <c r="I27" s="62"/>
      <c r="J27" s="63"/>
    </row>
    <row r="28" spans="1:12" x14ac:dyDescent="0.2">
      <c r="A28" s="5"/>
      <c r="B28" s="62" t="s">
        <v>59</v>
      </c>
      <c r="C28" s="62"/>
      <c r="D28" s="62"/>
      <c r="E28" s="62"/>
      <c r="F28" s="62"/>
      <c r="G28" s="62"/>
      <c r="H28" s="62"/>
      <c r="I28" s="62"/>
      <c r="J28" s="63"/>
      <c r="L28" s="4"/>
    </row>
    <row r="29" spans="1:12" x14ac:dyDescent="0.2">
      <c r="A29" s="5"/>
      <c r="B29" s="62" t="s">
        <v>60</v>
      </c>
      <c r="C29" s="62"/>
      <c r="D29" s="62"/>
      <c r="E29" s="62"/>
      <c r="F29" s="62"/>
      <c r="G29" s="62"/>
      <c r="H29" s="62"/>
      <c r="I29" s="62"/>
      <c r="J29" s="63"/>
      <c r="L29" s="4"/>
    </row>
    <row r="30" spans="1:12" ht="17" thickBot="1" x14ac:dyDescent="0.25">
      <c r="A30" s="66"/>
      <c r="B30" s="67"/>
      <c r="C30" s="68"/>
      <c r="D30" s="68"/>
      <c r="E30" s="68"/>
      <c r="F30" s="67"/>
      <c r="G30" s="67"/>
      <c r="H30" s="67"/>
      <c r="I30" s="67"/>
      <c r="J30" s="69"/>
      <c r="L30" s="4"/>
    </row>
    <row r="31" spans="1:12" x14ac:dyDescent="0.2">
      <c r="L31" s="4"/>
    </row>
    <row r="32" spans="1:12" ht="19" x14ac:dyDescent="0.25">
      <c r="A32" s="2" t="s">
        <v>0</v>
      </c>
      <c r="L32" s="4"/>
    </row>
    <row r="33" spans="1:10" x14ac:dyDescent="0.2">
      <c r="A33" s="20" t="s">
        <v>153</v>
      </c>
      <c r="B33" s="188" t="s">
        <v>192</v>
      </c>
      <c r="C33" s="188"/>
      <c r="D33" s="188"/>
      <c r="E33" s="188"/>
      <c r="F33" s="188"/>
      <c r="G33" s="188"/>
      <c r="H33" s="188"/>
      <c r="I33" s="188"/>
      <c r="J33" s="107"/>
    </row>
    <row r="34" spans="1:10" x14ac:dyDescent="0.2">
      <c r="A34" s="20"/>
      <c r="B34" s="188"/>
      <c r="C34" s="188"/>
      <c r="D34" s="188"/>
      <c r="E34" s="188"/>
      <c r="F34" s="188"/>
      <c r="G34" s="188"/>
      <c r="H34" s="188"/>
      <c r="I34" s="188"/>
      <c r="J34" s="107"/>
    </row>
    <row r="35" spans="1:10" x14ac:dyDescent="0.2">
      <c r="A35" s="20"/>
      <c r="B35" s="107"/>
      <c r="C35" s="107"/>
      <c r="D35" s="107"/>
      <c r="E35" s="107"/>
      <c r="F35" s="107"/>
      <c r="G35" s="107"/>
      <c r="H35" s="107"/>
      <c r="I35" s="107"/>
      <c r="J35" s="107"/>
    </row>
    <row r="36" spans="1:10" x14ac:dyDescent="0.2">
      <c r="A36" s="20"/>
      <c r="B36" s="107"/>
      <c r="C36" s="107"/>
      <c r="D36" s="107"/>
      <c r="E36" s="107"/>
      <c r="F36" s="107"/>
      <c r="G36" s="107"/>
      <c r="H36" s="107"/>
      <c r="I36" s="107"/>
      <c r="J36" s="107"/>
    </row>
    <row r="37" spans="1:10" x14ac:dyDescent="0.2">
      <c r="A37" s="20"/>
      <c r="B37" s="107"/>
      <c r="D37" s="107"/>
      <c r="E37" s="107"/>
      <c r="F37" s="107"/>
      <c r="G37" s="107"/>
      <c r="H37" s="107"/>
      <c r="I37" s="107"/>
      <c r="J37" s="107"/>
    </row>
    <row r="38" spans="1:10" x14ac:dyDescent="0.2">
      <c r="A38" s="20"/>
      <c r="B38" s="107"/>
      <c r="C38" s="193" t="s">
        <v>213</v>
      </c>
      <c r="D38" s="193"/>
      <c r="E38" s="193"/>
      <c r="F38" s="193"/>
      <c r="G38" s="193"/>
      <c r="H38" s="193"/>
      <c r="J38" s="107"/>
    </row>
    <row r="39" spans="1:10" ht="17" x14ac:dyDescent="0.2">
      <c r="A39" s="20"/>
      <c r="B39" s="107"/>
      <c r="C39" s="11" t="s">
        <v>27</v>
      </c>
      <c r="D39" s="12">
        <v>12</v>
      </c>
      <c r="E39" s="12">
        <v>24</v>
      </c>
      <c r="F39" s="12">
        <v>36</v>
      </c>
      <c r="G39" s="12">
        <v>48</v>
      </c>
      <c r="H39" s="12">
        <v>60</v>
      </c>
      <c r="I39" s="105" t="s">
        <v>28</v>
      </c>
      <c r="J39" s="107"/>
    </row>
    <row r="40" spans="1:10" x14ac:dyDescent="0.2">
      <c r="A40" s="20"/>
      <c r="B40" s="107"/>
      <c r="C40" s="13">
        <f>B8</f>
        <v>2019</v>
      </c>
      <c r="D40" s="7"/>
      <c r="E40" s="14">
        <f>E$46*$I40</f>
        <v>2828.8560000000002</v>
      </c>
      <c r="F40" s="14">
        <f>F$46*$I40</f>
        <v>1350.9839999999999</v>
      </c>
      <c r="G40" s="14">
        <f>G$46*$I40</f>
        <v>910.60799999999995</v>
      </c>
      <c r="H40" s="14">
        <f>H$46*$I40</f>
        <v>432.91200000000003</v>
      </c>
      <c r="I40" s="124">
        <f>C20</f>
        <v>7464</v>
      </c>
      <c r="J40" s="107"/>
    </row>
    <row r="41" spans="1:10" x14ac:dyDescent="0.2">
      <c r="A41" s="20"/>
      <c r="B41" s="107"/>
      <c r="C41" s="13">
        <f>B9</f>
        <v>2020</v>
      </c>
      <c r="D41" s="7"/>
      <c r="E41" s="14">
        <f>E$46*$I41</f>
        <v>2983.8670000000002</v>
      </c>
      <c r="F41" s="14">
        <f>F$46*$I41</f>
        <v>1425.0129999999999</v>
      </c>
      <c r="G41" s="14">
        <f>G$46*$I41</f>
        <v>960.50599999999997</v>
      </c>
      <c r="H41" s="7"/>
      <c r="I41" s="124">
        <f>D20</f>
        <v>7873</v>
      </c>
      <c r="J41" s="107"/>
    </row>
    <row r="42" spans="1:10" x14ac:dyDescent="0.2">
      <c r="A42" s="20"/>
      <c r="B42" s="107"/>
      <c r="C42" s="13">
        <f>B10</f>
        <v>2021</v>
      </c>
      <c r="D42" s="7"/>
      <c r="E42" s="14">
        <f>E$46*$I42</f>
        <v>3972.6779999999999</v>
      </c>
      <c r="F42" s="14">
        <f>F$46*$I42</f>
        <v>1897.242</v>
      </c>
      <c r="G42" s="7"/>
      <c r="H42" s="7"/>
      <c r="I42" s="124">
        <f>E20</f>
        <v>10482</v>
      </c>
      <c r="J42" s="107"/>
    </row>
    <row r="43" spans="1:10" x14ac:dyDescent="0.2">
      <c r="A43" s="20"/>
      <c r="B43" s="107"/>
      <c r="C43" s="13">
        <f>B11</f>
        <v>2022</v>
      </c>
      <c r="D43" s="7"/>
      <c r="E43" s="14">
        <f>E$46*$I43</f>
        <v>3804.402</v>
      </c>
      <c r="F43" s="7"/>
      <c r="G43" s="7"/>
      <c r="H43" s="7"/>
      <c r="I43" s="124">
        <f>F20</f>
        <v>10038</v>
      </c>
      <c r="J43" s="107"/>
    </row>
    <row r="44" spans="1:10" x14ac:dyDescent="0.2">
      <c r="A44" s="20"/>
      <c r="B44" s="107"/>
      <c r="C44" s="13">
        <f>B12</f>
        <v>2023</v>
      </c>
      <c r="D44" s="7"/>
      <c r="E44" s="7"/>
      <c r="F44" s="7"/>
      <c r="G44" s="7"/>
      <c r="H44" s="7"/>
      <c r="I44" s="124">
        <f>G20</f>
        <v>8555</v>
      </c>
      <c r="J44" s="107"/>
    </row>
    <row r="45" spans="1:10" x14ac:dyDescent="0.2">
      <c r="A45" s="20"/>
      <c r="B45" s="107"/>
      <c r="D45" s="105"/>
      <c r="E45" s="105"/>
      <c r="F45" s="105"/>
      <c r="G45" s="105"/>
      <c r="H45" s="105"/>
      <c r="J45" s="107"/>
    </row>
    <row r="46" spans="1:10" x14ac:dyDescent="0.2">
      <c r="A46" s="20"/>
      <c r="B46" s="107"/>
      <c r="C46" s="105" t="s">
        <v>26</v>
      </c>
      <c r="D46" s="101">
        <f>C17</f>
        <v>0.26300000000000001</v>
      </c>
      <c r="E46" s="101">
        <f>D17</f>
        <v>0.379</v>
      </c>
      <c r="F46" s="101">
        <f>E17</f>
        <v>0.18099999999999999</v>
      </c>
      <c r="G46" s="101">
        <f>F17</f>
        <v>0.122</v>
      </c>
      <c r="H46" s="101">
        <f>G17</f>
        <v>5.8000000000000003E-2</v>
      </c>
      <c r="J46" s="107"/>
    </row>
    <row r="47" spans="1:10" x14ac:dyDescent="0.2">
      <c r="A47" s="20"/>
      <c r="B47" s="107"/>
      <c r="C47" s="107"/>
      <c r="D47" s="107"/>
      <c r="E47" s="107"/>
      <c r="F47" s="107"/>
      <c r="G47" s="107"/>
      <c r="H47" s="107"/>
      <c r="I47" s="107"/>
      <c r="J47" s="107"/>
    </row>
    <row r="48" spans="1:10" x14ac:dyDescent="0.2">
      <c r="A48" s="20" t="s">
        <v>154</v>
      </c>
      <c r="B48" s="188" t="s">
        <v>193</v>
      </c>
      <c r="C48" s="188"/>
      <c r="D48" s="188"/>
      <c r="E48" s="188"/>
      <c r="F48" s="188"/>
      <c r="G48" s="188"/>
      <c r="H48" s="188"/>
      <c r="I48" s="188"/>
      <c r="J48" s="107"/>
    </row>
    <row r="49" spans="1:10" x14ac:dyDescent="0.2">
      <c r="A49" s="20"/>
      <c r="B49" s="188"/>
      <c r="C49" s="188"/>
      <c r="D49" s="188"/>
      <c r="E49" s="188"/>
      <c r="F49" s="188"/>
      <c r="G49" s="188"/>
      <c r="H49" s="188"/>
      <c r="I49" s="188"/>
      <c r="J49" s="107"/>
    </row>
    <row r="50" spans="1:10" x14ac:dyDescent="0.2">
      <c r="A50" s="20"/>
      <c r="B50" s="107"/>
      <c r="C50" s="107"/>
      <c r="D50" s="107"/>
      <c r="E50" s="107"/>
      <c r="F50" s="107"/>
      <c r="G50" s="107"/>
      <c r="H50" s="107"/>
      <c r="I50" s="107"/>
      <c r="J50" s="107"/>
    </row>
    <row r="51" spans="1:10" x14ac:dyDescent="0.2">
      <c r="A51" s="20"/>
      <c r="B51" s="107"/>
      <c r="C51" s="107"/>
      <c r="D51" s="107"/>
      <c r="E51" s="107"/>
      <c r="F51" s="107"/>
      <c r="G51" s="107"/>
      <c r="H51" s="107"/>
      <c r="I51" s="107"/>
      <c r="J51" s="107"/>
    </row>
    <row r="52" spans="1:10" x14ac:dyDescent="0.2">
      <c r="A52" s="20"/>
      <c r="B52" s="107"/>
      <c r="C52" s="107"/>
      <c r="D52" s="107"/>
      <c r="E52" s="107"/>
      <c r="F52" s="122"/>
      <c r="G52" s="107"/>
      <c r="H52" s="107"/>
      <c r="I52" s="107"/>
      <c r="J52" s="107"/>
    </row>
    <row r="53" spans="1:10" x14ac:dyDescent="0.2">
      <c r="A53" s="20"/>
      <c r="B53" s="107"/>
      <c r="C53" s="193" t="s">
        <v>212</v>
      </c>
      <c r="D53" s="193"/>
      <c r="E53" s="193"/>
      <c r="F53" s="193"/>
      <c r="G53" s="193"/>
      <c r="H53" s="193"/>
      <c r="I53" s="107"/>
      <c r="J53" s="107"/>
    </row>
    <row r="54" spans="1:10" ht="17" x14ac:dyDescent="0.2">
      <c r="A54" s="20"/>
      <c r="B54" s="107"/>
      <c r="C54" s="11" t="s">
        <v>27</v>
      </c>
      <c r="D54" s="12">
        <v>12</v>
      </c>
      <c r="E54" s="12">
        <v>24</v>
      </c>
      <c r="F54" s="12">
        <v>36</v>
      </c>
      <c r="G54" s="12">
        <v>48</v>
      </c>
      <c r="H54" s="12">
        <v>60</v>
      </c>
      <c r="I54" s="107"/>
      <c r="J54" s="107"/>
    </row>
    <row r="55" spans="1:10" x14ac:dyDescent="0.2">
      <c r="A55" s="20"/>
      <c r="B55" s="107"/>
      <c r="C55" s="13">
        <f>B8</f>
        <v>2019</v>
      </c>
      <c r="D55" s="7"/>
      <c r="E55" s="14">
        <f>(C$25-1)*SUM($C8:C8)</f>
        <v>3939.5399999999995</v>
      </c>
      <c r="F55" s="14">
        <f>(D$25-1)*SUM($C8:D8)</f>
        <v>1477.2599999999995</v>
      </c>
      <c r="G55" s="14">
        <f>(E$25-1)*SUM($C8:E8)</f>
        <v>910.07999999999936</v>
      </c>
      <c r="H55" s="14">
        <f>(F$25-1)*SUM($C8:F8)</f>
        <v>432.48999999999961</v>
      </c>
      <c r="I55" s="107"/>
      <c r="J55" s="107"/>
    </row>
    <row r="56" spans="1:10" x14ac:dyDescent="0.2">
      <c r="A56" s="20"/>
      <c r="B56" s="107"/>
      <c r="C56" s="13">
        <f>B9</f>
        <v>2020</v>
      </c>
      <c r="D56" s="7"/>
      <c r="E56" s="14">
        <f>(C$25-1)*SUM($C9:C9)</f>
        <v>2640.3299999999995</v>
      </c>
      <c r="F56" s="14">
        <f>(D$25-1)*SUM($C9:D9)</f>
        <v>1344.2499999999995</v>
      </c>
      <c r="G56" s="14">
        <f>(E$25-1)*SUM($C9:E9)</f>
        <v>951.83999999999935</v>
      </c>
      <c r="H56" s="7"/>
      <c r="I56" s="107"/>
      <c r="J56" s="107"/>
    </row>
    <row r="57" spans="1:10" x14ac:dyDescent="0.2">
      <c r="A57" s="20"/>
      <c r="B57" s="107"/>
      <c r="C57" s="13">
        <f>B10</f>
        <v>2021</v>
      </c>
      <c r="D57" s="7"/>
      <c r="E57" s="14">
        <f>(C$25-1)*SUM($C10:C10)</f>
        <v>3464.5599999999995</v>
      </c>
      <c r="F57" s="14">
        <f>(D$25-1)*SUM($C10:D10)</f>
        <v>1898.9299999999994</v>
      </c>
      <c r="G57" s="7"/>
      <c r="H57" s="7"/>
      <c r="I57" s="107"/>
      <c r="J57" s="107"/>
    </row>
    <row r="58" spans="1:10" x14ac:dyDescent="0.2">
      <c r="A58" s="20"/>
      <c r="B58" s="107"/>
      <c r="C58" s="13">
        <f>B11</f>
        <v>2022</v>
      </c>
      <c r="D58" s="7"/>
      <c r="E58" s="14">
        <f>(C$25-1)*SUM($C11:C11)</f>
        <v>3394.7099999999996</v>
      </c>
      <c r="F58" s="7"/>
      <c r="G58" s="7"/>
      <c r="H58" s="7"/>
      <c r="I58" s="107"/>
      <c r="J58" s="107"/>
    </row>
    <row r="59" spans="1:10" x14ac:dyDescent="0.2">
      <c r="A59" s="20"/>
      <c r="B59" s="107"/>
      <c r="C59" s="13">
        <f>B12</f>
        <v>2023</v>
      </c>
      <c r="D59" s="7"/>
      <c r="E59" s="7"/>
      <c r="F59" s="7"/>
      <c r="G59" s="7"/>
      <c r="H59" s="7"/>
      <c r="I59" s="107"/>
      <c r="J59" s="107"/>
    </row>
    <row r="60" spans="1:10" x14ac:dyDescent="0.2">
      <c r="A60" s="20"/>
      <c r="B60" s="107"/>
      <c r="C60" s="107"/>
      <c r="D60" s="107"/>
      <c r="E60" s="107"/>
      <c r="F60" s="107"/>
      <c r="G60" s="107"/>
      <c r="H60" s="107"/>
      <c r="I60" s="107"/>
      <c r="J60" s="107"/>
    </row>
    <row r="61" spans="1:10" x14ac:dyDescent="0.2">
      <c r="A61" s="20" t="s">
        <v>155</v>
      </c>
      <c r="B61" s="188" t="s">
        <v>61</v>
      </c>
      <c r="C61" s="188"/>
      <c r="D61" s="188"/>
      <c r="E61" s="188"/>
      <c r="F61" s="188"/>
      <c r="G61" s="188"/>
      <c r="H61" s="188"/>
      <c r="I61" s="188"/>
      <c r="J61" s="107"/>
    </row>
    <row r="62" spans="1:10" x14ac:dyDescent="0.2">
      <c r="A62" s="20"/>
      <c r="B62" s="188"/>
      <c r="C62" s="188"/>
      <c r="D62" s="188"/>
      <c r="E62" s="188"/>
      <c r="F62" s="188"/>
      <c r="G62" s="188"/>
      <c r="H62" s="188"/>
      <c r="I62" s="188"/>
      <c r="J62" s="107"/>
    </row>
    <row r="63" spans="1:10" x14ac:dyDescent="0.2">
      <c r="A63" s="20"/>
      <c r="B63" s="107"/>
      <c r="C63" s="107"/>
      <c r="D63" s="107"/>
      <c r="E63" s="107"/>
      <c r="F63" s="107"/>
      <c r="G63" s="107"/>
      <c r="H63" s="107"/>
      <c r="I63" s="107"/>
      <c r="J63" s="107"/>
    </row>
    <row r="64" spans="1:10" x14ac:dyDescent="0.2">
      <c r="A64" s="20"/>
      <c r="B64" s="107"/>
      <c r="C64" s="107"/>
      <c r="D64" s="107"/>
      <c r="E64" s="107"/>
      <c r="F64" s="107"/>
      <c r="G64" s="107"/>
      <c r="H64" s="107"/>
      <c r="I64" s="107"/>
      <c r="J64" s="107"/>
    </row>
    <row r="65" spans="1:10" x14ac:dyDescent="0.2">
      <c r="A65" s="20"/>
      <c r="B65" s="107"/>
      <c r="C65" s="107"/>
      <c r="D65" s="107"/>
      <c r="E65" s="107"/>
      <c r="F65" s="107"/>
      <c r="G65" s="107"/>
      <c r="H65" s="107"/>
      <c r="I65" s="107"/>
      <c r="J65" s="107"/>
    </row>
    <row r="66" spans="1:10" ht="17" thickBot="1" x14ac:dyDescent="0.25">
      <c r="A66" s="20"/>
      <c r="B66" s="107"/>
      <c r="E66" s="107"/>
      <c r="F66" s="107"/>
      <c r="G66" s="107"/>
      <c r="H66" s="107"/>
      <c r="I66" s="107"/>
      <c r="J66" s="107"/>
    </row>
    <row r="67" spans="1:10" x14ac:dyDescent="0.2">
      <c r="A67" s="20"/>
      <c r="B67" s="107"/>
      <c r="C67" s="150" t="s">
        <v>214</v>
      </c>
      <c r="D67" s="153" cm="1">
        <f t="array" ref="D67">SUM((D8:G11-E40:H43)^2)</f>
        <v>594263.70214600023</v>
      </c>
      <c r="E67" s="107"/>
      <c r="F67" s="107"/>
      <c r="G67" s="107"/>
      <c r="H67" s="107"/>
      <c r="I67" s="107"/>
      <c r="J67" s="107"/>
    </row>
    <row r="68" spans="1:10" ht="17" thickBot="1" x14ac:dyDescent="0.25">
      <c r="A68" s="20"/>
      <c r="B68" s="107"/>
      <c r="C68" s="151" t="s">
        <v>215</v>
      </c>
      <c r="D68" s="152" cm="1">
        <f t="array" ref="D68">SUM((D8:G11-E55:H58)^2)</f>
        <v>3779025.2052999996</v>
      </c>
      <c r="E68" s="107"/>
      <c r="F68" s="107"/>
      <c r="G68" s="107"/>
      <c r="H68" s="107"/>
      <c r="I68" s="107"/>
      <c r="J68" s="107"/>
    </row>
    <row r="69" spans="1:10" x14ac:dyDescent="0.2">
      <c r="A69" s="20"/>
      <c r="B69" s="107"/>
      <c r="C69" s="107"/>
      <c r="D69" s="122"/>
      <c r="E69" s="107"/>
      <c r="F69" s="107"/>
      <c r="G69" s="107"/>
      <c r="H69" s="107"/>
      <c r="I69" s="107"/>
      <c r="J69" s="107"/>
    </row>
    <row r="70" spans="1:10" x14ac:dyDescent="0.2">
      <c r="A70" s="20"/>
      <c r="B70" s="9" t="s">
        <v>164</v>
      </c>
      <c r="C70" s="107"/>
      <c r="D70" s="122"/>
      <c r="E70" s="107"/>
      <c r="F70" s="107"/>
      <c r="G70" s="107"/>
      <c r="H70" s="107"/>
      <c r="I70" s="107"/>
      <c r="J70" s="107"/>
    </row>
    <row r="71" spans="1:10" x14ac:dyDescent="0.2">
      <c r="A71" s="20"/>
      <c r="B71" s="107" t="s">
        <v>216</v>
      </c>
      <c r="C71" s="107"/>
      <c r="D71" s="122"/>
      <c r="E71" s="107"/>
      <c r="F71" s="107"/>
      <c r="G71" s="107"/>
      <c r="H71" s="107"/>
      <c r="I71" s="107"/>
      <c r="J71" s="107"/>
    </row>
    <row r="72" spans="1:10" x14ac:dyDescent="0.2">
      <c r="A72" s="20"/>
      <c r="B72" s="107"/>
      <c r="C72" s="107"/>
      <c r="D72" s="107"/>
      <c r="E72" s="107"/>
      <c r="F72" s="107"/>
      <c r="G72" s="107"/>
      <c r="H72" s="107"/>
      <c r="I72" s="107"/>
      <c r="J72" s="107"/>
    </row>
    <row r="73" spans="1:10" ht="16" customHeight="1" x14ac:dyDescent="0.2">
      <c r="A73" s="20" t="s">
        <v>165</v>
      </c>
      <c r="B73" s="127" t="s">
        <v>194</v>
      </c>
      <c r="C73" s="127"/>
      <c r="D73" s="127"/>
      <c r="E73" s="127"/>
      <c r="F73" s="127"/>
      <c r="G73" s="127"/>
      <c r="H73" s="127"/>
      <c r="I73" s="127"/>
      <c r="J73" s="107"/>
    </row>
    <row r="74" spans="1:10" x14ac:dyDescent="0.2">
      <c r="A74" s="20"/>
      <c r="B74" s="107"/>
      <c r="C74" s="107"/>
      <c r="D74" s="107"/>
      <c r="E74" s="107"/>
      <c r="F74" s="107"/>
      <c r="G74" s="107"/>
      <c r="H74" s="107"/>
      <c r="I74" s="107"/>
      <c r="J74" s="107"/>
    </row>
    <row r="75" spans="1:10" x14ac:dyDescent="0.2">
      <c r="A75" s="20"/>
      <c r="B75" s="107"/>
      <c r="C75" s="107"/>
      <c r="D75" s="107"/>
      <c r="E75" s="107" t="s">
        <v>217</v>
      </c>
      <c r="F75" s="107"/>
      <c r="G75" s="107"/>
      <c r="H75" s="107"/>
      <c r="I75" s="107"/>
      <c r="J75" s="107"/>
    </row>
    <row r="76" spans="1:10" x14ac:dyDescent="0.2">
      <c r="A76" s="20"/>
      <c r="B76" s="107"/>
      <c r="C76" s="107"/>
      <c r="D76" s="107"/>
      <c r="E76" s="107" t="s">
        <v>218</v>
      </c>
      <c r="F76" s="107"/>
      <c r="G76" s="107"/>
      <c r="H76" s="107"/>
      <c r="I76" s="107"/>
      <c r="J76" s="107"/>
    </row>
    <row r="77" spans="1:10" x14ac:dyDescent="0.2">
      <c r="A77" s="20"/>
      <c r="B77" s="107"/>
      <c r="C77" s="107"/>
      <c r="D77" s="107"/>
      <c r="E77" s="107"/>
      <c r="F77" s="107"/>
      <c r="G77" s="107"/>
      <c r="H77" s="107"/>
      <c r="I77" s="107"/>
      <c r="J77" s="107"/>
    </row>
    <row r="78" spans="1:10" x14ac:dyDescent="0.2">
      <c r="A78" s="20"/>
      <c r="B78" s="107"/>
      <c r="C78" s="193" t="s">
        <v>221</v>
      </c>
      <c r="D78" s="193"/>
      <c r="E78" s="107"/>
      <c r="F78" s="193" t="s">
        <v>222</v>
      </c>
      <c r="G78" s="193"/>
      <c r="H78" s="107"/>
      <c r="I78" s="107"/>
      <c r="J78" s="107"/>
    </row>
    <row r="79" spans="1:10" x14ac:dyDescent="0.2">
      <c r="A79" s="20"/>
      <c r="B79" s="107"/>
      <c r="C79" s="105" t="s">
        <v>16</v>
      </c>
      <c r="D79" s="105">
        <f>COUNT(E40:H43)</f>
        <v>10</v>
      </c>
      <c r="E79" s="107"/>
      <c r="F79" s="105" t="s">
        <v>16</v>
      </c>
      <c r="G79" s="105">
        <f>COUNT(E55:H58)</f>
        <v>10</v>
      </c>
      <c r="H79" s="107"/>
      <c r="I79" s="107"/>
      <c r="J79" s="107"/>
    </row>
    <row r="80" spans="1:10" x14ac:dyDescent="0.2">
      <c r="A80" s="20"/>
      <c r="B80" s="107"/>
      <c r="C80" s="105" t="s">
        <v>48</v>
      </c>
      <c r="D80" s="105">
        <f>2*5-2</f>
        <v>8</v>
      </c>
      <c r="E80" s="107"/>
      <c r="F80" s="105" t="s">
        <v>48</v>
      </c>
      <c r="G80" s="105">
        <f>5-1</f>
        <v>4</v>
      </c>
      <c r="H80" s="107"/>
      <c r="I80" s="107"/>
      <c r="J80" s="107"/>
    </row>
    <row r="81" spans="1:14" ht="17" thickBot="1" x14ac:dyDescent="0.25">
      <c r="A81" s="20"/>
      <c r="B81" s="107"/>
      <c r="C81" s="107"/>
      <c r="D81" s="107"/>
      <c r="E81" s="107"/>
      <c r="F81" s="107"/>
      <c r="G81" s="107"/>
      <c r="H81" s="107"/>
      <c r="I81" s="107"/>
      <c r="J81" s="107"/>
    </row>
    <row r="82" spans="1:14" ht="17" thickBot="1" x14ac:dyDescent="0.25">
      <c r="A82" s="20"/>
      <c r="B82" s="107"/>
      <c r="C82" s="108" t="s">
        <v>219</v>
      </c>
      <c r="D82" s="154">
        <f>D67/(D79-D80)^2</f>
        <v>148565.92553650006</v>
      </c>
      <c r="E82" s="107"/>
      <c r="F82" s="108" t="s">
        <v>220</v>
      </c>
      <c r="G82" s="154">
        <f>D68/(G79-G80)^2</f>
        <v>104972.92236944444</v>
      </c>
      <c r="H82" s="107"/>
      <c r="I82" s="107"/>
      <c r="J82" s="107"/>
    </row>
    <row r="83" spans="1:14" x14ac:dyDescent="0.2">
      <c r="A83" s="20"/>
      <c r="B83" s="107"/>
      <c r="E83" s="107"/>
      <c r="H83" s="107"/>
      <c r="I83" s="107"/>
      <c r="J83" s="107"/>
    </row>
    <row r="84" spans="1:14" x14ac:dyDescent="0.2">
      <c r="A84" s="20" t="s">
        <v>183</v>
      </c>
      <c r="B84" s="9" t="s">
        <v>195</v>
      </c>
      <c r="C84" s="106"/>
      <c r="D84" s="107"/>
      <c r="E84" s="107"/>
      <c r="F84" s="107"/>
      <c r="G84" s="107"/>
      <c r="H84" s="107"/>
      <c r="I84" s="107"/>
      <c r="J84" s="107"/>
    </row>
    <row r="85" spans="1:14" x14ac:dyDescent="0.2">
      <c r="A85" s="20"/>
      <c r="B85" s="107"/>
      <c r="C85" s="107"/>
      <c r="D85" s="107"/>
      <c r="E85" s="107"/>
      <c r="F85" s="107"/>
      <c r="G85" s="107"/>
      <c r="H85" s="107"/>
      <c r="I85" s="107"/>
      <c r="J85" s="107"/>
    </row>
    <row r="86" spans="1:14" x14ac:dyDescent="0.2">
      <c r="A86" s="20"/>
      <c r="B86" s="107" t="s">
        <v>196</v>
      </c>
      <c r="C86" s="107"/>
      <c r="D86" s="107"/>
      <c r="E86" s="107"/>
      <c r="F86" s="107"/>
      <c r="G86" s="107"/>
      <c r="H86" s="107"/>
      <c r="I86" s="107"/>
      <c r="J86" s="107"/>
    </row>
    <row r="87" spans="1:14" x14ac:dyDescent="0.2">
      <c r="A87" s="20"/>
      <c r="B87" s="107"/>
      <c r="C87" s="107"/>
      <c r="D87" s="107"/>
      <c r="E87" s="107"/>
      <c r="F87" s="107"/>
      <c r="G87" s="107"/>
      <c r="H87" s="107"/>
      <c r="I87" s="107"/>
      <c r="J87" s="107"/>
    </row>
    <row r="88" spans="1:14" x14ac:dyDescent="0.2">
      <c r="A88" s="20"/>
      <c r="B88" s="179" t="s">
        <v>62</v>
      </c>
      <c r="C88" s="179"/>
      <c r="D88" s="179"/>
      <c r="E88" s="179"/>
      <c r="F88" s="179"/>
      <c r="G88" s="179"/>
      <c r="H88" s="179"/>
      <c r="I88" s="179"/>
      <c r="J88" s="107"/>
    </row>
    <row r="89" spans="1:14" x14ac:dyDescent="0.2">
      <c r="A89" s="20"/>
      <c r="B89" s="179"/>
      <c r="C89" s="179"/>
      <c r="D89" s="179"/>
      <c r="E89" s="179"/>
      <c r="F89" s="179"/>
      <c r="G89" s="179"/>
      <c r="H89" s="179"/>
      <c r="I89" s="179"/>
      <c r="J89" s="107"/>
    </row>
    <row r="90" spans="1:14" x14ac:dyDescent="0.2">
      <c r="L90" s="4"/>
      <c r="M90" s="4"/>
      <c r="N90" s="4"/>
    </row>
    <row r="91" spans="1:14" ht="19" x14ac:dyDescent="0.25">
      <c r="A91" s="2" t="s">
        <v>97</v>
      </c>
      <c r="L91" s="4"/>
      <c r="M91" s="4"/>
      <c r="N91" s="4"/>
    </row>
    <row r="92" spans="1:14" x14ac:dyDescent="0.2">
      <c r="B92" s="179" t="s">
        <v>223</v>
      </c>
      <c r="C92" s="180"/>
      <c r="D92" s="180"/>
      <c r="E92" s="180"/>
      <c r="F92" s="180"/>
      <c r="G92" s="180"/>
      <c r="H92" s="180"/>
      <c r="I92" s="180"/>
      <c r="L92" s="4"/>
      <c r="M92" s="4"/>
      <c r="N92" s="4"/>
    </row>
    <row r="93" spans="1:14" x14ac:dyDescent="0.2">
      <c r="B93" s="180"/>
      <c r="C93" s="180"/>
      <c r="D93" s="180"/>
      <c r="E93" s="180"/>
      <c r="F93" s="180"/>
      <c r="G93" s="180"/>
      <c r="H93" s="180"/>
      <c r="I93" s="180"/>
      <c r="L93" s="4"/>
      <c r="M93" s="4"/>
      <c r="N93" s="4"/>
    </row>
    <row r="94" spans="1:14" x14ac:dyDescent="0.2">
      <c r="B94" s="85"/>
      <c r="C94" s="85"/>
      <c r="D94" s="85"/>
      <c r="E94" s="85"/>
      <c r="F94" s="85"/>
      <c r="G94" s="85"/>
      <c r="H94" s="85"/>
      <c r="I94" s="85"/>
      <c r="L94" s="4"/>
      <c r="M94" s="4"/>
      <c r="N94" s="4"/>
    </row>
    <row r="95" spans="1:14" ht="17" x14ac:dyDescent="0.2">
      <c r="B95" s="155" t="s">
        <v>233</v>
      </c>
      <c r="C95" s="85"/>
      <c r="D95" s="85"/>
      <c r="E95" s="85"/>
      <c r="F95" s="85"/>
      <c r="G95" s="85"/>
      <c r="H95" s="85"/>
      <c r="I95" s="85"/>
      <c r="L95" s="4"/>
      <c r="M95" s="4"/>
      <c r="N95" s="4"/>
    </row>
    <row r="96" spans="1:14" x14ac:dyDescent="0.2">
      <c r="B96" s="206" t="s">
        <v>234</v>
      </c>
      <c r="C96" s="206"/>
      <c r="D96" s="206"/>
      <c r="E96" s="206"/>
      <c r="F96" s="206"/>
      <c r="G96" s="206"/>
      <c r="H96" s="206"/>
      <c r="I96" s="206"/>
      <c r="L96" s="4"/>
      <c r="M96" s="4"/>
      <c r="N96" s="4"/>
    </row>
    <row r="97" spans="1:65" x14ac:dyDescent="0.2">
      <c r="B97" s="206"/>
      <c r="C97" s="206"/>
      <c r="D97" s="206"/>
      <c r="E97" s="206"/>
      <c r="F97" s="206"/>
      <c r="G97" s="206"/>
      <c r="H97" s="206"/>
      <c r="I97" s="206"/>
      <c r="L97" s="4"/>
      <c r="M97" s="4"/>
      <c r="N97" s="4"/>
    </row>
    <row r="98" spans="1:65" x14ac:dyDescent="0.2">
      <c r="B98" s="160"/>
      <c r="C98" s="160"/>
      <c r="D98" s="160"/>
      <c r="E98" s="160"/>
      <c r="F98" s="160"/>
      <c r="G98" s="160"/>
      <c r="H98" s="160"/>
      <c r="I98" s="160"/>
      <c r="L98" s="4"/>
      <c r="M98" s="4"/>
      <c r="N98" s="4"/>
    </row>
    <row r="99" spans="1:65" ht="19" x14ac:dyDescent="0.25">
      <c r="B99" s="19" t="s">
        <v>224</v>
      </c>
      <c r="C99" s="85"/>
      <c r="D99" s="85"/>
      <c r="E99" s="85"/>
      <c r="F99" s="85"/>
      <c r="G99" s="85"/>
      <c r="H99" s="85"/>
      <c r="I99" s="85"/>
      <c r="L99" s="4"/>
      <c r="M99" s="4"/>
      <c r="N99" s="4"/>
    </row>
    <row r="100" spans="1:65" x14ac:dyDescent="0.2">
      <c r="B100" s="205" t="s">
        <v>225</v>
      </c>
      <c r="C100" s="205"/>
      <c r="D100" s="205"/>
      <c r="E100" s="205"/>
      <c r="F100" s="205"/>
      <c r="G100" s="205"/>
      <c r="H100" s="205"/>
      <c r="I100" s="205"/>
      <c r="J100" s="161"/>
      <c r="L100" s="4"/>
      <c r="M100" s="4"/>
      <c r="N100" s="4"/>
    </row>
    <row r="101" spans="1:65" x14ac:dyDescent="0.2">
      <c r="B101" s="205"/>
      <c r="C101" s="205"/>
      <c r="D101" s="205"/>
      <c r="E101" s="205"/>
      <c r="F101" s="205"/>
      <c r="G101" s="205"/>
      <c r="H101" s="205"/>
      <c r="I101" s="205"/>
      <c r="J101" s="161"/>
      <c r="L101" s="4"/>
      <c r="M101" s="4"/>
      <c r="N101" s="4"/>
    </row>
    <row r="102" spans="1:65" x14ac:dyDescent="0.2">
      <c r="B102" s="205"/>
      <c r="C102" s="205"/>
      <c r="D102" s="205"/>
      <c r="E102" s="205"/>
      <c r="F102" s="205"/>
      <c r="G102" s="205"/>
      <c r="H102" s="205"/>
      <c r="I102" s="205"/>
      <c r="J102" s="161"/>
      <c r="L102" s="4"/>
      <c r="M102" s="4"/>
      <c r="N102" s="4"/>
    </row>
    <row r="103" spans="1:65" x14ac:dyDescent="0.2">
      <c r="B103" s="205"/>
      <c r="C103" s="205"/>
      <c r="D103" s="205"/>
      <c r="E103" s="205"/>
      <c r="F103" s="205"/>
      <c r="G103" s="205"/>
      <c r="H103" s="205"/>
      <c r="I103" s="205"/>
      <c r="J103" s="161"/>
      <c r="L103" s="4"/>
      <c r="M103" s="4"/>
      <c r="N103" s="4"/>
    </row>
    <row r="104" spans="1:65" x14ac:dyDescent="0.2">
      <c r="B104" s="205"/>
      <c r="C104" s="205"/>
      <c r="D104" s="205"/>
      <c r="E104" s="205"/>
      <c r="F104" s="205"/>
      <c r="G104" s="205"/>
      <c r="H104" s="205"/>
      <c r="I104" s="205"/>
      <c r="J104" s="161"/>
      <c r="L104" s="4"/>
      <c r="M104" s="4"/>
      <c r="N104" s="4"/>
    </row>
    <row r="105" spans="1:65" x14ac:dyDescent="0.2">
      <c r="B105" s="205"/>
      <c r="C105" s="205"/>
      <c r="D105" s="205"/>
      <c r="E105" s="205"/>
      <c r="F105" s="205"/>
      <c r="G105" s="205"/>
      <c r="H105" s="205"/>
      <c r="I105" s="205"/>
      <c r="J105" s="161"/>
      <c r="L105" s="4"/>
      <c r="M105" s="4"/>
      <c r="N105" s="4"/>
    </row>
    <row r="106" spans="1:65" x14ac:dyDescent="0.2">
      <c r="B106" s="205"/>
      <c r="C106" s="205"/>
      <c r="D106" s="205"/>
      <c r="E106" s="205"/>
      <c r="F106" s="205"/>
      <c r="G106" s="205"/>
      <c r="H106" s="205"/>
      <c r="I106" s="205"/>
      <c r="J106" s="161"/>
      <c r="L106" s="4"/>
      <c r="M106" s="4"/>
      <c r="N106" s="4"/>
    </row>
    <row r="107" spans="1:65" x14ac:dyDescent="0.2">
      <c r="A107" s="4"/>
      <c r="B107" s="161"/>
      <c r="C107" s="161"/>
      <c r="D107" s="161"/>
      <c r="E107" s="161"/>
      <c r="F107" s="161"/>
      <c r="G107" s="161"/>
      <c r="H107" s="161"/>
      <c r="I107" s="161"/>
      <c r="J107" s="16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161"/>
      <c r="C108" s="161"/>
      <c r="D108" s="161"/>
      <c r="E108" s="161"/>
      <c r="F108" s="161"/>
      <c r="G108" s="161"/>
      <c r="H108" s="161"/>
      <c r="I108" s="161"/>
      <c r="J108" s="161"/>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161"/>
      <c r="C109" s="161"/>
      <c r="D109" s="161"/>
      <c r="E109" s="161"/>
      <c r="F109" s="161"/>
      <c r="G109" s="161"/>
      <c r="H109" s="161"/>
      <c r="I109" s="161"/>
      <c r="J109" s="16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9" t="s">
        <v>235</v>
      </c>
      <c r="C110" s="161"/>
      <c r="D110" s="161"/>
      <c r="E110" s="161"/>
      <c r="F110" s="161"/>
      <c r="G110" s="161"/>
      <c r="H110" s="161"/>
      <c r="I110" s="161"/>
      <c r="J110" s="16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ht="17" thickBot="1" x14ac:dyDescent="0.25">
      <c r="A111" s="4"/>
      <c r="B111" s="161"/>
      <c r="C111" s="161"/>
      <c r="D111" s="161"/>
      <c r="E111" s="161"/>
      <c r="F111" s="161"/>
      <c r="G111" s="161"/>
      <c r="H111" s="161"/>
      <c r="I111" s="161"/>
      <c r="J111" s="16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ht="17" thickBot="1" x14ac:dyDescent="0.25">
      <c r="A112" s="4"/>
      <c r="C112" s="163" t="s">
        <v>236</v>
      </c>
      <c r="D112" s="162">
        <f>D67*EXP(2*D80/D79)</f>
        <v>2943407.3853702201</v>
      </c>
      <c r="E112" s="161"/>
      <c r="F112" s="163" t="s">
        <v>237</v>
      </c>
      <c r="G112" s="162">
        <f>D67*D79^(D80/D79)</f>
        <v>3749550.4742700891</v>
      </c>
      <c r="H112" s="161"/>
      <c r="I112" s="161"/>
      <c r="J112" s="16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161"/>
      <c r="C113" s="161"/>
      <c r="D113" s="161"/>
      <c r="E113" s="161"/>
      <c r="F113" s="161"/>
      <c r="G113" s="161"/>
      <c r="H113" s="161"/>
      <c r="I113" s="161"/>
      <c r="J113" s="16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ht="19" x14ac:dyDescent="0.25">
      <c r="A114" s="4"/>
      <c r="B114" s="19" t="s">
        <v>123</v>
      </c>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9" t="s">
        <v>226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203" t="s">
        <v>228</v>
      </c>
      <c r="C116" s="204"/>
      <c r="D116" s="204"/>
      <c r="E116" s="204"/>
      <c r="F116" s="204"/>
      <c r="G116" s="204"/>
      <c r="H116" s="204"/>
      <c r="I116" s="20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203"/>
      <c r="C117" s="204"/>
      <c r="D117" s="204"/>
      <c r="E117" s="204"/>
      <c r="F117" s="204"/>
      <c r="G117" s="204"/>
      <c r="H117" s="204"/>
      <c r="I117" s="20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204"/>
      <c r="C118" s="204"/>
      <c r="D118" s="204"/>
      <c r="E118" s="204"/>
      <c r="F118" s="204"/>
      <c r="G118" s="204"/>
      <c r="H118" s="204"/>
      <c r="I118" s="20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85"/>
      <c r="C119" s="85"/>
      <c r="D119" s="85"/>
      <c r="E119" s="85"/>
      <c r="F119" s="85"/>
      <c r="G119" s="85"/>
      <c r="H119" s="85"/>
      <c r="I119" s="85"/>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107" t="s">
        <v>227</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203" t="s">
        <v>229</v>
      </c>
      <c r="C121" s="204"/>
      <c r="D121" s="204"/>
      <c r="E121" s="204"/>
      <c r="F121" s="204"/>
      <c r="G121" s="204"/>
      <c r="H121" s="204"/>
      <c r="I121" s="20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204"/>
      <c r="C122" s="204"/>
      <c r="D122" s="204"/>
      <c r="E122" s="204"/>
      <c r="F122" s="204"/>
      <c r="G122" s="204"/>
      <c r="H122" s="204"/>
      <c r="I122" s="20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ht="19" x14ac:dyDescent="0.25">
      <c r="A124" s="2" t="s">
        <v>245</v>
      </c>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156" t="s">
        <v>230</v>
      </c>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ht="19" x14ac:dyDescent="0.25">
      <c r="A127" s="2" t="s">
        <v>107</v>
      </c>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64" t="s">
        <v>134</v>
      </c>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64" t="s">
        <v>133</v>
      </c>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ht="19" x14ac:dyDescent="0.25">
      <c r="A131" s="2" t="s">
        <v>109</v>
      </c>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64" t="s">
        <v>124</v>
      </c>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64" t="s">
        <v>125</v>
      </c>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sheetData>
  <mergeCells count="15">
    <mergeCell ref="B116:I118"/>
    <mergeCell ref="B121:I122"/>
    <mergeCell ref="B5:G5"/>
    <mergeCell ref="C38:H38"/>
    <mergeCell ref="C53:H53"/>
    <mergeCell ref="B6:B7"/>
    <mergeCell ref="B48:I49"/>
    <mergeCell ref="B33:I34"/>
    <mergeCell ref="B61:I62"/>
    <mergeCell ref="B88:I89"/>
    <mergeCell ref="F78:G78"/>
    <mergeCell ref="C78:D78"/>
    <mergeCell ref="B100:I106"/>
    <mergeCell ref="B92:I93"/>
    <mergeCell ref="B96:I9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46"/>
  <sheetViews>
    <sheetView showGridLines="0" workbookViewId="0">
      <selection activeCell="B3" sqref="B3"/>
    </sheetView>
  </sheetViews>
  <sheetFormatPr baseColWidth="10" defaultColWidth="11" defaultRowHeight="16" x14ac:dyDescent="0.2"/>
  <cols>
    <col min="1" max="1" width="9" style="64" customWidth="1"/>
    <col min="2" max="2" width="19" style="64" customWidth="1"/>
    <col min="3" max="12" width="10.83203125" style="64" customWidth="1"/>
    <col min="13" max="16384" width="11" style="64"/>
  </cols>
  <sheetData>
    <row r="2" spans="2:10" x14ac:dyDescent="0.2">
      <c r="B2" s="164"/>
    </row>
    <row r="3" spans="2:10" ht="19" x14ac:dyDescent="0.25">
      <c r="B3" s="2" t="s">
        <v>243</v>
      </c>
    </row>
    <row r="5" spans="2:10" x14ac:dyDescent="0.2">
      <c r="B5" s="207" t="s">
        <v>244</v>
      </c>
      <c r="C5" s="207"/>
      <c r="D5" s="207"/>
      <c r="E5" s="207"/>
      <c r="F5" s="207"/>
      <c r="G5" s="207"/>
      <c r="H5" s="207"/>
      <c r="I5" s="207"/>
      <c r="J5" s="207"/>
    </row>
    <row r="6" spans="2:10" x14ac:dyDescent="0.2">
      <c r="B6" s="207"/>
      <c r="C6" s="207"/>
      <c r="D6" s="207"/>
      <c r="E6" s="207"/>
      <c r="F6" s="207"/>
      <c r="G6" s="207"/>
      <c r="H6" s="207"/>
      <c r="I6" s="207"/>
      <c r="J6" s="207"/>
    </row>
    <row r="7" spans="2:10" x14ac:dyDescent="0.2">
      <c r="B7" s="207"/>
      <c r="C7" s="207"/>
      <c r="D7" s="207"/>
      <c r="E7" s="207"/>
      <c r="F7" s="207"/>
      <c r="G7" s="207"/>
      <c r="H7" s="207"/>
      <c r="I7" s="207"/>
      <c r="J7" s="207"/>
    </row>
    <row r="8" spans="2:10" x14ac:dyDescent="0.2">
      <c r="B8" s="207"/>
      <c r="C8" s="207"/>
      <c r="D8" s="207"/>
      <c r="E8" s="207"/>
      <c r="F8" s="207"/>
      <c r="G8" s="207"/>
      <c r="H8" s="207"/>
      <c r="I8" s="207"/>
      <c r="J8" s="207"/>
    </row>
    <row r="9" spans="2:10" x14ac:dyDescent="0.2">
      <c r="B9" s="207"/>
      <c r="C9" s="207"/>
      <c r="D9" s="207"/>
      <c r="E9" s="207"/>
      <c r="F9" s="207"/>
      <c r="G9" s="207"/>
      <c r="H9" s="207"/>
      <c r="I9" s="207"/>
      <c r="J9" s="207"/>
    </row>
    <row r="10" spans="2:10" x14ac:dyDescent="0.2">
      <c r="B10" s="207"/>
      <c r="C10" s="207"/>
      <c r="D10" s="207"/>
      <c r="E10" s="207"/>
      <c r="F10" s="207"/>
      <c r="G10" s="207"/>
      <c r="H10" s="207"/>
      <c r="I10" s="207"/>
      <c r="J10" s="207"/>
    </row>
    <row r="11" spans="2:10" x14ac:dyDescent="0.2">
      <c r="B11" s="207"/>
      <c r="C11" s="207"/>
      <c r="D11" s="207"/>
      <c r="E11" s="207"/>
      <c r="F11" s="207"/>
      <c r="G11" s="207"/>
      <c r="H11" s="207"/>
      <c r="I11" s="207"/>
      <c r="J11" s="207"/>
    </row>
    <row r="12" spans="2:10" x14ac:dyDescent="0.2">
      <c r="B12" s="207"/>
      <c r="C12" s="207"/>
      <c r="D12" s="207"/>
      <c r="E12" s="207"/>
      <c r="F12" s="207"/>
      <c r="G12" s="207"/>
      <c r="H12" s="207"/>
      <c r="I12" s="207"/>
      <c r="J12" s="207"/>
    </row>
    <row r="13" spans="2:10" x14ac:dyDescent="0.2">
      <c r="B13" s="207"/>
      <c r="C13" s="207"/>
      <c r="D13" s="207"/>
      <c r="E13" s="207"/>
      <c r="F13" s="207"/>
      <c r="G13" s="207"/>
      <c r="H13" s="207"/>
      <c r="I13" s="207"/>
      <c r="J13" s="207"/>
    </row>
    <row r="15" spans="2:10" x14ac:dyDescent="0.2">
      <c r="C15" s="159" t="s">
        <v>241</v>
      </c>
      <c r="D15" s="193" t="s">
        <v>242</v>
      </c>
      <c r="E15" s="193"/>
      <c r="F15" s="193"/>
      <c r="G15" s="193"/>
      <c r="H15" s="193"/>
    </row>
    <row r="16" spans="2:10" ht="51" x14ac:dyDescent="0.2">
      <c r="C16" s="158" t="s">
        <v>39</v>
      </c>
      <c r="D16" s="157" t="s">
        <v>238</v>
      </c>
      <c r="E16" s="157" t="s">
        <v>239</v>
      </c>
      <c r="F16" s="158" t="s">
        <v>240</v>
      </c>
      <c r="G16" s="157" t="s">
        <v>51</v>
      </c>
      <c r="H16" s="157" t="s">
        <v>52</v>
      </c>
    </row>
    <row r="17" spans="2:8" x14ac:dyDescent="0.2">
      <c r="C17" s="15">
        <f>'Test High Low Diagonals'!C46</f>
        <v>390</v>
      </c>
      <c r="D17" s="14">
        <f>'Test High Low Diagonals'!D46</f>
        <v>410</v>
      </c>
      <c r="E17" s="7">
        <f>'Test High Low Diagonals'!E46</f>
        <v>0</v>
      </c>
      <c r="F17" s="13">
        <f>'Test High Low Diagonals'!F46</f>
        <v>0</v>
      </c>
      <c r="G17" s="7">
        <f>'Test High Low Diagonals'!G46</f>
        <v>0</v>
      </c>
      <c r="H17" s="7">
        <f>'Test High Low Diagonals'!H46</f>
        <v>0</v>
      </c>
    </row>
    <row r="18" spans="2:8" x14ac:dyDescent="0.2">
      <c r="C18" s="15">
        <f>'Test High Low Diagonals'!C47</f>
        <v>480</v>
      </c>
      <c r="D18" s="14">
        <f>'Test High Low Diagonals'!D47</f>
        <v>620</v>
      </c>
      <c r="E18" s="7">
        <f>'Test High Low Diagonals'!E47</f>
        <v>0</v>
      </c>
      <c r="F18" s="13">
        <f>'Test High Low Diagonals'!F47</f>
        <v>0</v>
      </c>
      <c r="G18" s="7">
        <f>'Test High Low Diagonals'!G47</f>
        <v>1</v>
      </c>
      <c r="H18" s="7">
        <f>'Test High Low Diagonals'!H47</f>
        <v>0</v>
      </c>
    </row>
    <row r="19" spans="2:8" x14ac:dyDescent="0.2">
      <c r="C19" s="15">
        <f>'Test High Low Diagonals'!C48</f>
        <v>620</v>
      </c>
      <c r="D19" s="14">
        <f>'Test High Low Diagonals'!D48</f>
        <v>570</v>
      </c>
      <c r="E19" s="7">
        <f>'Test High Low Diagonals'!E48</f>
        <v>0</v>
      </c>
      <c r="F19" s="13">
        <f>'Test High Low Diagonals'!F48</f>
        <v>0</v>
      </c>
      <c r="G19" s="7">
        <f>'Test High Low Diagonals'!G48</f>
        <v>0</v>
      </c>
      <c r="H19" s="7">
        <f>'Test High Low Diagonals'!H48</f>
        <v>1</v>
      </c>
    </row>
    <row r="20" spans="2:8" x14ac:dyDescent="0.2">
      <c r="C20" s="15">
        <f>'Test High Low Diagonals'!C49</f>
        <v>140</v>
      </c>
      <c r="D20" s="7">
        <f>'Test High Low Diagonals'!D49</f>
        <v>0</v>
      </c>
      <c r="E20" s="14">
        <f>'Test High Low Diagonals'!E49</f>
        <v>800</v>
      </c>
      <c r="F20" s="13">
        <f>'Test High Low Diagonals'!F49</f>
        <v>0</v>
      </c>
      <c r="G20" s="7">
        <f>'Test High Low Diagonals'!G49</f>
        <v>1</v>
      </c>
      <c r="H20" s="7">
        <f>'Test High Low Diagonals'!H49</f>
        <v>0</v>
      </c>
    </row>
    <row r="21" spans="2:8" x14ac:dyDescent="0.2">
      <c r="C21" s="15">
        <f>'Test High Low Diagonals'!C50</f>
        <v>340</v>
      </c>
      <c r="D21" s="7">
        <f>'Test High Low Diagonals'!D50</f>
        <v>0</v>
      </c>
      <c r="E21" s="14">
        <f>'Test High Low Diagonals'!E50</f>
        <v>1100</v>
      </c>
      <c r="F21" s="13">
        <f>'Test High Low Diagonals'!F50</f>
        <v>0</v>
      </c>
      <c r="G21" s="7">
        <f>'Test High Low Diagonals'!G50</f>
        <v>0</v>
      </c>
      <c r="H21" s="7">
        <f>'Test High Low Diagonals'!H50</f>
        <v>1</v>
      </c>
    </row>
    <row r="22" spans="2:8" x14ac:dyDescent="0.2">
      <c r="C22" s="15">
        <f>'Test High Low Diagonals'!C51</f>
        <v>60</v>
      </c>
      <c r="D22" s="7">
        <f>'Test High Low Diagonals'!D51</f>
        <v>0</v>
      </c>
      <c r="E22" s="7">
        <f>'Test High Low Diagonals'!E51</f>
        <v>0</v>
      </c>
      <c r="F22" s="15">
        <f>'Test High Low Diagonals'!F51</f>
        <v>940</v>
      </c>
      <c r="G22" s="7">
        <f>'Test High Low Diagonals'!G51</f>
        <v>0</v>
      </c>
      <c r="H22" s="7">
        <f>'Test High Low Diagonals'!H51</f>
        <v>1</v>
      </c>
    </row>
    <row r="25" spans="2:8" x14ac:dyDescent="0.2">
      <c r="B25" s="64" t="s">
        <v>63</v>
      </c>
    </row>
    <row r="26" spans="2:8" ht="17" thickBot="1" x14ac:dyDescent="0.25"/>
    <row r="27" spans="2:8" x14ac:dyDescent="0.2">
      <c r="B27" s="77" t="s">
        <v>64</v>
      </c>
      <c r="C27" s="77"/>
    </row>
    <row r="28" spans="2:8" x14ac:dyDescent="0.2">
      <c r="B28" s="64" t="s">
        <v>65</v>
      </c>
      <c r="C28" s="64">
        <v>0.99941771474856211</v>
      </c>
    </row>
    <row r="29" spans="2:8" x14ac:dyDescent="0.2">
      <c r="B29" s="64" t="s">
        <v>66</v>
      </c>
      <c r="C29" s="64">
        <v>0.99883576855323819</v>
      </c>
    </row>
    <row r="30" spans="2:8" x14ac:dyDescent="0.2">
      <c r="B30" s="64" t="s">
        <v>67</v>
      </c>
      <c r="C30" s="64">
        <v>-5.8211572338091599E-3</v>
      </c>
    </row>
    <row r="31" spans="2:8" x14ac:dyDescent="0.2">
      <c r="B31" s="64" t="s">
        <v>68</v>
      </c>
      <c r="C31" s="64">
        <v>32.472209985343937</v>
      </c>
    </row>
    <row r="32" spans="2:8" ht="17" thickBot="1" x14ac:dyDescent="0.25">
      <c r="B32" s="78" t="s">
        <v>69</v>
      </c>
      <c r="C32" s="78">
        <v>6</v>
      </c>
    </row>
    <row r="34" spans="2:10" ht="17" thickBot="1" x14ac:dyDescent="0.25">
      <c r="B34" s="64" t="s">
        <v>70</v>
      </c>
    </row>
    <row r="35" spans="2:10" x14ac:dyDescent="0.2">
      <c r="B35" s="79"/>
      <c r="C35" s="79" t="s">
        <v>75</v>
      </c>
      <c r="D35" s="79" t="s">
        <v>76</v>
      </c>
      <c r="E35" s="79" t="s">
        <v>77</v>
      </c>
      <c r="F35" s="79" t="s">
        <v>78</v>
      </c>
      <c r="G35" s="79" t="s">
        <v>79</v>
      </c>
    </row>
    <row r="36" spans="2:10" x14ac:dyDescent="0.2">
      <c r="B36" s="64" t="s">
        <v>71</v>
      </c>
      <c r="C36" s="64">
        <v>5</v>
      </c>
      <c r="D36" s="64">
        <v>904645.55557866779</v>
      </c>
      <c r="E36" s="64">
        <v>180929.11111573357</v>
      </c>
      <c r="F36" s="64">
        <v>171.58714812785774</v>
      </c>
      <c r="G36" s="64" t="e">
        <v>#NUM!</v>
      </c>
    </row>
    <row r="37" spans="2:10" x14ac:dyDescent="0.2">
      <c r="B37" s="64" t="s">
        <v>72</v>
      </c>
      <c r="C37" s="64">
        <v>1</v>
      </c>
      <c r="D37" s="64">
        <v>1054.4444213322706</v>
      </c>
      <c r="E37" s="64">
        <v>1054.4444213322706</v>
      </c>
    </row>
    <row r="38" spans="2:10" ht="17" thickBot="1" x14ac:dyDescent="0.25">
      <c r="B38" s="78" t="s">
        <v>73</v>
      </c>
      <c r="C38" s="78">
        <v>6</v>
      </c>
      <c r="D38" s="78">
        <v>905700</v>
      </c>
      <c r="E38" s="78"/>
      <c r="F38" s="78"/>
      <c r="G38" s="78"/>
    </row>
    <row r="39" spans="2:10" ht="17" thickBot="1" x14ac:dyDescent="0.25"/>
    <row r="40" spans="2:10" x14ac:dyDescent="0.2">
      <c r="B40" s="79"/>
      <c r="C40" s="79" t="s">
        <v>80</v>
      </c>
      <c r="D40" s="79" t="s">
        <v>68</v>
      </c>
      <c r="E40" s="79" t="s">
        <v>81</v>
      </c>
      <c r="F40" s="79" t="s">
        <v>82</v>
      </c>
      <c r="G40" s="79" t="s">
        <v>83</v>
      </c>
      <c r="H40" s="79" t="s">
        <v>84</v>
      </c>
      <c r="I40" s="79" t="s">
        <v>85</v>
      </c>
      <c r="J40" s="79" t="s">
        <v>86</v>
      </c>
    </row>
    <row r="41" spans="2:10" x14ac:dyDescent="0.2">
      <c r="B41" s="141" t="s">
        <v>74</v>
      </c>
      <c r="C41" s="141">
        <v>0</v>
      </c>
      <c r="D41" s="141"/>
    </row>
    <row r="42" spans="2:10" x14ac:dyDescent="0.2">
      <c r="B42" s="141" t="s">
        <v>238</v>
      </c>
      <c r="C42" s="142">
        <v>0.92940155650579592</v>
      </c>
      <c r="D42" s="142">
        <v>7.6136048858907762E-2</v>
      </c>
      <c r="E42" s="64">
        <v>12.207115688760329</v>
      </c>
      <c r="F42" s="64">
        <v>5.2035339108757107E-2</v>
      </c>
      <c r="G42" s="64">
        <v>-3.7998668098886745E-2</v>
      </c>
      <c r="H42" s="64">
        <v>1.8968017811104785</v>
      </c>
      <c r="I42" s="64">
        <v>-3.7998668098886745E-2</v>
      </c>
      <c r="J42" s="64">
        <v>1.8968017811104785</v>
      </c>
    </row>
    <row r="43" spans="2:10" x14ac:dyDescent="0.2">
      <c r="B43" s="141" t="s">
        <v>239</v>
      </c>
      <c r="C43" s="142">
        <v>0.25065835024649147</v>
      </c>
      <c r="D43" s="142">
        <v>5.7235632881203348E-2</v>
      </c>
      <c r="E43" s="64">
        <v>4.379410825538538</v>
      </c>
      <c r="F43" s="64">
        <v>0.14291628570603612</v>
      </c>
      <c r="G43" s="64">
        <v>-0.47658931934661125</v>
      </c>
      <c r="H43" s="64">
        <v>0.97790601983959413</v>
      </c>
      <c r="I43" s="64">
        <v>-0.47658931934661125</v>
      </c>
      <c r="J43" s="64">
        <v>0.97790601983959413</v>
      </c>
    </row>
    <row r="44" spans="2:10" x14ac:dyDescent="0.2">
      <c r="B44" s="141" t="s">
        <v>240</v>
      </c>
      <c r="C44" s="142">
        <v>-1.8360067830082712E-2</v>
      </c>
      <c r="D44" s="142">
        <v>6.8504339012860183E-2</v>
      </c>
      <c r="E44" s="64">
        <v>-0.26801321047176313</v>
      </c>
      <c r="F44" s="64">
        <v>0.8332953088688948</v>
      </c>
      <c r="G44" s="64">
        <v>-0.88879022464380453</v>
      </c>
      <c r="H44" s="64">
        <v>0.85207008898363912</v>
      </c>
      <c r="I44" s="64">
        <v>-0.88879022464380453</v>
      </c>
      <c r="J44" s="64">
        <v>0.85207008898363912</v>
      </c>
    </row>
    <row r="45" spans="2:10" x14ac:dyDescent="0.2">
      <c r="B45" s="141" t="s">
        <v>51</v>
      </c>
      <c r="C45" s="142">
        <v>-78.377822615393427</v>
      </c>
      <c r="D45" s="142">
        <v>49.810463596761181</v>
      </c>
      <c r="E45" s="64">
        <v>-1.5735212434459207</v>
      </c>
      <c r="F45" s="64">
        <v>0.360407391584745</v>
      </c>
      <c r="G45" s="64">
        <v>-711.27977107961806</v>
      </c>
      <c r="H45" s="64">
        <v>554.52412584883132</v>
      </c>
      <c r="I45" s="64">
        <v>-711.27977107961806</v>
      </c>
      <c r="J45" s="64">
        <v>554.52412584883132</v>
      </c>
    </row>
    <row r="46" spans="2:10" ht="17" thickBot="1" x14ac:dyDescent="0.25">
      <c r="B46" s="165" t="s">
        <v>52</v>
      </c>
      <c r="C46" s="143">
        <v>77.258463760277749</v>
      </c>
      <c r="D46" s="143">
        <v>55.607130358388936</v>
      </c>
      <c r="E46" s="78">
        <v>1.3893625379037831</v>
      </c>
      <c r="F46" s="78">
        <v>0.39716248961370471</v>
      </c>
      <c r="G46" s="78">
        <v>-629.29711936456806</v>
      </c>
      <c r="H46" s="78">
        <v>783.81404688512362</v>
      </c>
      <c r="I46" s="78">
        <v>-629.29711936456806</v>
      </c>
      <c r="J46" s="78">
        <v>783.81404688512362</v>
      </c>
    </row>
  </sheetData>
  <mergeCells count="2">
    <mergeCell ref="D15:H15"/>
    <mergeCell ref="B5:J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Correlation Dev Factors</vt:lpstr>
      <vt:lpstr>Parameterized BF-Constant</vt:lpstr>
      <vt:lpstr>Parameterized BF-Var ∝ f(d)h(w)</vt:lpstr>
      <vt:lpstr>Test High Low Diagonals</vt:lpstr>
      <vt:lpstr>Goodness of Fit</vt:lpstr>
      <vt:lpstr>High-Low Diag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2026-04-23T13:58:56Z</dcterms:modified>
</cp:coreProperties>
</file>