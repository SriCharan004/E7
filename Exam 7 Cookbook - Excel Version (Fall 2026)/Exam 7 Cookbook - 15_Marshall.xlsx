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codeName="ThisWorkbook" defaultThemeVersion="166925"/>
  <mc:AlternateContent xmlns:mc="http://schemas.openxmlformats.org/markup-compatibility/2006">
    <mc:Choice Requires="x15">
      <x15ac:absPath xmlns:x15ac="http://schemas.microsoft.com/office/spreadsheetml/2010/11/ac" url="/Users/stephenroll/Rising Fellow Dropbox/Rising Fellow/_Products/Exam 7/_Cookbook/Exam 7 Cookbook - Excel Version/"/>
    </mc:Choice>
  </mc:AlternateContent>
  <xr:revisionPtr revIDLastSave="0" documentId="13_ncr:1_{A575DC57-9E6C-1E43-ABF1-7666664D4C41}" xr6:coauthVersionLast="47" xr6:coauthVersionMax="47" xr10:uidLastSave="{00000000-0000-0000-0000-000000000000}"/>
  <bookViews>
    <workbookView xWindow="60" yWindow="500" windowWidth="17180" windowHeight="21100" xr2:uid="{00000000-000D-0000-FFFF-FFFF00000000}"/>
  </bookViews>
  <sheets>
    <sheet name="Risk Margin" sheetId="1" r:id="rId1"/>
    <sheet name="Balanced Scorecard" sheetId="2" r:id="rId2"/>
    <sheet name="Derivation-Lognormal RiskMargin"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26" i="1" l="1"/>
  <c r="E125" i="1"/>
  <c r="E124" i="1"/>
  <c r="E123" i="1"/>
  <c r="E122" i="1"/>
  <c r="D126" i="1"/>
  <c r="C126" i="1"/>
  <c r="G69" i="1"/>
  <c r="D41" i="2"/>
  <c r="D40" i="2"/>
  <c r="R134" i="1"/>
  <c r="H59" i="1"/>
  <c r="H58" i="1"/>
  <c r="G62" i="1"/>
  <c r="E62" i="1"/>
  <c r="H60" i="1"/>
  <c r="D62" i="1"/>
  <c r="G38" i="1"/>
  <c r="G45" i="1" s="1"/>
  <c r="Q135" i="1"/>
  <c r="R133" i="1"/>
  <c r="R132" i="1"/>
  <c r="R131" i="1"/>
  <c r="Q126" i="1"/>
  <c r="R125" i="1" s="1"/>
  <c r="P135" i="1"/>
  <c r="O135" i="1"/>
  <c r="N135" i="1"/>
  <c r="P126" i="1"/>
  <c r="R124" i="1" s="1"/>
  <c r="O126" i="1"/>
  <c r="R123" i="1" s="1"/>
  <c r="N126" i="1"/>
  <c r="R122" i="1" s="1"/>
  <c r="F62" i="1"/>
  <c r="H61" i="1"/>
  <c r="H39" i="1"/>
  <c r="G63" i="1" s="1"/>
  <c r="Q127" i="1" s="1"/>
  <c r="G39" i="1"/>
  <c r="F63" i="1" s="1"/>
  <c r="P136" i="1" s="1"/>
  <c r="H38" i="1"/>
  <c r="Q136" i="1" l="1"/>
  <c r="I58" i="1"/>
  <c r="I60" i="1"/>
  <c r="I61" i="1"/>
  <c r="I59" i="1"/>
  <c r="S123" i="1" s="1"/>
  <c r="S132" i="1" s="1"/>
  <c r="P132" i="1" s="1"/>
  <c r="D63" i="1"/>
  <c r="P127" i="1"/>
  <c r="H45" i="1"/>
  <c r="G46" i="1"/>
  <c r="E63" i="1"/>
  <c r="O136" i="1" s="1"/>
  <c r="H46" i="1"/>
  <c r="N136" i="1" l="1"/>
  <c r="N127" i="1"/>
  <c r="O132" i="1"/>
  <c r="Q132" i="1"/>
  <c r="F59" i="1"/>
  <c r="G59" i="1"/>
  <c r="D58" i="1"/>
  <c r="Q123" i="1"/>
  <c r="G48" i="1"/>
  <c r="D60" i="1"/>
  <c r="S124" i="1"/>
  <c r="G61" i="1"/>
  <c r="S125" i="1"/>
  <c r="S122" i="1"/>
  <c r="P122" i="1" s="1"/>
  <c r="F58" i="1"/>
  <c r="D59" i="1"/>
  <c r="G58" i="1"/>
  <c r="E60" i="1"/>
  <c r="E58" i="1"/>
  <c r="O127" i="1"/>
  <c r="E59" i="1"/>
  <c r="G60" i="1"/>
  <c r="F60" i="1"/>
  <c r="P123" i="1"/>
  <c r="F61" i="1"/>
  <c r="D61" i="1"/>
  <c r="E61" i="1"/>
  <c r="N122" i="1" l="1"/>
  <c r="N132" i="1"/>
  <c r="G65" i="1"/>
  <c r="N123" i="1"/>
  <c r="N124" i="1"/>
  <c r="N125" i="1"/>
  <c r="P124" i="1"/>
  <c r="P125" i="1"/>
  <c r="S131" i="1"/>
  <c r="Q122" i="1"/>
  <c r="O124" i="1"/>
  <c r="Q124" i="1"/>
  <c r="S133" i="1"/>
  <c r="S134" i="1"/>
  <c r="N134" i="1" s="1"/>
  <c r="Q125" i="1"/>
  <c r="O125" i="1"/>
  <c r="O123" i="1"/>
  <c r="O122" i="1"/>
  <c r="P133" i="1" l="1"/>
  <c r="O133" i="1"/>
  <c r="Q133" i="1"/>
  <c r="N133" i="1"/>
  <c r="P131" i="1"/>
  <c r="Q131" i="1"/>
  <c r="O131" i="1"/>
  <c r="N131" i="1"/>
  <c r="P134" i="1"/>
  <c r="Q134" i="1"/>
  <c r="O134" i="1"/>
  <c r="G78" i="1"/>
  <c r="G98" i="1" s="1"/>
  <c r="G102" i="1" s="1"/>
  <c r="G83" i="1" l="1"/>
</calcChain>
</file>

<file path=xl/sharedStrings.xml><?xml version="1.0" encoding="utf-8"?>
<sst xmlns="http://schemas.openxmlformats.org/spreadsheetml/2006/main" count="206" uniqueCount="121">
  <si>
    <t>Solution</t>
  </si>
  <si>
    <t>Line of Business</t>
  </si>
  <si>
    <t>Outstanding Claims (OSC)</t>
  </si>
  <si>
    <t>Auto</t>
  </si>
  <si>
    <t>Home</t>
  </si>
  <si>
    <t>Insurance Liabilities ($000)</t>
  </si>
  <si>
    <t>Auto OSC</t>
  </si>
  <si>
    <t>Home OSC</t>
  </si>
  <si>
    <t>Balanced Scorecard Score</t>
  </si>
  <si>
    <t>Auto CoV</t>
  </si>
  <si>
    <t>Home CoV</t>
  </si>
  <si>
    <t>Internal Systemic Risk 
CoV Scale</t>
  </si>
  <si>
    <t>External Systemic Risk:</t>
  </si>
  <si>
    <t>Auto OSC Score</t>
  </si>
  <si>
    <t>Auto Weight</t>
  </si>
  <si>
    <t>Specification Error</t>
  </si>
  <si>
    <t xml:space="preserve">Number of independent models </t>
  </si>
  <si>
    <t>Checks made on reasonableness</t>
  </si>
  <si>
    <t>Parameter Selection Error</t>
  </si>
  <si>
    <t>Best predictors identified</t>
  </si>
  <si>
    <t>Data Error</t>
  </si>
  <si>
    <t>Reconciliations and quality control</t>
  </si>
  <si>
    <t>Reliability of information</t>
  </si>
  <si>
    <t>CoV</t>
  </si>
  <si>
    <t>1-2</t>
  </si>
  <si>
    <t>2-3</t>
  </si>
  <si>
    <t>3-4</t>
  </si>
  <si>
    <t>4-5</t>
  </si>
  <si>
    <t>Segment</t>
  </si>
  <si>
    <t>WC OSC</t>
  </si>
  <si>
    <t>ɸ(internal)</t>
  </si>
  <si>
    <t>Given the following information:</t>
  </si>
  <si>
    <t>Class</t>
  </si>
  <si>
    <t>Social Risk</t>
  </si>
  <si>
    <t>Event Risk</t>
  </si>
  <si>
    <t>Total</t>
  </si>
  <si>
    <t>Discussion</t>
  </si>
  <si>
    <t>Weight</t>
  </si>
  <si>
    <t>Premium Liabilities (PL)</t>
  </si>
  <si>
    <t>Independent Risk CoV</t>
  </si>
  <si>
    <t>OSC</t>
  </si>
  <si>
    <t>PL</t>
  </si>
  <si>
    <t>Auto PL</t>
  </si>
  <si>
    <t>Home PL</t>
  </si>
  <si>
    <t>External Systemic Risk (𝜙)</t>
  </si>
  <si>
    <t>External Systemic Risk Correlation Matrix - Social Risk</t>
  </si>
  <si>
    <t>External Systemic Risk Correlation Matrix - Event Risk</t>
  </si>
  <si>
    <t>Event Risk Calculation</t>
  </si>
  <si>
    <t>Internal Systemic Risk CoV</t>
  </si>
  <si>
    <t>Calculate the risk margin as a percent of total liabilities for a required probability of adequacy of 75% using</t>
  </si>
  <si>
    <t>the normal distribution.</t>
  </si>
  <si>
    <t>PL CoV</t>
  </si>
  <si>
    <t>OSC CoV</t>
  </si>
  <si>
    <t>The z-value for the 75th percentile of the standard normal distribution is:</t>
  </si>
  <si>
    <t>Given the following information from a balanced scorecard for outstanding claim liabilities (OSC):</t>
  </si>
  <si>
    <t>Balanced Scorecard</t>
  </si>
  <si>
    <t>Home OSC Score</t>
  </si>
  <si>
    <t>Home Weight</t>
  </si>
  <si>
    <t>Calculate the Auto and Home internal systemic risk CoVs for outstanding claims liabilities (OSC) using</t>
  </si>
  <si>
    <t>the balanced scorecard.</t>
  </si>
  <si>
    <t>Calculate the weighted average score by segment.</t>
  </si>
  <si>
    <t>Risk Margin based on the Lognormal Distribution</t>
  </si>
  <si>
    <t>Note:</t>
  </si>
  <si>
    <t>Premium Liabilities Definition</t>
  </si>
  <si>
    <t>Source</t>
  </si>
  <si>
    <t>Marshall – pg. 21-23</t>
  </si>
  <si>
    <t>More Practice</t>
  </si>
  <si>
    <t xml:space="preserve">CAS 2017 – 8 </t>
  </si>
  <si>
    <t>CAS 2015 – 8</t>
  </si>
  <si>
    <t>CAS 2013 – 8</t>
  </si>
  <si>
    <t>RF Marshall – 1</t>
  </si>
  <si>
    <t>RF Marshall – 5</t>
  </si>
  <si>
    <t xml:space="preserve">• The minimum CoV is unlikely to be less than 5% </t>
  </si>
  <si>
    <t xml:space="preserve">• The scale is not linear </t>
  </si>
  <si>
    <t xml:space="preserve">• CoVs are higher for long-tail lines of business than for short-tail lines of business </t>
  </si>
  <si>
    <t>This is due to the difficulty in modeling a long-tail line.</t>
  </si>
  <si>
    <t>Marshall – pg. 31-34</t>
  </si>
  <si>
    <t xml:space="preserve">CAS 2019 – 9 </t>
  </si>
  <si>
    <t>CAS 2017 – 8</t>
  </si>
  <si>
    <t>RF Marshall – 2</t>
  </si>
  <si>
    <r>
      <t>1) Calculate the σ</t>
    </r>
    <r>
      <rPr>
        <b/>
        <vertAlign val="superscript"/>
        <sz val="12"/>
        <color theme="1"/>
        <rFont val="Calibri"/>
        <family val="2"/>
      </rPr>
      <t xml:space="preserve">2 </t>
    </r>
    <r>
      <rPr>
        <b/>
        <sz val="12"/>
        <color theme="1"/>
        <rFont val="Calibri"/>
        <family val="2"/>
      </rPr>
      <t>parameter of the lognormal distribution.</t>
    </r>
  </si>
  <si>
    <t>2) Calculate the risk margin using the lognormal distribution.</t>
  </si>
  <si>
    <t xml:space="preserve">Below is the derivation of the Lognormal Distribution risk margin formulas used in the Discussion </t>
  </si>
  <si>
    <t>section of the "Marshall-Risk Margin" tab.</t>
  </si>
  <si>
    <t>Underlying calculations for the Event and Social external systemic risk CoVs</t>
  </si>
  <si>
    <t>1)</t>
  </si>
  <si>
    <t>2)</t>
  </si>
  <si>
    <t>3)</t>
  </si>
  <si>
    <t>4)</t>
  </si>
  <si>
    <t>5)</t>
  </si>
  <si>
    <t>6)</t>
  </si>
  <si>
    <t>Potential Risk Indicator</t>
  </si>
  <si>
    <t>•  Total Event Risk CoV =</t>
  </si>
  <si>
    <t>•  Total Social Risk CoV =</t>
  </si>
  <si>
    <t>Internal Systemic Risk Correlation Matrix</t>
  </si>
  <si>
    <t>Calculate the weights as a percentage of total liabilities.</t>
  </si>
  <si>
    <t>Calculate the total independent risk CoV.</t>
  </si>
  <si>
    <t>Calculate the total internal systemic risk CoV by incorporating the correlation between risks. Sum the calculations over the entire square of the correlation matrix, demonstrated below. Note that the values above the diagonal are the same as the values below the diagonal.</t>
  </si>
  <si>
    <t>Calculate the total external systemic risk CoV.</t>
  </si>
  <si>
    <t>Calculate the risk margin as a percentage of total liabilities.</t>
  </si>
  <si>
    <t>Calculate the total consolidated CoV.</t>
  </si>
  <si>
    <t>Look up the internal systemic risk CoVs in the CoV scale.</t>
  </si>
  <si>
    <r>
      <t>𝜙</t>
    </r>
    <r>
      <rPr>
        <vertAlign val="subscript"/>
        <sz val="12"/>
        <color theme="1"/>
        <rFont val="Calibri"/>
        <family val="2"/>
      </rPr>
      <t>ext</t>
    </r>
    <r>
      <rPr>
        <sz val="12"/>
        <color theme="1"/>
        <rFont val="Calibri"/>
        <family val="2"/>
      </rPr>
      <t xml:space="preserve"> = </t>
    </r>
  </si>
  <si>
    <r>
      <t>𝜙</t>
    </r>
    <r>
      <rPr>
        <vertAlign val="subscript"/>
        <sz val="12"/>
        <color theme="1"/>
        <rFont val="Calibri"/>
        <family val="2"/>
      </rPr>
      <t>internal</t>
    </r>
    <r>
      <rPr>
        <sz val="12"/>
        <color theme="1"/>
        <rFont val="Calibri"/>
        <family val="2"/>
      </rPr>
      <t xml:space="preserve"> = </t>
    </r>
  </si>
  <si>
    <r>
      <t>𝜙</t>
    </r>
    <r>
      <rPr>
        <vertAlign val="subscript"/>
        <sz val="12"/>
        <color theme="1"/>
        <rFont val="Calibri"/>
        <family val="2"/>
      </rPr>
      <t>total</t>
    </r>
    <r>
      <rPr>
        <sz val="12"/>
        <color theme="1"/>
        <rFont val="Calibri"/>
        <family val="2"/>
      </rPr>
      <t xml:space="preserve"> = </t>
    </r>
  </si>
  <si>
    <t xml:space="preserve">Risk Margin = </t>
  </si>
  <si>
    <t xml:space="preserve">  % of Liabilities</t>
  </si>
  <si>
    <r>
      <t>Independent Risk: (𝜙*w)</t>
    </r>
    <r>
      <rPr>
        <u/>
        <vertAlign val="superscript"/>
        <sz val="12"/>
        <rFont val="Calibri"/>
        <family val="2"/>
      </rPr>
      <t>2</t>
    </r>
  </si>
  <si>
    <r>
      <t>𝜙</t>
    </r>
    <r>
      <rPr>
        <vertAlign val="subscript"/>
        <sz val="12"/>
        <rFont val="Calibri"/>
        <family val="2"/>
      </rPr>
      <t>ind</t>
    </r>
    <r>
      <rPr>
        <sz val="12"/>
        <rFont val="Calibri"/>
        <family val="2"/>
      </rPr>
      <t xml:space="preserve"> = </t>
    </r>
  </si>
  <si>
    <t>This problem-type is straightforward and the most likely calculation problem from Marshall. 
Make sure to be familiar with the different sources of uncertainty and the ways Marshall recommends to select the various CoVs and correlation coefficients. These are all likely topics for part b or multiple choice type problems.
A potential twist to this problem is to use the lognormal distribution instead of the normal distribution. Below is a mini recipe based on the problem above in case you see this on the exam:</t>
  </si>
  <si>
    <r>
      <t>σ</t>
    </r>
    <r>
      <rPr>
        <vertAlign val="superscript"/>
        <sz val="12"/>
        <color theme="1"/>
        <rFont val="Calibri"/>
        <family val="2"/>
      </rPr>
      <t>2</t>
    </r>
    <r>
      <rPr>
        <sz val="12"/>
        <color theme="1"/>
        <rFont val="Calibri"/>
        <family val="2"/>
      </rPr>
      <t xml:space="preserve"> = </t>
    </r>
  </si>
  <si>
    <r>
      <t xml:space="preserve">Notice that at the 75% level, the normal distribution has a higher risk margin than the lognormal distribution. For probabilities of adequacy further out in the tail (e.g. 90%), the lognormal distribution will have a higher risk margin.
</t>
    </r>
    <r>
      <rPr>
        <b/>
        <sz val="12"/>
        <color theme="1"/>
        <rFont val="Calibri"/>
        <family val="2"/>
      </rPr>
      <t xml:space="preserve">Note: </t>
    </r>
    <r>
      <rPr>
        <sz val="12"/>
        <color theme="1"/>
        <rFont val="Calibri"/>
        <family val="2"/>
      </rPr>
      <t xml:space="preserve">
I derived these formulas since they’re not shown in the paper. See the following page if you’re interested in seeing the derivation.</t>
    </r>
  </si>
  <si>
    <t>In case you’re wondering, Premium Liabilities is an Australian term. It refers to future liabilities on in-force policies. So, it’s like the unearned premium reserve although the terminology is a bit different. I wouldn’t worry about it more than that for the exam since it’s not clearly defined or discussed in detail in the paper.</t>
  </si>
  <si>
    <t>Social Risk Calculation</t>
  </si>
  <si>
    <t>Note how these tie out with the values given in the problem.</t>
  </si>
  <si>
    <t>Marshall - Risk Margin Calculation</t>
  </si>
  <si>
    <t>Score</t>
  </si>
  <si>
    <t>The balanced scorecard is an approach to estimate the internal systemic risk CoV. 
Besides the calculation, be prepared for an essay problem about the calibration of the CoV scale. See pg. 35-36 in Marshall for details about calibrating scores to CoVs. 
Here are a few key points to keep in mind:</t>
  </si>
  <si>
    <t>Even the best possible model according to the scorecard will not be able to completely capture the complexity of the insurance process.</t>
  </si>
  <si>
    <t>This is because the marginal improvement of going from a poor to a fair model will be greater than the marginal improvement of going from a fair to a good model.</t>
  </si>
  <si>
    <t>Marshall - Internal Risk Balanced Scorecard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</si>
</sst>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_(&quot;$&quot;* #,##0_);_(&quot;$&quot;* \(#,##0\);_(&quot;$&quot;* &quot;-&quot;??_);_(@_)"/>
    <numFmt numFmtId="165" formatCode="0.000"/>
    <numFmt numFmtId="166" formatCode="0.0"/>
    <numFmt numFmtId="167" formatCode="0.0000%"/>
    <numFmt numFmtId="168" formatCode="0.0%"/>
  </numFmts>
  <fonts count="23"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scheme val="minor"/>
    </font>
    <font>
      <b/>
      <sz val="14"/>
      <color theme="1"/>
      <name val="Calibri"/>
      <family val="2"/>
    </font>
    <font>
      <b/>
      <u/>
      <sz val="12"/>
      <color theme="1"/>
      <name val="Calibri"/>
      <family val="2"/>
    </font>
    <font>
      <sz val="11"/>
      <color theme="1"/>
      <name val="Calibri"/>
      <family val="2"/>
    </font>
    <font>
      <u/>
      <sz val="12"/>
      <color theme="1"/>
      <name val="Calibri"/>
      <family val="2"/>
    </font>
    <font>
      <sz val="12"/>
      <color rgb="FF000000"/>
      <name val="Calibri"/>
      <family val="2"/>
    </font>
    <font>
      <b/>
      <sz val="12"/>
      <color theme="1"/>
      <name val="Calibri"/>
      <family val="2"/>
    </font>
    <font>
      <sz val="8"/>
      <name val="Calibri"/>
      <family val="2"/>
      <scheme val="minor"/>
    </font>
    <font>
      <b/>
      <sz val="12"/>
      <name val="Calibri"/>
      <family val="2"/>
    </font>
    <font>
      <sz val="12"/>
      <name val="Calibri"/>
      <family val="2"/>
    </font>
    <font>
      <u/>
      <sz val="14"/>
      <color theme="1"/>
      <name val="Calibri"/>
      <family val="2"/>
    </font>
    <font>
      <b/>
      <vertAlign val="superscript"/>
      <sz val="12"/>
      <color theme="1"/>
      <name val="Calibri"/>
      <family val="2"/>
    </font>
    <font>
      <sz val="14"/>
      <color theme="1"/>
      <name val="Calibri"/>
      <family val="2"/>
    </font>
    <font>
      <u/>
      <sz val="12"/>
      <name val="Calibri"/>
      <family val="2"/>
    </font>
    <font>
      <vertAlign val="subscript"/>
      <sz val="12"/>
      <color theme="1"/>
      <name val="Calibri"/>
      <family val="2"/>
    </font>
    <font>
      <u/>
      <vertAlign val="superscript"/>
      <sz val="12"/>
      <name val="Calibri"/>
      <family val="2"/>
    </font>
    <font>
      <vertAlign val="subscript"/>
      <sz val="12"/>
      <name val="Calibri"/>
      <family val="2"/>
    </font>
    <font>
      <vertAlign val="superscript"/>
      <sz val="12"/>
      <color theme="1"/>
      <name val="Calibri"/>
      <family val="2"/>
    </font>
  </fonts>
  <fills count="4">
    <fill>
      <patternFill patternType="none"/>
    </fill>
    <fill>
      <patternFill patternType="gray125"/>
    </fill>
    <fill>
      <patternFill patternType="solid">
        <fgColor theme="0" tint="-4.9989318521683403E-2"/>
        <bgColor indexed="64"/>
      </patternFill>
    </fill>
    <fill>
      <patternFill patternType="solid">
        <fgColor theme="8" tint="0.59999389629810485"/>
        <bgColor indexed="64"/>
      </patternFill>
    </fill>
  </fills>
  <borders count="3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rgb="FF000000"/>
      </top>
      <bottom/>
      <diagonal/>
    </border>
    <border>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000000"/>
      </left>
      <right/>
      <top/>
      <bottom style="thin">
        <color indexed="64"/>
      </bottom>
      <diagonal/>
    </border>
    <border>
      <left/>
      <right style="thin">
        <color indexed="64"/>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indexed="64"/>
      </right>
      <top/>
      <bottom style="thin">
        <color rgb="FF000000"/>
      </bottom>
      <diagonal/>
    </border>
  </borders>
  <cellStyleXfs count="2">
    <xf numFmtId="0" fontId="0" fillId="0" borderId="0"/>
    <xf numFmtId="44" fontId="5" fillId="0" borderId="0" applyFont="0" applyFill="0" applyBorder="0" applyAlignment="0" applyProtection="0"/>
  </cellStyleXfs>
  <cellXfs count="173">
    <xf numFmtId="0" fontId="0" fillId="0" borderId="0" xfId="0"/>
    <xf numFmtId="0" fontId="6" fillId="2" borderId="1" xfId="0" applyFont="1" applyFill="1" applyBorder="1"/>
    <xf numFmtId="0" fontId="6" fillId="0" borderId="0" xfId="0" applyFont="1"/>
    <xf numFmtId="0" fontId="7" fillId="0" borderId="0" xfId="0" applyFont="1"/>
    <xf numFmtId="0" fontId="8" fillId="0" borderId="0" xfId="0" applyFont="1"/>
    <xf numFmtId="0" fontId="14" fillId="0" borderId="9" xfId="0" applyFont="1" applyBorder="1" applyAlignment="1">
      <alignment horizontal="center"/>
    </xf>
    <xf numFmtId="0" fontId="14" fillId="0" borderId="10" xfId="0" applyFont="1" applyBorder="1" applyAlignment="1">
      <alignment horizontal="center"/>
    </xf>
    <xf numFmtId="0" fontId="14" fillId="0" borderId="11" xfId="0" applyFont="1" applyBorder="1" applyAlignment="1">
      <alignment horizontal="center"/>
    </xf>
    <xf numFmtId="0" fontId="14" fillId="0" borderId="9" xfId="0" applyFont="1" applyBorder="1"/>
    <xf numFmtId="0" fontId="14" fillId="0" borderId="11" xfId="0" applyFont="1" applyBorder="1"/>
    <xf numFmtId="9" fontId="14" fillId="0" borderId="0" xfId="0" applyNumberFormat="1" applyFont="1" applyAlignment="1">
      <alignment horizontal="center"/>
    </xf>
    <xf numFmtId="0" fontId="11" fillId="0" borderId="0" xfId="0" applyFont="1"/>
    <xf numFmtId="0" fontId="15" fillId="0" borderId="0" xfId="0" applyFont="1"/>
    <xf numFmtId="0" fontId="17" fillId="0" borderId="0" xfId="0" applyFont="1"/>
    <xf numFmtId="0" fontId="11" fillId="0" borderId="0" xfId="0" applyFont="1" applyAlignment="1">
      <alignment horizontal="right"/>
    </xf>
    <xf numFmtId="0" fontId="14" fillId="2" borderId="17" xfId="0" applyFont="1" applyFill="1" applyBorder="1" applyAlignment="1">
      <alignment horizontal="center" vertical="center" wrapText="1"/>
    </xf>
    <xf numFmtId="9" fontId="14" fillId="2" borderId="18" xfId="0" applyNumberFormat="1" applyFont="1" applyFill="1" applyBorder="1" applyAlignment="1">
      <alignment horizontal="center"/>
    </xf>
    <xf numFmtId="9" fontId="14" fillId="2" borderId="7" xfId="0" applyNumberFormat="1" applyFont="1" applyFill="1" applyBorder="1" applyAlignment="1">
      <alignment horizontal="center"/>
    </xf>
    <xf numFmtId="9" fontId="14" fillId="2" borderId="8" xfId="0" applyNumberFormat="1" applyFont="1" applyFill="1" applyBorder="1" applyAlignment="1">
      <alignment horizontal="center"/>
    </xf>
    <xf numFmtId="9" fontId="14" fillId="2" borderId="19" xfId="0" applyNumberFormat="1" applyFont="1" applyFill="1" applyBorder="1" applyAlignment="1">
      <alignment horizontal="center"/>
    </xf>
    <xf numFmtId="9" fontId="14" fillId="2" borderId="0" xfId="0" applyNumberFormat="1" applyFont="1" applyFill="1" applyAlignment="1">
      <alignment horizontal="center"/>
    </xf>
    <xf numFmtId="9" fontId="14" fillId="2" borderId="6" xfId="0" applyNumberFormat="1" applyFont="1" applyFill="1" applyBorder="1" applyAlignment="1">
      <alignment horizontal="center"/>
    </xf>
    <xf numFmtId="0" fontId="14" fillId="2" borderId="20" xfId="0" applyFont="1" applyFill="1" applyBorder="1" applyAlignment="1">
      <alignment horizontal="center" vertical="center" wrapText="1"/>
    </xf>
    <xf numFmtId="0" fontId="10" fillId="2" borderId="20" xfId="0" applyFont="1" applyFill="1" applyBorder="1" applyAlignment="1">
      <alignment horizontal="center" vertical="center" wrapText="1"/>
    </xf>
    <xf numFmtId="0" fontId="10" fillId="2" borderId="17" xfId="0" applyFont="1" applyFill="1" applyBorder="1" applyAlignment="1">
      <alignment horizontal="center" vertical="center" wrapText="1"/>
    </xf>
    <xf numFmtId="3" fontId="14" fillId="2" borderId="19" xfId="0" applyNumberFormat="1" applyFont="1" applyFill="1" applyBorder="1" applyAlignment="1">
      <alignment horizontal="center"/>
    </xf>
    <xf numFmtId="3" fontId="14" fillId="2" borderId="18" xfId="0" applyNumberFormat="1" applyFont="1" applyFill="1" applyBorder="1" applyAlignment="1">
      <alignment horizontal="center"/>
    </xf>
    <xf numFmtId="3" fontId="14" fillId="2" borderId="6" xfId="0" applyNumberFormat="1" applyFont="1" applyFill="1" applyBorder="1" applyAlignment="1">
      <alignment horizontal="center"/>
    </xf>
    <xf numFmtId="3" fontId="14" fillId="2" borderId="8" xfId="0" applyNumberFormat="1" applyFont="1" applyFill="1" applyBorder="1" applyAlignment="1">
      <alignment horizontal="center"/>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2" borderId="16" xfId="0" applyFont="1" applyFill="1" applyBorder="1" applyAlignment="1">
      <alignment horizontal="center" vertical="center" wrapText="1"/>
    </xf>
    <xf numFmtId="9" fontId="14" fillId="2" borderId="25" xfId="0" applyNumberFormat="1" applyFont="1" applyFill="1" applyBorder="1" applyAlignment="1">
      <alignment horizontal="center"/>
    </xf>
    <xf numFmtId="9" fontId="14" fillId="2" borderId="26" xfId="0" applyNumberFormat="1" applyFont="1" applyFill="1" applyBorder="1" applyAlignment="1">
      <alignment horizontal="center"/>
    </xf>
    <xf numFmtId="9" fontId="14" fillId="2" borderId="27" xfId="0" applyNumberFormat="1" applyFont="1" applyFill="1" applyBorder="1" applyAlignment="1">
      <alignment horizontal="center"/>
    </xf>
    <xf numFmtId="0" fontId="10" fillId="2" borderId="16" xfId="0" applyFont="1" applyFill="1" applyBorder="1" applyAlignment="1">
      <alignment horizontal="center" vertical="center" wrapText="1"/>
    </xf>
    <xf numFmtId="0" fontId="10" fillId="2" borderId="25" xfId="0" applyFont="1" applyFill="1" applyBorder="1" applyAlignment="1">
      <alignment horizontal="center" vertical="center" wrapText="1"/>
    </xf>
    <xf numFmtId="0" fontId="10" fillId="2" borderId="27"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9" fillId="2" borderId="22" xfId="0" applyFont="1" applyFill="1" applyBorder="1" applyAlignment="1">
      <alignment horizontal="center"/>
    </xf>
    <xf numFmtId="0" fontId="9" fillId="2" borderId="19" xfId="0" applyFont="1" applyFill="1" applyBorder="1" applyAlignment="1">
      <alignment horizontal="center"/>
    </xf>
    <xf numFmtId="0" fontId="11" fillId="2" borderId="22" xfId="0" applyFont="1" applyFill="1" applyBorder="1"/>
    <xf numFmtId="0" fontId="11" fillId="2" borderId="23" xfId="0" applyFont="1" applyFill="1" applyBorder="1"/>
    <xf numFmtId="0" fontId="9" fillId="2" borderId="18" xfId="0" applyFont="1" applyFill="1" applyBorder="1" applyAlignment="1">
      <alignment horizontal="center"/>
    </xf>
    <xf numFmtId="0" fontId="4" fillId="2" borderId="0" xfId="0" applyFont="1" applyFill="1"/>
    <xf numFmtId="0" fontId="4" fillId="2" borderId="2" xfId="0" applyFont="1" applyFill="1" applyBorder="1"/>
    <xf numFmtId="0" fontId="4" fillId="0" borderId="0" xfId="0" applyFont="1"/>
    <xf numFmtId="2" fontId="4" fillId="2" borderId="1" xfId="0" applyNumberFormat="1" applyFont="1" applyFill="1" applyBorder="1" applyAlignment="1">
      <alignment horizontal="left"/>
    </xf>
    <xf numFmtId="0" fontId="4" fillId="2" borderId="21" xfId="0" applyFont="1" applyFill="1" applyBorder="1"/>
    <xf numFmtId="0" fontId="4" fillId="2" borderId="17" xfId="0" applyFont="1" applyFill="1" applyBorder="1"/>
    <xf numFmtId="10" fontId="4" fillId="2" borderId="0" xfId="0" applyNumberFormat="1" applyFont="1" applyFill="1"/>
    <xf numFmtId="0" fontId="4" fillId="2" borderId="3" xfId="0" applyFont="1" applyFill="1" applyBorder="1"/>
    <xf numFmtId="0" fontId="4" fillId="2" borderId="4" xfId="0" applyFont="1" applyFill="1" applyBorder="1"/>
    <xf numFmtId="164" fontId="4" fillId="2" borderId="4" xfId="1" applyNumberFormat="1" applyFont="1" applyFill="1" applyBorder="1"/>
    <xf numFmtId="0" fontId="4" fillId="2" borderId="5" xfId="0" applyFont="1" applyFill="1" applyBorder="1"/>
    <xf numFmtId="0" fontId="4" fillId="2" borderId="0" xfId="0" applyFont="1" applyFill="1" applyAlignment="1">
      <alignment horizontal="center"/>
    </xf>
    <xf numFmtId="0" fontId="4" fillId="2" borderId="7" xfId="0" applyFont="1" applyFill="1" applyBorder="1" applyAlignment="1">
      <alignment horizontal="center"/>
    </xf>
    <xf numFmtId="0" fontId="4" fillId="2" borderId="0" xfId="0" applyFont="1" applyFill="1" applyAlignment="1">
      <alignment wrapText="1"/>
    </xf>
    <xf numFmtId="0" fontId="4" fillId="2" borderId="19" xfId="0" applyFont="1" applyFill="1" applyBorder="1"/>
    <xf numFmtId="0" fontId="4" fillId="2" borderId="18" xfId="0" applyFont="1" applyFill="1" applyBorder="1"/>
    <xf numFmtId="0" fontId="4" fillId="2" borderId="19" xfId="0" applyFont="1" applyFill="1" applyBorder="1" applyAlignment="1">
      <alignment horizontal="center"/>
    </xf>
    <xf numFmtId="0" fontId="4" fillId="2" borderId="18" xfId="0" applyFont="1" applyFill="1" applyBorder="1" applyAlignment="1">
      <alignment horizontal="center"/>
    </xf>
    <xf numFmtId="0" fontId="4" fillId="2" borderId="23" xfId="0" applyFont="1" applyFill="1" applyBorder="1"/>
    <xf numFmtId="0" fontId="4" fillId="2" borderId="7" xfId="0" applyFont="1" applyFill="1" applyBorder="1"/>
    <xf numFmtId="0" fontId="4" fillId="2" borderId="24" xfId="0" applyFont="1" applyFill="1" applyBorder="1"/>
    <xf numFmtId="0" fontId="4" fillId="2" borderId="6" xfId="0" applyFont="1" applyFill="1" applyBorder="1"/>
    <xf numFmtId="0" fontId="4" fillId="2" borderId="8" xfId="0" applyFont="1" applyFill="1" applyBorder="1"/>
    <xf numFmtId="0" fontId="4" fillId="2" borderId="6" xfId="0" applyFont="1" applyFill="1" applyBorder="1" applyAlignment="1">
      <alignment horizontal="center"/>
    </xf>
    <xf numFmtId="0" fontId="4" fillId="2" borderId="8" xfId="0" applyFont="1" applyFill="1" applyBorder="1" applyAlignment="1">
      <alignment horizontal="center"/>
    </xf>
    <xf numFmtId="49" fontId="4" fillId="2" borderId="25" xfId="0" applyNumberFormat="1" applyFont="1" applyFill="1" applyBorder="1" applyAlignment="1">
      <alignment horizontal="center"/>
    </xf>
    <xf numFmtId="9" fontId="4" fillId="2" borderId="23" xfId="0" applyNumberFormat="1" applyFont="1" applyFill="1" applyBorder="1" applyAlignment="1">
      <alignment horizontal="center"/>
    </xf>
    <xf numFmtId="9" fontId="4" fillId="2" borderId="7" xfId="0" applyNumberFormat="1" applyFont="1" applyFill="1" applyBorder="1" applyAlignment="1">
      <alignment horizontal="center"/>
    </xf>
    <xf numFmtId="49" fontId="4" fillId="2" borderId="26" xfId="0" applyNumberFormat="1" applyFont="1" applyFill="1" applyBorder="1" applyAlignment="1">
      <alignment horizontal="center"/>
    </xf>
    <xf numFmtId="49" fontId="4" fillId="2" borderId="27" xfId="0" applyNumberFormat="1" applyFont="1" applyFill="1" applyBorder="1" applyAlignment="1">
      <alignment horizontal="center"/>
    </xf>
    <xf numFmtId="9" fontId="4" fillId="2" borderId="24" xfId="0" applyNumberFormat="1" applyFont="1" applyFill="1" applyBorder="1" applyAlignment="1">
      <alignment horizontal="center"/>
    </xf>
    <xf numFmtId="9" fontId="4" fillId="2" borderId="8" xfId="0" applyNumberFormat="1" applyFont="1" applyFill="1" applyBorder="1" applyAlignment="1">
      <alignment horizontal="center"/>
    </xf>
    <xf numFmtId="165" fontId="4" fillId="0" borderId="0" xfId="0" applyNumberFormat="1" applyFont="1"/>
    <xf numFmtId="0" fontId="4" fillId="0" borderId="6" xfId="0" applyFont="1" applyBorder="1" applyAlignment="1">
      <alignment horizontal="center"/>
    </xf>
    <xf numFmtId="0" fontId="4" fillId="0" borderId="28" xfId="0" applyFont="1" applyBorder="1" applyAlignment="1">
      <alignment horizontal="center"/>
    </xf>
    <xf numFmtId="0" fontId="4" fillId="0" borderId="0" xfId="0" applyFont="1" applyAlignment="1">
      <alignment horizontal="center"/>
    </xf>
    <xf numFmtId="9" fontId="4" fillId="0" borderId="29" xfId="0" applyNumberFormat="1" applyFont="1" applyBorder="1" applyAlignment="1">
      <alignment horizontal="center"/>
    </xf>
    <xf numFmtId="9" fontId="4" fillId="0" borderId="30" xfId="0" applyNumberFormat="1" applyFont="1" applyBorder="1" applyAlignment="1">
      <alignment horizontal="center"/>
    </xf>
    <xf numFmtId="0" fontId="9" fillId="2" borderId="0" xfId="0" applyFont="1" applyFill="1"/>
    <xf numFmtId="0" fontId="3" fillId="2" borderId="0" xfId="0" applyFont="1" applyFill="1"/>
    <xf numFmtId="165" fontId="3" fillId="0" borderId="0" xfId="0" applyNumberFormat="1" applyFont="1"/>
    <xf numFmtId="0" fontId="3" fillId="0" borderId="0" xfId="0" applyFont="1"/>
    <xf numFmtId="0" fontId="11" fillId="0" borderId="0" xfId="0" applyFont="1" applyAlignment="1">
      <alignment vertical="top"/>
    </xf>
    <xf numFmtId="2" fontId="3" fillId="0" borderId="0" xfId="0" applyNumberFormat="1" applyFont="1" applyAlignment="1">
      <alignment horizontal="center"/>
    </xf>
    <xf numFmtId="10" fontId="14" fillId="0" borderId="13" xfId="0" applyNumberFormat="1" applyFont="1" applyBorder="1" applyAlignment="1">
      <alignment horizontal="center"/>
    </xf>
    <xf numFmtId="0" fontId="14" fillId="0" borderId="12" xfId="0" applyFont="1" applyBorder="1" applyAlignment="1">
      <alignment horizontal="center"/>
    </xf>
    <xf numFmtId="0" fontId="2" fillId="0" borderId="12" xfId="0" applyFont="1" applyBorder="1"/>
    <xf numFmtId="0" fontId="2" fillId="0" borderId="12" xfId="0" applyFont="1" applyBorder="1" applyAlignment="1">
      <alignment horizontal="center"/>
    </xf>
    <xf numFmtId="0" fontId="2" fillId="0" borderId="0" xfId="0" applyFont="1"/>
    <xf numFmtId="168" fontId="14" fillId="0" borderId="0" xfId="0" applyNumberFormat="1" applyFont="1" applyAlignment="1">
      <alignment horizontal="center"/>
    </xf>
    <xf numFmtId="0" fontId="14" fillId="0" borderId="31" xfId="0" applyFont="1" applyBorder="1" applyAlignment="1">
      <alignment horizontal="center"/>
    </xf>
    <xf numFmtId="0" fontId="14" fillId="0" borderId="6" xfId="0" applyFont="1" applyBorder="1" applyAlignment="1">
      <alignment horizontal="center"/>
    </xf>
    <xf numFmtId="167" fontId="14" fillId="0" borderId="0" xfId="0" applyNumberFormat="1" applyFont="1" applyAlignment="1">
      <alignment horizontal="center"/>
    </xf>
    <xf numFmtId="167" fontId="14" fillId="0" borderId="11" xfId="0" applyNumberFormat="1" applyFont="1" applyBorder="1" applyAlignment="1">
      <alignment horizontal="center"/>
    </xf>
    <xf numFmtId="167" fontId="14" fillId="0" borderId="10" xfId="0" applyNumberFormat="1" applyFont="1" applyBorder="1" applyAlignment="1">
      <alignment horizontal="center"/>
    </xf>
    <xf numFmtId="167" fontId="14" fillId="0" borderId="9" xfId="0" applyNumberFormat="1" applyFont="1" applyBorder="1" applyAlignment="1">
      <alignment horizontal="center"/>
    </xf>
    <xf numFmtId="9" fontId="14" fillId="0" borderId="10" xfId="0" applyNumberFormat="1" applyFont="1" applyBorder="1" applyAlignment="1">
      <alignment horizontal="center"/>
    </xf>
    <xf numFmtId="9" fontId="14" fillId="0" borderId="6" xfId="0" applyNumberFormat="1" applyFont="1" applyBorder="1" applyAlignment="1">
      <alignment horizontal="center"/>
    </xf>
    <xf numFmtId="0" fontId="14" fillId="0" borderId="32" xfId="0" applyFont="1" applyBorder="1" applyAlignment="1">
      <alignment horizontal="center"/>
    </xf>
    <xf numFmtId="9" fontId="14" fillId="0" borderId="11" xfId="0" applyNumberFormat="1" applyFont="1" applyBorder="1" applyAlignment="1">
      <alignment horizontal="center"/>
    </xf>
    <xf numFmtId="0" fontId="14" fillId="0" borderId="7" xfId="0" applyFont="1" applyBorder="1" applyAlignment="1">
      <alignment horizontal="center"/>
    </xf>
    <xf numFmtId="0" fontId="14" fillId="0" borderId="0" xfId="0" applyFont="1" applyAlignment="1">
      <alignment horizontal="center"/>
    </xf>
    <xf numFmtId="0" fontId="2" fillId="0" borderId="0" xfId="0" applyFont="1" applyAlignment="1">
      <alignment horizontal="center"/>
    </xf>
    <xf numFmtId="167" fontId="14" fillId="0" borderId="15" xfId="0" applyNumberFormat="1" applyFont="1" applyBorder="1" applyAlignment="1">
      <alignment horizontal="center"/>
    </xf>
    <xf numFmtId="168" fontId="14" fillId="0" borderId="10" xfId="0" applyNumberFormat="1" applyFont="1" applyBorder="1" applyAlignment="1">
      <alignment horizontal="center"/>
    </xf>
    <xf numFmtId="168" fontId="14" fillId="0" borderId="11" xfId="0" applyNumberFormat="1" applyFont="1" applyBorder="1" applyAlignment="1">
      <alignment horizontal="center"/>
    </xf>
    <xf numFmtId="167" fontId="14" fillId="0" borderId="33" xfId="0" applyNumberFormat="1" applyFont="1" applyBorder="1" applyAlignment="1">
      <alignment horizontal="center"/>
    </xf>
    <xf numFmtId="167" fontId="14" fillId="0" borderId="14" xfId="0" applyNumberFormat="1" applyFont="1" applyBorder="1" applyAlignment="1">
      <alignment horizontal="center"/>
    </xf>
    <xf numFmtId="167" fontId="14" fillId="0" borderId="34" xfId="0" applyNumberFormat="1" applyFont="1" applyBorder="1" applyAlignment="1">
      <alignment horizontal="center"/>
    </xf>
    <xf numFmtId="167" fontId="14" fillId="0" borderId="31" xfId="0" applyNumberFormat="1" applyFont="1" applyBorder="1" applyAlignment="1">
      <alignment horizontal="center"/>
    </xf>
    <xf numFmtId="167" fontId="14" fillId="0" borderId="6" xfId="0" applyNumberFormat="1" applyFont="1" applyBorder="1" applyAlignment="1">
      <alignment horizontal="center"/>
    </xf>
    <xf numFmtId="0" fontId="14" fillId="0" borderId="11" xfId="0" applyFont="1" applyBorder="1" applyAlignment="1">
      <alignment horizontal="left"/>
    </xf>
    <xf numFmtId="0" fontId="14" fillId="0" borderId="9" xfId="0" applyFont="1" applyBorder="1" applyAlignment="1">
      <alignment horizontal="left"/>
    </xf>
    <xf numFmtId="0" fontId="14" fillId="0" borderId="32" xfId="0" applyFont="1" applyBorder="1" applyAlignment="1">
      <alignment horizontal="left"/>
    </xf>
    <xf numFmtId="0" fontId="14" fillId="0" borderId="7" xfId="0" applyFont="1" applyBorder="1" applyAlignment="1">
      <alignment horizontal="left"/>
    </xf>
    <xf numFmtId="168" fontId="14" fillId="0" borderId="14" xfId="0" applyNumberFormat="1" applyFont="1" applyBorder="1" applyAlignment="1">
      <alignment horizontal="center"/>
    </xf>
    <xf numFmtId="9" fontId="13" fillId="0" borderId="0" xfId="0" applyNumberFormat="1" applyFont="1" applyAlignment="1">
      <alignment horizontal="center"/>
    </xf>
    <xf numFmtId="0" fontId="14" fillId="3" borderId="11" xfId="0" applyFont="1" applyFill="1" applyBorder="1"/>
    <xf numFmtId="10" fontId="14" fillId="3" borderId="0" xfId="0" applyNumberFormat="1" applyFont="1" applyFill="1" applyAlignment="1">
      <alignment horizontal="center"/>
    </xf>
    <xf numFmtId="168" fontId="14" fillId="0" borderId="34" xfId="0" applyNumberFormat="1" applyFont="1" applyBorder="1" applyAlignment="1">
      <alignment horizontal="center"/>
    </xf>
    <xf numFmtId="168" fontId="14" fillId="0" borderId="35" xfId="0" applyNumberFormat="1" applyFont="1" applyBorder="1" applyAlignment="1">
      <alignment horizontal="center"/>
    </xf>
    <xf numFmtId="10" fontId="14" fillId="3" borderId="34" xfId="0" applyNumberFormat="1" applyFont="1" applyFill="1" applyBorder="1" applyAlignment="1">
      <alignment horizontal="center"/>
    </xf>
    <xf numFmtId="168" fontId="14" fillId="0" borderId="7" xfId="0" applyNumberFormat="1" applyFont="1" applyBorder="1" applyAlignment="1">
      <alignment horizontal="center"/>
    </xf>
    <xf numFmtId="168" fontId="14" fillId="0" borderId="36" xfId="0" applyNumberFormat="1" applyFont="1" applyBorder="1" applyAlignment="1">
      <alignment horizontal="center"/>
    </xf>
    <xf numFmtId="10" fontId="14" fillId="3" borderId="7" xfId="0" applyNumberFormat="1" applyFont="1" applyFill="1" applyBorder="1" applyAlignment="1">
      <alignment horizontal="center"/>
    </xf>
    <xf numFmtId="0" fontId="14" fillId="0" borderId="35" xfId="0" applyFont="1" applyBorder="1" applyAlignment="1">
      <alignment horizontal="center"/>
    </xf>
    <xf numFmtId="0" fontId="14" fillId="0" borderId="36" xfId="0" applyFont="1" applyBorder="1" applyAlignment="1">
      <alignment horizontal="center"/>
    </xf>
    <xf numFmtId="0" fontId="14" fillId="0" borderId="0" xfId="0" applyFont="1"/>
    <xf numFmtId="166" fontId="4" fillId="0" borderId="0" xfId="0" applyNumberFormat="1" applyFont="1" applyAlignment="1">
      <alignment horizontal="center"/>
    </xf>
    <xf numFmtId="0" fontId="2" fillId="0" borderId="6" xfId="0" applyFont="1" applyBorder="1" applyAlignment="1">
      <alignment horizontal="center"/>
    </xf>
    <xf numFmtId="0" fontId="4" fillId="0" borderId="8" xfId="0" applyFont="1" applyBorder="1" applyAlignment="1">
      <alignment horizontal="center"/>
    </xf>
    <xf numFmtId="0" fontId="2" fillId="0" borderId="7" xfId="0" applyFont="1" applyBorder="1" applyAlignment="1">
      <alignment horizontal="center"/>
    </xf>
    <xf numFmtId="0" fontId="4" fillId="0" borderId="0" xfId="0" applyFont="1" applyAlignment="1">
      <alignment horizontal="left" indent="1"/>
    </xf>
    <xf numFmtId="0" fontId="2" fillId="0" borderId="0" xfId="0" applyFont="1" applyAlignment="1">
      <alignment horizontal="left" vertical="top" wrapText="1"/>
    </xf>
    <xf numFmtId="0" fontId="4" fillId="0" borderId="0" xfId="0" applyFont="1" applyAlignment="1">
      <alignment horizontal="left" vertical="top" wrapText="1"/>
    </xf>
    <xf numFmtId="0" fontId="18" fillId="0" borderId="0" xfId="0" applyFont="1" applyAlignment="1">
      <alignment horizontal="center"/>
    </xf>
    <xf numFmtId="0" fontId="11" fillId="0" borderId="0" xfId="0" applyFont="1" applyAlignment="1">
      <alignment horizontal="left" vertical="top" wrapText="1"/>
    </xf>
    <xf numFmtId="0" fontId="4" fillId="2" borderId="21" xfId="0" applyFont="1" applyFill="1" applyBorder="1" applyAlignment="1">
      <alignment horizontal="center"/>
    </xf>
    <xf numFmtId="0" fontId="4" fillId="2" borderId="20" xfId="0" applyFont="1" applyFill="1" applyBorder="1" applyAlignment="1">
      <alignment horizontal="center"/>
    </xf>
    <xf numFmtId="0" fontId="4" fillId="2" borderId="17" xfId="0" applyFont="1" applyFill="1" applyBorder="1" applyAlignment="1">
      <alignment horizontal="center"/>
    </xf>
    <xf numFmtId="0" fontId="3" fillId="2" borderId="21" xfId="0" applyFont="1" applyFill="1" applyBorder="1" applyAlignment="1">
      <alignment horizontal="center"/>
    </xf>
    <xf numFmtId="0" fontId="10" fillId="2" borderId="18"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10" fillId="2" borderId="19"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25" xfId="0" applyFont="1" applyFill="1" applyBorder="1" applyAlignment="1">
      <alignment horizontal="center" vertical="center" wrapText="1"/>
    </xf>
    <xf numFmtId="0" fontId="10" fillId="2" borderId="27" xfId="0" applyFont="1" applyFill="1" applyBorder="1" applyAlignment="1">
      <alignment horizontal="center" vertical="center" wrapText="1"/>
    </xf>
    <xf numFmtId="0" fontId="2" fillId="0" borderId="0" xfId="0" applyFont="1" applyAlignment="1">
      <alignment horizontal="left" vertical="top" wrapText="1" indent="1"/>
    </xf>
    <xf numFmtId="0" fontId="4" fillId="2" borderId="18" xfId="0" applyFont="1" applyFill="1" applyBorder="1" applyAlignment="1">
      <alignment horizontal="center" wrapText="1"/>
    </xf>
    <xf numFmtId="0" fontId="4" fillId="2" borderId="7" xfId="0" applyFont="1" applyFill="1" applyBorder="1" applyAlignment="1">
      <alignment horizontal="center" wrapText="1"/>
    </xf>
    <xf numFmtId="0" fontId="4" fillId="2" borderId="8" xfId="0" applyFont="1" applyFill="1" applyBorder="1" applyAlignment="1">
      <alignment horizontal="center" wrapText="1"/>
    </xf>
    <xf numFmtId="0" fontId="4" fillId="2" borderId="22" xfId="0" applyFont="1" applyFill="1" applyBorder="1" applyAlignment="1">
      <alignment horizontal="center" wrapText="1"/>
    </xf>
    <xf numFmtId="0" fontId="4" fillId="2" borderId="23" xfId="0" applyFont="1" applyFill="1" applyBorder="1" applyAlignment="1">
      <alignment horizontal="center" wrapText="1"/>
    </xf>
    <xf numFmtId="0" fontId="4" fillId="2" borderId="24" xfId="0" applyFont="1" applyFill="1" applyBorder="1" applyAlignment="1">
      <alignment horizontal="center" wrapText="1"/>
    </xf>
    <xf numFmtId="0" fontId="4" fillId="2" borderId="25" xfId="0" applyFont="1" applyFill="1" applyBorder="1" applyAlignment="1">
      <alignment horizontal="center" wrapText="1"/>
    </xf>
    <xf numFmtId="0" fontId="4" fillId="2" borderId="26" xfId="0" applyFont="1" applyFill="1" applyBorder="1" applyAlignment="1">
      <alignment horizontal="center" wrapText="1"/>
    </xf>
    <xf numFmtId="0" fontId="4" fillId="2" borderId="27" xfId="0" applyFont="1" applyFill="1" applyBorder="1" applyAlignment="1">
      <alignment horizontal="center" wrapText="1"/>
    </xf>
    <xf numFmtId="0" fontId="11" fillId="2" borderId="21" xfId="0" applyFont="1" applyFill="1" applyBorder="1" applyAlignment="1">
      <alignment horizontal="center"/>
    </xf>
    <xf numFmtId="0" fontId="11" fillId="2" borderId="20" xfId="0" applyFont="1" applyFill="1" applyBorder="1" applyAlignment="1">
      <alignment horizontal="center"/>
    </xf>
    <xf numFmtId="0" fontId="11" fillId="2" borderId="17" xfId="0" applyFont="1" applyFill="1" applyBorder="1" applyAlignment="1">
      <alignment horizontal="center"/>
    </xf>
    <xf numFmtId="0" fontId="4" fillId="2" borderId="19" xfId="0" applyFont="1" applyFill="1" applyBorder="1" applyAlignment="1">
      <alignment horizontal="center" wrapText="1"/>
    </xf>
    <xf numFmtId="0" fontId="4" fillId="2" borderId="0" xfId="0" applyFont="1" applyFill="1" applyAlignment="1">
      <alignment horizontal="center" wrapText="1"/>
    </xf>
    <xf numFmtId="0" fontId="4" fillId="2" borderId="23" xfId="0" applyFont="1" applyFill="1" applyBorder="1" applyAlignment="1">
      <alignment horizontal="center"/>
    </xf>
    <xf numFmtId="0" fontId="4" fillId="2" borderId="0" xfId="0" applyFont="1" applyFill="1" applyAlignment="1">
      <alignment horizontal="center"/>
    </xf>
    <xf numFmtId="0" fontId="4" fillId="2" borderId="7" xfId="0" applyFont="1" applyFill="1" applyBorder="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322792</xdr:colOff>
      <xdr:row>97</xdr:row>
      <xdr:rowOff>41275</xdr:rowOff>
    </xdr:from>
    <xdr:ext cx="65" cy="172098"/>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148292" y="21959358"/>
          <a:ext cx="65"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twoCellAnchor>
    <xdr:from>
      <xdr:col>1</xdr:col>
      <xdr:colOff>359833</xdr:colOff>
      <xdr:row>35</xdr:row>
      <xdr:rowOff>169334</xdr:rowOff>
    </xdr:from>
    <xdr:to>
      <xdr:col>2</xdr:col>
      <xdr:colOff>687917</xdr:colOff>
      <xdr:row>38</xdr:row>
      <xdr:rowOff>8769</xdr:rowOff>
    </xdr:to>
    <mc:AlternateContent xmlns:mc="http://schemas.openxmlformats.org/markup-compatibility/2006" xmlns:a14="http://schemas.microsoft.com/office/drawing/2010/main">
      <mc:Choice Requires="a14">
        <xdr:sp macro="" textlink="">
          <xdr:nvSpPr>
            <xdr:cNvPr id="6" name="TextBox 2">
              <a:extLst>
                <a:ext uri="{FF2B5EF4-FFF2-40B4-BE49-F238E27FC236}">
                  <a16:creationId xmlns:a16="http://schemas.microsoft.com/office/drawing/2014/main" id="{6B14B09A-ADFB-F647-A0B4-0AB0EC756581}"/>
                </a:ext>
              </a:extLst>
            </xdr:cNvPr>
            <xdr:cNvSpPr txBox="1"/>
          </xdr:nvSpPr>
          <xdr:spPr>
            <a:xfrm>
              <a:off x="1185333" y="7408334"/>
              <a:ext cx="1153584" cy="44268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𝑤</m:t>
                        </m:r>
                      </m:e>
                      <m:sub>
                        <m:argPr>
                          <m:argSz m:val="-1"/>
                        </m:argPr>
                        <m:r>
                          <a:rPr lang="en-US" sz="1100" i="1">
                            <a:solidFill>
                              <a:schemeClr val="tx1"/>
                            </a:solidFill>
                            <a:effectLst/>
                            <a:latin typeface="Cambria Math" panose="02040503050406030204" pitchFamily="18" charset="0"/>
                            <a:ea typeface="+mn-ea"/>
                            <a:cs typeface="+mn-cs"/>
                          </a:rPr>
                          <m:t>𝑖</m:t>
                        </m:r>
                      </m:sub>
                    </m:sSub>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m:t>
                            </m:r>
                            <m:r>
                              <a:rPr lang="en-US" sz="1100" b="0" i="1">
                                <a:solidFill>
                                  <a:schemeClr val="tx1"/>
                                </a:solidFill>
                                <a:effectLst/>
                                <a:latin typeface="Cambria Math" panose="02040503050406030204" pitchFamily="18" charset="0"/>
                                <a:ea typeface="+mn-ea"/>
                                <a:cs typeface="+mn-cs"/>
                              </a:rPr>
                              <m:t>𝑖𝑎</m:t>
                            </m:r>
                            <m:r>
                              <a:rPr lang="en-US" sz="1100" i="1">
                                <a:solidFill>
                                  <a:schemeClr val="tx1"/>
                                </a:solidFill>
                                <a:effectLst/>
                                <a:latin typeface="Cambria Math" panose="02040503050406030204" pitchFamily="18" charset="0"/>
                                <a:ea typeface="+mn-ea"/>
                                <a:cs typeface="+mn-cs"/>
                              </a:rPr>
                              <m:t>𝑏𝑖𝑙𝑖𝑡𝑦</m:t>
                            </m:r>
                          </m:e>
                          <m:sub>
                            <m:argPr>
                              <m:argSz m:val="-1"/>
                            </m:argPr>
                            <m:r>
                              <a:rPr lang="en-US" sz="1100" i="1">
                                <a:solidFill>
                                  <a:schemeClr val="tx1"/>
                                </a:solidFill>
                                <a:effectLst/>
                                <a:latin typeface="Cambria Math" panose="02040503050406030204" pitchFamily="18" charset="0"/>
                                <a:ea typeface="+mn-ea"/>
                                <a:cs typeface="+mn-cs"/>
                              </a:rPr>
                              <m:t>𝑖</m:t>
                            </m:r>
                          </m:sub>
                        </m:sSub>
                      </m:num>
                      <m:den>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𝐿𝑖𝑎𝑏𝑖𝑙𝑖𝑡𝑦</m:t>
                                </m:r>
                              </m:e>
                              <m:sub>
                                <m:argPr>
                                  <m:argSz m:val="-1"/>
                                </m:argPr>
                                <m:r>
                                  <a:rPr lang="en-US" sz="1100" i="1">
                                    <a:solidFill>
                                      <a:schemeClr val="tx1"/>
                                    </a:solidFill>
                                    <a:effectLst/>
                                    <a:latin typeface="Cambria Math" panose="02040503050406030204" pitchFamily="18" charset="0"/>
                                    <a:ea typeface="+mn-ea"/>
                                    <a:cs typeface="+mn-cs"/>
                                  </a:rPr>
                                  <m:t>𝑖</m:t>
                                </m:r>
                              </m:sub>
                            </m:sSub>
                          </m:e>
                        </m:nary>
                      </m:den>
                    </m:f>
                  </m:oMath>
                </m:oMathPara>
              </a14:m>
              <a:endParaRPr lang="en-US" sz="1100">
                <a:solidFill>
                  <a:schemeClr val="tx1"/>
                </a:solidFill>
                <a:effectLst/>
                <a:latin typeface="+mn-lt"/>
                <a:ea typeface="+mn-ea"/>
                <a:cs typeface="+mn-cs"/>
              </a:endParaRPr>
            </a:p>
          </xdr:txBody>
        </xdr:sp>
      </mc:Choice>
      <mc:Fallback xmlns="">
        <xdr:sp macro="" textlink="">
          <xdr:nvSpPr>
            <xdr:cNvPr id="6" name="TextBox 2">
              <a:extLst>
                <a:ext uri="{FF2B5EF4-FFF2-40B4-BE49-F238E27FC236}">
                  <a16:creationId xmlns:a16="http://schemas.microsoft.com/office/drawing/2014/main" id="{6B14B09A-ADFB-F647-A0B4-0AB0EC756581}"/>
                </a:ext>
              </a:extLst>
            </xdr:cNvPr>
            <xdr:cNvSpPr txBox="1"/>
          </xdr:nvSpPr>
          <xdr:spPr>
            <a:xfrm>
              <a:off x="1185333" y="7408334"/>
              <a:ext cx="1153584" cy="44268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𝑤_𝑖=〖𝐿</a:t>
              </a:r>
              <a:r>
                <a:rPr lang="en-US" sz="1100" b="0" i="0">
                  <a:solidFill>
                    <a:schemeClr val="tx1"/>
                  </a:solidFill>
                  <a:effectLst/>
                  <a:latin typeface="Cambria Math" panose="02040503050406030204" pitchFamily="18" charset="0"/>
                  <a:ea typeface="+mn-ea"/>
                  <a:cs typeface="+mn-cs"/>
                </a:rPr>
                <a:t>𝑖𝑎</a:t>
              </a:r>
              <a:r>
                <a:rPr lang="en-US" sz="1100" i="0">
                  <a:solidFill>
                    <a:schemeClr val="tx1"/>
                  </a:solidFill>
                  <a:effectLst/>
                  <a:latin typeface="Cambria Math" panose="02040503050406030204" pitchFamily="18" charset="0"/>
                  <a:ea typeface="+mn-ea"/>
                  <a:cs typeface="+mn-cs"/>
                </a:rPr>
                <a:t>𝑏𝑖𝑙𝑖𝑡𝑦〗_𝑖/(∑1▒〖𝐿𝑖𝑎𝑏𝑖𝑙𝑖𝑡𝑦〗_𝑖 )</a:t>
              </a:r>
              <a:endParaRPr lang="en-US" sz="1100">
                <a:solidFill>
                  <a:schemeClr val="tx1"/>
                </a:solidFill>
                <a:effectLst/>
                <a:latin typeface="+mn-lt"/>
                <a:ea typeface="+mn-ea"/>
                <a:cs typeface="+mn-cs"/>
              </a:endParaRPr>
            </a:p>
          </xdr:txBody>
        </xdr:sp>
      </mc:Fallback>
    </mc:AlternateContent>
    <xdr:clientData/>
  </xdr:twoCellAnchor>
  <xdr:twoCellAnchor>
    <xdr:from>
      <xdr:col>1</xdr:col>
      <xdr:colOff>338667</xdr:colOff>
      <xdr:row>41</xdr:row>
      <xdr:rowOff>169333</xdr:rowOff>
    </xdr:from>
    <xdr:to>
      <xdr:col>2</xdr:col>
      <xdr:colOff>677333</xdr:colOff>
      <xdr:row>43</xdr:row>
      <xdr:rowOff>179916</xdr:rowOff>
    </xdr:to>
    <mc:AlternateContent xmlns:mc="http://schemas.openxmlformats.org/markup-compatibility/2006" xmlns:a14="http://schemas.microsoft.com/office/drawing/2010/main">
      <mc:Choice Requires="a14">
        <xdr:sp macro="" textlink="">
          <xdr:nvSpPr>
            <xdr:cNvPr id="8" name="TextBox 2">
              <a:extLst>
                <a:ext uri="{FF2B5EF4-FFF2-40B4-BE49-F238E27FC236}">
                  <a16:creationId xmlns:a16="http://schemas.microsoft.com/office/drawing/2014/main" id="{2A1EFB3C-DF03-154C-96D4-52CD84A21EB1}"/>
                </a:ext>
              </a:extLst>
            </xdr:cNvPr>
            <xdr:cNvSpPr txBox="1"/>
          </xdr:nvSpPr>
          <xdr:spPr>
            <a:xfrm>
              <a:off x="1164167" y="9218083"/>
              <a:ext cx="1164166" cy="4127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no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𝜙</m:t>
                        </m:r>
                      </m:e>
                      <m:sub>
                        <m:argPr>
                          <m:argSz m:val="-2"/>
                        </m:argPr>
                        <m:r>
                          <a:rPr lang="en-US" sz="1100" i="1">
                            <a:solidFill>
                              <a:schemeClr val="tx1"/>
                            </a:solidFill>
                            <a:effectLst/>
                            <a:latin typeface="Cambria Math" panose="02040503050406030204" pitchFamily="18" charset="0"/>
                            <a:ea typeface="+mn-ea"/>
                            <a:cs typeface="+mn-cs"/>
                          </a:rPr>
                          <m:t>𝑖𝑛𝑑</m:t>
                        </m:r>
                      </m:sub>
                      <m:sup>
                        <m:argPr>
                          <m:argSz m:val="-2"/>
                        </m:argPr>
                        <m:r>
                          <a:rPr lang="en-US" sz="1100" i="1">
                            <a:solidFill>
                              <a:schemeClr val="tx1"/>
                            </a:solidFill>
                            <a:effectLst/>
                            <a:latin typeface="Cambria Math" panose="02040503050406030204" pitchFamily="18" charset="0"/>
                            <a:ea typeface="+mn-ea"/>
                            <a:cs typeface="+mn-cs"/>
                          </a:rPr>
                          <m:t>2</m:t>
                        </m:r>
                      </m:sup>
                    </m:sSubSup>
                    <m:r>
                      <a:rPr lang="en-US" sz="1100" i="1">
                        <a:solidFill>
                          <a:schemeClr val="tx1"/>
                        </a:solidFill>
                        <a:effectLst/>
                        <a:latin typeface="Cambria Math" panose="02040503050406030204" pitchFamily="18" charset="0"/>
                        <a:ea typeface="+mn-ea"/>
                        <a:cs typeface="+mn-cs"/>
                      </a:rPr>
                      <m:t>=</m:t>
                    </m:r>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𝜙</m:t>
                            </m:r>
                          </m:e>
                          <m:sub>
                            <m:argPr>
                              <m:argSz m:val="-2"/>
                            </m:argPr>
                            <m:r>
                              <a:rPr lang="en-US" sz="1100" i="1">
                                <a:solidFill>
                                  <a:schemeClr val="tx1"/>
                                </a:solidFill>
                                <a:effectLst/>
                                <a:latin typeface="Cambria Math" panose="02040503050406030204" pitchFamily="18" charset="0"/>
                                <a:ea typeface="+mn-ea"/>
                                <a:cs typeface="+mn-cs"/>
                              </a:rPr>
                              <m:t>𝑖</m:t>
                            </m:r>
                          </m:sub>
                          <m:sup>
                            <m:argPr>
                              <m:argSz m:val="-1"/>
                            </m:argPr>
                            <m:r>
                              <a:rPr lang="en-US" sz="1100" i="1">
                                <a:solidFill>
                                  <a:schemeClr val="tx1"/>
                                </a:solidFill>
                                <a:effectLst/>
                                <a:latin typeface="Cambria Math" panose="02040503050406030204" pitchFamily="18" charset="0"/>
                                <a:ea typeface="+mn-ea"/>
                                <a:cs typeface="+mn-cs"/>
                              </a:rPr>
                              <m:t>2</m:t>
                            </m:r>
                          </m:sup>
                        </m:sSubSup>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𝑤</m:t>
                            </m:r>
                          </m:e>
                          <m:sub>
                            <m:argPr>
                              <m:argSz m:val="-1"/>
                            </m:argPr>
                            <m:r>
                              <a:rPr lang="en-US" sz="1100" i="1">
                                <a:solidFill>
                                  <a:schemeClr val="tx1"/>
                                </a:solidFill>
                                <a:effectLst/>
                                <a:latin typeface="Cambria Math" panose="02040503050406030204" pitchFamily="18" charset="0"/>
                                <a:ea typeface="+mn-ea"/>
                                <a:cs typeface="+mn-cs"/>
                              </a:rPr>
                              <m:t>𝑖</m:t>
                            </m:r>
                          </m:sub>
                          <m:sup>
                            <m:argPr>
                              <m:argSz m:val="-1"/>
                            </m:argPr>
                            <m:r>
                              <a:rPr lang="en-US" sz="1100" i="1">
                                <a:solidFill>
                                  <a:schemeClr val="tx1"/>
                                </a:solidFill>
                                <a:effectLst/>
                                <a:latin typeface="Cambria Math" panose="02040503050406030204" pitchFamily="18" charset="0"/>
                                <a:ea typeface="+mn-ea"/>
                                <a:cs typeface="+mn-cs"/>
                              </a:rPr>
                              <m:t>2</m:t>
                            </m:r>
                          </m:sup>
                        </m:sSubSup>
                      </m:e>
                    </m:nary>
                  </m:oMath>
                </m:oMathPara>
              </a14:m>
              <a:endParaRPr lang="en-US" sz="1100">
                <a:solidFill>
                  <a:schemeClr val="tx1"/>
                </a:solidFill>
                <a:effectLst/>
                <a:latin typeface="+mn-lt"/>
                <a:ea typeface="+mn-ea"/>
                <a:cs typeface="+mn-cs"/>
              </a:endParaRPr>
            </a:p>
          </xdr:txBody>
        </xdr:sp>
      </mc:Choice>
      <mc:Fallback xmlns="">
        <xdr:sp macro="" textlink="">
          <xdr:nvSpPr>
            <xdr:cNvPr id="8" name="TextBox 2">
              <a:extLst>
                <a:ext uri="{FF2B5EF4-FFF2-40B4-BE49-F238E27FC236}">
                  <a16:creationId xmlns:a16="http://schemas.microsoft.com/office/drawing/2014/main" id="{2A1EFB3C-DF03-154C-96D4-52CD84A21EB1}"/>
                </a:ext>
              </a:extLst>
            </xdr:cNvPr>
            <xdr:cNvSpPr txBox="1"/>
          </xdr:nvSpPr>
          <xdr:spPr>
            <a:xfrm>
              <a:off x="1164167" y="9218083"/>
              <a:ext cx="1164166" cy="4127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noAutofit/>
            </a:bodyPr>
            <a:lstStyle/>
            <a:p>
              <a:r>
                <a:rPr lang="en-US" sz="1100" i="0">
                  <a:solidFill>
                    <a:schemeClr val="tx1"/>
                  </a:solidFill>
                  <a:effectLst/>
                  <a:latin typeface="+mn-lt"/>
                  <a:ea typeface="+mn-ea"/>
                  <a:cs typeface="+mn-cs"/>
                </a:rPr>
                <a:t>𝜙_𝑖𝑛𝑑^2=∑1▒〖𝜙_𝑖^2×𝑤_𝑖^2 〗</a:t>
              </a:r>
              <a:endParaRPr lang="en-US" sz="1100">
                <a:solidFill>
                  <a:schemeClr val="tx1"/>
                </a:solidFill>
                <a:effectLst/>
                <a:latin typeface="+mn-lt"/>
                <a:ea typeface="+mn-ea"/>
                <a:cs typeface="+mn-cs"/>
              </a:endParaRPr>
            </a:p>
          </xdr:txBody>
        </xdr:sp>
      </mc:Fallback>
    </mc:AlternateContent>
    <xdr:clientData/>
  </xdr:twoCellAnchor>
  <xdr:twoCellAnchor>
    <xdr:from>
      <xdr:col>1</xdr:col>
      <xdr:colOff>285749</xdr:colOff>
      <xdr:row>52</xdr:row>
      <xdr:rowOff>137584</xdr:rowOff>
    </xdr:from>
    <xdr:to>
      <xdr:col>4</xdr:col>
      <xdr:colOff>306917</xdr:colOff>
      <xdr:row>55</xdr:row>
      <xdr:rowOff>36523</xdr:rowOff>
    </xdr:to>
    <mc:AlternateContent xmlns:mc="http://schemas.openxmlformats.org/markup-compatibility/2006" xmlns:a14="http://schemas.microsoft.com/office/drawing/2010/main">
      <mc:Choice Requires="a14">
        <xdr:sp macro="" textlink="">
          <xdr:nvSpPr>
            <xdr:cNvPr id="9" name="TextBox 2">
              <a:extLst>
                <a:ext uri="{FF2B5EF4-FFF2-40B4-BE49-F238E27FC236}">
                  <a16:creationId xmlns:a16="http://schemas.microsoft.com/office/drawing/2014/main" id="{865C2E0F-0B92-234E-A55F-39A1FF9CC40D}"/>
                </a:ext>
              </a:extLst>
            </xdr:cNvPr>
            <xdr:cNvSpPr txBox="1"/>
          </xdr:nvSpPr>
          <xdr:spPr>
            <a:xfrm>
              <a:off x="1111249" y="10890251"/>
              <a:ext cx="2497668" cy="50218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𝜙</m:t>
                        </m:r>
                      </m:e>
                      <m:sub>
                        <m:argPr>
                          <m:argSz m:val="-2"/>
                        </m:argPr>
                        <m:r>
                          <a:rPr lang="en-US" sz="1100" i="1">
                            <a:solidFill>
                              <a:schemeClr val="tx1"/>
                            </a:solidFill>
                            <a:effectLst/>
                            <a:latin typeface="Cambria Math" panose="02040503050406030204" pitchFamily="18" charset="0"/>
                            <a:ea typeface="+mn-ea"/>
                            <a:cs typeface="+mn-cs"/>
                          </a:rPr>
                          <m:t>𝑖𝑛𝑡𝑒𝑟𝑛𝑎𝑙</m:t>
                        </m:r>
                      </m:sub>
                      <m:sup>
                        <m:argPr>
                          <m:argSz m:val="-2"/>
                        </m:argPr>
                        <m:r>
                          <a:rPr lang="en-US" sz="1100" i="1">
                            <a:solidFill>
                              <a:schemeClr val="tx1"/>
                            </a:solidFill>
                            <a:effectLst/>
                            <a:latin typeface="Cambria Math" panose="02040503050406030204" pitchFamily="18" charset="0"/>
                            <a:ea typeface="+mn-ea"/>
                            <a:cs typeface="+mn-cs"/>
                          </a:rPr>
                          <m:t>2</m:t>
                        </m:r>
                      </m:sup>
                    </m:sSubSup>
                    <m:r>
                      <a:rPr lang="en-US" sz="1100" i="1">
                        <a:solidFill>
                          <a:schemeClr val="tx1"/>
                        </a:solidFill>
                        <a:effectLst/>
                        <a:latin typeface="Cambria Math" panose="02040503050406030204" pitchFamily="18" charset="0"/>
                        <a:ea typeface="+mn-ea"/>
                        <a:cs typeface="+mn-cs"/>
                      </a:rPr>
                      <m:t>=</m:t>
                    </m:r>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𝜌</m:t>
                                </m:r>
                              </m:e>
                              <m:sub>
                                <m:argPr>
                                  <m:argSz m:val="-2"/>
                                </m:argPr>
                                <m:r>
                                  <a:rPr lang="en-US" sz="1100" i="1">
                                    <a:solidFill>
                                      <a:schemeClr val="tx1"/>
                                    </a:solidFill>
                                    <a:effectLst/>
                                    <a:latin typeface="Cambria Math" panose="02040503050406030204" pitchFamily="18" charset="0"/>
                                    <a:ea typeface="+mn-ea"/>
                                    <a:cs typeface="+mn-cs"/>
                                  </a:rPr>
                                  <m:t>𝑖𝑗</m:t>
                                </m:r>
                              </m:sub>
                            </m:sSub>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𝜙</m:t>
                                    </m:r>
                                  </m:e>
                                  <m:sub>
                                    <m:argPr>
                                      <m:argSz m:val="-2"/>
                                    </m:argPr>
                                    <m:r>
                                      <a:rPr lang="en-US" sz="1100" i="1">
                                        <a:solidFill>
                                          <a:schemeClr val="tx1"/>
                                        </a:solidFill>
                                        <a:effectLst/>
                                        <a:latin typeface="Cambria Math" panose="02040503050406030204" pitchFamily="18" charset="0"/>
                                        <a:ea typeface="+mn-ea"/>
                                        <a:cs typeface="+mn-cs"/>
                                      </a:rPr>
                                      <m:t>𝑖</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𝑤</m:t>
                                    </m:r>
                                  </m:e>
                                  <m:sub>
                                    <m:argPr>
                                      <m:argSz m:val="-1"/>
                                    </m:argPr>
                                    <m:r>
                                      <a:rPr lang="en-US" sz="1100" i="1">
                                        <a:solidFill>
                                          <a:schemeClr val="tx1"/>
                                        </a:solidFill>
                                        <a:effectLst/>
                                        <a:latin typeface="Cambria Math" panose="02040503050406030204" pitchFamily="18" charset="0"/>
                                        <a:ea typeface="+mn-ea"/>
                                        <a:cs typeface="+mn-cs"/>
                                      </a:rPr>
                                      <m:t>𝑖</m:t>
                                    </m:r>
                                  </m:sub>
                                </m:sSub>
                              </m:e>
                            </m:d>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𝜙</m:t>
                                    </m:r>
                                  </m:e>
                                  <m:sub>
                                    <m:argPr>
                                      <m:argSz m:val="-1"/>
                                    </m:argPr>
                                    <m:r>
                                      <a:rPr lang="en-US" sz="1100" i="1">
                                        <a:solidFill>
                                          <a:schemeClr val="tx1"/>
                                        </a:solidFill>
                                        <a:effectLst/>
                                        <a:latin typeface="Cambria Math" panose="02040503050406030204" pitchFamily="18" charset="0"/>
                                        <a:ea typeface="+mn-ea"/>
                                        <a:cs typeface="+mn-cs"/>
                                      </a:rPr>
                                      <m:t>𝑗</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𝑤</m:t>
                                    </m:r>
                                  </m:e>
                                  <m:sub>
                                    <m:argPr>
                                      <m:argSz m:val="-1"/>
                                    </m:argPr>
                                    <m:r>
                                      <a:rPr lang="en-US" sz="1100" i="1">
                                        <a:solidFill>
                                          <a:schemeClr val="tx1"/>
                                        </a:solidFill>
                                        <a:effectLst/>
                                        <a:latin typeface="Cambria Math" panose="02040503050406030204" pitchFamily="18" charset="0"/>
                                        <a:ea typeface="+mn-ea"/>
                                        <a:cs typeface="+mn-cs"/>
                                      </a:rPr>
                                      <m:t>𝑗</m:t>
                                    </m:r>
                                  </m:sub>
                                </m:sSub>
                              </m:e>
                            </m:d>
                          </m:e>
                        </m:nary>
                      </m:e>
                    </m:nary>
                  </m:oMath>
                </m:oMathPara>
              </a14:m>
              <a:endParaRPr lang="en-US" sz="1100">
                <a:solidFill>
                  <a:schemeClr val="tx1"/>
                </a:solidFill>
                <a:effectLst/>
                <a:latin typeface="+mn-lt"/>
                <a:ea typeface="+mn-ea"/>
                <a:cs typeface="+mn-cs"/>
              </a:endParaRPr>
            </a:p>
          </xdr:txBody>
        </xdr:sp>
      </mc:Choice>
      <mc:Fallback xmlns="">
        <xdr:sp macro="" textlink="">
          <xdr:nvSpPr>
            <xdr:cNvPr id="9" name="TextBox 2">
              <a:extLst>
                <a:ext uri="{FF2B5EF4-FFF2-40B4-BE49-F238E27FC236}">
                  <a16:creationId xmlns:a16="http://schemas.microsoft.com/office/drawing/2014/main" id="{865C2E0F-0B92-234E-A55F-39A1FF9CC40D}"/>
                </a:ext>
              </a:extLst>
            </xdr:cNvPr>
            <xdr:cNvSpPr txBox="1"/>
          </xdr:nvSpPr>
          <xdr:spPr>
            <a:xfrm>
              <a:off x="1111249" y="10890251"/>
              <a:ext cx="2497668" cy="50218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𝜙_𝑖𝑛𝑡𝑒𝑟𝑛𝑎𝑙^2=∑1▒∑1▒〖𝜌_𝑖𝑗 (𝜙_𝑖×𝑤_𝑖 )(𝜙_𝑗×𝑤_𝑗 ) 〗</a:t>
              </a:r>
              <a:endParaRPr lang="en-US" sz="1100">
                <a:solidFill>
                  <a:schemeClr val="tx1"/>
                </a:solidFill>
                <a:effectLst/>
                <a:latin typeface="+mn-lt"/>
                <a:ea typeface="+mn-ea"/>
                <a:cs typeface="+mn-cs"/>
              </a:endParaRPr>
            </a:p>
          </xdr:txBody>
        </xdr:sp>
      </mc:Fallback>
    </mc:AlternateContent>
    <xdr:clientData/>
  </xdr:twoCellAnchor>
  <xdr:oneCellAnchor>
    <xdr:from>
      <xdr:col>4</xdr:col>
      <xdr:colOff>507998</xdr:colOff>
      <xdr:row>53</xdr:row>
      <xdr:rowOff>95251</xdr:rowOff>
    </xdr:from>
    <xdr:ext cx="3112519" cy="18556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9D232C9D-963E-2A48-8BCB-7585E2FB793B}"/>
                </a:ext>
              </a:extLst>
            </xdr:cNvPr>
            <xdr:cNvSpPr txBox="1"/>
          </xdr:nvSpPr>
          <xdr:spPr>
            <a:xfrm>
              <a:off x="3809998" y="12181418"/>
              <a:ext cx="3112519" cy="1855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𝜌</m:t>
                        </m:r>
                      </m:e>
                      <m:sub>
                        <m:argPr>
                          <m:argSz m:val="-2"/>
                        </m:argPr>
                        <m:r>
                          <a:rPr lang="en-US" sz="1100" i="1">
                            <a:solidFill>
                              <a:schemeClr val="tx1"/>
                            </a:solidFill>
                            <a:effectLst/>
                            <a:latin typeface="Cambria Math" panose="02040503050406030204" pitchFamily="18" charset="0"/>
                            <a:ea typeface="+mn-ea"/>
                            <a:cs typeface="+mn-cs"/>
                          </a:rPr>
                          <m:t>𝑖𝑗</m:t>
                        </m:r>
                      </m:sub>
                    </m:sSub>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𝐶𝑜𝑟𝑟𝑒𝑙𝑎𝑡𝑖𝑜𝑛</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𝐶𝑜𝑒𝑓𝑓𝑖𝑐𝑖𝑒𝑛𝑡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𝑓𝑜𝑟</m:t>
                    </m:r>
                    <m:r>
                      <a:rPr lang="en-US" sz="1100" i="1">
                        <a:solidFill>
                          <a:schemeClr val="tx1"/>
                        </a:solidFill>
                        <a:effectLst/>
                        <a:latin typeface="Cambria Math" panose="02040503050406030204" pitchFamily="18" charset="0"/>
                        <a:ea typeface="+mn-ea"/>
                        <a:cs typeface="+mn-cs"/>
                      </a:rPr>
                      <m:t> </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𝑟𝑖𝑠𝑘</m:t>
                        </m:r>
                      </m:e>
                      <m:sub>
                        <m:r>
                          <a:rPr lang="en-US" sz="1100" i="1">
                            <a:solidFill>
                              <a:schemeClr val="tx1"/>
                            </a:solidFill>
                            <a:effectLst/>
                            <a:latin typeface="Cambria Math" panose="02040503050406030204" pitchFamily="18" charset="0"/>
                            <a:ea typeface="+mn-ea"/>
                            <a:cs typeface="+mn-cs"/>
                          </a:rPr>
                          <m:t>𝑖</m:t>
                        </m:r>
                      </m:sub>
                    </m:sSub>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𝑎𝑛𝑑</m:t>
                    </m:r>
                    <m:r>
                      <a:rPr lang="en-US" sz="1100" i="1">
                        <a:solidFill>
                          <a:schemeClr val="tx1"/>
                        </a:solidFill>
                        <a:effectLst/>
                        <a:latin typeface="Cambria Math" panose="02040503050406030204" pitchFamily="18" charset="0"/>
                        <a:ea typeface="+mn-ea"/>
                        <a:cs typeface="+mn-cs"/>
                      </a:rPr>
                      <m:t> </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𝑟𝑖𝑠𝑘</m:t>
                        </m:r>
                      </m:e>
                      <m:sub>
                        <m:r>
                          <a:rPr lang="en-US" sz="1100" i="1">
                            <a:solidFill>
                              <a:schemeClr val="tx1"/>
                            </a:solidFill>
                            <a:effectLst/>
                            <a:latin typeface="Cambria Math" panose="02040503050406030204" pitchFamily="18" charset="0"/>
                            <a:ea typeface="+mn-ea"/>
                            <a:cs typeface="+mn-cs"/>
                          </a:rPr>
                          <m:t>𝑗</m:t>
                        </m:r>
                      </m:sub>
                    </m:sSub>
                    <m:r>
                      <m:rPr>
                        <m:nor/>
                      </m:rPr>
                      <a:rPr lang="en-US">
                        <a:effectLst/>
                      </a:rPr>
                      <m:t> </m:t>
                    </m:r>
                  </m:oMath>
                </m:oMathPara>
              </a14:m>
              <a:endParaRPr lang="en-US" sz="1100">
                <a:solidFill>
                  <a:schemeClr val="tx1"/>
                </a:solidFill>
              </a:endParaRPr>
            </a:p>
          </xdr:txBody>
        </xdr:sp>
      </mc:Choice>
      <mc:Fallback xmlns="">
        <xdr:sp macro="" textlink="">
          <xdr:nvSpPr>
            <xdr:cNvPr id="10" name="TextBox 9">
              <a:extLst>
                <a:ext uri="{FF2B5EF4-FFF2-40B4-BE49-F238E27FC236}">
                  <a16:creationId xmlns:a16="http://schemas.microsoft.com/office/drawing/2014/main" id="{9D232C9D-963E-2A48-8BCB-7585E2FB793B}"/>
                </a:ext>
              </a:extLst>
            </xdr:cNvPr>
            <xdr:cNvSpPr txBox="1"/>
          </xdr:nvSpPr>
          <xdr:spPr>
            <a:xfrm>
              <a:off x="3809998" y="12181418"/>
              <a:ext cx="3112519" cy="1855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𝜌_𝑖𝑗→𝐶𝑜𝑟𝑟𝑒𝑙𝑎𝑡𝑖𝑜𝑛 𝐶𝑜𝑒𝑓𝑓𝑖𝑐𝑖𝑒𝑛𝑡 𝑓𝑜𝑟 〖𝑟𝑖𝑠𝑘〗_𝑖  𝑎𝑛𝑑 〖𝑟𝑖𝑠𝑘〗_𝑗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232833</xdr:colOff>
      <xdr:row>68</xdr:row>
      <xdr:rowOff>1</xdr:rowOff>
    </xdr:from>
    <xdr:to>
      <xdr:col>2</xdr:col>
      <xdr:colOff>613833</xdr:colOff>
      <xdr:row>70</xdr:row>
      <xdr:rowOff>155794</xdr:rowOff>
    </xdr:to>
    <mc:AlternateContent xmlns:mc="http://schemas.openxmlformats.org/markup-compatibility/2006" xmlns:a14="http://schemas.microsoft.com/office/drawing/2010/main">
      <mc:Choice Requires="a14">
        <xdr:sp macro="" textlink="">
          <xdr:nvSpPr>
            <xdr:cNvPr id="11" name="TextBox 2">
              <a:extLst>
                <a:ext uri="{FF2B5EF4-FFF2-40B4-BE49-F238E27FC236}">
                  <a16:creationId xmlns:a16="http://schemas.microsoft.com/office/drawing/2014/main" id="{DD8D6F3F-0153-7241-A105-52E0F488A3E5}"/>
                </a:ext>
              </a:extLst>
            </xdr:cNvPr>
            <xdr:cNvSpPr txBox="1"/>
          </xdr:nvSpPr>
          <xdr:spPr>
            <a:xfrm>
              <a:off x="1058333" y="14033501"/>
              <a:ext cx="1206500" cy="60029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𝜙</m:t>
                        </m:r>
                      </m:e>
                      <m:sub>
                        <m:argPr>
                          <m:argSz m:val="-2"/>
                        </m:argPr>
                        <m:r>
                          <a:rPr lang="en-US" sz="1100" i="1">
                            <a:solidFill>
                              <a:schemeClr val="tx1"/>
                            </a:solidFill>
                            <a:effectLst/>
                            <a:latin typeface="Cambria Math" panose="02040503050406030204" pitchFamily="18" charset="0"/>
                            <a:ea typeface="+mn-ea"/>
                            <a:cs typeface="+mn-cs"/>
                          </a:rPr>
                          <m:t>𝑒𝑥𝑡</m:t>
                        </m:r>
                      </m:sub>
                      <m:sup>
                        <m:argPr>
                          <m:argSz m:val="-2"/>
                        </m:argPr>
                        <m:r>
                          <a:rPr lang="en-US" sz="1100" i="1">
                            <a:solidFill>
                              <a:schemeClr val="tx1"/>
                            </a:solidFill>
                            <a:effectLst/>
                            <a:latin typeface="Cambria Math" panose="02040503050406030204" pitchFamily="18" charset="0"/>
                            <a:ea typeface="+mn-ea"/>
                            <a:cs typeface="+mn-cs"/>
                          </a:rPr>
                          <m:t>2</m:t>
                        </m:r>
                      </m:sup>
                    </m:sSubSup>
                    <m:r>
                      <a:rPr lang="en-US" sz="1100" i="1">
                        <a:solidFill>
                          <a:schemeClr val="tx1"/>
                        </a:solidFill>
                        <a:effectLst/>
                        <a:latin typeface="Cambria Math" panose="02040503050406030204" pitchFamily="18" charset="0"/>
                        <a:ea typeface="+mn-ea"/>
                        <a:cs typeface="+mn-cs"/>
                      </a:rPr>
                      <m:t>=</m:t>
                    </m:r>
                    <m:nary>
                      <m:naryPr>
                        <m:chr m:val="∑"/>
                        <m:limLoc m:val="undOvr"/>
                        <m:supHide m:val="on"/>
                        <m:ctrlPr>
                          <a:rPr lang="en-US" sz="1100" i="1">
                            <a:solidFill>
                              <a:schemeClr val="tx1"/>
                            </a:solidFill>
                            <a:effectLst/>
                            <a:latin typeface="Cambria Math" panose="02040503050406030204" pitchFamily="18" charset="0"/>
                            <a:ea typeface="+mn-ea"/>
                            <a:cs typeface="+mn-cs"/>
                          </a:rPr>
                        </m:ctrlPr>
                      </m:naryPr>
                      <m:sub>
                        <m:eqArr>
                          <m:eqArrPr>
                            <m:ctrlPr>
                              <a:rPr lang="en-US" sz="1100" i="1">
                                <a:solidFill>
                                  <a:schemeClr val="tx1"/>
                                </a:solidFill>
                                <a:effectLst/>
                                <a:latin typeface="Cambria Math" panose="02040503050406030204" pitchFamily="18" charset="0"/>
                                <a:ea typeface="+mn-ea"/>
                                <a:cs typeface="+mn-cs"/>
                              </a:rPr>
                            </m:ctrlPr>
                          </m:eqArrPr>
                          <m:e>
                            <m:r>
                              <a:rPr lang="en-US" sz="1100" i="1">
                                <a:solidFill>
                                  <a:schemeClr val="tx1"/>
                                </a:solidFill>
                                <a:effectLst/>
                                <a:latin typeface="Cambria Math" panose="02040503050406030204" pitchFamily="18" charset="0"/>
                                <a:ea typeface="+mn-ea"/>
                                <a:cs typeface="+mn-cs"/>
                              </a:rPr>
                              <m:t>𝐸𝑥𝑡𝑒𝑟𝑛𝑎𝑙</m:t>
                            </m:r>
                          </m:e>
                          <m:e>
                            <m:r>
                              <a:rPr lang="en-US" sz="1100" i="1">
                                <a:solidFill>
                                  <a:schemeClr val="tx1"/>
                                </a:solidFill>
                                <a:effectLst/>
                                <a:latin typeface="Cambria Math" panose="02040503050406030204" pitchFamily="18" charset="0"/>
                                <a:ea typeface="+mn-ea"/>
                                <a:cs typeface="+mn-cs"/>
                              </a:rPr>
                              <m:t>𝑅𝑖𝑠𝑘𝑠</m:t>
                            </m:r>
                          </m:e>
                        </m:eqArr>
                      </m:sub>
                      <m:sup/>
                      <m:e>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𝜙</m:t>
                            </m:r>
                          </m:e>
                          <m:sub>
                            <m:argPr>
                              <m:argSz m:val="-2"/>
                            </m:argPr>
                            <m:r>
                              <a:rPr lang="en-US" sz="1100" i="1">
                                <a:solidFill>
                                  <a:schemeClr val="tx1"/>
                                </a:solidFill>
                                <a:effectLst/>
                                <a:latin typeface="Cambria Math" panose="02040503050406030204" pitchFamily="18" charset="0"/>
                                <a:ea typeface="+mn-ea"/>
                                <a:cs typeface="+mn-cs"/>
                              </a:rPr>
                              <m:t>𝑖</m:t>
                            </m:r>
                          </m:sub>
                          <m:sup>
                            <m:argPr>
                              <m:argSz m:val="-1"/>
                            </m:argPr>
                            <m:r>
                              <a:rPr lang="en-US" sz="1100" i="1">
                                <a:solidFill>
                                  <a:schemeClr val="tx1"/>
                                </a:solidFill>
                                <a:effectLst/>
                                <a:latin typeface="Cambria Math" panose="02040503050406030204" pitchFamily="18" charset="0"/>
                                <a:ea typeface="+mn-ea"/>
                                <a:cs typeface="+mn-cs"/>
                              </a:rPr>
                              <m:t>2</m:t>
                            </m:r>
                          </m:sup>
                        </m:sSubSup>
                      </m:e>
                    </m:nary>
                  </m:oMath>
                </m:oMathPara>
              </a14:m>
              <a:endParaRPr lang="en-US" sz="1100">
                <a:solidFill>
                  <a:schemeClr val="tx1"/>
                </a:solidFill>
                <a:effectLst/>
                <a:latin typeface="+mn-lt"/>
                <a:ea typeface="+mn-ea"/>
                <a:cs typeface="+mn-cs"/>
              </a:endParaRPr>
            </a:p>
          </xdr:txBody>
        </xdr:sp>
      </mc:Choice>
      <mc:Fallback xmlns="">
        <xdr:sp macro="" textlink="">
          <xdr:nvSpPr>
            <xdr:cNvPr id="11" name="TextBox 2">
              <a:extLst>
                <a:ext uri="{FF2B5EF4-FFF2-40B4-BE49-F238E27FC236}">
                  <a16:creationId xmlns:a16="http://schemas.microsoft.com/office/drawing/2014/main" id="{DD8D6F3F-0153-7241-A105-52E0F488A3E5}"/>
                </a:ext>
              </a:extLst>
            </xdr:cNvPr>
            <xdr:cNvSpPr txBox="1"/>
          </xdr:nvSpPr>
          <xdr:spPr>
            <a:xfrm>
              <a:off x="1058333" y="14033501"/>
              <a:ext cx="1206500" cy="60029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US" sz="1100" i="0">
                  <a:solidFill>
                    <a:schemeClr val="tx1"/>
                  </a:solidFill>
                  <a:effectLst/>
                  <a:latin typeface="Cambria Math" panose="02040503050406030204" pitchFamily="18" charset="0"/>
                  <a:ea typeface="+mn-ea"/>
                  <a:cs typeface="+mn-cs"/>
                </a:rPr>
                <a:t>𝜙_𝑒𝑥𝑡^2=∑1_█(𝐸𝑥𝑡𝑒𝑟𝑛𝑎𝑙@𝑅𝑖𝑠𝑘𝑠)▒𝜙_𝑖^2 </a:t>
              </a:r>
              <a:endParaRPr lang="en-US" sz="1100">
                <a:solidFill>
                  <a:schemeClr val="tx1"/>
                </a:solidFill>
                <a:effectLst/>
                <a:latin typeface="+mn-lt"/>
                <a:ea typeface="+mn-ea"/>
                <a:cs typeface="+mn-cs"/>
              </a:endParaRPr>
            </a:p>
          </xdr:txBody>
        </xdr:sp>
      </mc:Fallback>
    </mc:AlternateContent>
    <xdr:clientData/>
  </xdr:twoCellAnchor>
  <xdr:twoCellAnchor>
    <xdr:from>
      <xdr:col>1</xdr:col>
      <xdr:colOff>275166</xdr:colOff>
      <xdr:row>76</xdr:row>
      <xdr:rowOff>148167</xdr:rowOff>
    </xdr:from>
    <xdr:to>
      <xdr:col>3</xdr:col>
      <xdr:colOff>666750</xdr:colOff>
      <xdr:row>77</xdr:row>
      <xdr:rowOff>233825</xdr:rowOff>
    </xdr:to>
    <mc:AlternateContent xmlns:mc="http://schemas.openxmlformats.org/markup-compatibility/2006" xmlns:a14="http://schemas.microsoft.com/office/drawing/2010/main">
      <mc:Choice Requires="a14">
        <xdr:sp macro="" textlink="">
          <xdr:nvSpPr>
            <xdr:cNvPr id="12" name="TextBox 2">
              <a:extLst>
                <a:ext uri="{FF2B5EF4-FFF2-40B4-BE49-F238E27FC236}">
                  <a16:creationId xmlns:a16="http://schemas.microsoft.com/office/drawing/2014/main" id="{7E5A1A74-3BDC-874D-B695-1A033452142A}"/>
                </a:ext>
              </a:extLst>
            </xdr:cNvPr>
            <xdr:cNvSpPr txBox="1"/>
          </xdr:nvSpPr>
          <xdr:spPr>
            <a:xfrm>
              <a:off x="1100666" y="15832667"/>
              <a:ext cx="2042584" cy="29732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𝜙</m:t>
                        </m:r>
                      </m:e>
                      <m:sub>
                        <m:argPr>
                          <m:argSz m:val="-2"/>
                        </m:argPr>
                        <m:r>
                          <a:rPr lang="en-US" sz="1100" i="1">
                            <a:solidFill>
                              <a:schemeClr val="tx1"/>
                            </a:solidFill>
                            <a:effectLst/>
                            <a:latin typeface="Cambria Math" panose="02040503050406030204" pitchFamily="18" charset="0"/>
                            <a:ea typeface="+mn-ea"/>
                            <a:cs typeface="+mn-cs"/>
                          </a:rPr>
                          <m:t>𝑡𝑜𝑡𝑎𝑙</m:t>
                        </m:r>
                      </m:sub>
                    </m:sSub>
                    <m:r>
                      <a:rPr lang="en-US" sz="1100" i="1">
                        <a:solidFill>
                          <a:schemeClr val="tx1"/>
                        </a:solidFill>
                        <a:effectLst/>
                        <a:latin typeface="Cambria Math" panose="02040503050406030204" pitchFamily="18" charset="0"/>
                        <a:ea typeface="+mn-ea"/>
                        <a:cs typeface="+mn-cs"/>
                      </a:rPr>
                      <m:t>=</m:t>
                    </m:r>
                    <m:rad>
                      <m:radPr>
                        <m:degHide m:val="on"/>
                        <m:ctrlPr>
                          <a:rPr lang="en-US" sz="1100" i="1">
                            <a:solidFill>
                              <a:schemeClr val="tx1"/>
                            </a:solidFill>
                            <a:effectLst/>
                            <a:latin typeface="Cambria Math" panose="02040503050406030204" pitchFamily="18" charset="0"/>
                            <a:ea typeface="+mn-ea"/>
                            <a:cs typeface="+mn-cs"/>
                          </a:rPr>
                        </m:ctrlPr>
                      </m:radPr>
                      <m:deg/>
                      <m:e>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𝜙</m:t>
                            </m:r>
                          </m:e>
                          <m:sub>
                            <m:argPr>
                              <m:argSz m:val="-2"/>
                            </m:argPr>
                            <m:r>
                              <a:rPr lang="en-US" sz="1100" i="1">
                                <a:solidFill>
                                  <a:schemeClr val="tx1"/>
                                </a:solidFill>
                                <a:effectLst/>
                                <a:latin typeface="Cambria Math" panose="02040503050406030204" pitchFamily="18" charset="0"/>
                                <a:ea typeface="+mn-ea"/>
                                <a:cs typeface="+mn-cs"/>
                              </a:rPr>
                              <m:t>𝑖𝑛𝑑</m:t>
                            </m:r>
                          </m:sub>
                          <m:sup>
                            <m:argPr>
                              <m:argSz m:val="-1"/>
                            </m:argPr>
                            <m:r>
                              <a:rPr lang="en-US" sz="1100" i="1">
                                <a:solidFill>
                                  <a:schemeClr val="tx1"/>
                                </a:solidFill>
                                <a:effectLst/>
                                <a:latin typeface="Cambria Math" panose="02040503050406030204" pitchFamily="18" charset="0"/>
                                <a:ea typeface="+mn-ea"/>
                                <a:cs typeface="+mn-cs"/>
                              </a:rPr>
                              <m:t>2</m:t>
                            </m:r>
                          </m:sup>
                        </m:sSubSup>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𝜙</m:t>
                            </m:r>
                          </m:e>
                          <m:sub>
                            <m:argPr>
                              <m:argSz m:val="-2"/>
                            </m:argPr>
                            <m:r>
                              <a:rPr lang="en-US" sz="1100" i="1">
                                <a:solidFill>
                                  <a:schemeClr val="tx1"/>
                                </a:solidFill>
                                <a:effectLst/>
                                <a:latin typeface="Cambria Math" panose="02040503050406030204" pitchFamily="18" charset="0"/>
                                <a:ea typeface="+mn-ea"/>
                                <a:cs typeface="+mn-cs"/>
                              </a:rPr>
                              <m:t>𝑖𝑛𝑡𝑒𝑟𝑛𝑎𝑙</m:t>
                            </m:r>
                          </m:sub>
                          <m:sup>
                            <m:argPr>
                              <m:argSz m:val="-1"/>
                            </m:argPr>
                            <m:r>
                              <a:rPr lang="en-US" sz="1100" i="1">
                                <a:solidFill>
                                  <a:schemeClr val="tx1"/>
                                </a:solidFill>
                                <a:effectLst/>
                                <a:latin typeface="Cambria Math" panose="02040503050406030204" pitchFamily="18" charset="0"/>
                                <a:ea typeface="+mn-ea"/>
                                <a:cs typeface="+mn-cs"/>
                              </a:rPr>
                              <m:t>2</m:t>
                            </m:r>
                          </m:sup>
                        </m:sSubSup>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𝜙</m:t>
                            </m:r>
                          </m:e>
                          <m:sub>
                            <m:argPr>
                              <m:argSz m:val="-1"/>
                            </m:argPr>
                            <m:r>
                              <a:rPr lang="en-US" sz="1100" i="1">
                                <a:solidFill>
                                  <a:schemeClr val="tx1"/>
                                </a:solidFill>
                                <a:effectLst/>
                                <a:latin typeface="Cambria Math" panose="02040503050406030204" pitchFamily="18" charset="0"/>
                                <a:ea typeface="+mn-ea"/>
                                <a:cs typeface="+mn-cs"/>
                              </a:rPr>
                              <m:t>𝑒𝑥𝑡</m:t>
                            </m:r>
                          </m:sub>
                          <m:sup>
                            <m:argPr>
                              <m:argSz m:val="-1"/>
                            </m:argPr>
                            <m:r>
                              <a:rPr lang="en-US" sz="1100" i="1">
                                <a:solidFill>
                                  <a:schemeClr val="tx1"/>
                                </a:solidFill>
                                <a:effectLst/>
                                <a:latin typeface="Cambria Math" panose="02040503050406030204" pitchFamily="18" charset="0"/>
                                <a:ea typeface="+mn-ea"/>
                                <a:cs typeface="+mn-cs"/>
                              </a:rPr>
                              <m:t>2</m:t>
                            </m:r>
                          </m:sup>
                        </m:sSubSup>
                      </m:e>
                    </m:rad>
                  </m:oMath>
                </m:oMathPara>
              </a14:m>
              <a:endParaRPr lang="en-US" sz="1100">
                <a:solidFill>
                  <a:schemeClr val="tx1"/>
                </a:solidFill>
                <a:effectLst/>
                <a:latin typeface="+mn-lt"/>
                <a:ea typeface="+mn-ea"/>
                <a:cs typeface="+mn-cs"/>
              </a:endParaRPr>
            </a:p>
          </xdr:txBody>
        </xdr:sp>
      </mc:Choice>
      <mc:Fallback xmlns="">
        <xdr:sp macro="" textlink="">
          <xdr:nvSpPr>
            <xdr:cNvPr id="12" name="TextBox 2">
              <a:extLst>
                <a:ext uri="{FF2B5EF4-FFF2-40B4-BE49-F238E27FC236}">
                  <a16:creationId xmlns:a16="http://schemas.microsoft.com/office/drawing/2014/main" id="{7E5A1A74-3BDC-874D-B695-1A033452142A}"/>
                </a:ext>
              </a:extLst>
            </xdr:cNvPr>
            <xdr:cNvSpPr txBox="1"/>
          </xdr:nvSpPr>
          <xdr:spPr>
            <a:xfrm>
              <a:off x="1100666" y="15832667"/>
              <a:ext cx="2042584" cy="29732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𝜙_𝑡𝑜𝑡𝑎𝑙=√(𝜙_𝑖𝑛𝑑^2+𝜙_𝑖𝑛𝑡𝑒𝑟𝑛𝑎𝑙^2+𝜙_𝑒𝑥𝑡^2 )</a:t>
              </a:r>
              <a:endParaRPr lang="en-US" sz="1100">
                <a:solidFill>
                  <a:schemeClr val="tx1"/>
                </a:solidFill>
                <a:effectLst/>
                <a:latin typeface="+mn-lt"/>
                <a:ea typeface="+mn-ea"/>
                <a:cs typeface="+mn-cs"/>
              </a:endParaRPr>
            </a:p>
          </xdr:txBody>
        </xdr:sp>
      </mc:Fallback>
    </mc:AlternateContent>
    <xdr:clientData/>
  </xdr:twoCellAnchor>
  <xdr:twoCellAnchor>
    <xdr:from>
      <xdr:col>1</xdr:col>
      <xdr:colOff>285749</xdr:colOff>
      <xdr:row>81</xdr:row>
      <xdr:rowOff>137584</xdr:rowOff>
    </xdr:from>
    <xdr:to>
      <xdr:col>3</xdr:col>
      <xdr:colOff>296333</xdr:colOff>
      <xdr:row>82</xdr:row>
      <xdr:rowOff>190348</xdr:rowOff>
    </xdr:to>
    <mc:AlternateContent xmlns:mc="http://schemas.openxmlformats.org/markup-compatibility/2006" xmlns:a14="http://schemas.microsoft.com/office/drawing/2010/main">
      <mc:Choice Requires="a14">
        <xdr:sp macro="" textlink="">
          <xdr:nvSpPr>
            <xdr:cNvPr id="14" name="TextBox 2">
              <a:extLst>
                <a:ext uri="{FF2B5EF4-FFF2-40B4-BE49-F238E27FC236}">
                  <a16:creationId xmlns:a16="http://schemas.microsoft.com/office/drawing/2014/main" id="{B6B463C4-51CB-A64C-89E7-4FCCCD33AC7E}"/>
                </a:ext>
              </a:extLst>
            </xdr:cNvPr>
            <xdr:cNvSpPr txBox="1"/>
          </xdr:nvSpPr>
          <xdr:spPr>
            <a:xfrm>
              <a:off x="1111249" y="16880417"/>
              <a:ext cx="1661584"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𝑅𝑖𝑠𝑘</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𝑀𝑎𝑟𝑔𝑖𝑛</m:t>
                    </m:r>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𝜙</m:t>
                        </m:r>
                      </m:e>
                      <m:sub>
                        <m:argPr>
                          <m:argSz m:val="-1"/>
                        </m:argPr>
                        <m:r>
                          <a:rPr lang="en-US" sz="1100" i="1">
                            <a:solidFill>
                              <a:schemeClr val="tx1"/>
                            </a:solidFill>
                            <a:effectLst/>
                            <a:latin typeface="Cambria Math" panose="02040503050406030204" pitchFamily="18" charset="0"/>
                            <a:ea typeface="+mn-ea"/>
                            <a:cs typeface="+mn-cs"/>
                          </a:rPr>
                          <m:t>𝑡𝑜𝑡𝑎𝑙</m:t>
                        </m:r>
                      </m:sub>
                    </m:sSub>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𝑧</m:t>
                    </m:r>
                  </m:oMath>
                </m:oMathPara>
              </a14:m>
              <a:endParaRPr lang="en-US" sz="1100">
                <a:solidFill>
                  <a:schemeClr val="tx1"/>
                </a:solidFill>
                <a:effectLst/>
                <a:latin typeface="+mn-lt"/>
                <a:ea typeface="+mn-ea"/>
                <a:cs typeface="+mn-cs"/>
              </a:endParaRPr>
            </a:p>
          </xdr:txBody>
        </xdr:sp>
      </mc:Choice>
      <mc:Fallback xmlns="">
        <xdr:sp macro="" textlink="">
          <xdr:nvSpPr>
            <xdr:cNvPr id="14" name="TextBox 2">
              <a:extLst>
                <a:ext uri="{FF2B5EF4-FFF2-40B4-BE49-F238E27FC236}">
                  <a16:creationId xmlns:a16="http://schemas.microsoft.com/office/drawing/2014/main" id="{B6B463C4-51CB-A64C-89E7-4FCCCD33AC7E}"/>
                </a:ext>
              </a:extLst>
            </xdr:cNvPr>
            <xdr:cNvSpPr txBox="1"/>
          </xdr:nvSpPr>
          <xdr:spPr>
            <a:xfrm>
              <a:off x="1111249" y="16880417"/>
              <a:ext cx="1661584"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US" sz="1100" i="0">
                  <a:solidFill>
                    <a:schemeClr val="tx1"/>
                  </a:solidFill>
                  <a:effectLst/>
                  <a:latin typeface="Cambria Math" panose="02040503050406030204" pitchFamily="18" charset="0"/>
                  <a:ea typeface="+mn-ea"/>
                  <a:cs typeface="+mn-cs"/>
                </a:rPr>
                <a:t>𝑅𝑖𝑠𝑘 𝑀𝑎𝑟𝑔𝑖𝑛=𝜙_𝑡𝑜𝑡𝑎𝑙×𝑧</a:t>
              </a:r>
              <a:endParaRPr lang="en-US" sz="1100">
                <a:solidFill>
                  <a:schemeClr val="tx1"/>
                </a:solidFill>
                <a:effectLst/>
                <a:latin typeface="+mn-lt"/>
                <a:ea typeface="+mn-ea"/>
                <a:cs typeface="+mn-cs"/>
              </a:endParaRPr>
            </a:p>
          </xdr:txBody>
        </xdr:sp>
      </mc:Fallback>
    </mc:AlternateContent>
    <xdr:clientData/>
  </xdr:twoCellAnchor>
  <xdr:oneCellAnchor>
    <xdr:from>
      <xdr:col>1</xdr:col>
      <xdr:colOff>264583</xdr:colOff>
      <xdr:row>71</xdr:row>
      <xdr:rowOff>158752</xdr:rowOff>
    </xdr:from>
    <xdr:ext cx="1574534" cy="511807"/>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5BFF5DE3-48F4-1A46-9A18-6066D2956653}"/>
                </a:ext>
              </a:extLst>
            </xdr:cNvPr>
            <xdr:cNvSpPr txBox="1"/>
          </xdr:nvSpPr>
          <xdr:spPr>
            <a:xfrm>
              <a:off x="1090083" y="16044335"/>
              <a:ext cx="1574534" cy="5118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𝐶𝑜𝑉</m:t>
                        </m:r>
                      </m:e>
                      <m:sub>
                        <m:argPr>
                          <m:argSz m:val="-1"/>
                        </m:argPr>
                        <m:r>
                          <a:rPr lang="en-US" sz="1100" i="1">
                            <a:solidFill>
                              <a:schemeClr val="tx1"/>
                            </a:solidFill>
                            <a:effectLst/>
                            <a:latin typeface="Cambria Math" panose="02040503050406030204" pitchFamily="18" charset="0"/>
                            <a:ea typeface="+mn-ea"/>
                            <a:cs typeface="+mn-cs"/>
                          </a:rPr>
                          <m:t>𝑒𝑥𝑡𝑒𝑟𝑛𝑎𝑙</m:t>
                        </m:r>
                      </m:sub>
                      <m:sup>
                        <m:argPr>
                          <m:argSz m:val="-1"/>
                        </m:argPr>
                        <m:r>
                          <a:rPr lang="en-US" sz="1100" i="1">
                            <a:solidFill>
                              <a:schemeClr val="tx1"/>
                            </a:solidFill>
                            <a:effectLst/>
                            <a:latin typeface="Cambria Math" panose="02040503050406030204" pitchFamily="18" charset="0"/>
                            <a:ea typeface="+mn-ea"/>
                            <a:cs typeface="+mn-cs"/>
                          </a:rPr>
                          <m:t>2</m:t>
                        </m:r>
                      </m:sup>
                    </m:sSubSup>
                    <m:r>
                      <a:rPr lang="en-US" sz="1100" i="1">
                        <a:solidFill>
                          <a:schemeClr val="tx1"/>
                        </a:solidFill>
                        <a:effectLst/>
                        <a:latin typeface="Cambria Math" panose="02040503050406030204" pitchFamily="18" charset="0"/>
                        <a:ea typeface="+mn-ea"/>
                        <a:cs typeface="+mn-cs"/>
                      </a:rPr>
                      <m:t>=</m:t>
                    </m:r>
                    <m:nary>
                      <m:naryPr>
                        <m:chr m:val="∑"/>
                        <m:limLoc m:val="undOvr"/>
                        <m:supHide m:val="on"/>
                        <m:ctrlPr>
                          <a:rPr lang="en-US" sz="1100" i="1">
                            <a:solidFill>
                              <a:schemeClr val="tx1"/>
                            </a:solidFill>
                            <a:effectLst/>
                            <a:latin typeface="Cambria Math" panose="02040503050406030204" pitchFamily="18" charset="0"/>
                            <a:ea typeface="+mn-ea"/>
                            <a:cs typeface="+mn-cs"/>
                          </a:rPr>
                        </m:ctrlPr>
                      </m:naryPr>
                      <m:sub>
                        <m:eqArr>
                          <m:eqArrPr>
                            <m:ctrlPr>
                              <a:rPr lang="en-US" sz="1100" i="1">
                                <a:solidFill>
                                  <a:schemeClr val="tx1"/>
                                </a:solidFill>
                                <a:effectLst/>
                                <a:latin typeface="Cambria Math" panose="02040503050406030204" pitchFamily="18" charset="0"/>
                                <a:ea typeface="+mn-ea"/>
                                <a:cs typeface="+mn-cs"/>
                              </a:rPr>
                            </m:ctrlPr>
                          </m:eqArrPr>
                          <m:e>
                            <m:r>
                              <a:rPr lang="en-US" sz="1100" i="1">
                                <a:solidFill>
                                  <a:schemeClr val="tx1"/>
                                </a:solidFill>
                                <a:effectLst/>
                                <a:latin typeface="Cambria Math" panose="02040503050406030204" pitchFamily="18" charset="0"/>
                                <a:ea typeface="+mn-ea"/>
                                <a:cs typeface="+mn-cs"/>
                              </a:rPr>
                              <m:t>𝐸𝑥𝑡𝑒𝑟𝑛𝑎𝑙</m:t>
                            </m:r>
                          </m:e>
                          <m:e>
                            <m:r>
                              <a:rPr lang="en-US" sz="1100" i="1">
                                <a:solidFill>
                                  <a:schemeClr val="tx1"/>
                                </a:solidFill>
                                <a:effectLst/>
                                <a:latin typeface="Cambria Math" panose="02040503050406030204" pitchFamily="18" charset="0"/>
                                <a:ea typeface="+mn-ea"/>
                                <a:cs typeface="+mn-cs"/>
                              </a:rPr>
                              <m:t>𝑅𝑖𝑠𝑘𝑠</m:t>
                            </m:r>
                          </m:e>
                        </m:eqArr>
                      </m:sub>
                      <m:sup/>
                      <m:e>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𝐶𝑜𝑉</m:t>
                            </m:r>
                          </m:e>
                          <m:sub>
                            <m:argPr>
                              <m:argSz m:val="-1"/>
                            </m:argPr>
                            <m:r>
                              <a:rPr lang="en-US" sz="1100" i="1">
                                <a:solidFill>
                                  <a:schemeClr val="tx1"/>
                                </a:solidFill>
                                <a:effectLst/>
                                <a:latin typeface="Cambria Math" panose="02040503050406030204" pitchFamily="18" charset="0"/>
                                <a:ea typeface="+mn-ea"/>
                                <a:cs typeface="+mn-cs"/>
                              </a:rPr>
                              <m:t>𝑖</m:t>
                            </m:r>
                          </m:sub>
                          <m:sup>
                            <m:argPr>
                              <m:argSz m:val="-1"/>
                            </m:argPr>
                            <m:r>
                              <a:rPr lang="en-US" sz="1100" i="1">
                                <a:solidFill>
                                  <a:schemeClr val="tx1"/>
                                </a:solidFill>
                                <a:effectLst/>
                                <a:latin typeface="Cambria Math" panose="02040503050406030204" pitchFamily="18" charset="0"/>
                                <a:ea typeface="+mn-ea"/>
                                <a:cs typeface="+mn-cs"/>
                              </a:rPr>
                              <m:t>2</m:t>
                            </m:r>
                          </m:sup>
                        </m:sSubSup>
                      </m:e>
                    </m:nary>
                    <m:r>
                      <m:rPr>
                        <m:nor/>
                      </m:rPr>
                      <a:rPr lang="en-US">
                        <a:effectLst/>
                      </a:rPr>
                      <m:t> </m:t>
                    </m:r>
                  </m:oMath>
                </m:oMathPara>
              </a14:m>
              <a:endParaRPr lang="en-US" sz="1100">
                <a:solidFill>
                  <a:schemeClr val="tx1"/>
                </a:solidFill>
              </a:endParaRPr>
            </a:p>
          </xdr:txBody>
        </xdr:sp>
      </mc:Choice>
      <mc:Fallback xmlns="">
        <xdr:sp macro="" textlink="">
          <xdr:nvSpPr>
            <xdr:cNvPr id="15" name="TextBox 14">
              <a:extLst>
                <a:ext uri="{FF2B5EF4-FFF2-40B4-BE49-F238E27FC236}">
                  <a16:creationId xmlns:a16="http://schemas.microsoft.com/office/drawing/2014/main" id="{5BFF5DE3-48F4-1A46-9A18-6066D2956653}"/>
                </a:ext>
              </a:extLst>
            </xdr:cNvPr>
            <xdr:cNvSpPr txBox="1"/>
          </xdr:nvSpPr>
          <xdr:spPr>
            <a:xfrm>
              <a:off x="1090083" y="16044335"/>
              <a:ext cx="1574534" cy="5118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〖𝐶𝑜𝑉〗_𝑒𝑥𝑡𝑒𝑟𝑛𝑎𝑙^2=∑1_█(𝐸𝑥𝑡𝑒𝑟𝑛𝑎𝑙@𝑅𝑖𝑠𝑘𝑠)▒〖𝐶𝑜𝑉〗_𝑖^2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oneCellAnchor>
    <xdr:from>
      <xdr:col>1</xdr:col>
      <xdr:colOff>338665</xdr:colOff>
      <xdr:row>45</xdr:row>
      <xdr:rowOff>21165</xdr:rowOff>
    </xdr:from>
    <xdr:ext cx="1781065" cy="409856"/>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9ECA4285-026B-EB4A-8086-196420DC5257}"/>
                </a:ext>
              </a:extLst>
            </xdr:cNvPr>
            <xdr:cNvSpPr txBox="1"/>
          </xdr:nvSpPr>
          <xdr:spPr>
            <a:xfrm>
              <a:off x="1164165" y="9313332"/>
              <a:ext cx="1781065" cy="4098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𝐶𝑜𝑉</m:t>
                        </m:r>
                      </m:e>
                      <m:sub>
                        <m:argPr>
                          <m:argSz m:val="-2"/>
                        </m:argPr>
                        <m:r>
                          <a:rPr lang="en-US" sz="1100" i="1">
                            <a:solidFill>
                              <a:schemeClr val="tx1"/>
                            </a:solidFill>
                            <a:effectLst/>
                            <a:latin typeface="Cambria Math" panose="02040503050406030204" pitchFamily="18" charset="0"/>
                            <a:ea typeface="+mn-ea"/>
                            <a:cs typeface="+mn-cs"/>
                          </a:rPr>
                          <m:t>𝑖𝑛𝑑</m:t>
                        </m:r>
                      </m:sub>
                      <m:sup>
                        <m:argPr>
                          <m:argSz m:val="-2"/>
                        </m:argPr>
                        <m:r>
                          <a:rPr lang="en-US" sz="1100" i="1">
                            <a:solidFill>
                              <a:schemeClr val="tx1"/>
                            </a:solidFill>
                            <a:effectLst/>
                            <a:latin typeface="Cambria Math" panose="02040503050406030204" pitchFamily="18" charset="0"/>
                            <a:ea typeface="+mn-ea"/>
                            <a:cs typeface="+mn-cs"/>
                          </a:rPr>
                          <m:t>2</m:t>
                        </m:r>
                      </m:sup>
                    </m:sSubSup>
                    <m:r>
                      <a:rPr lang="en-US" sz="1100" i="1">
                        <a:solidFill>
                          <a:schemeClr val="tx1"/>
                        </a:solidFill>
                        <a:effectLst/>
                        <a:latin typeface="Cambria Math" panose="02040503050406030204" pitchFamily="18" charset="0"/>
                        <a:ea typeface="+mn-ea"/>
                        <a:cs typeface="+mn-cs"/>
                      </a:rPr>
                      <m:t>=</m:t>
                    </m:r>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𝐶𝑜𝑉</m:t>
                            </m:r>
                          </m:e>
                          <m:sub>
                            <m:r>
                              <a:rPr lang="en-US" sz="1100" i="1">
                                <a:solidFill>
                                  <a:schemeClr val="tx1"/>
                                </a:solidFill>
                                <a:effectLst/>
                                <a:latin typeface="Cambria Math" panose="02040503050406030204" pitchFamily="18" charset="0"/>
                                <a:ea typeface="+mn-ea"/>
                                <a:cs typeface="+mn-cs"/>
                              </a:rPr>
                              <m:t>𝑖</m:t>
                            </m:r>
                          </m:sub>
                          <m:sup>
                            <m:argPr>
                              <m:argSz m:val="-1"/>
                            </m:argPr>
                            <m:r>
                              <a:rPr lang="en-US" sz="1100" i="1">
                                <a:solidFill>
                                  <a:schemeClr val="tx1"/>
                                </a:solidFill>
                                <a:effectLst/>
                                <a:latin typeface="Cambria Math" panose="02040503050406030204" pitchFamily="18" charset="0"/>
                                <a:ea typeface="+mn-ea"/>
                                <a:cs typeface="+mn-cs"/>
                              </a:rPr>
                              <m:t>2</m:t>
                            </m:r>
                          </m:sup>
                        </m:sSubSup>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𝑤𝑒𝑖𝑔h𝑡</m:t>
                            </m:r>
                          </m:e>
                          <m:sub>
                            <m:argPr>
                              <m:argSz m:val="-1"/>
                            </m:argPr>
                            <m:r>
                              <a:rPr lang="en-US" sz="1100" i="1">
                                <a:solidFill>
                                  <a:schemeClr val="tx1"/>
                                </a:solidFill>
                                <a:effectLst/>
                                <a:latin typeface="Cambria Math" panose="02040503050406030204" pitchFamily="18" charset="0"/>
                                <a:ea typeface="+mn-ea"/>
                                <a:cs typeface="+mn-cs"/>
                              </a:rPr>
                              <m:t>𝑖</m:t>
                            </m:r>
                          </m:sub>
                          <m:sup>
                            <m:argPr>
                              <m:argSz m:val="-1"/>
                            </m:argPr>
                            <m:r>
                              <a:rPr lang="en-US" sz="1100" i="1">
                                <a:solidFill>
                                  <a:schemeClr val="tx1"/>
                                </a:solidFill>
                                <a:effectLst/>
                                <a:latin typeface="Cambria Math" panose="02040503050406030204" pitchFamily="18" charset="0"/>
                                <a:ea typeface="+mn-ea"/>
                                <a:cs typeface="+mn-cs"/>
                              </a:rPr>
                              <m:t>2</m:t>
                            </m:r>
                          </m:sup>
                        </m:sSubSup>
                      </m:e>
                    </m:nary>
                    <m:r>
                      <m:rPr>
                        <m:nor/>
                      </m:rPr>
                      <a:rPr lang="en-US">
                        <a:effectLst/>
                      </a:rPr>
                      <m:t> </m:t>
                    </m:r>
                  </m:oMath>
                </m:oMathPara>
              </a14:m>
              <a:endParaRPr lang="en-US" sz="1100">
                <a:solidFill>
                  <a:schemeClr val="tx1"/>
                </a:solidFill>
              </a:endParaRPr>
            </a:p>
          </xdr:txBody>
        </xdr:sp>
      </mc:Choice>
      <mc:Fallback xmlns="">
        <xdr:sp macro="" textlink="">
          <xdr:nvSpPr>
            <xdr:cNvPr id="16" name="TextBox 15">
              <a:extLst>
                <a:ext uri="{FF2B5EF4-FFF2-40B4-BE49-F238E27FC236}">
                  <a16:creationId xmlns:a16="http://schemas.microsoft.com/office/drawing/2014/main" id="{9ECA4285-026B-EB4A-8086-196420DC5257}"/>
                </a:ext>
              </a:extLst>
            </xdr:cNvPr>
            <xdr:cNvSpPr txBox="1"/>
          </xdr:nvSpPr>
          <xdr:spPr>
            <a:xfrm>
              <a:off x="1164165" y="9313332"/>
              <a:ext cx="1781065" cy="4098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Cambria Math" panose="02040503050406030204" pitchFamily="18" charset="0"/>
                  <a:ea typeface="+mn-ea"/>
                  <a:cs typeface="+mn-cs"/>
                </a:rPr>
                <a:t>〖𝐶𝑜𝑉〗_𝑖𝑛𝑑^2=∑1▒〖〖𝐶𝑜𝑉〗_𝑖^2×〖𝑤𝑒𝑖𝑔ℎ𝑡〗_𝑖^2 〗 "</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412750</xdr:colOff>
      <xdr:row>96</xdr:row>
      <xdr:rowOff>116417</xdr:rowOff>
    </xdr:from>
    <xdr:to>
      <xdr:col>3</xdr:col>
      <xdr:colOff>31750</xdr:colOff>
      <xdr:row>97</xdr:row>
      <xdr:rowOff>179765</xdr:rowOff>
    </xdr:to>
    <mc:AlternateContent xmlns:mc="http://schemas.openxmlformats.org/markup-compatibility/2006" xmlns:a14="http://schemas.microsoft.com/office/drawing/2010/main">
      <mc:Choice Requires="a14">
        <xdr:sp macro="" textlink="">
          <xdr:nvSpPr>
            <xdr:cNvPr id="7" name="TextBox 2">
              <a:extLst>
                <a:ext uri="{FF2B5EF4-FFF2-40B4-BE49-F238E27FC236}">
                  <a16:creationId xmlns:a16="http://schemas.microsoft.com/office/drawing/2014/main" id="{E7F78F3F-0E6D-2E41-9BCB-97052EEBB166}"/>
                </a:ext>
              </a:extLst>
            </xdr:cNvPr>
            <xdr:cNvSpPr txBox="1"/>
          </xdr:nvSpPr>
          <xdr:spPr>
            <a:xfrm>
              <a:off x="1238250" y="20023667"/>
              <a:ext cx="1270000" cy="27501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𝜎</m:t>
                        </m:r>
                      </m:e>
                      <m:sup>
                        <m:argPr>
                          <m:argSz m:val="-2"/>
                        </m:argPr>
                        <m:r>
                          <a:rPr lang="en-US" sz="1100" i="1">
                            <a:solidFill>
                              <a:schemeClr val="tx1"/>
                            </a:solidFill>
                            <a:effectLst/>
                            <a:latin typeface="Cambria Math" panose="02040503050406030204" pitchFamily="18" charset="0"/>
                            <a:ea typeface="+mn-ea"/>
                            <a:cs typeface="+mn-cs"/>
                          </a:rPr>
                          <m:t>2</m:t>
                        </m:r>
                      </m:sup>
                    </m:sSup>
                    <m:r>
                      <a:rPr lang="en-US" sz="1100" i="1">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ln</m:t>
                    </m:r>
                    <m:r>
                      <a:rPr lang="en-US" sz="1100" i="1">
                        <a:solidFill>
                          <a:schemeClr val="tx1"/>
                        </a:solidFill>
                        <a:effectLst/>
                        <a:latin typeface="Cambria Math" panose="02040503050406030204" pitchFamily="18" charset="0"/>
                        <a:ea typeface="+mn-ea"/>
                        <a:cs typeface="+mn-cs"/>
                      </a:rPr>
                      <m:t>[1+</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𝜙</m:t>
                        </m:r>
                      </m:e>
                      <m:sub>
                        <m:argPr>
                          <m:argSz m:val="-2"/>
                        </m:argPr>
                        <m:r>
                          <a:rPr lang="en-US" sz="1100" i="1">
                            <a:solidFill>
                              <a:schemeClr val="tx1"/>
                            </a:solidFill>
                            <a:effectLst/>
                            <a:latin typeface="Cambria Math" panose="02040503050406030204" pitchFamily="18" charset="0"/>
                            <a:ea typeface="+mn-ea"/>
                            <a:cs typeface="+mn-cs"/>
                          </a:rPr>
                          <m:t>𝑡𝑜𝑡𝑎𝑙</m:t>
                        </m:r>
                      </m:sub>
                      <m:sup>
                        <m:argPr>
                          <m:argSz m:val="-1"/>
                        </m:argPr>
                        <m:r>
                          <a:rPr lang="en-US" sz="1100" i="1">
                            <a:solidFill>
                              <a:schemeClr val="tx1"/>
                            </a:solidFill>
                            <a:effectLst/>
                            <a:latin typeface="Cambria Math" panose="02040503050406030204" pitchFamily="18" charset="0"/>
                            <a:ea typeface="+mn-ea"/>
                            <a:cs typeface="+mn-cs"/>
                          </a:rPr>
                          <m:t>2</m:t>
                        </m:r>
                      </m:sup>
                    </m:sSubSup>
                    <m:r>
                      <a:rPr lang="en-US" sz="1100" i="1">
                        <a:solidFill>
                          <a:schemeClr val="tx1"/>
                        </a:solidFill>
                        <a:effectLst/>
                        <a:latin typeface="Cambria Math" panose="02040503050406030204" pitchFamily="18" charset="0"/>
                        <a:ea typeface="+mn-ea"/>
                        <a:cs typeface="+mn-cs"/>
                      </a:rPr>
                      <m:t>]</m:t>
                    </m:r>
                  </m:oMath>
                </m:oMathPara>
              </a14:m>
              <a:endParaRPr lang="en-US" sz="1100">
                <a:solidFill>
                  <a:schemeClr val="tx1"/>
                </a:solidFill>
                <a:effectLst/>
                <a:latin typeface="+mn-lt"/>
                <a:ea typeface="+mn-ea"/>
                <a:cs typeface="+mn-cs"/>
              </a:endParaRPr>
            </a:p>
          </xdr:txBody>
        </xdr:sp>
      </mc:Choice>
      <mc:Fallback xmlns="">
        <xdr:sp macro="" textlink="">
          <xdr:nvSpPr>
            <xdr:cNvPr id="7" name="TextBox 2">
              <a:extLst>
                <a:ext uri="{FF2B5EF4-FFF2-40B4-BE49-F238E27FC236}">
                  <a16:creationId xmlns:a16="http://schemas.microsoft.com/office/drawing/2014/main" id="{E7F78F3F-0E6D-2E41-9BCB-97052EEBB166}"/>
                </a:ext>
              </a:extLst>
            </xdr:cNvPr>
            <xdr:cNvSpPr txBox="1"/>
          </xdr:nvSpPr>
          <xdr:spPr>
            <a:xfrm>
              <a:off x="1238250" y="20023667"/>
              <a:ext cx="1270000" cy="27501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𝜎^2=ln[1+𝜙_𝑡𝑜𝑡𝑎𝑙^2]</a:t>
              </a:r>
              <a:endParaRPr lang="en-US" sz="1100">
                <a:solidFill>
                  <a:schemeClr val="tx1"/>
                </a:solidFill>
                <a:effectLst/>
                <a:latin typeface="+mn-lt"/>
                <a:ea typeface="+mn-ea"/>
                <a:cs typeface="+mn-cs"/>
              </a:endParaRPr>
            </a:p>
          </xdr:txBody>
        </xdr:sp>
      </mc:Fallback>
    </mc:AlternateContent>
    <xdr:clientData/>
  </xdr:twoCellAnchor>
  <xdr:twoCellAnchor>
    <xdr:from>
      <xdr:col>1</xdr:col>
      <xdr:colOff>359832</xdr:colOff>
      <xdr:row>100</xdr:row>
      <xdr:rowOff>116417</xdr:rowOff>
    </xdr:from>
    <xdr:to>
      <xdr:col>4</xdr:col>
      <xdr:colOff>148165</xdr:colOff>
      <xdr:row>102</xdr:row>
      <xdr:rowOff>192908</xdr:rowOff>
    </xdr:to>
    <mc:AlternateContent xmlns:mc="http://schemas.openxmlformats.org/markup-compatibility/2006" xmlns:a14="http://schemas.microsoft.com/office/drawing/2010/main">
      <mc:Choice Requires="a14">
        <xdr:sp macro="" textlink="">
          <xdr:nvSpPr>
            <xdr:cNvPr id="17" name="TextBox 2">
              <a:extLst>
                <a:ext uri="{FF2B5EF4-FFF2-40B4-BE49-F238E27FC236}">
                  <a16:creationId xmlns:a16="http://schemas.microsoft.com/office/drawing/2014/main" id="{2F478482-328A-A946-AAC5-24385E8EF70B}"/>
                </a:ext>
              </a:extLst>
            </xdr:cNvPr>
            <xdr:cNvSpPr txBox="1"/>
          </xdr:nvSpPr>
          <xdr:spPr>
            <a:xfrm>
              <a:off x="1185332" y="21293667"/>
              <a:ext cx="2264833" cy="49982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𝑅𝑖𝑠𝑘</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𝑀𝑎𝑟𝑔𝑖𝑛</m:t>
                    </m:r>
                    <m:r>
                      <a:rPr lang="en-US" sz="1100" i="1">
                        <a:solidFill>
                          <a:schemeClr val="tx1"/>
                        </a:solidFill>
                        <a:effectLst/>
                        <a:latin typeface="Cambria Math" panose="02040503050406030204" pitchFamily="18" charset="0"/>
                        <a:ea typeface="+mn-ea"/>
                        <a:cs typeface="+mn-cs"/>
                      </a:rPr>
                      <m:t>=</m:t>
                    </m:r>
                    <m:func>
                      <m:funcPr>
                        <m:ctrlPr>
                          <a:rPr lang="en-US" sz="1100" i="1">
                            <a:solidFill>
                              <a:schemeClr val="tx1"/>
                            </a:solidFill>
                            <a:effectLst/>
                            <a:latin typeface="Cambria Math" panose="02040503050406030204" pitchFamily="18" charset="0"/>
                            <a:ea typeface="+mn-ea"/>
                            <a:cs typeface="+mn-cs"/>
                          </a:rPr>
                        </m:ctrlPr>
                      </m:funcPr>
                      <m:fName>
                        <m:r>
                          <m:rPr>
                            <m:sty m:val="p"/>
                          </m:rPr>
                          <a:rPr lang="en-US" sz="1100">
                            <a:solidFill>
                              <a:schemeClr val="tx1"/>
                            </a:solidFill>
                            <a:effectLst/>
                            <a:latin typeface="Cambria Math" panose="02040503050406030204" pitchFamily="18" charset="0"/>
                            <a:ea typeface="+mn-ea"/>
                            <a:cs typeface="+mn-cs"/>
                          </a:rPr>
                          <m:t>exp</m:t>
                        </m:r>
                      </m:fName>
                      <m:e>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𝑧</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𝜎</m:t>
                            </m:r>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𝜎</m:t>
                                    </m:r>
                                  </m:e>
                                  <m:sup>
                                    <m:r>
                                      <a:rPr lang="en-US" sz="1100" i="1">
                                        <a:solidFill>
                                          <a:schemeClr val="tx1"/>
                                        </a:solidFill>
                                        <a:effectLst/>
                                        <a:latin typeface="Cambria Math" panose="02040503050406030204" pitchFamily="18" charset="0"/>
                                        <a:ea typeface="+mn-ea"/>
                                        <a:cs typeface="+mn-cs"/>
                                      </a:rPr>
                                      <m:t>2</m:t>
                                    </m:r>
                                  </m:sup>
                                </m:sSup>
                              </m:num>
                              <m:den>
                                <m:r>
                                  <a:rPr lang="en-US" sz="1100" i="1">
                                    <a:solidFill>
                                      <a:schemeClr val="tx1"/>
                                    </a:solidFill>
                                    <a:effectLst/>
                                    <a:latin typeface="Cambria Math" panose="02040503050406030204" pitchFamily="18" charset="0"/>
                                    <a:ea typeface="+mn-ea"/>
                                    <a:cs typeface="+mn-cs"/>
                                  </a:rPr>
                                  <m:t>2</m:t>
                                </m:r>
                              </m:den>
                            </m:f>
                          </m:e>
                        </m:d>
                      </m:e>
                    </m:func>
                    <m:r>
                      <a:rPr lang="en-US" sz="1100" i="1">
                        <a:solidFill>
                          <a:schemeClr val="tx1"/>
                        </a:solidFill>
                        <a:effectLst/>
                        <a:latin typeface="Cambria Math" panose="02040503050406030204" pitchFamily="18" charset="0"/>
                        <a:ea typeface="+mn-ea"/>
                        <a:cs typeface="+mn-cs"/>
                      </a:rPr>
                      <m:t>−1</m:t>
                    </m:r>
                  </m:oMath>
                </m:oMathPara>
              </a14:m>
              <a:endParaRPr lang="en-US" sz="1100">
                <a:solidFill>
                  <a:schemeClr val="tx1"/>
                </a:solidFill>
                <a:effectLst/>
                <a:latin typeface="+mn-lt"/>
                <a:ea typeface="+mn-ea"/>
                <a:cs typeface="+mn-cs"/>
              </a:endParaRPr>
            </a:p>
          </xdr:txBody>
        </xdr:sp>
      </mc:Choice>
      <mc:Fallback xmlns="">
        <xdr:sp macro="" textlink="">
          <xdr:nvSpPr>
            <xdr:cNvPr id="17" name="TextBox 2">
              <a:extLst>
                <a:ext uri="{FF2B5EF4-FFF2-40B4-BE49-F238E27FC236}">
                  <a16:creationId xmlns:a16="http://schemas.microsoft.com/office/drawing/2014/main" id="{2F478482-328A-A946-AAC5-24385E8EF70B}"/>
                </a:ext>
              </a:extLst>
            </xdr:cNvPr>
            <xdr:cNvSpPr txBox="1"/>
          </xdr:nvSpPr>
          <xdr:spPr>
            <a:xfrm>
              <a:off x="1185332" y="21293667"/>
              <a:ext cx="2264833" cy="49982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𝑅𝑖𝑠𝑘 𝑀𝑎𝑟𝑔𝑖𝑛=exp⁡[𝑧×𝜎−𝜎^2/2]−1</a:t>
              </a:r>
              <a:endParaRPr lang="en-US" sz="1100">
                <a:solidFill>
                  <a:schemeClr val="tx1"/>
                </a:solidFill>
                <a:effectLst/>
                <a:latin typeface="+mn-lt"/>
                <a:ea typeface="+mn-ea"/>
                <a:cs typeface="+mn-cs"/>
              </a:endParaRP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317500</xdr:colOff>
      <xdr:row>34</xdr:row>
      <xdr:rowOff>148167</xdr:rowOff>
    </xdr:from>
    <xdr:to>
      <xdr:col>4</xdr:col>
      <xdr:colOff>582084</xdr:colOff>
      <xdr:row>36</xdr:row>
      <xdr:rowOff>195226</xdr:rowOff>
    </xdr:to>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8C0D1898-24FC-A741-B9A6-4A13E3A001FE}"/>
                </a:ext>
              </a:extLst>
            </xdr:cNvPr>
            <xdr:cNvSpPr txBox="1"/>
          </xdr:nvSpPr>
          <xdr:spPr>
            <a:xfrm>
              <a:off x="1143000" y="7080250"/>
              <a:ext cx="2741084" cy="44922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𝑊𝑒𝑖𝑔h𝑡𝑒𝑑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𝐴𝑣𝑔</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𝑆𝑐𝑜𝑟𝑒</m:t>
                    </m:r>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𝑆𝑐𝑜𝑟𝑒</m:t>
                                </m:r>
                              </m:e>
                              <m:sub>
                                <m:argPr>
                                  <m:argSz m:val="-1"/>
                                </m:argPr>
                                <m:r>
                                  <a:rPr lang="en-US" sz="1100" i="1">
                                    <a:solidFill>
                                      <a:schemeClr val="tx1"/>
                                    </a:solidFill>
                                    <a:effectLst/>
                                    <a:latin typeface="Cambria Math" panose="02040503050406030204" pitchFamily="18" charset="0"/>
                                    <a:ea typeface="+mn-ea"/>
                                    <a:cs typeface="+mn-cs"/>
                                  </a:rPr>
                                  <m:t>𝑖</m:t>
                                </m:r>
                              </m:sub>
                            </m:sSub>
                          </m:e>
                        </m:nary>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𝑤𝑒𝑖𝑔h𝑡</m:t>
                            </m:r>
                          </m:e>
                          <m:sub>
                            <m:argPr>
                              <m:argSz m:val="-1"/>
                            </m:argPr>
                            <m:r>
                              <a:rPr lang="en-US" sz="1100" i="1">
                                <a:solidFill>
                                  <a:schemeClr val="tx1"/>
                                </a:solidFill>
                                <a:effectLst/>
                                <a:latin typeface="Cambria Math" panose="02040503050406030204" pitchFamily="18" charset="0"/>
                                <a:ea typeface="+mn-ea"/>
                                <a:cs typeface="+mn-cs"/>
                              </a:rPr>
                              <m:t>𝑖</m:t>
                            </m:r>
                          </m:sub>
                        </m:sSub>
                      </m:num>
                      <m:den>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𝑤𝑒𝑖𝑔h𝑡</m:t>
                                </m:r>
                              </m:e>
                              <m:sub>
                                <m:argPr>
                                  <m:argSz m:val="-1"/>
                                </m:argPr>
                                <m:r>
                                  <a:rPr lang="en-US" sz="1100" i="1">
                                    <a:solidFill>
                                      <a:schemeClr val="tx1"/>
                                    </a:solidFill>
                                    <a:effectLst/>
                                    <a:latin typeface="Cambria Math" panose="02040503050406030204" pitchFamily="18" charset="0"/>
                                    <a:ea typeface="+mn-ea"/>
                                    <a:cs typeface="+mn-cs"/>
                                  </a:rPr>
                                  <m:t>𝑖</m:t>
                                </m:r>
                              </m:sub>
                            </m:sSub>
                          </m:e>
                        </m:nary>
                      </m:den>
                    </m:f>
                  </m:oMath>
                </m:oMathPara>
              </a14:m>
              <a:endParaRPr lang="en-US" sz="1100">
                <a:solidFill>
                  <a:schemeClr val="tx1"/>
                </a:solidFill>
                <a:effectLst/>
                <a:latin typeface="+mn-lt"/>
                <a:ea typeface="+mn-ea"/>
                <a:cs typeface="+mn-cs"/>
              </a:endParaRPr>
            </a:p>
          </xdr:txBody>
        </xdr:sp>
      </mc:Choice>
      <mc:Fallback xmlns="">
        <xdr:sp macro="" textlink="">
          <xdr:nvSpPr>
            <xdr:cNvPr id="2" name="TextBox 2">
              <a:extLst>
                <a:ext uri="{FF2B5EF4-FFF2-40B4-BE49-F238E27FC236}">
                  <a16:creationId xmlns:a16="http://schemas.microsoft.com/office/drawing/2014/main" id="{8C0D1898-24FC-A741-B9A6-4A13E3A001FE}"/>
                </a:ext>
              </a:extLst>
            </xdr:cNvPr>
            <xdr:cNvSpPr txBox="1"/>
          </xdr:nvSpPr>
          <xdr:spPr>
            <a:xfrm>
              <a:off x="1143000" y="7080250"/>
              <a:ext cx="2741084" cy="44922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𝑊𝑒𝑖𝑔ℎ𝑡𝑒𝑑 𝐴𝑣𝑔 𝑆𝑐𝑜𝑟𝑒=(∑1▒〖𝑆𝑐𝑜𝑟𝑒〗_𝑖 ×〖𝑤𝑒𝑖𝑔ℎ𝑡〗_𝑖)/(∑1▒〖𝑤𝑒𝑖𝑔ℎ𝑡〗_𝑖 )</a:t>
              </a:r>
              <a:endParaRPr lang="en-US" sz="1100">
                <a:solidFill>
                  <a:schemeClr val="tx1"/>
                </a:solidFill>
                <a:effectLst/>
                <a:latin typeface="+mn-lt"/>
                <a:ea typeface="+mn-ea"/>
                <a:cs typeface="+mn-cs"/>
              </a:endParaRP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469900</xdr:colOff>
      <xdr:row>5</xdr:row>
      <xdr:rowOff>177800</xdr:rowOff>
    </xdr:from>
    <xdr:to>
      <xdr:col>9</xdr:col>
      <xdr:colOff>381000</xdr:colOff>
      <xdr:row>50</xdr:row>
      <xdr:rowOff>48974</xdr:rowOff>
    </xdr:to>
    <xdr:pic>
      <xdr:nvPicPr>
        <xdr:cNvPr id="3" name="Picture 2">
          <a:extLst>
            <a:ext uri="{FF2B5EF4-FFF2-40B4-BE49-F238E27FC236}">
              <a16:creationId xmlns:a16="http://schemas.microsoft.com/office/drawing/2014/main" id="{30F500B1-74C2-394D-B200-3C232402F7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69900" y="1308100"/>
          <a:ext cx="7340600" cy="9015174"/>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M172"/>
  <sheetViews>
    <sheetView showGridLines="0" tabSelected="1" zoomScale="120" zoomScaleNormal="120" workbookViewId="0"/>
  </sheetViews>
  <sheetFormatPr baseColWidth="10" defaultColWidth="10.83203125" defaultRowHeight="16" x14ac:dyDescent="0.2"/>
  <cols>
    <col min="1" max="1" width="10.83203125" style="50"/>
    <col min="2" max="4" width="10.83203125" style="50" customWidth="1"/>
    <col min="5" max="5" width="11.6640625" style="50" customWidth="1"/>
    <col min="6" max="6" width="10.83203125" style="50" customWidth="1"/>
    <col min="7" max="16384" width="10.83203125" style="50"/>
  </cols>
  <sheetData>
    <row r="1" spans="1:10" ht="19" x14ac:dyDescent="0.25">
      <c r="A1" s="1" t="s">
        <v>115</v>
      </c>
      <c r="B1" s="48"/>
      <c r="C1" s="48"/>
      <c r="D1" s="48"/>
      <c r="E1" s="48"/>
      <c r="F1" s="48"/>
      <c r="G1" s="48"/>
      <c r="H1" s="48"/>
      <c r="I1" s="48"/>
      <c r="J1" s="49"/>
    </row>
    <row r="2" spans="1:10" x14ac:dyDescent="0.2">
      <c r="A2" s="51"/>
      <c r="B2" s="48"/>
      <c r="C2" s="48"/>
      <c r="D2" s="48"/>
      <c r="E2" s="48"/>
      <c r="F2" s="48"/>
      <c r="G2" s="48"/>
      <c r="H2" s="48"/>
      <c r="I2" s="48"/>
      <c r="J2" s="49"/>
    </row>
    <row r="3" spans="1:10" x14ac:dyDescent="0.2">
      <c r="A3" s="51"/>
      <c r="B3" s="48" t="s">
        <v>31</v>
      </c>
      <c r="C3" s="48"/>
      <c r="D3" s="48"/>
      <c r="E3" s="48"/>
      <c r="F3" s="48"/>
      <c r="G3" s="48"/>
      <c r="H3" s="48"/>
      <c r="I3" s="48"/>
      <c r="J3" s="49"/>
    </row>
    <row r="4" spans="1:10" x14ac:dyDescent="0.2">
      <c r="A4" s="51"/>
      <c r="B4" s="48"/>
      <c r="C4" s="48"/>
      <c r="D4" s="48"/>
      <c r="E4" s="48"/>
      <c r="F4" s="48"/>
      <c r="G4" s="48"/>
      <c r="H4" s="48"/>
      <c r="I4" s="48"/>
      <c r="J4" s="49"/>
    </row>
    <row r="5" spans="1:10" x14ac:dyDescent="0.2">
      <c r="A5" s="51"/>
      <c r="B5" s="48"/>
      <c r="C5" s="145" t="s">
        <v>5</v>
      </c>
      <c r="D5" s="146"/>
      <c r="E5" s="147"/>
      <c r="F5" s="48"/>
      <c r="G5" s="48"/>
      <c r="H5" s="48"/>
      <c r="I5" s="48"/>
      <c r="J5" s="49"/>
    </row>
    <row r="6" spans="1:10" x14ac:dyDescent="0.2">
      <c r="A6" s="51"/>
      <c r="B6" s="48"/>
      <c r="C6" s="153" t="s">
        <v>1</v>
      </c>
      <c r="D6" s="151" t="s">
        <v>2</v>
      </c>
      <c r="E6" s="149" t="s">
        <v>38</v>
      </c>
      <c r="F6" s="48"/>
      <c r="G6" s="48"/>
      <c r="H6" s="48"/>
      <c r="I6" s="48"/>
      <c r="J6" s="49"/>
    </row>
    <row r="7" spans="1:10" x14ac:dyDescent="0.2">
      <c r="A7" s="51"/>
      <c r="B7" s="48"/>
      <c r="C7" s="154"/>
      <c r="D7" s="152"/>
      <c r="E7" s="150"/>
      <c r="F7" s="48"/>
      <c r="G7" s="48"/>
      <c r="H7" s="48"/>
      <c r="I7" s="48"/>
      <c r="J7" s="49"/>
    </row>
    <row r="8" spans="1:10" ht="17" x14ac:dyDescent="0.2">
      <c r="A8" s="51"/>
      <c r="B8" s="48"/>
      <c r="C8" s="38" t="s">
        <v>3</v>
      </c>
      <c r="D8" s="25">
        <v>150000</v>
      </c>
      <c r="E8" s="26">
        <v>450000</v>
      </c>
      <c r="F8" s="48"/>
      <c r="G8" s="48"/>
      <c r="H8" s="48"/>
      <c r="I8" s="48"/>
      <c r="J8" s="49"/>
    </row>
    <row r="9" spans="1:10" ht="17" x14ac:dyDescent="0.2">
      <c r="A9" s="51"/>
      <c r="B9" s="48"/>
      <c r="C9" s="39" t="s">
        <v>4</v>
      </c>
      <c r="D9" s="27">
        <v>150000</v>
      </c>
      <c r="E9" s="28">
        <v>750000</v>
      </c>
      <c r="F9" s="48"/>
      <c r="G9" s="48"/>
      <c r="H9" s="48"/>
      <c r="I9" s="48"/>
      <c r="J9" s="49"/>
    </row>
    <row r="10" spans="1:10" x14ac:dyDescent="0.2">
      <c r="A10" s="51"/>
      <c r="B10" s="48"/>
      <c r="C10" s="48"/>
      <c r="D10" s="48"/>
      <c r="E10" s="48"/>
      <c r="F10" s="48"/>
      <c r="G10" s="48"/>
      <c r="H10" s="48"/>
      <c r="I10" s="48"/>
      <c r="J10" s="49"/>
    </row>
    <row r="11" spans="1:10" x14ac:dyDescent="0.2">
      <c r="A11" s="51"/>
      <c r="B11" s="48"/>
      <c r="C11" s="145" t="s">
        <v>39</v>
      </c>
      <c r="D11" s="146"/>
      <c r="E11" s="147"/>
      <c r="F11" s="48"/>
      <c r="G11" s="48"/>
      <c r="H11" s="48"/>
      <c r="I11" s="48"/>
      <c r="J11" s="49"/>
    </row>
    <row r="12" spans="1:10" ht="17" x14ac:dyDescent="0.2">
      <c r="A12" s="51"/>
      <c r="B12" s="48"/>
      <c r="C12" s="37"/>
      <c r="D12" s="23" t="s">
        <v>40</v>
      </c>
      <c r="E12" s="24" t="s">
        <v>41</v>
      </c>
      <c r="F12" s="48"/>
      <c r="G12" s="48"/>
      <c r="H12" s="48"/>
      <c r="I12" s="48"/>
      <c r="J12" s="49"/>
    </row>
    <row r="13" spans="1:10" ht="17" x14ac:dyDescent="0.2">
      <c r="A13" s="51"/>
      <c r="B13" s="48"/>
      <c r="C13" s="38" t="s">
        <v>3</v>
      </c>
      <c r="D13" s="19">
        <v>7.0000000000000007E-2</v>
      </c>
      <c r="E13" s="16">
        <v>0.05</v>
      </c>
      <c r="F13" s="48"/>
      <c r="G13" s="48"/>
      <c r="H13" s="48"/>
      <c r="I13" s="48"/>
      <c r="J13" s="49"/>
    </row>
    <row r="14" spans="1:10" ht="17" x14ac:dyDescent="0.2">
      <c r="A14" s="51"/>
      <c r="B14" s="48"/>
      <c r="C14" s="39" t="s">
        <v>4</v>
      </c>
      <c r="D14" s="21">
        <v>0.06</v>
      </c>
      <c r="E14" s="18">
        <v>0.05</v>
      </c>
      <c r="F14" s="48"/>
      <c r="G14" s="48"/>
      <c r="H14" s="48"/>
      <c r="I14" s="48"/>
      <c r="J14" s="49"/>
    </row>
    <row r="15" spans="1:10" x14ac:dyDescent="0.2">
      <c r="A15" s="51"/>
      <c r="B15" s="48"/>
      <c r="C15" s="48"/>
      <c r="D15" s="48"/>
      <c r="E15" s="48"/>
      <c r="F15" s="48"/>
      <c r="G15" s="48"/>
      <c r="H15" s="48"/>
      <c r="I15" s="48"/>
      <c r="J15" s="49"/>
    </row>
    <row r="16" spans="1:10" x14ac:dyDescent="0.2">
      <c r="A16" s="51"/>
      <c r="B16" s="52" t="s">
        <v>48</v>
      </c>
      <c r="C16" s="53"/>
      <c r="D16" s="48"/>
      <c r="E16" s="148" t="s">
        <v>94</v>
      </c>
      <c r="F16" s="146"/>
      <c r="G16" s="146"/>
      <c r="H16" s="146"/>
      <c r="I16" s="147"/>
      <c r="J16" s="49"/>
    </row>
    <row r="17" spans="1:10" ht="17" x14ac:dyDescent="0.2">
      <c r="A17" s="51"/>
      <c r="B17" s="29"/>
      <c r="C17" s="33" t="s">
        <v>23</v>
      </c>
      <c r="D17" s="48"/>
      <c r="E17" s="33"/>
      <c r="F17" s="22" t="s">
        <v>6</v>
      </c>
      <c r="G17" s="22" t="s">
        <v>42</v>
      </c>
      <c r="H17" s="22" t="s">
        <v>7</v>
      </c>
      <c r="I17" s="15" t="s">
        <v>43</v>
      </c>
      <c r="J17" s="49"/>
    </row>
    <row r="18" spans="1:10" ht="17" x14ac:dyDescent="0.2">
      <c r="A18" s="51"/>
      <c r="B18" s="30" t="s">
        <v>6</v>
      </c>
      <c r="C18" s="34">
        <v>0.06</v>
      </c>
      <c r="D18" s="48"/>
      <c r="E18" s="40" t="s">
        <v>6</v>
      </c>
      <c r="F18" s="19">
        <v>1</v>
      </c>
      <c r="G18" s="19">
        <v>0.75</v>
      </c>
      <c r="H18" s="19">
        <v>0.5</v>
      </c>
      <c r="I18" s="16">
        <v>0.25</v>
      </c>
      <c r="J18" s="49"/>
    </row>
    <row r="19" spans="1:10" ht="17" x14ac:dyDescent="0.2">
      <c r="A19" s="51"/>
      <c r="B19" s="31" t="s">
        <v>42</v>
      </c>
      <c r="C19" s="35">
        <v>0.04</v>
      </c>
      <c r="D19" s="48"/>
      <c r="E19" s="41" t="s">
        <v>42</v>
      </c>
      <c r="F19" s="20">
        <v>0.75</v>
      </c>
      <c r="G19" s="20">
        <v>1</v>
      </c>
      <c r="H19" s="20">
        <v>0.25</v>
      </c>
      <c r="I19" s="17">
        <v>0.5</v>
      </c>
      <c r="J19" s="49"/>
    </row>
    <row r="20" spans="1:10" ht="17" x14ac:dyDescent="0.2">
      <c r="A20" s="51"/>
      <c r="B20" s="31" t="s">
        <v>7</v>
      </c>
      <c r="C20" s="35">
        <v>0.06</v>
      </c>
      <c r="D20" s="48"/>
      <c r="E20" s="41" t="s">
        <v>7</v>
      </c>
      <c r="F20" s="20">
        <v>0.5</v>
      </c>
      <c r="G20" s="20">
        <v>0.25</v>
      </c>
      <c r="H20" s="20">
        <v>1</v>
      </c>
      <c r="I20" s="17">
        <v>0.75</v>
      </c>
      <c r="J20" s="49"/>
    </row>
    <row r="21" spans="1:10" ht="17" x14ac:dyDescent="0.2">
      <c r="A21" s="51"/>
      <c r="B21" s="32" t="s">
        <v>43</v>
      </c>
      <c r="C21" s="36">
        <v>0.04</v>
      </c>
      <c r="D21" s="48"/>
      <c r="E21" s="42" t="s">
        <v>43</v>
      </c>
      <c r="F21" s="21">
        <v>0.25</v>
      </c>
      <c r="G21" s="21">
        <v>0.5</v>
      </c>
      <c r="H21" s="21">
        <v>0.75</v>
      </c>
      <c r="I21" s="18">
        <v>1</v>
      </c>
      <c r="J21" s="49"/>
    </row>
    <row r="22" spans="1:10" x14ac:dyDescent="0.2">
      <c r="A22" s="51"/>
      <c r="B22" s="48"/>
      <c r="C22" s="48"/>
      <c r="D22" s="48"/>
      <c r="E22" s="48"/>
      <c r="F22" s="48"/>
      <c r="G22" s="48"/>
      <c r="H22" s="48"/>
      <c r="I22" s="48"/>
      <c r="J22" s="49"/>
    </row>
    <row r="23" spans="1:10" x14ac:dyDescent="0.2">
      <c r="A23" s="51"/>
      <c r="B23" s="48"/>
      <c r="C23" s="48"/>
      <c r="D23" s="48"/>
      <c r="E23" s="48"/>
      <c r="F23" s="48"/>
      <c r="G23" s="48"/>
      <c r="H23" s="48"/>
      <c r="I23" s="48"/>
      <c r="J23" s="49"/>
    </row>
    <row r="24" spans="1:10" x14ac:dyDescent="0.2">
      <c r="A24" s="51"/>
      <c r="B24" s="86" t="s">
        <v>12</v>
      </c>
      <c r="C24" s="48"/>
      <c r="D24" s="48"/>
      <c r="E24" s="48"/>
      <c r="F24" s="48"/>
      <c r="G24" s="48"/>
      <c r="H24" s="48"/>
      <c r="I24" s="48"/>
      <c r="J24" s="49"/>
    </row>
    <row r="25" spans="1:10" x14ac:dyDescent="0.2">
      <c r="A25" s="51"/>
      <c r="B25" s="87" t="s">
        <v>92</v>
      </c>
      <c r="C25" s="48"/>
      <c r="D25" s="54">
        <v>7.7299999999999994E-2</v>
      </c>
      <c r="E25" s="48"/>
      <c r="F25" s="48"/>
      <c r="G25" s="48"/>
      <c r="H25" s="48"/>
      <c r="I25" s="48"/>
      <c r="J25" s="49"/>
    </row>
    <row r="26" spans="1:10" x14ac:dyDescent="0.2">
      <c r="A26" s="51"/>
      <c r="B26" s="87" t="s">
        <v>93</v>
      </c>
      <c r="C26" s="48"/>
      <c r="D26" s="54">
        <v>1.3939999999999999E-2</v>
      </c>
      <c r="E26" s="48"/>
      <c r="F26" s="48"/>
      <c r="G26" s="48"/>
      <c r="H26" s="48"/>
      <c r="I26" s="48"/>
      <c r="J26" s="49"/>
    </row>
    <row r="27" spans="1:10" x14ac:dyDescent="0.2">
      <c r="A27" s="51"/>
      <c r="B27" s="48"/>
      <c r="C27" s="48"/>
      <c r="D27" s="48"/>
      <c r="E27" s="48"/>
      <c r="F27" s="48"/>
      <c r="G27" s="48"/>
      <c r="H27" s="48"/>
      <c r="I27" s="48"/>
      <c r="J27" s="49"/>
    </row>
    <row r="28" spans="1:10" x14ac:dyDescent="0.2">
      <c r="A28" s="51"/>
      <c r="B28" s="48" t="s">
        <v>53</v>
      </c>
      <c r="C28" s="48"/>
      <c r="D28" s="48"/>
      <c r="E28" s="48"/>
      <c r="F28" s="48"/>
      <c r="G28" s="48">
        <v>0.67400000000000004</v>
      </c>
      <c r="H28" s="48"/>
      <c r="I28" s="48"/>
      <c r="J28" s="49"/>
    </row>
    <row r="29" spans="1:10" x14ac:dyDescent="0.2">
      <c r="A29" s="51"/>
      <c r="B29" s="48"/>
      <c r="C29" s="48"/>
      <c r="D29" s="48"/>
      <c r="E29" s="48"/>
      <c r="F29" s="48"/>
      <c r="G29" s="48"/>
      <c r="H29" s="48"/>
      <c r="I29" s="48"/>
      <c r="J29" s="49"/>
    </row>
    <row r="30" spans="1:10" x14ac:dyDescent="0.2">
      <c r="A30" s="51"/>
      <c r="B30" s="48" t="s">
        <v>49</v>
      </c>
      <c r="C30" s="48"/>
      <c r="D30" s="48"/>
      <c r="E30" s="48"/>
      <c r="F30" s="48"/>
      <c r="G30" s="48"/>
      <c r="H30" s="48"/>
      <c r="I30" s="48"/>
      <c r="J30" s="49"/>
    </row>
    <row r="31" spans="1:10" x14ac:dyDescent="0.2">
      <c r="A31" s="51"/>
      <c r="B31" s="48" t="s">
        <v>50</v>
      </c>
      <c r="C31" s="48"/>
      <c r="D31" s="48"/>
      <c r="E31" s="48"/>
      <c r="F31" s="48"/>
      <c r="G31" s="48"/>
      <c r="H31" s="48"/>
      <c r="I31" s="48"/>
      <c r="J31" s="49"/>
    </row>
    <row r="32" spans="1:10" ht="17" thickBot="1" x14ac:dyDescent="0.25">
      <c r="A32" s="55"/>
      <c r="B32" s="56"/>
      <c r="C32" s="57"/>
      <c r="D32" s="57"/>
      <c r="E32" s="57"/>
      <c r="F32" s="56"/>
      <c r="G32" s="56"/>
      <c r="H32" s="56"/>
      <c r="I32" s="56"/>
      <c r="J32" s="58"/>
    </row>
    <row r="34" spans="1:10" ht="19" x14ac:dyDescent="0.25">
      <c r="A34" s="2" t="s">
        <v>0</v>
      </c>
    </row>
    <row r="35" spans="1:10" x14ac:dyDescent="0.2">
      <c r="A35" s="14" t="s">
        <v>85</v>
      </c>
      <c r="B35" s="11" t="s">
        <v>95</v>
      </c>
      <c r="C35" s="88"/>
      <c r="D35" s="89"/>
      <c r="E35" s="89"/>
      <c r="F35" s="89"/>
      <c r="G35" s="89"/>
      <c r="H35" s="89"/>
      <c r="I35" s="89"/>
      <c r="J35" s="89"/>
    </row>
    <row r="36" spans="1:10" x14ac:dyDescent="0.2">
      <c r="A36" s="14"/>
      <c r="B36" s="89"/>
      <c r="C36" s="89"/>
      <c r="D36" s="89"/>
      <c r="E36" s="89"/>
      <c r="F36" s="89"/>
      <c r="G36" s="89"/>
      <c r="H36" s="89"/>
      <c r="I36" s="89"/>
      <c r="J36" s="89"/>
    </row>
    <row r="37" spans="1:10" x14ac:dyDescent="0.2">
      <c r="A37" s="14"/>
      <c r="B37" s="89"/>
      <c r="C37" s="89"/>
      <c r="D37" s="89"/>
      <c r="E37" s="89"/>
      <c r="F37" s="5" t="s">
        <v>32</v>
      </c>
      <c r="G37" s="6" t="s">
        <v>40</v>
      </c>
      <c r="H37" s="6" t="s">
        <v>41</v>
      </c>
      <c r="I37" s="89"/>
      <c r="J37" s="89"/>
    </row>
    <row r="38" spans="1:10" x14ac:dyDescent="0.2">
      <c r="A38" s="14"/>
      <c r="B38" s="89"/>
      <c r="C38" s="89"/>
      <c r="D38" s="89"/>
      <c r="E38" s="89"/>
      <c r="F38" s="7" t="s">
        <v>3</v>
      </c>
      <c r="G38" s="10">
        <f>D8/SUM($D$8:$E$9)</f>
        <v>0.1</v>
      </c>
      <c r="H38" s="10">
        <f>E8/SUM($D$8:$E$9)</f>
        <v>0.3</v>
      </c>
      <c r="I38" s="89"/>
      <c r="J38" s="89"/>
    </row>
    <row r="39" spans="1:10" x14ac:dyDescent="0.2">
      <c r="A39" s="14"/>
      <c r="B39" s="89"/>
      <c r="C39" s="89"/>
      <c r="D39" s="89"/>
      <c r="E39" s="89"/>
      <c r="F39" s="7" t="s">
        <v>4</v>
      </c>
      <c r="G39" s="10">
        <f>D9/SUM($D$8:$E$9)</f>
        <v>0.1</v>
      </c>
      <c r="H39" s="10">
        <f>E9/SUM($D$8:$E$9)</f>
        <v>0.5</v>
      </c>
      <c r="I39" s="89"/>
      <c r="J39" s="89"/>
    </row>
    <row r="40" spans="1:10" x14ac:dyDescent="0.2">
      <c r="A40" s="14"/>
      <c r="B40" s="89"/>
      <c r="F40" s="89"/>
      <c r="G40" s="89"/>
      <c r="H40" s="89"/>
      <c r="I40" s="89"/>
      <c r="J40" s="89"/>
    </row>
    <row r="41" spans="1:10" ht="16" customHeight="1" x14ac:dyDescent="0.2">
      <c r="A41" s="14" t="s">
        <v>86</v>
      </c>
      <c r="B41" s="90" t="s">
        <v>96</v>
      </c>
      <c r="C41" s="90"/>
      <c r="D41" s="90"/>
      <c r="E41" s="90"/>
      <c r="F41" s="90"/>
      <c r="G41" s="90"/>
      <c r="H41" s="90"/>
      <c r="I41" s="90"/>
      <c r="J41" s="89"/>
    </row>
    <row r="42" spans="1:10" x14ac:dyDescent="0.2">
      <c r="A42" s="14"/>
      <c r="B42" s="89"/>
      <c r="C42" s="89"/>
      <c r="D42" s="89"/>
      <c r="E42" s="89"/>
      <c r="F42" s="89"/>
      <c r="G42" s="89"/>
      <c r="H42" s="89"/>
      <c r="I42" s="89"/>
      <c r="J42" s="89"/>
    </row>
    <row r="43" spans="1:10" ht="19" x14ac:dyDescent="0.2">
      <c r="A43" s="14"/>
      <c r="B43" s="89"/>
      <c r="C43" s="89"/>
      <c r="D43" s="89"/>
      <c r="F43" s="143" t="s">
        <v>107</v>
      </c>
      <c r="G43" s="143"/>
      <c r="H43" s="143"/>
      <c r="I43" s="89"/>
      <c r="J43" s="89"/>
    </row>
    <row r="44" spans="1:10" x14ac:dyDescent="0.2">
      <c r="A44" s="14"/>
      <c r="B44" s="89"/>
      <c r="C44" s="89"/>
      <c r="D44" s="89"/>
      <c r="F44" s="5" t="s">
        <v>32</v>
      </c>
      <c r="G44" s="6" t="s">
        <v>52</v>
      </c>
      <c r="H44" s="6" t="s">
        <v>51</v>
      </c>
      <c r="I44" s="89"/>
      <c r="J44" s="89"/>
    </row>
    <row r="45" spans="1:10" x14ac:dyDescent="0.2">
      <c r="A45" s="14"/>
      <c r="B45" s="89"/>
      <c r="C45" s="89"/>
      <c r="D45" s="89"/>
      <c r="F45" s="7" t="s">
        <v>3</v>
      </c>
      <c r="G45" s="50">
        <f>(D13*G38)^2</f>
        <v>4.9000000000000012E-5</v>
      </c>
      <c r="H45" s="50">
        <f>(E13*H38)^2</f>
        <v>2.2499999999999999E-4</v>
      </c>
      <c r="I45" s="89"/>
      <c r="J45" s="89"/>
    </row>
    <row r="46" spans="1:10" x14ac:dyDescent="0.2">
      <c r="A46" s="14"/>
      <c r="B46" s="89"/>
      <c r="F46" s="7" t="s">
        <v>4</v>
      </c>
      <c r="G46" s="50">
        <f>(D14*G39)^2</f>
        <v>3.6000000000000001E-5</v>
      </c>
      <c r="H46" s="50">
        <f>(E14*H39)^2</f>
        <v>6.2500000000000012E-4</v>
      </c>
      <c r="I46" s="89"/>
      <c r="J46" s="89"/>
    </row>
    <row r="47" spans="1:10" ht="17" thickBot="1" x14ac:dyDescent="0.25">
      <c r="A47" s="14"/>
      <c r="B47" s="89"/>
      <c r="H47" s="89"/>
      <c r="I47" s="89"/>
      <c r="J47" s="89"/>
    </row>
    <row r="48" spans="1:10" ht="19" thickBot="1" x14ac:dyDescent="0.3">
      <c r="A48" s="14"/>
      <c r="B48" s="89"/>
      <c r="F48" s="93" t="s">
        <v>108</v>
      </c>
      <c r="G48" s="92">
        <f>SQRT(SUM(G45:H46))</f>
        <v>3.0577769702841311E-2</v>
      </c>
      <c r="H48" s="89"/>
      <c r="I48" s="89"/>
    </row>
    <row r="49" spans="1:10" x14ac:dyDescent="0.2">
      <c r="A49" s="14"/>
      <c r="B49" s="89"/>
      <c r="F49" s="91"/>
      <c r="G49" s="89"/>
      <c r="H49" s="89"/>
      <c r="I49" s="89"/>
    </row>
    <row r="50" spans="1:10" x14ac:dyDescent="0.2">
      <c r="A50" s="14" t="s">
        <v>87</v>
      </c>
      <c r="B50" s="144" t="s">
        <v>97</v>
      </c>
      <c r="C50" s="144"/>
      <c r="D50" s="144"/>
      <c r="E50" s="144"/>
      <c r="F50" s="144"/>
      <c r="G50" s="144"/>
      <c r="H50" s="144"/>
      <c r="I50" s="144"/>
    </row>
    <row r="51" spans="1:10" x14ac:dyDescent="0.2">
      <c r="A51" s="14"/>
      <c r="B51" s="144"/>
      <c r="C51" s="144"/>
      <c r="D51" s="144"/>
      <c r="E51" s="144"/>
      <c r="F51" s="144"/>
      <c r="G51" s="144"/>
      <c r="H51" s="144"/>
      <c r="I51" s="144"/>
    </row>
    <row r="52" spans="1:10" x14ac:dyDescent="0.2">
      <c r="A52" s="14"/>
      <c r="B52" s="144"/>
      <c r="C52" s="144"/>
      <c r="D52" s="144"/>
      <c r="E52" s="144"/>
      <c r="F52" s="144"/>
      <c r="G52" s="144"/>
      <c r="H52" s="144"/>
      <c r="I52" s="144"/>
    </row>
    <row r="53" spans="1:10" x14ac:dyDescent="0.2">
      <c r="A53" s="14"/>
      <c r="B53" s="89"/>
      <c r="C53" s="89"/>
      <c r="D53" s="89"/>
      <c r="E53" s="89"/>
      <c r="F53" s="89"/>
      <c r="G53" s="89"/>
      <c r="H53" s="89"/>
      <c r="I53" s="89"/>
    </row>
    <row r="54" spans="1:10" x14ac:dyDescent="0.2">
      <c r="A54" s="14"/>
      <c r="B54" s="89"/>
      <c r="C54" s="89"/>
      <c r="D54" s="89"/>
      <c r="E54" s="89"/>
      <c r="F54" s="89"/>
      <c r="G54" s="89"/>
      <c r="H54" s="89"/>
      <c r="I54" s="89"/>
      <c r="J54" s="89"/>
    </row>
    <row r="55" spans="1:10" x14ac:dyDescent="0.2">
      <c r="A55" s="14"/>
      <c r="B55" s="89"/>
      <c r="C55" s="89"/>
      <c r="D55" s="89"/>
      <c r="E55" s="89"/>
      <c r="F55" s="89"/>
      <c r="G55" s="89"/>
      <c r="H55" s="89"/>
      <c r="I55" s="89"/>
      <c r="J55" s="89"/>
    </row>
    <row r="56" spans="1:10" x14ac:dyDescent="0.2">
      <c r="A56" s="14"/>
      <c r="B56" s="89"/>
      <c r="C56" s="89"/>
      <c r="D56" s="89"/>
      <c r="E56" s="89"/>
      <c r="F56" s="89"/>
      <c r="G56" s="89"/>
      <c r="H56" s="89"/>
      <c r="I56" s="89"/>
      <c r="J56" s="89"/>
    </row>
    <row r="57" spans="1:10" x14ac:dyDescent="0.2">
      <c r="A57" s="14"/>
      <c r="B57" s="89"/>
      <c r="C57" s="5"/>
      <c r="D57" s="6" t="s">
        <v>6</v>
      </c>
      <c r="E57" s="6" t="s">
        <v>42</v>
      </c>
      <c r="F57" s="6" t="s">
        <v>7</v>
      </c>
      <c r="G57" s="5" t="s">
        <v>43</v>
      </c>
      <c r="H57" s="98" t="s">
        <v>23</v>
      </c>
      <c r="I57" s="99" t="s">
        <v>37</v>
      </c>
      <c r="J57" s="89"/>
    </row>
    <row r="58" spans="1:10" x14ac:dyDescent="0.2">
      <c r="A58" s="14"/>
      <c r="B58" s="89"/>
      <c r="C58" s="7" t="s">
        <v>6</v>
      </c>
      <c r="D58" s="100">
        <f t="shared" ref="D58:G61" si="0">F18*D$62*D$63*$H58*$I58</f>
        <v>3.6000000000000001E-5</v>
      </c>
      <c r="E58" s="100">
        <f t="shared" si="0"/>
        <v>5.3999999999999991E-5</v>
      </c>
      <c r="F58" s="100">
        <f t="shared" si="0"/>
        <v>1.8E-5</v>
      </c>
      <c r="G58" s="101">
        <f t="shared" si="0"/>
        <v>2.9999999999999997E-5</v>
      </c>
      <c r="H58" s="10">
        <f>C18</f>
        <v>0.06</v>
      </c>
      <c r="I58" s="10">
        <f>G38</f>
        <v>0.1</v>
      </c>
      <c r="J58" s="89"/>
    </row>
    <row r="59" spans="1:10" x14ac:dyDescent="0.2">
      <c r="A59" s="14"/>
      <c r="B59" s="89"/>
      <c r="C59" s="7" t="s">
        <v>42</v>
      </c>
      <c r="D59" s="100">
        <f t="shared" si="0"/>
        <v>5.3999999999999991E-5</v>
      </c>
      <c r="E59" s="100">
        <f t="shared" si="0"/>
        <v>1.44E-4</v>
      </c>
      <c r="F59" s="100">
        <f t="shared" si="0"/>
        <v>1.8E-5</v>
      </c>
      <c r="G59" s="101">
        <f t="shared" si="0"/>
        <v>1.2E-4</v>
      </c>
      <c r="H59" s="10">
        <f>C19</f>
        <v>0.04</v>
      </c>
      <c r="I59" s="10">
        <f>H38</f>
        <v>0.3</v>
      </c>
      <c r="J59" s="89"/>
    </row>
    <row r="60" spans="1:10" x14ac:dyDescent="0.2">
      <c r="A60" s="14"/>
      <c r="B60" s="89"/>
      <c r="C60" s="7" t="s">
        <v>7</v>
      </c>
      <c r="D60" s="100">
        <f t="shared" si="0"/>
        <v>1.8E-5</v>
      </c>
      <c r="E60" s="100">
        <f t="shared" si="0"/>
        <v>1.8E-5</v>
      </c>
      <c r="F60" s="100">
        <f t="shared" si="0"/>
        <v>3.6000000000000001E-5</v>
      </c>
      <c r="G60" s="101">
        <f t="shared" si="0"/>
        <v>9.0000000000000006E-5</v>
      </c>
      <c r="H60" s="10">
        <f>C20</f>
        <v>0.06</v>
      </c>
      <c r="I60" s="10">
        <f>G39</f>
        <v>0.1</v>
      </c>
      <c r="J60" s="89"/>
    </row>
    <row r="61" spans="1:10" x14ac:dyDescent="0.2">
      <c r="A61" s="14"/>
      <c r="B61" s="89"/>
      <c r="C61" s="5" t="s">
        <v>43</v>
      </c>
      <c r="D61" s="102">
        <f t="shared" si="0"/>
        <v>3.0000000000000001E-5</v>
      </c>
      <c r="E61" s="102">
        <f t="shared" si="0"/>
        <v>1.2E-4</v>
      </c>
      <c r="F61" s="102">
        <f t="shared" si="0"/>
        <v>8.9999999999999992E-5</v>
      </c>
      <c r="G61" s="103">
        <f t="shared" si="0"/>
        <v>4.0000000000000002E-4</v>
      </c>
      <c r="H61" s="104">
        <f>C21</f>
        <v>0.04</v>
      </c>
      <c r="I61" s="105">
        <f>H39</f>
        <v>0.5</v>
      </c>
      <c r="J61" s="89"/>
    </row>
    <row r="62" spans="1:10" x14ac:dyDescent="0.2">
      <c r="A62" s="14"/>
      <c r="B62" s="89"/>
      <c r="C62" s="106" t="s">
        <v>23</v>
      </c>
      <c r="D62" s="10">
        <f>C18</f>
        <v>0.06</v>
      </c>
      <c r="E62" s="10">
        <f>C19</f>
        <v>0.04</v>
      </c>
      <c r="F62" s="10">
        <f>C20</f>
        <v>0.06</v>
      </c>
      <c r="G62" s="107">
        <f>C21</f>
        <v>0.04</v>
      </c>
      <c r="H62" s="83"/>
      <c r="I62" s="83"/>
      <c r="J62" s="89"/>
    </row>
    <row r="63" spans="1:10" x14ac:dyDescent="0.2">
      <c r="A63" s="14"/>
      <c r="B63" s="89"/>
      <c r="C63" s="108" t="s">
        <v>37</v>
      </c>
      <c r="D63" s="10">
        <f>G38</f>
        <v>0.1</v>
      </c>
      <c r="E63" s="10">
        <f>H38</f>
        <v>0.3</v>
      </c>
      <c r="F63" s="10">
        <f>G39</f>
        <v>0.1</v>
      </c>
      <c r="G63" s="10">
        <f>H39</f>
        <v>0.5</v>
      </c>
      <c r="H63" s="83"/>
      <c r="I63" s="83"/>
      <c r="J63" s="89"/>
    </row>
    <row r="64" spans="1:10" ht="17" thickBot="1" x14ac:dyDescent="0.25">
      <c r="A64" s="14"/>
      <c r="B64" s="89"/>
      <c r="C64" s="89"/>
      <c r="D64" s="89"/>
      <c r="E64" s="89"/>
      <c r="F64" s="89"/>
      <c r="G64" s="89"/>
      <c r="H64" s="89"/>
      <c r="I64" s="89"/>
      <c r="J64" s="89"/>
    </row>
    <row r="65" spans="1:10" ht="19" thickBot="1" x14ac:dyDescent="0.3">
      <c r="A65" s="14"/>
      <c r="B65" s="89"/>
      <c r="E65" s="89"/>
      <c r="F65" s="95" t="s">
        <v>103</v>
      </c>
      <c r="G65" s="92">
        <f>SQRT(SUM(D58:G61))</f>
        <v>3.5721142198983501E-2</v>
      </c>
      <c r="H65" s="89"/>
      <c r="I65" s="89"/>
      <c r="J65" s="89"/>
    </row>
    <row r="66" spans="1:10" x14ac:dyDescent="0.2">
      <c r="A66" s="14"/>
      <c r="B66" s="89"/>
      <c r="C66" s="89"/>
      <c r="D66" s="91"/>
      <c r="E66" s="89"/>
      <c r="F66" s="89"/>
      <c r="G66" s="89"/>
      <c r="H66" s="89"/>
      <c r="I66" s="89"/>
      <c r="J66" s="89"/>
    </row>
    <row r="67" spans="1:10" ht="16" customHeight="1" x14ac:dyDescent="0.2">
      <c r="A67" s="14" t="s">
        <v>88</v>
      </c>
      <c r="B67" s="90" t="s">
        <v>98</v>
      </c>
      <c r="C67" s="90"/>
      <c r="D67" s="90"/>
      <c r="E67" s="90"/>
      <c r="F67" s="90"/>
      <c r="G67" s="90"/>
      <c r="H67" s="90"/>
      <c r="I67" s="90"/>
      <c r="J67" s="89"/>
    </row>
    <row r="68" spans="1:10" ht="17" thickBot="1" x14ac:dyDescent="0.25">
      <c r="A68" s="14"/>
      <c r="B68" s="89"/>
      <c r="C68" s="89"/>
      <c r="D68" s="89"/>
      <c r="E68" s="89"/>
      <c r="F68" s="89"/>
      <c r="G68" s="89"/>
      <c r="H68" s="89"/>
      <c r="I68" s="89"/>
      <c r="J68" s="89"/>
    </row>
    <row r="69" spans="1:10" ht="19" thickBot="1" x14ac:dyDescent="0.3">
      <c r="A69" s="14"/>
      <c r="B69" s="89"/>
      <c r="C69" s="89"/>
      <c r="D69" s="89"/>
      <c r="E69" s="89"/>
      <c r="F69" s="95" t="s">
        <v>102</v>
      </c>
      <c r="G69" s="92">
        <f>SQRT(SUMSQ(D25:D26))</f>
        <v>7.8546887907796833E-2</v>
      </c>
      <c r="H69" s="89"/>
      <c r="I69" s="89"/>
      <c r="J69" s="89"/>
    </row>
    <row r="70" spans="1:10" x14ac:dyDescent="0.2">
      <c r="A70" s="14"/>
      <c r="B70" s="89"/>
      <c r="C70" s="89"/>
      <c r="D70" s="89"/>
      <c r="E70" s="89"/>
      <c r="F70" s="89"/>
      <c r="G70" s="89"/>
      <c r="H70" s="89"/>
      <c r="I70" s="89"/>
      <c r="J70" s="89"/>
    </row>
    <row r="71" spans="1:10" x14ac:dyDescent="0.2">
      <c r="A71" s="14"/>
      <c r="B71" s="89"/>
      <c r="C71" s="89"/>
      <c r="D71" s="89"/>
      <c r="E71" s="89"/>
      <c r="F71" s="89"/>
      <c r="G71" s="89"/>
      <c r="H71" s="89"/>
      <c r="I71" s="89"/>
      <c r="J71" s="89"/>
    </row>
    <row r="72" spans="1:10" x14ac:dyDescent="0.2">
      <c r="A72" s="14"/>
      <c r="B72" s="89"/>
      <c r="C72" s="89"/>
      <c r="D72" s="89"/>
      <c r="E72" s="89"/>
      <c r="F72" s="89"/>
      <c r="G72" s="89"/>
      <c r="H72" s="89"/>
      <c r="I72" s="89"/>
      <c r="J72" s="89"/>
    </row>
    <row r="73" spans="1:10" x14ac:dyDescent="0.2">
      <c r="A73" s="14"/>
      <c r="B73" s="89"/>
      <c r="E73" s="89"/>
      <c r="F73" s="89"/>
      <c r="G73" s="89"/>
      <c r="H73" s="89"/>
      <c r="I73" s="89"/>
      <c r="J73" s="89"/>
    </row>
    <row r="74" spans="1:10" x14ac:dyDescent="0.2">
      <c r="A74" s="14"/>
      <c r="B74" s="89"/>
      <c r="C74" s="89"/>
      <c r="D74" s="89"/>
      <c r="E74" s="89"/>
      <c r="F74" s="89"/>
      <c r="G74" s="89"/>
      <c r="H74" s="89"/>
      <c r="I74" s="89"/>
      <c r="J74" s="89"/>
    </row>
    <row r="75" spans="1:10" x14ac:dyDescent="0.2">
      <c r="A75" s="14"/>
      <c r="B75" s="89"/>
      <c r="C75" s="89"/>
      <c r="D75" s="89"/>
      <c r="E75" s="89"/>
      <c r="F75" s="89"/>
      <c r="G75" s="89"/>
      <c r="H75" s="89"/>
      <c r="I75" s="89"/>
      <c r="J75" s="89"/>
    </row>
    <row r="76" spans="1:10" x14ac:dyDescent="0.2">
      <c r="A76" s="14" t="s">
        <v>89</v>
      </c>
      <c r="B76" s="11" t="s">
        <v>100</v>
      </c>
      <c r="C76" s="88"/>
      <c r="D76" s="89"/>
      <c r="E76" s="89"/>
      <c r="F76" s="89"/>
      <c r="G76" s="89"/>
      <c r="H76" s="89"/>
      <c r="I76" s="89"/>
      <c r="J76" s="89"/>
    </row>
    <row r="77" spans="1:10" ht="17" thickBot="1" x14ac:dyDescent="0.25">
      <c r="A77" s="14"/>
      <c r="B77" s="89"/>
      <c r="C77" s="89"/>
      <c r="D77" s="89"/>
      <c r="E77" s="89"/>
      <c r="F77" s="89"/>
      <c r="G77" s="89"/>
      <c r="H77" s="89"/>
      <c r="I77" s="89"/>
      <c r="J77" s="89"/>
    </row>
    <row r="78" spans="1:10" ht="19" thickBot="1" x14ac:dyDescent="0.3">
      <c r="A78" s="14"/>
      <c r="B78" s="89"/>
      <c r="C78" s="89"/>
      <c r="D78" s="89"/>
      <c r="E78" s="89"/>
      <c r="F78" s="95" t="s">
        <v>104</v>
      </c>
      <c r="G78" s="92">
        <f>SQRT(G69^2+G48^2+G65^2)</f>
        <v>9.1545691324059597E-2</v>
      </c>
      <c r="H78" s="89"/>
      <c r="I78" s="89"/>
      <c r="J78" s="89"/>
    </row>
    <row r="79" spans="1:10" x14ac:dyDescent="0.2">
      <c r="A79" s="14"/>
      <c r="B79" s="89"/>
      <c r="C79" s="89"/>
      <c r="D79" s="89"/>
      <c r="E79" s="89"/>
      <c r="H79" s="89"/>
      <c r="I79" s="89"/>
      <c r="J79" s="89"/>
    </row>
    <row r="80" spans="1:10" x14ac:dyDescent="0.2">
      <c r="A80" s="14"/>
      <c r="B80" s="89"/>
      <c r="C80" s="89"/>
      <c r="D80" s="89"/>
      <c r="E80" s="89"/>
      <c r="F80" s="89"/>
      <c r="G80" s="89"/>
      <c r="H80" s="89"/>
      <c r="I80" s="89"/>
      <c r="J80" s="89"/>
    </row>
    <row r="81" spans="1:65" ht="16" customHeight="1" x14ac:dyDescent="0.2">
      <c r="A81" s="14" t="s">
        <v>90</v>
      </c>
      <c r="B81" s="90" t="s">
        <v>99</v>
      </c>
      <c r="C81" s="90"/>
      <c r="D81" s="90"/>
      <c r="E81" s="90"/>
      <c r="F81" s="90"/>
      <c r="G81" s="90"/>
      <c r="H81" s="90"/>
      <c r="I81" s="90"/>
      <c r="J81" s="89"/>
    </row>
    <row r="82" spans="1:65" ht="17" thickBot="1" x14ac:dyDescent="0.25">
      <c r="A82" s="14"/>
      <c r="B82" s="89"/>
      <c r="C82" s="89"/>
      <c r="D82" s="89"/>
      <c r="E82" s="89"/>
      <c r="F82" s="89"/>
      <c r="G82" s="89"/>
      <c r="H82" s="89"/>
      <c r="I82" s="89"/>
      <c r="J82" s="89"/>
    </row>
    <row r="83" spans="1:65" ht="17" thickBot="1" x14ac:dyDescent="0.25">
      <c r="A83" s="14"/>
      <c r="B83" s="89"/>
      <c r="C83" s="89"/>
      <c r="D83" s="89"/>
      <c r="F83" s="94" t="s">
        <v>105</v>
      </c>
      <c r="G83" s="92">
        <f>G28*G78</f>
        <v>6.170179595241617E-2</v>
      </c>
      <c r="H83" s="96" t="s">
        <v>106</v>
      </c>
      <c r="I83" s="89"/>
      <c r="J83" s="89"/>
    </row>
    <row r="84" spans="1:65" x14ac:dyDescent="0.2">
      <c r="A84" s="14"/>
      <c r="B84" s="89"/>
      <c r="C84" s="89"/>
      <c r="D84" s="89"/>
      <c r="E84" s="89"/>
      <c r="F84" s="89"/>
      <c r="G84" s="89"/>
      <c r="H84" s="89"/>
      <c r="I84" s="89"/>
      <c r="J84" s="89"/>
    </row>
    <row r="85" spans="1:65" ht="19" x14ac:dyDescent="0.25">
      <c r="A85" s="2" t="s">
        <v>36</v>
      </c>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row>
    <row r="86" spans="1:65" x14ac:dyDescent="0.2">
      <c r="A86" s="4"/>
      <c r="B86" s="141" t="s">
        <v>109</v>
      </c>
      <c r="C86" s="142"/>
      <c r="D86" s="142"/>
      <c r="E86" s="142"/>
      <c r="F86" s="142"/>
      <c r="G86" s="142"/>
      <c r="H86" s="142"/>
      <c r="I86" s="142"/>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row>
    <row r="87" spans="1:65" x14ac:dyDescent="0.2">
      <c r="A87" s="4"/>
      <c r="B87" s="142"/>
      <c r="C87" s="142"/>
      <c r="D87" s="142"/>
      <c r="E87" s="142"/>
      <c r="F87" s="142"/>
      <c r="G87" s="142"/>
      <c r="H87" s="142"/>
      <c r="I87" s="142"/>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row>
    <row r="88" spans="1:65" x14ac:dyDescent="0.2">
      <c r="A88" s="4"/>
      <c r="B88" s="142"/>
      <c r="C88" s="142"/>
      <c r="D88" s="142"/>
      <c r="E88" s="142"/>
      <c r="F88" s="142"/>
      <c r="G88" s="142"/>
      <c r="H88" s="142"/>
      <c r="I88" s="142"/>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row>
    <row r="89" spans="1:65" x14ac:dyDescent="0.2">
      <c r="A89" s="4"/>
      <c r="B89" s="142"/>
      <c r="C89" s="142"/>
      <c r="D89" s="142"/>
      <c r="E89" s="142"/>
      <c r="F89" s="142"/>
      <c r="G89" s="142"/>
      <c r="H89" s="142"/>
      <c r="I89" s="142"/>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row>
    <row r="90" spans="1:65" x14ac:dyDescent="0.2">
      <c r="A90" s="4"/>
      <c r="B90" s="142"/>
      <c r="C90" s="142"/>
      <c r="D90" s="142"/>
      <c r="E90" s="142"/>
      <c r="F90" s="142"/>
      <c r="G90" s="142"/>
      <c r="H90" s="142"/>
      <c r="I90" s="142"/>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row>
    <row r="91" spans="1:65" x14ac:dyDescent="0.2">
      <c r="A91" s="4"/>
      <c r="B91" s="142"/>
      <c r="C91" s="142"/>
      <c r="D91" s="142"/>
      <c r="E91" s="142"/>
      <c r="F91" s="142"/>
      <c r="G91" s="142"/>
      <c r="H91" s="142"/>
      <c r="I91" s="142"/>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row>
    <row r="92" spans="1:65" x14ac:dyDescent="0.2">
      <c r="A92" s="4"/>
      <c r="B92" s="142"/>
      <c r="C92" s="142"/>
      <c r="D92" s="142"/>
      <c r="E92" s="142"/>
      <c r="F92" s="142"/>
      <c r="G92" s="142"/>
      <c r="H92" s="142"/>
      <c r="I92" s="142"/>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row>
    <row r="93" spans="1:65" x14ac:dyDescent="0.2">
      <c r="A93" s="4"/>
      <c r="B93" s="142"/>
      <c r="C93" s="142"/>
      <c r="D93" s="142"/>
      <c r="E93" s="142"/>
      <c r="F93" s="142"/>
      <c r="G93" s="142"/>
      <c r="H93" s="142"/>
      <c r="I93" s="142"/>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row>
    <row r="94" spans="1:65" x14ac:dyDescent="0.2">
      <c r="A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row>
    <row r="95" spans="1:65" ht="19" x14ac:dyDescent="0.25">
      <c r="A95" s="4"/>
      <c r="B95" s="12" t="s">
        <v>61</v>
      </c>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row>
    <row r="96" spans="1:65" ht="19" x14ac:dyDescent="0.2">
      <c r="A96" s="4"/>
      <c r="B96" s="11" t="s">
        <v>80</v>
      </c>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row>
    <row r="97" spans="1:65" ht="17" thickBot="1" x14ac:dyDescent="0.25">
      <c r="A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row>
    <row r="98" spans="1:65" ht="20" thickBot="1" x14ac:dyDescent="0.25">
      <c r="A98" s="4"/>
      <c r="F98" s="95" t="s">
        <v>110</v>
      </c>
      <c r="G98" s="92">
        <f>LN(1+G78^2)</f>
        <v>8.3456912360770161E-3</v>
      </c>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row>
    <row r="99" spans="1:65" x14ac:dyDescent="0.2">
      <c r="A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row>
    <row r="100" spans="1:65" x14ac:dyDescent="0.2">
      <c r="A100" s="4"/>
      <c r="B100" s="11" t="s">
        <v>81</v>
      </c>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row>
    <row r="101" spans="1:65" ht="17" thickBot="1" x14ac:dyDescent="0.25">
      <c r="A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row>
    <row r="102" spans="1:65" ht="17" thickBot="1" x14ac:dyDescent="0.25">
      <c r="A102" s="4"/>
      <c r="F102" s="94" t="s">
        <v>105</v>
      </c>
      <c r="G102" s="92">
        <f>EXP(G28*SQRT(G98)-G98/2)-1</f>
        <v>5.907963189405252E-2</v>
      </c>
      <c r="H102" s="96" t="s">
        <v>106</v>
      </c>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row>
    <row r="103" spans="1:65" x14ac:dyDescent="0.2">
      <c r="A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row>
    <row r="104" spans="1:65" x14ac:dyDescent="0.2">
      <c r="A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row>
    <row r="105" spans="1:65" x14ac:dyDescent="0.2">
      <c r="A105" s="4"/>
      <c r="B105" s="141" t="s">
        <v>111</v>
      </c>
      <c r="C105" s="142"/>
      <c r="D105" s="142"/>
      <c r="E105" s="142"/>
      <c r="F105" s="142"/>
      <c r="G105" s="142"/>
      <c r="H105" s="142"/>
      <c r="I105" s="142"/>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row>
    <row r="106" spans="1:65" x14ac:dyDescent="0.2">
      <c r="A106" s="4"/>
      <c r="B106" s="142"/>
      <c r="C106" s="142"/>
      <c r="D106" s="142"/>
      <c r="E106" s="142"/>
      <c r="F106" s="142"/>
      <c r="G106" s="142"/>
      <c r="H106" s="142"/>
      <c r="I106" s="142"/>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x14ac:dyDescent="0.2">
      <c r="A107" s="4"/>
      <c r="B107" s="142"/>
      <c r="C107" s="142"/>
      <c r="D107" s="142"/>
      <c r="E107" s="142"/>
      <c r="F107" s="142"/>
      <c r="G107" s="142"/>
      <c r="H107" s="142"/>
      <c r="I107" s="142"/>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B108" s="142"/>
      <c r="C108" s="142"/>
      <c r="D108" s="142"/>
      <c r="E108" s="142"/>
      <c r="F108" s="142"/>
      <c r="G108" s="142"/>
      <c r="H108" s="142"/>
      <c r="I108" s="142"/>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142"/>
      <c r="C109" s="142"/>
      <c r="D109" s="142"/>
      <c r="E109" s="142"/>
      <c r="F109" s="142"/>
      <c r="G109" s="142"/>
      <c r="H109" s="142"/>
      <c r="I109" s="142"/>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142"/>
      <c r="C110" s="142"/>
      <c r="D110" s="142"/>
      <c r="E110" s="142"/>
      <c r="F110" s="142"/>
      <c r="G110" s="142"/>
      <c r="H110" s="142"/>
      <c r="I110" s="142"/>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142"/>
      <c r="C111" s="142"/>
      <c r="D111" s="142"/>
      <c r="E111" s="142"/>
      <c r="F111" s="142"/>
      <c r="G111" s="142"/>
      <c r="H111" s="142"/>
      <c r="I111" s="142"/>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ht="19" x14ac:dyDescent="0.25">
      <c r="A113" s="4"/>
      <c r="B113" s="12" t="s">
        <v>63</v>
      </c>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141" t="s">
        <v>112</v>
      </c>
      <c r="C114" s="142"/>
      <c r="D114" s="142"/>
      <c r="E114" s="142"/>
      <c r="F114" s="142"/>
      <c r="G114" s="142"/>
      <c r="H114" s="142"/>
      <c r="I114" s="142"/>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142"/>
      <c r="C115" s="142"/>
      <c r="D115" s="142"/>
      <c r="E115" s="142"/>
      <c r="F115" s="142"/>
      <c r="G115" s="142"/>
      <c r="H115" s="142"/>
      <c r="I115" s="142"/>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142"/>
      <c r="C116" s="142"/>
      <c r="D116" s="142"/>
      <c r="E116" s="142"/>
      <c r="F116" s="142"/>
      <c r="G116" s="142"/>
      <c r="H116" s="142"/>
      <c r="I116" s="142"/>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ht="19" x14ac:dyDescent="0.25">
      <c r="A118" s="2"/>
      <c r="B118" s="12" t="s">
        <v>84</v>
      </c>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L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s="96" customFormat="1" x14ac:dyDescent="0.2">
      <c r="B120" s="143" t="s">
        <v>44</v>
      </c>
      <c r="C120" s="143"/>
      <c r="D120" s="143"/>
      <c r="E120" s="143"/>
      <c r="G120" s="143" t="s">
        <v>45</v>
      </c>
      <c r="H120" s="143"/>
      <c r="I120" s="143"/>
      <c r="J120" s="143"/>
      <c r="K120" s="143"/>
      <c r="M120" s="143" t="s">
        <v>113</v>
      </c>
      <c r="N120" s="143"/>
      <c r="O120" s="143"/>
      <c r="P120" s="143"/>
      <c r="Q120" s="143"/>
      <c r="R120" s="4"/>
      <c r="S120" s="4"/>
    </row>
    <row r="121" spans="1:65" s="96" customFormat="1" x14ac:dyDescent="0.2">
      <c r="B121" s="8"/>
      <c r="C121" s="133" t="s">
        <v>34</v>
      </c>
      <c r="D121" s="134" t="s">
        <v>33</v>
      </c>
      <c r="E121" s="109" t="s">
        <v>35</v>
      </c>
      <c r="G121" s="5"/>
      <c r="H121" s="6" t="s">
        <v>6</v>
      </c>
      <c r="I121" s="6" t="s">
        <v>42</v>
      </c>
      <c r="J121" s="6" t="s">
        <v>7</v>
      </c>
      <c r="K121" s="6" t="s">
        <v>43</v>
      </c>
      <c r="M121" s="5"/>
      <c r="N121" s="6" t="s">
        <v>6</v>
      </c>
      <c r="O121" s="6" t="s">
        <v>42</v>
      </c>
      <c r="P121" s="6" t="s">
        <v>7</v>
      </c>
      <c r="Q121" s="5" t="s">
        <v>43</v>
      </c>
      <c r="R121" s="99" t="s">
        <v>23</v>
      </c>
      <c r="S121" s="99" t="s">
        <v>37</v>
      </c>
    </row>
    <row r="122" spans="1:65" s="96" customFormat="1" x14ac:dyDescent="0.2">
      <c r="B122" s="9" t="s">
        <v>6</v>
      </c>
      <c r="C122" s="127">
        <v>0.01</v>
      </c>
      <c r="D122" s="130">
        <v>0.01</v>
      </c>
      <c r="E122" s="123">
        <f>SQRT(SUMSQ(C122:D122))</f>
        <v>1.4142135623730951E-2</v>
      </c>
      <c r="G122" s="119" t="s">
        <v>6</v>
      </c>
      <c r="H122" s="124">
        <v>1</v>
      </c>
      <c r="I122" s="10">
        <v>0.5</v>
      </c>
      <c r="J122" s="10">
        <v>0.25</v>
      </c>
      <c r="K122" s="10">
        <v>0.25</v>
      </c>
      <c r="M122" s="119" t="s">
        <v>6</v>
      </c>
      <c r="N122" s="100">
        <f t="shared" ref="N122:Q125" si="1">H122*N$126*N$127*$R122*$S122</f>
        <v>1.0000000000000002E-6</v>
      </c>
      <c r="O122" s="100">
        <f t="shared" si="1"/>
        <v>3.0000000000000001E-6</v>
      </c>
      <c r="P122" s="100">
        <f t="shared" si="1"/>
        <v>2.5000000000000004E-7</v>
      </c>
      <c r="Q122" s="101">
        <f t="shared" si="1"/>
        <v>2.5000000000000002E-6</v>
      </c>
      <c r="R122" s="97">
        <f>N126</f>
        <v>0.01</v>
      </c>
      <c r="S122" s="10">
        <f>I58</f>
        <v>0.1</v>
      </c>
    </row>
    <row r="123" spans="1:65" s="96" customFormat="1" x14ac:dyDescent="0.2">
      <c r="B123" s="9" t="s">
        <v>42</v>
      </c>
      <c r="C123" s="127">
        <v>0.02</v>
      </c>
      <c r="D123" s="130">
        <v>0.02</v>
      </c>
      <c r="E123" s="97">
        <f t="shared" ref="E123:E126" si="2">SQRT(SUMSQ(C123:D123))</f>
        <v>2.8284271247461901E-2</v>
      </c>
      <c r="G123" s="119" t="s">
        <v>42</v>
      </c>
      <c r="H123" s="10">
        <v>0.5</v>
      </c>
      <c r="I123" s="124">
        <v>1</v>
      </c>
      <c r="J123" s="10">
        <v>0.25</v>
      </c>
      <c r="K123" s="10">
        <v>0.25</v>
      </c>
      <c r="M123" s="119" t="s">
        <v>42</v>
      </c>
      <c r="N123" s="100">
        <f t="shared" si="1"/>
        <v>3.0000000000000001E-6</v>
      </c>
      <c r="O123" s="100">
        <f t="shared" si="1"/>
        <v>3.6000000000000001E-5</v>
      </c>
      <c r="P123" s="100">
        <f t="shared" si="1"/>
        <v>1.5E-6</v>
      </c>
      <c r="Q123" s="101">
        <f t="shared" si="1"/>
        <v>1.5E-5</v>
      </c>
      <c r="R123" s="97">
        <f>O126</f>
        <v>0.02</v>
      </c>
      <c r="S123" s="10">
        <f>I59</f>
        <v>0.3</v>
      </c>
    </row>
    <row r="124" spans="1:65" s="96" customFormat="1" x14ac:dyDescent="0.2">
      <c r="B124" s="9" t="s">
        <v>7</v>
      </c>
      <c r="C124" s="127">
        <v>0.01</v>
      </c>
      <c r="D124" s="130">
        <v>0.01</v>
      </c>
      <c r="E124" s="97">
        <f t="shared" si="2"/>
        <v>1.4142135623730951E-2</v>
      </c>
      <c r="G124" s="119" t="s">
        <v>7</v>
      </c>
      <c r="H124" s="10">
        <v>0.25</v>
      </c>
      <c r="I124" s="10">
        <v>0.25</v>
      </c>
      <c r="J124" s="124">
        <v>1</v>
      </c>
      <c r="K124" s="10">
        <v>0.5</v>
      </c>
      <c r="M124" s="119" t="s">
        <v>7</v>
      </c>
      <c r="N124" s="100">
        <f t="shared" si="1"/>
        <v>2.5000000000000004E-7</v>
      </c>
      <c r="O124" s="100">
        <f t="shared" si="1"/>
        <v>1.5E-6</v>
      </c>
      <c r="P124" s="100">
        <f t="shared" si="1"/>
        <v>1.0000000000000002E-6</v>
      </c>
      <c r="Q124" s="101">
        <f t="shared" si="1"/>
        <v>5.0000000000000004E-6</v>
      </c>
      <c r="R124" s="97">
        <f>P126</f>
        <v>0.01</v>
      </c>
      <c r="S124" s="10">
        <f>I60</f>
        <v>0.1</v>
      </c>
    </row>
    <row r="125" spans="1:65" s="96" customFormat="1" x14ac:dyDescent="0.2">
      <c r="B125" s="8" t="s">
        <v>43</v>
      </c>
      <c r="C125" s="128">
        <v>0.15</v>
      </c>
      <c r="D125" s="131">
        <v>0.02</v>
      </c>
      <c r="E125" s="112">
        <f t="shared" si="2"/>
        <v>0.15132745950421556</v>
      </c>
      <c r="G125" s="119" t="s">
        <v>43</v>
      </c>
      <c r="H125" s="10">
        <v>0.25</v>
      </c>
      <c r="I125" s="10">
        <v>0.25</v>
      </c>
      <c r="J125" s="10">
        <v>0.5</v>
      </c>
      <c r="K125" s="124">
        <v>1</v>
      </c>
      <c r="M125" s="120" t="s">
        <v>43</v>
      </c>
      <c r="N125" s="102">
        <f t="shared" si="1"/>
        <v>2.5000000000000002E-6</v>
      </c>
      <c r="O125" s="102">
        <f t="shared" si="1"/>
        <v>1.5E-5</v>
      </c>
      <c r="P125" s="102">
        <f t="shared" si="1"/>
        <v>5.0000000000000004E-6</v>
      </c>
      <c r="Q125" s="111">
        <f t="shared" si="1"/>
        <v>1E-4</v>
      </c>
      <c r="R125" s="112">
        <f>Q126</f>
        <v>0.02</v>
      </c>
      <c r="S125" s="105">
        <f>I61</f>
        <v>0.5</v>
      </c>
    </row>
    <row r="126" spans="1:65" s="96" customFormat="1" x14ac:dyDescent="0.2">
      <c r="B126" s="125" t="s">
        <v>35</v>
      </c>
      <c r="C126" s="129">
        <f>SQRT(SUM(N131:Q134))</f>
        <v>7.7262539435356381E-2</v>
      </c>
      <c r="D126" s="132">
        <f>SQRT(SUM(N122:Q125))</f>
        <v>1.3874436925511609E-2</v>
      </c>
      <c r="E126" s="126">
        <f t="shared" si="2"/>
        <v>7.8498407627161454E-2</v>
      </c>
      <c r="G126" s="110"/>
      <c r="H126" s="110"/>
      <c r="I126" s="110"/>
      <c r="J126" s="110"/>
      <c r="K126" s="110"/>
      <c r="M126" s="121" t="s">
        <v>23</v>
      </c>
      <c r="N126" s="97">
        <f>D122</f>
        <v>0.01</v>
      </c>
      <c r="O126" s="97">
        <f>D123</f>
        <v>0.02</v>
      </c>
      <c r="P126" s="97">
        <f>D124</f>
        <v>0.01</v>
      </c>
      <c r="Q126" s="113">
        <f>D125</f>
        <v>0.02</v>
      </c>
      <c r="R126" s="110"/>
      <c r="S126" s="110"/>
    </row>
    <row r="127" spans="1:65" s="96" customFormat="1" x14ac:dyDescent="0.2">
      <c r="G127" s="110"/>
      <c r="H127" s="110"/>
      <c r="I127" s="110"/>
      <c r="J127" s="110"/>
      <c r="K127" s="110"/>
      <c r="M127" s="122" t="s">
        <v>37</v>
      </c>
      <c r="N127" s="10">
        <f>D63</f>
        <v>0.1</v>
      </c>
      <c r="O127" s="10">
        <f>E63</f>
        <v>0.3</v>
      </c>
      <c r="P127" s="10">
        <f>F63</f>
        <v>0.1</v>
      </c>
      <c r="Q127" s="10">
        <f>G63</f>
        <v>0.5</v>
      </c>
      <c r="R127" s="110"/>
      <c r="S127" s="110"/>
    </row>
    <row r="128" spans="1:65" s="96" customFormat="1" x14ac:dyDescent="0.2">
      <c r="B128" s="135" t="s">
        <v>114</v>
      </c>
      <c r="G128" s="110"/>
      <c r="H128" s="110"/>
      <c r="I128" s="110"/>
      <c r="J128" s="110"/>
      <c r="K128" s="110"/>
      <c r="M128" s="110"/>
      <c r="N128" s="110"/>
      <c r="O128" s="110"/>
      <c r="P128" s="110"/>
      <c r="Q128" s="110"/>
      <c r="R128" s="110"/>
      <c r="S128" s="110"/>
    </row>
    <row r="129" spans="1:65" s="96" customFormat="1" x14ac:dyDescent="0.2">
      <c r="G129" s="143" t="s">
        <v>46</v>
      </c>
      <c r="H129" s="143"/>
      <c r="I129" s="143"/>
      <c r="J129" s="143"/>
      <c r="K129" s="143"/>
      <c r="M129" s="143" t="s">
        <v>47</v>
      </c>
      <c r="N129" s="143"/>
      <c r="O129" s="143"/>
      <c r="P129" s="143"/>
      <c r="Q129" s="143"/>
      <c r="R129" s="110"/>
      <c r="S129" s="110"/>
    </row>
    <row r="130" spans="1:65" s="96" customFormat="1" x14ac:dyDescent="0.2">
      <c r="G130" s="5"/>
      <c r="H130" s="6" t="s">
        <v>6</v>
      </c>
      <c r="I130" s="6" t="s">
        <v>42</v>
      </c>
      <c r="J130" s="6" t="s">
        <v>7</v>
      </c>
      <c r="K130" s="6" t="s">
        <v>43</v>
      </c>
      <c r="M130" s="5"/>
      <c r="N130" s="6" t="s">
        <v>6</v>
      </c>
      <c r="O130" s="6" t="s">
        <v>42</v>
      </c>
      <c r="P130" s="6" t="s">
        <v>7</v>
      </c>
      <c r="Q130" s="5" t="s">
        <v>43</v>
      </c>
      <c r="R130" s="99" t="s">
        <v>23</v>
      </c>
      <c r="S130" s="99" t="s">
        <v>37</v>
      </c>
    </row>
    <row r="131" spans="1:65" s="96" customFormat="1" x14ac:dyDescent="0.2">
      <c r="G131" s="119" t="s">
        <v>6</v>
      </c>
      <c r="H131" s="124">
        <v>1</v>
      </c>
      <c r="I131" s="10">
        <v>0.25</v>
      </c>
      <c r="J131" s="10">
        <v>0.25</v>
      </c>
      <c r="K131" s="10">
        <v>0.25</v>
      </c>
      <c r="M131" s="119" t="s">
        <v>6</v>
      </c>
      <c r="N131" s="114">
        <f>H131*N$135*N$136*$R131*$S131</f>
        <v>1.0000000000000002E-6</v>
      </c>
      <c r="O131" s="115">
        <f t="shared" ref="O131:O134" si="3">I131*O$135*O$136*$R131*$S131</f>
        <v>1.5E-6</v>
      </c>
      <c r="P131" s="115">
        <f t="shared" ref="P131:P134" si="4">J131*P$135*P$136*$R131*$S131</f>
        <v>2.5000000000000004E-7</v>
      </c>
      <c r="Q131" s="101">
        <f t="shared" ref="Q131:Q134" si="5">K131*Q$135*Q$136*$R131*$S131</f>
        <v>1.8750000000000002E-5</v>
      </c>
      <c r="R131" s="97">
        <f>C122</f>
        <v>0.01</v>
      </c>
      <c r="S131" s="10">
        <f>S122</f>
        <v>0.1</v>
      </c>
    </row>
    <row r="132" spans="1:65" s="96" customFormat="1" x14ac:dyDescent="0.2">
      <c r="G132" s="119" t="s">
        <v>42</v>
      </c>
      <c r="H132" s="10">
        <v>0.25</v>
      </c>
      <c r="I132" s="124">
        <v>1</v>
      </c>
      <c r="J132" s="10">
        <v>0.25</v>
      </c>
      <c r="K132" s="10">
        <v>0.25</v>
      </c>
      <c r="M132" s="119" t="s">
        <v>42</v>
      </c>
      <c r="N132" s="116">
        <f t="shared" ref="N132:N134" si="6">H132*N$135*N$136*$R132*$S132</f>
        <v>1.5E-6</v>
      </c>
      <c r="O132" s="100">
        <f t="shared" si="3"/>
        <v>3.6000000000000001E-5</v>
      </c>
      <c r="P132" s="100">
        <f t="shared" si="4"/>
        <v>1.5E-6</v>
      </c>
      <c r="Q132" s="101">
        <f t="shared" si="5"/>
        <v>1.125E-4</v>
      </c>
      <c r="R132" s="97">
        <f>C123</f>
        <v>0.02</v>
      </c>
      <c r="S132" s="10">
        <f>S123</f>
        <v>0.3</v>
      </c>
    </row>
    <row r="133" spans="1:65" s="96" customFormat="1" x14ac:dyDescent="0.2">
      <c r="G133" s="119" t="s">
        <v>7</v>
      </c>
      <c r="H133" s="10">
        <v>0.25</v>
      </c>
      <c r="I133" s="10">
        <v>0.25</v>
      </c>
      <c r="J133" s="124">
        <v>1</v>
      </c>
      <c r="K133" s="10">
        <v>0.25</v>
      </c>
      <c r="M133" s="119" t="s">
        <v>7</v>
      </c>
      <c r="N133" s="116">
        <f t="shared" si="6"/>
        <v>2.5000000000000004E-7</v>
      </c>
      <c r="O133" s="100">
        <f t="shared" si="3"/>
        <v>1.5E-6</v>
      </c>
      <c r="P133" s="100">
        <f t="shared" si="4"/>
        <v>1.0000000000000002E-6</v>
      </c>
      <c r="Q133" s="101">
        <f t="shared" si="5"/>
        <v>1.8750000000000002E-5</v>
      </c>
      <c r="R133" s="97">
        <f>C124</f>
        <v>0.01</v>
      </c>
      <c r="S133" s="10">
        <f>S124</f>
        <v>0.1</v>
      </c>
    </row>
    <row r="134" spans="1:65" s="96" customFormat="1" x14ac:dyDescent="0.2">
      <c r="G134" s="119" t="s">
        <v>43</v>
      </c>
      <c r="H134" s="10">
        <v>0.25</v>
      </c>
      <c r="I134" s="10">
        <v>0.25</v>
      </c>
      <c r="J134" s="10">
        <v>0.25</v>
      </c>
      <c r="K134" s="124">
        <v>1</v>
      </c>
      <c r="M134" s="120" t="s">
        <v>43</v>
      </c>
      <c r="N134" s="117">
        <f t="shared" si="6"/>
        <v>1.8749999999999998E-5</v>
      </c>
      <c r="O134" s="118">
        <f t="shared" si="3"/>
        <v>1.125E-4</v>
      </c>
      <c r="P134" s="118">
        <f t="shared" si="4"/>
        <v>1.8749999999999998E-5</v>
      </c>
      <c r="Q134" s="111">
        <f t="shared" si="5"/>
        <v>5.6249999999999998E-3</v>
      </c>
      <c r="R134" s="112">
        <f>C125</f>
        <v>0.15</v>
      </c>
      <c r="S134" s="105">
        <f>S125</f>
        <v>0.5</v>
      </c>
    </row>
    <row r="135" spans="1:65" s="96" customFormat="1" x14ac:dyDescent="0.2">
      <c r="M135" s="121" t="s">
        <v>23</v>
      </c>
      <c r="N135" s="97">
        <f>C122</f>
        <v>0.01</v>
      </c>
      <c r="O135" s="97">
        <f>C123</f>
        <v>0.02</v>
      </c>
      <c r="P135" s="97">
        <f>C124</f>
        <v>0.01</v>
      </c>
      <c r="Q135" s="113">
        <f>C125</f>
        <v>0.15</v>
      </c>
      <c r="R135" s="110"/>
      <c r="S135" s="110"/>
    </row>
    <row r="136" spans="1:65" s="96" customFormat="1" x14ac:dyDescent="0.2">
      <c r="A136" s="11" t="s">
        <v>64</v>
      </c>
      <c r="M136" s="122" t="s">
        <v>37</v>
      </c>
      <c r="N136" s="10">
        <f>D63</f>
        <v>0.1</v>
      </c>
      <c r="O136" s="10">
        <f t="shared" ref="O136:Q136" si="7">E63</f>
        <v>0.3</v>
      </c>
      <c r="P136" s="10">
        <f t="shared" si="7"/>
        <v>0.1</v>
      </c>
      <c r="Q136" s="10">
        <f t="shared" si="7"/>
        <v>0.5</v>
      </c>
      <c r="R136" s="110"/>
      <c r="S136" s="110"/>
    </row>
    <row r="137" spans="1:65" x14ac:dyDescent="0.2">
      <c r="A137" s="4"/>
      <c r="B137" s="50" t="s">
        <v>65</v>
      </c>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ht="19" x14ac:dyDescent="0.25">
      <c r="A139" s="2" t="s">
        <v>66</v>
      </c>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50" t="s">
        <v>67</v>
      </c>
      <c r="D140" s="50" t="s">
        <v>70</v>
      </c>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50" t="s">
        <v>68</v>
      </c>
      <c r="D141" s="50" t="s">
        <v>71</v>
      </c>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50" t="s">
        <v>69</v>
      </c>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sheetData>
  <mergeCells count="16">
    <mergeCell ref="B50:I52"/>
    <mergeCell ref="F43:H43"/>
    <mergeCell ref="C11:E11"/>
    <mergeCell ref="C5:E5"/>
    <mergeCell ref="E16:I16"/>
    <mergeCell ref="E6:E7"/>
    <mergeCell ref="D6:D7"/>
    <mergeCell ref="C6:C7"/>
    <mergeCell ref="B86:I93"/>
    <mergeCell ref="B105:I111"/>
    <mergeCell ref="B114:I116"/>
    <mergeCell ref="M129:Q129"/>
    <mergeCell ref="G120:K120"/>
    <mergeCell ref="G129:K129"/>
    <mergeCell ref="M120:Q120"/>
    <mergeCell ref="B120:E120"/>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M198"/>
  <sheetViews>
    <sheetView showGridLines="0" zoomScale="120" zoomScaleNormal="120" workbookViewId="0"/>
  </sheetViews>
  <sheetFormatPr baseColWidth="10" defaultColWidth="10.83203125" defaultRowHeight="16" x14ac:dyDescent="0.2"/>
  <cols>
    <col min="1" max="1" width="10.83203125" style="50"/>
    <col min="2" max="10" width="10.83203125" style="50" customWidth="1"/>
    <col min="11" max="16384" width="10.83203125" style="50"/>
  </cols>
  <sheetData>
    <row r="1" spans="1:10" ht="19" x14ac:dyDescent="0.25">
      <c r="A1" s="1" t="s">
        <v>120</v>
      </c>
      <c r="B1" s="48"/>
      <c r="C1" s="48"/>
      <c r="D1" s="48"/>
      <c r="E1" s="48"/>
      <c r="F1" s="48"/>
      <c r="G1" s="48"/>
      <c r="H1" s="48"/>
      <c r="I1" s="48"/>
      <c r="J1" s="49"/>
    </row>
    <row r="2" spans="1:10" x14ac:dyDescent="0.2">
      <c r="A2" s="51"/>
      <c r="B2" s="48"/>
      <c r="C2" s="48"/>
      <c r="D2" s="48"/>
      <c r="E2" s="48"/>
      <c r="F2" s="48"/>
      <c r="G2" s="48"/>
      <c r="H2" s="48"/>
      <c r="I2" s="48"/>
      <c r="J2" s="49"/>
    </row>
    <row r="3" spans="1:10" x14ac:dyDescent="0.2">
      <c r="A3" s="51"/>
      <c r="B3" s="48" t="s">
        <v>54</v>
      </c>
      <c r="C3" s="48"/>
      <c r="D3" s="48"/>
      <c r="E3" s="48"/>
      <c r="F3" s="48"/>
      <c r="G3" s="48"/>
      <c r="H3" s="48"/>
      <c r="I3" s="48"/>
      <c r="J3" s="49"/>
    </row>
    <row r="4" spans="1:10" x14ac:dyDescent="0.2">
      <c r="A4" s="51"/>
      <c r="B4" s="48"/>
      <c r="C4" s="48"/>
      <c r="D4" s="48"/>
      <c r="E4" s="48"/>
      <c r="F4" s="48"/>
      <c r="G4" s="48"/>
      <c r="H4" s="48"/>
      <c r="I4" s="48"/>
      <c r="J4" s="49"/>
    </row>
    <row r="5" spans="1:10" x14ac:dyDescent="0.2">
      <c r="A5" s="51"/>
      <c r="B5" s="165" t="s">
        <v>55</v>
      </c>
      <c r="C5" s="166"/>
      <c r="D5" s="166"/>
      <c r="E5" s="166"/>
      <c r="F5" s="166"/>
      <c r="G5" s="166"/>
      <c r="H5" s="167"/>
      <c r="I5" s="48"/>
      <c r="J5" s="49"/>
    </row>
    <row r="6" spans="1:10" x14ac:dyDescent="0.2">
      <c r="A6" s="51"/>
      <c r="B6" s="43"/>
      <c r="C6" s="44"/>
      <c r="D6" s="47"/>
      <c r="E6" s="168" t="s">
        <v>13</v>
      </c>
      <c r="F6" s="168" t="s">
        <v>14</v>
      </c>
      <c r="G6" s="168" t="s">
        <v>56</v>
      </c>
      <c r="H6" s="156" t="s">
        <v>57</v>
      </c>
      <c r="I6" s="48"/>
      <c r="J6" s="49"/>
    </row>
    <row r="7" spans="1:10" x14ac:dyDescent="0.2">
      <c r="A7" s="51"/>
      <c r="B7" s="170" t="s">
        <v>91</v>
      </c>
      <c r="C7" s="171"/>
      <c r="D7" s="172"/>
      <c r="E7" s="169"/>
      <c r="F7" s="169"/>
      <c r="G7" s="169"/>
      <c r="H7" s="157"/>
      <c r="I7" s="61"/>
      <c r="J7" s="49"/>
    </row>
    <row r="8" spans="1:10" x14ac:dyDescent="0.2">
      <c r="A8" s="51"/>
      <c r="B8" s="45" t="s">
        <v>15</v>
      </c>
      <c r="C8" s="62"/>
      <c r="D8" s="63"/>
      <c r="E8" s="64"/>
      <c r="F8" s="65"/>
      <c r="G8" s="64"/>
      <c r="H8" s="65"/>
      <c r="I8" s="48"/>
      <c r="J8" s="49"/>
    </row>
    <row r="9" spans="1:10" x14ac:dyDescent="0.2">
      <c r="A9" s="51"/>
      <c r="B9" s="66" t="s">
        <v>16</v>
      </c>
      <c r="C9" s="48"/>
      <c r="D9" s="67"/>
      <c r="E9" s="59">
        <v>5</v>
      </c>
      <c r="F9" s="60">
        <v>7</v>
      </c>
      <c r="G9" s="59">
        <v>2</v>
      </c>
      <c r="H9" s="60">
        <v>7</v>
      </c>
      <c r="I9" s="48"/>
      <c r="J9" s="49"/>
    </row>
    <row r="10" spans="1:10" x14ac:dyDescent="0.2">
      <c r="A10" s="51"/>
      <c r="B10" s="66" t="s">
        <v>17</v>
      </c>
      <c r="C10" s="48"/>
      <c r="D10" s="67"/>
      <c r="E10" s="59">
        <v>4</v>
      </c>
      <c r="F10" s="60">
        <v>5</v>
      </c>
      <c r="G10" s="59">
        <v>4</v>
      </c>
      <c r="H10" s="60">
        <v>5</v>
      </c>
      <c r="I10" s="48"/>
      <c r="J10" s="49"/>
    </row>
    <row r="11" spans="1:10" x14ac:dyDescent="0.2">
      <c r="A11" s="51"/>
      <c r="B11" s="68"/>
      <c r="C11" s="69"/>
      <c r="D11" s="70"/>
      <c r="E11" s="71"/>
      <c r="F11" s="72"/>
      <c r="G11" s="71"/>
      <c r="H11" s="72"/>
      <c r="I11" s="48"/>
      <c r="J11" s="49"/>
    </row>
    <row r="12" spans="1:10" x14ac:dyDescent="0.2">
      <c r="A12" s="51"/>
      <c r="B12" s="45" t="s">
        <v>18</v>
      </c>
      <c r="C12" s="62"/>
      <c r="D12" s="63"/>
      <c r="E12" s="64"/>
      <c r="F12" s="65"/>
      <c r="G12" s="64"/>
      <c r="H12" s="65"/>
      <c r="I12" s="48"/>
      <c r="J12" s="49"/>
    </row>
    <row r="13" spans="1:10" x14ac:dyDescent="0.2">
      <c r="A13" s="51"/>
      <c r="B13" s="66" t="s">
        <v>19</v>
      </c>
      <c r="C13" s="48"/>
      <c r="D13" s="67"/>
      <c r="E13" s="59">
        <v>5</v>
      </c>
      <c r="F13" s="60">
        <v>3</v>
      </c>
      <c r="G13" s="59">
        <v>3</v>
      </c>
      <c r="H13" s="60">
        <v>5</v>
      </c>
      <c r="I13" s="48"/>
      <c r="J13" s="49"/>
    </row>
    <row r="14" spans="1:10" x14ac:dyDescent="0.2">
      <c r="A14" s="51"/>
      <c r="B14" s="68"/>
      <c r="C14" s="69"/>
      <c r="D14" s="70"/>
      <c r="E14" s="71"/>
      <c r="F14" s="72"/>
      <c r="G14" s="71"/>
      <c r="H14" s="72"/>
      <c r="I14" s="48"/>
      <c r="J14" s="49"/>
    </row>
    <row r="15" spans="1:10" x14ac:dyDescent="0.2">
      <c r="A15" s="51"/>
      <c r="B15" s="46" t="s">
        <v>20</v>
      </c>
      <c r="C15" s="48"/>
      <c r="D15" s="67"/>
      <c r="E15" s="59"/>
      <c r="F15" s="60"/>
      <c r="G15" s="59"/>
      <c r="H15" s="60"/>
      <c r="I15" s="48"/>
      <c r="J15" s="49"/>
    </row>
    <row r="16" spans="1:10" x14ac:dyDescent="0.2">
      <c r="A16" s="51"/>
      <c r="B16" s="66" t="s">
        <v>21</v>
      </c>
      <c r="C16" s="48"/>
      <c r="D16" s="67"/>
      <c r="E16" s="59">
        <v>4</v>
      </c>
      <c r="F16" s="60">
        <v>7</v>
      </c>
      <c r="G16" s="59">
        <v>4</v>
      </c>
      <c r="H16" s="60">
        <v>7</v>
      </c>
      <c r="I16" s="48"/>
      <c r="J16" s="49"/>
    </row>
    <row r="17" spans="1:10" x14ac:dyDescent="0.2">
      <c r="A17" s="51"/>
      <c r="B17" s="68" t="s">
        <v>22</v>
      </c>
      <c r="C17" s="69"/>
      <c r="D17" s="70"/>
      <c r="E17" s="71">
        <v>4</v>
      </c>
      <c r="F17" s="72">
        <v>5</v>
      </c>
      <c r="G17" s="71">
        <v>3</v>
      </c>
      <c r="H17" s="72">
        <v>5</v>
      </c>
      <c r="I17" s="48"/>
      <c r="J17" s="49"/>
    </row>
    <row r="18" spans="1:10" x14ac:dyDescent="0.2">
      <c r="A18" s="51"/>
      <c r="B18" s="48"/>
      <c r="C18" s="48"/>
      <c r="D18" s="48"/>
      <c r="E18" s="48"/>
      <c r="F18" s="48"/>
      <c r="G18" s="48"/>
      <c r="H18" s="48"/>
      <c r="I18" s="48"/>
      <c r="J18" s="49"/>
    </row>
    <row r="19" spans="1:10" x14ac:dyDescent="0.2">
      <c r="A19" s="51"/>
      <c r="B19" s="48"/>
      <c r="C19" s="145" t="s">
        <v>11</v>
      </c>
      <c r="D19" s="146"/>
      <c r="E19" s="147"/>
      <c r="F19" s="48"/>
      <c r="G19" s="48"/>
      <c r="H19" s="48"/>
      <c r="I19" s="48"/>
      <c r="J19" s="49"/>
    </row>
    <row r="20" spans="1:10" x14ac:dyDescent="0.2">
      <c r="A20" s="51"/>
      <c r="B20" s="48"/>
      <c r="C20" s="162" t="s">
        <v>8</v>
      </c>
      <c r="D20" s="159" t="s">
        <v>9</v>
      </c>
      <c r="E20" s="156" t="s">
        <v>10</v>
      </c>
      <c r="F20" s="48"/>
      <c r="G20" s="48"/>
      <c r="H20" s="48"/>
      <c r="I20" s="48"/>
      <c r="J20" s="49"/>
    </row>
    <row r="21" spans="1:10" x14ac:dyDescent="0.2">
      <c r="A21" s="51"/>
      <c r="B21" s="48"/>
      <c r="C21" s="163"/>
      <c r="D21" s="160"/>
      <c r="E21" s="157"/>
      <c r="F21" s="48"/>
      <c r="G21" s="48"/>
      <c r="H21" s="48"/>
      <c r="I21" s="48"/>
      <c r="J21" s="49"/>
    </row>
    <row r="22" spans="1:10" x14ac:dyDescent="0.2">
      <c r="A22" s="51"/>
      <c r="B22" s="48"/>
      <c r="C22" s="164"/>
      <c r="D22" s="161"/>
      <c r="E22" s="158"/>
      <c r="F22" s="48"/>
      <c r="G22" s="48"/>
      <c r="H22" s="48"/>
      <c r="I22" s="48"/>
      <c r="J22" s="49"/>
    </row>
    <row r="23" spans="1:10" x14ac:dyDescent="0.2">
      <c r="A23" s="51"/>
      <c r="B23" s="48"/>
      <c r="C23" s="73" t="s">
        <v>24</v>
      </c>
      <c r="D23" s="74">
        <v>0.16</v>
      </c>
      <c r="E23" s="75">
        <v>0.18</v>
      </c>
      <c r="F23" s="48"/>
      <c r="G23" s="48"/>
      <c r="H23" s="48"/>
      <c r="I23" s="48"/>
      <c r="J23" s="49"/>
    </row>
    <row r="24" spans="1:10" x14ac:dyDescent="0.2">
      <c r="A24" s="51"/>
      <c r="B24" s="48"/>
      <c r="C24" s="76" t="s">
        <v>25</v>
      </c>
      <c r="D24" s="74">
        <v>0.1</v>
      </c>
      <c r="E24" s="75">
        <v>0.11</v>
      </c>
      <c r="F24" s="48"/>
      <c r="G24" s="48"/>
      <c r="H24" s="48"/>
      <c r="I24" s="48"/>
      <c r="J24" s="49"/>
    </row>
    <row r="25" spans="1:10" x14ac:dyDescent="0.2">
      <c r="A25" s="51"/>
      <c r="B25" s="48"/>
      <c r="C25" s="76" t="s">
        <v>26</v>
      </c>
      <c r="D25" s="74">
        <v>7.0000000000000007E-2</v>
      </c>
      <c r="E25" s="75">
        <v>0.08</v>
      </c>
      <c r="F25" s="48"/>
      <c r="G25" s="48"/>
      <c r="H25" s="48"/>
      <c r="I25" s="48"/>
      <c r="J25" s="49"/>
    </row>
    <row r="26" spans="1:10" x14ac:dyDescent="0.2">
      <c r="A26" s="51"/>
      <c r="B26" s="48"/>
      <c r="C26" s="77" t="s">
        <v>27</v>
      </c>
      <c r="D26" s="78">
        <v>0.05</v>
      </c>
      <c r="E26" s="79">
        <v>0.06</v>
      </c>
      <c r="F26" s="48"/>
      <c r="G26" s="48"/>
      <c r="H26" s="48"/>
      <c r="I26" s="48"/>
      <c r="J26" s="49"/>
    </row>
    <row r="27" spans="1:10" x14ac:dyDescent="0.2">
      <c r="A27" s="51"/>
      <c r="B27" s="48"/>
      <c r="C27" s="48"/>
      <c r="D27" s="48"/>
      <c r="E27" s="48"/>
      <c r="F27" s="48"/>
      <c r="G27" s="48"/>
      <c r="H27" s="48"/>
      <c r="I27" s="48"/>
      <c r="J27" s="49"/>
    </row>
    <row r="28" spans="1:10" x14ac:dyDescent="0.2">
      <c r="A28" s="51"/>
      <c r="B28" s="48"/>
      <c r="C28" s="48"/>
      <c r="D28" s="48"/>
      <c r="E28" s="48"/>
      <c r="F28" s="48"/>
      <c r="G28" s="48"/>
      <c r="H28" s="48"/>
      <c r="I28" s="48"/>
      <c r="J28" s="49"/>
    </row>
    <row r="29" spans="1:10" x14ac:dyDescent="0.2">
      <c r="A29" s="51"/>
      <c r="B29" s="48" t="s">
        <v>58</v>
      </c>
      <c r="C29" s="48"/>
      <c r="D29" s="48"/>
      <c r="E29" s="48"/>
      <c r="F29" s="48"/>
      <c r="G29" s="48"/>
      <c r="H29" s="48"/>
      <c r="I29" s="48"/>
      <c r="J29" s="49"/>
    </row>
    <row r="30" spans="1:10" x14ac:dyDescent="0.2">
      <c r="A30" s="51"/>
      <c r="B30" s="48" t="s">
        <v>59</v>
      </c>
      <c r="C30" s="48"/>
      <c r="D30" s="48"/>
      <c r="E30" s="48"/>
      <c r="F30" s="48"/>
      <c r="G30" s="48"/>
      <c r="H30" s="48"/>
      <c r="I30" s="48"/>
      <c r="J30" s="49"/>
    </row>
    <row r="31" spans="1:10" ht="17" thickBot="1" x14ac:dyDescent="0.25">
      <c r="A31" s="55"/>
      <c r="B31" s="56"/>
      <c r="C31" s="57"/>
      <c r="D31" s="57"/>
      <c r="E31" s="57"/>
      <c r="F31" s="56"/>
      <c r="G31" s="56"/>
      <c r="H31" s="56"/>
      <c r="I31" s="56"/>
      <c r="J31" s="58"/>
    </row>
    <row r="33" spans="1:10" ht="19" x14ac:dyDescent="0.25">
      <c r="A33" s="2" t="s">
        <v>0</v>
      </c>
    </row>
    <row r="34" spans="1:10" x14ac:dyDescent="0.2">
      <c r="A34" s="14" t="s">
        <v>85</v>
      </c>
      <c r="B34" s="11" t="s">
        <v>60</v>
      </c>
      <c r="C34" s="88"/>
      <c r="D34" s="89"/>
      <c r="E34" s="89"/>
      <c r="F34" s="89"/>
      <c r="G34" s="89"/>
      <c r="H34" s="89"/>
      <c r="I34" s="89"/>
      <c r="J34" s="89"/>
    </row>
    <row r="35" spans="1:10" x14ac:dyDescent="0.2">
      <c r="A35" s="14"/>
      <c r="B35" s="89"/>
      <c r="C35" s="89"/>
      <c r="D35" s="89"/>
      <c r="E35" s="89"/>
      <c r="F35" s="89"/>
      <c r="G35" s="89"/>
      <c r="H35" s="89"/>
      <c r="I35" s="89"/>
      <c r="J35" s="89"/>
    </row>
    <row r="36" spans="1:10" x14ac:dyDescent="0.2">
      <c r="A36" s="14"/>
      <c r="B36" s="89"/>
      <c r="C36" s="89"/>
      <c r="D36" s="89"/>
      <c r="E36" s="89"/>
      <c r="H36" s="89"/>
      <c r="I36" s="89"/>
      <c r="J36" s="89"/>
    </row>
    <row r="37" spans="1:10" x14ac:dyDescent="0.2">
      <c r="A37" s="14"/>
      <c r="B37" s="89"/>
      <c r="C37" s="89"/>
      <c r="D37" s="89"/>
      <c r="E37" s="89"/>
      <c r="H37" s="89"/>
      <c r="I37" s="89"/>
      <c r="J37" s="89"/>
    </row>
    <row r="38" spans="1:10" x14ac:dyDescent="0.2">
      <c r="A38" s="14"/>
      <c r="B38" s="89"/>
      <c r="C38" s="89"/>
      <c r="D38" s="89"/>
      <c r="E38" s="89"/>
      <c r="H38" s="89"/>
      <c r="I38" s="89"/>
      <c r="J38" s="89"/>
    </row>
    <row r="39" spans="1:10" x14ac:dyDescent="0.2">
      <c r="A39" s="14"/>
      <c r="B39" s="89"/>
      <c r="C39" s="138" t="s">
        <v>28</v>
      </c>
      <c r="D39" s="137" t="s">
        <v>116</v>
      </c>
      <c r="F39" s="89"/>
      <c r="G39" s="89"/>
      <c r="H39" s="89"/>
      <c r="I39" s="89"/>
      <c r="J39" s="89"/>
    </row>
    <row r="40" spans="1:10" x14ac:dyDescent="0.2">
      <c r="A40" s="14"/>
      <c r="B40" s="89"/>
      <c r="C40" s="139" t="s">
        <v>3</v>
      </c>
      <c r="D40" s="136">
        <f>SUMPRODUCT(E9:E17,F9:F17)/SUM(F9:F17)</f>
        <v>4.3703703703703702</v>
      </c>
      <c r="F40" s="89"/>
      <c r="G40" s="89"/>
      <c r="H40" s="89"/>
      <c r="I40" s="89"/>
      <c r="J40" s="89"/>
    </row>
    <row r="41" spans="1:10" x14ac:dyDescent="0.2">
      <c r="A41" s="14"/>
      <c r="B41" s="89"/>
      <c r="C41" s="139" t="s">
        <v>4</v>
      </c>
      <c r="D41" s="136">
        <f>SUMPRODUCT(G9:G17,H9:H17)/SUM(H9:H17)</f>
        <v>3.1724137931034484</v>
      </c>
      <c r="F41" s="89"/>
      <c r="G41" s="89"/>
      <c r="H41" s="89"/>
      <c r="I41" s="89"/>
      <c r="J41" s="89"/>
    </row>
    <row r="42" spans="1:10" x14ac:dyDescent="0.2">
      <c r="A42" s="14"/>
      <c r="B42" s="89"/>
      <c r="C42" s="89"/>
      <c r="D42" s="89"/>
      <c r="E42" s="89"/>
      <c r="F42" s="89"/>
      <c r="G42" s="89"/>
      <c r="H42" s="89"/>
      <c r="I42" s="89"/>
      <c r="J42" s="89"/>
    </row>
    <row r="43" spans="1:10" x14ac:dyDescent="0.2">
      <c r="A43" s="14" t="s">
        <v>86</v>
      </c>
      <c r="B43" s="90" t="s">
        <v>101</v>
      </c>
      <c r="C43" s="90"/>
      <c r="D43" s="90"/>
      <c r="E43" s="90"/>
      <c r="F43" s="90"/>
      <c r="G43" s="90"/>
      <c r="H43" s="90"/>
      <c r="I43" s="90"/>
      <c r="J43" s="89"/>
    </row>
    <row r="44" spans="1:10" ht="17" thickBot="1" x14ac:dyDescent="0.25">
      <c r="A44" s="14"/>
      <c r="B44" s="89"/>
      <c r="C44" s="89"/>
      <c r="D44" s="89"/>
      <c r="E44" s="89"/>
      <c r="F44" s="89"/>
      <c r="G44" s="89"/>
      <c r="H44" s="89"/>
      <c r="I44" s="89"/>
      <c r="J44" s="89"/>
    </row>
    <row r="45" spans="1:10" x14ac:dyDescent="0.2">
      <c r="A45" s="14"/>
      <c r="B45" s="89"/>
      <c r="C45" s="81" t="s">
        <v>28</v>
      </c>
      <c r="D45" s="82" t="s">
        <v>30</v>
      </c>
      <c r="E45" s="89"/>
      <c r="F45" s="89"/>
      <c r="G45" s="89"/>
      <c r="H45" s="89"/>
      <c r="I45" s="89"/>
      <c r="J45" s="89"/>
    </row>
    <row r="46" spans="1:10" x14ac:dyDescent="0.2">
      <c r="A46" s="14"/>
      <c r="B46" s="89"/>
      <c r="C46" s="83" t="s">
        <v>6</v>
      </c>
      <c r="D46" s="84">
        <v>0.05</v>
      </c>
      <c r="E46" s="89"/>
      <c r="F46" s="89"/>
      <c r="G46" s="89"/>
      <c r="H46" s="89"/>
      <c r="I46" s="89"/>
      <c r="J46" s="89"/>
    </row>
    <row r="47" spans="1:10" ht="17" thickBot="1" x14ac:dyDescent="0.25">
      <c r="A47" s="14"/>
      <c r="B47" s="11"/>
      <c r="C47" s="83" t="s">
        <v>29</v>
      </c>
      <c r="D47" s="85">
        <v>0.08</v>
      </c>
    </row>
    <row r="48" spans="1:10" x14ac:dyDescent="0.2">
      <c r="A48" s="14"/>
      <c r="B48" s="11"/>
      <c r="C48" s="80"/>
    </row>
    <row r="49" spans="1:14" ht="19" x14ac:dyDescent="0.25">
      <c r="A49" s="2" t="s">
        <v>36</v>
      </c>
      <c r="L49" s="4"/>
    </row>
    <row r="50" spans="1:14" ht="16" customHeight="1" x14ac:dyDescent="0.2">
      <c r="B50" s="141" t="s">
        <v>117</v>
      </c>
      <c r="C50" s="141"/>
      <c r="D50" s="141"/>
      <c r="E50" s="141"/>
      <c r="F50" s="141"/>
      <c r="G50" s="141"/>
      <c r="H50" s="141"/>
      <c r="I50" s="141"/>
      <c r="L50" s="4"/>
    </row>
    <row r="51" spans="1:14" x14ac:dyDescent="0.2">
      <c r="B51" s="141"/>
      <c r="C51" s="141"/>
      <c r="D51" s="141"/>
      <c r="E51" s="141"/>
      <c r="F51" s="141"/>
      <c r="G51" s="141"/>
      <c r="H51" s="141"/>
      <c r="I51" s="141"/>
    </row>
    <row r="52" spans="1:14" x14ac:dyDescent="0.2">
      <c r="B52" s="141"/>
      <c r="C52" s="141"/>
      <c r="D52" s="141"/>
      <c r="E52" s="141"/>
      <c r="F52" s="141"/>
      <c r="G52" s="141"/>
      <c r="H52" s="141"/>
      <c r="I52" s="141"/>
    </row>
    <row r="53" spans="1:14" x14ac:dyDescent="0.2">
      <c r="B53" s="141"/>
      <c r="C53" s="141"/>
      <c r="D53" s="141"/>
      <c r="E53" s="141"/>
      <c r="F53" s="141"/>
      <c r="G53" s="141"/>
      <c r="H53" s="141"/>
      <c r="I53" s="141"/>
    </row>
    <row r="54" spans="1:14" x14ac:dyDescent="0.2">
      <c r="B54" s="141"/>
      <c r="C54" s="141"/>
      <c r="D54" s="141"/>
      <c r="E54" s="141"/>
      <c r="F54" s="141"/>
      <c r="G54" s="141"/>
      <c r="H54" s="141"/>
      <c r="I54" s="141"/>
    </row>
    <row r="55" spans="1:14" x14ac:dyDescent="0.2">
      <c r="A55" s="3"/>
      <c r="B55" s="141"/>
      <c r="C55" s="141"/>
      <c r="D55" s="141"/>
      <c r="E55" s="141"/>
      <c r="F55" s="141"/>
      <c r="G55" s="141"/>
      <c r="H55" s="141"/>
      <c r="I55" s="141"/>
    </row>
    <row r="56" spans="1:14" x14ac:dyDescent="0.2">
      <c r="M56" s="80"/>
    </row>
    <row r="57" spans="1:14" x14ac:dyDescent="0.2">
      <c r="B57" s="11" t="s">
        <v>72</v>
      </c>
      <c r="L57" s="4"/>
      <c r="M57" s="4"/>
      <c r="N57" s="4"/>
    </row>
    <row r="58" spans="1:14" x14ac:dyDescent="0.2">
      <c r="B58" s="155" t="s">
        <v>118</v>
      </c>
      <c r="C58" s="155"/>
      <c r="D58" s="155"/>
      <c r="E58" s="155"/>
      <c r="F58" s="155"/>
      <c r="G58" s="155"/>
      <c r="H58" s="155"/>
      <c r="I58" s="155"/>
      <c r="L58" s="4"/>
      <c r="M58" s="4"/>
      <c r="N58" s="4"/>
    </row>
    <row r="59" spans="1:14" x14ac:dyDescent="0.2">
      <c r="B59" s="155"/>
      <c r="C59" s="155"/>
      <c r="D59" s="155"/>
      <c r="E59" s="155"/>
      <c r="F59" s="155"/>
      <c r="G59" s="155"/>
      <c r="H59" s="155"/>
      <c r="I59" s="155"/>
      <c r="L59" s="4"/>
      <c r="M59" s="4"/>
      <c r="N59" s="4"/>
    </row>
    <row r="60" spans="1:14" x14ac:dyDescent="0.2">
      <c r="L60" s="4"/>
      <c r="M60" s="4"/>
      <c r="N60" s="4"/>
    </row>
    <row r="61" spans="1:14" x14ac:dyDescent="0.2">
      <c r="B61" s="11" t="s">
        <v>73</v>
      </c>
      <c r="L61" s="4"/>
      <c r="M61" s="4"/>
      <c r="N61" s="4"/>
    </row>
    <row r="62" spans="1:14" x14ac:dyDescent="0.2">
      <c r="B62" s="155" t="s">
        <v>119</v>
      </c>
      <c r="C62" s="155"/>
      <c r="D62" s="155"/>
      <c r="E62" s="155"/>
      <c r="F62" s="155"/>
      <c r="G62" s="155"/>
      <c r="H62" s="155"/>
      <c r="I62" s="155"/>
      <c r="L62" s="4"/>
      <c r="M62" s="4"/>
      <c r="N62" s="4"/>
    </row>
    <row r="63" spans="1:14" x14ac:dyDescent="0.2">
      <c r="B63" s="155"/>
      <c r="C63" s="155"/>
      <c r="D63" s="155"/>
      <c r="E63" s="155"/>
      <c r="F63" s="155"/>
      <c r="G63" s="155"/>
      <c r="H63" s="155"/>
      <c r="I63" s="155"/>
      <c r="L63" s="4"/>
      <c r="M63" s="4"/>
      <c r="N63" s="4"/>
    </row>
    <row r="64" spans="1:14" x14ac:dyDescent="0.2">
      <c r="L64" s="4"/>
      <c r="M64" s="4"/>
      <c r="N64" s="4"/>
    </row>
    <row r="65" spans="1:14" x14ac:dyDescent="0.2">
      <c r="B65" s="11" t="s">
        <v>74</v>
      </c>
      <c r="L65" s="4"/>
      <c r="M65" s="4"/>
      <c r="N65" s="4"/>
    </row>
    <row r="66" spans="1:14" x14ac:dyDescent="0.2">
      <c r="B66" s="140" t="s">
        <v>75</v>
      </c>
      <c r="M66" s="80"/>
    </row>
    <row r="67" spans="1:14" x14ac:dyDescent="0.2">
      <c r="L67" s="4"/>
      <c r="M67" s="4"/>
      <c r="N67" s="4"/>
    </row>
    <row r="68" spans="1:14" ht="19" x14ac:dyDescent="0.25">
      <c r="A68" s="2" t="s">
        <v>64</v>
      </c>
      <c r="L68" s="4"/>
      <c r="M68" s="4"/>
      <c r="N68" s="4"/>
    </row>
    <row r="69" spans="1:14" x14ac:dyDescent="0.2">
      <c r="B69" s="50" t="s">
        <v>76</v>
      </c>
      <c r="L69" s="4"/>
      <c r="M69" s="4"/>
      <c r="N69" s="4"/>
    </row>
    <row r="70" spans="1:14" x14ac:dyDescent="0.2">
      <c r="L70" s="4"/>
      <c r="M70" s="4"/>
      <c r="N70" s="4"/>
    </row>
    <row r="71" spans="1:14" ht="19" x14ac:dyDescent="0.25">
      <c r="A71" s="2" t="s">
        <v>66</v>
      </c>
      <c r="L71" s="4"/>
      <c r="M71" s="4"/>
      <c r="N71" s="4"/>
    </row>
    <row r="72" spans="1:14" x14ac:dyDescent="0.2">
      <c r="B72" s="50" t="s">
        <v>77</v>
      </c>
      <c r="L72" s="4"/>
      <c r="M72" s="4"/>
      <c r="N72" s="4"/>
    </row>
    <row r="73" spans="1:14" x14ac:dyDescent="0.2">
      <c r="B73" s="50" t="s">
        <v>78</v>
      </c>
      <c r="L73" s="4"/>
      <c r="M73" s="4"/>
      <c r="N73" s="4"/>
    </row>
    <row r="74" spans="1:14" x14ac:dyDescent="0.2">
      <c r="B74" s="50" t="s">
        <v>79</v>
      </c>
      <c r="L74" s="4"/>
      <c r="M74" s="4"/>
      <c r="N74" s="4"/>
    </row>
    <row r="75" spans="1:14" x14ac:dyDescent="0.2">
      <c r="L75" s="4"/>
      <c r="M75" s="4"/>
      <c r="N75" s="4"/>
    </row>
    <row r="76" spans="1:14" x14ac:dyDescent="0.2">
      <c r="M76" s="80"/>
    </row>
    <row r="77" spans="1:14" x14ac:dyDescent="0.2">
      <c r="L77" s="4"/>
      <c r="M77" s="4"/>
      <c r="N77" s="4"/>
    </row>
    <row r="78" spans="1:14" x14ac:dyDescent="0.2">
      <c r="L78" s="4"/>
      <c r="M78" s="4"/>
      <c r="N78" s="4"/>
    </row>
    <row r="79" spans="1:14" x14ac:dyDescent="0.2">
      <c r="L79" s="4"/>
      <c r="M79" s="4"/>
      <c r="N79" s="4"/>
    </row>
    <row r="80" spans="1:14" x14ac:dyDescent="0.2">
      <c r="L80" s="4"/>
      <c r="M80" s="4"/>
      <c r="N80" s="4"/>
    </row>
    <row r="81" spans="12:14" x14ac:dyDescent="0.2">
      <c r="L81" s="4"/>
      <c r="M81" s="4"/>
      <c r="N81" s="4"/>
    </row>
    <row r="82" spans="12:14" x14ac:dyDescent="0.2">
      <c r="L82" s="4"/>
      <c r="M82" s="4"/>
      <c r="N82" s="4"/>
    </row>
    <row r="83" spans="12:14" x14ac:dyDescent="0.2">
      <c r="L83" s="4"/>
      <c r="M83" s="4"/>
      <c r="N83" s="4"/>
    </row>
    <row r="84" spans="12:14" x14ac:dyDescent="0.2">
      <c r="L84" s="4"/>
      <c r="M84" s="4"/>
      <c r="N84" s="4"/>
    </row>
    <row r="85" spans="12:14" x14ac:dyDescent="0.2">
      <c r="L85" s="4"/>
      <c r="M85" s="4"/>
      <c r="N85" s="4"/>
    </row>
    <row r="86" spans="12:14" x14ac:dyDescent="0.2">
      <c r="M86" s="80"/>
    </row>
    <row r="87" spans="12:14" x14ac:dyDescent="0.2">
      <c r="L87" s="4"/>
      <c r="M87" s="4"/>
      <c r="N87" s="4"/>
    </row>
    <row r="88" spans="12:14" x14ac:dyDescent="0.2">
      <c r="L88" s="4"/>
      <c r="M88" s="4"/>
      <c r="N88" s="4"/>
    </row>
    <row r="89" spans="12:14" x14ac:dyDescent="0.2">
      <c r="L89" s="4"/>
      <c r="M89" s="4"/>
      <c r="N89" s="4"/>
    </row>
    <row r="90" spans="12:14" x14ac:dyDescent="0.2">
      <c r="L90" s="4"/>
      <c r="M90" s="4"/>
      <c r="N90" s="4"/>
    </row>
    <row r="91" spans="12:14" x14ac:dyDescent="0.2">
      <c r="L91" s="4"/>
      <c r="M91" s="4"/>
      <c r="N91" s="4"/>
    </row>
    <row r="92" spans="12:14" x14ac:dyDescent="0.2">
      <c r="L92" s="4"/>
      <c r="M92" s="4"/>
      <c r="N92" s="4"/>
    </row>
    <row r="93" spans="12:14" x14ac:dyDescent="0.2">
      <c r="L93" s="4"/>
      <c r="M93" s="4"/>
      <c r="N93" s="4"/>
    </row>
    <row r="94" spans="12:14" x14ac:dyDescent="0.2">
      <c r="L94" s="4"/>
      <c r="M94" s="4"/>
      <c r="N94" s="4"/>
    </row>
    <row r="95" spans="12:14" x14ac:dyDescent="0.2">
      <c r="L95" s="4"/>
      <c r="M95" s="4"/>
      <c r="N95" s="4"/>
    </row>
    <row r="96" spans="12:14" x14ac:dyDescent="0.2">
      <c r="M96" s="80"/>
    </row>
    <row r="97" spans="1:65" x14ac:dyDescent="0.2">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row>
    <row r="98" spans="1:65" x14ac:dyDescent="0.2">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row>
    <row r="99" spans="1:65" x14ac:dyDescent="0.2">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row>
    <row r="100" spans="1:65"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row>
    <row r="101" spans="1:65"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row>
    <row r="102" spans="1:65"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row>
    <row r="103" spans="1:6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row>
    <row r="104" spans="1:6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row>
    <row r="105" spans="1:6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row>
    <row r="106" spans="1:6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sheetData>
  <mergeCells count="13">
    <mergeCell ref="C19:E19"/>
    <mergeCell ref="B5:H5"/>
    <mergeCell ref="F6:F7"/>
    <mergeCell ref="H6:H7"/>
    <mergeCell ref="G6:G7"/>
    <mergeCell ref="E6:E7"/>
    <mergeCell ref="B7:D7"/>
    <mergeCell ref="B50:I55"/>
    <mergeCell ref="B58:I59"/>
    <mergeCell ref="B62:I63"/>
    <mergeCell ref="E20:E22"/>
    <mergeCell ref="D20:D22"/>
    <mergeCell ref="C20:C22"/>
  </mergeCells>
  <phoneticPr fontId="12"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89F91-0AB8-A04A-BE66-DAC0DFDD2DC6}">
  <sheetPr codeName="Sheet3"/>
  <dimension ref="B3:B5"/>
  <sheetViews>
    <sheetView showGridLines="0" workbookViewId="0">
      <selection activeCell="B3" sqref="B3"/>
    </sheetView>
  </sheetViews>
  <sheetFormatPr baseColWidth="10" defaultRowHeight="16" x14ac:dyDescent="0.2"/>
  <cols>
    <col min="1" max="16384" width="10.83203125" style="50"/>
  </cols>
  <sheetData>
    <row r="3" spans="2:2" ht="19" x14ac:dyDescent="0.25">
      <c r="B3" s="2" t="s">
        <v>62</v>
      </c>
    </row>
    <row r="4" spans="2:2" ht="19" x14ac:dyDescent="0.25">
      <c r="B4" s="13" t="s">
        <v>82</v>
      </c>
    </row>
    <row r="5" spans="2:2" ht="19" x14ac:dyDescent="0.25">
      <c r="B5" s="13" t="s">
        <v>83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Risk Margin</vt:lpstr>
      <vt:lpstr>Balanced Scorecard</vt:lpstr>
      <vt:lpstr>Derivation-Lognormal RiskMargin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Steve Roll</cp:lastModifiedBy>
  <dcterms:created xsi:type="dcterms:W3CDTF">2020-08-07T14:18:21Z</dcterms:created>
  <dcterms:modified xsi:type="dcterms:W3CDTF">2025-02-03T21:15:58Z</dcterms:modified>
</cp:coreProperties>
</file>