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Cookbook/Exam 7 Cookbook - Excel Version (Fall 2026)/"/>
    </mc:Choice>
  </mc:AlternateContent>
  <xr:revisionPtr revIDLastSave="0" documentId="13_ncr:1_{0FA2D717-1B83-BC47-A2E4-0CFE7BEB46DB}" xr6:coauthVersionLast="47" xr6:coauthVersionMax="47" xr10:uidLastSave="{00000000-0000-0000-0000-000000000000}"/>
  <bookViews>
    <workbookView xWindow="5160" yWindow="600" windowWidth="30100" windowHeight="21000" firstSheet="7" activeTab="7" xr2:uid="{67E4B7FD-43CA-AD47-92B8-7B11E24113C5}"/>
  </bookViews>
  <sheets>
    <sheet name="p-p and Histogram" sheetId="4" r:id="rId1"/>
    <sheet name="Interpret p-p Plots" sheetId="5" r:id="rId2"/>
    <sheet name="K-S Test" sheetId="6" r:id="rId3"/>
    <sheet name="CRC Model" sheetId="9" r:id="rId4"/>
    <sheet name="SCC Model" sheetId="15" r:id="rId5"/>
    <sheet name="CSR Model &amp; Residuals" sheetId="11" r:id="rId6"/>
    <sheet name="CAY Model" sheetId="12" r:id="rId7"/>
    <sheet name="IPI Model" sheetId="13" r:id="rId8"/>
    <sheet name="Predicted Percentile" sheetId="10" r:id="rId9"/>
    <sheet name="Prospective Diagnostics" sheetId="14" r:id="rId10"/>
    <sheet name="Best Estimate" sheetId="1" r:id="rId11"/>
    <sheet name="Risk Margin" sheetId="16" r:id="rId12"/>
    <sheet name="Diversification Credit" sheetId="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 i="10" l="1"/>
  <c r="G68" i="10"/>
  <c r="H48" i="10"/>
  <c r="G40" i="15"/>
  <c r="H41" i="15"/>
  <c r="F49" i="2"/>
  <c r="F36" i="2"/>
  <c r="E36" i="2"/>
  <c r="G58" i="1" l="1"/>
  <c r="D58" i="1"/>
  <c r="G60" i="1"/>
  <c r="H39" i="1"/>
  <c r="H38" i="1"/>
  <c r="G39" i="1"/>
  <c r="E61" i="14"/>
  <c r="E59" i="14"/>
  <c r="H61" i="14"/>
  <c r="G62" i="14"/>
  <c r="F59" i="14"/>
  <c r="G55" i="13"/>
  <c r="G56" i="13"/>
  <c r="G44" i="13"/>
  <c r="I60" i="12"/>
  <c r="G60" i="12"/>
  <c r="C60" i="12"/>
  <c r="D47" i="11"/>
  <c r="D46" i="11"/>
  <c r="F31" i="11"/>
  <c r="I31" i="11"/>
  <c r="D83" i="9" l="1"/>
  <c r="D36" i="2"/>
  <c r="E40" i="16"/>
  <c r="D40" i="16"/>
  <c r="D60" i="14"/>
  <c r="D59" i="14"/>
  <c r="E46" i="11"/>
  <c r="G46" i="11"/>
  <c r="I32" i="11"/>
  <c r="E31" i="11"/>
  <c r="D31" i="11"/>
  <c r="H40" i="15"/>
  <c r="E41" i="16" l="1"/>
  <c r="E42" i="16" s="1"/>
  <c r="D37" i="2"/>
  <c r="E51" i="2"/>
  <c r="D14" i="2"/>
  <c r="D40" i="2"/>
  <c r="D39" i="2"/>
  <c r="D38" i="2"/>
  <c r="E52" i="2"/>
  <c r="E50" i="2"/>
  <c r="E49" i="2"/>
  <c r="E37" i="2" l="1"/>
  <c r="E38" i="2"/>
  <c r="E39" i="2"/>
  <c r="E40" i="2" l="1"/>
  <c r="H40" i="16"/>
  <c r="H55" i="16" s="1"/>
  <c r="H56" i="16" s="1"/>
  <c r="G40" i="16"/>
  <c r="F40" i="16"/>
  <c r="F41" i="16" s="1"/>
  <c r="F42" i="16" s="1"/>
  <c r="D55" i="16"/>
  <c r="D56" i="16" s="1"/>
  <c r="H41" i="1"/>
  <c r="G57" i="1" s="1"/>
  <c r="H40" i="1"/>
  <c r="G41" i="1"/>
  <c r="G40" i="1"/>
  <c r="F41" i="1"/>
  <c r="F40" i="1"/>
  <c r="E41" i="1"/>
  <c r="D57" i="1" s="1"/>
  <c r="G85" i="14"/>
  <c r="G84" i="14"/>
  <c r="H62" i="14"/>
  <c r="F62" i="14"/>
  <c r="E62" i="14"/>
  <c r="D62" i="14"/>
  <c r="G61" i="14"/>
  <c r="F61" i="14"/>
  <c r="D61" i="14"/>
  <c r="H60" i="14"/>
  <c r="D88" i="14" s="1"/>
  <c r="G60" i="14"/>
  <c r="F60" i="14"/>
  <c r="E60" i="14"/>
  <c r="H59" i="14"/>
  <c r="G59" i="14"/>
  <c r="E57" i="1" l="1"/>
  <c r="E58" i="1" s="1"/>
  <c r="D86" i="14"/>
  <c r="D85" i="14"/>
  <c r="F37" i="2"/>
  <c r="F40" i="2"/>
  <c r="D50" i="2"/>
  <c r="F50" i="2" s="1"/>
  <c r="F38" i="2"/>
  <c r="D51" i="2" s="1"/>
  <c r="F51" i="2" s="1"/>
  <c r="F39" i="2"/>
  <c r="D52" i="2" s="1"/>
  <c r="F52" i="2" s="1"/>
  <c r="E53" i="2"/>
  <c r="G41" i="16"/>
  <c r="G42" i="16" s="1"/>
  <c r="E55" i="16"/>
  <c r="E56" i="16" s="1"/>
  <c r="H41" i="16"/>
  <c r="H42" i="16" s="1"/>
  <c r="F55" i="16"/>
  <c r="F56" i="16" s="1"/>
  <c r="G55" i="16"/>
  <c r="G56" i="16" s="1"/>
  <c r="F57" i="1"/>
  <c r="F58" i="1" s="1"/>
  <c r="H49" i="10"/>
  <c r="G58" i="16" l="1"/>
  <c r="G44" i="16"/>
  <c r="D82" i="14"/>
  <c r="D84" i="14" s="1"/>
  <c r="D87" i="14"/>
  <c r="D49" i="2"/>
  <c r="D53" i="2"/>
  <c r="F53" i="2" s="1"/>
  <c r="G45" i="13" l="1"/>
  <c r="G58" i="13" l="1"/>
  <c r="G47" i="13"/>
  <c r="G41" i="15"/>
  <c r="I59" i="12" l="1"/>
  <c r="E60" i="12" s="1"/>
  <c r="H61" i="12"/>
  <c r="H60" i="12"/>
  <c r="H59" i="12"/>
  <c r="D60" i="12"/>
  <c r="C61" i="12"/>
  <c r="D61" i="12"/>
  <c r="D59" i="12"/>
  <c r="C59" i="12"/>
  <c r="G43" i="12" s="1"/>
  <c r="G59" i="12" l="1"/>
  <c r="F60" i="12" s="1"/>
  <c r="D34" i="11"/>
  <c r="D33" i="11"/>
  <c r="D32" i="11"/>
  <c r="H34" i="11"/>
  <c r="H33" i="11"/>
  <c r="H32" i="11"/>
  <c r="H31" i="11"/>
  <c r="G34" i="11"/>
  <c r="G33" i="11"/>
  <c r="G32" i="11"/>
  <c r="G31" i="11"/>
  <c r="F34" i="11"/>
  <c r="F33" i="11"/>
  <c r="F32" i="11"/>
  <c r="E34" i="11"/>
  <c r="E33" i="11"/>
  <c r="E32" i="11"/>
  <c r="F49" i="11"/>
  <c r="F48" i="11"/>
  <c r="F47" i="11"/>
  <c r="F46" i="11"/>
  <c r="E49" i="11"/>
  <c r="E48" i="11"/>
  <c r="E47" i="11"/>
  <c r="E61" i="12" l="1"/>
  <c r="G61" i="12" s="1"/>
  <c r="F61" i="12"/>
  <c r="I33" i="11"/>
  <c r="D48" i="11" s="1"/>
  <c r="G48" i="11" s="1"/>
  <c r="I34" i="11"/>
  <c r="D49" i="11" s="1"/>
  <c r="G49" i="11" s="1"/>
  <c r="G47" i="11"/>
  <c r="D84" i="9"/>
  <c r="D82" i="9"/>
  <c r="D81" i="9"/>
  <c r="D80" i="9"/>
  <c r="D79" i="9"/>
  <c r="D78" i="9"/>
  <c r="D77" i="9"/>
  <c r="D76" i="9"/>
  <c r="E84" i="9"/>
  <c r="E83" i="9"/>
  <c r="F83" i="9" s="1"/>
  <c r="E82" i="9"/>
  <c r="E81" i="9"/>
  <c r="E80" i="9"/>
  <c r="E79" i="9"/>
  <c r="E78" i="9"/>
  <c r="E77" i="9"/>
  <c r="E76" i="9"/>
  <c r="I61" i="12" l="1"/>
  <c r="F79" i="9"/>
  <c r="F80" i="9"/>
  <c r="F82" i="9"/>
  <c r="F81" i="9"/>
  <c r="F76" i="9"/>
  <c r="F84" i="9"/>
  <c r="F77" i="9"/>
  <c r="F78" i="9"/>
  <c r="F94" i="9" l="1"/>
  <c r="E55" i="6"/>
  <c r="E54" i="6"/>
  <c r="E53" i="6"/>
  <c r="E52" i="6"/>
  <c r="E51" i="6"/>
  <c r="E50" i="6"/>
  <c r="E49" i="6"/>
  <c r="E48" i="6"/>
  <c r="E47" i="6"/>
  <c r="E46" i="6"/>
  <c r="D46" i="6" a="1"/>
  <c r="F53" i="6" s="1"/>
  <c r="G27" i="6"/>
  <c r="F83" i="4"/>
  <c r="F82" i="4"/>
  <c r="F81" i="4"/>
  <c r="F80" i="4"/>
  <c r="F79" i="4"/>
  <c r="F78" i="4"/>
  <c r="F77" i="4"/>
  <c r="F76" i="4"/>
  <c r="F75" i="4"/>
  <c r="F74" i="4"/>
  <c r="E74" i="4" a="1"/>
  <c r="G81" i="4" s="1"/>
  <c r="F50" i="6" l="1"/>
  <c r="F54" i="6"/>
  <c r="G75" i="4"/>
  <c r="G79" i="4"/>
  <c r="G83" i="4"/>
  <c r="F48" i="6"/>
  <c r="G78" i="4"/>
  <c r="G82" i="4"/>
  <c r="F47" i="6"/>
  <c r="F51" i="6"/>
  <c r="F55" i="6"/>
  <c r="F52" i="6"/>
  <c r="G76" i="4"/>
  <c r="G80" i="4"/>
  <c r="D46" i="6"/>
  <c r="F46" i="6" s="1"/>
  <c r="D61" i="6" s="1"/>
  <c r="F49" i="6"/>
  <c r="E74" i="4"/>
  <c r="G74" i="4" s="1"/>
  <c r="G7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<sst xmlns="http://schemas.openxmlformats.org/spreadsheetml/2006/main" count="701" uniqueCount="489">
  <si>
    <t>More Practice</t>
  </si>
  <si>
    <t>Source</t>
  </si>
  <si>
    <t>Discussion</t>
  </si>
  <si>
    <t>5)</t>
  </si>
  <si>
    <t>4)</t>
  </si>
  <si>
    <t>3)</t>
  </si>
  <si>
    <t>2)</t>
  </si>
  <si>
    <t>1)</t>
  </si>
  <si>
    <t>Solution</t>
  </si>
  <si>
    <t>b.</t>
  </si>
  <si>
    <t>a.</t>
  </si>
  <si>
    <t>Problem</t>
  </si>
  <si>
    <t>Exam-Day Reminders</t>
  </si>
  <si>
    <t>Exam Spreadsheet Tips</t>
  </si>
  <si>
    <t>Meyers - p-p Plots &amp; Histogram</t>
  </si>
  <si>
    <t>To attempt to validate the Mack model, 10 datasets of historical loss triangles were gathered. Each dataset includes a loss triangle for accident years 2001-2010 evaluated as of 12/31/2010 as well as the actual ultimate loss in total for the accident years as of 12/31/2020.
The Mack model was run on each historical triangle to calculate the estimated total ultimate loss and standard deviation. The percentile of the actual loss outcomes within the estimated lognormal distribution of ultimate loss from the model was calculated for each dataset. 
The results are summarized below:</t>
  </si>
  <si>
    <t>Dataset</t>
  </si>
  <si>
    <t>Percentile of Outcome</t>
  </si>
  <si>
    <t>Plot a histogram of the percentiles using five buckets of equal spacing.</t>
  </si>
  <si>
    <t>Create a p-p plot from the percentiles.</t>
  </si>
  <si>
    <t>c.</t>
  </si>
  <si>
    <t>Interpret the results of parts a and b and discuss the appropriateness of the Mack model for these datasets.</t>
  </si>
  <si>
    <t>Part a - Histogram of Percentiles</t>
  </si>
  <si>
    <t>Calculate the frequency of the observed percentiles within the modeled distributions in each bucket.</t>
  </si>
  <si>
    <t>Frequency of Percentiles</t>
  </si>
  <si>
    <t>Bucket</t>
  </si>
  <si>
    <t>Frequency</t>
  </si>
  <si>
    <t>0-20</t>
  </si>
  <si>
    <t>20-40</t>
  </si>
  <si>
    <t>40-60</t>
  </si>
  <si>
    <t>60-80</t>
  </si>
  <si>
    <t>80-100</t>
  </si>
  <si>
    <t>Plot the histogram of the frequency of observed percentiles.</t>
  </si>
  <si>
    <t>Part b - p-p Plot of Dataset Percentiles</t>
  </si>
  <si>
    <r>
      <t xml:space="preserve">Sort the percentiles in ascending order and calculate the </t>
    </r>
    <r>
      <rPr>
        <b/>
        <i/>
        <u/>
        <sz val="12"/>
        <color theme="1"/>
        <rFont val="Calibri"/>
        <family val="2"/>
      </rPr>
      <t>expected</t>
    </r>
    <r>
      <rPr>
        <b/>
        <sz val="12"/>
        <color theme="1"/>
        <rFont val="Calibri"/>
        <family val="2"/>
      </rPr>
      <t xml:space="preserve"> value of the percentiles if the model were appropriate.</t>
    </r>
  </si>
  <si>
    <r>
      <t>Index(</t>
    </r>
    <r>
      <rPr>
        <i/>
        <sz val="12"/>
        <color rgb="FF000000"/>
        <rFont val="Calibri"/>
        <family val="2"/>
      </rPr>
      <t>i</t>
    </r>
    <r>
      <rPr>
        <sz val="12"/>
        <color rgb="FF000000"/>
        <rFont val="Calibri"/>
        <family val="2"/>
      </rPr>
      <t>)</t>
    </r>
  </si>
  <si>
    <t>dataset #</t>
  </si>
  <si>
    <t>Sorted Percentile</t>
  </si>
  <si>
    <t>Expected Percentile</t>
  </si>
  <si>
    <t>Sorted - Expected</t>
  </si>
  <si>
    <r>
      <t xml:space="preserve">Note: </t>
    </r>
    <r>
      <rPr>
        <sz val="12"/>
        <color theme="1"/>
        <rFont val="Calibri"/>
        <family val="2"/>
      </rPr>
      <t>Use the Sort feature in the ribbon or the SORT() function to quickly sort the percentiles.</t>
    </r>
  </si>
  <si>
    <t>Plot the sorted, observed percentiles against the expected percentiles and a 45° line for comparison.</t>
  </si>
  <si>
    <t xml:space="preserve">x-axis: Expected Percentile </t>
  </si>
  <si>
    <t>y-axis: Sorted Percentile</t>
  </si>
  <si>
    <t>Part c - Interpret the Plots</t>
  </si>
  <si>
    <r>
      <t xml:space="preserve">The histogram shows that actual ultimate loss observations fall consistently at </t>
    </r>
    <r>
      <rPr>
        <i/>
        <u/>
        <sz val="12"/>
        <color theme="1"/>
        <rFont val="Calibri"/>
        <family val="2"/>
      </rPr>
      <t>higher and lower percentiles</t>
    </r>
    <r>
      <rPr>
        <sz val="12"/>
        <color theme="1"/>
        <rFont val="Calibri"/>
        <family val="2"/>
      </rPr>
      <t xml:space="preserve"> on the model’s distribution than the model expects.</t>
    </r>
  </si>
  <si>
    <t>The percentiles of actual observations on the model distribution should be uniformly distributed, so we expect the histogram to have bars of roughly equal height.</t>
  </si>
  <si>
    <t>The p-p plot shows a slanted S curve, also demonstrating more high and low percentiles of actual observations than expected. The p-p plot would line up with the 45° line if the percentiles were uniformly distributed.</t>
  </si>
  <si>
    <r>
      <t xml:space="preserve">Based on the above, the Mack model is </t>
    </r>
    <r>
      <rPr>
        <i/>
        <u/>
        <sz val="12"/>
        <color theme="1"/>
        <rFont val="Calibri"/>
        <family val="2"/>
      </rPr>
      <t>too light in the tails</t>
    </r>
    <r>
      <rPr>
        <sz val="12"/>
        <color theme="1"/>
        <rFont val="Calibri"/>
        <family val="2"/>
      </rPr>
      <t xml:space="preserve"> for the data.</t>
    </r>
  </si>
  <si>
    <r>
      <t xml:space="preserve">The main goal of this paper is to retrospectively test different reserve distribution models to see which models perform best. 
For this problem, we are testing the validity of the Mack model using 10 historical loss triangles that have already developed to ultimate. For each loss triangle (dataset), the Mack model calculates a predicted distribution of ultimate losses. The “Percentile of Outcome” for each dataset shows where the </t>
    </r>
    <r>
      <rPr>
        <i/>
        <u/>
        <sz val="12"/>
        <color theme="1"/>
        <rFont val="Calibri"/>
        <family val="2"/>
      </rPr>
      <t>actual ultimate loss</t>
    </r>
    <r>
      <rPr>
        <sz val="12"/>
        <color theme="1"/>
        <rFont val="Calibri"/>
        <family val="2"/>
      </rPr>
      <t xml:space="preserve"> falls within the </t>
    </r>
    <r>
      <rPr>
        <i/>
        <u/>
        <sz val="12"/>
        <color theme="1"/>
        <rFont val="Calibri"/>
        <family val="2"/>
      </rPr>
      <t>predicted distribution</t>
    </r>
    <r>
      <rPr>
        <sz val="12"/>
        <color theme="1"/>
        <rFont val="Calibri"/>
        <family val="2"/>
      </rPr>
      <t xml:space="preserve">.
If a model performs well, then the “Percentile of Outcomes” over the 10 datasets should appear to be uniformly distributed. The analysis in the Meyers paper (and the output in this problem) show that the Mack model is </t>
    </r>
    <r>
      <rPr>
        <i/>
        <u/>
        <sz val="12"/>
        <color theme="1"/>
        <rFont val="Calibri"/>
        <family val="2"/>
      </rPr>
      <t>light-tailed</t>
    </r>
    <r>
      <rPr>
        <sz val="12"/>
        <color theme="1"/>
        <rFont val="Calibri"/>
        <family val="2"/>
      </rPr>
      <t>, meaning its predictive distribution of ultimate losses is too narrow.</t>
    </r>
  </si>
  <si>
    <t>Interpretation of a Light-Tailed Model</t>
  </si>
  <si>
    <t>Consider the Mack model fitted to Dataset 1:
Assume the actual, ultimate loss for accident years 2001-2010 in Dataset 1 is $16.5M.
Using the loss triangle as of 12/31/2010, we fit a Mack model and calculate the predicted distribution of ultimate loss. The actual ultimate loss is at the 0.4% percentile, in the far-left tail of the Mack model distribution. According to the predicted distribution of ultimate losses, there is less than a 1% chance that the ultimate loss will be as low or lower than the actual ultimate loss ($16.5M).
The graph below shows the predicted loss distributions for both the Mack model, which is light-tailed, and a “Better” model. While the Mack model implies a $16.5M ultimate loss is highly unlikely, the “Better” Model distribution indicates that a $16.5M ultimate loss is reasonably likely to occur (5.6% percentile).</t>
  </si>
  <si>
    <r>
      <t xml:space="preserve">When many of the Percentiles of Outcome of actual ultimate losses for different datasets are in the extreme left and right tail of the predicted distribution, like for the Mack model, it indicates that the model is </t>
    </r>
    <r>
      <rPr>
        <i/>
        <u/>
        <sz val="12"/>
        <color theme="1"/>
        <rFont val="Calibri"/>
        <family val="2"/>
      </rPr>
      <t>too light in the tails</t>
    </r>
    <r>
      <rPr>
        <sz val="12"/>
        <color theme="1"/>
        <rFont val="Calibri"/>
        <family val="2"/>
      </rPr>
      <t>. This is indicated in the histogram (step 2) by high bars on the left and right side.</t>
    </r>
  </si>
  <si>
    <t>Note:</t>
  </si>
  <si>
    <r>
      <t>The correct denominator for e</t>
    </r>
    <r>
      <rPr>
        <vertAlign val="subscript"/>
        <sz val="12"/>
        <color theme="1"/>
        <rFont val="Calibri"/>
        <family val="2"/>
      </rPr>
      <t>i</t>
    </r>
    <r>
      <rPr>
        <sz val="12"/>
        <color theme="1"/>
        <rFont val="Calibri"/>
        <family val="2"/>
      </rPr>
      <t>, the expected percentile for the p-p plot, is (n + 1), which is different than for the K-S test.</t>
    </r>
  </si>
  <si>
    <t>RF Meyers – 1</t>
  </si>
  <si>
    <t>Meyers - Interpret p-p Plots</t>
  </si>
  <si>
    <t>Five different stochastic models were tested on 200 datasets to compare actual ultimate loss outcomes</t>
  </si>
  <si>
    <t>predicted distribution was calculated for each dataset and model. Below are p-p plots from each model:</t>
  </si>
  <si>
    <t>Model 1</t>
  </si>
  <si>
    <t>Model 2</t>
  </si>
  <si>
    <t>Model 3</t>
  </si>
  <si>
    <t>Model 4</t>
  </si>
  <si>
    <t>Model 5</t>
  </si>
  <si>
    <t>For each model, interpret the p-p plot and discuss the appropriateness of the model for these datasets.</t>
  </si>
  <si>
    <t>1) Model 1</t>
  </si>
  <si>
    <r>
      <t xml:space="preserve">• Actual observations fall consistently at </t>
    </r>
    <r>
      <rPr>
        <i/>
        <u/>
        <sz val="12"/>
        <color theme="1"/>
        <rFont val="Calibri"/>
        <family val="2"/>
      </rPr>
      <t>higher and lower percentiles</t>
    </r>
    <r>
      <rPr>
        <sz val="12"/>
        <color theme="1"/>
        <rFont val="Calibri"/>
        <family val="2"/>
      </rPr>
      <t xml:space="preserve"> on the model distribution than expected.
• The model is light tailed and inappropriate for use, since actual losses will be likely to develop to the high or low extremes of the predicted distribution from the model.</t>
    </r>
  </si>
  <si>
    <t>2) Model 2</t>
  </si>
  <si>
    <r>
      <t xml:space="preserve">• Actual observations fall consistently at </t>
    </r>
    <r>
      <rPr>
        <i/>
        <u/>
        <sz val="12"/>
        <color theme="1"/>
        <rFont val="Calibri"/>
        <family val="2"/>
      </rPr>
      <t>lower percentiles</t>
    </r>
    <r>
      <rPr>
        <sz val="12"/>
        <color theme="1"/>
        <rFont val="Calibri"/>
        <family val="2"/>
      </rPr>
      <t xml:space="preserve"> on the model distribution than expected.
• The model is biased high and is inappropriate for use, since the predicted distributions from the model will be consistently higher than actual loss outcomes.</t>
    </r>
  </si>
  <si>
    <t>3) Model 3</t>
  </si>
  <si>
    <r>
      <t xml:space="preserve">• Actual observations fall consistently at </t>
    </r>
    <r>
      <rPr>
        <i/>
        <u/>
        <sz val="12"/>
        <color theme="1"/>
        <rFont val="Calibri"/>
        <family val="2"/>
      </rPr>
      <t>middle percentiles</t>
    </r>
    <r>
      <rPr>
        <sz val="12"/>
        <color theme="1"/>
        <rFont val="Calibri"/>
        <family val="2"/>
      </rPr>
      <t xml:space="preserve"> on the model distribution than expected.
• The model is heavy tailed and inappropriate for use, since the predicted distributions will be consistently wider than the actual loss outcome.</t>
    </r>
  </si>
  <si>
    <t>4) Model 4</t>
  </si>
  <si>
    <t>• The percentiles of the actual observations on the model distributions are consistent with those expected. The observed percentiles appear to be uniformly distributed.
• The model is appropriate for use and the predicted distributions are in line with the distribution of the actual outcomes.</t>
  </si>
  <si>
    <t>5) Model 5</t>
  </si>
  <si>
    <r>
      <t xml:space="preserve">• Actual observations fall consistently at </t>
    </r>
    <r>
      <rPr>
        <i/>
        <u/>
        <sz val="12"/>
        <color theme="1"/>
        <rFont val="Calibri"/>
        <family val="2"/>
      </rPr>
      <t>higher percentiles</t>
    </r>
    <r>
      <rPr>
        <sz val="12"/>
        <color theme="1"/>
        <rFont val="Calibri"/>
        <family val="2"/>
      </rPr>
      <t xml:space="preserve"> on the model distribution than expected.
• The model is biased low and inappropriate for use, since the predicted distributions from the model will be consistently lower than actual loss outcomes.</t>
    </r>
  </si>
  <si>
    <t>CAS 2017 – 13</t>
  </si>
  <si>
    <t>RF Meyers – 2</t>
  </si>
  <si>
    <t xml:space="preserve">RF Meyers – 7 </t>
  </si>
  <si>
    <t>Meyers - Kolmogorov-Smirnov (K-S) Test</t>
  </si>
  <si>
    <t>A stochastic reserve model is tested on 10 datasets to compare actual loss outcomes against the predicted</t>
  </si>
  <si>
    <t>distributions. The percentile of the actual loss outcome within the predicted distribution was calculated for</t>
  </si>
  <si>
    <t>each dataset and the results are summarized below:</t>
  </si>
  <si>
    <t>Determine if the percentiles from the modeled datasets pass the Kolmogorov-Smirnov test at the 5% level.</t>
  </si>
  <si>
    <t>Calculate the critical value for the K-S test.</t>
  </si>
  <si>
    <t xml:space="preserve">critical value(5%) = </t>
  </si>
  <si>
    <r>
      <t>Sort the percentiles, p</t>
    </r>
    <r>
      <rPr>
        <b/>
        <vertAlign val="subscript"/>
        <sz val="12"/>
        <color theme="1"/>
        <rFont val="Calibri"/>
        <family val="2"/>
      </rPr>
      <t>i</t>
    </r>
    <r>
      <rPr>
        <b/>
        <sz val="12"/>
        <color theme="1"/>
        <rFont val="Calibri"/>
        <family val="2"/>
      </rPr>
      <t>, in ascending order.</t>
    </r>
  </si>
  <si>
    <t xml:space="preserve">See table in step 4 </t>
  </si>
  <si>
    <r>
      <t>Calculate the K-S expected value of the percentiles, f</t>
    </r>
    <r>
      <rPr>
        <b/>
        <vertAlign val="subscript"/>
        <sz val="12"/>
        <color theme="1"/>
        <rFont val="Calibri"/>
        <family val="2"/>
      </rPr>
      <t>i</t>
    </r>
    <r>
      <rPr>
        <b/>
        <sz val="12"/>
        <color theme="1"/>
        <rFont val="Calibri"/>
        <family val="2"/>
      </rPr>
      <t>.</t>
    </r>
  </si>
  <si>
    <r>
      <t>Calculate the absolute difference between each sorted percentile (p</t>
    </r>
    <r>
      <rPr>
        <b/>
        <vertAlign val="subscript"/>
        <sz val="12"/>
        <color theme="1"/>
        <rFont val="Calibri"/>
        <family val="2"/>
      </rPr>
      <t>i</t>
    </r>
    <r>
      <rPr>
        <b/>
        <sz val="12"/>
        <color theme="1"/>
        <rFont val="Calibri"/>
        <family val="2"/>
      </rPr>
      <t>) and K-S percentile (f</t>
    </r>
    <r>
      <rPr>
        <b/>
        <vertAlign val="subscript"/>
        <sz val="12"/>
        <color theme="1"/>
        <rFont val="Calibri"/>
        <family val="2"/>
      </rPr>
      <t>i</t>
    </r>
    <r>
      <rPr>
        <b/>
        <sz val="12"/>
        <color theme="1"/>
        <rFont val="Calibri"/>
        <family val="2"/>
      </rPr>
      <t>).</t>
    </r>
  </si>
  <si>
    <t>data set #</t>
  </si>
  <si>
    <r>
      <t>Sorted Percentile(</t>
    </r>
    <r>
      <rPr>
        <i/>
        <sz val="12"/>
        <color rgb="FF000000"/>
        <rFont val="Calibri"/>
        <family val="2"/>
      </rPr>
      <t>p</t>
    </r>
    <r>
      <rPr>
        <i/>
        <vertAlign val="subscript"/>
        <sz val="12"/>
        <color rgb="FF000000"/>
        <rFont val="Calibri"/>
        <family val="2"/>
      </rPr>
      <t>i</t>
    </r>
    <r>
      <rPr>
        <sz val="12"/>
        <color rgb="FF000000"/>
        <rFont val="Calibri"/>
        <family val="2"/>
      </rPr>
      <t>)</t>
    </r>
  </si>
  <si>
    <r>
      <t>K-S Percentile(</t>
    </r>
    <r>
      <rPr>
        <i/>
        <sz val="12"/>
        <color rgb="FF000000"/>
        <rFont val="Calibri"/>
        <family val="2"/>
      </rPr>
      <t>f</t>
    </r>
    <r>
      <rPr>
        <i/>
        <vertAlign val="subscript"/>
        <sz val="12"/>
        <color rgb="FF000000"/>
        <rFont val="Calibri"/>
        <family val="2"/>
      </rPr>
      <t>i</t>
    </r>
    <r>
      <rPr>
        <sz val="12"/>
        <color rgb="FF000000"/>
        <rFont val="Calibri"/>
        <family val="2"/>
      </rPr>
      <t>)</t>
    </r>
  </si>
  <si>
    <r>
      <t>|</t>
    </r>
    <r>
      <rPr>
        <i/>
        <sz val="12"/>
        <color rgb="FF000000"/>
        <rFont val="Calibri"/>
        <family val="2"/>
      </rPr>
      <t>p</t>
    </r>
    <r>
      <rPr>
        <i/>
        <vertAlign val="subscript"/>
        <sz val="12"/>
        <color rgb="FF000000"/>
        <rFont val="Calibri"/>
        <family val="2"/>
      </rPr>
      <t xml:space="preserve">i </t>
    </r>
    <r>
      <rPr>
        <sz val="12"/>
        <color rgb="FF000000"/>
        <rFont val="Calibri"/>
        <family val="2"/>
      </rPr>
      <t xml:space="preserve">- </t>
    </r>
    <r>
      <rPr>
        <i/>
        <sz val="12"/>
        <color rgb="FF000000"/>
        <rFont val="Calibri"/>
        <family val="2"/>
      </rPr>
      <t>f</t>
    </r>
    <r>
      <rPr>
        <i/>
        <vertAlign val="subscript"/>
        <sz val="12"/>
        <color rgb="FF000000"/>
        <rFont val="Calibri"/>
        <family val="2"/>
      </rPr>
      <t>i</t>
    </r>
    <r>
      <rPr>
        <sz val="12"/>
        <color rgb="FF000000"/>
        <rFont val="Calibri"/>
        <family val="2"/>
      </rPr>
      <t>|</t>
    </r>
  </si>
  <si>
    <t>Find D, the max absolute difference of the sorted percentiles and K-S percentiles.</t>
  </si>
  <si>
    <t xml:space="preserve">D = </t>
  </si>
  <si>
    <t>6)</t>
  </si>
  <si>
    <t>D &gt; critical value:</t>
  </si>
  <si>
    <t>• Reject the null hypothesis that the set of percentiles is uniform.</t>
  </si>
  <si>
    <t>D ≤ critical value:</t>
  </si>
  <si>
    <t xml:space="preserve">• Do not reject the null hypothesis. </t>
  </si>
  <si>
    <t>39.7 ≤ 43.0</t>
  </si>
  <si>
    <t>Since D ≤ critical value, the percentiles pass the K-S test and we do not reject the null hypothesis that the set of percentiles is uniform. The model is validated according to this test.</t>
  </si>
  <si>
    <r>
      <t>The K-S test is another way to test the validity of a reserve distribution model. The K-S test compares the maximum distance between the predicted percentiles and the expected percentiles (the K-S statistic) to a threshold. If the K-S statistic is greater than the threshold, then the test fails and we reject the null hypothesis that the percentiles are uniformly distributed.
Note that the formula for</t>
    </r>
    <r>
      <rPr>
        <i/>
        <sz val="12"/>
        <color theme="1"/>
        <rFont val="Calibri"/>
        <family val="2"/>
      </rPr>
      <t xml:space="preserve"> f</t>
    </r>
    <r>
      <rPr>
        <i/>
        <vertAlign val="subscript"/>
        <sz val="12"/>
        <color theme="1"/>
        <rFont val="Calibri"/>
        <family val="2"/>
      </rPr>
      <t>i</t>
    </r>
    <r>
      <rPr>
        <vertAlign val="subscript"/>
        <sz val="12"/>
        <color theme="1"/>
        <rFont val="Calibri"/>
        <family val="2"/>
      </rPr>
      <t xml:space="preserve"> </t>
    </r>
    <r>
      <rPr>
        <sz val="12"/>
        <color theme="1"/>
        <rFont val="Calibri"/>
        <family val="2"/>
      </rPr>
      <t>,the K-S expected value of the percentiles, is slightly different than the formula for e</t>
    </r>
    <r>
      <rPr>
        <vertAlign val="subscript"/>
        <sz val="12"/>
        <color theme="1"/>
        <rFont val="Calibri"/>
        <family val="2"/>
      </rPr>
      <t>i</t>
    </r>
    <r>
      <rPr>
        <sz val="12"/>
        <color theme="1"/>
        <rFont val="Calibri"/>
        <family val="2"/>
      </rPr>
      <t xml:space="preserve"> used for creating the p-p plots since the denominator is (n) instead of (n+1). </t>
    </r>
  </si>
  <si>
    <t>This is simply a difference between the two statistical tests. See page 8 in Meyers for further context.</t>
  </si>
  <si>
    <t>For sorting data, there are two easy ways to do this in the Pearson Vue testing environment:
1 - Use the Sort feature in the ribbon of the spreadsheet, just like Excel.
2 - Use the SORT() formula.</t>
  </si>
  <si>
    <t xml:space="preserve">CAS 2016 – 15 </t>
  </si>
  <si>
    <t>RF Meyers – 3</t>
  </si>
  <si>
    <t>RF Meyers – 6</t>
  </si>
  <si>
    <t>RF Meyers – 7</t>
  </si>
  <si>
    <t>Parameter</t>
  </si>
  <si>
    <t>Sampled Value</t>
  </si>
  <si>
    <r>
      <t>⍺</t>
    </r>
    <r>
      <rPr>
        <vertAlign val="subscript"/>
        <sz val="12"/>
        <rFont val="Calibri"/>
        <family val="2"/>
      </rPr>
      <t>1</t>
    </r>
  </si>
  <si>
    <r>
      <t>⍺</t>
    </r>
    <r>
      <rPr>
        <vertAlign val="subscript"/>
        <sz val="12"/>
        <rFont val="Calibri"/>
        <family val="2"/>
      </rPr>
      <t>2</t>
    </r>
  </si>
  <si>
    <t>…</t>
  </si>
  <si>
    <r>
      <t>⍺</t>
    </r>
    <r>
      <rPr>
        <vertAlign val="subscript"/>
        <sz val="12"/>
        <rFont val="Calibri"/>
        <family val="2"/>
      </rPr>
      <t>10</t>
    </r>
  </si>
  <si>
    <r>
      <t>β</t>
    </r>
    <r>
      <rPr>
        <vertAlign val="subscript"/>
        <sz val="12"/>
        <rFont val="Calibri"/>
        <family val="2"/>
      </rPr>
      <t>1</t>
    </r>
  </si>
  <si>
    <r>
      <t>β</t>
    </r>
    <r>
      <rPr>
        <vertAlign val="subscript"/>
        <sz val="12"/>
        <rFont val="Calibri"/>
        <family val="2"/>
      </rPr>
      <t>2</t>
    </r>
  </si>
  <si>
    <r>
      <t>β</t>
    </r>
    <r>
      <rPr>
        <vertAlign val="subscript"/>
        <sz val="12"/>
        <rFont val="Calibri"/>
        <family val="2"/>
      </rPr>
      <t>10</t>
    </r>
  </si>
  <si>
    <r>
      <t>σ</t>
    </r>
    <r>
      <rPr>
        <vertAlign val="subscript"/>
        <sz val="12"/>
        <rFont val="Calibri"/>
        <family val="2"/>
      </rPr>
      <t>1</t>
    </r>
  </si>
  <si>
    <r>
      <t>σ</t>
    </r>
    <r>
      <rPr>
        <vertAlign val="subscript"/>
        <sz val="12"/>
        <rFont val="Calibri"/>
        <family val="2"/>
      </rPr>
      <t>2</t>
    </r>
  </si>
  <si>
    <r>
      <t>σ</t>
    </r>
    <r>
      <rPr>
        <vertAlign val="subscript"/>
        <sz val="12"/>
        <rFont val="Calibri"/>
        <family val="2"/>
      </rPr>
      <t>10</t>
    </r>
  </si>
  <si>
    <t>⍴</t>
  </si>
  <si>
    <r>
      <t>μ</t>
    </r>
    <r>
      <rPr>
        <vertAlign val="subscript"/>
        <sz val="12"/>
        <color theme="1"/>
        <rFont val="Calibri"/>
        <family val="2"/>
      </rPr>
      <t>1,10</t>
    </r>
    <r>
      <rPr>
        <sz val="12"/>
        <color theme="1"/>
        <rFont val="Calibri"/>
        <family val="2"/>
      </rPr>
      <t xml:space="preserve"> = </t>
    </r>
  </si>
  <si>
    <t>CAS 2019 – 11</t>
  </si>
  <si>
    <t>RF Meyers – 4</t>
  </si>
  <si>
    <t xml:space="preserve">RF Meyers – 8 </t>
  </si>
  <si>
    <t>Meyers – pg. 6-11</t>
  </si>
  <si>
    <t>Meyers – pg. 8-11</t>
  </si>
  <si>
    <t>Meyers – pg. 8-9</t>
  </si>
  <si>
    <t xml:space="preserve">• logelr = </t>
  </si>
  <si>
    <t>rand()</t>
  </si>
  <si>
    <t>When calculating the simulated ultimate losses for each accident year, use the following random values from the uniform distribution:</t>
  </si>
  <si>
    <t>AY (w)</t>
  </si>
  <si>
    <t>Total</t>
  </si>
  <si>
    <t>=LOGNORM.INV(probability, mean, standard deviation)</t>
  </si>
  <si>
    <t>The following Excel formula returns the inverse of the lognormal cumulative distribution function of x:</t>
  </si>
  <si>
    <t>Premium</t>
  </si>
  <si>
    <t>w</t>
  </si>
  <si>
    <t>Meyers - Cross Classified Model (CRC)</t>
  </si>
  <si>
    <t>• There is no loss development after 120 months</t>
  </si>
  <si>
    <t>Accident Year</t>
  </si>
  <si>
    <t>Development Period</t>
  </si>
  <si>
    <r>
      <t>⍺</t>
    </r>
    <r>
      <rPr>
        <vertAlign val="subscript"/>
        <sz val="12"/>
        <color theme="1"/>
        <rFont val="Calibri"/>
        <family val="2"/>
      </rPr>
      <t>w</t>
    </r>
  </si>
  <si>
    <r>
      <t>β</t>
    </r>
    <r>
      <rPr>
        <vertAlign val="subscript"/>
        <sz val="12"/>
        <color theme="1"/>
        <rFont val="Calibri"/>
        <family val="2"/>
      </rPr>
      <t>d</t>
    </r>
  </si>
  <si>
    <r>
      <t>σ</t>
    </r>
    <r>
      <rPr>
        <vertAlign val="subscript"/>
        <sz val="12"/>
        <color theme="1"/>
        <rFont val="Calibri"/>
        <family val="2"/>
      </rPr>
      <t>d</t>
    </r>
  </si>
  <si>
    <r>
      <t>• In the paper, σ</t>
    </r>
    <r>
      <rPr>
        <vertAlign val="subscript"/>
        <sz val="12"/>
        <color theme="1"/>
        <rFont val="Calibri"/>
        <family val="2"/>
      </rPr>
      <t>d</t>
    </r>
    <r>
      <rPr>
        <sz val="12"/>
        <color theme="1"/>
        <rFont val="Calibri"/>
        <family val="2"/>
      </rPr>
      <t xml:space="preserve"> is given, but the formula above is how to solve for it if given the initial </t>
    </r>
    <r>
      <rPr>
        <i/>
        <sz val="12"/>
        <color theme="1"/>
        <rFont val="Calibri"/>
        <family val="2"/>
      </rPr>
      <t>a</t>
    </r>
    <r>
      <rPr>
        <vertAlign val="subscript"/>
        <sz val="12"/>
        <color theme="1"/>
        <rFont val="Calibri"/>
        <family val="2"/>
      </rPr>
      <t>i</t>
    </r>
    <r>
      <rPr>
        <sz val="12"/>
        <color theme="1"/>
        <rFont val="Calibri"/>
        <family val="2"/>
      </rPr>
      <t xml:space="preserve"> parameters</t>
    </r>
  </si>
  <si>
    <t>Notes:</t>
  </si>
  <si>
    <t>Ult Loss</t>
  </si>
  <si>
    <r>
      <t>σ</t>
    </r>
    <r>
      <rPr>
        <vertAlign val="subscript"/>
        <sz val="12"/>
        <color theme="1"/>
        <rFont val="Calibri"/>
        <family val="2"/>
      </rPr>
      <t>10</t>
    </r>
  </si>
  <si>
    <t>In Excel</t>
  </si>
  <si>
    <t>• The first accident year (w = 1) is at ultimate, so it has no simulated value.</t>
  </si>
  <si>
    <t>Sum across accident years to get the total predicted ultimate loss for this simulation.</t>
  </si>
  <si>
    <t>Example:</t>
  </si>
  <si>
    <r>
      <t>• At ultimate, β</t>
    </r>
    <r>
      <rPr>
        <vertAlign val="subscript"/>
        <sz val="12"/>
        <color theme="1"/>
        <rFont val="Calibri"/>
        <family val="2"/>
      </rPr>
      <t>10</t>
    </r>
    <r>
      <rPr>
        <sz val="12"/>
        <color theme="1"/>
        <rFont val="Calibri"/>
        <family val="2"/>
      </rPr>
      <t xml:space="preserve"> = 0, so it falls out of the equation for the lognormal mean</t>
    </r>
  </si>
  <si>
    <t>Loss as of 12/31/2015</t>
  </si>
  <si>
    <r>
      <t>Use LOGNORM.INV(</t>
    </r>
    <r>
      <rPr>
        <b/>
        <sz val="12"/>
        <color theme="1"/>
        <rFont val="Calibri"/>
        <family val="2"/>
      </rPr>
      <t>probability, mean, standard_dev</t>
    </r>
    <r>
      <rPr>
        <sz val="12"/>
        <color theme="1"/>
        <rFont val="Calibri"/>
        <family val="2"/>
      </rPr>
      <t>) with probability = rand() to sample a random value from a lognormal distribution. In this problem, you're given the random probabilities for each accident year for simulation #955.</t>
    </r>
  </si>
  <si>
    <t>Calculate the predicted ultimate loss for accident years 2007-2015 and in total for all accident years for simulation 955.</t>
  </si>
  <si>
    <r>
      <t>μ</t>
    </r>
    <r>
      <rPr>
        <vertAlign val="subscript"/>
        <sz val="12"/>
        <color theme="1"/>
        <rFont val="Calibri"/>
        <family val="2"/>
      </rPr>
      <t>w,10</t>
    </r>
  </si>
  <si>
    <t>Analysis of the Reputation of the CRC Model</t>
  </si>
  <si>
    <t>How to Use the Predictive Distribution for a Retrospective Analysis</t>
  </si>
  <si>
    <t>How to Create a Predictive Distribution of Ultimate Loss with a Bayesian MCMC Model</t>
  </si>
  <si>
    <t>• d = 10 for beta, sigma
• First AY, w=1, is at ult
• Simulation</t>
  </si>
  <si>
    <r>
      <t xml:space="preserve">For a retrospective analysis where the ultimate loss of all accident years is known, we can do the following:
1 - Create the predictive distribution of ultimate loss based on the initial loss triangle 
2 - Calculate the predicted percentile of the actual outcome (the true total ultimate loss) </t>
    </r>
    <r>
      <rPr>
        <i/>
        <u/>
        <sz val="12"/>
        <color theme="1"/>
        <rFont val="Calibri"/>
        <family val="2"/>
      </rPr>
      <t>within</t>
    </r>
    <r>
      <rPr>
        <sz val="12"/>
        <color theme="1"/>
        <rFont val="Calibri"/>
        <family val="2"/>
      </rPr>
      <t xml:space="preserve"> the predictive ultimate loss distribution. This is a simple percentile: the percentage of the C</t>
    </r>
    <r>
      <rPr>
        <vertAlign val="superscript"/>
        <sz val="12"/>
        <color theme="1"/>
        <rFont val="Calibri"/>
        <family val="2"/>
      </rPr>
      <t>sim</t>
    </r>
    <r>
      <rPr>
        <vertAlign val="subscript"/>
        <sz val="12"/>
        <color theme="1"/>
        <rFont val="Calibri"/>
        <family val="2"/>
      </rPr>
      <t>Tot,10</t>
    </r>
    <r>
      <rPr>
        <sz val="12"/>
        <color theme="1"/>
        <rFont val="Calibri"/>
        <family val="2"/>
      </rPr>
      <t xml:space="preserve"> values that fall at or below the actual C</t>
    </r>
    <r>
      <rPr>
        <vertAlign val="subscript"/>
        <sz val="12"/>
        <color theme="1"/>
        <rFont val="Calibri"/>
        <family val="2"/>
      </rPr>
      <t>Tot,10</t>
    </r>
    <r>
      <rPr>
        <sz val="12"/>
        <color theme="1"/>
        <rFont val="Calibri"/>
        <family val="2"/>
      </rPr>
      <t>.
If we calculate the predicted percentiles of actual outcomes for many loss datasets (200 in the paper), we can create a p-p plot, histogram, and Kolmogorov-Smirnov statistic to analyze how well the model performs.</t>
    </r>
  </si>
  <si>
    <r>
      <t>⇾ For a problem like this, we only care about the predicted loss at ultimate (d = 10)
⇾ Don't simulate C</t>
    </r>
    <r>
      <rPr>
        <vertAlign val="subscript"/>
        <sz val="12"/>
        <color theme="1"/>
        <rFont val="Calibri"/>
        <family val="2"/>
      </rPr>
      <t>1,10</t>
    </r>
    <r>
      <rPr>
        <sz val="12"/>
        <color theme="1"/>
        <rFont val="Calibri"/>
        <family val="2"/>
      </rPr>
      <t>, because it is already at ultimate and is a known value
⇾ For each simulation, a random parameter set is drawn and given the parameter set, a random ultimate loss, C</t>
    </r>
    <r>
      <rPr>
        <vertAlign val="subscript"/>
        <sz val="12"/>
        <color theme="1"/>
        <rFont val="Calibri"/>
        <family val="2"/>
      </rPr>
      <t>w,10</t>
    </r>
    <r>
      <rPr>
        <sz val="12"/>
        <color theme="1"/>
        <rFont val="Calibri"/>
        <family val="2"/>
      </rPr>
      <t>, is drawn</t>
    </r>
  </si>
  <si>
    <t>Accident Year (w)</t>
  </si>
  <si>
    <t>Loss at 48 mo. (d = 4)</t>
  </si>
  <si>
    <t>Development Period (d = 4)</t>
  </si>
  <si>
    <t>Simulation</t>
  </si>
  <si>
    <r>
      <t>β</t>
    </r>
    <r>
      <rPr>
        <vertAlign val="subscript"/>
        <sz val="12"/>
        <color theme="1"/>
        <rFont val="Calibri"/>
        <family val="2"/>
      </rPr>
      <t>4</t>
    </r>
  </si>
  <si>
    <r>
      <t>σ</t>
    </r>
    <r>
      <rPr>
        <vertAlign val="subscript"/>
        <sz val="12"/>
        <color theme="1"/>
        <rFont val="Calibri"/>
        <family val="2"/>
      </rPr>
      <t>4</t>
    </r>
  </si>
  <si>
    <t>w = 5</t>
  </si>
  <si>
    <t>w = 6</t>
  </si>
  <si>
    <t>logelr</t>
  </si>
  <si>
    <t>γ</t>
  </si>
  <si>
    <t>Calculate the standardized residuals for accident years 5 and 6 at development period 4 for these two simulations.</t>
  </si>
  <si>
    <t>Simulation (j)</t>
  </si>
  <si>
    <r>
      <t>μ</t>
    </r>
    <r>
      <rPr>
        <vertAlign val="subscript"/>
        <sz val="12"/>
        <color theme="1"/>
        <rFont val="Calibri"/>
        <family val="2"/>
      </rPr>
      <t>w,4</t>
    </r>
  </si>
  <si>
    <r>
      <t>C</t>
    </r>
    <r>
      <rPr>
        <vertAlign val="subscript"/>
        <sz val="12"/>
        <color theme="1"/>
        <rFont val="Calibri"/>
        <family val="2"/>
      </rPr>
      <t>w,d</t>
    </r>
  </si>
  <si>
    <t>Residual</t>
  </si>
  <si>
    <t>Actual Loss</t>
  </si>
  <si>
    <t>Dev. Period (d = 4)</t>
  </si>
  <si>
    <r>
      <t>r</t>
    </r>
    <r>
      <rPr>
        <vertAlign val="superscript"/>
        <sz val="12"/>
        <color theme="1"/>
        <rFont val="Calibri"/>
        <family val="2"/>
      </rPr>
      <t>j</t>
    </r>
    <r>
      <rPr>
        <vertAlign val="subscript"/>
        <sz val="12"/>
        <color theme="1"/>
        <rFont val="Calibri"/>
        <family val="2"/>
      </rPr>
      <t>w,d</t>
    </r>
  </si>
  <si>
    <r>
      <t>α</t>
    </r>
    <r>
      <rPr>
        <vertAlign val="subscript"/>
        <sz val="12"/>
        <color theme="1"/>
        <rFont val="Calibri"/>
        <family val="2"/>
      </rPr>
      <t>w</t>
    </r>
  </si>
  <si>
    <t>d = 4</t>
  </si>
  <si>
    <r>
      <t>ln(Premium</t>
    </r>
    <r>
      <rPr>
        <vertAlign val="subscript"/>
        <sz val="12"/>
        <color theme="1"/>
        <rFont val="Calibri"/>
        <family val="2"/>
      </rPr>
      <t>w</t>
    </r>
    <r>
      <rPr>
        <sz val="12"/>
        <color theme="1"/>
        <rFont val="Calibri"/>
        <family val="2"/>
      </rPr>
      <t>)</t>
    </r>
  </si>
  <si>
    <t>For development period d = 4 and accident years w = 5 and 6:</t>
  </si>
  <si>
    <t>Meyers - Changing Settlement Rate Model (CSR) &amp; Standardized Residuals</t>
  </si>
  <si>
    <t>Given the following data and parameters sampled from the posterior distribution for two simulations from a changing settlement rate (CSR) model fit onto a 10x10 loss triangle:</t>
  </si>
  <si>
    <r>
      <t xml:space="preserve">The CRC paid model is biased high and overstates ultimate losses. The CSR model refines the CRC model by introducing a changing settlement rates parameter (γ) to adjust for changes in settlement rates across accident years (w):
• γ &gt; 0 indicates a </t>
    </r>
    <r>
      <rPr>
        <i/>
        <u/>
        <sz val="12"/>
        <color theme="1"/>
        <rFont val="Calibri"/>
        <family val="2"/>
      </rPr>
      <t>speedup</t>
    </r>
    <r>
      <rPr>
        <sz val="12"/>
        <color theme="1"/>
        <rFont val="Calibri"/>
        <family val="2"/>
      </rPr>
      <t xml:space="preserve"> in settlement rates over time
• γ &lt; 0 indicates a </t>
    </r>
    <r>
      <rPr>
        <i/>
        <u/>
        <sz val="12"/>
        <color theme="1"/>
        <rFont val="Calibri"/>
        <family val="2"/>
      </rPr>
      <t>slowdown</t>
    </r>
    <r>
      <rPr>
        <sz val="12"/>
        <color theme="1"/>
        <rFont val="Calibri"/>
        <family val="2"/>
      </rPr>
      <t xml:space="preserve"> in settlement rates over time
Standardized residuals can be used as a diagnostic to test how well the model fits the loss triangle that the model is trained on. If the model fits the data well, standardized residuals should follow a standard normal distribution around zero. These are used in a box-and-whisker plot to analyze visually.
</t>
    </r>
  </si>
  <si>
    <r>
      <rPr>
        <b/>
        <sz val="12"/>
        <color theme="1"/>
        <rFont val="Calibri"/>
        <family val="2"/>
      </rPr>
      <t>Paid CSR Model</t>
    </r>
    <r>
      <rPr>
        <sz val="12"/>
        <color theme="1"/>
        <rFont val="Calibri"/>
        <family val="2"/>
      </rPr>
      <t xml:space="preserve">
• Better estimates the ultimate losses than the CRC model
→ The CSR model corrects the CRC model overstatement by adjusting for a change in settlement rate
For the 200 paid loss datasets, the p-p plot sits much closer to the 45° line and the K-S statistic is lower than the critical value, so the CSR model better fits the holdout ultimate losses than the CRC model.
Based on these diagnostics, the CSR model has a better reputation than the CRC model, especially if there is a significant change in the claim settlement rate.
</t>
    </r>
  </si>
  <si>
    <t>Meyers - pg. 21, 31-34</t>
  </si>
  <si>
    <t>• CSR factor: (1−γ)^(w−1)
• Residual calc
• When γ = 0, CSR = CRC
• Residuals vs. Reputation</t>
  </si>
  <si>
    <t>Meyers - Correlated Accident Year Model (CAY)</t>
  </si>
  <si>
    <t>Given the following data and parameters sampled from the posterior distribution for a single simulation from a Correlated Accident Year (CAY) model fit onto a 10x10 loss triangle:</t>
  </si>
  <si>
    <t>•  Loss for accident year 1 as of development period 10:</t>
  </si>
  <si>
    <r>
      <t>⍺</t>
    </r>
    <r>
      <rPr>
        <vertAlign val="subscript"/>
        <sz val="12"/>
        <rFont val="Calibri"/>
        <family val="2"/>
      </rPr>
      <t>3</t>
    </r>
  </si>
  <si>
    <r>
      <t>β</t>
    </r>
    <r>
      <rPr>
        <vertAlign val="subscript"/>
        <sz val="12"/>
        <rFont val="Calibri"/>
        <family val="2"/>
      </rPr>
      <t>3</t>
    </r>
    <r>
      <rPr>
        <sz val="12"/>
        <color theme="1"/>
        <rFont val="Calibri"/>
        <family val="2"/>
      </rPr>
      <t/>
    </r>
  </si>
  <si>
    <r>
      <t>σ</t>
    </r>
    <r>
      <rPr>
        <vertAlign val="subscript"/>
        <sz val="12"/>
        <rFont val="Calibri"/>
        <family val="2"/>
      </rPr>
      <t>3</t>
    </r>
    <r>
      <rPr>
        <sz val="12"/>
        <color theme="1"/>
        <rFont val="Calibri"/>
        <family val="2"/>
      </rPr>
      <t/>
    </r>
  </si>
  <si>
    <t>•  There's no loss development after period 10</t>
  </si>
  <si>
    <t>Calculate the simulated ultimate loss for accident years 2 and 3 for this simulation.</t>
  </si>
  <si>
    <t>When simulating ultimate losses, use the following random draws from the uniform distribution:</t>
  </si>
  <si>
    <r>
      <t>μ</t>
    </r>
    <r>
      <rPr>
        <vertAlign val="subscript"/>
        <sz val="12"/>
        <color theme="1"/>
        <rFont val="Calibri"/>
        <family val="2"/>
      </rPr>
      <t>w-1,10</t>
    </r>
  </si>
  <si>
    <r>
      <t>ln(C</t>
    </r>
    <r>
      <rPr>
        <vertAlign val="subscript"/>
        <sz val="12"/>
        <color theme="1"/>
        <rFont val="Calibri"/>
        <family val="2"/>
      </rPr>
      <t>w-1,10</t>
    </r>
    <r>
      <rPr>
        <sz val="12"/>
        <color theme="1"/>
        <rFont val="Calibri"/>
        <family val="2"/>
      </rPr>
      <t>)</t>
    </r>
  </si>
  <si>
    <t>Prior AY Actual vs. Expected</t>
  </si>
  <si>
    <r>
      <t>C</t>
    </r>
    <r>
      <rPr>
        <vertAlign val="superscript"/>
        <sz val="12"/>
        <color theme="1"/>
        <rFont val="Calibri"/>
        <family val="2"/>
      </rPr>
      <t>sim</t>
    </r>
    <r>
      <rPr>
        <vertAlign val="subscript"/>
        <sz val="12"/>
        <color theme="1"/>
        <rFont val="Calibri"/>
        <family val="2"/>
      </rPr>
      <t xml:space="preserve">w,d </t>
    </r>
    <r>
      <rPr>
        <sz val="12"/>
        <color theme="1"/>
        <rFont val="Calibri"/>
        <family val="2"/>
      </rPr>
      <t>= LOGNORM.INV(probability, u</t>
    </r>
    <r>
      <rPr>
        <vertAlign val="subscript"/>
        <sz val="12"/>
        <color theme="1"/>
        <rFont val="Calibri"/>
        <family val="2"/>
      </rPr>
      <t>w,d</t>
    </r>
    <r>
      <rPr>
        <sz val="12"/>
        <color theme="1"/>
        <rFont val="Calibri"/>
        <family val="2"/>
      </rPr>
      <t xml:space="preserve"> ,σ</t>
    </r>
    <r>
      <rPr>
        <vertAlign val="subscript"/>
        <sz val="12"/>
        <color theme="1"/>
        <rFont val="Calibri"/>
        <family val="2"/>
      </rPr>
      <t>d</t>
    </r>
    <r>
      <rPr>
        <sz val="12"/>
        <color theme="1"/>
        <rFont val="Calibri"/>
        <family val="2"/>
      </rPr>
      <t>)</t>
    </r>
  </si>
  <si>
    <t>-</t>
  </si>
  <si>
    <t>← Given</t>
  </si>
  <si>
    <t>Analysis of the Reputation of the Incurred CAY Model</t>
  </si>
  <si>
    <t>Analysis of the Reputation of the Paid CSR Model</t>
  </si>
  <si>
    <r>
      <t>C</t>
    </r>
    <r>
      <rPr>
        <vertAlign val="superscript"/>
        <sz val="12"/>
        <color theme="1"/>
        <rFont val="Calibri"/>
        <family val="2"/>
      </rPr>
      <t>sim</t>
    </r>
    <r>
      <rPr>
        <vertAlign val="subscript"/>
        <sz val="12"/>
        <color theme="1"/>
        <rFont val="Calibri"/>
        <family val="2"/>
      </rPr>
      <t>w,10</t>
    </r>
  </si>
  <si>
    <r>
      <t xml:space="preserve">⇾ For AY 1, use the </t>
    </r>
    <r>
      <rPr>
        <i/>
        <u/>
        <sz val="12"/>
        <color theme="1"/>
        <rFont val="Calibri"/>
        <family val="2"/>
      </rPr>
      <t>actual</t>
    </r>
    <r>
      <rPr>
        <sz val="12"/>
        <color theme="1"/>
        <rFont val="Calibri"/>
        <family val="2"/>
      </rPr>
      <t xml:space="preserve"> ultimate loss value given in the problem
⇾ Simulated losses are only correlated with the </t>
    </r>
    <r>
      <rPr>
        <i/>
        <u/>
        <sz val="12"/>
        <color theme="1"/>
        <rFont val="Calibri"/>
        <family val="2"/>
      </rPr>
      <t>prior</t>
    </r>
    <r>
      <rPr>
        <sz val="12"/>
        <color theme="1"/>
        <rFont val="Calibri"/>
        <family val="2"/>
      </rPr>
      <t xml:space="preserve"> accident year
⇾ For ⍴ = 0, the CAY model reduces to the CRC model</t>
    </r>
  </si>
  <si>
    <t>Meyers – pg. 37-42, see the simulation steps on pg. 38</t>
  </si>
  <si>
    <r>
      <rPr>
        <b/>
        <sz val="12"/>
        <color theme="1"/>
        <rFont val="Calibri"/>
        <family val="2"/>
      </rPr>
      <t>Incurred CAY Model</t>
    </r>
    <r>
      <rPr>
        <sz val="12"/>
        <color theme="1"/>
        <rFont val="Calibri"/>
        <family val="2"/>
      </rPr>
      <t xml:space="preserve">
• Better estimates the ultimate losses than the CRC model
→ It corrects the CRC model's light tail by adding AY correlation and increasing the s.e. of ultimate losses
When comparing model statistics, the choice of CRC vs. CAY is mixed:
• On reputation, CAY improves on CRC for estimating ultimate loss: its incurred p-p plots are better and the elpd</t>
    </r>
    <r>
      <rPr>
        <vertAlign val="subscript"/>
        <sz val="12"/>
        <color theme="1"/>
        <rFont val="Calibri"/>
        <family val="2"/>
      </rPr>
      <t>test</t>
    </r>
    <r>
      <rPr>
        <sz val="12"/>
        <color theme="1"/>
        <rFont val="Calibri"/>
        <family val="2"/>
      </rPr>
      <t xml:space="preserve"> statistic favors CAY over CRC for 121 of 200 triangles.
• For in-sample triangle fit statistics (elpd</t>
    </r>
    <r>
      <rPr>
        <vertAlign val="subscript"/>
        <sz val="12"/>
        <color theme="1"/>
        <rFont val="Calibri"/>
        <family val="2"/>
      </rPr>
      <t>loo</t>
    </r>
    <r>
      <rPr>
        <sz val="12"/>
        <color theme="1"/>
        <rFont val="Calibri"/>
        <family val="2"/>
      </rPr>
      <t>, LOOIC) CRC is better than CAY on most triangles</t>
    </r>
  </si>
  <si>
    <r>
      <t>• AY 1 Loss C</t>
    </r>
    <r>
      <rPr>
        <vertAlign val="subscript"/>
        <sz val="12"/>
        <color theme="1"/>
        <rFont val="Calibri"/>
        <family val="2"/>
      </rPr>
      <t>1,10</t>
    </r>
    <r>
      <rPr>
        <sz val="12"/>
        <color theme="1"/>
        <rFont val="Calibri"/>
        <family val="2"/>
      </rPr>
      <t xml:space="preserve"> is given
• Successive AY correlation
• When ⍴ = 0, CAY = CRC</t>
    </r>
  </si>
  <si>
    <t>Meyers - pg. 16-22, see the simulation steps on pg. 18</t>
  </si>
  <si>
    <t>Meyers - pg. 23-29</t>
  </si>
  <si>
    <r>
      <t>β</t>
    </r>
    <r>
      <rPr>
        <vertAlign val="subscript"/>
        <sz val="12"/>
        <rFont val="Calibri"/>
        <family val="2"/>
      </rPr>
      <t>4</t>
    </r>
  </si>
  <si>
    <r>
      <t>β</t>
    </r>
    <r>
      <rPr>
        <vertAlign val="subscript"/>
        <sz val="12"/>
        <rFont val="Calibri"/>
        <family val="2"/>
      </rPr>
      <t>5</t>
    </r>
  </si>
  <si>
    <r>
      <t>σ</t>
    </r>
    <r>
      <rPr>
        <vertAlign val="subscript"/>
        <sz val="12"/>
        <rFont val="Calibri"/>
        <family val="2"/>
      </rPr>
      <t>4</t>
    </r>
  </si>
  <si>
    <r>
      <t>σ</t>
    </r>
    <r>
      <rPr>
        <vertAlign val="subscript"/>
        <sz val="12"/>
        <rFont val="Calibri"/>
        <family val="2"/>
      </rPr>
      <t>5</t>
    </r>
  </si>
  <si>
    <t>Cumulative Loss (months)</t>
  </si>
  <si>
    <t xml:space="preserve">A Stochastic Cape Cod (SCC) model is fit to the following loss triangle as of 12/31/2025: </t>
  </si>
  <si>
    <t>The following parameters were sampled from the posterior distribution for a single simulation from the SCC model:</t>
  </si>
  <si>
    <t>For this simulation, set up the formula from which the ultimate loss outcome for accident year 2024 is simulated.</t>
  </si>
  <si>
    <t>Meyers - Stochastic Cape Cod Model (SCC)</t>
  </si>
  <si>
    <t>Latest (d = 2)</t>
  </si>
  <si>
    <t>Ult (d = 5)</t>
  </si>
  <si>
    <r>
      <t>β</t>
    </r>
    <r>
      <rPr>
        <vertAlign val="subscript"/>
        <sz val="12"/>
        <rFont val="Calibri"/>
        <family val="2"/>
      </rPr>
      <t>2</t>
    </r>
    <r>
      <rPr>
        <sz val="12"/>
        <color theme="1"/>
        <rFont val="Calibri"/>
        <family val="2"/>
      </rPr>
      <t/>
    </r>
  </si>
  <si>
    <r>
      <t>σ</t>
    </r>
    <r>
      <rPr>
        <vertAlign val="subscript"/>
        <sz val="12"/>
        <rFont val="Calibri"/>
        <family val="2"/>
      </rPr>
      <t>2</t>
    </r>
    <r>
      <rPr>
        <sz val="12"/>
        <color theme="1"/>
        <rFont val="Calibri"/>
        <family val="2"/>
      </rPr>
      <t/>
    </r>
  </si>
  <si>
    <t>Derivation:</t>
  </si>
  <si>
    <r>
      <t>Calculate the simulation's lognormal transformed parameters, μ</t>
    </r>
    <r>
      <rPr>
        <b/>
        <vertAlign val="subscript"/>
        <sz val="12"/>
        <color theme="1"/>
        <rFont val="Calibri"/>
        <family val="2"/>
      </rPr>
      <t>w,d</t>
    </r>
    <r>
      <rPr>
        <b/>
        <sz val="12"/>
        <color theme="1"/>
        <rFont val="Calibri"/>
        <family val="2"/>
      </rPr>
      <t xml:space="preserve"> and σ</t>
    </r>
    <r>
      <rPr>
        <b/>
        <vertAlign val="subscript"/>
        <sz val="12"/>
        <color theme="1"/>
        <rFont val="Calibri"/>
        <family val="2"/>
      </rPr>
      <t>d</t>
    </r>
    <r>
      <rPr>
        <b/>
        <sz val="12"/>
        <color theme="1"/>
        <rFont val="Calibri"/>
        <family val="2"/>
      </rPr>
      <t>, for each accident year (w) at the ultimate development period (d = 10 for a 10x10 triangle). These lognormal parameters specify the predicted distributions at ultimate for each accident year.</t>
    </r>
  </si>
  <si>
    <r>
      <t>Simulate the ultimate loss, C</t>
    </r>
    <r>
      <rPr>
        <b/>
        <vertAlign val="superscript"/>
        <sz val="12"/>
        <color theme="1"/>
        <rFont val="Calibri"/>
        <family val="2"/>
      </rPr>
      <t>sim</t>
    </r>
    <r>
      <rPr>
        <b/>
        <vertAlign val="subscript"/>
        <sz val="12"/>
        <color theme="1"/>
        <rFont val="Calibri"/>
        <family val="2"/>
      </rPr>
      <t>w,Ult</t>
    </r>
    <r>
      <rPr>
        <b/>
        <sz val="12"/>
        <color theme="1"/>
        <rFont val="Calibri"/>
        <family val="2"/>
      </rPr>
      <t>, for each accident year (w) from its lognormal predictive distribution. To do this, use the inverse cumulative lognormal distribution at a random probability value drawn from the uniform distribution, rand().</t>
    </r>
  </si>
  <si>
    <t>Notes on the SCC formulas:</t>
  </si>
  <si>
    <t>AY 2024 (w = 4)</t>
  </si>
  <si>
    <t>Below is the derivation of the simulated ultimate loss formula from the traditional Cape Cod formula:</t>
  </si>
  <si>
    <t>If you need to simulate ultimate losses for multiple accident years, it would be best to set up a table with accident year by row. Make sure to remember that d_latest is the development period along the diagonal, so it will be different for each accident year.</t>
  </si>
  <si>
    <t>• No alpha parameter
• Simulation
• Latest dev period</t>
  </si>
  <si>
    <r>
      <t xml:space="preserve">⇾ For the cape cod method, the expected loss ratio is the same for all AYs
⇾ ONLY for SCC, adjust for the (actual loss - expected loss) at the latest development period
⇾ The development period for the </t>
    </r>
    <r>
      <rPr>
        <i/>
        <u/>
        <sz val="12"/>
        <color theme="1"/>
        <rFont val="Calibri"/>
        <family val="2"/>
      </rPr>
      <t>adjustment</t>
    </r>
    <r>
      <rPr>
        <sz val="12"/>
        <color theme="1"/>
        <rFont val="Calibri"/>
        <family val="2"/>
      </rPr>
      <t xml:space="preserve"> term is the one on the diagonal</t>
    </r>
  </si>
  <si>
    <t>Standardized Residual Analysis for a Single Triangle</t>
  </si>
  <si>
    <t>Model Structure</t>
  </si>
  <si>
    <r>
      <t>The CRC model is the basic stochastic loss reserving model in the paper. It assumes the following:
• The claims settlement rate by development period (represented by β</t>
    </r>
    <r>
      <rPr>
        <vertAlign val="subscript"/>
        <sz val="12"/>
        <color theme="1"/>
        <rFont val="Calibri"/>
        <family val="2"/>
      </rPr>
      <t>d</t>
    </r>
    <r>
      <rPr>
        <sz val="12"/>
        <color theme="1"/>
        <rFont val="Calibri"/>
        <family val="2"/>
      </rPr>
      <t>), is the same for each accident year
• The losses C</t>
    </r>
    <r>
      <rPr>
        <vertAlign val="subscript"/>
        <sz val="12"/>
        <color theme="1"/>
        <rFont val="Calibri"/>
        <family val="2"/>
      </rPr>
      <t>w,d</t>
    </r>
    <r>
      <rPr>
        <sz val="12"/>
        <color theme="1"/>
        <rFont val="Calibri"/>
        <family val="2"/>
      </rPr>
      <t xml:space="preserve"> are independent between accident years
These two assumptions are relaxed with the Changing Settlement Rate Model (CSR) and Correlated Accident Year Model (CAY).</t>
    </r>
  </si>
  <si>
    <r>
      <t>The SCC model is a Bayesian model that's set up as a stochastic implementation of the Cape Cod method.
The lognormal mean for each cell, μ</t>
    </r>
    <r>
      <rPr>
        <vertAlign val="subscript"/>
        <sz val="12"/>
        <color theme="1"/>
        <rFont val="Calibri"/>
        <family val="2"/>
      </rPr>
      <t>w,d</t>
    </r>
    <r>
      <rPr>
        <sz val="12"/>
        <color theme="1"/>
        <rFont val="Calibri"/>
        <family val="2"/>
      </rPr>
      <t>, is calculated based on the following key elements:
• β</t>
    </r>
    <r>
      <rPr>
        <vertAlign val="subscript"/>
        <sz val="12"/>
        <color theme="1"/>
        <rFont val="Calibri"/>
        <family val="2"/>
      </rPr>
      <t>d</t>
    </r>
    <r>
      <rPr>
        <sz val="12"/>
        <color theme="1"/>
        <rFont val="Calibri"/>
        <family val="2"/>
      </rPr>
      <t xml:space="preserve"> → Reflects the loss development fitted to the loss triangle data
     ￮ β</t>
    </r>
    <r>
      <rPr>
        <vertAlign val="subscript"/>
        <sz val="12"/>
        <color theme="1"/>
        <rFont val="Calibri"/>
        <family val="2"/>
      </rPr>
      <t>Ult</t>
    </r>
    <r>
      <rPr>
        <sz val="12"/>
        <color theme="1"/>
        <rFont val="Calibri"/>
        <family val="2"/>
      </rPr>
      <t xml:space="preserve"> = 0 reflects that %reported = 100% at ultimate (e</t>
    </r>
    <r>
      <rPr>
        <vertAlign val="superscript"/>
        <sz val="12"/>
        <color theme="1"/>
        <rFont val="Calibri"/>
        <family val="2"/>
      </rPr>
      <t>0</t>
    </r>
    <r>
      <rPr>
        <sz val="12"/>
        <color theme="1"/>
        <rFont val="Calibri"/>
        <family val="2"/>
      </rPr>
      <t xml:space="preserve"> = 1)
• log(Premium</t>
    </r>
    <r>
      <rPr>
        <vertAlign val="subscript"/>
        <sz val="12"/>
        <color theme="1"/>
        <rFont val="Calibri"/>
        <family val="2"/>
      </rPr>
      <t>w</t>
    </r>
    <r>
      <rPr>
        <sz val="12"/>
        <color theme="1"/>
        <rFont val="Calibri"/>
        <family val="2"/>
      </rPr>
      <t>) → The exposure base for each accident year
• logelr → The expected loss ratio parameter fit to the loss triangle data, like Cape Cod, not BF
Unlike the CRC method, there is no ⍺</t>
    </r>
    <r>
      <rPr>
        <vertAlign val="subscript"/>
        <sz val="12"/>
        <color theme="1"/>
        <rFont val="Calibri"/>
        <family val="2"/>
      </rPr>
      <t>w</t>
    </r>
    <r>
      <rPr>
        <sz val="12"/>
        <color theme="1"/>
        <rFont val="Calibri"/>
        <family val="2"/>
      </rPr>
      <t xml:space="preserve"> parameter that varies by accident year (w). This is because the Cape Cod method uses the same expected loss ratio for all accident years.
The adjustment term replaces the </t>
    </r>
    <r>
      <rPr>
        <i/>
        <u/>
        <sz val="12"/>
        <color theme="1"/>
        <rFont val="Calibri"/>
        <family val="2"/>
      </rPr>
      <t>expected</t>
    </r>
    <r>
      <rPr>
        <sz val="12"/>
        <color theme="1"/>
        <rFont val="Calibri"/>
        <family val="2"/>
      </rPr>
      <t xml:space="preserve"> loss-to-date with the </t>
    </r>
    <r>
      <rPr>
        <i/>
        <u/>
        <sz val="12"/>
        <color theme="1"/>
        <rFont val="Calibri"/>
        <family val="2"/>
      </rPr>
      <t>actual</t>
    </r>
    <r>
      <rPr>
        <sz val="12"/>
        <color theme="1"/>
        <rFont val="Calibri"/>
        <family val="2"/>
      </rPr>
      <t xml:space="preserve"> loss-to-date so that the simulation follows the traditional Cape Cod formula. </t>
    </r>
  </si>
  <si>
    <t>Notation:</t>
  </si>
  <si>
    <t>Derivation of the SCC Simulated Ultimate Loss Formula</t>
  </si>
  <si>
    <t>Make it stochastic and substitute the expected loss-to-date:</t>
  </si>
  <si>
    <t>⇽ Simplify and rearrange</t>
  </si>
  <si>
    <t>Analysis of the Reputation of the SCC Model</t>
  </si>
  <si>
    <t>d = 1</t>
  </si>
  <si>
    <t>d = 2</t>
  </si>
  <si>
    <t>d = 3</t>
  </si>
  <si>
    <t>Given the following data and parameters sampled from the posterior distribution for a single simulation from an Integrated Paid and Incurred (IPI) model fit onto the 10x10 paid and incurred loss triangles for a line of business:</t>
  </si>
  <si>
    <t xml:space="preserve">•  Premium for AY 4 = </t>
  </si>
  <si>
    <t>Value</t>
  </si>
  <si>
    <t>The incurred loss from the loss triangle and IPI simulated incurred log loss parameter for accident year 3 and development period 5 are below:</t>
  </si>
  <si>
    <r>
      <t>⍺</t>
    </r>
    <r>
      <rPr>
        <vertAlign val="subscript"/>
        <sz val="12"/>
        <color theme="1"/>
        <rFont val="Calibri"/>
        <family val="2"/>
      </rPr>
      <t>1</t>
    </r>
  </si>
  <si>
    <r>
      <rPr>
        <vertAlign val="subscript"/>
        <sz val="12"/>
        <color theme="1"/>
        <rFont val="Calibri"/>
        <family val="2"/>
      </rPr>
      <t>P</t>
    </r>
    <r>
      <rPr>
        <sz val="12"/>
        <color theme="1"/>
        <rFont val="Calibri"/>
        <family val="2"/>
      </rPr>
      <t>β</t>
    </r>
    <r>
      <rPr>
        <vertAlign val="subscript"/>
        <sz val="12"/>
        <color theme="1"/>
        <rFont val="Calibri"/>
        <family val="2"/>
      </rPr>
      <t>4</t>
    </r>
  </si>
  <si>
    <r>
      <rPr>
        <vertAlign val="subscript"/>
        <sz val="12"/>
        <color theme="1"/>
        <rFont val="Calibri"/>
        <family val="2"/>
      </rPr>
      <t>I</t>
    </r>
    <r>
      <rPr>
        <sz val="12"/>
        <color theme="1"/>
        <rFont val="Calibri"/>
        <family val="2"/>
      </rPr>
      <t>β</t>
    </r>
    <r>
      <rPr>
        <vertAlign val="subscript"/>
        <sz val="12"/>
        <color theme="1"/>
        <rFont val="Calibri"/>
        <family val="2"/>
      </rPr>
      <t>4</t>
    </r>
  </si>
  <si>
    <r>
      <t>⍺</t>
    </r>
    <r>
      <rPr>
        <vertAlign val="subscript"/>
        <sz val="12"/>
        <color theme="1"/>
        <rFont val="Calibri"/>
        <family val="2"/>
      </rPr>
      <t>2</t>
    </r>
  </si>
  <si>
    <r>
      <rPr>
        <vertAlign val="subscript"/>
        <sz val="12"/>
        <color theme="1"/>
        <rFont val="Calibri"/>
        <family val="2"/>
      </rPr>
      <t>P</t>
    </r>
    <r>
      <rPr>
        <sz val="12"/>
        <color theme="1"/>
        <rFont val="Calibri"/>
        <family val="2"/>
      </rPr>
      <t>β</t>
    </r>
    <r>
      <rPr>
        <vertAlign val="subscript"/>
        <sz val="12"/>
        <color theme="1"/>
        <rFont val="Calibri"/>
        <family val="2"/>
      </rPr>
      <t>5</t>
    </r>
  </si>
  <si>
    <r>
      <rPr>
        <vertAlign val="subscript"/>
        <sz val="12"/>
        <color theme="1"/>
        <rFont val="Calibri"/>
        <family val="2"/>
      </rPr>
      <t>I</t>
    </r>
    <r>
      <rPr>
        <sz val="12"/>
        <color theme="1"/>
        <rFont val="Calibri"/>
        <family val="2"/>
      </rPr>
      <t>β</t>
    </r>
    <r>
      <rPr>
        <vertAlign val="subscript"/>
        <sz val="12"/>
        <color theme="1"/>
        <rFont val="Calibri"/>
        <family val="2"/>
      </rPr>
      <t>5</t>
    </r>
  </si>
  <si>
    <r>
      <t>⍺</t>
    </r>
    <r>
      <rPr>
        <vertAlign val="subscript"/>
        <sz val="12"/>
        <color theme="1"/>
        <rFont val="Calibri"/>
        <family val="2"/>
      </rPr>
      <t>3</t>
    </r>
  </si>
  <si>
    <r>
      <t>⍺</t>
    </r>
    <r>
      <rPr>
        <vertAlign val="subscript"/>
        <sz val="12"/>
        <color theme="1"/>
        <rFont val="Calibri"/>
        <family val="2"/>
      </rPr>
      <t>4</t>
    </r>
    <r>
      <rPr>
        <sz val="12"/>
        <color theme="1"/>
        <rFont val="Calibri"/>
        <family val="2"/>
      </rPr>
      <t/>
    </r>
  </si>
  <si>
    <r>
      <rPr>
        <vertAlign val="subscript"/>
        <sz val="12"/>
        <color theme="1"/>
        <rFont val="Calibri"/>
        <family val="2"/>
      </rPr>
      <t>P</t>
    </r>
    <r>
      <rPr>
        <sz val="12"/>
        <color theme="1"/>
        <rFont val="Calibri"/>
        <family val="2"/>
      </rPr>
      <t>σ</t>
    </r>
    <r>
      <rPr>
        <vertAlign val="subscript"/>
        <sz val="12"/>
        <color theme="1"/>
        <rFont val="Calibri"/>
        <family val="2"/>
      </rPr>
      <t>4</t>
    </r>
  </si>
  <si>
    <r>
      <rPr>
        <vertAlign val="subscript"/>
        <sz val="12"/>
        <color theme="1"/>
        <rFont val="Calibri"/>
        <family val="2"/>
      </rPr>
      <t>I</t>
    </r>
    <r>
      <rPr>
        <sz val="12"/>
        <color theme="1"/>
        <rFont val="Calibri"/>
        <family val="2"/>
      </rPr>
      <t>σ</t>
    </r>
    <r>
      <rPr>
        <vertAlign val="subscript"/>
        <sz val="12"/>
        <color theme="1"/>
        <rFont val="Calibri"/>
        <family val="2"/>
      </rPr>
      <t>4</t>
    </r>
  </si>
  <si>
    <r>
      <rPr>
        <vertAlign val="subscript"/>
        <sz val="12"/>
        <color theme="1"/>
        <rFont val="Calibri"/>
        <family val="2"/>
      </rPr>
      <t>P</t>
    </r>
    <r>
      <rPr>
        <sz val="12"/>
        <color theme="1"/>
        <rFont val="Calibri"/>
        <family val="2"/>
      </rPr>
      <t>σ</t>
    </r>
    <r>
      <rPr>
        <vertAlign val="subscript"/>
        <sz val="12"/>
        <color theme="1"/>
        <rFont val="Calibri"/>
        <family val="2"/>
      </rPr>
      <t>5</t>
    </r>
  </si>
  <si>
    <r>
      <rPr>
        <vertAlign val="subscript"/>
        <sz val="12"/>
        <color theme="1"/>
        <rFont val="Calibri"/>
        <family val="2"/>
      </rPr>
      <t>I</t>
    </r>
    <r>
      <rPr>
        <sz val="12"/>
        <color theme="1"/>
        <rFont val="Calibri"/>
        <family val="2"/>
      </rPr>
      <t>σ</t>
    </r>
    <r>
      <rPr>
        <vertAlign val="subscript"/>
        <sz val="12"/>
        <color theme="1"/>
        <rFont val="Calibri"/>
        <family val="2"/>
      </rPr>
      <t>5</t>
    </r>
  </si>
  <si>
    <r>
      <t>⍺</t>
    </r>
    <r>
      <rPr>
        <vertAlign val="subscript"/>
        <sz val="12"/>
        <color theme="1"/>
        <rFont val="Calibri"/>
        <family val="2"/>
      </rPr>
      <t>5</t>
    </r>
    <r>
      <rPr>
        <sz val="12"/>
        <color theme="1"/>
        <rFont val="Calibri"/>
        <family val="2"/>
      </rPr>
      <t/>
    </r>
  </si>
  <si>
    <t>Part a – IPI Model for a Paid Loss Triangle</t>
  </si>
  <si>
    <r>
      <rPr>
        <vertAlign val="subscript"/>
        <sz val="12"/>
        <color theme="1"/>
        <rFont val="Calibri"/>
        <family val="2"/>
      </rPr>
      <t>I</t>
    </r>
    <r>
      <rPr>
        <sz val="12"/>
        <color theme="1"/>
        <rFont val="Calibri"/>
        <family val="2"/>
      </rPr>
      <t>C</t>
    </r>
    <r>
      <rPr>
        <vertAlign val="subscript"/>
        <sz val="12"/>
        <color theme="1"/>
        <rFont val="Calibri"/>
        <family val="2"/>
      </rPr>
      <t>3,5</t>
    </r>
  </si>
  <si>
    <r>
      <rPr>
        <vertAlign val="subscript"/>
        <sz val="12"/>
        <color theme="1"/>
        <rFont val="Calibri"/>
        <family val="2"/>
      </rPr>
      <t>P</t>
    </r>
    <r>
      <rPr>
        <sz val="12"/>
        <color theme="1"/>
        <rFont val="Calibri"/>
        <family val="2"/>
      </rPr>
      <t>μ</t>
    </r>
    <r>
      <rPr>
        <vertAlign val="subscript"/>
        <sz val="12"/>
        <color theme="1"/>
        <rFont val="Calibri"/>
        <family val="2"/>
      </rPr>
      <t>4,5</t>
    </r>
  </si>
  <si>
    <r>
      <rPr>
        <vertAlign val="subscript"/>
        <sz val="12"/>
        <color theme="1"/>
        <rFont val="Calibri"/>
        <family val="2"/>
      </rPr>
      <t>I</t>
    </r>
    <r>
      <rPr>
        <sz val="12"/>
        <color theme="1"/>
        <rFont val="Calibri"/>
        <family val="2"/>
      </rPr>
      <t>μ</t>
    </r>
    <r>
      <rPr>
        <vertAlign val="subscript"/>
        <sz val="12"/>
        <color theme="1"/>
        <rFont val="Calibri"/>
        <family val="2"/>
      </rPr>
      <t>4,5</t>
    </r>
  </si>
  <si>
    <r>
      <t>E[</t>
    </r>
    <r>
      <rPr>
        <vertAlign val="subscript"/>
        <sz val="12"/>
        <color theme="1"/>
        <rFont val="Calibri"/>
        <family val="2"/>
      </rPr>
      <t>I</t>
    </r>
    <r>
      <rPr>
        <sz val="12"/>
        <color theme="1"/>
        <rFont val="Calibri"/>
        <family val="2"/>
      </rPr>
      <t>C</t>
    </r>
    <r>
      <rPr>
        <vertAlign val="subscript"/>
        <sz val="12"/>
        <color theme="1"/>
        <rFont val="Calibri"/>
        <family val="2"/>
      </rPr>
      <t>4,5</t>
    </r>
    <r>
      <rPr>
        <sz val="12"/>
        <color theme="1"/>
        <rFont val="Calibri"/>
        <family val="2"/>
      </rPr>
      <t>]</t>
    </r>
  </si>
  <si>
    <r>
      <t>E[</t>
    </r>
    <r>
      <rPr>
        <vertAlign val="subscript"/>
        <sz val="12"/>
        <color theme="1"/>
        <rFont val="Calibri"/>
        <family val="2"/>
      </rPr>
      <t>P</t>
    </r>
    <r>
      <rPr>
        <sz val="12"/>
        <color theme="1"/>
        <rFont val="Calibri"/>
        <family val="2"/>
      </rPr>
      <t>C</t>
    </r>
    <r>
      <rPr>
        <vertAlign val="subscript"/>
        <sz val="12"/>
        <color theme="1"/>
        <rFont val="Calibri"/>
        <family val="2"/>
      </rPr>
      <t>4,5</t>
    </r>
    <r>
      <rPr>
        <sz val="12"/>
        <color theme="1"/>
        <rFont val="Calibri"/>
        <family val="2"/>
      </rPr>
      <t>]</t>
    </r>
  </si>
  <si>
    <t>Meyers - Integrated Paid and Incurred (IPI) Model</t>
  </si>
  <si>
    <t>Part b – IPI Model for an Incurred Loss Triangle</t>
  </si>
  <si>
    <t>Analysis of the IPI Model</t>
  </si>
  <si>
    <t>Impact on Risk Margin and the Capital Requirement</t>
  </si>
  <si>
    <t>Meyers – pg. 43-51</t>
  </si>
  <si>
    <t>• Lognormal E[X]
• Shared parameters</t>
  </si>
  <si>
    <t>Calculate this simulation's expected paid loss value from the IPI model for the paid loss triangle for accident year 4 as of development period 5.</t>
  </si>
  <si>
    <t>Simulated Ultimate Loss - Total</t>
  </si>
  <si>
    <t xml:space="preserve">• Actual ultimate loss = </t>
  </si>
  <si>
    <t>Calculate the predicted percentile of the outcome for the SCC model on this loss triangle.</t>
  </si>
  <si>
    <r>
      <t xml:space="preserve">Calculate the percentile of the </t>
    </r>
    <r>
      <rPr>
        <b/>
        <i/>
        <u/>
        <sz val="12"/>
        <color theme="1"/>
        <rFont val="Calibri"/>
        <family val="2"/>
      </rPr>
      <t>actual</t>
    </r>
    <r>
      <rPr>
        <b/>
        <sz val="12"/>
        <color theme="1"/>
        <rFont val="Calibri"/>
        <family val="2"/>
      </rPr>
      <t xml:space="preserve"> loss outcome within the </t>
    </r>
    <r>
      <rPr>
        <b/>
        <i/>
        <u/>
        <sz val="12"/>
        <color theme="1"/>
        <rFont val="Calibri"/>
        <family val="2"/>
      </rPr>
      <t>predictive</t>
    </r>
    <r>
      <rPr>
        <b/>
        <sz val="12"/>
        <color theme="1"/>
        <rFont val="Calibri"/>
        <family val="2"/>
      </rPr>
      <t xml:space="preserve"> loss distribution from the model. This is simply the percentage of simulated ultimate losses less than or equal to the actual outcome.</t>
    </r>
  </si>
  <si>
    <t>Meyers - Predicted Percentile of Outcome</t>
  </si>
  <si>
    <t xml:space="preserve">Predicted Percentile = </t>
  </si>
  <si>
    <t>All accident years</t>
  </si>
  <si>
    <r>
      <t>Percentile</t>
    </r>
    <r>
      <rPr>
        <vertAlign val="subscript"/>
        <sz val="12"/>
        <color theme="1"/>
        <rFont val="Calibri"/>
        <family val="2"/>
      </rPr>
      <t xml:space="preserve"> </t>
    </r>
    <r>
      <rPr>
        <sz val="12"/>
        <color theme="1"/>
        <rFont val="Calibri"/>
        <family val="2"/>
      </rPr>
      <t>= COUNTIF( Simulated Outcomes, "&lt;="&amp; Actual) / #Simulations</t>
    </r>
  </si>
  <si>
    <t>The CAS Loss Reserve Database pairs each triangle with its eventual ultimate loss outcome for hundreds of loss triangles. For each loss triangle, we can fit the model and see where the true ultimate loss lands within the model's predictive distribution. By reviewing this predicted percentile from many triangles (200 in the paper), we can judge whether a model correctly estimates the expected value and uncertainty of ultimate loss.</t>
  </si>
  <si>
    <t xml:space="preserve">Fully explain how to use predicted percentiles to evaluate the reputation of a stochastic loss reserving model. </t>
  </si>
  <si>
    <t>• Percentile Calculation
• Model Validation
• COUNTIF Setup
• Diagnostics</t>
  </si>
  <si>
    <t>Calculate the following summary statistics from the model output:</t>
  </si>
  <si>
    <t>• Estimate</t>
  </si>
  <si>
    <t>• Standard Error</t>
  </si>
  <si>
    <t>• Coefficent of Variation</t>
  </si>
  <si>
    <t>Part b – Predicted Percentile of Outcome</t>
  </si>
  <si>
    <t>Part a – Summary Statistics of Model Output</t>
  </si>
  <si>
    <r>
      <t>Calculate the summary statistics directly from the simulated total ultimate losses (C</t>
    </r>
    <r>
      <rPr>
        <b/>
        <vertAlign val="superscript"/>
        <sz val="12"/>
        <color theme="1"/>
        <rFont val="Calibri"/>
        <family val="2"/>
      </rPr>
      <t>sim</t>
    </r>
    <r>
      <rPr>
        <b/>
        <vertAlign val="subscript"/>
        <sz val="12"/>
        <color theme="1"/>
        <rFont val="Calibri"/>
        <family val="2"/>
      </rPr>
      <t>Tot,Ult</t>
    </r>
    <r>
      <rPr>
        <b/>
        <sz val="12"/>
        <color theme="1"/>
        <rFont val="Calibri"/>
        <family val="2"/>
      </rPr>
      <t>). The "estimate" is the mean of the simulated ultimate loss outcomes. This can be interpreted as the point estimate of ultimate loss.</t>
    </r>
  </si>
  <si>
    <t>Std Error = STDEV( Simulated Outcomes)</t>
  </si>
  <si>
    <t>CV = Std Dev / Mean</t>
  </si>
  <si>
    <t>Estimate =</t>
  </si>
  <si>
    <t>Std Error =</t>
  </si>
  <si>
    <t>CV =</t>
  </si>
  <si>
    <t>Part c – Using Predicted Percentiles to Evaluate a Model's Reputation</t>
  </si>
  <si>
    <t>Part a – Box and Whisker Plot</t>
  </si>
  <si>
    <t>LOOIC</t>
  </si>
  <si>
    <t>d = 5</t>
  </si>
  <si>
    <t>Cumulative Paid Loss (months)</t>
  </si>
  <si>
    <r>
      <t>Log Mean parameter (μ</t>
    </r>
    <r>
      <rPr>
        <vertAlign val="subscript"/>
        <sz val="12"/>
        <color theme="1"/>
        <rFont val="Calibri"/>
        <family val="2"/>
      </rPr>
      <t>2021,d</t>
    </r>
    <r>
      <rPr>
        <sz val="12"/>
        <color theme="1"/>
        <rFont val="Calibri"/>
        <family val="2"/>
      </rPr>
      <t>)</t>
    </r>
  </si>
  <si>
    <r>
      <t>Log Standard Deviation parameter (σ</t>
    </r>
    <r>
      <rPr>
        <vertAlign val="subscript"/>
        <sz val="12"/>
        <color theme="1"/>
        <rFont val="Calibri"/>
        <family val="2"/>
      </rPr>
      <t>d</t>
    </r>
    <r>
      <rPr>
        <sz val="12"/>
        <color theme="1"/>
        <rFont val="Calibri"/>
        <family val="2"/>
      </rPr>
      <t>)</t>
    </r>
  </si>
  <si>
    <t>The simulated transformed parameters for accident year 2021 are below:</t>
  </si>
  <si>
    <t>CSR</t>
  </si>
  <si>
    <r>
      <t xml:space="preserve">Calculate the standardized residuals between the log of </t>
    </r>
    <r>
      <rPr>
        <b/>
        <i/>
        <u/>
        <sz val="12"/>
        <color theme="1"/>
        <rFont val="Calibri"/>
        <family val="2"/>
      </rPr>
      <t>actual</t>
    </r>
    <r>
      <rPr>
        <b/>
        <sz val="12"/>
        <color theme="1"/>
        <rFont val="Calibri"/>
        <family val="2"/>
      </rPr>
      <t xml:space="preserve"> losses in the loss triangle and its </t>
    </r>
    <r>
      <rPr>
        <b/>
        <i/>
        <u/>
        <sz val="12"/>
        <color theme="1"/>
        <rFont val="Calibri"/>
        <family val="2"/>
      </rPr>
      <t>expected</t>
    </r>
    <r>
      <rPr>
        <b/>
        <sz val="12"/>
        <color theme="1"/>
        <rFont val="Calibri"/>
        <family val="2"/>
      </rPr>
      <t xml:space="preserve"> value from the lognormal parameters (μ</t>
    </r>
    <r>
      <rPr>
        <b/>
        <vertAlign val="subscript"/>
        <sz val="12"/>
        <color theme="1"/>
        <rFont val="Calibri"/>
        <family val="2"/>
      </rPr>
      <t>w,d</t>
    </r>
    <r>
      <rPr>
        <b/>
        <sz val="12"/>
        <color theme="1"/>
        <rFont val="Calibri"/>
        <family val="2"/>
      </rPr>
      <t xml:space="preserve"> and σ</t>
    </r>
    <r>
      <rPr>
        <b/>
        <vertAlign val="subscript"/>
        <sz val="12"/>
        <color theme="1"/>
        <rFont val="Calibri"/>
        <family val="2"/>
      </rPr>
      <t>d</t>
    </r>
    <r>
      <rPr>
        <b/>
        <sz val="12"/>
        <color theme="1"/>
        <rFont val="Calibri"/>
        <family val="2"/>
      </rPr>
      <t>) for each simulation (j) and development period for the accident year.</t>
    </r>
  </si>
  <si>
    <t>CRC</t>
  </si>
  <si>
    <t>Standardized Residuals (AY 2021, all development periods)</t>
  </si>
  <si>
    <t>Meyers - pg. 20-22</t>
  </si>
  <si>
    <t xml:space="preserve">Prospective Diagnostics
</t>
  </si>
  <si>
    <r>
      <rPr>
        <b/>
        <u/>
        <sz val="12"/>
        <color theme="1"/>
        <rFont val="Calibri"/>
        <family val="2"/>
      </rPr>
      <t>Retrospective Diagnostics</t>
    </r>
    <r>
      <rPr>
        <b/>
        <sz val="12"/>
        <color theme="1"/>
        <rFont val="Calibri"/>
        <family val="2"/>
      </rPr>
      <t xml:space="preserve">
</t>
    </r>
  </si>
  <si>
    <t>• Based on many loss triangles developed to ultimate</t>
  </si>
  <si>
    <t>• Based on one loss triangle in a reserving analysis</t>
  </si>
  <si>
    <t>• Tests a model's reputation to predict a distribution of outcomes for the out-of-sample lower loss triangle</t>
  </si>
  <si>
    <t>A Changing Settlement Rate Model (CSR) model was fit onto the following 5x5 triangle. A random sample of four simulations are selected and the parameter vectors are used to calculate standardized residuals.</t>
  </si>
  <si>
    <t>The following statistics are given for the CSR Paid model and the CRC Paid model:</t>
  </si>
  <si>
    <t>Outliers:</t>
  </si>
  <si>
    <r>
      <t>Whisker</t>
    </r>
    <r>
      <rPr>
        <vertAlign val="subscript"/>
        <sz val="12"/>
        <color theme="1"/>
        <rFont val="Calibri"/>
        <family val="2"/>
      </rPr>
      <t>Bottom</t>
    </r>
  </si>
  <si>
    <r>
      <t>Whisker</t>
    </r>
    <r>
      <rPr>
        <vertAlign val="subscript"/>
        <sz val="12"/>
        <color theme="1"/>
        <rFont val="Calibri"/>
        <family val="2"/>
      </rPr>
      <t>Top</t>
    </r>
  </si>
  <si>
    <r>
      <t>Box</t>
    </r>
    <r>
      <rPr>
        <vertAlign val="subscript"/>
        <sz val="12"/>
        <color theme="1"/>
        <rFont val="Calibri"/>
        <family val="2"/>
      </rPr>
      <t>Top</t>
    </r>
  </si>
  <si>
    <r>
      <t>Box</t>
    </r>
    <r>
      <rPr>
        <vertAlign val="subscript"/>
        <sz val="12"/>
        <color theme="1"/>
        <rFont val="Calibri"/>
        <family val="2"/>
      </rPr>
      <t>Bottom</t>
    </r>
  </si>
  <si>
    <t>Interquartile Range =</t>
  </si>
  <si>
    <t>Expected Interquartile Range:</t>
  </si>
  <si>
    <r>
      <t>E[Box</t>
    </r>
    <r>
      <rPr>
        <vertAlign val="subscript"/>
        <sz val="12"/>
        <color theme="1"/>
        <rFont val="Calibri"/>
        <family val="2"/>
      </rPr>
      <t>Top</t>
    </r>
    <r>
      <rPr>
        <sz val="12"/>
        <color theme="1"/>
        <rFont val="Calibri"/>
        <family val="2"/>
      </rPr>
      <t>]</t>
    </r>
  </si>
  <si>
    <r>
      <t>E[Box</t>
    </r>
    <r>
      <rPr>
        <vertAlign val="subscript"/>
        <sz val="12"/>
        <color theme="1"/>
        <rFont val="Calibri"/>
        <family val="2"/>
      </rPr>
      <t>Bottom</t>
    </r>
    <r>
      <rPr>
        <sz val="12"/>
        <color theme="1"/>
        <rFont val="Calibri"/>
        <family val="2"/>
      </rPr>
      <t>]</t>
    </r>
  </si>
  <si>
    <t>• Use the following Excel formula for calculating percentiles from an array of values:</t>
  </si>
  <si>
    <t>Percentile = PERCENTILE.INC( array, percentile )</t>
  </si>
  <si>
    <t>The percentile formula interpolates the percentile from the data points. Alternatively, an empirical percentile will select the specific data point where X% percent of the data points are less than or equal to the percentile. If the problem doesn't state which definition to use, state your assumption.</t>
  </si>
  <si>
    <t>Use PERCENTILE.INC() to determine the upper and lower quartiles and NORM.S.INV() for the expected normal quartiles.</t>
  </si>
  <si>
    <t>AIC, elpd, and LOOIC</t>
  </si>
  <si>
    <r>
      <t>Part B – elpd</t>
    </r>
    <r>
      <rPr>
        <b/>
        <u/>
        <vertAlign val="subscript"/>
        <sz val="12"/>
        <color theme="1"/>
        <rFont val="Calibri"/>
        <family val="2"/>
      </rPr>
      <t>loo</t>
    </r>
    <r>
      <rPr>
        <b/>
        <u/>
        <sz val="12"/>
        <color theme="1"/>
        <rFont val="Calibri"/>
        <family val="2"/>
      </rPr>
      <t xml:space="preserve"> Statistic</t>
    </r>
  </si>
  <si>
    <r>
      <t>• Standardized residuals: Box plot, elpd</t>
    </r>
    <r>
      <rPr>
        <vertAlign val="subscript"/>
        <sz val="12"/>
        <color theme="1"/>
        <rFont val="Calibri"/>
        <family val="2"/>
      </rPr>
      <t>loo</t>
    </r>
    <r>
      <rPr>
        <sz val="12"/>
        <color theme="1"/>
        <rFont val="Calibri"/>
        <family val="2"/>
      </rPr>
      <t>, LOOIC</t>
    </r>
  </si>
  <si>
    <r>
      <t>• p-p plot, histogram of percentiles, K-S Statistic, elpd</t>
    </r>
    <r>
      <rPr>
        <vertAlign val="subscript"/>
        <sz val="12"/>
        <color theme="1"/>
        <rFont val="Calibri"/>
        <family val="2"/>
      </rPr>
      <t>test</t>
    </r>
  </si>
  <si>
    <t>elpd_loo</t>
  </si>
  <si>
    <r>
      <t>For the illustrative triangle, the standardized residual box-and-whisker plots show that the residuals aren't close to a standard normal distribution by accident year. This is likely due to the constant ELR assumption. The elpd</t>
    </r>
    <r>
      <rPr>
        <vertAlign val="subscript"/>
        <sz val="12"/>
        <color theme="1"/>
        <rFont val="Calibri"/>
        <family val="2"/>
      </rPr>
      <t>loo</t>
    </r>
    <r>
      <rPr>
        <sz val="12"/>
        <color theme="1"/>
        <rFont val="Calibri"/>
        <family val="2"/>
      </rPr>
      <t xml:space="preserve"> and LOOIC statistics (see the study guide) also show that the SCC model poorly fits the loss triangle data and is significantly worse than the CRC model.</t>
    </r>
  </si>
  <si>
    <r>
      <t>The model with the highest elpd</t>
    </r>
    <r>
      <rPr>
        <b/>
        <vertAlign val="subscript"/>
        <sz val="12"/>
        <color theme="1"/>
        <rFont val="Calibri"/>
        <family val="2"/>
      </rPr>
      <t>loo</t>
    </r>
    <r>
      <rPr>
        <b/>
        <sz val="12"/>
        <color theme="1"/>
        <rFont val="Calibri"/>
        <family val="2"/>
      </rPr>
      <t xml:space="preserve"> should be preferred. Below is an explanation of elpd</t>
    </r>
    <r>
      <rPr>
        <b/>
        <vertAlign val="subscript"/>
        <sz val="12"/>
        <color theme="1"/>
        <rFont val="Calibri"/>
        <family val="2"/>
      </rPr>
      <t>loo</t>
    </r>
    <r>
      <rPr>
        <b/>
        <sz val="12"/>
        <color theme="1"/>
        <rFont val="Calibri"/>
        <family val="2"/>
      </rPr>
      <t xml:space="preserve"> and how to use it in an analysis.</t>
    </r>
  </si>
  <si>
    <r>
      <t>Explain what the elpd</t>
    </r>
    <r>
      <rPr>
        <vertAlign val="subscript"/>
        <sz val="12"/>
        <color theme="1"/>
        <rFont val="Calibri"/>
        <family val="2"/>
      </rPr>
      <t>loo</t>
    </r>
    <r>
      <rPr>
        <sz val="12"/>
        <color theme="1"/>
        <rFont val="Calibri"/>
        <family val="2"/>
      </rPr>
      <t xml:space="preserve"> statistic is and identify which model is a better fit to the loss triangle according to it.</t>
    </r>
  </si>
  <si>
    <r>
      <t>The CSR model has a higher value, so it better fits the loss triangle than the CRC model.
elpd is a generalization of AIC for Bayesian MCMC models to evaluate model fit. It measures how probable the observed data is, given the model's posterior. elpd</t>
    </r>
    <r>
      <rPr>
        <vertAlign val="subscript"/>
        <sz val="12"/>
        <color theme="1"/>
        <rFont val="Calibri"/>
        <family val="2"/>
      </rPr>
      <t>loo</t>
    </r>
    <r>
      <rPr>
        <sz val="12"/>
        <color theme="1"/>
        <rFont val="Calibri"/>
        <family val="2"/>
      </rPr>
      <t xml:space="preserve"> (loo = leave-one-out) leaves out each data point in the triangle sequentially and evaluates how much predictive density the model, fit using the rest of the data, assigns to that held-out data point. A higher value indicates a better model fit when compared to other models on the same data.</t>
    </r>
  </si>
  <si>
    <t>• Risk-free rate</t>
  </si>
  <si>
    <t>• Risky rate</t>
  </si>
  <si>
    <t>• Losses are paid mid-year</t>
  </si>
  <si>
    <t>Expected Value of Cumulative Payments</t>
  </si>
  <si>
    <t xml:space="preserve">Accident Year </t>
  </si>
  <si>
    <t xml:space="preserve">← Given </t>
  </si>
  <si>
    <t>CY (t)</t>
  </si>
  <si>
    <r>
      <t>Expected Incremental Loss Payment (P</t>
    </r>
    <r>
      <rPr>
        <vertAlign val="superscript"/>
        <sz val="12"/>
        <color theme="1"/>
        <rFont val="Calibri"/>
        <family val="2"/>
      </rPr>
      <t>sim</t>
    </r>
    <r>
      <rPr>
        <vertAlign val="subscript"/>
        <sz val="12"/>
        <color theme="1"/>
        <rFont val="Calibri"/>
        <family val="2"/>
      </rPr>
      <t>w,d</t>
    </r>
    <r>
      <rPr>
        <sz val="12"/>
        <color theme="1"/>
        <rFont val="Calibri"/>
        <family val="2"/>
      </rPr>
      <t>)</t>
    </r>
  </si>
  <si>
    <t>• There is no loss development after 60 months</t>
  </si>
  <si>
    <r>
      <t>E</t>
    </r>
    <r>
      <rPr>
        <vertAlign val="superscript"/>
        <sz val="12"/>
        <color theme="1"/>
        <rFont val="Calibri"/>
        <family val="2"/>
      </rPr>
      <t>sim</t>
    </r>
    <r>
      <rPr>
        <vertAlign val="subscript"/>
        <sz val="12"/>
        <color theme="1"/>
        <rFont val="Calibri"/>
        <family val="2"/>
      </rPr>
      <t>Best</t>
    </r>
    <r>
      <rPr>
        <sz val="12"/>
        <color theme="1"/>
        <rFont val="Calibri"/>
        <family val="2"/>
      </rPr>
      <t xml:space="preserve"> =</t>
    </r>
  </si>
  <si>
    <t>The end goal is to set a loss reserve liability for the insurer. The formula for this (called "technical provisions" in Solvency II) is:</t>
  </si>
  <si>
    <t>Briefly describe how to calculate the best estimate of the liability according to Solvency II.</t>
  </si>
  <si>
    <t>Simulated expected loss</t>
  </si>
  <si>
    <t>Reserve Liability = Best Estimate + Risk Margin</t>
  </si>
  <si>
    <t>Meyers - Cost of Capital Risk Margin</t>
  </si>
  <si>
    <t>Part a – Discounted Best Estimate Calculation for a Simulation</t>
  </si>
  <si>
    <t xml:space="preserve">Calculate the expected incremental loss payment for each future cell after the latest triangle diagonal. </t>
  </si>
  <si>
    <t>Cumulate the future loss payments by calendar year, t, for each diagonal. The best estimate is the present value of the expected future cash flows discounted at the risk free rate.</t>
  </si>
  <si>
    <t>The paper assumes mid-year payments for discounting.</t>
  </si>
  <si>
    <t>Paid</t>
  </si>
  <si>
    <t>PV(Paid)</t>
  </si>
  <si>
    <t>The best estimate of the unpaid liability is the "probability-weighted average of the present value of expected future cash flows." Because each simulation has equal probability, the overall best estimate of the unpaid liability is the average over all simulations of the simulated best estimate:</t>
  </si>
  <si>
    <t>• Discount by CY, mid-year
• Risk free rate
• Use expected payments</t>
  </si>
  <si>
    <t>Meyers - pg. 63-64</t>
  </si>
  <si>
    <t>Part b – Total Reserve Liability</t>
  </si>
  <si>
    <t xml:space="preserve">A paid CSR Bayesian MCMC model is fit to the following 5×5 triangle as of 12/31/2025. For one simulation, the model's expected cumulative paid losses for all future cells are shaded below: </t>
  </si>
  <si>
    <t>Capital (K)</t>
  </si>
  <si>
    <t>PV</t>
  </si>
  <si>
    <t>Risk Margin =</t>
  </si>
  <si>
    <t>TVaR@97% (of ultimate)</t>
  </si>
  <si>
    <r>
      <t>Ult Loss Estimate (E</t>
    </r>
    <r>
      <rPr>
        <vertAlign val="subscript"/>
        <sz val="12"/>
        <color theme="1"/>
        <rFont val="Calibri"/>
        <family val="2"/>
      </rPr>
      <t>t</t>
    </r>
    <r>
      <rPr>
        <sz val="12"/>
        <color theme="1"/>
        <rFont val="Calibri"/>
        <family val="2"/>
      </rPr>
      <t>)</t>
    </r>
  </si>
  <si>
    <t>Calendar Year (t)</t>
  </si>
  <si>
    <t>• Total required capital is set using the approach in the paper</t>
  </si>
  <si>
    <t>Part a – Cost of Capital Risk Margin</t>
  </si>
  <si>
    <t>Calculate the capital required at each calendar year as TVaR minus the ultimate loss estimate, with both re-estimated at the end of each calendar year.</t>
  </si>
  <si>
    <t>Released</t>
  </si>
  <si>
    <t>Alternative Solution (Easier)</t>
  </si>
  <si>
    <r>
      <t>Alternatively, you can calculate the risk margin directly from the required capital by calendar year (K</t>
    </r>
    <r>
      <rPr>
        <b/>
        <vertAlign val="subscript"/>
        <sz val="12"/>
        <color theme="1"/>
        <rFont val="Calibri"/>
        <family val="2"/>
      </rPr>
      <t>t</t>
    </r>
    <r>
      <rPr>
        <b/>
        <sz val="12"/>
        <color theme="1"/>
        <rFont val="Calibri"/>
        <family val="2"/>
      </rPr>
      <t>) using the difference between the risky and risk-free rates.</t>
    </r>
  </si>
  <si>
    <t>Risk Margin ratio vs. Best Estimate</t>
  </si>
  <si>
    <t>Line</t>
  </si>
  <si>
    <t>Marginal</t>
  </si>
  <si>
    <t>Standalone</t>
  </si>
  <si>
    <t>Risk Margin</t>
  </si>
  <si>
    <t>CA</t>
  </si>
  <si>
    <t>WC</t>
  </si>
  <si>
    <t>PA</t>
  </si>
  <si>
    <t>OL</t>
  </si>
  <si>
    <t>Calculate the diversification credit for each line of business.</t>
  </si>
  <si>
    <t>Business</t>
  </si>
  <si>
    <t>PA + WC + OL</t>
  </si>
  <si>
    <t>CA + WC + OL</t>
  </si>
  <si>
    <t>CA + PA + OL</t>
  </si>
  <si>
    <t>CA + PA + WC</t>
  </si>
  <si>
    <t>All Lines</t>
  </si>
  <si>
    <t>Allocated</t>
  </si>
  <si>
    <t>Credit</t>
  </si>
  <si>
    <t>Line of</t>
  </si>
  <si>
    <t>Meyers - Diversification Credit</t>
  </si>
  <si>
    <t>Allocate the total risk margin for all-lines combined in proportion to the marginal risk margins for each line.</t>
  </si>
  <si>
    <r>
      <t xml:space="preserve">Calculate the diversification credit for each line. This is the percent decrease of the </t>
    </r>
    <r>
      <rPr>
        <b/>
        <i/>
        <u/>
        <sz val="12"/>
        <color theme="1"/>
        <rFont val="Calibri"/>
        <family val="2"/>
      </rPr>
      <t>standalone</t>
    </r>
    <r>
      <rPr>
        <b/>
        <sz val="12"/>
        <color theme="1"/>
        <rFont val="Calibri"/>
        <family val="2"/>
      </rPr>
      <t xml:space="preserve"> risk margin for the line when the line is added to the diversified book with all lines combined.</t>
    </r>
  </si>
  <si>
    <t>Line (i)</t>
  </si>
  <si>
    <t xml:space="preserve">Combined </t>
  </si>
  <si>
    <t>Excluding i</t>
  </si>
  <si>
    <t>• Marginal Calculation
• Allocated Margin
• Relationships
• Solvency II</t>
  </si>
  <si>
    <t>Combined Risk Margin</t>
  </si>
  <si>
    <r>
      <t xml:space="preserve">Calculate the </t>
    </r>
    <r>
      <rPr>
        <b/>
        <i/>
        <u/>
        <sz val="12"/>
        <color theme="1"/>
        <rFont val="Calibri"/>
        <family val="2"/>
      </rPr>
      <t>marginal</t>
    </r>
    <r>
      <rPr>
        <b/>
        <sz val="12"/>
        <color theme="1"/>
        <rFont val="Calibri"/>
        <family val="2"/>
      </rPr>
      <t xml:space="preserve"> risk margin for each line. This is the risk margin for all-lines combined minus the risk margin for all other lines combined, which </t>
    </r>
    <r>
      <rPr>
        <b/>
        <i/>
        <u/>
        <sz val="12"/>
        <color theme="1"/>
        <rFont val="Calibri"/>
        <family val="2"/>
      </rPr>
      <t>excludes</t>
    </r>
    <r>
      <rPr>
        <b/>
        <sz val="12"/>
        <color theme="1"/>
        <rFont val="Calibri"/>
        <family val="2"/>
      </rPr>
      <t xml:space="preserve"> the individual line of business. It captures how much a line increases the total risk margin.</t>
    </r>
  </si>
  <si>
    <t>Grouped Lines (ρ=0)</t>
  </si>
  <si>
    <r>
      <t xml:space="preserve">The best estimate is the probability-weighted present value of </t>
    </r>
    <r>
      <rPr>
        <i/>
        <u/>
        <sz val="12"/>
        <color theme="1"/>
        <rFont val="Calibri"/>
        <family val="2"/>
      </rPr>
      <t>future</t>
    </r>
    <r>
      <rPr>
        <sz val="12"/>
        <color theme="1"/>
        <rFont val="Calibri"/>
        <family val="2"/>
      </rPr>
      <t xml:space="preserve"> loss payments (not the ultimate loss). Below are the key steps to calculate it:
1 - Project future expected incremental payments (difference in cumulative losses) for each simulation
2 - Aggregate the future payments by calendar year
3 - Calculate the simulation's best estimate by discounting future cash flows at the risk-free rate
4 - Average the best estimates over all simulations</t>
    </r>
  </si>
  <si>
    <t>Briefly explain how to calculate a final reserve liability the insurer should post for the standalone line of business.</t>
  </si>
  <si>
    <t>Components to Calculate the Reserve Liability</t>
  </si>
  <si>
    <t>Meyers - pg. 61-68</t>
  </si>
  <si>
    <t>against the predictive ultimate loss distributions. The percentile of the actual ultimate loss within the</t>
  </si>
  <si>
    <r>
      <t>• Required Capital (K</t>
    </r>
    <r>
      <rPr>
        <vertAlign val="subscript"/>
        <sz val="12"/>
        <color theme="1"/>
        <rFont val="Calibri"/>
        <family val="2"/>
      </rPr>
      <t>t</t>
    </r>
    <r>
      <rPr>
        <sz val="12"/>
        <color theme="1"/>
        <rFont val="Calibri"/>
        <family val="2"/>
      </rPr>
      <t>)
• Risk Margin COC
• E</t>
    </r>
    <r>
      <rPr>
        <vertAlign val="subscript"/>
        <sz val="12"/>
        <color theme="1"/>
        <rFont val="Calibri"/>
        <family val="2"/>
      </rPr>
      <t>Best</t>
    </r>
    <r>
      <rPr>
        <sz val="12"/>
        <color theme="1"/>
        <rFont val="Calibri"/>
        <family val="2"/>
      </rPr>
      <t xml:space="preserve"> vs. E</t>
    </r>
    <r>
      <rPr>
        <vertAlign val="subscript"/>
        <sz val="12"/>
        <color theme="1"/>
        <rFont val="Calibri"/>
        <family val="2"/>
      </rPr>
      <t>t</t>
    </r>
  </si>
  <si>
    <t>Test D against the critical value and interpret the result.</t>
  </si>
  <si>
    <t>⇾ Predicted percentile is the percentage of simulations &lt;= actual loss outcome
⇾ Judge model validation based on the predicted percentiles from many (200) triangles
⇾ Know how to set up the criteria in the COUNTIF() formula
⇾ Use the out-of-sample diagnostics (histogram, p-p, KS) to analyze reputation, not residuals</t>
  </si>
  <si>
    <t>Meyers - pg. 7-11, 18-20</t>
  </si>
  <si>
    <r>
      <t>A model's "reputation" in the paper is how well it predicts the holdout ultimate losses across the 200 analyzed triangles. It's judged by p-p plots, the KS statistic, and the elpd</t>
    </r>
    <r>
      <rPr>
        <vertAlign val="subscript"/>
        <sz val="12"/>
        <color theme="1"/>
        <rFont val="Calibri"/>
        <family val="2"/>
      </rPr>
      <t>test</t>
    </r>
    <r>
      <rPr>
        <sz val="12"/>
        <color theme="1"/>
        <rFont val="Calibri"/>
        <family val="2"/>
      </rPr>
      <t xml:space="preserve"> statistic (elpd calculated on the lower, holdout triangle of data). The elpd statistic is like a generalized AIC statistic, but for Bayesian MCMC models. It's discussed in the Prospective Diagnostics recipe and the study guide.
Paid CRC Model
• Overestimates the ultimate losses (model is biased high)
→ The CSR model corrects this by introducing γ to allow the settlement rate to change across accident years
Incurred CRC Model
• Understates the variability of ultimate losses (model is light tailed)
→ The CAY model corrects this by introducing positive correlation r between adjacent accident years</t>
    </r>
  </si>
  <si>
    <t>A simulation may result in negative incrementals. Leave them as is and don't floor them to zero.</t>
  </si>
  <si>
    <r>
      <t xml:space="preserve">⇾ Aggregate payments by calendar year and discount as mid-year payments
⇾ Discount the best estimate with the </t>
    </r>
    <r>
      <rPr>
        <i/>
        <u/>
        <sz val="12"/>
        <color theme="1"/>
        <rFont val="Calibri"/>
        <family val="2"/>
      </rPr>
      <t>risk-free rate</t>
    </r>
    <r>
      <rPr>
        <sz val="12"/>
        <color theme="1"/>
        <rFont val="Calibri"/>
        <family val="2"/>
      </rPr>
      <t xml:space="preserve">, NOT the risky rate
⇾ Use the </t>
    </r>
    <r>
      <rPr>
        <i/>
        <u/>
        <sz val="12"/>
        <color theme="1"/>
        <rFont val="Calibri"/>
        <family val="2"/>
      </rPr>
      <t>expected</t>
    </r>
    <r>
      <rPr>
        <sz val="12"/>
        <color theme="1"/>
        <rFont val="Calibri"/>
        <family val="2"/>
      </rPr>
      <t xml:space="preserve"> future loss payments, using the lognormal mean (E[C] = exp(𝜇 + 𝜎^2 / 2)</t>
    </r>
  </si>
  <si>
    <t>Calculate the inputs to a box and whisker plot for accident year 2021, including the expected interquartile range from the normal distribution.</t>
  </si>
  <si>
    <t>For this simulation, calculate the discounted best estimate of the unpaid loss liability.</t>
  </si>
  <si>
    <t xml:space="preserve">The Meyers paper focuses extensively on interpreting the p-p plots and histograms to assess the reasonableness of different models. Make sure to understand how to interpret these graphs. To help with this, look at the wording in the Meyers paper of how the graphs are interpreted. Also, look at the sample solutions and examiners’ report for CAS 2017-13. </t>
  </si>
  <si>
    <t xml:space="preserve">Note: </t>
  </si>
  <si>
    <t>If a different threshold than 5% is used, the formula will need to be given.</t>
  </si>
  <si>
    <t>An actuary simulates 10,000 ultimate loss values from a cross-clasified model fit onto a 10x10 loss triangle. The parameters sampled from the posterior distribution for simulation 955 are given below along with the premium for each accident year and loss as of 12/31/2015:</t>
  </si>
  <si>
    <r>
      <t>C</t>
    </r>
    <r>
      <rPr>
        <vertAlign val="superscript"/>
        <sz val="12"/>
        <color theme="1"/>
        <rFont val="Calibri"/>
        <family val="2"/>
      </rPr>
      <t>sim</t>
    </r>
    <r>
      <rPr>
        <vertAlign val="subscript"/>
        <sz val="12"/>
        <color theme="1"/>
        <rFont val="Calibri"/>
        <family val="2"/>
      </rPr>
      <t xml:space="preserve">w,d </t>
    </r>
    <r>
      <rPr>
        <sz val="12"/>
        <color theme="1"/>
        <rFont val="Calibri"/>
        <family val="2"/>
      </rPr>
      <t>= LOGNORM.INV(probability, μ</t>
    </r>
    <r>
      <rPr>
        <vertAlign val="subscript"/>
        <sz val="12"/>
        <color theme="1"/>
        <rFont val="Calibri"/>
        <family val="2"/>
      </rPr>
      <t>w,d</t>
    </r>
    <r>
      <rPr>
        <sz val="12"/>
        <color theme="1"/>
        <rFont val="Calibri"/>
        <family val="2"/>
      </rPr>
      <t xml:space="preserve"> ,σ</t>
    </r>
    <r>
      <rPr>
        <vertAlign val="subscript"/>
        <sz val="12"/>
        <color theme="1"/>
        <rFont val="Calibri"/>
        <family val="2"/>
      </rPr>
      <t>d</t>
    </r>
    <r>
      <rPr>
        <sz val="12"/>
        <color theme="1"/>
        <rFont val="Calibri"/>
        <family val="2"/>
      </rPr>
      <t>)     ← For a given simulation, probability = rand()</t>
    </r>
  </si>
  <si>
    <r>
      <t>C</t>
    </r>
    <r>
      <rPr>
        <vertAlign val="superscript"/>
        <sz val="12"/>
        <color theme="1"/>
        <rFont val="Calibri"/>
        <family val="2"/>
      </rPr>
      <t>sim</t>
    </r>
    <r>
      <rPr>
        <vertAlign val="subscript"/>
        <sz val="12"/>
        <color theme="1"/>
        <rFont val="Calibri"/>
        <family val="2"/>
      </rPr>
      <t xml:space="preserve">Tot,10 </t>
    </r>
    <r>
      <rPr>
        <sz val="12"/>
        <color theme="1"/>
        <rFont val="Calibri"/>
        <family val="2"/>
      </rPr>
      <t>=</t>
    </r>
  </si>
  <si>
    <r>
      <t xml:space="preserve">A Bayesian MCMC model, like the CRC model, will produce a complete predictive distribution of ultimate losses by accident year and in total. We use the same approach for all of the Meyers Bayesian MCMC models, just with different model specifications. 
Below is the high-level procedure of how this works from start to finish for 10,000 simulations:
</t>
    </r>
    <r>
      <rPr>
        <b/>
        <u/>
        <sz val="12"/>
        <color theme="1"/>
        <rFont val="Calibri"/>
        <family val="2"/>
      </rPr>
      <t>Produce the Posterior Distribution of the Bayesian Model Parameters</t>
    </r>
    <r>
      <rPr>
        <b/>
        <sz val="12"/>
        <color theme="1"/>
        <rFont val="Calibri"/>
        <family val="2"/>
      </rPr>
      <t xml:space="preserve">
</t>
    </r>
    <r>
      <rPr>
        <sz val="12"/>
        <color theme="1"/>
        <rFont val="Calibri"/>
        <family val="2"/>
      </rPr>
      <t xml:space="preserve">1 - </t>
    </r>
    <r>
      <rPr>
        <b/>
        <sz val="12"/>
        <color theme="1"/>
        <rFont val="Calibri"/>
        <family val="2"/>
      </rPr>
      <t xml:space="preserve">Specify the model
</t>
    </r>
    <r>
      <rPr>
        <sz val="12"/>
        <color theme="1"/>
        <rFont val="Calibri"/>
        <family val="2"/>
      </rPr>
      <t>Set prior distributions for all initial parameters (logelr, ⍺</t>
    </r>
    <r>
      <rPr>
        <vertAlign val="subscript"/>
        <sz val="12"/>
        <color theme="1"/>
        <rFont val="Calibri"/>
        <family val="2"/>
      </rPr>
      <t>w</t>
    </r>
    <r>
      <rPr>
        <sz val="12"/>
        <color theme="1"/>
        <rFont val="Calibri"/>
        <family val="2"/>
      </rPr>
      <t>, β</t>
    </r>
    <r>
      <rPr>
        <vertAlign val="subscript"/>
        <sz val="12"/>
        <color theme="1"/>
        <rFont val="Calibri"/>
        <family val="2"/>
      </rPr>
      <t>d</t>
    </r>
    <r>
      <rPr>
        <sz val="12"/>
        <color theme="1"/>
        <rFont val="Calibri"/>
        <family val="2"/>
      </rPr>
      <t>, a</t>
    </r>
    <r>
      <rPr>
        <vertAlign val="subscript"/>
        <sz val="12"/>
        <color theme="1"/>
        <rFont val="Calibri"/>
        <family val="2"/>
      </rPr>
      <t>i</t>
    </r>
    <r>
      <rPr>
        <sz val="12"/>
        <color theme="1"/>
        <rFont val="Calibri"/>
        <family val="2"/>
      </rPr>
      <t>). Then specify the formulas for the transformed parameters (μ</t>
    </r>
    <r>
      <rPr>
        <vertAlign val="subscript"/>
        <sz val="12"/>
        <color theme="1"/>
        <rFont val="Calibri"/>
        <family val="2"/>
      </rPr>
      <t>w,d</t>
    </r>
    <r>
      <rPr>
        <sz val="12"/>
        <color theme="1"/>
        <rFont val="Calibri"/>
        <family val="2"/>
      </rPr>
      <t xml:space="preserve"> and σ</t>
    </r>
    <r>
      <rPr>
        <vertAlign val="subscript"/>
        <sz val="12"/>
        <color theme="1"/>
        <rFont val="Calibri"/>
        <family val="2"/>
      </rPr>
      <t>d</t>
    </r>
    <r>
      <rPr>
        <sz val="12"/>
        <color theme="1"/>
        <rFont val="Calibri"/>
        <family val="2"/>
      </rPr>
      <t>) and for the lognormal distribution of losses (C</t>
    </r>
    <r>
      <rPr>
        <vertAlign val="subscript"/>
        <sz val="12"/>
        <color theme="1"/>
        <rFont val="Calibri"/>
        <family val="2"/>
      </rPr>
      <t>w,d</t>
    </r>
    <r>
      <rPr>
        <sz val="12"/>
        <color theme="1"/>
        <rFont val="Calibri"/>
        <family val="2"/>
      </rPr>
      <t xml:space="preserve">).
2 - </t>
    </r>
    <r>
      <rPr>
        <b/>
        <sz val="12"/>
        <color theme="1"/>
        <rFont val="Calibri"/>
        <family val="2"/>
      </rPr>
      <t xml:space="preserve">Create the posterior distribution
</t>
    </r>
    <r>
      <rPr>
        <sz val="12"/>
        <color theme="1"/>
        <rFont val="Calibri"/>
        <family val="2"/>
      </rPr>
      <t xml:space="preserve">Feed the model specification and the loss triangle (observed data) into Bayesian MCMC software to create a posterior distribution for all parameters using Bayes theorem. 
</t>
    </r>
    <r>
      <rPr>
        <b/>
        <u/>
        <sz val="12"/>
        <color theme="1"/>
        <rFont val="Calibri"/>
        <family val="2"/>
      </rPr>
      <t>Create the Predictive Distribution of Outcomes</t>
    </r>
    <r>
      <rPr>
        <sz val="12"/>
        <color theme="1"/>
        <rFont val="Calibri"/>
        <family val="2"/>
      </rPr>
      <t xml:space="preserve">
3 - </t>
    </r>
    <r>
      <rPr>
        <b/>
        <sz val="12"/>
        <color theme="1"/>
        <rFont val="Calibri"/>
        <family val="2"/>
      </rPr>
      <t>Sample from the posterior distribution</t>
    </r>
    <r>
      <rPr>
        <sz val="12"/>
        <color theme="1"/>
        <rFont val="Calibri"/>
        <family val="2"/>
      </rPr>
      <t xml:space="preserve">
Draw 10,000 parameter sets {⍺</t>
    </r>
    <r>
      <rPr>
        <vertAlign val="subscript"/>
        <sz val="12"/>
        <color theme="1"/>
        <rFont val="Calibri"/>
        <family val="2"/>
      </rPr>
      <t>1</t>
    </r>
    <r>
      <rPr>
        <sz val="12"/>
        <color theme="1"/>
        <rFont val="Calibri"/>
        <family val="2"/>
      </rPr>
      <t>, ⍺</t>
    </r>
    <r>
      <rPr>
        <vertAlign val="subscript"/>
        <sz val="12"/>
        <color theme="1"/>
        <rFont val="Calibri"/>
        <family val="2"/>
      </rPr>
      <t>2</t>
    </r>
    <r>
      <rPr>
        <sz val="12"/>
        <color theme="1"/>
        <rFont val="Calibri"/>
        <family val="2"/>
      </rPr>
      <t>, ... logelr, β</t>
    </r>
    <r>
      <rPr>
        <vertAlign val="subscript"/>
        <sz val="12"/>
        <color theme="1"/>
        <rFont val="Calibri"/>
        <family val="2"/>
      </rPr>
      <t>1</t>
    </r>
    <r>
      <rPr>
        <sz val="12"/>
        <color theme="1"/>
        <rFont val="Calibri"/>
        <family val="2"/>
      </rPr>
      <t>, β</t>
    </r>
    <r>
      <rPr>
        <vertAlign val="subscript"/>
        <sz val="12"/>
        <color theme="1"/>
        <rFont val="Calibri"/>
        <family val="2"/>
      </rPr>
      <t>2</t>
    </r>
    <r>
      <rPr>
        <sz val="12"/>
        <color theme="1"/>
        <rFont val="Calibri"/>
        <family val="2"/>
      </rPr>
      <t>,...} from the posterior distribution and then calculate the transformed parameters {μ</t>
    </r>
    <r>
      <rPr>
        <vertAlign val="subscript"/>
        <sz val="12"/>
        <color theme="1"/>
        <rFont val="Calibri"/>
        <family val="2"/>
      </rPr>
      <t>w,d</t>
    </r>
    <r>
      <rPr>
        <sz val="12"/>
        <color theme="1"/>
        <rFont val="Calibri"/>
        <family val="2"/>
      </rPr>
      <t xml:space="preserve"> and σ</t>
    </r>
    <r>
      <rPr>
        <vertAlign val="subscript"/>
        <sz val="12"/>
        <color theme="1"/>
        <rFont val="Calibri"/>
        <family val="2"/>
      </rPr>
      <t>d</t>
    </r>
    <r>
      <rPr>
        <sz val="12"/>
        <color theme="1"/>
        <rFont val="Calibri"/>
        <family val="2"/>
      </rPr>
      <t xml:space="preserve">}
4 - </t>
    </r>
    <r>
      <rPr>
        <b/>
        <sz val="12"/>
        <color theme="1"/>
        <rFont val="Calibri"/>
        <family val="2"/>
      </rPr>
      <t xml:space="preserve">Simulate ultimate losses by accident year for each simulation
</t>
    </r>
    <r>
      <rPr>
        <sz val="12"/>
        <color theme="1"/>
        <rFont val="Calibri"/>
        <family val="2"/>
      </rPr>
      <t>For each sampled parameter set, simulate the ultimate loss for each accident year as a random draw from its lognormal(μ</t>
    </r>
    <r>
      <rPr>
        <vertAlign val="subscript"/>
        <sz val="12"/>
        <color theme="1"/>
        <rFont val="Calibri"/>
        <family val="2"/>
      </rPr>
      <t>w,10</t>
    </r>
    <r>
      <rPr>
        <sz val="12"/>
        <color theme="1"/>
        <rFont val="Calibri"/>
        <family val="2"/>
      </rPr>
      <t xml:space="preserve"> and σ</t>
    </r>
    <r>
      <rPr>
        <vertAlign val="subscript"/>
        <sz val="12"/>
        <color theme="1"/>
        <rFont val="Calibri"/>
        <family val="2"/>
      </rPr>
      <t>10</t>
    </r>
    <r>
      <rPr>
        <sz val="12"/>
        <color theme="1"/>
        <rFont val="Calibri"/>
        <family val="2"/>
      </rPr>
      <t>) distribution. The result is 10,000 simulated values of ultimate losses by accident year. Sum over all accident years to calculate C</t>
    </r>
    <r>
      <rPr>
        <vertAlign val="superscript"/>
        <sz val="12"/>
        <color theme="1"/>
        <rFont val="Calibri"/>
        <family val="2"/>
      </rPr>
      <t>Sim</t>
    </r>
    <r>
      <rPr>
        <vertAlign val="subscript"/>
        <sz val="12"/>
        <color theme="1"/>
        <rFont val="Calibri"/>
        <family val="2"/>
      </rPr>
      <t>Tot,10</t>
    </r>
    <r>
      <rPr>
        <sz val="12"/>
        <color theme="1"/>
        <rFont val="Calibri"/>
        <family val="2"/>
      </rPr>
      <t xml:space="preserve"> for each simulation.
</t>
    </r>
    <r>
      <rPr>
        <b/>
        <sz val="12"/>
        <color theme="1"/>
        <rFont val="Calibri"/>
        <family val="2"/>
      </rPr>
      <t>5</t>
    </r>
    <r>
      <rPr>
        <sz val="12"/>
        <color theme="1"/>
        <rFont val="Calibri"/>
        <family val="2"/>
      </rPr>
      <t xml:space="preserve"> - </t>
    </r>
    <r>
      <rPr>
        <b/>
        <sz val="12"/>
        <color theme="1"/>
        <rFont val="Calibri"/>
        <family val="2"/>
      </rPr>
      <t>Create the predictive distribution and summary statistics</t>
    </r>
    <r>
      <rPr>
        <sz val="12"/>
        <color theme="1"/>
        <rFont val="Calibri"/>
        <family val="2"/>
      </rPr>
      <t xml:space="preserve">
The 10,000 simulated outcomes give the empirical predictive distribution of ultimate losses both by accident year and in total. The predictive distribution reflects both parameter variance and process variance. 
Then, we can calculate summary statistics like the ultimate loss estimate (average of simulated ultimates), standard error (std. dev. of simulated ultimates), and coefficient of variation. The standard error of the total is computed directly from the 10,000 simulated C</t>
    </r>
    <r>
      <rPr>
        <vertAlign val="superscript"/>
        <sz val="12"/>
        <color theme="1"/>
        <rFont val="Calibri"/>
        <family val="2"/>
      </rPr>
      <t>Sim</t>
    </r>
    <r>
      <rPr>
        <vertAlign val="subscript"/>
        <sz val="12"/>
        <color theme="1"/>
        <rFont val="Calibri"/>
        <family val="2"/>
      </rPr>
      <t>Tot,10</t>
    </r>
    <r>
      <rPr>
        <sz val="12"/>
        <color theme="1"/>
        <rFont val="Calibri"/>
        <family val="2"/>
      </rPr>
      <t xml:space="preserve"> values.</t>
    </r>
  </si>
  <si>
    <r>
      <t xml:space="preserve">The </t>
    </r>
    <r>
      <rPr>
        <b/>
        <sz val="12"/>
        <color theme="1"/>
        <rFont val="Calibri"/>
        <family val="2"/>
      </rPr>
      <t>lognormal mean</t>
    </r>
    <r>
      <rPr>
        <sz val="12"/>
        <color theme="1"/>
        <rFont val="Calibri"/>
        <family val="2"/>
      </rPr>
      <t xml:space="preserve"> for each cell, μ</t>
    </r>
    <r>
      <rPr>
        <vertAlign val="subscript"/>
        <sz val="12"/>
        <color theme="1"/>
        <rFont val="Calibri"/>
        <family val="2"/>
      </rPr>
      <t>w,d</t>
    </r>
    <r>
      <rPr>
        <sz val="12"/>
        <color theme="1"/>
        <rFont val="Calibri"/>
        <family val="2"/>
      </rPr>
      <t>, is calculated based on four key elements:
• ⍺</t>
    </r>
    <r>
      <rPr>
        <vertAlign val="subscript"/>
        <sz val="12"/>
        <color theme="1"/>
        <rFont val="Calibri"/>
        <family val="2"/>
      </rPr>
      <t xml:space="preserve">w </t>
    </r>
    <r>
      <rPr>
        <sz val="12"/>
        <color theme="1"/>
        <rFont val="Calibri"/>
        <family val="2"/>
      </rPr>
      <t>→ The accident year (w) parameter, reflecting how much the loss ratio for AY w deviates from average
• β</t>
    </r>
    <r>
      <rPr>
        <vertAlign val="subscript"/>
        <sz val="12"/>
        <color theme="1"/>
        <rFont val="Calibri"/>
        <family val="2"/>
      </rPr>
      <t>d</t>
    </r>
    <r>
      <rPr>
        <sz val="12"/>
        <color theme="1"/>
        <rFont val="Calibri"/>
        <family val="2"/>
      </rPr>
      <t xml:space="preserve"> → The development period (d) parameter, reflecting the loss development
• log(Premium</t>
    </r>
    <r>
      <rPr>
        <vertAlign val="subscript"/>
        <sz val="12"/>
        <color theme="1"/>
        <rFont val="Calibri"/>
        <family val="2"/>
      </rPr>
      <t>w</t>
    </r>
    <r>
      <rPr>
        <sz val="12"/>
        <color theme="1"/>
        <rFont val="Calibri"/>
        <family val="2"/>
      </rPr>
      <t>) → The exposure base for each accident year (a fixed value)
• logelr → The expected loss ratio parameter
     ￮ exp(logelr) approximates the ultimate loss ratio for AY w = 1, because ⍺</t>
    </r>
    <r>
      <rPr>
        <vertAlign val="subscript"/>
        <sz val="12"/>
        <color theme="1"/>
        <rFont val="Calibri"/>
        <family val="2"/>
      </rPr>
      <t>1</t>
    </r>
    <r>
      <rPr>
        <sz val="12"/>
        <color theme="1"/>
        <rFont val="Calibri"/>
        <family val="2"/>
      </rPr>
      <t xml:space="preserve"> = 0 and σ</t>
    </r>
    <r>
      <rPr>
        <vertAlign val="subscript"/>
        <sz val="12"/>
        <color theme="1"/>
        <rFont val="Calibri"/>
        <family val="2"/>
      </rPr>
      <t>10</t>
    </r>
    <r>
      <rPr>
        <sz val="12"/>
        <color theme="1"/>
        <rFont val="Calibri"/>
        <family val="2"/>
      </rPr>
      <t xml:space="preserve"> is small (pg. 16)
The </t>
    </r>
    <r>
      <rPr>
        <b/>
        <sz val="12"/>
        <color theme="1"/>
        <rFont val="Calibri"/>
        <family val="2"/>
      </rPr>
      <t>lognormal standard deviation</t>
    </r>
    <r>
      <rPr>
        <sz val="12"/>
        <color theme="1"/>
        <rFont val="Calibri"/>
        <family val="2"/>
      </rPr>
      <t xml:space="preserve"> parameters, σ</t>
    </r>
    <r>
      <rPr>
        <vertAlign val="subscript"/>
        <sz val="12"/>
        <color theme="1"/>
        <rFont val="Calibri"/>
        <family val="2"/>
      </rPr>
      <t>d</t>
    </r>
    <r>
      <rPr>
        <sz val="12"/>
        <color theme="1"/>
        <rFont val="Calibri"/>
        <family val="2"/>
      </rPr>
      <t>, reflect the variability in losses by development period. σ</t>
    </r>
    <r>
      <rPr>
        <vertAlign val="subscript"/>
        <sz val="12"/>
        <color theme="1"/>
        <rFont val="Calibri"/>
        <family val="2"/>
      </rPr>
      <t>d</t>
    </r>
    <r>
      <rPr>
        <sz val="12"/>
        <color theme="1"/>
        <rFont val="Calibri"/>
        <family val="2"/>
      </rPr>
      <t xml:space="preserve"> </t>
    </r>
    <r>
      <rPr>
        <i/>
        <u/>
        <sz val="12"/>
        <color theme="1"/>
        <rFont val="Calibri"/>
        <family val="2"/>
      </rPr>
      <t>decreases</t>
    </r>
    <r>
      <rPr>
        <sz val="12"/>
        <color theme="1"/>
        <rFont val="Calibri"/>
        <family val="2"/>
      </rPr>
      <t xml:space="preserve"> as d </t>
    </r>
    <r>
      <rPr>
        <i/>
        <u/>
        <sz val="12"/>
        <color theme="1"/>
        <rFont val="Calibri"/>
        <family val="2"/>
      </rPr>
      <t>increases</t>
    </r>
    <r>
      <rPr>
        <sz val="12"/>
        <color theme="1"/>
        <rFont val="Calibri"/>
        <family val="2"/>
      </rPr>
      <t>, because a larger percentage of the loss at C</t>
    </r>
    <r>
      <rPr>
        <vertAlign val="subscript"/>
        <sz val="12"/>
        <color theme="1"/>
        <rFont val="Calibri"/>
        <family val="2"/>
      </rPr>
      <t>w,d</t>
    </r>
    <r>
      <rPr>
        <sz val="12"/>
        <color theme="1"/>
        <rFont val="Calibri"/>
        <family val="2"/>
      </rPr>
      <t xml:space="preserve"> is already settled from development periods d-1 and prior. This means there is less remaining uncertainty at more mature development periods.</t>
    </r>
  </si>
  <si>
    <t>•   There's no loss development after period 60 months</t>
  </si>
  <si>
    <r>
      <t>Calculate the log mean parameter, μ</t>
    </r>
    <r>
      <rPr>
        <b/>
        <vertAlign val="subscript"/>
        <sz val="12"/>
        <color theme="1"/>
        <rFont val="Calibri"/>
        <family val="2"/>
      </rPr>
      <t>w,d</t>
    </r>
    <r>
      <rPr>
        <b/>
        <sz val="12"/>
        <color theme="1"/>
        <rFont val="Calibri"/>
        <family val="2"/>
      </rPr>
      <t>, and select the log std. deviation, σ</t>
    </r>
    <r>
      <rPr>
        <b/>
        <vertAlign val="subscript"/>
        <sz val="12"/>
        <color theme="1"/>
        <rFont val="Calibri"/>
        <family val="2"/>
      </rPr>
      <t>d</t>
    </r>
    <r>
      <rPr>
        <b/>
        <sz val="12"/>
        <color theme="1"/>
        <rFont val="Calibri"/>
        <family val="2"/>
      </rPr>
      <t xml:space="preserve">, for each accident year at: 
•   The </t>
    </r>
    <r>
      <rPr>
        <b/>
        <i/>
        <u/>
        <sz val="12"/>
        <color theme="1"/>
        <rFont val="Calibri"/>
        <family val="2"/>
      </rPr>
      <t>ultimate</t>
    </r>
    <r>
      <rPr>
        <b/>
        <sz val="12"/>
        <color theme="1"/>
        <rFont val="Calibri"/>
        <family val="2"/>
      </rPr>
      <t xml:space="preserve"> development period (d = Ult)
•   The </t>
    </r>
    <r>
      <rPr>
        <b/>
        <i/>
        <u/>
        <sz val="12"/>
        <color theme="1"/>
        <rFont val="Calibri"/>
        <family val="2"/>
      </rPr>
      <t>latest</t>
    </r>
    <r>
      <rPr>
        <b/>
        <sz val="12"/>
        <color theme="1"/>
        <rFont val="Calibri"/>
        <family val="2"/>
      </rPr>
      <t xml:space="preserve"> development period in the loss triangle (d = Ult + 1 - w)
</t>
    </r>
  </si>
  <si>
    <r>
      <t xml:space="preserve">•   For all accident years, the </t>
    </r>
    <r>
      <rPr>
        <i/>
        <u/>
        <sz val="12"/>
        <color theme="1"/>
        <rFont val="Calibri"/>
        <family val="2"/>
      </rPr>
      <t>ultimate</t>
    </r>
    <r>
      <rPr>
        <sz val="12"/>
        <color theme="1"/>
        <rFont val="Calibri"/>
        <family val="2"/>
      </rPr>
      <t xml:space="preserve"> development period is d = 5</t>
    </r>
  </si>
  <si>
    <r>
      <t xml:space="preserve">•   For AY 2024 (w = 4), the </t>
    </r>
    <r>
      <rPr>
        <i/>
        <u/>
        <sz val="12"/>
        <color theme="1"/>
        <rFont val="Calibri"/>
        <family val="2"/>
      </rPr>
      <t>latest</t>
    </r>
    <r>
      <rPr>
        <sz val="12"/>
        <color theme="1"/>
        <rFont val="Calibri"/>
        <family val="2"/>
      </rPr>
      <t xml:space="preserve"> development period is at 24 months (d = 5 + 1 - 4 = 2)</t>
    </r>
  </si>
  <si>
    <r>
      <t>μ</t>
    </r>
    <r>
      <rPr>
        <vertAlign val="subscript"/>
        <sz val="12"/>
        <color theme="1"/>
        <rFont val="Calibri"/>
        <family val="2"/>
      </rPr>
      <t>w,d</t>
    </r>
  </si>
  <si>
    <r>
      <t>• The first formula (C</t>
    </r>
    <r>
      <rPr>
        <vertAlign val="subscript"/>
        <sz val="12"/>
        <color theme="1"/>
        <rFont val="Calibri"/>
        <family val="2"/>
      </rPr>
      <t>w,d</t>
    </r>
    <r>
      <rPr>
        <sz val="12"/>
        <color theme="1"/>
        <rFont val="Calibri"/>
        <family val="2"/>
      </rPr>
      <t>) is the distribution of loss using this Bayesian model setup
• The second formula* (C</t>
    </r>
    <r>
      <rPr>
        <vertAlign val="superscript"/>
        <sz val="12"/>
        <color theme="1"/>
        <rFont val="Calibri"/>
        <family val="2"/>
      </rPr>
      <t>sim</t>
    </r>
    <r>
      <rPr>
        <vertAlign val="subscript"/>
        <sz val="12"/>
        <color theme="1"/>
        <rFont val="Calibri"/>
        <family val="2"/>
      </rPr>
      <t>w,Ult</t>
    </r>
    <r>
      <rPr>
        <sz val="12"/>
        <color theme="1"/>
        <rFont val="Calibri"/>
        <family val="2"/>
      </rPr>
      <t xml:space="preserve">) simulates the ultimate loss by adjusting for the difference between the latest </t>
    </r>
    <r>
      <rPr>
        <i/>
        <u/>
        <sz val="12"/>
        <color theme="1"/>
        <rFont val="Calibri"/>
        <family val="2"/>
      </rPr>
      <t>actual</t>
    </r>
    <r>
      <rPr>
        <sz val="12"/>
        <color theme="1"/>
        <rFont val="Calibri"/>
        <family val="2"/>
      </rPr>
      <t xml:space="preserve"> loss and </t>
    </r>
    <r>
      <rPr>
        <i/>
        <u/>
        <sz val="12"/>
        <color theme="1"/>
        <rFont val="Calibri"/>
        <family val="2"/>
      </rPr>
      <t>expected</t>
    </r>
    <r>
      <rPr>
        <sz val="12"/>
        <color theme="1"/>
        <rFont val="Calibri"/>
        <family val="2"/>
      </rPr>
      <t xml:space="preserve"> loss on the diagonal to get the traditional Cape Cod ultimate (Ult = Loss-to-date + E[Ultimate] * %Unreported) 
*See the derivation in the discussion
</t>
    </r>
    <r>
      <rPr>
        <b/>
        <sz val="12"/>
        <color theme="1"/>
        <rFont val="Calibri"/>
        <family val="2"/>
      </rPr>
      <t xml:space="preserve">[Important] </t>
    </r>
    <r>
      <rPr>
        <sz val="12"/>
        <color theme="1"/>
        <rFont val="Calibri"/>
        <family val="2"/>
      </rPr>
      <t xml:space="preserve">This is the ONLY stochastic method where we make this adjustment because we're trying to create a stochastic version of a traditional reserving method where the reserve is calculated based on the latest losses on the loss triangle diagonal.
</t>
    </r>
  </si>
  <si>
    <r>
      <t>Simulate the loss outcome at ultimate, C</t>
    </r>
    <r>
      <rPr>
        <b/>
        <vertAlign val="superscript"/>
        <sz val="12"/>
        <color theme="1"/>
        <rFont val="Calibri"/>
        <family val="2"/>
      </rPr>
      <t>sim</t>
    </r>
    <r>
      <rPr>
        <b/>
        <vertAlign val="subscript"/>
        <sz val="12"/>
        <color theme="1"/>
        <rFont val="Calibri"/>
        <family val="2"/>
      </rPr>
      <t>w,Ult</t>
    </r>
    <r>
      <rPr>
        <b/>
        <sz val="12"/>
        <color theme="1"/>
        <rFont val="Calibri"/>
        <family val="2"/>
      </rPr>
      <t>, for each accident year from its lognormal predictive distribution and use the stochastic Cape Cod formula to adjust for the difference between the actual loss-to-date and the expected loss-to-date.</t>
    </r>
  </si>
  <si>
    <r>
      <rPr>
        <b/>
        <sz val="12"/>
        <color theme="1"/>
        <rFont val="Calibri"/>
        <family val="2"/>
      </rPr>
      <t>Paid SCC Model</t>
    </r>
    <r>
      <rPr>
        <sz val="12"/>
        <color theme="1"/>
        <rFont val="Calibri"/>
        <family val="2"/>
      </rPr>
      <t xml:space="preserve">
•  Significantly understates the variability of ultimate losses (model is </t>
    </r>
    <r>
      <rPr>
        <i/>
        <u/>
        <sz val="12"/>
        <color theme="1"/>
        <rFont val="Calibri"/>
        <family val="2"/>
      </rPr>
      <t>light tailed</t>
    </r>
    <r>
      <rPr>
        <sz val="12"/>
        <color theme="1"/>
        <rFont val="Calibri"/>
        <family val="2"/>
      </rPr>
      <t xml:space="preserve">)
</t>
    </r>
    <r>
      <rPr>
        <b/>
        <sz val="12"/>
        <color theme="1"/>
        <rFont val="Calibri"/>
        <family val="2"/>
      </rPr>
      <t>Incurred SCC Model</t>
    </r>
    <r>
      <rPr>
        <sz val="12"/>
        <color theme="1"/>
        <rFont val="Calibri"/>
        <family val="2"/>
      </rPr>
      <t xml:space="preserve">
•  Significantly understates the variability of ultimate losses (model is </t>
    </r>
    <r>
      <rPr>
        <i/>
        <u/>
        <sz val="12"/>
        <color theme="1"/>
        <rFont val="Calibri"/>
        <family val="2"/>
      </rPr>
      <t>light tailed</t>
    </r>
    <r>
      <rPr>
        <sz val="12"/>
        <color theme="1"/>
        <rFont val="Calibri"/>
        <family val="2"/>
      </rPr>
      <t>)
Overall, the SCC model has a poor reputation for estimating ultimate losses, much worse than CRC. This is shown with the p-p plots and histograms of the predicted percentiles of actual loss outcomes.</t>
    </r>
  </si>
  <si>
    <t>(in Verrall problem bank)</t>
  </si>
  <si>
    <r>
      <t>Calculate the log mean parameter, μ</t>
    </r>
    <r>
      <rPr>
        <b/>
        <vertAlign val="subscript"/>
        <sz val="12"/>
        <color theme="1"/>
        <rFont val="Calibri"/>
        <family val="2"/>
      </rPr>
      <t>w,d</t>
    </r>
    <r>
      <rPr>
        <b/>
        <sz val="12"/>
        <color theme="1"/>
        <rFont val="Calibri"/>
        <family val="2"/>
      </rPr>
      <t>, for each simulation and cell in the loss triangle. In the CSR model, the γ parameter captures the change in the claim settlement rate.</t>
    </r>
  </si>
  <si>
    <r>
      <t xml:space="preserve">⇾ Make sure to use (w - 1) as the exponent, because the settlement changes by accident year
⇾ The residual uses the log loss, not the whole number loss
⇾ For γ = 0, the CSR model reduces to the CRC model
⇾ Residuals are calculated for a single triangle based on the fit to the </t>
    </r>
    <r>
      <rPr>
        <i/>
        <u/>
        <sz val="12"/>
        <color theme="1"/>
        <rFont val="Calibri"/>
        <family val="2"/>
      </rPr>
      <t>upper</t>
    </r>
    <r>
      <rPr>
        <sz val="12"/>
        <color theme="1"/>
        <rFont val="Calibri"/>
        <family val="2"/>
      </rPr>
      <t xml:space="preserve"> loss triangle
⇾ "Reputation" is determined by how well a model predicts the out-of-sample ultimate loss from the </t>
    </r>
    <r>
      <rPr>
        <i/>
        <u/>
        <sz val="12"/>
        <color theme="1"/>
        <rFont val="Calibri"/>
        <family val="2"/>
      </rPr>
      <t>lower</t>
    </r>
    <r>
      <rPr>
        <sz val="12"/>
        <color theme="1"/>
        <rFont val="Calibri"/>
        <family val="2"/>
      </rPr>
      <t xml:space="preserve"> loss triangle over 200 different loss datasets</t>
    </r>
  </si>
  <si>
    <r>
      <t xml:space="preserve">Calculate the standardized residuals between the log of </t>
    </r>
    <r>
      <rPr>
        <b/>
        <i/>
        <u/>
        <sz val="12"/>
        <color theme="1"/>
        <rFont val="Calibri"/>
        <family val="2"/>
      </rPr>
      <t>actual</t>
    </r>
    <r>
      <rPr>
        <b/>
        <sz val="12"/>
        <color theme="1"/>
        <rFont val="Calibri"/>
        <family val="2"/>
      </rPr>
      <t xml:space="preserve"> losses in the loss triangle and their </t>
    </r>
    <r>
      <rPr>
        <b/>
        <i/>
        <u/>
        <sz val="12"/>
        <color theme="1"/>
        <rFont val="Calibri"/>
        <family val="2"/>
      </rPr>
      <t>expected</t>
    </r>
    <r>
      <rPr>
        <b/>
        <sz val="12"/>
        <color theme="1"/>
        <rFont val="Calibri"/>
        <family val="2"/>
      </rPr>
      <t xml:space="preserve"> values from the lognormal parameters (μ</t>
    </r>
    <r>
      <rPr>
        <b/>
        <vertAlign val="subscript"/>
        <sz val="12"/>
        <color theme="1"/>
        <rFont val="Calibri"/>
        <family val="2"/>
      </rPr>
      <t>w,d</t>
    </r>
    <r>
      <rPr>
        <b/>
        <sz val="12"/>
        <color theme="1"/>
        <rFont val="Calibri"/>
        <family val="2"/>
      </rPr>
      <t xml:space="preserve"> and σ</t>
    </r>
    <r>
      <rPr>
        <b/>
        <vertAlign val="subscript"/>
        <sz val="12"/>
        <color theme="1"/>
        <rFont val="Calibri"/>
        <family val="2"/>
      </rPr>
      <t>d</t>
    </r>
    <r>
      <rPr>
        <b/>
        <sz val="12"/>
        <color theme="1"/>
        <rFont val="Calibri"/>
        <family val="2"/>
      </rPr>
      <t>) for each simulation (j) and cell.</t>
    </r>
  </si>
  <si>
    <r>
      <t>•  C</t>
    </r>
    <r>
      <rPr>
        <vertAlign val="subscript"/>
        <sz val="12"/>
        <color theme="1"/>
        <rFont val="Calibri"/>
        <family val="2"/>
      </rPr>
      <t>1,10</t>
    </r>
    <r>
      <rPr>
        <sz val="12"/>
        <color theme="1"/>
        <rFont val="Calibri"/>
        <family val="2"/>
      </rPr>
      <t xml:space="preserve"> is given in the data or loss triangle, so don't simulate it.</t>
    </r>
  </si>
  <si>
    <r>
      <t>Calculate the log mean for accident year 1 at ultimate (μ</t>
    </r>
    <r>
      <rPr>
        <b/>
        <vertAlign val="subscript"/>
        <sz val="12"/>
        <color theme="1"/>
        <rFont val="Calibri"/>
        <family val="2"/>
      </rPr>
      <t>1,Ult</t>
    </r>
    <r>
      <rPr>
        <b/>
        <sz val="12"/>
        <color theme="1"/>
        <rFont val="Calibri"/>
        <family val="2"/>
      </rPr>
      <t xml:space="preserve">). The difference between the </t>
    </r>
    <r>
      <rPr>
        <b/>
        <i/>
        <u/>
        <sz val="12"/>
        <color theme="1"/>
        <rFont val="Calibri"/>
        <family val="2"/>
      </rPr>
      <t>actual</t>
    </r>
    <r>
      <rPr>
        <b/>
        <sz val="12"/>
        <color theme="1"/>
        <rFont val="Calibri"/>
        <family val="2"/>
      </rPr>
      <t xml:space="preserve"> and </t>
    </r>
    <r>
      <rPr>
        <b/>
        <i/>
        <u/>
        <sz val="12"/>
        <color theme="1"/>
        <rFont val="Calibri"/>
        <family val="2"/>
      </rPr>
      <t>expected</t>
    </r>
    <r>
      <rPr>
        <b/>
        <sz val="12"/>
        <color theme="1"/>
        <rFont val="Calibri"/>
        <family val="2"/>
      </rPr>
      <t xml:space="preserve"> ultimate log loss feeds into the correlation term when simulating the loss for accident year 2.</t>
    </r>
  </si>
  <si>
    <r>
      <t>For each successive accident year, calculate μ</t>
    </r>
    <r>
      <rPr>
        <b/>
        <vertAlign val="subscript"/>
        <sz val="12"/>
        <color theme="1"/>
        <rFont val="Calibri"/>
        <family val="2"/>
      </rPr>
      <t>w,Ult</t>
    </r>
    <r>
      <rPr>
        <b/>
        <sz val="12"/>
        <color theme="1"/>
        <rFont val="Calibri"/>
        <family val="2"/>
      </rPr>
      <t xml:space="preserve"> that includes a correlation with the </t>
    </r>
    <r>
      <rPr>
        <b/>
        <i/>
        <u/>
        <sz val="12"/>
        <color theme="1"/>
        <rFont val="Calibri"/>
        <family val="2"/>
      </rPr>
      <t>prior</t>
    </r>
    <r>
      <rPr>
        <b/>
        <sz val="12"/>
        <color theme="1"/>
        <rFont val="Calibri"/>
        <family val="2"/>
      </rPr>
      <t xml:space="preserve"> accident year's log loss minus the expected log loss residual. Then, simulate the accident year's ultimate loss C</t>
    </r>
    <r>
      <rPr>
        <b/>
        <vertAlign val="superscript"/>
        <sz val="12"/>
        <color theme="1"/>
        <rFont val="Calibri"/>
        <family val="2"/>
      </rPr>
      <t>sim</t>
    </r>
    <r>
      <rPr>
        <b/>
        <vertAlign val="subscript"/>
        <sz val="12"/>
        <color theme="1"/>
        <rFont val="Calibri"/>
        <family val="2"/>
      </rPr>
      <t>w,d</t>
    </r>
    <r>
      <rPr>
        <b/>
        <sz val="12"/>
        <color theme="1"/>
        <rFont val="Calibri"/>
        <family val="2"/>
      </rPr>
      <t>. Continue this recursively down accident years.</t>
    </r>
  </si>
  <si>
    <t>Set up a table like above by accident year so that it's easy to reference the prior year's simulated loss and expected lognormal mean.</t>
  </si>
  <si>
    <t>Calculate this simulation's expected incurred loss value from the IPI model for the incurred loss triangle for accident year 4 as of development period 5.</t>
  </si>
  <si>
    <r>
      <t xml:space="preserve">Calculate the simulation's </t>
    </r>
    <r>
      <rPr>
        <b/>
        <i/>
        <u/>
        <sz val="12"/>
        <color theme="1"/>
        <rFont val="Calibri"/>
        <family val="2"/>
      </rPr>
      <t>incurred</t>
    </r>
    <r>
      <rPr>
        <b/>
        <sz val="12"/>
        <color theme="1"/>
        <rFont val="Calibri"/>
        <family val="2"/>
      </rPr>
      <t xml:space="preserve"> IPI log mean parameter, </t>
    </r>
    <r>
      <rPr>
        <b/>
        <vertAlign val="subscript"/>
        <sz val="12"/>
        <color theme="1"/>
        <rFont val="Calibri"/>
        <family val="2"/>
      </rPr>
      <t>I</t>
    </r>
    <r>
      <rPr>
        <b/>
        <sz val="12"/>
        <color theme="1"/>
        <rFont val="Calibri"/>
        <family val="2"/>
      </rPr>
      <t>μ</t>
    </r>
    <r>
      <rPr>
        <b/>
        <vertAlign val="subscript"/>
        <sz val="12"/>
        <color theme="1"/>
        <rFont val="Calibri"/>
        <family val="2"/>
      </rPr>
      <t>w,d</t>
    </r>
    <r>
      <rPr>
        <b/>
        <sz val="12"/>
        <color theme="1"/>
        <rFont val="Calibri"/>
        <family val="2"/>
      </rPr>
      <t xml:space="preserve">, using the same setup as the CAY model. Then, calculate the simulation's expected </t>
    </r>
    <r>
      <rPr>
        <b/>
        <i/>
        <u/>
        <sz val="12"/>
        <color theme="1"/>
        <rFont val="Calibri"/>
        <family val="2"/>
      </rPr>
      <t>incurred</t>
    </r>
    <r>
      <rPr>
        <b/>
        <sz val="12"/>
        <color theme="1"/>
        <rFont val="Calibri"/>
        <family val="2"/>
      </rPr>
      <t xml:space="preserve"> loss.</t>
    </r>
  </si>
  <si>
    <r>
      <t xml:space="preserve">Calculate the simulation's </t>
    </r>
    <r>
      <rPr>
        <b/>
        <i/>
        <u/>
        <sz val="12"/>
        <color theme="1"/>
        <rFont val="Calibri"/>
        <family val="2"/>
      </rPr>
      <t>paid</t>
    </r>
    <r>
      <rPr>
        <b/>
        <sz val="12"/>
        <color theme="1"/>
        <rFont val="Calibri"/>
        <family val="2"/>
      </rPr>
      <t xml:space="preserve"> IPI log mean parameter, </t>
    </r>
    <r>
      <rPr>
        <b/>
        <vertAlign val="subscript"/>
        <sz val="12"/>
        <color theme="1"/>
        <rFont val="Calibri"/>
        <family val="2"/>
      </rPr>
      <t>P</t>
    </r>
    <r>
      <rPr>
        <b/>
        <sz val="12"/>
        <color theme="1"/>
        <rFont val="Calibri"/>
        <family val="2"/>
      </rPr>
      <t>μ</t>
    </r>
    <r>
      <rPr>
        <b/>
        <vertAlign val="subscript"/>
        <sz val="12"/>
        <color theme="1"/>
        <rFont val="Calibri"/>
        <family val="2"/>
      </rPr>
      <t>w,d</t>
    </r>
    <r>
      <rPr>
        <b/>
        <sz val="12"/>
        <color theme="1"/>
        <rFont val="Calibri"/>
        <family val="2"/>
      </rPr>
      <t>. This is the same setup as the CSR model, but with common logelr and ⍺</t>
    </r>
    <r>
      <rPr>
        <b/>
        <vertAlign val="subscript"/>
        <sz val="12"/>
        <color theme="1"/>
        <rFont val="Calibri"/>
        <family val="2"/>
      </rPr>
      <t>w</t>
    </r>
    <r>
      <rPr>
        <b/>
        <sz val="12"/>
        <color theme="1"/>
        <rFont val="Calibri"/>
        <family val="2"/>
      </rPr>
      <t xml:space="preserve"> parameters between the incurred and paid parts of the IPI model. Then, calculate the simulation's expected </t>
    </r>
    <r>
      <rPr>
        <b/>
        <i/>
        <u/>
        <sz val="12"/>
        <color theme="1"/>
        <rFont val="Calibri"/>
        <family val="2"/>
      </rPr>
      <t>paid</t>
    </r>
    <r>
      <rPr>
        <b/>
        <sz val="12"/>
        <color theme="1"/>
        <rFont val="Calibri"/>
        <family val="2"/>
      </rPr>
      <t xml:space="preserve"> loss.</t>
    </r>
  </si>
  <si>
    <r>
      <rPr>
        <vertAlign val="subscript"/>
        <sz val="12"/>
        <color theme="1"/>
        <rFont val="Calibri"/>
        <family val="2"/>
      </rPr>
      <t>I</t>
    </r>
    <r>
      <rPr>
        <sz val="12"/>
        <color theme="1"/>
        <rFont val="Calibri"/>
        <family val="2"/>
      </rPr>
      <t>μ</t>
    </r>
    <r>
      <rPr>
        <vertAlign val="subscript"/>
        <sz val="12"/>
        <color theme="1"/>
        <rFont val="Calibri"/>
        <family val="2"/>
      </rPr>
      <t>3,5</t>
    </r>
  </si>
  <si>
    <r>
      <t>The IPI model is a joint paid-and-incurred Bayesian MCMC model. Its structure is based on the CSR paid and CAY incurred models. IPI doesn't replace CSR/CAY, but instead bolts the two together so that the joint model is fit on both the paid and incurred triangles simultaneously. The paid and incurred parts of the model share the same logelr and α</t>
    </r>
    <r>
      <rPr>
        <vertAlign val="subscript"/>
        <sz val="12"/>
        <color theme="1"/>
        <rFont val="Calibri"/>
        <family val="2"/>
      </rPr>
      <t xml:space="preserve">w </t>
    </r>
    <r>
      <rPr>
        <sz val="12"/>
        <color theme="1"/>
        <rFont val="Calibri"/>
        <family val="2"/>
      </rPr>
      <t xml:space="preserve">parameters. The other parameters are different when the IPI model is applied to simulate paid or incurred losses. </t>
    </r>
  </si>
  <si>
    <t>By using more data (fitting jointly to both paid and incurred loss triangles), the standard errors of the model's loss estimates are reduced relative to the CSR and CAY models alone, making the predictive distribution narrower. This is a similar concept to the Clark paper, where more data (the premium data in Clark's case) reduces the standard error around the best estimate of ultimate loss.
Compared to the CSR/CAY models, the IPI model fit is similar. However, the key benefit of the IPI model compared to CSR/CAY is its reputation of a lower variance of estimated losses with predictive accuracy as good as CSR/CAY models.</t>
  </si>
  <si>
    <t>The risk margin is an additional liability to account for the uncertainty (variability) around the estimated ultimate loss over time. It's the discounted cost of required capital over the life of the reserve liability.
A key benefit of the IPI model is that it lowers the risk margin because it more accurately estimates ultimate loss with significantly lower uncertainty.</t>
  </si>
  <si>
    <r>
      <t>⇾ Make sure to use the correct formula: E[X] = exp(μ + σ</t>
    </r>
    <r>
      <rPr>
        <vertAlign val="superscript"/>
        <sz val="12"/>
        <color theme="1"/>
        <rFont val="Calibri"/>
        <family val="2"/>
      </rPr>
      <t>2</t>
    </r>
    <r>
      <rPr>
        <sz val="12"/>
        <color theme="1"/>
        <rFont val="Calibri"/>
        <family val="2"/>
      </rPr>
      <t>/2)
⇾ logelr and α</t>
    </r>
    <r>
      <rPr>
        <vertAlign val="subscript"/>
        <sz val="12"/>
        <color theme="1"/>
        <rFont val="Calibri"/>
        <family val="2"/>
      </rPr>
      <t>w</t>
    </r>
    <r>
      <rPr>
        <sz val="12"/>
        <color theme="1"/>
        <rFont val="Calibri"/>
        <family val="2"/>
      </rPr>
      <t xml:space="preserve"> parameters are shared, the rest are paid or incurred versions of CSR/CAY models</t>
    </r>
  </si>
  <si>
    <r>
      <t xml:space="preserve">The incurred CRC model is light tailed and understates the variability of ultimate losses. The CAY model corrects this by introducing a correlation parameter (⍴). This allows for correlation between adjacent accident years, which thickens the tail of the total-reserve distribution.
•   ⍴ &gt; 0 indicates a </t>
    </r>
    <r>
      <rPr>
        <i/>
        <u/>
        <sz val="12"/>
        <color theme="1"/>
        <rFont val="Calibri"/>
        <family val="2"/>
      </rPr>
      <t>positive</t>
    </r>
    <r>
      <rPr>
        <sz val="12"/>
        <color theme="1"/>
        <rFont val="Calibri"/>
        <family val="2"/>
      </rPr>
      <t xml:space="preserve"> correlation between successive accident years
One interesting point you should know:
There is only correlation between </t>
    </r>
    <r>
      <rPr>
        <i/>
        <u/>
        <sz val="12"/>
        <color theme="1"/>
        <rFont val="Calibri"/>
        <family val="2"/>
      </rPr>
      <t>successive</t>
    </r>
    <r>
      <rPr>
        <sz val="12"/>
        <color theme="1"/>
        <rFont val="Calibri"/>
        <family val="2"/>
      </rPr>
      <t xml:space="preserve"> accident years (w and w - 1) at the same development period, see the formula below. For accident years multiple years apart (k &gt; 1), correlation is zero.</t>
    </r>
  </si>
  <si>
    <t>Calculate the cost-of-capital risk margin for this simulation for the ultimate time horizon.</t>
  </si>
  <si>
    <t>For a retrospective test, a SCC model is fit to a loss triangle from the CAS Loss Reserve Database. The model produces 100 simulations of the total ultimate loss (all years combined) to obtain a predictive distribution. The simulation output is below, along with the actual ultimate loss.</t>
  </si>
  <si>
    <t>Estimate = AVERAGE( Simulated Outcomes)</t>
  </si>
  <si>
    <r>
      <t xml:space="preserve">One predicted percentile says little about a model's reputation. We need to compute the predicted percentiles of outcomes for many triangles to assess how well the model's predictive distribution is calibrated to the true distribution and uncertainty in actual ultimate loss outcomes. 
A well-calibrated model gives uniform predicted percentiles (for example: the actual predicted percentile should fall below the 10th percentile about 10% of the time). To judge uniformity of percentiles, we create and interpret the following:
• </t>
    </r>
    <r>
      <rPr>
        <b/>
        <sz val="12"/>
        <color theme="1"/>
        <rFont val="Calibri"/>
        <family val="2"/>
      </rPr>
      <t>Histogram</t>
    </r>
    <r>
      <rPr>
        <sz val="12"/>
        <color theme="1"/>
        <rFont val="Calibri"/>
        <family val="2"/>
      </rPr>
      <t xml:space="preserve"> - Should show equal bars
• </t>
    </r>
    <r>
      <rPr>
        <b/>
        <sz val="12"/>
        <color theme="1"/>
        <rFont val="Calibri"/>
        <family val="2"/>
      </rPr>
      <t xml:space="preserve">p-p plot </t>
    </r>
    <r>
      <rPr>
        <sz val="12"/>
        <color theme="1"/>
        <rFont val="Calibri"/>
        <family val="2"/>
      </rPr>
      <t xml:space="preserve">- Sorted percentiles vs. expected should be along a 45 degree line
• </t>
    </r>
    <r>
      <rPr>
        <b/>
        <sz val="12"/>
        <color theme="1"/>
        <rFont val="Calibri"/>
        <family val="2"/>
      </rPr>
      <t>KS statistic</t>
    </r>
    <r>
      <rPr>
        <sz val="12"/>
        <color theme="1"/>
        <rFont val="Calibri"/>
        <family val="2"/>
      </rPr>
      <t xml:space="preserve"> - Should be below the critical value.
The more uniform the predicted percentiles are for a model, the better its reputation for predicting an ultimate loss distribution for a reserving analysis.</t>
    </r>
  </si>
  <si>
    <r>
      <t>Use the following formulas: 
COUNTIF(</t>
    </r>
    <r>
      <rPr>
        <b/>
        <sz val="12"/>
        <color theme="1"/>
        <rFont val="Calibri"/>
        <family val="2"/>
      </rPr>
      <t>range</t>
    </r>
    <r>
      <rPr>
        <sz val="12"/>
        <color theme="1"/>
        <rFont val="Calibri"/>
        <family val="2"/>
      </rPr>
      <t>,</t>
    </r>
    <r>
      <rPr>
        <b/>
        <sz val="12"/>
        <color theme="1"/>
        <rFont val="Calibri"/>
        <family val="2"/>
      </rPr>
      <t>"&lt;="&amp; outcome</t>
    </r>
    <r>
      <rPr>
        <sz val="12"/>
        <color theme="1"/>
        <rFont val="Calibri"/>
        <family val="2"/>
      </rPr>
      <t>)  ← Counts the simulations less than or equal to the outcome (</t>
    </r>
    <r>
      <rPr>
        <b/>
        <sz val="12"/>
        <color theme="1"/>
        <rFont val="Calibri"/>
        <family val="2"/>
      </rPr>
      <t xml:space="preserve">"&lt;="&amp;value </t>
    </r>
    <r>
      <rPr>
        <sz val="12"/>
        <color theme="1"/>
        <rFont val="Calibri"/>
        <family val="2"/>
      </rPr>
      <t>is the criteria)
Be careful with how the criteria is written in the COUNTIF() formula.</t>
    </r>
  </si>
  <si>
    <t>Meyers - pg.70-73 (see Table 11.2)</t>
  </si>
  <si>
    <t>Notice that the dominant line of business (WC) gets almost no diversification credit, while the small CA line gets a very large one.</t>
  </si>
  <si>
    <r>
      <t xml:space="preserve">• </t>
    </r>
    <r>
      <rPr>
        <b/>
        <sz val="12"/>
        <color theme="1"/>
        <rFont val="Calibri"/>
        <family val="2"/>
      </rPr>
      <t>Box (solid bars)</t>
    </r>
    <r>
      <rPr>
        <sz val="12"/>
        <color theme="1"/>
        <rFont val="Calibri"/>
        <family val="2"/>
      </rPr>
      <t xml:space="preserve"> - Interquartile range (range from the 25th to 75th percentile of residuals)
• </t>
    </r>
    <r>
      <rPr>
        <b/>
        <sz val="12"/>
        <color theme="1"/>
        <rFont val="Calibri"/>
        <family val="2"/>
      </rPr>
      <t>Whiskers</t>
    </r>
    <r>
      <rPr>
        <sz val="12"/>
        <color theme="1"/>
        <rFont val="Calibri"/>
        <family val="2"/>
      </rPr>
      <t xml:space="preserve"> - Top (bottom) of the box plus (minus) 1.5 times the length of the interquartile range
• </t>
    </r>
    <r>
      <rPr>
        <b/>
        <sz val="12"/>
        <color theme="1"/>
        <rFont val="Calibri"/>
        <family val="2"/>
      </rPr>
      <t>Outliers</t>
    </r>
    <r>
      <rPr>
        <sz val="12"/>
        <color theme="1"/>
        <rFont val="Calibri"/>
        <family val="2"/>
      </rPr>
      <t xml:space="preserve"> - Residuals that lie outside the whiskers
• </t>
    </r>
    <r>
      <rPr>
        <b/>
        <sz val="12"/>
        <color theme="1"/>
        <rFont val="Calibri"/>
        <family val="2"/>
      </rPr>
      <t xml:space="preserve">Expected interquartile range </t>
    </r>
    <r>
      <rPr>
        <sz val="12"/>
        <color theme="1"/>
        <rFont val="Calibri"/>
        <family val="2"/>
      </rPr>
      <t>- Lines at the 25th and 75th percentile of a standard normal distribution</t>
    </r>
  </si>
  <si>
    <t>Determine the box and whisker plot inputs, making sure to include all elements: box, whiskers, outliers, and expected interquartile range.</t>
  </si>
  <si>
    <r>
      <t xml:space="preserve">AIC is traditionally used to judge model fit, but it doesn't work well for a Bayesian stochastic model. elpd (expected log predictive density) is a generalization of AIC for Bayesian MCMC models. It measures how probable the observed data is given the model's posterior. There are two versions we use, depending on the analysis:
</t>
    </r>
    <r>
      <rPr>
        <b/>
        <sz val="12"/>
        <color theme="1"/>
        <rFont val="Calibri"/>
        <family val="2"/>
      </rPr>
      <t>elpd</t>
    </r>
    <r>
      <rPr>
        <b/>
        <vertAlign val="subscript"/>
        <sz val="12"/>
        <color theme="1"/>
        <rFont val="Calibri"/>
        <family val="2"/>
      </rPr>
      <t>loo</t>
    </r>
    <r>
      <rPr>
        <sz val="12"/>
        <color theme="1"/>
        <rFont val="Calibri"/>
        <family val="2"/>
      </rPr>
      <t xml:space="preserve"> - A </t>
    </r>
    <r>
      <rPr>
        <i/>
        <u/>
        <sz val="12"/>
        <color theme="1"/>
        <rFont val="Calibri"/>
        <family val="2"/>
      </rPr>
      <t>prospective</t>
    </r>
    <r>
      <rPr>
        <sz val="12"/>
        <color theme="1"/>
        <rFont val="Calibri"/>
        <family val="2"/>
      </rPr>
      <t xml:space="preserve"> measure of how probable the observed </t>
    </r>
    <r>
      <rPr>
        <i/>
        <u/>
        <sz val="12"/>
        <color theme="1"/>
        <rFont val="Calibri"/>
        <family val="2"/>
      </rPr>
      <t>upper-triangle</t>
    </r>
    <r>
      <rPr>
        <sz val="12"/>
        <color theme="1"/>
        <rFont val="Calibri"/>
        <family val="2"/>
      </rPr>
      <t xml:space="preserve"> data is, given the model's posterior using a leave-one-out approach. It's useful for a reserving analysis since the outcome is unknown.
</t>
    </r>
    <r>
      <rPr>
        <b/>
        <sz val="12"/>
        <color theme="1"/>
        <rFont val="Calibri"/>
        <family val="2"/>
      </rPr>
      <t>elpd</t>
    </r>
    <r>
      <rPr>
        <b/>
        <vertAlign val="subscript"/>
        <sz val="12"/>
        <color theme="1"/>
        <rFont val="Calibri"/>
        <family val="2"/>
      </rPr>
      <t>test</t>
    </r>
    <r>
      <rPr>
        <sz val="12"/>
        <color theme="1"/>
        <rFont val="Calibri"/>
        <family val="2"/>
      </rPr>
      <t xml:space="preserve"> - A </t>
    </r>
    <r>
      <rPr>
        <i/>
        <u/>
        <sz val="12"/>
        <color theme="1"/>
        <rFont val="Calibri"/>
        <family val="2"/>
      </rPr>
      <t>retrospective</t>
    </r>
    <r>
      <rPr>
        <sz val="12"/>
        <color theme="1"/>
        <rFont val="Calibri"/>
        <family val="2"/>
      </rPr>
      <t xml:space="preserve"> measure of how probable the </t>
    </r>
    <r>
      <rPr>
        <i/>
        <u/>
        <sz val="12"/>
        <color theme="1"/>
        <rFont val="Calibri"/>
        <family val="2"/>
      </rPr>
      <t>lower-triangle</t>
    </r>
    <r>
      <rPr>
        <sz val="12"/>
        <color theme="1"/>
        <rFont val="Calibri"/>
        <family val="2"/>
      </rPr>
      <t xml:space="preserve"> data is, given the model's posterior. This is a useful statistic for a retrospective analysis when we know the lower triangle loss outcomes.
LOOIC is an alternative representation of elpd</t>
    </r>
    <r>
      <rPr>
        <vertAlign val="subscript"/>
        <sz val="12"/>
        <color theme="1"/>
        <rFont val="Calibri"/>
        <family val="2"/>
      </rPr>
      <t>loo</t>
    </r>
    <r>
      <rPr>
        <sz val="12"/>
        <color theme="1"/>
        <rFont val="Calibri"/>
        <family val="2"/>
      </rPr>
      <t xml:space="preserve"> based on the deviance scale and similar to the AIC structure. A lower LOOIC value is better.</t>
    </r>
  </si>
  <si>
    <r>
      <t xml:space="preserve">For a single loss triangle in a reserving analysis, we can test how well the model fits the data by analyzing standardized residuals. To do this, we calculate standardized residuals for each loss value from a posterior draw of parameters. Meyers samples 100 draws and computes standardized residuals for all 55 upper-triangle loss values. 
There are two diagnostic tests to analyze model fit:
• </t>
    </r>
    <r>
      <rPr>
        <b/>
        <sz val="12"/>
        <color theme="1"/>
        <rFont val="Calibri"/>
        <family val="2"/>
      </rPr>
      <t>Box plot</t>
    </r>
    <r>
      <rPr>
        <sz val="12"/>
        <color theme="1"/>
        <rFont val="Calibri"/>
        <family val="2"/>
      </rPr>
      <t xml:space="preserve"> - Graphical view of standardized residuals by accident year or development period. For a good model fit, the interquartile range should contain zero and fall close to the standard normal interquartile range.
• </t>
    </r>
    <r>
      <rPr>
        <b/>
        <sz val="12"/>
        <color theme="1"/>
        <rFont val="Calibri"/>
        <family val="2"/>
      </rPr>
      <t>elpd</t>
    </r>
    <r>
      <rPr>
        <b/>
        <vertAlign val="subscript"/>
        <sz val="12"/>
        <color theme="1"/>
        <rFont val="Calibri"/>
        <family val="2"/>
      </rPr>
      <t>loo</t>
    </r>
    <r>
      <rPr>
        <b/>
        <sz val="12"/>
        <color theme="1"/>
        <rFont val="Calibri"/>
        <family val="2"/>
      </rPr>
      <t xml:space="preserve"> statistic</t>
    </r>
    <r>
      <rPr>
        <sz val="12"/>
        <color theme="1"/>
        <rFont val="Calibri"/>
        <family val="2"/>
      </rPr>
      <t xml:space="preserve"> - A numeric test of model fit: the higher the better</t>
    </r>
  </si>
  <si>
    <r>
      <t xml:space="preserve">⇾ Here, we pool </t>
    </r>
    <r>
      <rPr>
        <i/>
        <u/>
        <sz val="12"/>
        <color theme="1"/>
        <rFont val="Calibri"/>
        <family val="2"/>
      </rPr>
      <t>all residuals</t>
    </r>
    <r>
      <rPr>
        <sz val="12"/>
        <color theme="1"/>
        <rFont val="Calibri"/>
        <family val="2"/>
      </rPr>
      <t xml:space="preserve"> for the AY. Either plot by accident year or by development period.
⇾ Standard Normal quartiles (±0.6745) are the reference lines
⇾ </t>
    </r>
    <r>
      <rPr>
        <i/>
        <u/>
        <sz val="12"/>
        <color theme="1"/>
        <rFont val="Calibri"/>
        <family val="2"/>
      </rPr>
      <t>Higher</t>
    </r>
    <r>
      <rPr>
        <sz val="12"/>
        <color theme="1"/>
        <rFont val="Calibri"/>
        <family val="2"/>
      </rPr>
      <t xml:space="preserve"> elpd and </t>
    </r>
    <r>
      <rPr>
        <i/>
        <u/>
        <sz val="12"/>
        <color theme="1"/>
        <rFont val="Calibri"/>
        <family val="2"/>
      </rPr>
      <t>lower</t>
    </r>
    <r>
      <rPr>
        <sz val="12"/>
        <color theme="1"/>
        <rFont val="Calibri"/>
        <family val="2"/>
      </rPr>
      <t xml:space="preserve"> LOOIC are better</t>
    </r>
  </si>
  <si>
    <t>• All residuals by AY
• Expected normal IQR
• elpd and LOOIC</t>
  </si>
  <si>
    <t>Meyers - Prospective Diagnostics of Model Fit</t>
  </si>
  <si>
    <t>Meyers - Discounted Best Estimate of Unpaid Liability</t>
  </si>
  <si>
    <t>Part b – Overall Best Estimate</t>
  </si>
  <si>
    <t xml:space="preserve">A paid CSR Bayesian MCMC model is fit to a loss triangle for a line of business using 10,000 simulations. For one simulation, the model's expected ultimate loss estimate and the TVaR@97% of the ultimate loss estimate, as estimated at each calendar year t using updated probabilities, are below: </t>
  </si>
  <si>
    <r>
      <t>Calculate the risk margin for the simulation as the initial required capital (K</t>
    </r>
    <r>
      <rPr>
        <b/>
        <vertAlign val="subscript"/>
        <sz val="12"/>
        <color theme="1"/>
        <rFont val="Calibri"/>
        <family val="2"/>
      </rPr>
      <t>0</t>
    </r>
    <r>
      <rPr>
        <b/>
        <sz val="12"/>
        <color theme="1"/>
        <rFont val="Calibri"/>
        <family val="2"/>
      </rPr>
      <t>) minus the present value of the released capital amounts over the life of the liability. It's discounted at the risky rate, because the risk margin is an additional amount necessary to compensate investors for posting the capital to take on the risk of uncertain losses.</t>
    </r>
  </si>
  <si>
    <t>The loss reserve liability is the discounted best estimate (central estimate) of expected future loss payments plus a risk margin to account for the uncertainty around loss estimate, averaged over all simulations.</t>
  </si>
  <si>
    <t>The last recipe showed how to calculate the best estimate and this one shows how to calculate the risk margin.</t>
  </si>
  <si>
    <t xml:space="preserve">Again, the end goal is to set a loss reserve liability for the insurer: </t>
  </si>
  <si>
    <t>The risk-margin ratio is high for small books. The key takeaway: 
• A small line within a multi-line insurer carries a disproportionately high risk-margin-to-best-estimate ratio, which insurers may object to.</t>
  </si>
  <si>
    <r>
      <rPr>
        <b/>
        <sz val="12"/>
        <color theme="1"/>
        <rFont val="Calibri"/>
        <family val="2"/>
      </rPr>
      <t>E</t>
    </r>
    <r>
      <rPr>
        <b/>
        <vertAlign val="subscript"/>
        <sz val="12"/>
        <color theme="1"/>
        <rFont val="Calibri"/>
        <family val="2"/>
      </rPr>
      <t>Best</t>
    </r>
    <r>
      <rPr>
        <sz val="12"/>
        <color theme="1"/>
        <rFont val="Calibri"/>
        <family val="2"/>
      </rPr>
      <t xml:space="preserve"> - The discounted expected </t>
    </r>
    <r>
      <rPr>
        <i/>
        <u/>
        <sz val="12"/>
        <color theme="1"/>
        <rFont val="Calibri"/>
        <family val="2"/>
      </rPr>
      <t>future loss payments</t>
    </r>
    <r>
      <rPr>
        <sz val="12"/>
        <color theme="1"/>
        <rFont val="Calibri"/>
        <family val="2"/>
      </rPr>
      <t xml:space="preserve"> (unpaid loss) as of t = 0 
</t>
    </r>
    <r>
      <rPr>
        <b/>
        <sz val="12"/>
        <color theme="1"/>
        <rFont val="Calibri"/>
        <family val="2"/>
      </rPr>
      <t xml:space="preserve">Risk margin </t>
    </r>
    <r>
      <rPr>
        <sz val="12"/>
        <color theme="1"/>
        <rFont val="Calibri"/>
        <family val="2"/>
      </rPr>
      <t xml:space="preserve">- The discounted cost of capital to investors as losses are paid out and the capital is released, included in the overall reserve liability
</t>
    </r>
    <r>
      <rPr>
        <b/>
        <sz val="12"/>
        <color theme="1"/>
        <rFont val="Calibri"/>
        <family val="2"/>
      </rPr>
      <t xml:space="preserve">Capital </t>
    </r>
    <r>
      <rPr>
        <sz val="12"/>
        <color theme="1"/>
        <rFont val="Calibri"/>
        <family val="2"/>
      </rPr>
      <t xml:space="preserve">- The amount held above the best estimate to cover uncertainty and the risk of adverse development. It is calculated for each calendar year(t) as:    </t>
    </r>
    <r>
      <rPr>
        <b/>
        <sz val="12"/>
        <color theme="1"/>
        <rFont val="Calibri"/>
        <family val="2"/>
      </rPr>
      <t>Capital  = TVaR@α</t>
    </r>
    <r>
      <rPr>
        <b/>
        <vertAlign val="subscript"/>
        <sz val="12"/>
        <color theme="1"/>
        <rFont val="Calibri"/>
        <family val="2"/>
      </rPr>
      <t>t</t>
    </r>
    <r>
      <rPr>
        <b/>
        <sz val="12"/>
        <color theme="1"/>
        <rFont val="Calibri"/>
        <family val="2"/>
      </rPr>
      <t xml:space="preserve"> - E</t>
    </r>
    <r>
      <rPr>
        <b/>
        <vertAlign val="subscript"/>
        <sz val="12"/>
        <color theme="1"/>
        <rFont val="Calibri"/>
        <family val="2"/>
      </rPr>
      <t>t</t>
    </r>
    <r>
      <rPr>
        <sz val="12"/>
        <color theme="1"/>
        <rFont val="Calibri"/>
        <family val="2"/>
      </rPr>
      <t xml:space="preserve">
• </t>
    </r>
    <r>
      <rPr>
        <b/>
        <sz val="12"/>
        <color theme="1"/>
        <rFont val="Calibri"/>
        <family val="2"/>
      </rPr>
      <t>TVaR@α</t>
    </r>
    <r>
      <rPr>
        <b/>
        <vertAlign val="subscript"/>
        <sz val="12"/>
        <color theme="1"/>
        <rFont val="Calibri"/>
        <family val="2"/>
      </rPr>
      <t>t</t>
    </r>
    <r>
      <rPr>
        <sz val="12"/>
        <color theme="1"/>
        <rFont val="Calibri"/>
        <family val="2"/>
      </rPr>
      <t xml:space="preserve"> - </t>
    </r>
    <r>
      <rPr>
        <i/>
        <u/>
        <sz val="12"/>
        <color theme="1"/>
        <rFont val="Calibri"/>
        <family val="2"/>
      </rPr>
      <t>Assets</t>
    </r>
    <r>
      <rPr>
        <sz val="12"/>
        <color theme="1"/>
        <rFont val="Calibri"/>
        <family val="2"/>
      </rPr>
      <t xml:space="preserve"> necessary to cover ultimate losses at a high threshold to account for adverse development  
• </t>
    </r>
    <r>
      <rPr>
        <b/>
        <sz val="12"/>
        <color theme="1"/>
        <rFont val="Calibri"/>
        <family val="2"/>
      </rPr>
      <t>E</t>
    </r>
    <r>
      <rPr>
        <b/>
        <vertAlign val="subscript"/>
        <sz val="12"/>
        <color theme="1"/>
        <rFont val="Calibri"/>
        <family val="2"/>
      </rPr>
      <t>t</t>
    </r>
    <r>
      <rPr>
        <sz val="12"/>
        <color theme="1"/>
        <rFont val="Calibri"/>
        <family val="2"/>
      </rPr>
      <t xml:space="preserve"> - The </t>
    </r>
    <r>
      <rPr>
        <i/>
        <u/>
        <sz val="12"/>
        <color theme="1"/>
        <rFont val="Calibri"/>
        <family val="2"/>
      </rPr>
      <t>undiscounted ultimate loss estimate</t>
    </r>
    <r>
      <rPr>
        <sz val="12"/>
        <color theme="1"/>
        <rFont val="Calibri"/>
        <family val="2"/>
      </rPr>
      <t xml:space="preserve"> as of calendar year t</t>
    </r>
  </si>
  <si>
    <r>
      <t xml:space="preserve">⇾ TVaR minus the </t>
    </r>
    <r>
      <rPr>
        <i/>
        <u/>
        <sz val="12"/>
        <color theme="1"/>
        <rFont val="Calibri"/>
        <family val="2"/>
      </rPr>
      <t>undiscounted</t>
    </r>
    <r>
      <rPr>
        <sz val="12"/>
        <color theme="1"/>
        <rFont val="Calibri"/>
        <family val="2"/>
      </rPr>
      <t xml:space="preserve"> ultimate estimate as of t, falls toward 0 at ultimate
⇾ Discount capital at the risky rate
⇾ The best estimate is the discounted </t>
    </r>
    <r>
      <rPr>
        <i/>
        <u/>
        <sz val="12"/>
        <color theme="1"/>
        <rFont val="Calibri"/>
        <family val="2"/>
      </rPr>
      <t>future</t>
    </r>
    <r>
      <rPr>
        <sz val="12"/>
        <color theme="1"/>
        <rFont val="Calibri"/>
        <family val="2"/>
      </rPr>
      <t xml:space="preserve"> cash flows as of t = 0. E</t>
    </r>
    <r>
      <rPr>
        <vertAlign val="subscript"/>
        <sz val="12"/>
        <color theme="1"/>
        <rFont val="Calibri"/>
        <family val="2"/>
      </rPr>
      <t>t</t>
    </r>
    <r>
      <rPr>
        <sz val="12"/>
        <color theme="1"/>
        <rFont val="Calibri"/>
        <family val="2"/>
      </rPr>
      <t xml:space="preserve"> is the undiscounted </t>
    </r>
    <r>
      <rPr>
        <i/>
        <u/>
        <sz val="12"/>
        <color theme="1"/>
        <rFont val="Calibri"/>
        <family val="2"/>
      </rPr>
      <t>ultimate</t>
    </r>
    <r>
      <rPr>
        <sz val="12"/>
        <color theme="1"/>
        <rFont val="Calibri"/>
        <family val="2"/>
      </rPr>
      <t xml:space="preserve"> loss estimate as of each calendar year t</t>
    </r>
  </si>
  <si>
    <t>A multi-line insurer writes four lines and calculates the standalone best estimate and standalone risk margin for each line of business. The insurer also calculated the combined risk margin for different groupings of lines, assuming ⍴ = 0.</t>
  </si>
  <si>
    <r>
      <t xml:space="preserve">⇾ Use the total risk margin minus the combined risk margin </t>
    </r>
    <r>
      <rPr>
        <i/>
        <u/>
        <sz val="12"/>
        <color theme="1"/>
        <rFont val="Calibri"/>
        <family val="2"/>
      </rPr>
      <t>excluding</t>
    </r>
    <r>
      <rPr>
        <sz val="12"/>
        <color theme="1"/>
        <rFont val="Calibri"/>
        <family val="2"/>
      </rPr>
      <t xml:space="preserve"> line i
⇾ Allocate the total risk margin using the marginal risk margins as the weights
⇾ Credit% </t>
    </r>
    <r>
      <rPr>
        <i/>
        <u/>
        <sz val="12"/>
        <color theme="1"/>
        <rFont val="Calibri"/>
        <family val="2"/>
      </rPr>
      <t>decreases</t>
    </r>
    <r>
      <rPr>
        <sz val="12"/>
        <color theme="1"/>
        <rFont val="Calibri"/>
        <family val="2"/>
      </rPr>
      <t xml:space="preserve"> as ρ </t>
    </r>
    <r>
      <rPr>
        <i/>
        <u/>
        <sz val="12"/>
        <color theme="1"/>
        <rFont val="Calibri"/>
        <family val="2"/>
      </rPr>
      <t>increases</t>
    </r>
    <r>
      <rPr>
        <sz val="12"/>
        <color theme="1"/>
        <rFont val="Calibri"/>
        <family val="2"/>
      </rPr>
      <t xml:space="preserve"> and small lines receive a larger diversification credit
⇾ Total risk margin is the sum of standalone risk margins by line (no diversification credit)</t>
    </r>
  </si>
  <si>
    <t>• Whenever you see log(), use the natural logarithm, ln()</t>
  </si>
  <si>
    <t>RF Meyers – 5</t>
  </si>
  <si>
    <t>RF Meyers – 10</t>
  </si>
  <si>
    <t>Solvency II requires the total risk margin to be the sum of the standalone line of business risk margins, allowing for no diversification benefit. Chapter 10 of the paper analyzes dependencies between lines of business and finds little clear evidence of dependencies between lines. This suggests that there should be some diversification benefit, but it's difficult to quantify how much that benefit should be. 
This approach is a compromise that allows us to incorporate a selected dependency with a normal copula and a specified coefficient of correlation, ⍴. The result is a lower total risk margin that reflects diversification. A smaller ⍴ results in a larger diversification credit.
For a multi-line insurer, a dominant line of business (WC here) gets a small diversification credit (3.9%), while a small line of business (CA here), gets a much larger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</si>
</sst>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_(&quot;$&quot;* #,##0_);_(&quot;$&quot;* \(#,##0\);_(&quot;$&quot;* &quot;-&quot;??_);_(@_)"/>
    <numFmt numFmtId="165" formatCode="0.0%"/>
    <numFmt numFmtId="166" formatCode="0.000"/>
    <numFmt numFmtId="167" formatCode="0.0"/>
    <numFmt numFmtId="168" formatCode="0.0000"/>
    <numFmt numFmtId="169" formatCode="#,##0.000"/>
  </numFmts>
  <fonts count="39"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b/>
      <sz val="12"/>
      <color theme="1"/>
      <name val="Calibri"/>
      <family val="2"/>
    </font>
    <font>
      <sz val="12"/>
      <color theme="1"/>
      <name val="Calibri"/>
      <family val="2"/>
      <scheme val="minor"/>
    </font>
    <font>
      <sz val="12"/>
      <color theme="1"/>
      <name val="Arial"/>
      <family val="2"/>
    </font>
    <font>
      <sz val="11"/>
      <color theme="1"/>
      <name val="Calibri"/>
      <family val="2"/>
    </font>
    <font>
      <b/>
      <sz val="14"/>
      <color theme="1"/>
      <name val="Calibri"/>
      <family val="2"/>
    </font>
    <font>
      <b/>
      <u/>
      <sz val="12"/>
      <color theme="1"/>
      <name val="Calibri"/>
      <family val="2"/>
    </font>
    <font>
      <u/>
      <sz val="14"/>
      <color theme="1"/>
      <name val="Calibri"/>
      <family val="2"/>
    </font>
    <font>
      <sz val="12"/>
      <color rgb="FFFF0000"/>
      <name val="Calibri"/>
      <family val="2"/>
    </font>
    <font>
      <sz val="12"/>
      <name val="Calibri"/>
      <family val="2"/>
    </font>
    <font>
      <b/>
      <sz val="12"/>
      <color rgb="FF000000"/>
      <name val="Calibri"/>
      <family val="2"/>
    </font>
    <font>
      <u/>
      <sz val="12"/>
      <color theme="1"/>
      <name val="Calibri"/>
      <family val="2"/>
    </font>
    <font>
      <b/>
      <i/>
      <u/>
      <sz val="12"/>
      <color theme="1"/>
      <name val="Calibri"/>
      <family val="2"/>
    </font>
    <font>
      <sz val="12"/>
      <color rgb="FF000000"/>
      <name val="Calibri"/>
      <family val="2"/>
    </font>
    <font>
      <i/>
      <sz val="12"/>
      <color rgb="FF000000"/>
      <name val="Calibri"/>
      <family val="2"/>
    </font>
    <font>
      <i/>
      <u/>
      <sz val="12"/>
      <color theme="1"/>
      <name val="Calibri"/>
      <family val="2"/>
    </font>
    <font>
      <vertAlign val="subscript"/>
      <sz val="12"/>
      <color theme="1"/>
      <name val="Calibri"/>
      <family val="2"/>
    </font>
    <font>
      <b/>
      <vertAlign val="subscript"/>
      <sz val="12"/>
      <color theme="1"/>
      <name val="Calibri"/>
      <family val="2"/>
    </font>
    <font>
      <i/>
      <vertAlign val="subscript"/>
      <sz val="12"/>
      <color rgb="FF000000"/>
      <name val="Calibri"/>
      <family val="2"/>
    </font>
    <font>
      <i/>
      <sz val="12"/>
      <color theme="1"/>
      <name val="Calibri"/>
      <family val="2"/>
    </font>
    <font>
      <i/>
      <vertAlign val="subscript"/>
      <sz val="12"/>
      <color theme="1"/>
      <name val="Calibri"/>
      <family val="2"/>
    </font>
    <font>
      <vertAlign val="subscript"/>
      <sz val="12"/>
      <name val="Calibri"/>
      <family val="2"/>
    </font>
    <font>
      <vertAlign val="superscript"/>
      <sz val="12"/>
      <color theme="1"/>
      <name val="Calibri"/>
      <family val="2"/>
    </font>
    <font>
      <sz val="8"/>
      <name val="Calibri"/>
      <family val="2"/>
      <scheme val="minor"/>
    </font>
    <font>
      <b/>
      <vertAlign val="superscript"/>
      <sz val="12"/>
      <color theme="1"/>
      <name val="Calibri"/>
      <family val="2"/>
    </font>
    <font>
      <b/>
      <u/>
      <vertAlign val="subscript"/>
      <sz val="12"/>
      <color theme="1"/>
      <name val="Calibri"/>
      <family val="2"/>
    </font>
    <font>
      <sz val="11"/>
      <name val="Calibri"/>
      <family val="2"/>
    </font>
    <font>
      <sz val="12"/>
      <color rgb="FF000000"/>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2F2F2"/>
        <bgColor rgb="FFDDEBF7"/>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s>
  <borders count="33">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3">
    <xf numFmtId="0" fontId="0" fillId="0" borderId="0"/>
    <xf numFmtId="44" fontId="13" fillId="0" borderId="0" applyFont="0" applyFill="0" applyBorder="0" applyAlignment="0" applyProtection="0"/>
    <xf numFmtId="9" fontId="13" fillId="0" borderId="0" applyFont="0" applyFill="0" applyBorder="0" applyAlignment="0" applyProtection="0"/>
  </cellStyleXfs>
  <cellXfs count="433">
    <xf numFmtId="0" fontId="0" fillId="0" borderId="0" xfId="0"/>
    <xf numFmtId="0" fontId="12" fillId="0" borderId="0" xfId="0" applyFont="1" applyAlignment="1">
      <alignment horizontal="right"/>
    </xf>
    <xf numFmtId="3" fontId="11" fillId="0" borderId="1" xfId="0" applyNumberFormat="1" applyFont="1" applyBorder="1" applyAlignment="1">
      <alignment horizontal="center"/>
    </xf>
    <xf numFmtId="0" fontId="11" fillId="0" borderId="0" xfId="0" applyFont="1" applyAlignment="1">
      <alignment horizontal="center"/>
    </xf>
    <xf numFmtId="0" fontId="11" fillId="2" borderId="5" xfId="0" applyFont="1" applyFill="1" applyBorder="1" applyAlignment="1">
      <alignment horizontal="right"/>
    </xf>
    <xf numFmtId="2" fontId="11" fillId="2" borderId="7" xfId="0" applyNumberFormat="1" applyFont="1" applyFill="1" applyBorder="1" applyAlignment="1">
      <alignment horizontal="right"/>
    </xf>
    <xf numFmtId="3" fontId="11" fillId="2" borderId="0" xfId="0" applyNumberFormat="1" applyFont="1" applyFill="1" applyAlignment="1">
      <alignment horizontal="center" vertical="center"/>
    </xf>
    <xf numFmtId="165" fontId="11" fillId="2" borderId="0" xfId="2" applyNumberFormat="1" applyFont="1" applyFill="1" applyAlignment="1">
      <alignment horizontal="center" vertical="center"/>
    </xf>
    <xf numFmtId="0" fontId="11" fillId="2" borderId="0" xfId="0" applyFont="1" applyFill="1" applyAlignment="1">
      <alignment vertical="center"/>
    </xf>
    <xf numFmtId="2" fontId="11" fillId="2" borderId="7" xfId="0" applyNumberFormat="1" applyFont="1" applyFill="1" applyBorder="1" applyAlignment="1">
      <alignment horizontal="left"/>
    </xf>
    <xf numFmtId="0" fontId="11" fillId="0" borderId="0" xfId="0" applyFont="1" applyAlignment="1">
      <alignment horizontal="left" vertical="top"/>
    </xf>
    <xf numFmtId="0" fontId="16" fillId="2" borderId="7" xfId="0" applyFont="1" applyFill="1" applyBorder="1"/>
    <xf numFmtId="0" fontId="11" fillId="2" borderId="0" xfId="0" applyFont="1" applyFill="1"/>
    <xf numFmtId="0" fontId="11" fillId="2" borderId="6" xfId="0" applyFont="1" applyFill="1" applyBorder="1"/>
    <xf numFmtId="0" fontId="11" fillId="0" borderId="0" xfId="0" applyFont="1"/>
    <xf numFmtId="0" fontId="14" fillId="0" borderId="0" xfId="0" applyFont="1"/>
    <xf numFmtId="0" fontId="12" fillId="2" borderId="0" xfId="0" applyFont="1" applyFill="1"/>
    <xf numFmtId="0" fontId="11" fillId="2" borderId="0" xfId="0" applyFont="1" applyFill="1" applyAlignment="1">
      <alignment vertical="top"/>
    </xf>
    <xf numFmtId="0" fontId="0" fillId="2" borderId="0" xfId="0" applyFill="1"/>
    <xf numFmtId="0" fontId="11" fillId="2" borderId="4" xfId="0" applyFont="1" applyFill="1" applyBorder="1"/>
    <xf numFmtId="164" fontId="11" fillId="2" borderId="4" xfId="1" applyNumberFormat="1" applyFont="1" applyFill="1" applyBorder="1" applyAlignment="1"/>
    <xf numFmtId="0" fontId="11" fillId="2" borderId="3" xfId="0" applyFont="1" applyFill="1" applyBorder="1"/>
    <xf numFmtId="0" fontId="16" fillId="0" borderId="0" xfId="0" applyFont="1"/>
    <xf numFmtId="0" fontId="17" fillId="0" borderId="0" xfId="0" applyFont="1"/>
    <xf numFmtId="0" fontId="12" fillId="0" borderId="0" xfId="0" applyFont="1"/>
    <xf numFmtId="0" fontId="15" fillId="0" borderId="0" xfId="0" applyFont="1"/>
    <xf numFmtId="0" fontId="18" fillId="0" borderId="0" xfId="0" applyFont="1"/>
    <xf numFmtId="0" fontId="10" fillId="0" borderId="0" xfId="0" applyFont="1"/>
    <xf numFmtId="0" fontId="10" fillId="0" borderId="0" xfId="0" applyFont="1" applyAlignment="1">
      <alignment vertical="top" wrapText="1"/>
    </xf>
    <xf numFmtId="0" fontId="8" fillId="2" borderId="0" xfId="0" applyFont="1" applyFill="1"/>
    <xf numFmtId="0" fontId="8" fillId="2" borderId="6" xfId="0" applyFont="1" applyFill="1" applyBorder="1"/>
    <xf numFmtId="0" fontId="8" fillId="0" borderId="0" xfId="0" applyFont="1"/>
    <xf numFmtId="2" fontId="8" fillId="2" borderId="7" xfId="0" applyNumberFormat="1" applyFont="1" applyFill="1" applyBorder="1" applyAlignment="1">
      <alignment horizontal="left"/>
    </xf>
    <xf numFmtId="0" fontId="20" fillId="2" borderId="8" xfId="0" applyFont="1" applyFill="1" applyBorder="1" applyAlignment="1">
      <alignment horizontal="center" vertical="center" wrapText="1"/>
    </xf>
    <xf numFmtId="0" fontId="20" fillId="2" borderId="9"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12"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8" fillId="2" borderId="5" xfId="0" applyFont="1" applyFill="1" applyBorder="1"/>
    <xf numFmtId="0" fontId="8" fillId="2" borderId="4" xfId="0" applyFont="1" applyFill="1" applyBorder="1"/>
    <xf numFmtId="164" fontId="8" fillId="2" borderId="4" xfId="1" applyNumberFormat="1" applyFont="1" applyFill="1" applyBorder="1"/>
    <xf numFmtId="0" fontId="8" fillId="2" borderId="3" xfId="0" applyFont="1" applyFill="1" applyBorder="1"/>
    <xf numFmtId="166" fontId="8" fillId="0" borderId="0" xfId="0" applyNumberFormat="1" applyFont="1"/>
    <xf numFmtId="0" fontId="21" fillId="0" borderId="0" xfId="0" applyFont="1" applyAlignment="1">
      <alignment horizontal="right"/>
    </xf>
    <xf numFmtId="0" fontId="8" fillId="0" borderId="15" xfId="0" applyFont="1" applyBorder="1" applyAlignment="1">
      <alignment horizontal="center"/>
    </xf>
    <xf numFmtId="0" fontId="8" fillId="0" borderId="16" xfId="0" applyFont="1" applyBorder="1" applyAlignment="1">
      <alignment horizontal="center"/>
    </xf>
    <xf numFmtId="0" fontId="8" fillId="0" borderId="13" xfId="0" applyFont="1" applyBorder="1" applyAlignment="1">
      <alignment horizontal="center"/>
    </xf>
    <xf numFmtId="0" fontId="8" fillId="0" borderId="0" xfId="0" applyFont="1" applyAlignment="1">
      <alignment horizontal="center"/>
    </xf>
    <xf numFmtId="0" fontId="12" fillId="0" borderId="0" xfId="0" applyFont="1" applyAlignment="1">
      <alignment horizontal="left" wrapText="1"/>
    </xf>
    <xf numFmtId="0" fontId="24" fillId="0" borderId="13" xfId="0" applyFont="1" applyBorder="1" applyAlignment="1">
      <alignment horizontal="center" vertical="center" wrapText="1"/>
    </xf>
    <xf numFmtId="0" fontId="24" fillId="0" borderId="0" xfId="0" applyFont="1" applyAlignment="1">
      <alignment horizontal="center" vertical="center" wrapText="1"/>
    </xf>
    <xf numFmtId="167" fontId="24" fillId="0" borderId="13" xfId="0" applyNumberFormat="1" applyFont="1" applyBorder="1" applyAlignment="1">
      <alignment horizontal="center" vertical="center" wrapText="1"/>
    </xf>
    <xf numFmtId="167" fontId="8" fillId="0" borderId="0" xfId="0" applyNumberFormat="1" applyFont="1" applyAlignment="1">
      <alignment horizontal="center"/>
    </xf>
    <xf numFmtId="0" fontId="12" fillId="0" borderId="0" xfId="0" applyFont="1" applyAlignment="1">
      <alignment wrapText="1"/>
    </xf>
    <xf numFmtId="0" fontId="8" fillId="0" borderId="0" xfId="0" applyFont="1" applyAlignment="1">
      <alignment horizontal="left" wrapText="1"/>
    </xf>
    <xf numFmtId="0" fontId="8" fillId="0" borderId="0" xfId="0" applyFont="1" applyAlignment="1">
      <alignment horizontal="left"/>
    </xf>
    <xf numFmtId="0" fontId="12" fillId="0" borderId="0" xfId="0" applyFont="1" applyAlignment="1">
      <alignment vertical="top" wrapText="1"/>
    </xf>
    <xf numFmtId="0" fontId="8" fillId="0" borderId="0" xfId="0" applyFont="1" applyAlignment="1">
      <alignment vertical="top" wrapText="1"/>
    </xf>
    <xf numFmtId="0" fontId="8" fillId="0" borderId="0" xfId="0" applyFont="1" applyAlignment="1">
      <alignment wrapText="1"/>
    </xf>
    <xf numFmtId="0" fontId="20" fillId="2" borderId="8" xfId="0" applyFont="1" applyFill="1" applyBorder="1" applyAlignment="1">
      <alignment horizontal="center" wrapText="1"/>
    </xf>
    <xf numFmtId="0" fontId="20" fillId="2" borderId="9" xfId="0" applyFont="1" applyFill="1" applyBorder="1" applyAlignment="1">
      <alignment horizontal="center" wrapText="1"/>
    </xf>
    <xf numFmtId="167" fontId="8" fillId="0" borderId="1" xfId="0" applyNumberFormat="1" applyFont="1" applyBorder="1" applyAlignment="1">
      <alignment horizontal="center"/>
    </xf>
    <xf numFmtId="0" fontId="24" fillId="0" borderId="15" xfId="0" applyFont="1" applyBorder="1" applyAlignment="1">
      <alignment horizontal="center" wrapText="1"/>
    </xf>
    <xf numFmtId="0" fontId="8" fillId="0" borderId="14" xfId="0" applyFont="1" applyBorder="1" applyAlignment="1">
      <alignment horizontal="center"/>
    </xf>
    <xf numFmtId="0" fontId="24" fillId="0" borderId="16" xfId="0" applyFont="1" applyBorder="1" applyAlignment="1">
      <alignment horizontal="center" wrapText="1"/>
    </xf>
    <xf numFmtId="0" fontId="8" fillId="0" borderId="12" xfId="0" applyFont="1" applyBorder="1" applyAlignment="1">
      <alignment horizontal="center"/>
    </xf>
    <xf numFmtId="0" fontId="8" fillId="0" borderId="2" xfId="0" applyFont="1" applyBorder="1" applyAlignment="1">
      <alignment horizontal="center"/>
    </xf>
    <xf numFmtId="0" fontId="8" fillId="0" borderId="1" xfId="0" applyFont="1" applyBorder="1" applyAlignment="1">
      <alignment horizontal="center"/>
    </xf>
    <xf numFmtId="0" fontId="8" fillId="0" borderId="0" xfId="0" applyFont="1" applyAlignment="1">
      <alignment horizontal="left" indent="2"/>
    </xf>
    <xf numFmtId="0" fontId="8" fillId="0" borderId="18" xfId="0" applyFont="1" applyBorder="1"/>
    <xf numFmtId="166" fontId="20" fillId="2" borderId="13" xfId="0" applyNumberFormat="1" applyFont="1" applyFill="1" applyBorder="1" applyAlignment="1">
      <alignment horizontal="center" vertical="center" wrapText="1"/>
    </xf>
    <xf numFmtId="166" fontId="20" fillId="2" borderId="15" xfId="0" applyNumberFormat="1" applyFont="1" applyFill="1" applyBorder="1" applyAlignment="1">
      <alignment horizontal="center" vertical="center" wrapText="1"/>
    </xf>
    <xf numFmtId="0" fontId="19" fillId="0" borderId="0" xfId="0" applyFont="1"/>
    <xf numFmtId="0" fontId="12" fillId="0" borderId="0" xfId="0" applyFont="1" applyAlignment="1">
      <alignment horizontal="left" vertical="top" wrapText="1"/>
    </xf>
    <xf numFmtId="0" fontId="9" fillId="0" borderId="0" xfId="0" applyFont="1" applyAlignment="1">
      <alignment horizontal="left" vertical="top" wrapText="1"/>
    </xf>
    <xf numFmtId="0" fontId="9" fillId="0" borderId="0" xfId="0" quotePrefix="1" applyFont="1" applyAlignment="1">
      <alignment horizontal="left" vertical="top" wrapText="1"/>
    </xf>
    <xf numFmtId="0" fontId="7" fillId="2" borderId="0" xfId="0" applyFont="1" applyFill="1"/>
    <xf numFmtId="3" fontId="7" fillId="2" borderId="0" xfId="0" applyNumberFormat="1" applyFont="1" applyFill="1" applyAlignment="1">
      <alignment horizontal="center" vertical="center"/>
    </xf>
    <xf numFmtId="0" fontId="7" fillId="2" borderId="0" xfId="0" applyFont="1" applyFill="1" applyAlignment="1">
      <alignment horizontal="center"/>
    </xf>
    <xf numFmtId="168" fontId="11" fillId="2" borderId="0" xfId="0" applyNumberFormat="1" applyFont="1" applyFill="1" applyAlignment="1">
      <alignment horizontal="center" vertical="center"/>
    </xf>
    <xf numFmtId="3" fontId="7" fillId="2" borderId="8" xfId="0" applyNumberFormat="1" applyFont="1" applyFill="1" applyBorder="1" applyAlignment="1">
      <alignment horizontal="center" vertical="center"/>
    </xf>
    <xf numFmtId="0" fontId="11" fillId="2" borderId="10" xfId="0" applyFont="1" applyFill="1" applyBorder="1" applyAlignment="1">
      <alignment horizontal="center"/>
    </xf>
    <xf numFmtId="0" fontId="11" fillId="2" borderId="12" xfId="0" applyFont="1" applyFill="1" applyBorder="1" applyAlignment="1">
      <alignment horizontal="center"/>
    </xf>
    <xf numFmtId="0" fontId="11" fillId="2" borderId="14" xfId="0" applyFont="1" applyFill="1" applyBorder="1" applyAlignment="1">
      <alignment horizontal="center"/>
    </xf>
    <xf numFmtId="168" fontId="11" fillId="2" borderId="10" xfId="0" applyNumberFormat="1" applyFont="1" applyFill="1" applyBorder="1" applyAlignment="1">
      <alignment horizontal="center" vertical="center"/>
    </xf>
    <xf numFmtId="168" fontId="11" fillId="2" borderId="12" xfId="0" applyNumberFormat="1" applyFont="1" applyFill="1" applyBorder="1" applyAlignment="1">
      <alignment horizontal="center" vertical="center"/>
    </xf>
    <xf numFmtId="168" fontId="11" fillId="2" borderId="14" xfId="0" applyNumberFormat="1" applyFont="1" applyFill="1" applyBorder="1" applyAlignment="1">
      <alignment horizontal="center" vertical="center"/>
    </xf>
    <xf numFmtId="0" fontId="7" fillId="2" borderId="8" xfId="0" applyFont="1" applyFill="1" applyBorder="1" applyAlignment="1">
      <alignment horizontal="center"/>
    </xf>
    <xf numFmtId="168" fontId="11" fillId="2" borderId="19" xfId="0" applyNumberFormat="1" applyFont="1" applyFill="1" applyBorder="1" applyAlignment="1">
      <alignment horizontal="center"/>
    </xf>
    <xf numFmtId="168" fontId="11" fillId="2" borderId="11" xfId="0" applyNumberFormat="1" applyFont="1" applyFill="1" applyBorder="1" applyAlignment="1">
      <alignment horizontal="center"/>
    </xf>
    <xf numFmtId="168" fontId="11" fillId="2" borderId="20" xfId="0" applyNumberFormat="1" applyFont="1" applyFill="1" applyBorder="1" applyAlignment="1">
      <alignment horizontal="center"/>
    </xf>
    <xf numFmtId="168" fontId="11" fillId="2" borderId="13" xfId="0" applyNumberFormat="1" applyFont="1" applyFill="1" applyBorder="1" applyAlignment="1">
      <alignment horizontal="center"/>
    </xf>
    <xf numFmtId="168" fontId="11" fillId="2" borderId="21" xfId="0" applyNumberFormat="1" applyFont="1" applyFill="1" applyBorder="1" applyAlignment="1">
      <alignment horizontal="center"/>
    </xf>
    <xf numFmtId="168" fontId="11" fillId="2" borderId="15" xfId="0" applyNumberFormat="1" applyFont="1" applyFill="1" applyBorder="1" applyAlignment="1">
      <alignment horizontal="center"/>
    </xf>
    <xf numFmtId="0" fontId="7" fillId="2" borderId="22" xfId="0" applyFont="1" applyFill="1" applyBorder="1" applyAlignment="1">
      <alignment horizontal="center"/>
    </xf>
    <xf numFmtId="0" fontId="7" fillId="2" borderId="9" xfId="0" applyFont="1" applyFill="1" applyBorder="1" applyAlignment="1">
      <alignment horizontal="center"/>
    </xf>
    <xf numFmtId="0" fontId="0" fillId="2" borderId="0" xfId="0" applyFill="1" applyAlignment="1">
      <alignment vertical="top"/>
    </xf>
    <xf numFmtId="0" fontId="7" fillId="0" borderId="0" xfId="0" applyFont="1"/>
    <xf numFmtId="0" fontId="7" fillId="2" borderId="0" xfId="0" quotePrefix="1" applyFont="1" applyFill="1"/>
    <xf numFmtId="168" fontId="24" fillId="0" borderId="13" xfId="0" applyNumberFormat="1" applyFont="1" applyBorder="1" applyAlignment="1">
      <alignment horizontal="center" vertical="center" wrapText="1"/>
    </xf>
    <xf numFmtId="3" fontId="11" fillId="2" borderId="10" xfId="0" applyNumberFormat="1" applyFont="1" applyFill="1" applyBorder="1" applyAlignment="1">
      <alignment horizontal="center" vertical="center"/>
    </xf>
    <xf numFmtId="3" fontId="11" fillId="2" borderId="12" xfId="0" applyNumberFormat="1" applyFont="1" applyFill="1" applyBorder="1" applyAlignment="1">
      <alignment horizontal="center" vertical="center"/>
    </xf>
    <xf numFmtId="3" fontId="11" fillId="2" borderId="14" xfId="0" applyNumberFormat="1" applyFont="1" applyFill="1" applyBorder="1" applyAlignment="1">
      <alignment horizontal="center" vertical="center"/>
    </xf>
    <xf numFmtId="2" fontId="8" fillId="0" borderId="0" xfId="0" applyNumberFormat="1" applyFont="1" applyAlignment="1">
      <alignment horizontal="center"/>
    </xf>
    <xf numFmtId="166" fontId="24" fillId="0" borderId="13" xfId="0" applyNumberFormat="1" applyFont="1" applyBorder="1" applyAlignment="1">
      <alignment horizontal="center" vertical="center" wrapText="1"/>
    </xf>
    <xf numFmtId="168" fontId="8" fillId="0" borderId="0" xfId="0" applyNumberFormat="1" applyFont="1" applyAlignment="1">
      <alignment horizontal="center"/>
    </xf>
    <xf numFmtId="3" fontId="24" fillId="0" borderId="0" xfId="0" applyNumberFormat="1" applyFont="1" applyAlignment="1">
      <alignment horizontal="center" vertical="center" wrapText="1"/>
    </xf>
    <xf numFmtId="3" fontId="7" fillId="2" borderId="10" xfId="0" applyNumberFormat="1" applyFont="1" applyFill="1" applyBorder="1" applyAlignment="1">
      <alignment horizontal="center" vertical="center"/>
    </xf>
    <xf numFmtId="0" fontId="7" fillId="2" borderId="10" xfId="0" applyFont="1" applyFill="1" applyBorder="1" applyAlignment="1">
      <alignment horizontal="center"/>
    </xf>
    <xf numFmtId="0" fontId="7" fillId="2" borderId="15" xfId="0" applyFont="1" applyFill="1" applyBorder="1" applyAlignment="1">
      <alignment horizontal="center"/>
    </xf>
    <xf numFmtId="3" fontId="7" fillId="2" borderId="10" xfId="0" applyNumberFormat="1" applyFont="1" applyFill="1" applyBorder="1" applyAlignment="1">
      <alignment horizontal="center"/>
    </xf>
    <xf numFmtId="3" fontId="7" fillId="2" borderId="14" xfId="0" applyNumberFormat="1" applyFont="1" applyFill="1" applyBorder="1" applyAlignment="1">
      <alignment horizontal="center"/>
    </xf>
    <xf numFmtId="0" fontId="7" fillId="0" borderId="0" xfId="0" applyFont="1" applyAlignment="1">
      <alignment horizontal="center"/>
    </xf>
    <xf numFmtId="0" fontId="7" fillId="0" borderId="16" xfId="0" applyFont="1" applyBorder="1" applyAlignment="1">
      <alignment horizontal="center"/>
    </xf>
    <xf numFmtId="0" fontId="11" fillId="0" borderId="13" xfId="0" applyFont="1" applyBorder="1" applyAlignment="1">
      <alignment horizontal="center"/>
    </xf>
    <xf numFmtId="0" fontId="11" fillId="0" borderId="15" xfId="0" applyFont="1" applyBorder="1" applyAlignment="1">
      <alignment horizontal="center"/>
    </xf>
    <xf numFmtId="0" fontId="7" fillId="0" borderId="15" xfId="0" applyFont="1" applyBorder="1" applyAlignment="1">
      <alignment horizontal="center"/>
    </xf>
    <xf numFmtId="0" fontId="22" fillId="0" borderId="0" xfId="0" applyFont="1"/>
    <xf numFmtId="0" fontId="7" fillId="0" borderId="0" xfId="0" applyFont="1" applyAlignment="1">
      <alignment horizontal="right"/>
    </xf>
    <xf numFmtId="0" fontId="7" fillId="0" borderId="0" xfId="0" applyFont="1" applyAlignment="1">
      <alignment horizontal="left" vertical="top" wrapText="1"/>
    </xf>
    <xf numFmtId="0" fontId="7" fillId="0" borderId="0" xfId="0" applyFont="1" applyAlignment="1">
      <alignment horizontal="left" vertical="top"/>
    </xf>
    <xf numFmtId="0" fontId="7" fillId="0" borderId="2" xfId="0" applyFont="1" applyBorder="1" applyAlignment="1">
      <alignment horizontal="center"/>
    </xf>
    <xf numFmtId="9" fontId="11" fillId="2" borderId="0" xfId="2" applyFont="1" applyFill="1" applyAlignment="1">
      <alignment horizontal="center" vertical="center"/>
    </xf>
    <xf numFmtId="3" fontId="7" fillId="2" borderId="12" xfId="0" applyNumberFormat="1" applyFont="1" applyFill="1" applyBorder="1" applyAlignment="1">
      <alignment horizontal="center" vertical="center"/>
    </xf>
    <xf numFmtId="3" fontId="7" fillId="2" borderId="14" xfId="0" applyNumberFormat="1" applyFont="1" applyFill="1" applyBorder="1" applyAlignment="1">
      <alignment horizontal="center" vertical="center"/>
    </xf>
    <xf numFmtId="0" fontId="7" fillId="2" borderId="6" xfId="0" applyFont="1" applyFill="1" applyBorder="1"/>
    <xf numFmtId="2" fontId="7" fillId="2" borderId="7" xfId="0" applyNumberFormat="1" applyFont="1" applyFill="1" applyBorder="1" applyAlignment="1">
      <alignment horizontal="left"/>
    </xf>
    <xf numFmtId="2" fontId="7" fillId="2" borderId="7" xfId="0" applyNumberFormat="1" applyFont="1" applyFill="1" applyBorder="1" applyAlignment="1">
      <alignment horizontal="right"/>
    </xf>
    <xf numFmtId="0" fontId="7" fillId="2" borderId="14" xfId="0" applyFont="1" applyFill="1" applyBorder="1" applyAlignment="1">
      <alignment horizontal="center"/>
    </xf>
    <xf numFmtId="2" fontId="7" fillId="2" borderId="0" xfId="0" applyNumberFormat="1" applyFont="1" applyFill="1" applyAlignment="1">
      <alignment horizontal="right"/>
    </xf>
    <xf numFmtId="3" fontId="7" fillId="2" borderId="22" xfId="0" applyNumberFormat="1" applyFont="1" applyFill="1" applyBorder="1" applyAlignment="1">
      <alignment horizontal="center" vertical="center"/>
    </xf>
    <xf numFmtId="3" fontId="7" fillId="2" borderId="9" xfId="0" applyNumberFormat="1" applyFont="1" applyFill="1" applyBorder="1" applyAlignment="1">
      <alignment horizontal="center" vertical="center"/>
    </xf>
    <xf numFmtId="168" fontId="7" fillId="2" borderId="10" xfId="0" applyNumberFormat="1" applyFont="1" applyFill="1" applyBorder="1" applyAlignment="1">
      <alignment horizontal="center" vertical="center"/>
    </xf>
    <xf numFmtId="168" fontId="7" fillId="2" borderId="19" xfId="0" applyNumberFormat="1" applyFont="1" applyFill="1" applyBorder="1" applyAlignment="1">
      <alignment horizontal="center" vertical="center"/>
    </xf>
    <xf numFmtId="168" fontId="7" fillId="2" borderId="11" xfId="0" applyNumberFormat="1" applyFont="1" applyFill="1" applyBorder="1" applyAlignment="1">
      <alignment horizontal="center"/>
    </xf>
    <xf numFmtId="168" fontId="7" fillId="2" borderId="14" xfId="0" applyNumberFormat="1" applyFont="1" applyFill="1" applyBorder="1" applyAlignment="1">
      <alignment horizontal="center" vertical="center"/>
    </xf>
    <xf numFmtId="168" fontId="7" fillId="2" borderId="21" xfId="0" applyNumberFormat="1" applyFont="1" applyFill="1" applyBorder="1" applyAlignment="1">
      <alignment horizontal="center" vertical="center"/>
    </xf>
    <xf numFmtId="168" fontId="7" fillId="2" borderId="15" xfId="0" applyNumberFormat="1" applyFont="1" applyFill="1" applyBorder="1" applyAlignment="1">
      <alignment horizontal="center"/>
    </xf>
    <xf numFmtId="0" fontId="7" fillId="2" borderId="5" xfId="0" applyFont="1" applyFill="1" applyBorder="1" applyAlignment="1">
      <alignment horizontal="right"/>
    </xf>
    <xf numFmtId="0" fontId="7" fillId="2" borderId="4" xfId="0" applyFont="1" applyFill="1" applyBorder="1"/>
    <xf numFmtId="164" fontId="7" fillId="2" borderId="4" xfId="1" applyNumberFormat="1" applyFont="1" applyFill="1" applyBorder="1" applyAlignment="1"/>
    <xf numFmtId="0" fontId="7" fillId="2" borderId="3" xfId="0" applyFont="1" applyFill="1" applyBorder="1"/>
    <xf numFmtId="0" fontId="7" fillId="0" borderId="14" xfId="0" applyFont="1" applyBorder="1" applyAlignment="1">
      <alignment horizontal="center"/>
    </xf>
    <xf numFmtId="168" fontId="24" fillId="0" borderId="0" xfId="0" applyNumberFormat="1" applyFont="1" applyAlignment="1">
      <alignment horizontal="center" vertical="center" wrapText="1"/>
    </xf>
    <xf numFmtId="169" fontId="24" fillId="0" borderId="0" xfId="0" applyNumberFormat="1" applyFont="1" applyAlignment="1">
      <alignment horizontal="center" vertical="center" wrapText="1"/>
    </xf>
    <xf numFmtId="0" fontId="7" fillId="0" borderId="20" xfId="0" applyFont="1" applyBorder="1" applyAlignment="1">
      <alignment horizontal="center"/>
    </xf>
    <xf numFmtId="0" fontId="7" fillId="0" borderId="21" xfId="0" applyFont="1" applyBorder="1" applyAlignment="1">
      <alignment horizontal="center"/>
    </xf>
    <xf numFmtId="3" fontId="24" fillId="0" borderId="20" xfId="0" applyNumberFormat="1" applyFont="1" applyBorder="1" applyAlignment="1">
      <alignment horizontal="center" vertical="center" wrapText="1"/>
    </xf>
    <xf numFmtId="0" fontId="7" fillId="0" borderId="23" xfId="0" applyFont="1" applyBorder="1" applyAlignment="1">
      <alignment horizontal="center"/>
    </xf>
    <xf numFmtId="0" fontId="7" fillId="0" borderId="24" xfId="0" applyFont="1" applyBorder="1" applyAlignment="1">
      <alignment horizontal="center"/>
    </xf>
    <xf numFmtId="169" fontId="24" fillId="0" borderId="25" xfId="0" applyNumberFormat="1" applyFont="1" applyBorder="1" applyAlignment="1">
      <alignment horizontal="center" vertical="center" wrapText="1"/>
    </xf>
    <xf numFmtId="169" fontId="24" fillId="0" borderId="26" xfId="0" applyNumberFormat="1" applyFont="1" applyBorder="1" applyAlignment="1">
      <alignment horizontal="center" vertical="center" wrapText="1"/>
    </xf>
    <xf numFmtId="0" fontId="7" fillId="0" borderId="0" xfId="0" applyFont="1" applyAlignment="1">
      <alignment vertical="top" wrapText="1"/>
    </xf>
    <xf numFmtId="0" fontId="7" fillId="2" borderId="12" xfId="0" applyFont="1" applyFill="1" applyBorder="1" applyAlignment="1">
      <alignment horizontal="center"/>
    </xf>
    <xf numFmtId="3" fontId="7" fillId="2" borderId="0" xfId="0" applyNumberFormat="1" applyFont="1" applyFill="1" applyAlignment="1">
      <alignment horizontal="center"/>
    </xf>
    <xf numFmtId="166" fontId="7" fillId="2" borderId="13" xfId="0" applyNumberFormat="1" applyFont="1" applyFill="1" applyBorder="1" applyAlignment="1">
      <alignment horizontal="center" vertical="center" wrapText="1"/>
    </xf>
    <xf numFmtId="166" fontId="7" fillId="2" borderId="12" xfId="0" applyNumberFormat="1" applyFont="1" applyFill="1" applyBorder="1" applyAlignment="1">
      <alignment horizontal="center" vertical="center"/>
    </xf>
    <xf numFmtId="166" fontId="7" fillId="2" borderId="14" xfId="0" applyNumberFormat="1" applyFont="1" applyFill="1" applyBorder="1" applyAlignment="1">
      <alignment horizontal="center" vertical="center"/>
    </xf>
    <xf numFmtId="0" fontId="7" fillId="2" borderId="0" xfId="0" applyFont="1" applyFill="1" applyAlignment="1">
      <alignment vertical="top"/>
    </xf>
    <xf numFmtId="0" fontId="11" fillId="0" borderId="13" xfId="0" applyFont="1" applyBorder="1"/>
    <xf numFmtId="3" fontId="7" fillId="2" borderId="19" xfId="0" applyNumberFormat="1" applyFont="1" applyFill="1" applyBorder="1" applyAlignment="1">
      <alignment horizontal="center" vertical="center"/>
    </xf>
    <xf numFmtId="3" fontId="7" fillId="2" borderId="28" xfId="0" applyNumberFormat="1" applyFont="1" applyFill="1" applyBorder="1" applyAlignment="1">
      <alignment horizontal="center" vertical="center"/>
    </xf>
    <xf numFmtId="3" fontId="7" fillId="2" borderId="11" xfId="0" applyNumberFormat="1" applyFont="1" applyFill="1" applyBorder="1" applyAlignment="1">
      <alignment horizontal="center" vertical="center"/>
    </xf>
    <xf numFmtId="3" fontId="7" fillId="2" borderId="20" xfId="0" applyNumberFormat="1" applyFont="1" applyFill="1" applyBorder="1" applyAlignment="1">
      <alignment horizontal="center" vertical="center"/>
    </xf>
    <xf numFmtId="3" fontId="7" fillId="2" borderId="21" xfId="0" applyNumberFormat="1" applyFont="1" applyFill="1" applyBorder="1" applyAlignment="1">
      <alignment horizontal="center" vertical="center"/>
    </xf>
    <xf numFmtId="3" fontId="7" fillId="2" borderId="0" xfId="0" applyNumberFormat="1" applyFont="1" applyFill="1" applyAlignment="1">
      <alignment horizontal="center" wrapText="1"/>
    </xf>
    <xf numFmtId="0" fontId="7" fillId="0" borderId="13" xfId="0" applyFont="1" applyBorder="1"/>
    <xf numFmtId="0" fontId="7" fillId="0" borderId="15" xfId="0" applyFont="1" applyBorder="1"/>
    <xf numFmtId="166" fontId="7" fillId="0" borderId="0" xfId="0" applyNumberFormat="1" applyFont="1" applyAlignment="1">
      <alignment horizontal="center"/>
    </xf>
    <xf numFmtId="0" fontId="7" fillId="0" borderId="0" xfId="0" applyFont="1" applyAlignment="1">
      <alignment vertical="top"/>
    </xf>
    <xf numFmtId="0" fontId="7" fillId="2" borderId="27" xfId="0" applyFont="1" applyFill="1" applyBorder="1" applyAlignment="1">
      <alignment horizontal="center"/>
    </xf>
    <xf numFmtId="0" fontId="7" fillId="2" borderId="13" xfId="0" applyFont="1" applyFill="1" applyBorder="1" applyAlignment="1">
      <alignment horizontal="center"/>
    </xf>
    <xf numFmtId="3" fontId="7" fillId="2" borderId="12" xfId="0" applyNumberFormat="1" applyFont="1" applyFill="1" applyBorder="1" applyAlignment="1">
      <alignment horizontal="center"/>
    </xf>
    <xf numFmtId="0" fontId="7" fillId="2" borderId="16" xfId="0" applyFont="1" applyFill="1" applyBorder="1" applyAlignment="1">
      <alignment horizontal="center"/>
    </xf>
    <xf numFmtId="165" fontId="7" fillId="2" borderId="0" xfId="2" applyNumberFormat="1" applyFont="1" applyFill="1" applyAlignment="1">
      <alignment horizontal="center" vertical="center"/>
    </xf>
    <xf numFmtId="3" fontId="11" fillId="2" borderId="19" xfId="0" applyNumberFormat="1" applyFont="1" applyFill="1" applyBorder="1" applyAlignment="1">
      <alignment horizontal="center" vertical="center"/>
    </xf>
    <xf numFmtId="3" fontId="11" fillId="2" borderId="28" xfId="0" applyNumberFormat="1" applyFont="1" applyFill="1" applyBorder="1" applyAlignment="1">
      <alignment horizontal="center" vertical="center"/>
    </xf>
    <xf numFmtId="3" fontId="11" fillId="2" borderId="11" xfId="0" applyNumberFormat="1" applyFont="1" applyFill="1" applyBorder="1" applyAlignment="1">
      <alignment horizontal="center" vertical="center"/>
    </xf>
    <xf numFmtId="3" fontId="11" fillId="2" borderId="20" xfId="0" applyNumberFormat="1" applyFont="1" applyFill="1" applyBorder="1" applyAlignment="1">
      <alignment horizontal="center" vertical="center"/>
    </xf>
    <xf numFmtId="3" fontId="11" fillId="2" borderId="13" xfId="0" applyNumberFormat="1" applyFont="1" applyFill="1" applyBorder="1" applyAlignment="1">
      <alignment horizontal="center" vertical="center"/>
    </xf>
    <xf numFmtId="3" fontId="11" fillId="2" borderId="21" xfId="0" applyNumberFormat="1" applyFont="1" applyFill="1" applyBorder="1" applyAlignment="1">
      <alignment horizontal="center" vertical="center"/>
    </xf>
    <xf numFmtId="3" fontId="11" fillId="2" borderId="16" xfId="0" applyNumberFormat="1" applyFont="1" applyFill="1" applyBorder="1" applyAlignment="1">
      <alignment horizontal="center" vertical="center"/>
    </xf>
    <xf numFmtId="3" fontId="11" fillId="2" borderId="15" xfId="0" applyNumberFormat="1" applyFont="1" applyFill="1" applyBorder="1" applyAlignment="1">
      <alignment horizontal="center" vertical="center"/>
    </xf>
    <xf numFmtId="3" fontId="7" fillId="2" borderId="27" xfId="0" applyNumberFormat="1" applyFont="1" applyFill="1" applyBorder="1" applyAlignment="1">
      <alignment horizontal="center" vertical="center"/>
    </xf>
    <xf numFmtId="0" fontId="7" fillId="2" borderId="0" xfId="0" applyFont="1" applyFill="1" applyAlignment="1">
      <alignment vertical="center"/>
    </xf>
    <xf numFmtId="0" fontId="7" fillId="2" borderId="8" xfId="0" applyFont="1" applyFill="1" applyBorder="1"/>
    <xf numFmtId="3" fontId="7" fillId="2" borderId="8" xfId="0" applyNumberFormat="1" applyFont="1" applyFill="1" applyBorder="1" applyAlignment="1">
      <alignment horizontal="center"/>
    </xf>
    <xf numFmtId="0" fontId="7" fillId="2" borderId="10" xfId="0" applyFont="1" applyFill="1" applyBorder="1" applyAlignment="1">
      <alignment horizontal="center" vertical="center" wrapText="1"/>
    </xf>
    <xf numFmtId="166" fontId="7" fillId="2" borderId="11" xfId="0" applyNumberFormat="1"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166" fontId="7" fillId="2" borderId="15" xfId="0" applyNumberFormat="1" applyFont="1" applyFill="1" applyBorder="1" applyAlignment="1">
      <alignment horizontal="center" vertical="center" wrapText="1"/>
    </xf>
    <xf numFmtId="166" fontId="7" fillId="2" borderId="0" xfId="0" applyNumberFormat="1" applyFont="1" applyFill="1" applyAlignment="1">
      <alignment horizontal="center" vertical="center" wrapText="1"/>
    </xf>
    <xf numFmtId="0" fontId="7" fillId="2" borderId="0" xfId="0" applyFont="1" applyFill="1" applyAlignment="1">
      <alignment horizontal="center" vertical="center" wrapText="1"/>
    </xf>
    <xf numFmtId="3" fontId="24" fillId="0" borderId="1" xfId="0" applyNumberFormat="1" applyFont="1" applyBorder="1" applyAlignment="1">
      <alignment horizontal="center" vertical="center" wrapText="1"/>
    </xf>
    <xf numFmtId="166" fontId="24" fillId="0" borderId="0" xfId="0" applyNumberFormat="1" applyFont="1" applyAlignment="1">
      <alignment horizontal="center" vertical="center" wrapText="1"/>
    </xf>
    <xf numFmtId="166" fontId="7" fillId="0" borderId="13" xfId="0" applyNumberFormat="1" applyFont="1" applyBorder="1" applyAlignment="1">
      <alignment horizontal="center"/>
    </xf>
    <xf numFmtId="3" fontId="11" fillId="0" borderId="0" xfId="0" applyNumberFormat="1" applyFont="1" applyAlignment="1">
      <alignment horizontal="center"/>
    </xf>
    <xf numFmtId="3" fontId="7" fillId="2" borderId="0" xfId="0" applyNumberFormat="1" applyFont="1" applyFill="1" applyAlignment="1">
      <alignment horizontal="left" vertical="center"/>
    </xf>
    <xf numFmtId="3" fontId="7" fillId="0" borderId="0" xfId="0" applyNumberFormat="1" applyFont="1"/>
    <xf numFmtId="0" fontId="7" fillId="0" borderId="29" xfId="0" applyFont="1" applyBorder="1" applyAlignment="1">
      <alignment horizontal="center"/>
    </xf>
    <xf numFmtId="3" fontId="7" fillId="0" borderId="30" xfId="0" applyNumberFormat="1" applyFont="1" applyBorder="1" applyAlignment="1">
      <alignment horizontal="center"/>
    </xf>
    <xf numFmtId="0" fontId="7" fillId="0" borderId="7" xfId="0" applyFont="1" applyBorder="1" applyAlignment="1">
      <alignment horizontal="center"/>
    </xf>
    <xf numFmtId="3" fontId="7" fillId="0" borderId="6" xfId="0" applyNumberFormat="1" applyFont="1" applyBorder="1" applyAlignment="1">
      <alignment horizontal="center"/>
    </xf>
    <xf numFmtId="0" fontId="7" fillId="0" borderId="5" xfId="0" applyFont="1" applyBorder="1" applyAlignment="1">
      <alignment horizontal="center"/>
    </xf>
    <xf numFmtId="166" fontId="7" fillId="0" borderId="3" xfId="0" applyNumberFormat="1" applyFont="1" applyBorder="1" applyAlignment="1">
      <alignment horizontal="center"/>
    </xf>
    <xf numFmtId="3" fontId="7" fillId="2" borderId="15" xfId="0" applyNumberFormat="1" applyFont="1" applyFill="1" applyBorder="1" applyAlignment="1">
      <alignment horizontal="center" vertical="center"/>
    </xf>
    <xf numFmtId="4" fontId="7" fillId="2" borderId="19" xfId="0" applyNumberFormat="1" applyFont="1" applyFill="1" applyBorder="1" applyAlignment="1">
      <alignment horizontal="center" vertical="center"/>
    </xf>
    <xf numFmtId="4" fontId="7" fillId="2" borderId="11" xfId="0" applyNumberFormat="1" applyFont="1" applyFill="1" applyBorder="1" applyAlignment="1">
      <alignment horizontal="center" vertical="center"/>
    </xf>
    <xf numFmtId="4" fontId="7" fillId="2" borderId="21" xfId="0" applyNumberFormat="1" applyFont="1" applyFill="1" applyBorder="1" applyAlignment="1">
      <alignment horizontal="center" vertical="center"/>
    </xf>
    <xf numFmtId="4" fontId="7" fillId="2" borderId="15" xfId="0" applyNumberFormat="1" applyFont="1" applyFill="1" applyBorder="1" applyAlignment="1">
      <alignment horizontal="center" vertical="center"/>
    </xf>
    <xf numFmtId="3" fontId="7" fillId="0" borderId="22" xfId="0" applyNumberFormat="1" applyFont="1" applyBorder="1" applyAlignment="1">
      <alignment horizontal="center" vertical="center"/>
    </xf>
    <xf numFmtId="3" fontId="7" fillId="0" borderId="27" xfId="0" applyNumberFormat="1" applyFont="1" applyBorder="1" applyAlignment="1">
      <alignment horizontal="center" vertical="center"/>
    </xf>
    <xf numFmtId="3" fontId="7" fillId="0" borderId="9" xfId="0" applyNumberFormat="1" applyFont="1" applyBorder="1" applyAlignment="1">
      <alignment horizontal="center" vertical="center"/>
    </xf>
    <xf numFmtId="166" fontId="7" fillId="0" borderId="0" xfId="0" applyNumberFormat="1" applyFont="1" applyAlignment="1">
      <alignment horizontal="center" vertical="center"/>
    </xf>
    <xf numFmtId="166" fontId="7" fillId="2" borderId="19" xfId="0" applyNumberFormat="1" applyFont="1" applyFill="1" applyBorder="1" applyAlignment="1">
      <alignment horizontal="center" vertical="center"/>
    </xf>
    <xf numFmtId="166" fontId="7" fillId="2" borderId="28" xfId="0" applyNumberFormat="1" applyFont="1" applyFill="1" applyBorder="1" applyAlignment="1">
      <alignment horizontal="center" vertical="center"/>
    </xf>
    <xf numFmtId="166" fontId="7" fillId="2" borderId="28" xfId="0" applyNumberFormat="1" applyFont="1" applyFill="1" applyBorder="1" applyAlignment="1">
      <alignment horizontal="center"/>
    </xf>
    <xf numFmtId="166" fontId="7" fillId="2" borderId="11" xfId="0" applyNumberFormat="1" applyFont="1" applyFill="1" applyBorder="1" applyAlignment="1">
      <alignment horizontal="center"/>
    </xf>
    <xf numFmtId="166" fontId="7" fillId="2" borderId="20" xfId="0" applyNumberFormat="1" applyFont="1" applyFill="1" applyBorder="1" applyAlignment="1">
      <alignment horizontal="center" vertical="center"/>
    </xf>
    <xf numFmtId="166" fontId="7" fillId="2" borderId="0" xfId="0" applyNumberFormat="1" applyFont="1" applyFill="1" applyAlignment="1">
      <alignment horizontal="center" vertical="center"/>
    </xf>
    <xf numFmtId="166" fontId="7" fillId="2" borderId="0" xfId="0" applyNumberFormat="1" applyFont="1" applyFill="1" applyAlignment="1">
      <alignment horizontal="center"/>
    </xf>
    <xf numFmtId="166" fontId="7" fillId="2" borderId="13" xfId="0" applyNumberFormat="1" applyFont="1" applyFill="1" applyBorder="1" applyAlignment="1">
      <alignment horizontal="center"/>
    </xf>
    <xf numFmtId="166" fontId="7" fillId="2" borderId="21" xfId="0" applyNumberFormat="1" applyFont="1" applyFill="1" applyBorder="1" applyAlignment="1">
      <alignment horizontal="center" vertical="center"/>
    </xf>
    <xf numFmtId="166" fontId="7" fillId="2" borderId="16" xfId="0" applyNumberFormat="1" applyFont="1" applyFill="1" applyBorder="1" applyAlignment="1">
      <alignment horizontal="center" vertical="center"/>
    </xf>
    <xf numFmtId="166" fontId="7" fillId="2" borderId="16" xfId="0" applyNumberFormat="1" applyFont="1" applyFill="1" applyBorder="1" applyAlignment="1">
      <alignment horizontal="center"/>
    </xf>
    <xf numFmtId="166" fontId="7" fillId="2" borderId="15" xfId="0" applyNumberFormat="1" applyFont="1" applyFill="1" applyBorder="1" applyAlignment="1">
      <alignment horizontal="center"/>
    </xf>
    <xf numFmtId="166" fontId="7" fillId="0" borderId="28" xfId="0" applyNumberFormat="1" applyFont="1" applyBorder="1" applyAlignment="1">
      <alignment horizontal="center" vertical="center"/>
    </xf>
    <xf numFmtId="166" fontId="7" fillId="0" borderId="28" xfId="0" applyNumberFormat="1" applyFont="1" applyBorder="1" applyAlignment="1">
      <alignment horizontal="center"/>
    </xf>
    <xf numFmtId="166" fontId="7" fillId="0" borderId="11" xfId="0" applyNumberFormat="1" applyFont="1" applyBorder="1" applyAlignment="1">
      <alignment horizontal="center"/>
    </xf>
    <xf numFmtId="166" fontId="7" fillId="0" borderId="20" xfId="0" applyNumberFormat="1" applyFont="1" applyBorder="1" applyAlignment="1">
      <alignment horizontal="center" vertical="center"/>
    </xf>
    <xf numFmtId="166" fontId="7" fillId="0" borderId="21" xfId="0" applyNumberFormat="1" applyFont="1" applyBorder="1" applyAlignment="1">
      <alignment horizontal="center" vertical="center"/>
    </xf>
    <xf numFmtId="166" fontId="7" fillId="0" borderId="16" xfId="0" applyNumberFormat="1" applyFont="1" applyBorder="1" applyAlignment="1">
      <alignment horizontal="center" vertical="center"/>
    </xf>
    <xf numFmtId="166" fontId="7" fillId="0" borderId="16" xfId="0" applyNumberFormat="1" applyFont="1" applyBorder="1" applyAlignment="1">
      <alignment horizontal="center"/>
    </xf>
    <xf numFmtId="166" fontId="7" fillId="0" borderId="15" xfId="0" applyNumberFormat="1" applyFont="1" applyBorder="1" applyAlignment="1">
      <alignment horizontal="center"/>
    </xf>
    <xf numFmtId="166" fontId="7" fillId="0" borderId="30" xfId="0" applyNumberFormat="1" applyFont="1" applyBorder="1" applyAlignment="1">
      <alignment horizontal="center"/>
    </xf>
    <xf numFmtId="166" fontId="7" fillId="0" borderId="6" xfId="0" applyNumberFormat="1" applyFont="1" applyBorder="1" applyAlignment="1">
      <alignment horizontal="center"/>
    </xf>
    <xf numFmtId="3" fontId="7" fillId="0" borderId="1" xfId="0" applyNumberFormat="1" applyFont="1" applyBorder="1" applyAlignment="1">
      <alignment horizontal="center"/>
    </xf>
    <xf numFmtId="0" fontId="22" fillId="0" borderId="0" xfId="0" applyFont="1" applyAlignment="1">
      <alignment horizontal="left" vertical="top" wrapText="1"/>
    </xf>
    <xf numFmtId="0" fontId="7" fillId="0" borderId="31" xfId="0" applyFont="1" applyBorder="1" applyAlignment="1">
      <alignment horizontal="center"/>
    </xf>
    <xf numFmtId="166" fontId="7" fillId="0" borderId="32" xfId="0" applyNumberFormat="1" applyFont="1" applyBorder="1" applyAlignment="1">
      <alignment horizontal="center"/>
    </xf>
    <xf numFmtId="166" fontId="7" fillId="0" borderId="19" xfId="0" applyNumberFormat="1" applyFont="1" applyBorder="1" applyAlignment="1">
      <alignment horizontal="center" vertical="center"/>
    </xf>
    <xf numFmtId="0" fontId="37" fillId="4" borderId="0" xfId="0" applyFont="1" applyFill="1" applyAlignment="1">
      <alignment vertical="center"/>
    </xf>
    <xf numFmtId="3" fontId="7" fillId="5" borderId="13" xfId="0" applyNumberFormat="1" applyFont="1" applyFill="1" applyBorder="1" applyAlignment="1">
      <alignment horizontal="center"/>
    </xf>
    <xf numFmtId="3" fontId="7" fillId="5" borderId="0" xfId="0" applyNumberFormat="1" applyFont="1" applyFill="1" applyAlignment="1">
      <alignment horizontal="center"/>
    </xf>
    <xf numFmtId="3" fontId="7" fillId="5" borderId="16" xfId="0" applyNumberFormat="1" applyFont="1" applyFill="1" applyBorder="1" applyAlignment="1">
      <alignment horizontal="center"/>
    </xf>
    <xf numFmtId="3" fontId="7" fillId="6" borderId="0" xfId="0" applyNumberFormat="1" applyFont="1" applyFill="1"/>
    <xf numFmtId="0" fontId="7" fillId="0" borderId="22" xfId="0" applyFont="1" applyBorder="1" applyAlignment="1">
      <alignment horizontal="center"/>
    </xf>
    <xf numFmtId="0" fontId="7" fillId="0" borderId="27"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3" fontId="30" fillId="0" borderId="19" xfId="0" applyNumberFormat="1" applyFont="1" applyBorder="1" applyAlignment="1">
      <alignment horizontal="center" vertical="center"/>
    </xf>
    <xf numFmtId="3" fontId="30" fillId="0" borderId="28" xfId="0" applyNumberFormat="1" applyFont="1" applyBorder="1" applyAlignment="1">
      <alignment horizontal="center" vertical="center"/>
    </xf>
    <xf numFmtId="3" fontId="30" fillId="0" borderId="11" xfId="0" applyNumberFormat="1" applyFont="1" applyBorder="1" applyAlignment="1">
      <alignment horizontal="center" vertical="center"/>
    </xf>
    <xf numFmtId="0" fontId="7" fillId="0" borderId="12" xfId="0" applyFont="1" applyBorder="1" applyAlignment="1">
      <alignment horizontal="center"/>
    </xf>
    <xf numFmtId="3" fontId="30" fillId="0" borderId="20" xfId="0" applyNumberFormat="1" applyFont="1" applyBorder="1" applyAlignment="1">
      <alignment horizontal="center" vertical="center"/>
    </xf>
    <xf numFmtId="3" fontId="30" fillId="0" borderId="0" xfId="0" applyNumberFormat="1" applyFont="1" applyAlignment="1">
      <alignment horizontal="center" vertical="center"/>
    </xf>
    <xf numFmtId="3" fontId="30" fillId="0" borderId="21" xfId="0" applyNumberFormat="1" applyFont="1" applyBorder="1" applyAlignment="1">
      <alignment horizontal="center" vertical="center"/>
    </xf>
    <xf numFmtId="3" fontId="7" fillId="6" borderId="22" xfId="0" applyNumberFormat="1" applyFont="1" applyFill="1" applyBorder="1" applyAlignment="1">
      <alignment horizontal="center"/>
    </xf>
    <xf numFmtId="3" fontId="7" fillId="6" borderId="19" xfId="0" applyNumberFormat="1" applyFont="1" applyFill="1" applyBorder="1" applyAlignment="1">
      <alignment horizontal="center"/>
    </xf>
    <xf numFmtId="3" fontId="7" fillId="6" borderId="10" xfId="0" applyNumberFormat="1" applyFont="1" applyFill="1" applyBorder="1" applyAlignment="1">
      <alignment horizontal="center"/>
    </xf>
    <xf numFmtId="3" fontId="7" fillId="3" borderId="13" xfId="0" applyNumberFormat="1" applyFont="1" applyFill="1" applyBorder="1" applyAlignment="1">
      <alignment horizontal="center"/>
    </xf>
    <xf numFmtId="3" fontId="7" fillId="3" borderId="16" xfId="0" applyNumberFormat="1" applyFont="1" applyFill="1" applyBorder="1" applyAlignment="1">
      <alignment horizontal="center"/>
    </xf>
    <xf numFmtId="3" fontId="7" fillId="7" borderId="15" xfId="0" applyNumberFormat="1" applyFont="1" applyFill="1" applyBorder="1" applyAlignment="1">
      <alignment horizontal="center"/>
    </xf>
    <xf numFmtId="0" fontId="7" fillId="6" borderId="0" xfId="0" applyFont="1" applyFill="1"/>
    <xf numFmtId="0" fontId="20" fillId="0" borderId="8" xfId="0" applyFont="1" applyBorder="1" applyAlignment="1">
      <alignment horizontal="center" vertical="center"/>
    </xf>
    <xf numFmtId="0" fontId="20" fillId="0" borderId="22" xfId="0" applyFont="1" applyBorder="1" applyAlignment="1">
      <alignment horizontal="center" vertical="center"/>
    </xf>
    <xf numFmtId="0" fontId="20" fillId="0" borderId="27" xfId="0" applyFont="1" applyBorder="1" applyAlignment="1">
      <alignment horizontal="center" vertical="center"/>
    </xf>
    <xf numFmtId="0" fontId="20" fillId="0" borderId="9" xfId="0" applyFont="1" applyBorder="1" applyAlignment="1">
      <alignment horizontal="center" vertical="center"/>
    </xf>
    <xf numFmtId="0" fontId="7" fillId="0" borderId="10" xfId="0" applyFont="1" applyBorder="1" applyAlignment="1">
      <alignment horizontal="center" vertical="center"/>
    </xf>
    <xf numFmtId="3" fontId="7" fillId="0" borderId="19" xfId="0" applyNumberFormat="1" applyFont="1" applyBorder="1" applyAlignment="1">
      <alignment horizontal="center" vertical="center"/>
    </xf>
    <xf numFmtId="3" fontId="7" fillId="0" borderId="28" xfId="0" applyNumberFormat="1" applyFont="1" applyBorder="1" applyAlignment="1">
      <alignment horizontal="center" vertical="center"/>
    </xf>
    <xf numFmtId="3" fontId="7" fillId="0" borderId="11" xfId="0" applyNumberFormat="1" applyFont="1" applyBorder="1" applyAlignment="1">
      <alignment horizontal="center" vertical="center"/>
    </xf>
    <xf numFmtId="0" fontId="7" fillId="0" borderId="14" xfId="0" applyFont="1" applyBorder="1" applyAlignment="1">
      <alignment horizontal="center" vertical="center"/>
    </xf>
    <xf numFmtId="3" fontId="7" fillId="0" borderId="21" xfId="0" applyNumberFormat="1" applyFont="1" applyBorder="1" applyAlignment="1">
      <alignment horizontal="center" vertical="center"/>
    </xf>
    <xf numFmtId="3" fontId="7" fillId="0" borderId="16" xfId="0" applyNumberFormat="1" applyFont="1" applyBorder="1" applyAlignment="1">
      <alignment horizontal="center" vertical="center"/>
    </xf>
    <xf numFmtId="3" fontId="7" fillId="0" borderId="15" xfId="0" applyNumberFormat="1" applyFont="1" applyBorder="1" applyAlignment="1">
      <alignment horizontal="center" vertical="center"/>
    </xf>
    <xf numFmtId="0" fontId="20" fillId="4" borderId="22" xfId="0" applyFont="1" applyFill="1" applyBorder="1" applyAlignment="1">
      <alignment horizontal="center" vertical="center"/>
    </xf>
    <xf numFmtId="0" fontId="20" fillId="4" borderId="27" xfId="0" applyFont="1" applyFill="1" applyBorder="1" applyAlignment="1">
      <alignment horizontal="center" vertical="center"/>
    </xf>
    <xf numFmtId="0" fontId="20" fillId="4" borderId="9" xfId="0" applyFont="1" applyFill="1" applyBorder="1" applyAlignment="1">
      <alignment horizontal="center" vertical="center"/>
    </xf>
    <xf numFmtId="3" fontId="7" fillId="2" borderId="16" xfId="0" applyNumberFormat="1" applyFont="1" applyFill="1" applyBorder="1" applyAlignment="1">
      <alignment horizontal="center" vertical="center"/>
    </xf>
    <xf numFmtId="0" fontId="7" fillId="2" borderId="15" xfId="0" applyFont="1" applyFill="1" applyBorder="1"/>
    <xf numFmtId="0" fontId="7" fillId="0" borderId="8" xfId="0" applyFont="1" applyBorder="1" applyAlignment="1">
      <alignment horizontal="center" vertical="center"/>
    </xf>
    <xf numFmtId="0" fontId="7" fillId="4" borderId="0" xfId="0" applyFont="1" applyFill="1"/>
    <xf numFmtId="9" fontId="7" fillId="2" borderId="0" xfId="2" applyFont="1" applyFill="1" applyAlignment="1">
      <alignment horizontal="center" vertical="center"/>
    </xf>
    <xf numFmtId="3" fontId="11" fillId="2" borderId="0" xfId="0" applyNumberFormat="1" applyFont="1" applyFill="1"/>
    <xf numFmtId="3" fontId="7" fillId="0" borderId="13" xfId="0" applyNumberFormat="1" applyFont="1" applyBorder="1" applyAlignment="1">
      <alignment horizontal="center" vertical="center"/>
    </xf>
    <xf numFmtId="3" fontId="11" fillId="0" borderId="0" xfId="0" applyNumberFormat="1" applyFont="1" applyAlignment="1">
      <alignment horizontal="center" vertical="center"/>
    </xf>
    <xf numFmtId="3" fontId="11" fillId="0" borderId="16" xfId="0" applyNumberFormat="1" applyFont="1" applyBorder="1" applyAlignment="1">
      <alignment horizontal="center" vertical="center"/>
    </xf>
    <xf numFmtId="165" fontId="11" fillId="0" borderId="0" xfId="2" applyNumberFormat="1" applyFont="1" applyFill="1" applyAlignment="1">
      <alignment horizontal="center" vertical="center"/>
    </xf>
    <xf numFmtId="165" fontId="11" fillId="0" borderId="16" xfId="2" applyNumberFormat="1" applyFont="1" applyFill="1" applyBorder="1" applyAlignment="1">
      <alignment horizontal="center" vertical="center"/>
    </xf>
    <xf numFmtId="3" fontId="11" fillId="0" borderId="13" xfId="0" applyNumberFormat="1" applyFont="1" applyBorder="1" applyAlignment="1">
      <alignment horizontal="center" vertical="center"/>
    </xf>
    <xf numFmtId="3" fontId="11" fillId="0" borderId="15" xfId="0" applyNumberFormat="1" applyFont="1" applyBorder="1" applyAlignment="1">
      <alignment horizontal="center" vertical="center"/>
    </xf>
    <xf numFmtId="3" fontId="7" fillId="0" borderId="0" xfId="0" applyNumberFormat="1" applyFont="1" applyAlignment="1">
      <alignment horizontal="center" vertical="center"/>
    </xf>
    <xf numFmtId="165" fontId="7" fillId="0" borderId="0" xfId="2" applyNumberFormat="1" applyFont="1" applyFill="1" applyAlignment="1">
      <alignment horizontal="center" vertical="center"/>
    </xf>
    <xf numFmtId="0" fontId="7" fillId="2" borderId="10" xfId="0" applyFont="1" applyFill="1" applyBorder="1" applyAlignment="1">
      <alignment horizontal="center" vertical="center"/>
    </xf>
    <xf numFmtId="0" fontId="38" fillId="2" borderId="12" xfId="0" applyFont="1" applyFill="1" applyBorder="1" applyAlignment="1">
      <alignment horizontal="center" vertical="center"/>
    </xf>
    <xf numFmtId="3" fontId="7" fillId="2" borderId="13" xfId="0" applyNumberFormat="1" applyFont="1" applyFill="1" applyBorder="1" applyAlignment="1">
      <alignment horizontal="center"/>
    </xf>
    <xf numFmtId="0" fontId="38" fillId="2" borderId="14" xfId="0" applyFont="1" applyFill="1" applyBorder="1" applyAlignment="1">
      <alignment horizontal="center" vertical="center"/>
    </xf>
    <xf numFmtId="3" fontId="7" fillId="2" borderId="15" xfId="0" applyNumberFormat="1" applyFont="1" applyFill="1" applyBorder="1" applyAlignment="1">
      <alignment horizontal="center"/>
    </xf>
    <xf numFmtId="0" fontId="38" fillId="2" borderId="0" xfId="0" applyFont="1" applyFill="1" applyAlignment="1">
      <alignment horizontal="center" wrapText="1"/>
    </xf>
    <xf numFmtId="0" fontId="6" fillId="0" borderId="0" xfId="0" applyFont="1"/>
    <xf numFmtId="0" fontId="5" fillId="0" borderId="0" xfId="0" applyFont="1"/>
    <xf numFmtId="0" fontId="5" fillId="2" borderId="0" xfId="0" applyFont="1" applyFill="1"/>
    <xf numFmtId="0" fontId="5" fillId="2" borderId="0" xfId="0" quotePrefix="1" applyFont="1" applyFill="1"/>
    <xf numFmtId="0" fontId="5" fillId="0" borderId="2" xfId="0" applyFont="1" applyBorder="1" applyAlignment="1">
      <alignment horizontal="center"/>
    </xf>
    <xf numFmtId="0" fontId="5" fillId="0" borderId="16" xfId="0" applyFont="1" applyBorder="1" applyAlignment="1">
      <alignment horizontal="center"/>
    </xf>
    <xf numFmtId="0" fontId="5" fillId="0" borderId="0" xfId="0" applyFont="1" applyAlignment="1">
      <alignment horizontal="left" vertical="top"/>
    </xf>
    <xf numFmtId="0" fontId="5" fillId="0" borderId="13" xfId="0" applyFont="1" applyBorder="1" applyAlignment="1">
      <alignment horizontal="center"/>
    </xf>
    <xf numFmtId="0" fontId="5" fillId="2" borderId="0" xfId="0" applyFont="1" applyFill="1" applyAlignment="1">
      <alignment vertical="top"/>
    </xf>
    <xf numFmtId="169" fontId="11" fillId="0" borderId="1" xfId="0" applyNumberFormat="1" applyFont="1" applyBorder="1" applyAlignment="1">
      <alignment horizontal="center"/>
    </xf>
    <xf numFmtId="169" fontId="5" fillId="0" borderId="0" xfId="0" applyNumberFormat="1" applyFont="1" applyAlignment="1">
      <alignment horizontal="center" vertical="center" wrapText="1"/>
    </xf>
    <xf numFmtId="166" fontId="5" fillId="0" borderId="0" xfId="0" applyNumberFormat="1" applyFont="1" applyAlignment="1">
      <alignment horizontal="center" vertical="center" wrapText="1"/>
    </xf>
    <xf numFmtId="166" fontId="5" fillId="0" borderId="13" xfId="0" applyNumberFormat="1" applyFont="1" applyBorder="1" applyAlignment="1">
      <alignment horizontal="center" vertical="center" wrapText="1"/>
    </xf>
    <xf numFmtId="166" fontId="5" fillId="0" borderId="0" xfId="0" applyNumberFormat="1" applyFont="1" applyAlignment="1">
      <alignment horizontal="center"/>
    </xf>
    <xf numFmtId="3" fontId="5" fillId="0" borderId="0" xfId="0" applyNumberFormat="1" applyFont="1" applyAlignment="1">
      <alignment horizontal="center" vertical="center" wrapText="1"/>
    </xf>
    <xf numFmtId="0" fontId="5" fillId="2" borderId="10" xfId="0" applyFont="1" applyFill="1" applyBorder="1" applyAlignment="1">
      <alignment horizontal="center"/>
    </xf>
    <xf numFmtId="0" fontId="5" fillId="2" borderId="14" xfId="0" applyFont="1" applyFill="1" applyBorder="1" applyAlignment="1">
      <alignment horizontal="center"/>
    </xf>
    <xf numFmtId="3" fontId="5" fillId="2" borderId="19" xfId="0" applyNumberFormat="1" applyFont="1" applyFill="1" applyBorder="1" applyAlignment="1">
      <alignment horizontal="center" vertical="center"/>
    </xf>
    <xf numFmtId="3" fontId="5" fillId="2" borderId="28" xfId="0" applyNumberFormat="1" applyFont="1" applyFill="1" applyBorder="1" applyAlignment="1">
      <alignment horizontal="center" vertical="center"/>
    </xf>
    <xf numFmtId="3" fontId="5" fillId="2" borderId="11" xfId="0" applyNumberFormat="1" applyFont="1" applyFill="1" applyBorder="1" applyAlignment="1">
      <alignment horizontal="center" vertical="center"/>
    </xf>
    <xf numFmtId="3" fontId="5" fillId="2" borderId="20" xfId="0" applyNumberFormat="1" applyFont="1" applyFill="1" applyBorder="1" applyAlignment="1">
      <alignment horizontal="center" vertical="center"/>
    </xf>
    <xf numFmtId="3" fontId="5" fillId="2" borderId="0" xfId="0" applyNumberFormat="1" applyFont="1" applyFill="1" applyAlignment="1">
      <alignment horizontal="center" vertical="center"/>
    </xf>
    <xf numFmtId="3" fontId="5" fillId="6" borderId="13" xfId="0" applyNumberFormat="1" applyFont="1" applyFill="1" applyBorder="1" applyAlignment="1">
      <alignment horizontal="center"/>
    </xf>
    <xf numFmtId="3" fontId="5" fillId="6" borderId="0" xfId="0" applyNumberFormat="1" applyFont="1" applyFill="1" applyAlignment="1">
      <alignment horizontal="center"/>
    </xf>
    <xf numFmtId="3" fontId="5" fillId="2" borderId="21" xfId="0" applyNumberFormat="1" applyFont="1" applyFill="1" applyBorder="1" applyAlignment="1">
      <alignment horizontal="center" vertical="center"/>
    </xf>
    <xf numFmtId="3" fontId="5" fillId="6" borderId="16" xfId="0" applyNumberFormat="1" applyFont="1" applyFill="1" applyBorder="1" applyAlignment="1">
      <alignment horizontal="center"/>
    </xf>
    <xf numFmtId="3" fontId="5" fillId="6" borderId="15" xfId="0" applyNumberFormat="1" applyFont="1" applyFill="1" applyBorder="1" applyAlignment="1">
      <alignment horizontal="center"/>
    </xf>
    <xf numFmtId="165" fontId="11" fillId="0" borderId="1" xfId="2" applyNumberFormat="1" applyFont="1" applyBorder="1" applyAlignment="1">
      <alignment horizontal="center"/>
    </xf>
    <xf numFmtId="3" fontId="5" fillId="2" borderId="0" xfId="0" applyNumberFormat="1" applyFont="1" applyFill="1" applyAlignment="1">
      <alignment horizontal="left" vertical="center"/>
    </xf>
    <xf numFmtId="0" fontId="5" fillId="0" borderId="8" xfId="0" applyFont="1" applyBorder="1" applyAlignment="1">
      <alignment horizontal="center"/>
    </xf>
    <xf numFmtId="0" fontId="5" fillId="0" borderId="14" xfId="0" applyFont="1" applyBorder="1" applyAlignment="1">
      <alignment horizontal="center"/>
    </xf>
    <xf numFmtId="3" fontId="4" fillId="0" borderId="0" xfId="0" applyNumberFormat="1" applyFont="1" applyAlignment="1">
      <alignment horizontal="left" vertical="center"/>
    </xf>
    <xf numFmtId="0" fontId="4" fillId="0" borderId="0" xfId="0" applyFont="1" applyAlignment="1">
      <alignment horizontal="left" vertical="top"/>
    </xf>
    <xf numFmtId="0" fontId="4" fillId="0" borderId="0" xfId="0" applyFont="1" applyAlignment="1">
      <alignment vertical="top"/>
    </xf>
    <xf numFmtId="0" fontId="4" fillId="2" borderId="0" xfId="0" applyFont="1" applyFill="1"/>
    <xf numFmtId="0" fontId="4" fillId="0" borderId="0" xfId="0" applyFont="1"/>
    <xf numFmtId="0" fontId="4" fillId="2" borderId="0" xfId="0" applyFont="1" applyFill="1" applyAlignment="1">
      <alignment vertical="top"/>
    </xf>
    <xf numFmtId="0" fontId="7" fillId="2" borderId="11" xfId="0" applyFont="1" applyFill="1" applyBorder="1" applyAlignment="1">
      <alignment horizontal="center" vertical="center"/>
    </xf>
    <xf numFmtId="3" fontId="4" fillId="0" borderId="16" xfId="0" applyNumberFormat="1" applyFont="1" applyBorder="1" applyAlignment="1">
      <alignment horizontal="center" vertical="center"/>
    </xf>
    <xf numFmtId="0" fontId="3" fillId="0" borderId="0" xfId="0" applyFont="1"/>
    <xf numFmtId="0" fontId="2" fillId="0" borderId="0" xfId="0" applyFont="1"/>
    <xf numFmtId="0" fontId="8" fillId="0" borderId="0" xfId="0" applyFont="1" applyAlignment="1">
      <alignment horizontal="left" vertical="top" wrapText="1"/>
    </xf>
    <xf numFmtId="0" fontId="5" fillId="0" borderId="0" xfId="0" applyFont="1" applyAlignment="1">
      <alignment horizontal="left" vertical="top" wrapText="1"/>
    </xf>
    <xf numFmtId="0" fontId="8" fillId="0" borderId="0" xfId="0" applyFont="1" applyAlignment="1">
      <alignment horizontal="left" wrapText="1"/>
    </xf>
    <xf numFmtId="0" fontId="7" fillId="0" borderId="0" xfId="0" applyFont="1" applyAlignment="1">
      <alignment horizontal="left" vertical="top" wrapText="1"/>
    </xf>
    <xf numFmtId="0" fontId="8" fillId="2" borderId="0" xfId="0" applyFont="1" applyFill="1" applyAlignment="1">
      <alignment horizontal="left" vertical="top" wrapText="1"/>
    </xf>
    <xf numFmtId="0" fontId="22" fillId="0" borderId="0" xfId="0" applyFont="1" applyAlignment="1">
      <alignment horizontal="center"/>
    </xf>
    <xf numFmtId="0" fontId="12" fillId="0" borderId="0" xfId="0" applyFont="1" applyAlignment="1">
      <alignment horizontal="left" wrapText="1"/>
    </xf>
    <xf numFmtId="0" fontId="24" fillId="0" borderId="13" xfId="0" applyFont="1" applyBorder="1" applyAlignment="1">
      <alignment horizontal="center" vertical="center" wrapText="1"/>
    </xf>
    <xf numFmtId="0" fontId="24" fillId="0" borderId="15" xfId="0" applyFont="1" applyBorder="1" applyAlignment="1">
      <alignment horizontal="center" vertical="center" wrapText="1"/>
    </xf>
    <xf numFmtId="0" fontId="8" fillId="0" borderId="0" xfId="0" applyFont="1" applyAlignment="1">
      <alignment horizontal="center" vertical="center"/>
    </xf>
    <xf numFmtId="0" fontId="8" fillId="0" borderId="16" xfId="0" applyFont="1" applyBorder="1" applyAlignment="1">
      <alignment horizontal="center" vertical="center"/>
    </xf>
    <xf numFmtId="0" fontId="24" fillId="0" borderId="0" xfId="0" applyFont="1" applyAlignment="1">
      <alignment horizontal="center" vertical="center" wrapText="1"/>
    </xf>
    <xf numFmtId="0" fontId="24" fillId="0" borderId="16" xfId="0" applyFont="1" applyBorder="1" applyAlignment="1">
      <alignment horizontal="center" vertical="center" wrapText="1"/>
    </xf>
    <xf numFmtId="0" fontId="8" fillId="0" borderId="0" xfId="0" applyFont="1" applyAlignment="1">
      <alignment horizontal="left" vertical="top" wrapText="1" indent="2"/>
    </xf>
    <xf numFmtId="0" fontId="7" fillId="0" borderId="0" xfId="0" applyFont="1" applyAlignment="1">
      <alignment horizontal="left" vertical="top" wrapText="1" indent="2"/>
    </xf>
    <xf numFmtId="0" fontId="8" fillId="0" borderId="2" xfId="0" applyFont="1" applyBorder="1" applyAlignment="1">
      <alignment horizontal="center"/>
    </xf>
    <xf numFmtId="0" fontId="8" fillId="0" borderId="17" xfId="0" applyFont="1" applyBorder="1" applyAlignment="1">
      <alignment horizontal="center"/>
    </xf>
    <xf numFmtId="0" fontId="5" fillId="2" borderId="0" xfId="0" applyFont="1" applyFill="1" applyAlignment="1">
      <alignment horizontal="left" vertical="top" wrapText="1"/>
    </xf>
    <xf numFmtId="0" fontId="7" fillId="2" borderId="0" xfId="0" applyFont="1" applyFill="1" applyAlignment="1">
      <alignment horizontal="left" vertical="top" wrapText="1"/>
    </xf>
    <xf numFmtId="0" fontId="12" fillId="0" borderId="0" xfId="0" applyFont="1" applyAlignment="1">
      <alignment horizontal="left" vertical="top" wrapText="1"/>
    </xf>
    <xf numFmtId="3" fontId="7" fillId="2" borderId="10" xfId="0" applyNumberFormat="1" applyFont="1" applyFill="1" applyBorder="1" applyAlignment="1">
      <alignment horizontal="center" wrapText="1"/>
    </xf>
    <xf numFmtId="3" fontId="7" fillId="2" borderId="14" xfId="0" applyNumberFormat="1" applyFont="1" applyFill="1" applyBorder="1" applyAlignment="1">
      <alignment horizontal="center" wrapText="1"/>
    </xf>
    <xf numFmtId="0" fontId="0" fillId="2" borderId="0" xfId="0" applyFill="1" applyAlignment="1">
      <alignment horizontal="left" vertical="top" wrapText="1"/>
    </xf>
    <xf numFmtId="0" fontId="5" fillId="2" borderId="11" xfId="0" applyFont="1" applyFill="1" applyBorder="1" applyAlignment="1">
      <alignment horizontal="center"/>
    </xf>
    <xf numFmtId="0" fontId="7" fillId="2" borderId="15" xfId="0" applyFont="1" applyFill="1" applyBorder="1" applyAlignment="1">
      <alignment horizontal="center"/>
    </xf>
    <xf numFmtId="0" fontId="5" fillId="2" borderId="19" xfId="0" applyFont="1" applyFill="1" applyBorder="1" applyAlignment="1">
      <alignment horizontal="center"/>
    </xf>
    <xf numFmtId="0" fontId="7" fillId="2" borderId="21" xfId="0" applyFont="1" applyFill="1" applyBorder="1" applyAlignment="1">
      <alignment horizontal="center"/>
    </xf>
    <xf numFmtId="0" fontId="7" fillId="2" borderId="10" xfId="0" applyFont="1" applyFill="1" applyBorder="1" applyAlignment="1">
      <alignment horizontal="center" wrapText="1"/>
    </xf>
    <xf numFmtId="0" fontId="7" fillId="2" borderId="14" xfId="0" applyFont="1" applyFill="1" applyBorder="1" applyAlignment="1">
      <alignment horizontal="center" wrapText="1"/>
    </xf>
    <xf numFmtId="3" fontId="5" fillId="2" borderId="10" xfId="0" applyNumberFormat="1" applyFont="1" applyFill="1" applyBorder="1" applyAlignment="1">
      <alignment horizontal="center"/>
    </xf>
    <xf numFmtId="3" fontId="7" fillId="2" borderId="14" xfId="0" applyNumberFormat="1" applyFont="1" applyFill="1" applyBorder="1" applyAlignment="1">
      <alignment horizontal="center"/>
    </xf>
    <xf numFmtId="3" fontId="7" fillId="2" borderId="10" xfId="0" applyNumberFormat="1" applyFont="1" applyFill="1" applyBorder="1" applyAlignment="1">
      <alignment horizontal="center"/>
    </xf>
    <xf numFmtId="0" fontId="9" fillId="0" borderId="0" xfId="0" applyFont="1" applyAlignment="1">
      <alignment horizontal="left" vertical="top" wrapText="1"/>
    </xf>
    <xf numFmtId="0" fontId="5" fillId="0" borderId="0" xfId="0" quotePrefix="1" applyFont="1" applyAlignment="1">
      <alignment horizontal="left" vertical="top" wrapText="1"/>
    </xf>
    <xf numFmtId="0" fontId="7" fillId="0" borderId="0" xfId="0" quotePrefix="1" applyFont="1" applyAlignment="1">
      <alignment horizontal="left" vertical="top" wrapText="1"/>
    </xf>
    <xf numFmtId="0" fontId="11" fillId="0" borderId="0" xfId="0" applyFont="1" applyAlignment="1">
      <alignment horizontal="left" vertical="top" wrapText="1"/>
    </xf>
    <xf numFmtId="0" fontId="20" fillId="2" borderId="10" xfId="0" applyFont="1" applyFill="1" applyBorder="1" applyAlignment="1">
      <alignment horizontal="center" wrapText="1"/>
    </xf>
    <xf numFmtId="0" fontId="20" fillId="2" borderId="14" xfId="0" applyFont="1" applyFill="1" applyBorder="1" applyAlignment="1">
      <alignment horizontal="center" wrapText="1"/>
    </xf>
    <xf numFmtId="0" fontId="20" fillId="2" borderId="10" xfId="0" applyFont="1" applyFill="1" applyBorder="1" applyAlignment="1">
      <alignment horizontal="center" vertical="center" wrapText="1"/>
    </xf>
    <xf numFmtId="0" fontId="20" fillId="2" borderId="14" xfId="0" applyFont="1" applyFill="1" applyBorder="1" applyAlignment="1">
      <alignment horizontal="center" vertical="center" wrapText="1"/>
    </xf>
    <xf numFmtId="3" fontId="7" fillId="2" borderId="19" xfId="0" applyNumberFormat="1" applyFont="1" applyFill="1" applyBorder="1" applyAlignment="1">
      <alignment horizontal="center" wrapText="1"/>
    </xf>
    <xf numFmtId="3" fontId="7" fillId="2" borderId="20" xfId="0" applyNumberFormat="1" applyFont="1" applyFill="1" applyBorder="1" applyAlignment="1">
      <alignment horizontal="center" wrapText="1"/>
    </xf>
    <xf numFmtId="0" fontId="7" fillId="2" borderId="22" xfId="0" applyFont="1" applyFill="1" applyBorder="1" applyAlignment="1">
      <alignment horizontal="center"/>
    </xf>
    <xf numFmtId="0" fontId="7" fillId="2" borderId="27" xfId="0" applyFont="1" applyFill="1" applyBorder="1" applyAlignment="1">
      <alignment horizontal="center"/>
    </xf>
    <xf numFmtId="0" fontId="7" fillId="2" borderId="9" xfId="0" applyFont="1" applyFill="1" applyBorder="1" applyAlignment="1">
      <alignment horizontal="center"/>
    </xf>
    <xf numFmtId="0" fontId="22" fillId="0" borderId="13" xfId="0" applyFont="1" applyBorder="1" applyAlignment="1">
      <alignment horizontal="center"/>
    </xf>
    <xf numFmtId="0" fontId="9" fillId="0" borderId="0" xfId="0" quotePrefix="1" applyFont="1" applyAlignment="1">
      <alignment horizontal="left" vertical="top" wrapText="1"/>
    </xf>
    <xf numFmtId="3" fontId="5" fillId="2" borderId="10" xfId="0" applyNumberFormat="1" applyFont="1" applyFill="1" applyBorder="1" applyAlignment="1">
      <alignment horizontal="center" wrapText="1"/>
    </xf>
    <xf numFmtId="3" fontId="5" fillId="2" borderId="22" xfId="0" applyNumberFormat="1" applyFont="1" applyFill="1" applyBorder="1" applyAlignment="1">
      <alignment horizontal="center" vertical="center"/>
    </xf>
    <xf numFmtId="3" fontId="7" fillId="2" borderId="9" xfId="0" applyNumberFormat="1" applyFont="1" applyFill="1" applyBorder="1" applyAlignment="1">
      <alignment horizontal="center" vertical="center"/>
    </xf>
    <xf numFmtId="3" fontId="5" fillId="2" borderId="22" xfId="0" applyNumberFormat="1" applyFont="1" applyFill="1" applyBorder="1" applyAlignment="1">
      <alignment horizontal="center"/>
    </xf>
    <xf numFmtId="3" fontId="7" fillId="2" borderId="9" xfId="0" applyNumberFormat="1" applyFont="1" applyFill="1" applyBorder="1" applyAlignment="1">
      <alignment horizontal="center"/>
    </xf>
    <xf numFmtId="0" fontId="5" fillId="2" borderId="0" xfId="0" quotePrefix="1" applyFont="1" applyFill="1" applyAlignment="1">
      <alignment horizontal="left" vertical="top" wrapText="1"/>
    </xf>
    <xf numFmtId="0" fontId="7" fillId="2" borderId="0" xfId="0" quotePrefix="1" applyFont="1" applyFill="1" applyAlignment="1">
      <alignment horizontal="left" vertical="top" wrapText="1"/>
    </xf>
    <xf numFmtId="0" fontId="7" fillId="0" borderId="2" xfId="0" applyFont="1" applyBorder="1" applyAlignment="1">
      <alignment horizontal="center"/>
    </xf>
    <xf numFmtId="0" fontId="7" fillId="0" borderId="17" xfId="0" applyFont="1" applyBorder="1" applyAlignment="1">
      <alignment horizontal="center"/>
    </xf>
    <xf numFmtId="3" fontId="7" fillId="2" borderId="27" xfId="0" applyNumberFormat="1" applyFont="1" applyFill="1" applyBorder="1" applyAlignment="1">
      <alignment horizontal="center" vertical="center"/>
    </xf>
    <xf numFmtId="0" fontId="4" fillId="0" borderId="0" xfId="0" applyFont="1" applyAlignment="1">
      <alignment horizontal="left" vertical="top" wrapText="1"/>
    </xf>
    <xf numFmtId="0" fontId="7" fillId="2" borderId="22"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9" xfId="0" applyFont="1" applyFill="1" applyBorder="1" applyAlignment="1">
      <alignment horizontal="center" vertical="center"/>
    </xf>
    <xf numFmtId="3" fontId="7" fillId="0" borderId="22" xfId="0" applyNumberFormat="1" applyFont="1" applyBorder="1" applyAlignment="1">
      <alignment horizontal="center" vertical="center"/>
    </xf>
    <xf numFmtId="3" fontId="7" fillId="0" borderId="27" xfId="0" applyNumberFormat="1" applyFont="1" applyBorder="1" applyAlignment="1">
      <alignment horizontal="center" vertical="center"/>
    </xf>
    <xf numFmtId="3" fontId="7" fillId="0" borderId="9" xfId="0" applyNumberFormat="1" applyFont="1" applyBorder="1" applyAlignment="1">
      <alignment horizontal="center" vertical="center"/>
    </xf>
    <xf numFmtId="0" fontId="4" fillId="0" borderId="0" xfId="0" quotePrefix="1" applyFont="1" applyAlignment="1">
      <alignment horizontal="left" vertical="top" wrapText="1"/>
    </xf>
    <xf numFmtId="0" fontId="4" fillId="0" borderId="0" xfId="0" applyFont="1" applyAlignment="1">
      <alignment horizontal="left" vertical="top"/>
    </xf>
    <xf numFmtId="0" fontId="7" fillId="0" borderId="0" xfId="0" applyFont="1" applyAlignment="1">
      <alignment horizontal="left" vertical="top"/>
    </xf>
    <xf numFmtId="0" fontId="17" fillId="0" borderId="0" xfId="0" applyFont="1" applyAlignment="1">
      <alignment horizontal="center" vertical="top" wrapText="1"/>
    </xf>
    <xf numFmtId="0" fontId="17" fillId="0" borderId="0" xfId="0" applyFont="1" applyAlignment="1">
      <alignment horizontal="center" vertical="top"/>
    </xf>
    <xf numFmtId="0" fontId="12" fillId="0" borderId="0" xfId="0" applyFont="1" applyAlignment="1">
      <alignment horizontal="center" vertical="top" wrapText="1"/>
    </xf>
    <xf numFmtId="0" fontId="12" fillId="0" borderId="0" xfId="0" applyFont="1" applyAlignment="1">
      <alignment horizontal="center" vertical="top"/>
    </xf>
    <xf numFmtId="0" fontId="4" fillId="2" borderId="0" xfId="0" applyFont="1" applyFill="1" applyAlignment="1">
      <alignment horizontal="left" vertical="top" wrapText="1"/>
    </xf>
    <xf numFmtId="3" fontId="7" fillId="0" borderId="10" xfId="0" applyNumberFormat="1" applyFont="1" applyBorder="1" applyAlignment="1">
      <alignment horizontal="center" wrapText="1"/>
    </xf>
    <xf numFmtId="3" fontId="7" fillId="0" borderId="14" xfId="0" applyNumberFormat="1" applyFont="1" applyBorder="1" applyAlignment="1">
      <alignment horizontal="center" wrapText="1"/>
    </xf>
    <xf numFmtId="0" fontId="7" fillId="0" borderId="22" xfId="0" applyFont="1" applyBorder="1" applyAlignment="1">
      <alignment horizontal="center"/>
    </xf>
    <xf numFmtId="0" fontId="7" fillId="0" borderId="27" xfId="0" applyFont="1" applyBorder="1" applyAlignment="1">
      <alignment horizontal="center"/>
    </xf>
    <xf numFmtId="0" fontId="7" fillId="0" borderId="9" xfId="0" applyFont="1" applyBorder="1" applyAlignment="1">
      <alignment horizontal="center"/>
    </xf>
    <xf numFmtId="3" fontId="4" fillId="2" borderId="21" xfId="0" applyNumberFormat="1" applyFont="1" applyFill="1" applyBorder="1" applyAlignment="1">
      <alignment horizontal="center" vertical="center"/>
    </xf>
    <xf numFmtId="3" fontId="7" fillId="2" borderId="15" xfId="0" applyNumberFormat="1" applyFont="1" applyFill="1" applyBorder="1" applyAlignment="1">
      <alignment horizontal="center" vertical="center"/>
    </xf>
    <xf numFmtId="0" fontId="20" fillId="4" borderId="22" xfId="0" applyFont="1" applyFill="1" applyBorder="1" applyAlignment="1">
      <alignment horizontal="center" vertical="center"/>
    </xf>
    <xf numFmtId="0" fontId="20" fillId="4" borderId="9" xfId="0" applyFont="1" applyFill="1" applyBorder="1" applyAlignment="1">
      <alignment horizontal="center" vertical="center"/>
    </xf>
    <xf numFmtId="3" fontId="4" fillId="2" borderId="19" xfId="0" applyNumberFormat="1" applyFont="1" applyFill="1" applyBorder="1" applyAlignment="1">
      <alignment horizontal="center" vertical="center"/>
    </xf>
    <xf numFmtId="3" fontId="7" fillId="2" borderId="11" xfId="0" applyNumberFormat="1" applyFont="1" applyFill="1" applyBorder="1" applyAlignment="1">
      <alignment horizontal="center" vertical="center"/>
    </xf>
    <xf numFmtId="0" fontId="38" fillId="2" borderId="10" xfId="0" applyFont="1" applyFill="1" applyBorder="1" applyAlignment="1">
      <alignment horizontal="center" wrapText="1"/>
    </xf>
    <xf numFmtId="0" fontId="38" fillId="2" borderId="14" xfId="0" applyFont="1" applyFill="1" applyBorder="1" applyAlignment="1">
      <alignment horizontal="center" wrapText="1"/>
    </xf>
    <xf numFmtId="0" fontId="38" fillId="2" borderId="11" xfId="0" applyFont="1" applyFill="1" applyBorder="1" applyAlignment="1">
      <alignment horizontal="center" wrapText="1"/>
    </xf>
    <xf numFmtId="0" fontId="38" fillId="2" borderId="15" xfId="0" applyFont="1" applyFill="1" applyBorder="1" applyAlignment="1">
      <alignment horizontal="center" wrapText="1"/>
    </xf>
    <xf numFmtId="0" fontId="1" fillId="0" borderId="0" xfId="0" applyFont="1"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'p-p and Histogram'!$C$42:$C$46</c:f>
              <c:strCache>
                <c:ptCount val="5"/>
                <c:pt idx="0">
                  <c:v>0-20</c:v>
                </c:pt>
                <c:pt idx="1">
                  <c:v>20-40</c:v>
                </c:pt>
                <c:pt idx="2">
                  <c:v>40-60</c:v>
                </c:pt>
                <c:pt idx="3">
                  <c:v>60-80</c:v>
                </c:pt>
                <c:pt idx="4">
                  <c:v>80-100</c:v>
                </c:pt>
              </c:strCache>
            </c:strRef>
          </c:cat>
          <c:val>
            <c:numRef>
              <c:f>'p-p and Histogram'!$D$42:$D$46</c:f>
              <c:numCache>
                <c:formatCode>General</c:formatCode>
                <c:ptCount val="5"/>
                <c:pt idx="0">
                  <c:v>4</c:v>
                </c:pt>
                <c:pt idx="1">
                  <c:v>1</c:v>
                </c:pt>
                <c:pt idx="2">
                  <c:v>1</c:v>
                </c:pt>
                <c:pt idx="3">
                  <c:v>1</c:v>
                </c:pt>
                <c:pt idx="4">
                  <c:v>3</c:v>
                </c:pt>
              </c:numCache>
            </c:numRef>
          </c:val>
          <c:extLst>
            <c:ext xmlns:c16="http://schemas.microsoft.com/office/drawing/2014/chart" uri="{C3380CC4-5D6E-409C-BE32-E72D297353CC}">
              <c16:uniqueId val="{00000000-C479-9E4F-BBBC-CC4686245222}"/>
            </c:ext>
          </c:extLst>
        </c:ser>
        <c:dLbls>
          <c:showLegendKey val="0"/>
          <c:showVal val="0"/>
          <c:showCatName val="0"/>
          <c:showSerName val="0"/>
          <c:showPercent val="0"/>
          <c:showBubbleSize val="0"/>
        </c:dLbls>
        <c:gapWidth val="219"/>
        <c:overlap val="-27"/>
        <c:axId val="295320768"/>
        <c:axId val="295321152"/>
      </c:barChart>
      <c:catAx>
        <c:axId val="29532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95321152"/>
        <c:crosses val="autoZero"/>
        <c:auto val="1"/>
        <c:lblAlgn val="ctr"/>
        <c:lblOffset val="100"/>
        <c:noMultiLvlLbl val="0"/>
      </c:catAx>
      <c:valAx>
        <c:axId val="29532115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9532076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b="0">
                <a:latin typeface="Myriad Pro"/>
                <a:cs typeface="Myriad Pro"/>
              </a:defRPr>
            </a:pPr>
            <a:r>
              <a:rPr lang="en-US" sz="1400" b="0">
                <a:latin typeface="Myriad Pro"/>
                <a:cs typeface="Myriad Pro"/>
              </a:rPr>
              <a:t>p-p Plot</a:t>
            </a:r>
          </a:p>
        </c:rich>
      </c:tx>
      <c:layout>
        <c:manualLayout>
          <c:xMode val="edge"/>
          <c:yMode val="edge"/>
          <c:x val="0.44344644419447599"/>
          <c:y val="6.43584135316419E-2"/>
        </c:manualLayout>
      </c:layout>
      <c:overlay val="0"/>
    </c:title>
    <c:autoTitleDeleted val="0"/>
    <c:plotArea>
      <c:layout>
        <c:manualLayout>
          <c:layoutTarget val="inner"/>
          <c:xMode val="edge"/>
          <c:yMode val="edge"/>
          <c:x val="0.20241902751846699"/>
          <c:y val="0.141949581346346"/>
          <c:w val="0.70791432320959902"/>
          <c:h val="0.65431078059686998"/>
        </c:manualLayout>
      </c:layout>
      <c:scatterChart>
        <c:scatterStyle val="smoothMarker"/>
        <c:varyColors val="0"/>
        <c:ser>
          <c:idx val="1"/>
          <c:order val="1"/>
          <c:tx>
            <c:v>Expected</c:v>
          </c:tx>
          <c:spPr>
            <a:ln w="12700">
              <a:solidFill>
                <a:schemeClr val="tx1"/>
              </a:solidFill>
            </a:ln>
          </c:spPr>
          <c:marker>
            <c:symbol val="none"/>
          </c:marker>
          <c:xVal>
            <c:numRef>
              <c:f>'p-p and Histogram'!$F$74:$F$83</c:f>
              <c:numCache>
                <c:formatCode>0.0</c:formatCode>
                <c:ptCount val="10"/>
                <c:pt idx="0">
                  <c:v>9.0909090909090917</c:v>
                </c:pt>
                <c:pt idx="1">
                  <c:v>18.181818181818183</c:v>
                </c:pt>
                <c:pt idx="2">
                  <c:v>27.272727272727273</c:v>
                </c:pt>
                <c:pt idx="3">
                  <c:v>36.363636363636367</c:v>
                </c:pt>
                <c:pt idx="4">
                  <c:v>45.454545454545453</c:v>
                </c:pt>
                <c:pt idx="5">
                  <c:v>54.545454545454547</c:v>
                </c:pt>
                <c:pt idx="6">
                  <c:v>63.636363636363633</c:v>
                </c:pt>
                <c:pt idx="7">
                  <c:v>72.727272727272734</c:v>
                </c:pt>
                <c:pt idx="8">
                  <c:v>81.818181818181813</c:v>
                </c:pt>
                <c:pt idx="9">
                  <c:v>90.909090909090907</c:v>
                </c:pt>
              </c:numCache>
            </c:numRef>
          </c:xVal>
          <c:yVal>
            <c:numRef>
              <c:f>'p-p and Histogram'!$F$74:$F$83</c:f>
              <c:numCache>
                <c:formatCode>0.0</c:formatCode>
                <c:ptCount val="10"/>
                <c:pt idx="0">
                  <c:v>9.0909090909090917</c:v>
                </c:pt>
                <c:pt idx="1">
                  <c:v>18.181818181818183</c:v>
                </c:pt>
                <c:pt idx="2">
                  <c:v>27.272727272727273</c:v>
                </c:pt>
                <c:pt idx="3">
                  <c:v>36.363636363636367</c:v>
                </c:pt>
                <c:pt idx="4">
                  <c:v>45.454545454545453</c:v>
                </c:pt>
                <c:pt idx="5">
                  <c:v>54.545454545454547</c:v>
                </c:pt>
                <c:pt idx="6">
                  <c:v>63.636363636363633</c:v>
                </c:pt>
                <c:pt idx="7">
                  <c:v>72.727272727272734</c:v>
                </c:pt>
                <c:pt idx="8">
                  <c:v>81.818181818181813</c:v>
                </c:pt>
                <c:pt idx="9">
                  <c:v>90.909090909090907</c:v>
                </c:pt>
              </c:numCache>
            </c:numRef>
          </c:yVal>
          <c:smooth val="1"/>
          <c:extLst>
            <c:ext xmlns:c16="http://schemas.microsoft.com/office/drawing/2014/chart" uri="{C3380CC4-5D6E-409C-BE32-E72D297353CC}">
              <c16:uniqueId val="{00000000-D008-CB41-870E-1611E3A6C5B3}"/>
            </c:ext>
          </c:extLst>
        </c:ser>
        <c:dLbls>
          <c:showLegendKey val="0"/>
          <c:showVal val="0"/>
          <c:showCatName val="0"/>
          <c:showSerName val="0"/>
          <c:showPercent val="0"/>
          <c:showBubbleSize val="0"/>
        </c:dLbls>
        <c:axId val="295305480"/>
        <c:axId val="295905664"/>
      </c:scatterChart>
      <c:scatterChart>
        <c:scatterStyle val="lineMarker"/>
        <c:varyColors val="0"/>
        <c:ser>
          <c:idx val="0"/>
          <c:order val="0"/>
          <c:tx>
            <c:v>p-p</c:v>
          </c:tx>
          <c:spPr>
            <a:ln w="31750">
              <a:noFill/>
            </a:ln>
          </c:spPr>
          <c:marker>
            <c:symbol val="diamond"/>
            <c:size val="7"/>
            <c:spPr>
              <a:solidFill>
                <a:schemeClr val="tx1"/>
              </a:solidFill>
              <a:ln cmpd="sng">
                <a:solidFill>
                  <a:schemeClr val="tx1"/>
                </a:solidFill>
              </a:ln>
              <a:effectLst/>
            </c:spPr>
          </c:marker>
          <c:xVal>
            <c:numRef>
              <c:f>'p-p and Histogram'!$F$74:$F$83</c:f>
              <c:numCache>
                <c:formatCode>0.0</c:formatCode>
                <c:ptCount val="10"/>
                <c:pt idx="0">
                  <c:v>9.0909090909090917</c:v>
                </c:pt>
                <c:pt idx="1">
                  <c:v>18.181818181818183</c:v>
                </c:pt>
                <c:pt idx="2">
                  <c:v>27.272727272727273</c:v>
                </c:pt>
                <c:pt idx="3">
                  <c:v>36.363636363636367</c:v>
                </c:pt>
                <c:pt idx="4">
                  <c:v>45.454545454545453</c:v>
                </c:pt>
                <c:pt idx="5">
                  <c:v>54.545454545454547</c:v>
                </c:pt>
                <c:pt idx="6">
                  <c:v>63.636363636363633</c:v>
                </c:pt>
                <c:pt idx="7">
                  <c:v>72.727272727272734</c:v>
                </c:pt>
                <c:pt idx="8">
                  <c:v>81.818181818181813</c:v>
                </c:pt>
                <c:pt idx="9">
                  <c:v>90.909090909090907</c:v>
                </c:pt>
              </c:numCache>
            </c:numRef>
          </c:xVal>
          <c:yVal>
            <c:numRef>
              <c:f>'p-p and Histogram'!$E$74:$E$83</c:f>
              <c:numCache>
                <c:formatCode>General</c:formatCode>
                <c:ptCount val="10"/>
                <c:pt idx="0">
                  <c:v>0.4</c:v>
                </c:pt>
                <c:pt idx="1">
                  <c:v>2.1</c:v>
                </c:pt>
                <c:pt idx="2">
                  <c:v>8.6999999999999993</c:v>
                </c:pt>
                <c:pt idx="3">
                  <c:v>9.6999999999999993</c:v>
                </c:pt>
                <c:pt idx="4">
                  <c:v>22.7</c:v>
                </c:pt>
                <c:pt idx="5">
                  <c:v>45.6</c:v>
                </c:pt>
                <c:pt idx="6">
                  <c:v>68.400000000000006</c:v>
                </c:pt>
                <c:pt idx="7">
                  <c:v>87.4</c:v>
                </c:pt>
                <c:pt idx="8">
                  <c:v>92.6</c:v>
                </c:pt>
                <c:pt idx="9">
                  <c:v>93.6</c:v>
                </c:pt>
              </c:numCache>
            </c:numRef>
          </c:yVal>
          <c:smooth val="1"/>
          <c:extLst>
            <c:ext xmlns:c16="http://schemas.microsoft.com/office/drawing/2014/chart" uri="{C3380CC4-5D6E-409C-BE32-E72D297353CC}">
              <c16:uniqueId val="{00000001-D008-CB41-870E-1611E3A6C5B3}"/>
            </c:ext>
          </c:extLst>
        </c:ser>
        <c:dLbls>
          <c:showLegendKey val="0"/>
          <c:showVal val="0"/>
          <c:showCatName val="0"/>
          <c:showSerName val="0"/>
          <c:showPercent val="0"/>
          <c:showBubbleSize val="0"/>
        </c:dLbls>
        <c:axId val="295305480"/>
        <c:axId val="295905664"/>
      </c:scatterChart>
      <c:valAx>
        <c:axId val="295305480"/>
        <c:scaling>
          <c:orientation val="minMax"/>
          <c:max val="100"/>
          <c:min val="0"/>
        </c:scaling>
        <c:delete val="0"/>
        <c:axPos val="b"/>
        <c:title>
          <c:tx>
            <c:rich>
              <a:bodyPr/>
              <a:lstStyle/>
              <a:p>
                <a:pPr>
                  <a:defRPr sz="1100">
                    <a:latin typeface="Adobe Caslon Pro"/>
                    <a:cs typeface="Adobe Caslon Pro"/>
                  </a:defRPr>
                </a:pPr>
                <a:r>
                  <a:rPr lang="en-US" sz="1100">
                    <a:latin typeface="Calibri" panose="020F0502020204030204" pitchFamily="34" charset="0"/>
                    <a:cs typeface="Calibri" panose="020F0502020204030204" pitchFamily="34" charset="0"/>
                  </a:rPr>
                  <a:t>Expected Percentile</a:t>
                </a:r>
              </a:p>
            </c:rich>
          </c:tx>
          <c:layout>
            <c:manualLayout>
              <c:xMode val="edge"/>
              <c:yMode val="edge"/>
              <c:x val="0.37852955880514899"/>
              <c:y val="0.9"/>
            </c:manualLayout>
          </c:layout>
          <c:overlay val="0"/>
        </c:title>
        <c:numFmt formatCode="0" sourceLinked="0"/>
        <c:majorTickMark val="cross"/>
        <c:minorTickMark val="none"/>
        <c:tickLblPos val="low"/>
        <c:spPr>
          <a:ln>
            <a:solidFill>
              <a:schemeClr val="tx1"/>
            </a:solidFill>
          </a:ln>
        </c:spPr>
        <c:txPr>
          <a:bodyPr anchor="t" anchorCtr="0"/>
          <a:lstStyle/>
          <a:p>
            <a:pPr lvl="0">
              <a:defRPr sz="1100">
                <a:latin typeface="Calibri" panose="020F0502020204030204" pitchFamily="34" charset="0"/>
                <a:cs typeface="Calibri" panose="020F0502020204030204" pitchFamily="34" charset="0"/>
              </a:defRPr>
            </a:pPr>
            <a:endParaRPr lang="en-US"/>
          </a:p>
        </c:txPr>
        <c:crossAx val="295905664"/>
        <c:crosses val="autoZero"/>
        <c:crossBetween val="midCat"/>
        <c:majorUnit val="20"/>
      </c:valAx>
      <c:valAx>
        <c:axId val="295905664"/>
        <c:scaling>
          <c:orientation val="minMax"/>
          <c:max val="100"/>
          <c:min val="0"/>
        </c:scaling>
        <c:delete val="0"/>
        <c:axPos val="l"/>
        <c:title>
          <c:tx>
            <c:rich>
              <a:bodyPr rot="-5400000" vert="horz"/>
              <a:lstStyle/>
              <a:p>
                <a:pPr>
                  <a:defRPr sz="1100">
                    <a:latin typeface="Adobe Caslon Pro"/>
                    <a:cs typeface="Adobe Caslon Pro"/>
                  </a:defRPr>
                </a:pPr>
                <a:r>
                  <a:rPr lang="en-US" sz="1100">
                    <a:latin typeface="Calibri" panose="020F0502020204030204" pitchFamily="34" charset="0"/>
                    <a:cs typeface="Calibri" panose="020F0502020204030204" pitchFamily="34" charset="0"/>
                  </a:rPr>
                  <a:t>Sorted Percentile</a:t>
                </a:r>
              </a:p>
            </c:rich>
          </c:tx>
          <c:layout>
            <c:manualLayout>
              <c:xMode val="edge"/>
              <c:yMode val="edge"/>
              <c:x val="2.4883452068491439E-2"/>
              <c:y val="0.18879339206260368"/>
            </c:manualLayout>
          </c:layout>
          <c:overlay val="0"/>
        </c:title>
        <c:numFmt formatCode="0" sourceLinked="0"/>
        <c:majorTickMark val="cross"/>
        <c:minorTickMark val="none"/>
        <c:tickLblPos val="nextTo"/>
        <c:spPr>
          <a:ln>
            <a:solidFill>
              <a:schemeClr val="tx1"/>
            </a:solidFill>
          </a:ln>
        </c:spPr>
        <c:txPr>
          <a:bodyPr/>
          <a:lstStyle/>
          <a:p>
            <a:pPr lvl="0">
              <a:defRPr sz="1100">
                <a:latin typeface="Calibri" panose="020F0502020204030204" pitchFamily="34" charset="0"/>
                <a:cs typeface="Calibri" panose="020F0502020204030204" pitchFamily="34" charset="0"/>
              </a:defRPr>
            </a:pPr>
            <a:endParaRPr lang="en-US"/>
          </a:p>
        </c:txPr>
        <c:crossAx val="295305480"/>
        <c:crosses val="autoZero"/>
        <c:crossBetween val="midCat"/>
      </c:valAx>
    </c:plotArea>
    <c:plotVisOnly val="1"/>
    <c:dispBlanksAs val="gap"/>
    <c:showDLblsOverMax val="1"/>
  </c:chart>
  <c:spPr>
    <a:ln>
      <a:no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44679</xdr:colOff>
      <xdr:row>48</xdr:row>
      <xdr:rowOff>112462</xdr:rowOff>
    </xdr:from>
    <xdr:to>
      <xdr:col>6</xdr:col>
      <xdr:colOff>200987</xdr:colOff>
      <xdr:row>60</xdr:row>
      <xdr:rowOff>33331</xdr:rowOff>
    </xdr:to>
    <xdr:graphicFrame macro="">
      <xdr:nvGraphicFramePr>
        <xdr:cNvPr id="2" name="Chart 1">
          <a:extLst>
            <a:ext uri="{FF2B5EF4-FFF2-40B4-BE49-F238E27FC236}">
              <a16:creationId xmlns:a16="http://schemas.microsoft.com/office/drawing/2014/main" id="{02736F9B-CC05-AE41-94F2-251A2AA98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37353</xdr:colOff>
      <xdr:row>90</xdr:row>
      <xdr:rowOff>113856</xdr:rowOff>
    </xdr:from>
    <xdr:to>
      <xdr:col>5</xdr:col>
      <xdr:colOff>746600</xdr:colOff>
      <xdr:row>100</xdr:row>
      <xdr:rowOff>24139</xdr:rowOff>
    </xdr:to>
    <xdr:graphicFrame macro="">
      <xdr:nvGraphicFramePr>
        <xdr:cNvPr id="3" name="Chart 2" title="Chart">
          <a:extLst>
            <a:ext uri="{FF2B5EF4-FFF2-40B4-BE49-F238E27FC236}">
              <a16:creationId xmlns:a16="http://schemas.microsoft.com/office/drawing/2014/main" id="{81D5A025-A343-324C-A6C3-CD015CEE1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201084</xdr:colOff>
      <xdr:row>64</xdr:row>
      <xdr:rowOff>116416</xdr:rowOff>
    </xdr:from>
    <xdr:to>
      <xdr:col>4</xdr:col>
      <xdr:colOff>447614</xdr:colOff>
      <xdr:row>66</xdr:row>
      <xdr:rowOff>182942</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1FC26706-3DCE-984B-B83D-5794243D8060}"/>
                </a:ext>
              </a:extLst>
            </xdr:cNvPr>
            <xdr:cNvSpPr txBox="1"/>
          </xdr:nvSpPr>
          <xdr:spPr>
            <a:xfrm>
              <a:off x="1026584" y="13438716"/>
              <a:ext cx="2723030" cy="4729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𝑒</m:t>
                            </m:r>
                          </m:e>
                          <m:sub>
                            <m:r>
                              <a:rPr lang="en-PH" sz="1100" i="1">
                                <a:solidFill>
                                  <a:schemeClr val="tx1"/>
                                </a:solidFill>
                                <a:effectLst/>
                                <a:latin typeface="Cambria Math" panose="02040503050406030204" pitchFamily="18" charset="0"/>
                                <a:ea typeface="+mn-ea"/>
                                <a:cs typeface="+mn-cs"/>
                              </a:rPr>
                              <m:t>𝑖</m:t>
                            </m:r>
                          </m:sub>
                        </m:sSub>
                      </m:e>
                    </m:d>
                    <m:r>
                      <a:rPr lang="en-PH" sz="1100" i="1">
                        <a:solidFill>
                          <a:schemeClr val="tx1"/>
                        </a:solidFill>
                        <a:effectLst/>
                        <a:latin typeface="Cambria Math" panose="02040503050406030204" pitchFamily="18" charset="0"/>
                        <a:ea typeface="+mn-ea"/>
                        <a:cs typeface="+mn-cs"/>
                      </a:rPr>
                      <m:t>=100×</m:t>
                    </m:r>
                    <m:d>
                      <m:dPr>
                        <m:begChr m:val="{"/>
                        <m:endChr m:val="}"/>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m:t>
                            </m:r>
                          </m:num>
                          <m:den>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e>
                            </m:d>
                          </m:den>
                        </m:f>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2</m:t>
                            </m:r>
                          </m:num>
                          <m:den>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e>
                            </m:d>
                          </m:den>
                        </m:f>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𝑛</m:t>
                            </m:r>
                          </m:num>
                          <m:den>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e>
                            </m:d>
                          </m:den>
                        </m:f>
                      </m:e>
                    </m:d>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1FC26706-3DCE-984B-B83D-5794243D8060}"/>
                </a:ext>
              </a:extLst>
            </xdr:cNvPr>
            <xdr:cNvSpPr txBox="1"/>
          </xdr:nvSpPr>
          <xdr:spPr>
            <a:xfrm>
              <a:off x="1026584" y="13438716"/>
              <a:ext cx="2723030" cy="4729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{𝑒_𝑖 }=100×{1/((𝑛+1) ),2/((𝑛+1) ),…,𝑛/((𝑛+1)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296334</xdr:colOff>
      <xdr:row>67</xdr:row>
      <xdr:rowOff>126999</xdr:rowOff>
    </xdr:from>
    <xdr:ext cx="939744"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895898D-DC2C-BA4F-B0C2-B73792B2EF55}"/>
                </a:ext>
              </a:extLst>
            </xdr:cNvPr>
            <xdr:cNvSpPr txBox="1"/>
          </xdr:nvSpPr>
          <xdr:spPr>
            <a:xfrm>
              <a:off x="1121834" y="14058899"/>
              <a:ext cx="93974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𝑑𝑎𝑡𝑎𝑠𝑒𝑡𝑠</m:t>
                    </m:r>
                  </m:oMath>
                </m:oMathPara>
              </a14:m>
              <a:endParaRPr lang="en-PH"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A895898D-DC2C-BA4F-B0C2-B73792B2EF55}"/>
                </a:ext>
              </a:extLst>
            </xdr:cNvPr>
            <xdr:cNvSpPr txBox="1"/>
          </xdr:nvSpPr>
          <xdr:spPr>
            <a:xfrm>
              <a:off x="1121834" y="14058899"/>
              <a:ext cx="93974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𝑛=#𝑑𝑎𝑡𝑎𝑠𝑒𝑡𝑠</a:t>
              </a:r>
              <a:endParaRPr lang="en-PH" sz="1100">
                <a:solidFill>
                  <a:schemeClr val="tx1"/>
                </a:solidFill>
                <a:effectLst/>
                <a:latin typeface="+mn-lt"/>
                <a:ea typeface="+mn-ea"/>
                <a:cs typeface="+mn-cs"/>
              </a:endParaRPr>
            </a:p>
          </xdr:txBody>
        </xdr:sp>
      </mc:Fallback>
    </mc:AlternateContent>
    <xdr:clientData/>
  </xdr:oneCellAnchor>
  <xdr:oneCellAnchor>
    <xdr:from>
      <xdr:col>1</xdr:col>
      <xdr:colOff>209177</xdr:colOff>
      <xdr:row>68</xdr:row>
      <xdr:rowOff>158750</xdr:rowOff>
    </xdr:from>
    <xdr:ext cx="1970861" cy="32079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9AE953A-2FA8-0948-8F4C-D357EFAC2546}"/>
                </a:ext>
              </a:extLst>
            </xdr:cNvPr>
            <xdr:cNvSpPr txBox="1"/>
          </xdr:nvSpPr>
          <xdr:spPr>
            <a:xfrm>
              <a:off x="1034677" y="14293850"/>
              <a:ext cx="1970861" cy="32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𝑃𝑒𝑟𝑐𝑒𝑛𝑡𝑖𝑙𝑒</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100×</m:t>
                        </m:r>
                        <m:r>
                          <a:rPr lang="en-PH" sz="1100" i="1">
                            <a:solidFill>
                              <a:schemeClr val="tx1"/>
                            </a:solidFill>
                            <a:effectLst/>
                            <a:latin typeface="Cambria Math" panose="02040503050406030204" pitchFamily="18" charset="0"/>
                            <a:ea typeface="+mn-ea"/>
                            <a:cs typeface="+mn-cs"/>
                          </a:rPr>
                          <m:t>𝑖</m:t>
                        </m:r>
                      </m:num>
                      <m:den>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den>
                    </m:f>
                  </m:oMath>
                </m:oMathPara>
              </a14:m>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E9AE953A-2FA8-0948-8F4C-D357EFAC2546}"/>
                </a:ext>
              </a:extLst>
            </xdr:cNvPr>
            <xdr:cNvSpPr txBox="1"/>
          </xdr:nvSpPr>
          <xdr:spPr>
            <a:xfrm>
              <a:off x="1034677" y="14293850"/>
              <a:ext cx="1970861" cy="32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𝐸𝑥𝑝𝑒𝑐𝑡𝑒𝑑 〖𝑃𝑒𝑟𝑐𝑒𝑛𝑡𝑖𝑙𝑒〗_𝑖=(100×𝑖)/(𝑛+1)</a:t>
              </a:r>
              <a:endParaRPr lang="en-PH" sz="1100">
                <a:solidFill>
                  <a:schemeClr val="tx1"/>
                </a:solidFill>
                <a:effectLst/>
                <a:latin typeface="+mn-lt"/>
                <a:ea typeface="+mn-ea"/>
                <a:cs typeface="+mn-cs"/>
              </a:endParaRPr>
            </a:p>
          </xdr:txBody>
        </xdr:sp>
      </mc:Fallback>
    </mc:AlternateContent>
    <xdr:clientData/>
  </xdr:oneCellAnchor>
  <xdr:twoCellAnchor editAs="oneCell">
    <xdr:from>
      <xdr:col>1</xdr:col>
      <xdr:colOff>529166</xdr:colOff>
      <xdr:row>139</xdr:row>
      <xdr:rowOff>74084</xdr:rowOff>
    </xdr:from>
    <xdr:to>
      <xdr:col>7</xdr:col>
      <xdr:colOff>233891</xdr:colOff>
      <xdr:row>153</xdr:row>
      <xdr:rowOff>30057</xdr:rowOff>
    </xdr:to>
    <xdr:pic>
      <xdr:nvPicPr>
        <xdr:cNvPr id="7" name="Picture 6">
          <a:extLst>
            <a:ext uri="{FF2B5EF4-FFF2-40B4-BE49-F238E27FC236}">
              <a16:creationId xmlns:a16="http://schemas.microsoft.com/office/drawing/2014/main" id="{276CBF3E-BC4E-4345-B23A-DDA44A1C20EF}"/>
            </a:ext>
          </a:extLst>
        </xdr:cNvPr>
        <xdr:cNvPicPr>
          <a:picLocks noChangeAspect="1"/>
        </xdr:cNvPicPr>
      </xdr:nvPicPr>
      <xdr:blipFill>
        <a:blip xmlns:r="http://schemas.openxmlformats.org/officeDocument/2006/relationships" r:embed="rId3"/>
        <a:stretch>
          <a:fillRect/>
        </a:stretch>
      </xdr:blipFill>
      <xdr:spPr>
        <a:xfrm>
          <a:off x="1354666" y="28636384"/>
          <a:ext cx="4657725" cy="28007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48846</xdr:rowOff>
    </xdr:from>
    <xdr:to>
      <xdr:col>4</xdr:col>
      <xdr:colOff>455247</xdr:colOff>
      <xdr:row>16</xdr:row>
      <xdr:rowOff>120162</xdr:rowOff>
    </xdr:to>
    <xdr:pic>
      <xdr:nvPicPr>
        <xdr:cNvPr id="2" name="Picture 1">
          <a:extLst>
            <a:ext uri="{FF2B5EF4-FFF2-40B4-BE49-F238E27FC236}">
              <a16:creationId xmlns:a16="http://schemas.microsoft.com/office/drawing/2014/main" id="{DA04E234-B833-784A-880D-81FD3EB22411}"/>
            </a:ext>
          </a:extLst>
        </xdr:cNvPr>
        <xdr:cNvPicPr>
          <a:picLocks noChangeAspect="1"/>
        </xdr:cNvPicPr>
      </xdr:nvPicPr>
      <xdr:blipFill>
        <a:blip xmlns:r="http://schemas.openxmlformats.org/officeDocument/2006/relationships" r:embed="rId1"/>
        <a:stretch>
          <a:fillRect/>
        </a:stretch>
      </xdr:blipFill>
      <xdr:spPr>
        <a:xfrm>
          <a:off x="825500" y="1509346"/>
          <a:ext cx="2931747" cy="1900116"/>
        </a:xfrm>
        <a:prstGeom prst="rect">
          <a:avLst/>
        </a:prstGeom>
      </xdr:spPr>
    </xdr:pic>
    <xdr:clientData/>
  </xdr:twoCellAnchor>
  <xdr:twoCellAnchor editAs="oneCell">
    <xdr:from>
      <xdr:col>5</xdr:col>
      <xdr:colOff>781540</xdr:colOff>
      <xdr:row>7</xdr:row>
      <xdr:rowOff>39078</xdr:rowOff>
    </xdr:from>
    <xdr:to>
      <xdr:col>9</xdr:col>
      <xdr:colOff>406401</xdr:colOff>
      <xdr:row>16</xdr:row>
      <xdr:rowOff>110394</xdr:rowOff>
    </xdr:to>
    <xdr:pic>
      <xdr:nvPicPr>
        <xdr:cNvPr id="3" name="Picture 2">
          <a:extLst>
            <a:ext uri="{FF2B5EF4-FFF2-40B4-BE49-F238E27FC236}">
              <a16:creationId xmlns:a16="http://schemas.microsoft.com/office/drawing/2014/main" id="{9F1467A5-124C-1F46-88A6-BA3961A10109}"/>
            </a:ext>
          </a:extLst>
        </xdr:cNvPr>
        <xdr:cNvPicPr>
          <a:picLocks noChangeAspect="1"/>
        </xdr:cNvPicPr>
      </xdr:nvPicPr>
      <xdr:blipFill>
        <a:blip xmlns:r="http://schemas.openxmlformats.org/officeDocument/2006/relationships" r:embed="rId2"/>
        <a:stretch>
          <a:fillRect/>
        </a:stretch>
      </xdr:blipFill>
      <xdr:spPr>
        <a:xfrm>
          <a:off x="4909040" y="1499578"/>
          <a:ext cx="2926861" cy="1900116"/>
        </a:xfrm>
        <a:prstGeom prst="rect">
          <a:avLst/>
        </a:prstGeom>
      </xdr:spPr>
    </xdr:pic>
    <xdr:clientData/>
  </xdr:twoCellAnchor>
  <xdr:twoCellAnchor editAs="oneCell">
    <xdr:from>
      <xdr:col>0</xdr:col>
      <xdr:colOff>801077</xdr:colOff>
      <xdr:row>19</xdr:row>
      <xdr:rowOff>48846</xdr:rowOff>
    </xdr:from>
    <xdr:to>
      <xdr:col>4</xdr:col>
      <xdr:colOff>425939</xdr:colOff>
      <xdr:row>28</xdr:row>
      <xdr:rowOff>120161</xdr:rowOff>
    </xdr:to>
    <xdr:pic>
      <xdr:nvPicPr>
        <xdr:cNvPr id="4" name="Picture 3">
          <a:extLst>
            <a:ext uri="{FF2B5EF4-FFF2-40B4-BE49-F238E27FC236}">
              <a16:creationId xmlns:a16="http://schemas.microsoft.com/office/drawing/2014/main" id="{01DA34AD-123A-4244-99C0-9F5C6DE9CD62}"/>
            </a:ext>
          </a:extLst>
        </xdr:cNvPr>
        <xdr:cNvPicPr>
          <a:picLocks noChangeAspect="1"/>
        </xdr:cNvPicPr>
      </xdr:nvPicPr>
      <xdr:blipFill>
        <a:blip xmlns:r="http://schemas.openxmlformats.org/officeDocument/2006/relationships" r:embed="rId3"/>
        <a:stretch>
          <a:fillRect/>
        </a:stretch>
      </xdr:blipFill>
      <xdr:spPr>
        <a:xfrm>
          <a:off x="801077" y="3947746"/>
          <a:ext cx="2926862" cy="1900115"/>
        </a:xfrm>
        <a:prstGeom prst="rect">
          <a:avLst/>
        </a:prstGeom>
      </xdr:spPr>
    </xdr:pic>
    <xdr:clientData/>
  </xdr:twoCellAnchor>
  <xdr:twoCellAnchor editAs="oneCell">
    <xdr:from>
      <xdr:col>5</xdr:col>
      <xdr:colOff>762002</xdr:colOff>
      <xdr:row>19</xdr:row>
      <xdr:rowOff>39077</xdr:rowOff>
    </xdr:from>
    <xdr:to>
      <xdr:col>9</xdr:col>
      <xdr:colOff>386863</xdr:colOff>
      <xdr:row>28</xdr:row>
      <xdr:rowOff>110392</xdr:rowOff>
    </xdr:to>
    <xdr:pic>
      <xdr:nvPicPr>
        <xdr:cNvPr id="5" name="Picture 4">
          <a:extLst>
            <a:ext uri="{FF2B5EF4-FFF2-40B4-BE49-F238E27FC236}">
              <a16:creationId xmlns:a16="http://schemas.microsoft.com/office/drawing/2014/main" id="{2DBCD943-F26D-BC40-8306-BFC26A5A6C2D}"/>
            </a:ext>
          </a:extLst>
        </xdr:cNvPr>
        <xdr:cNvPicPr>
          <a:picLocks noChangeAspect="1"/>
        </xdr:cNvPicPr>
      </xdr:nvPicPr>
      <xdr:blipFill>
        <a:blip xmlns:r="http://schemas.openxmlformats.org/officeDocument/2006/relationships" r:embed="rId4"/>
        <a:stretch>
          <a:fillRect/>
        </a:stretch>
      </xdr:blipFill>
      <xdr:spPr>
        <a:xfrm>
          <a:off x="4889502" y="3937977"/>
          <a:ext cx="2926861" cy="1900115"/>
        </a:xfrm>
        <a:prstGeom prst="rect">
          <a:avLst/>
        </a:prstGeom>
      </xdr:spPr>
    </xdr:pic>
    <xdr:clientData/>
  </xdr:twoCellAnchor>
  <xdr:twoCellAnchor editAs="oneCell">
    <xdr:from>
      <xdr:col>3</xdr:col>
      <xdr:colOff>0</xdr:colOff>
      <xdr:row>31</xdr:row>
      <xdr:rowOff>0</xdr:rowOff>
    </xdr:from>
    <xdr:to>
      <xdr:col>6</xdr:col>
      <xdr:colOff>455246</xdr:colOff>
      <xdr:row>40</xdr:row>
      <xdr:rowOff>71315</xdr:rowOff>
    </xdr:to>
    <xdr:pic>
      <xdr:nvPicPr>
        <xdr:cNvPr id="6" name="Picture 5">
          <a:extLst>
            <a:ext uri="{FF2B5EF4-FFF2-40B4-BE49-F238E27FC236}">
              <a16:creationId xmlns:a16="http://schemas.microsoft.com/office/drawing/2014/main" id="{2D0C9B40-1A12-EE44-959E-B9ED4FF0E741}"/>
            </a:ext>
          </a:extLst>
        </xdr:cNvPr>
        <xdr:cNvPicPr>
          <a:picLocks noChangeAspect="1"/>
        </xdr:cNvPicPr>
      </xdr:nvPicPr>
      <xdr:blipFill>
        <a:blip xmlns:r="http://schemas.openxmlformats.org/officeDocument/2006/relationships" r:embed="rId5"/>
        <a:stretch>
          <a:fillRect/>
        </a:stretch>
      </xdr:blipFill>
      <xdr:spPr>
        <a:xfrm>
          <a:off x="2476500" y="6337300"/>
          <a:ext cx="2931746" cy="19001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127000</xdr:colOff>
      <xdr:row>24</xdr:row>
      <xdr:rowOff>190500</xdr:rowOff>
    </xdr:from>
    <xdr:to>
      <xdr:col>2</xdr:col>
      <xdr:colOff>808038</xdr:colOff>
      <xdr:row>27</xdr:row>
      <xdr:rowOff>31346</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62A753B8-ED88-1F4A-9FDA-8E8F1483048B}"/>
                </a:ext>
              </a:extLst>
            </xdr:cNvPr>
            <xdr:cNvSpPr txBox="1"/>
          </xdr:nvSpPr>
          <xdr:spPr>
            <a:xfrm>
              <a:off x="952500" y="5384800"/>
              <a:ext cx="1506538" cy="4758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𝑐𝑟𝑖𝑡𝑖𝑐𝑎𝑙</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𝑣𝑎𝑙𝑢𝑒</m:t>
                        </m:r>
                      </m:e>
                      <m:sub>
                        <m:r>
                          <a:rPr lang="en-PH" sz="1100" i="1">
                            <a:solidFill>
                              <a:schemeClr val="tx1"/>
                            </a:solidFill>
                            <a:effectLst/>
                            <a:latin typeface="Cambria Math" panose="02040503050406030204" pitchFamily="18" charset="0"/>
                            <a:ea typeface="+mn-ea"/>
                            <a:cs typeface="+mn-cs"/>
                          </a:rPr>
                          <m:t>5%</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136</m:t>
                        </m:r>
                      </m:num>
                      <m:den>
                        <m:rad>
                          <m:radPr>
                            <m:degHide m:val="on"/>
                            <m:ctrlPr>
                              <a:rPr lang="en-PH" sz="1100" i="1">
                                <a:solidFill>
                                  <a:schemeClr val="tx1"/>
                                </a:solidFill>
                                <a:effectLst/>
                                <a:latin typeface="Cambria Math" panose="02040503050406030204" pitchFamily="18" charset="0"/>
                                <a:ea typeface="+mn-ea"/>
                                <a:cs typeface="+mn-cs"/>
                              </a:rPr>
                            </m:ctrlPr>
                          </m:radPr>
                          <m:deg/>
                          <m:e>
                            <m:r>
                              <a:rPr lang="en-PH" sz="1100" i="1">
                                <a:solidFill>
                                  <a:schemeClr val="tx1"/>
                                </a:solidFill>
                                <a:effectLst/>
                                <a:latin typeface="Cambria Math" panose="02040503050406030204" pitchFamily="18" charset="0"/>
                                <a:ea typeface="+mn-ea"/>
                                <a:cs typeface="+mn-cs"/>
                              </a:rPr>
                              <m:t>𝑛</m:t>
                            </m:r>
                          </m:e>
                        </m:rad>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62A753B8-ED88-1F4A-9FDA-8E8F1483048B}"/>
                </a:ext>
              </a:extLst>
            </xdr:cNvPr>
            <xdr:cNvSpPr txBox="1"/>
          </xdr:nvSpPr>
          <xdr:spPr>
            <a:xfrm>
              <a:off x="952500" y="5384800"/>
              <a:ext cx="1506538" cy="4758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〖𝑐𝑟𝑖𝑡𝑖𝑐𝑎𝑙 𝑣𝑎𝑙𝑢𝑒〗_(5%)=136/√𝑛</a:t>
              </a:r>
              <a:endParaRPr lang="en-PH" sz="1100">
                <a:solidFill>
                  <a:schemeClr val="tx1"/>
                </a:solidFill>
                <a:effectLst/>
                <a:latin typeface="+mn-lt"/>
                <a:ea typeface="+mn-ea"/>
                <a:cs typeface="+mn-cs"/>
              </a:endParaRPr>
            </a:p>
          </xdr:txBody>
        </xdr:sp>
      </mc:Fallback>
    </mc:AlternateContent>
    <xdr:clientData/>
  </xdr:twoCellAnchor>
  <xdr:oneCellAnchor>
    <xdr:from>
      <xdr:col>1</xdr:col>
      <xdr:colOff>127000</xdr:colOff>
      <xdr:row>27</xdr:row>
      <xdr:rowOff>148167</xdr:rowOff>
    </xdr:from>
    <xdr:ext cx="1087285"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E329CE-CD4A-8E40-8240-DDF0FEF24471}"/>
                </a:ext>
              </a:extLst>
            </xdr:cNvPr>
            <xdr:cNvSpPr txBox="1"/>
          </xdr:nvSpPr>
          <xdr:spPr>
            <a:xfrm>
              <a:off x="952500" y="5977467"/>
              <a:ext cx="108728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percentiles</m:t>
                    </m:r>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4CE329CE-CD4A-8E40-8240-DDF0FEF24471}"/>
                </a:ext>
              </a:extLst>
            </xdr:cNvPr>
            <xdr:cNvSpPr txBox="1"/>
          </xdr:nvSpPr>
          <xdr:spPr>
            <a:xfrm>
              <a:off x="952500" y="5977467"/>
              <a:ext cx="108728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𝑛=# percentiles</a:t>
              </a:r>
              <a:endParaRPr lang="en-PH" sz="1100">
                <a:solidFill>
                  <a:schemeClr val="tx1"/>
                </a:solidFill>
                <a:effectLst/>
                <a:latin typeface="+mn-lt"/>
                <a:ea typeface="+mn-ea"/>
                <a:cs typeface="+mn-cs"/>
              </a:endParaRPr>
            </a:p>
          </xdr:txBody>
        </xdr:sp>
      </mc:Fallback>
    </mc:AlternateContent>
    <xdr:clientData/>
  </xdr:oneCellAnchor>
  <xdr:twoCellAnchor>
    <xdr:from>
      <xdr:col>1</xdr:col>
      <xdr:colOff>158750</xdr:colOff>
      <xdr:row>38</xdr:row>
      <xdr:rowOff>0</xdr:rowOff>
    </xdr:from>
    <xdr:to>
      <xdr:col>3</xdr:col>
      <xdr:colOff>158750</xdr:colOff>
      <xdr:row>40</xdr:row>
      <xdr:rowOff>69887</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C9F20CF5-9496-D847-969A-41755413CC52}"/>
                </a:ext>
              </a:extLst>
            </xdr:cNvPr>
            <xdr:cNvSpPr txBox="1"/>
          </xdr:nvSpPr>
          <xdr:spPr>
            <a:xfrm>
              <a:off x="984250" y="7912100"/>
              <a:ext cx="1651000" cy="47628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𝑓</m:t>
                            </m:r>
                          </m:e>
                          <m:sub>
                            <m:r>
                              <a:rPr lang="en-PH" sz="1100" i="1">
                                <a:solidFill>
                                  <a:schemeClr val="tx1"/>
                                </a:solidFill>
                                <a:effectLst/>
                                <a:latin typeface="Cambria Math" panose="02040503050406030204" pitchFamily="18" charset="0"/>
                                <a:ea typeface="+mn-ea"/>
                                <a:cs typeface="+mn-cs"/>
                              </a:rPr>
                              <m:t>𝑖</m:t>
                            </m:r>
                          </m:sub>
                        </m:sSub>
                      </m:e>
                    </m:d>
                    <m:r>
                      <a:rPr lang="en-PH" sz="1100" i="1">
                        <a:solidFill>
                          <a:schemeClr val="tx1"/>
                        </a:solidFill>
                        <a:effectLst/>
                        <a:latin typeface="Cambria Math" panose="02040503050406030204" pitchFamily="18" charset="0"/>
                        <a:ea typeface="+mn-ea"/>
                        <a:cs typeface="+mn-cs"/>
                      </a:rPr>
                      <m:t>=100×</m:t>
                    </m:r>
                    <m:d>
                      <m:dPr>
                        <m:begChr m:val="{"/>
                        <m:endChr m:val="}"/>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m:t>
                            </m:r>
                          </m:num>
                          <m:den>
                            <m:r>
                              <a:rPr lang="en-PH" sz="1100" i="1">
                                <a:solidFill>
                                  <a:schemeClr val="tx1"/>
                                </a:solidFill>
                                <a:effectLst/>
                                <a:latin typeface="Cambria Math" panose="02040503050406030204" pitchFamily="18" charset="0"/>
                                <a:ea typeface="+mn-ea"/>
                                <a:cs typeface="+mn-cs"/>
                              </a:rPr>
                              <m:t>𝑛</m:t>
                            </m:r>
                          </m:den>
                        </m:f>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2</m:t>
                            </m:r>
                          </m:num>
                          <m:den>
                            <m:r>
                              <a:rPr lang="en-PH" sz="1100" i="1">
                                <a:solidFill>
                                  <a:schemeClr val="tx1"/>
                                </a:solidFill>
                                <a:effectLst/>
                                <a:latin typeface="Cambria Math" panose="02040503050406030204" pitchFamily="18" charset="0"/>
                                <a:ea typeface="+mn-ea"/>
                                <a:cs typeface="+mn-cs"/>
                              </a:rPr>
                              <m:t>𝑛</m:t>
                            </m:r>
                          </m:den>
                        </m:f>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𝑛</m:t>
                            </m:r>
                          </m:num>
                          <m:den>
                            <m:r>
                              <a:rPr lang="en-PH" sz="1100" i="1">
                                <a:solidFill>
                                  <a:schemeClr val="tx1"/>
                                </a:solidFill>
                                <a:effectLst/>
                                <a:latin typeface="Cambria Math" panose="02040503050406030204" pitchFamily="18" charset="0"/>
                                <a:ea typeface="+mn-ea"/>
                                <a:cs typeface="+mn-cs"/>
                              </a:rPr>
                              <m:t>𝑛</m:t>
                            </m:r>
                          </m:den>
                        </m:f>
                      </m:e>
                    </m:d>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C9F20CF5-9496-D847-969A-41755413CC52}"/>
                </a:ext>
              </a:extLst>
            </xdr:cNvPr>
            <xdr:cNvSpPr txBox="1"/>
          </xdr:nvSpPr>
          <xdr:spPr>
            <a:xfrm>
              <a:off x="984250" y="7912100"/>
              <a:ext cx="1651000" cy="47628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{𝑓_𝑖 }=100×{1/𝑛,2/𝑛,…,𝑛/𝑛}</a:t>
              </a:r>
              <a:endParaRPr lang="en-PH" sz="1100">
                <a:solidFill>
                  <a:schemeClr val="tx1"/>
                </a:solidFill>
                <a:effectLst/>
                <a:latin typeface="+mn-lt"/>
                <a:ea typeface="+mn-ea"/>
                <a:cs typeface="+mn-cs"/>
              </a:endParaRPr>
            </a:p>
          </xdr:txBody>
        </xdr:sp>
      </mc:Fallback>
    </mc:AlternateContent>
    <xdr:clientData/>
  </xdr:twoCellAnchor>
  <xdr:oneCellAnchor>
    <xdr:from>
      <xdr:col>4</xdr:col>
      <xdr:colOff>0</xdr:colOff>
      <xdr:row>38</xdr:row>
      <xdr:rowOff>84666</xdr:rowOff>
    </xdr:from>
    <xdr:ext cx="2177776" cy="3179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9BEEC40-84F5-9F41-A5AD-F55C92FD4DF5}"/>
                </a:ext>
              </a:extLst>
            </xdr:cNvPr>
            <xdr:cNvSpPr txBox="1"/>
          </xdr:nvSpPr>
          <xdr:spPr>
            <a:xfrm>
              <a:off x="3365500" y="7996766"/>
              <a:ext cx="2177776"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𝐾𝑆</m:t>
                    </m:r>
                    <m:r>
                      <a:rPr lang="en-PH" sz="1100">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𝐸𝑥𝑝𝑒𝑐𝑡𝑒𝑑</m:t>
                    </m:r>
                    <m:r>
                      <a:rPr lang="en-PH" sz="1100">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𝑃𝑒𝑟𝑐𝑒𝑛𝑡𝑖𝑙𝑒</m:t>
                        </m:r>
                      </m:e>
                      <m:sub>
                        <m:r>
                          <a:rPr lang="en-PH" sz="1100" i="1">
                            <a:solidFill>
                              <a:schemeClr val="tx1"/>
                            </a:solidFill>
                            <a:effectLst/>
                            <a:latin typeface="Cambria Math" panose="02040503050406030204" pitchFamily="18" charset="0"/>
                            <a:ea typeface="+mn-ea"/>
                            <a:cs typeface="+mn-cs"/>
                          </a:rPr>
                          <m:t>𝑖</m:t>
                        </m:r>
                      </m:sub>
                    </m:sSub>
                    <m:r>
                      <a:rPr lang="en-PH" sz="1100">
                        <a:solidFill>
                          <a:schemeClr val="tx1"/>
                        </a:solidFill>
                        <a:effectLst/>
                        <a:latin typeface="Cambria Math" panose="02040503050406030204" pitchFamily="18" charset="0"/>
                        <a:ea typeface="+mn-ea"/>
                        <a:cs typeface="+mn-cs"/>
                      </a:rPr>
                      <m:t>=</m:t>
                    </m:r>
                    <m:f>
                      <m:fPr>
                        <m:ctrlPr>
                          <a:rPr lang="en-PH" sz="1100">
                            <a:solidFill>
                              <a:schemeClr val="tx1"/>
                            </a:solidFill>
                            <a:effectLst/>
                            <a:latin typeface="Cambria Math" panose="02040503050406030204" pitchFamily="18" charset="0"/>
                            <a:ea typeface="+mn-ea"/>
                            <a:cs typeface="+mn-cs"/>
                          </a:rPr>
                        </m:ctrlPr>
                      </m:fPr>
                      <m:num>
                        <m:r>
                          <a:rPr lang="en-PH" sz="1100">
                            <a:solidFill>
                              <a:schemeClr val="tx1"/>
                            </a:solidFill>
                            <a:effectLst/>
                            <a:latin typeface="Cambria Math" panose="02040503050406030204" pitchFamily="18" charset="0"/>
                            <a:ea typeface="+mn-ea"/>
                            <a:cs typeface="+mn-cs"/>
                          </a:rPr>
                          <m:t>100×</m:t>
                        </m:r>
                        <m:r>
                          <a:rPr lang="en-PH" sz="1100" i="1">
                            <a:solidFill>
                              <a:schemeClr val="tx1"/>
                            </a:solidFill>
                            <a:effectLst/>
                            <a:latin typeface="Cambria Math" panose="02040503050406030204" pitchFamily="18" charset="0"/>
                            <a:ea typeface="+mn-ea"/>
                            <a:cs typeface="+mn-cs"/>
                          </a:rPr>
                          <m:t>𝑖</m:t>
                        </m:r>
                      </m:num>
                      <m:den>
                        <m:r>
                          <a:rPr lang="en-PH" sz="1100" i="1">
                            <a:solidFill>
                              <a:schemeClr val="tx1"/>
                            </a:solidFill>
                            <a:effectLst/>
                            <a:latin typeface="Cambria Math" panose="02040503050406030204" pitchFamily="18" charset="0"/>
                            <a:ea typeface="+mn-ea"/>
                            <a:cs typeface="+mn-cs"/>
                          </a:rPr>
                          <m:t>𝑛</m:t>
                        </m:r>
                      </m:den>
                    </m:f>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A9BEEC40-84F5-9F41-A5AD-F55C92FD4DF5}"/>
                </a:ext>
              </a:extLst>
            </xdr:cNvPr>
            <xdr:cNvSpPr txBox="1"/>
          </xdr:nvSpPr>
          <xdr:spPr>
            <a:xfrm>
              <a:off x="3365500" y="7996766"/>
              <a:ext cx="2177776"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𝐾𝑆 𝐸𝑥𝑝𝑒𝑐𝑡𝑒𝑑 〖𝑃𝑒𝑟𝑐𝑒𝑛𝑡𝑖𝑙𝑒〗_𝑖=(100×𝑖)/𝑛</a:t>
              </a:r>
              <a:endParaRPr lang="en-US" sz="1100">
                <a:solidFill>
                  <a:schemeClr val="tx1"/>
                </a:solidFill>
              </a:endParaRPr>
            </a:p>
          </xdr:txBody>
        </xdr:sp>
      </mc:Fallback>
    </mc:AlternateContent>
    <xdr:clientData/>
  </xdr:oneCellAnchor>
  <xdr:twoCellAnchor>
    <xdr:from>
      <xdr:col>1</xdr:col>
      <xdr:colOff>190500</xdr:colOff>
      <xdr:row>57</xdr:row>
      <xdr:rowOff>169333</xdr:rowOff>
    </xdr:from>
    <xdr:to>
      <xdr:col>2</xdr:col>
      <xdr:colOff>609600</xdr:colOff>
      <xdr:row>59</xdr:row>
      <xdr:rowOff>32785</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A2C0C704-6D1B-454A-A85C-2798B866C8A8}"/>
                </a:ext>
              </a:extLst>
            </xdr:cNvPr>
            <xdr:cNvSpPr txBox="1"/>
          </xdr:nvSpPr>
          <xdr:spPr>
            <a:xfrm>
              <a:off x="1016000" y="12208933"/>
              <a:ext cx="1244600" cy="26985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𝐷</m:t>
                    </m:r>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max</m:t>
                    </m:r>
                    <m:r>
                      <a:rPr lang="en-PH" sz="1100">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𝑓</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A2C0C704-6D1B-454A-A85C-2798B866C8A8}"/>
                </a:ext>
              </a:extLst>
            </xdr:cNvPr>
            <xdr:cNvSpPr txBox="1"/>
          </xdr:nvSpPr>
          <xdr:spPr>
            <a:xfrm>
              <a:off x="1016000" y="12208933"/>
              <a:ext cx="1244600" cy="26985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𝐷=max⁡|𝑝_𝑖−𝑓_𝑖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190500</xdr:colOff>
      <xdr:row>58</xdr:row>
      <xdr:rowOff>10583</xdr:rowOff>
    </xdr:from>
    <xdr:ext cx="2877070"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A1DFE1-9CE6-9649-AE38-0DEEC68F7D8D}"/>
                </a:ext>
              </a:extLst>
            </xdr:cNvPr>
            <xdr:cNvSpPr txBox="1"/>
          </xdr:nvSpPr>
          <xdr:spPr>
            <a:xfrm>
              <a:off x="2667000" y="12253383"/>
              <a:ext cx="287707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𝐷</m:t>
                    </m:r>
                    <m:r>
                      <a:rPr lang="en-PH" sz="1100" i="1">
                        <a:solidFill>
                          <a:schemeClr val="tx1"/>
                        </a:solidFill>
                        <a:effectLst/>
                        <a:latin typeface="Cambria Math" panose="02040503050406030204" pitchFamily="18" charset="0"/>
                        <a:ea typeface="+mn-ea"/>
                        <a:cs typeface="+mn-cs"/>
                      </a:rPr>
                      <m:t>=</m:t>
                    </m:r>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max</m:t>
                        </m:r>
                      </m:fName>
                      <m:e>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𝑠𝑜𝑟𝑡𝑒𝑑</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𝑝𝑒𝑟𝑐𝑒𝑛𝑡𝑖𝑙𝑒</m:t>
                                </m:r>
                              </m:e>
                              <m:sub>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𝐾𝑆</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𝑝𝑒𝑟𝑐𝑒𝑛𝑡𝑖𝑙𝑒</m:t>
                                </m:r>
                              </m:e>
                              <m:sub>
                                <m:r>
                                  <a:rPr lang="en-PH" sz="1100" i="1">
                                    <a:solidFill>
                                      <a:schemeClr val="tx1"/>
                                    </a:solidFill>
                                    <a:effectLst/>
                                    <a:latin typeface="Cambria Math" panose="02040503050406030204" pitchFamily="18" charset="0"/>
                                    <a:ea typeface="+mn-ea"/>
                                    <a:cs typeface="+mn-cs"/>
                                  </a:rPr>
                                  <m:t>𝑖</m:t>
                                </m:r>
                              </m:sub>
                            </m:sSub>
                          </m:e>
                        </m:d>
                      </m:e>
                    </m:func>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8CA1DFE1-9CE6-9649-AE38-0DEEC68F7D8D}"/>
                </a:ext>
              </a:extLst>
            </xdr:cNvPr>
            <xdr:cNvSpPr txBox="1"/>
          </xdr:nvSpPr>
          <xdr:spPr>
            <a:xfrm>
              <a:off x="2667000" y="12253383"/>
              <a:ext cx="287707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𝐷=max⁡| 𝑠𝑜𝑟𝑡𝑒𝑑 〖𝑝𝑒𝑟𝑐𝑒𝑛𝑡𝑖𝑙𝑒〗_𝑖−𝐾𝑆 〖𝑝𝑒𝑟𝑐𝑒𝑛𝑡𝑖𝑙𝑒〗_𝑖 |</a:t>
              </a:r>
              <a:endParaRPr lang="en-US" sz="1100">
                <a:solidFill>
                  <a:schemeClr val="tx1"/>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1</xdr:col>
      <xdr:colOff>179917</xdr:colOff>
      <xdr:row>50</xdr:row>
      <xdr:rowOff>116417</xdr:rowOff>
    </xdr:from>
    <xdr:ext cx="2794000" cy="26924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D1FC09F-9BF3-0541-A39A-939F99514161}"/>
                </a:ext>
              </a:extLst>
            </xdr:cNvPr>
            <xdr:cNvSpPr txBox="1"/>
          </xdr:nvSpPr>
          <xdr:spPr>
            <a:xfrm>
              <a:off x="1005417" y="10297584"/>
              <a:ext cx="2794000" cy="269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e>
                    </m:func>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4D1FC09F-9BF3-0541-A39A-939F99514161}"/>
                </a:ext>
              </a:extLst>
            </xdr:cNvPr>
            <xdr:cNvSpPr txBox="1"/>
          </xdr:nvSpPr>
          <xdr:spPr>
            <a:xfrm>
              <a:off x="1005417" y="10297584"/>
              <a:ext cx="2794000" cy="269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 𝑎_𝑤+</a:t>
              </a:r>
              <a:r>
                <a:rPr lang="en-US" sz="1100" b="0" i="0">
                  <a:latin typeface="Cambria Math" panose="02040503050406030204" pitchFamily="18" charset="0"/>
                  <a:ea typeface="Cambria Math" panose="02040503050406030204" pitchFamily="18" charset="0"/>
                </a:rPr>
                <a:t>𝛽_𝑑</a:t>
              </a:r>
              <a:endParaRPr lang="en-US" sz="1100"/>
            </a:p>
          </xdr:txBody>
        </xdr:sp>
      </mc:Fallback>
    </mc:AlternateContent>
    <xdr:clientData/>
  </xdr:oneCellAnchor>
  <xdr:oneCellAnchor>
    <xdr:from>
      <xdr:col>1</xdr:col>
      <xdr:colOff>211667</xdr:colOff>
      <xdr:row>65</xdr:row>
      <xdr:rowOff>179917</xdr:rowOff>
    </xdr:from>
    <xdr:ext cx="1745734" cy="28341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7E6301C-2717-9046-BEB4-6F480C6DC047}"/>
                </a:ext>
              </a:extLst>
            </xdr:cNvPr>
            <xdr:cNvSpPr txBox="1"/>
          </xdr:nvSpPr>
          <xdr:spPr>
            <a:xfrm>
              <a:off x="1037167" y="13377334"/>
              <a:ext cx="1745734"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Sub>
                      </m:e>
                    </m:d>
                  </m:oMath>
                </m:oMathPara>
              </a14:m>
              <a:endParaRPr lang="en-US" sz="1100"/>
            </a:p>
          </xdr:txBody>
        </xdr:sp>
      </mc:Choice>
      <mc:Fallback xmlns="">
        <xdr:sp macro="" textlink="">
          <xdr:nvSpPr>
            <xdr:cNvPr id="3" name="TextBox 2">
              <a:extLst>
                <a:ext uri="{FF2B5EF4-FFF2-40B4-BE49-F238E27FC236}">
                  <a16:creationId xmlns:a16="http://schemas.microsoft.com/office/drawing/2014/main" id="{37E6301C-2717-9046-BEB4-6F480C6DC047}"/>
                </a:ext>
              </a:extLst>
            </xdr:cNvPr>
            <xdr:cNvSpPr txBox="1"/>
          </xdr:nvSpPr>
          <xdr:spPr>
            <a:xfrm>
              <a:off x="1037167" y="13377334"/>
              <a:ext cx="1745734"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𝐶_(𝑤,𝑑)~𝑙𝑜𝑔𝑛𝑜𝑟𝑚𝑎𝑙(𝜇_(𝑤,𝑑), 𝜎_𝑑 )</a:t>
              </a:r>
              <a:endParaRPr lang="en-US" sz="1100"/>
            </a:p>
          </xdr:txBody>
        </xdr:sp>
      </mc:Fallback>
    </mc:AlternateContent>
    <xdr:clientData/>
  </xdr:oneCellAnchor>
  <xdr:oneCellAnchor>
    <xdr:from>
      <xdr:col>1</xdr:col>
      <xdr:colOff>190500</xdr:colOff>
      <xdr:row>52</xdr:row>
      <xdr:rowOff>190500</xdr:rowOff>
    </xdr:from>
    <xdr:ext cx="798808" cy="568297"/>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29A73940-7C2F-AB44-83D3-704256491EED}"/>
                </a:ext>
              </a:extLst>
            </xdr:cNvPr>
            <xdr:cNvSpPr txBox="1"/>
          </xdr:nvSpPr>
          <xdr:spPr>
            <a:xfrm>
              <a:off x="1016000" y="9969500"/>
              <a:ext cx="798808" cy="56829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2</m:t>
                        </m:r>
                      </m:sup>
                    </m:sSubSup>
                    <m:r>
                      <a:rPr lang="en-US" sz="1100" b="0" i="1">
                        <a:latin typeface="Cambria Math" panose="02040503050406030204" pitchFamily="18" charset="0"/>
                      </a:rPr>
                      <m:t>=</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𝑖</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10</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𝑖</m:t>
                            </m:r>
                          </m:sub>
                        </m:sSub>
                      </m:e>
                    </m:nary>
                  </m:oMath>
                </m:oMathPara>
              </a14:m>
              <a:endParaRPr lang="en-US" sz="1100"/>
            </a:p>
          </xdr:txBody>
        </xdr:sp>
      </mc:Choice>
      <mc:Fallback xmlns="">
        <xdr:sp macro="" textlink="">
          <xdr:nvSpPr>
            <xdr:cNvPr id="12" name="TextBox 11">
              <a:extLst>
                <a:ext uri="{FF2B5EF4-FFF2-40B4-BE49-F238E27FC236}">
                  <a16:creationId xmlns:a16="http://schemas.microsoft.com/office/drawing/2014/main" id="{29A73940-7C2F-AB44-83D3-704256491EED}"/>
                </a:ext>
              </a:extLst>
            </xdr:cNvPr>
            <xdr:cNvSpPr txBox="1"/>
          </xdr:nvSpPr>
          <xdr:spPr>
            <a:xfrm>
              <a:off x="1016000" y="9969500"/>
              <a:ext cx="798808" cy="56829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𝜎_𝑑^2</a:t>
              </a:r>
              <a:r>
                <a:rPr lang="en-US" sz="1100" b="0" i="0">
                  <a:latin typeface="Cambria Math" panose="02040503050406030204" pitchFamily="18" charset="0"/>
                </a:rPr>
                <a:t>=∑24_(𝑖=𝑑)^10▒𝑎_𝑖 </a:t>
              </a:r>
              <a:endParaRPr lang="en-US" sz="1100"/>
            </a:p>
          </xdr:txBody>
        </xdr:sp>
      </mc:Fallback>
    </mc:AlternateContent>
    <xdr:clientData/>
  </xdr:oneCellAnchor>
  <xdr:oneCellAnchor>
    <xdr:from>
      <xdr:col>1</xdr:col>
      <xdr:colOff>179917</xdr:colOff>
      <xdr:row>89</xdr:row>
      <xdr:rowOff>116417</xdr:rowOff>
    </xdr:from>
    <xdr:ext cx="1707326" cy="568169"/>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DA96BDDB-CEA3-7A44-A4DD-832CD46C23C7}"/>
                </a:ext>
              </a:extLst>
            </xdr:cNvPr>
            <xdr:cNvSpPr txBox="1"/>
          </xdr:nvSpPr>
          <xdr:spPr>
            <a:xfrm>
              <a:off x="1005417" y="18679584"/>
              <a:ext cx="1707326" cy="56816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acc>
                          <m:accPr>
                            <m:chr m:val="̃"/>
                            <m:ctrlPr>
                              <a:rPr lang="en-US" sz="1100" b="0" i="1">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𝐶</m:t>
                            </m:r>
                          </m:e>
                        </m:acc>
                      </m:e>
                      <m:sub>
                        <m:r>
                          <a:rPr lang="en-US" sz="1100" b="0" i="1">
                            <a:latin typeface="Cambria Math" panose="02040503050406030204" pitchFamily="18" charset="0"/>
                            <a:ea typeface="Cambria Math" panose="02040503050406030204" pitchFamily="18" charset="0"/>
                          </a:rPr>
                          <m:t>𝑇𝑜𝑡</m:t>
                        </m:r>
                        <m:r>
                          <a:rPr lang="en-US" sz="1100" b="0" i="1">
                            <a:latin typeface="Cambria Math" panose="02040503050406030204" pitchFamily="18" charset="0"/>
                            <a:ea typeface="Cambria Math" panose="02040503050406030204" pitchFamily="18" charset="0"/>
                          </a:rPr>
                          <m:t>,10</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1,10</m:t>
                        </m:r>
                      </m:sub>
                    </m:sSub>
                    <m:r>
                      <a:rPr lang="en-US" sz="1100" b="0" i="1">
                        <a:latin typeface="Cambria Math" panose="02040503050406030204" pitchFamily="18" charset="0"/>
                        <a:ea typeface="Cambria Math" panose="02040503050406030204" pitchFamily="18" charset="0"/>
                      </a:rPr>
                      <m:t>+</m:t>
                    </m:r>
                    <m:nary>
                      <m:naryPr>
                        <m:chr m:val="∑"/>
                        <m:ctrlPr>
                          <a:rPr lang="en-US" sz="1100" b="0" i="1">
                            <a:latin typeface="Cambria Math" panose="02040503050406030204" pitchFamily="18" charset="0"/>
                            <a:ea typeface="Cambria Math" panose="02040503050406030204" pitchFamily="18" charset="0"/>
                          </a:rPr>
                        </m:ctrlPr>
                      </m:naryPr>
                      <m:sub>
                        <m:r>
                          <m:rPr>
                            <m:brk m:alnAt="23"/>
                          </m:rP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=2</m:t>
                        </m:r>
                      </m:sub>
                      <m:sup>
                        <m:r>
                          <a:rPr lang="en-US" sz="1100" b="0" i="1">
                            <a:latin typeface="Cambria Math" panose="02040503050406030204" pitchFamily="18" charset="0"/>
                            <a:ea typeface="Cambria Math" panose="02040503050406030204" pitchFamily="18" charset="0"/>
                          </a:rPr>
                          <m:t>10</m:t>
                        </m:r>
                      </m:sup>
                      <m:e>
                        <m:sSub>
                          <m:sSubPr>
                            <m:ctrlPr>
                              <a:rPr lang="en-US" sz="1100" b="0" i="1">
                                <a:latin typeface="Cambria Math" panose="02040503050406030204" pitchFamily="18" charset="0"/>
                                <a:ea typeface="Cambria Math" panose="02040503050406030204" pitchFamily="18" charset="0"/>
                              </a:rPr>
                            </m:ctrlPr>
                          </m:sSubPr>
                          <m:e>
                            <m:acc>
                              <m:accPr>
                                <m:chr m:val="̃"/>
                                <m:ctrlPr>
                                  <a:rPr lang="en-US" sz="1100" b="0" i="1">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𝐶</m:t>
                                </m:r>
                              </m:e>
                            </m:acc>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,10</m:t>
                            </m:r>
                          </m:sub>
                        </m:sSub>
                      </m:e>
                    </m:nary>
                  </m:oMath>
                </m:oMathPara>
              </a14:m>
              <a:endParaRPr lang="en-US" sz="1100"/>
            </a:p>
          </xdr:txBody>
        </xdr:sp>
      </mc:Choice>
      <mc:Fallback xmlns="">
        <xdr:sp macro="" textlink="">
          <xdr:nvSpPr>
            <xdr:cNvPr id="13" name="TextBox 12">
              <a:extLst>
                <a:ext uri="{FF2B5EF4-FFF2-40B4-BE49-F238E27FC236}">
                  <a16:creationId xmlns:a16="http://schemas.microsoft.com/office/drawing/2014/main" id="{DA96BDDB-CEA3-7A44-A4DD-832CD46C23C7}"/>
                </a:ext>
              </a:extLst>
            </xdr:cNvPr>
            <xdr:cNvSpPr txBox="1"/>
          </xdr:nvSpPr>
          <xdr:spPr>
            <a:xfrm>
              <a:off x="1005417" y="18679584"/>
              <a:ext cx="1707326" cy="56816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 ̃_(𝑇𝑜𝑡,10)</a:t>
              </a:r>
              <a:r>
                <a:rPr lang="en-US"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𝐶_1,10+∑24_(𝑤=2)^10▒𝐶 ̃_(𝑤,10) </a:t>
              </a:r>
              <a:endParaRPr lang="en-US" sz="1100"/>
            </a:p>
          </xdr:txBody>
        </xdr:sp>
      </mc:Fallback>
    </mc:AlternateContent>
    <xdr:clientData/>
  </xdr:oneCellAnchor>
  <xdr:oneCellAnchor>
    <xdr:from>
      <xdr:col>2</xdr:col>
      <xdr:colOff>804333</xdr:colOff>
      <xdr:row>54</xdr:row>
      <xdr:rowOff>0</xdr:rowOff>
    </xdr:from>
    <xdr:ext cx="1285993" cy="270267"/>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89312327-9406-6445-8FA5-42ED3921CC2E}"/>
                </a:ext>
              </a:extLst>
            </xdr:cNvPr>
            <xdr:cNvSpPr txBox="1"/>
          </xdr:nvSpPr>
          <xdr:spPr>
            <a:xfrm>
              <a:off x="2455333" y="10784417"/>
              <a:ext cx="1285993" cy="2702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8</m:t>
                        </m:r>
                      </m:sub>
                      <m:sup>
                        <m:r>
                          <a:rPr lang="en-US" sz="1100" b="0" i="1">
                            <a:latin typeface="Cambria Math" panose="02040503050406030204" pitchFamily="18" charset="0"/>
                            <a:ea typeface="Cambria Math" panose="02040503050406030204" pitchFamily="18" charset="0"/>
                          </a:rPr>
                          <m:t>2</m:t>
                        </m:r>
                      </m:sup>
                    </m:sSubSup>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8</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9</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10</m:t>
                        </m:r>
                      </m:sub>
                    </m:sSub>
                  </m:oMath>
                </m:oMathPara>
              </a14:m>
              <a:endParaRPr lang="en-US" sz="1100"/>
            </a:p>
          </xdr:txBody>
        </xdr:sp>
      </mc:Choice>
      <mc:Fallback xmlns="">
        <xdr:sp macro="" textlink="">
          <xdr:nvSpPr>
            <xdr:cNvPr id="14" name="TextBox 13">
              <a:extLst>
                <a:ext uri="{FF2B5EF4-FFF2-40B4-BE49-F238E27FC236}">
                  <a16:creationId xmlns:a16="http://schemas.microsoft.com/office/drawing/2014/main" id="{89312327-9406-6445-8FA5-42ED3921CC2E}"/>
                </a:ext>
              </a:extLst>
            </xdr:cNvPr>
            <xdr:cNvSpPr txBox="1"/>
          </xdr:nvSpPr>
          <xdr:spPr>
            <a:xfrm>
              <a:off x="2455333" y="10784417"/>
              <a:ext cx="1285993" cy="2702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𝜎_8^2</a:t>
              </a:r>
              <a:r>
                <a:rPr lang="en-US" sz="1100" b="0" i="0">
                  <a:latin typeface="Cambria Math" panose="02040503050406030204" pitchFamily="18" charset="0"/>
                </a:rPr>
                <a:t>=𝑎_8+𝑎_9+𝑎_10</a:t>
              </a:r>
              <a:endParaRPr lang="en-US" sz="1100"/>
            </a:p>
          </xdr:txBody>
        </xdr:sp>
      </mc:Fallback>
    </mc:AlternateContent>
    <xdr:clientData/>
  </xdr:oneCellAnchor>
  <xdr:oneCellAnchor>
    <xdr:from>
      <xdr:col>1</xdr:col>
      <xdr:colOff>232834</xdr:colOff>
      <xdr:row>67</xdr:row>
      <xdr:rowOff>179917</xdr:rowOff>
    </xdr:from>
    <xdr:ext cx="1092029" cy="26443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5622B2-39E3-B343-B3F3-9FBE42166D02}"/>
                </a:ext>
              </a:extLst>
            </xdr:cNvPr>
            <xdr:cNvSpPr txBox="1"/>
          </xdr:nvSpPr>
          <xdr:spPr>
            <a:xfrm>
              <a:off x="1058334" y="13779500"/>
              <a:ext cx="1092029"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m:rPr>
                        <m:sty m:val="p"/>
                      </m:rPr>
                      <a:rPr lang="en-US" sz="1100" b="0" i="0">
                        <a:latin typeface="Cambria Math" panose="02040503050406030204" pitchFamily="18" charset="0"/>
                        <a:ea typeface="Cambria Math" panose="02040503050406030204" pitchFamily="18" charset="0"/>
                      </a:rPr>
                      <m:t>for</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rPr>
                      <m:t>=2, …, 10</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185622B2-39E3-B343-B3F3-9FBE42166D02}"/>
                </a:ext>
              </a:extLst>
            </xdr:cNvPr>
            <xdr:cNvSpPr txBox="1"/>
          </xdr:nvSpPr>
          <xdr:spPr>
            <a:xfrm>
              <a:off x="1058334" y="13779500"/>
              <a:ext cx="1092029"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for 𝑤</a:t>
              </a:r>
              <a:r>
                <a:rPr lang="en-US" sz="1100" b="0" i="0">
                  <a:latin typeface="Cambria Math" panose="02040503050406030204" pitchFamily="18" charset="0"/>
                </a:rPr>
                <a:t>=2, …, 10</a:t>
              </a:r>
              <a:endParaRPr lang="en-US" sz="1100"/>
            </a:p>
          </xdr:txBody>
        </xdr:sp>
      </mc:Fallback>
    </mc:AlternateContent>
    <xdr:clientData/>
  </xdr:oneCellAnchor>
  <xdr:oneCellAnchor>
    <xdr:from>
      <xdr:col>4</xdr:col>
      <xdr:colOff>190500</xdr:colOff>
      <xdr:row>65</xdr:row>
      <xdr:rowOff>190499</xdr:rowOff>
    </xdr:from>
    <xdr:ext cx="2375970" cy="283411"/>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7028FDD2-C3CD-8244-8676-01436F776D88}"/>
                </a:ext>
              </a:extLst>
            </xdr:cNvPr>
            <xdr:cNvSpPr txBox="1"/>
          </xdr:nvSpPr>
          <xdr:spPr>
            <a:xfrm>
              <a:off x="3492500" y="13387916"/>
              <a:ext cx="2375970" cy="2834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𝐿𝑜𝑠𝑠</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𝑑𝑒𝑣</m:t>
                            </m:r>
                          </m:sub>
                        </m:sSub>
                      </m:e>
                    </m:d>
                  </m:oMath>
                </m:oMathPara>
              </a14:m>
              <a:endParaRPr lang="en-US" sz="1100"/>
            </a:p>
          </xdr:txBody>
        </xdr:sp>
      </mc:Choice>
      <mc:Fallback xmlns="">
        <xdr:sp macro="" textlink="">
          <xdr:nvSpPr>
            <xdr:cNvPr id="20" name="TextBox 19">
              <a:extLst>
                <a:ext uri="{FF2B5EF4-FFF2-40B4-BE49-F238E27FC236}">
                  <a16:creationId xmlns:a16="http://schemas.microsoft.com/office/drawing/2014/main" id="{7028FDD2-C3CD-8244-8676-01436F776D88}"/>
                </a:ext>
              </a:extLst>
            </xdr:cNvPr>
            <xdr:cNvSpPr txBox="1"/>
          </xdr:nvSpPr>
          <xdr:spPr>
            <a:xfrm>
              <a:off x="3492500" y="13387916"/>
              <a:ext cx="2375970" cy="2834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〖𝐿𝑜𝑠𝑠〗_(𝐴𝑌,𝑑𝑒𝑣)~𝑙𝑜𝑔𝑛𝑜𝑟𝑚𝑎𝑙(𝜇_(𝐴𝑌,𝑑𝑒𝑣), 𝜎_𝑑𝑒𝑣 )</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1</xdr:col>
      <xdr:colOff>179917</xdr:colOff>
      <xdr:row>36</xdr:row>
      <xdr:rowOff>116417</xdr:rowOff>
    </xdr:from>
    <xdr:ext cx="2425921" cy="26924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0F978BC-F606-2F4B-9B0F-96E173D4B14D}"/>
                </a:ext>
              </a:extLst>
            </xdr:cNvPr>
            <xdr:cNvSpPr txBox="1"/>
          </xdr:nvSpPr>
          <xdr:spPr>
            <a:xfrm>
              <a:off x="1005417" y="8392584"/>
              <a:ext cx="2425921" cy="269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Sub>
                    <m:r>
                      <a:rPr lang="en-US" sz="1100" b="0" i="1">
                        <a:solidFill>
                          <a:schemeClr val="tx1"/>
                        </a:solidFill>
                        <a:latin typeface="Cambria Math" panose="02040503050406030204" pitchFamily="18" charset="0"/>
                      </a:rPr>
                      <m:t>=</m:t>
                    </m:r>
                    <m:func>
                      <m:funcPr>
                        <m:ctrlPr>
                          <a:rPr lang="en-US" sz="1100" b="0" i="0">
                            <a:solidFill>
                              <a:schemeClr val="tx1"/>
                            </a:solidFill>
                            <a:latin typeface="Cambria Math" panose="02040503050406030204" pitchFamily="18" charset="0"/>
                          </a:rPr>
                        </m:ctrlPr>
                      </m:funcPr>
                      <m:fName>
                        <m:r>
                          <m:rPr>
                            <m:sty m:val="p"/>
                          </m:rPr>
                          <a:rPr lang="en-US" sz="1100" b="0" i="0">
                            <a:solidFill>
                              <a:schemeClr val="tx1"/>
                            </a:solidFill>
                            <a:latin typeface="Cambria Math" panose="02040503050406030204" pitchFamily="18" charset="0"/>
                          </a:rPr>
                          <m:t>log</m:t>
                        </m:r>
                      </m:fName>
                      <m:e>
                        <m:d>
                          <m:dPr>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𝑃𝑟𝑒𝑚𝑖𝑢𝑚</m:t>
                                </m:r>
                              </m:e>
                              <m:sub>
                                <m:r>
                                  <a:rPr lang="en-US" sz="1100" b="0" i="1">
                                    <a:solidFill>
                                      <a:schemeClr val="tx1"/>
                                    </a:solidFill>
                                    <a:latin typeface="Cambria Math" panose="02040503050406030204" pitchFamily="18" charset="0"/>
                                  </a:rPr>
                                  <m:t>𝑤</m:t>
                                </m:r>
                              </m:sub>
                            </m:sSub>
                          </m:e>
                        </m:d>
                      </m:e>
                    </m:func>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𝑙𝑜𝑔𝑒𝑙𝑟</m:t>
                    </m:r>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𝛽</m:t>
                        </m:r>
                      </m:e>
                      <m:sub>
                        <m:r>
                          <a:rPr lang="en-US" sz="1100" b="0" i="1">
                            <a:solidFill>
                              <a:schemeClr val="tx1"/>
                            </a:solidFill>
                            <a:latin typeface="Cambria Math" panose="02040503050406030204" pitchFamily="18" charset="0"/>
                            <a:ea typeface="Cambria Math" panose="02040503050406030204" pitchFamily="18" charset="0"/>
                          </a:rPr>
                          <m:t>𝑑</m:t>
                        </m:r>
                      </m:sub>
                    </m:sSub>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D0F978BC-F606-2F4B-9B0F-96E173D4B14D}"/>
                </a:ext>
              </a:extLst>
            </xdr:cNvPr>
            <xdr:cNvSpPr txBox="1"/>
          </xdr:nvSpPr>
          <xdr:spPr>
            <a:xfrm>
              <a:off x="1005417" y="8392584"/>
              <a:ext cx="2425921" cy="269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𝜇_(𝑤,𝑑)</a:t>
              </a:r>
              <a:r>
                <a:rPr lang="en-US" sz="1100" b="0" i="0">
                  <a:solidFill>
                    <a:schemeClr val="tx1"/>
                  </a:solidFill>
                  <a:latin typeface="Cambria Math" panose="02040503050406030204" pitchFamily="18" charset="0"/>
                </a:rPr>
                <a:t>=log⁡(〖𝑃𝑟𝑒𝑚𝑖𝑢𝑚〗_𝑤 )+𝑙𝑜𝑔𝑒𝑙𝑟+</a:t>
              </a:r>
              <a:r>
                <a:rPr lang="en-US" sz="1100" b="0" i="0">
                  <a:solidFill>
                    <a:schemeClr val="tx1"/>
                  </a:solidFill>
                  <a:latin typeface="Cambria Math" panose="02040503050406030204" pitchFamily="18" charset="0"/>
                  <a:ea typeface="Cambria Math" panose="02040503050406030204" pitchFamily="18" charset="0"/>
                </a:rPr>
                <a:t>𝛽_𝑑</a:t>
              </a:r>
              <a:endParaRPr lang="en-US" sz="1100">
                <a:solidFill>
                  <a:schemeClr val="tx1"/>
                </a:solidFill>
              </a:endParaRPr>
            </a:p>
          </xdr:txBody>
        </xdr:sp>
      </mc:Fallback>
    </mc:AlternateContent>
    <xdr:clientData/>
  </xdr:oneCellAnchor>
  <xdr:oneCellAnchor>
    <xdr:from>
      <xdr:col>1</xdr:col>
      <xdr:colOff>222250</xdr:colOff>
      <xdr:row>51</xdr:row>
      <xdr:rowOff>42331</xdr:rowOff>
    </xdr:from>
    <xdr:ext cx="4467057" cy="29405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F7AC69F1-674C-5E4D-B0BB-1B8AD87D5420}"/>
                </a:ext>
              </a:extLst>
            </xdr:cNvPr>
            <xdr:cNvSpPr txBox="1"/>
          </xdr:nvSpPr>
          <xdr:spPr>
            <a:xfrm>
              <a:off x="1047750" y="13567831"/>
              <a:ext cx="4467057" cy="2940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acc>
                          <m:accPr>
                            <m:chr m:val="̃"/>
                            <m:ctrlPr>
                              <a:rPr lang="en-US" sz="1100" b="0" i="1">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𝐶</m:t>
                            </m:r>
                          </m:e>
                        </m:acc>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𝑈𝑙𝑡</m:t>
                            </m:r>
                          </m:sub>
                        </m:sSub>
                      </m:e>
                    </m:d>
                    <m:r>
                      <a:rPr lang="en-US" sz="1100" b="0" i="1">
                        <a:latin typeface="Cambria Math" panose="02040503050406030204" pitchFamily="18" charset="0"/>
                        <a:ea typeface="Cambria Math" panose="02040503050406030204" pitchFamily="18" charset="0"/>
                      </a:rPr>
                      <m:t>−</m:t>
                    </m:r>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exp</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r>
                              <a:rPr lang="en-US" sz="1100" b="0" i="1">
                                <a:latin typeface="Cambria Math" panose="02040503050406030204" pitchFamily="18" charset="0"/>
                                <a:ea typeface="Cambria Math" panose="02040503050406030204" pitchFamily="18" charset="0"/>
                              </a:rPr>
                              <m:t>+</m:t>
                            </m:r>
                            <m:f>
                              <m:fPr>
                                <m:type m:val="lin"/>
                                <m:ctrlPr>
                                  <a:rPr lang="en-US" sz="1100" b="0" i="1">
                                    <a:latin typeface="Cambria Math" panose="02040503050406030204" pitchFamily="18" charset="0"/>
                                    <a:ea typeface="Cambria Math" panose="02040503050406030204" pitchFamily="18" charset="0"/>
                                  </a:rPr>
                                </m:ctrlPr>
                              </m:fPr>
                              <m:num>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up>
                                    <m:r>
                                      <a:rPr lang="en-US" sz="1100" b="0" i="1">
                                        <a:latin typeface="Cambria Math" panose="02040503050406030204" pitchFamily="18" charset="0"/>
                                        <a:ea typeface="Cambria Math" panose="02040503050406030204" pitchFamily="18" charset="0"/>
                                      </a:rPr>
                                      <m:t>2</m:t>
                                    </m:r>
                                  </m:sup>
                                </m:sSubSup>
                              </m:num>
                              <m:den>
                                <m:r>
                                  <a:rPr lang="en-US" sz="1100" b="0" i="1">
                                    <a:latin typeface="Cambria Math" panose="02040503050406030204" pitchFamily="18" charset="0"/>
                                    <a:ea typeface="Cambria Math" panose="02040503050406030204" pitchFamily="18" charset="0"/>
                                  </a:rPr>
                                  <m:t>2</m:t>
                                </m:r>
                              </m:den>
                            </m:f>
                          </m:e>
                        </m:d>
                      </m:e>
                    </m:func>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oMath>
                </m:oMathPara>
              </a14:m>
              <a:endParaRPr lang="en-US" sz="1100"/>
            </a:p>
          </xdr:txBody>
        </xdr:sp>
      </mc:Choice>
      <mc:Fallback xmlns="">
        <xdr:sp macro="" textlink="">
          <xdr:nvSpPr>
            <xdr:cNvPr id="12" name="TextBox 11">
              <a:extLst>
                <a:ext uri="{FF2B5EF4-FFF2-40B4-BE49-F238E27FC236}">
                  <a16:creationId xmlns:a16="http://schemas.microsoft.com/office/drawing/2014/main" id="{F7AC69F1-674C-5E4D-B0BB-1B8AD87D5420}"/>
                </a:ext>
              </a:extLst>
            </xdr:cNvPr>
            <xdr:cNvSpPr txBox="1"/>
          </xdr:nvSpPr>
          <xdr:spPr>
            <a:xfrm>
              <a:off x="1047750" y="13567831"/>
              <a:ext cx="4467057" cy="2940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 ̃_(𝑤,𝑈𝑙𝑡)~𝑙𝑜𝑔𝑛𝑜𝑟𝑚𝑎𝑙(𝜇_(𝑤,𝑈𝑙𝑡), 𝜎_𝑈𝑙𝑡 )−exp⁡(𝜇_(𝑤,𝑑_𝑙𝑎𝑡𝑒𝑠𝑡 )+𝜎_(𝑑_𝑙𝑎𝑡𝑒𝑠𝑡)^2∕2)+𝐶_(𝑤,𝑑_𝑙𝑎𝑡𝑒𝑠𝑡 )</a:t>
              </a:r>
              <a:endParaRPr lang="en-US" sz="1100"/>
            </a:p>
          </xdr:txBody>
        </xdr:sp>
      </mc:Fallback>
    </mc:AlternateContent>
    <xdr:clientData/>
  </xdr:oneCellAnchor>
  <xdr:oneCellAnchor>
    <xdr:from>
      <xdr:col>6</xdr:col>
      <xdr:colOff>740833</xdr:colOff>
      <xdr:row>51</xdr:row>
      <xdr:rowOff>84666</xdr:rowOff>
    </xdr:from>
    <xdr:ext cx="1013932" cy="26443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D74D2EE6-61B1-B447-B336-0219CEF493E9}"/>
                </a:ext>
              </a:extLst>
            </xdr:cNvPr>
            <xdr:cNvSpPr txBox="1"/>
          </xdr:nvSpPr>
          <xdr:spPr>
            <a:xfrm>
              <a:off x="5693833" y="13610166"/>
              <a:ext cx="1013932"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m:rPr>
                        <m:sty m:val="p"/>
                      </m:rPr>
                      <a:rPr lang="en-US" sz="1100" b="0" i="0">
                        <a:latin typeface="Cambria Math" panose="02040503050406030204" pitchFamily="18" charset="0"/>
                        <a:ea typeface="Cambria Math" panose="02040503050406030204" pitchFamily="18" charset="0"/>
                      </a:rPr>
                      <m:t>for</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rPr>
                      <m:t>=2, …, 5</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D74D2EE6-61B1-B447-B336-0219CEF493E9}"/>
                </a:ext>
              </a:extLst>
            </xdr:cNvPr>
            <xdr:cNvSpPr txBox="1"/>
          </xdr:nvSpPr>
          <xdr:spPr>
            <a:xfrm>
              <a:off x="5693833" y="13610166"/>
              <a:ext cx="1013932"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for 𝑤</a:t>
              </a:r>
              <a:r>
                <a:rPr lang="en-US" sz="1100" b="0" i="0">
                  <a:latin typeface="Cambria Math" panose="02040503050406030204" pitchFamily="18" charset="0"/>
                </a:rPr>
                <a:t>=2, …, 5</a:t>
              </a:r>
              <a:endParaRPr lang="en-US" sz="1100"/>
            </a:p>
          </xdr:txBody>
        </xdr:sp>
      </mc:Fallback>
    </mc:AlternateContent>
    <xdr:clientData/>
  </xdr:oneCellAnchor>
  <xdr:oneCellAnchor>
    <xdr:from>
      <xdr:col>1</xdr:col>
      <xdr:colOff>179918</xdr:colOff>
      <xdr:row>53</xdr:row>
      <xdr:rowOff>84666</xdr:rowOff>
    </xdr:from>
    <xdr:ext cx="4095749" cy="288092"/>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34840FCB-0D4E-654F-B9B1-9DD021CF986F}"/>
                </a:ext>
              </a:extLst>
            </xdr:cNvPr>
            <xdr:cNvSpPr txBox="1"/>
          </xdr:nvSpPr>
          <xdr:spPr>
            <a:xfrm>
              <a:off x="1005418" y="14012333"/>
              <a:ext cx="4095749" cy="28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𝐿𝑜𝑠𝑠</m:t>
                        </m:r>
                      </m:e>
                      <m:sub>
                        <m:r>
                          <a:rPr lang="en-US" sz="1100" b="0" i="1">
                            <a:solidFill>
                              <a:schemeClr val="tx1"/>
                            </a:solidFill>
                            <a:latin typeface="Cambria Math" panose="02040503050406030204" pitchFamily="18" charset="0"/>
                            <a:ea typeface="Cambria Math" panose="02040503050406030204" pitchFamily="18" charset="0"/>
                          </a:rPr>
                          <m:t>𝐴𝑌</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𝑈𝑙𝑡</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𝑙𝑜𝑔𝑛𝑜𝑟𝑚𝑎𝑙</m:t>
                    </m:r>
                    <m:d>
                      <m:dPr>
                        <m:ctrlPr>
                          <a:rPr lang="en-US" sz="1100" b="0" i="1">
                            <a:solidFill>
                              <a:schemeClr val="tx1"/>
                            </a:solidFill>
                            <a:latin typeface="Cambria Math" panose="02040503050406030204" pitchFamily="18" charset="0"/>
                            <a:ea typeface="Cambria Math" panose="02040503050406030204" pitchFamily="18" charset="0"/>
                          </a:rPr>
                        </m:ctrlPr>
                      </m:dPr>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𝐴𝑌</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𝑈𝑙𝑡</m:t>
                            </m:r>
                          </m:sub>
                        </m:sSub>
                        <m:r>
                          <a:rPr lang="en-US" sz="1100" b="0" i="1">
                            <a:solidFill>
                              <a:schemeClr val="tx1"/>
                            </a:solidFill>
                            <a:latin typeface="Cambria Math" panose="02040503050406030204" pitchFamily="18" charset="0"/>
                            <a:ea typeface="Cambria Math" panose="02040503050406030204" pitchFamily="18" charset="0"/>
                          </a:rPr>
                          <m:t>, </m:t>
                        </m:r>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𝜎</m:t>
                            </m:r>
                          </m:e>
                          <m:sub>
                            <m:r>
                              <a:rPr lang="en-US" sz="1100" b="0" i="1">
                                <a:solidFill>
                                  <a:schemeClr val="tx1"/>
                                </a:solidFill>
                                <a:latin typeface="Cambria Math" panose="02040503050406030204" pitchFamily="18" charset="0"/>
                                <a:ea typeface="Cambria Math" panose="02040503050406030204" pitchFamily="18" charset="0"/>
                              </a:rPr>
                              <m:t>𝑈𝑙𝑡</m:t>
                            </m:r>
                          </m:sub>
                        </m:sSub>
                      </m:e>
                    </m:d>
                    <m:r>
                      <a:rPr lang="en-US" sz="1100" b="0" i="1">
                        <a:solidFill>
                          <a:schemeClr val="tx1"/>
                        </a:solidFill>
                        <a:latin typeface="Cambria Math" panose="02040503050406030204" pitchFamily="18" charset="0"/>
                        <a:ea typeface="Cambria Math" panose="02040503050406030204" pitchFamily="18" charset="0"/>
                      </a:rPr>
                      <m:t>+</m:t>
                    </m:r>
                    <m:d>
                      <m:dPr>
                        <m:ctrlPr>
                          <a:rPr lang="en-US" sz="1100" b="0" i="1">
                            <a:solidFill>
                              <a:schemeClr val="tx1"/>
                            </a:solidFill>
                            <a:latin typeface="Cambria Math" panose="02040503050406030204" pitchFamily="18" charset="0"/>
                            <a:ea typeface="Cambria Math" panose="02040503050406030204" pitchFamily="18" charset="0"/>
                          </a:rPr>
                        </m:ctrlPr>
                      </m:dPr>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𝐿𝑜𝑠𝑠</m:t>
                            </m:r>
                          </m:e>
                          <m:sub>
                            <m:r>
                              <a:rPr lang="en-US" sz="1100" b="0" i="1">
                                <a:solidFill>
                                  <a:schemeClr val="tx1"/>
                                </a:solidFill>
                                <a:latin typeface="Cambria Math" panose="02040503050406030204" pitchFamily="18" charset="0"/>
                                <a:ea typeface="Cambria Math" panose="02040503050406030204" pitchFamily="18" charset="0"/>
                              </a:rPr>
                              <m:t>𝐿𝑎𝑡𝑒𝑠𝑡</m:t>
                            </m:r>
                          </m:sub>
                        </m:sSub>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𝐸</m:t>
                        </m:r>
                        <m:d>
                          <m:dPr>
                            <m:begChr m:val="["/>
                            <m:endChr m:val="]"/>
                            <m:ctrlPr>
                              <a:rPr lang="en-US" sz="1100" b="0" i="1">
                                <a:solidFill>
                                  <a:schemeClr val="tx1"/>
                                </a:solidFill>
                                <a:latin typeface="Cambria Math" panose="02040503050406030204" pitchFamily="18" charset="0"/>
                                <a:ea typeface="Cambria Math" panose="02040503050406030204" pitchFamily="18" charset="0"/>
                              </a:rPr>
                            </m:ctrlPr>
                          </m:dPr>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𝐿𝑜𝑠𝑠</m:t>
                                </m:r>
                              </m:e>
                              <m:sub>
                                <m:r>
                                  <a:rPr lang="en-US" sz="1100" b="0" i="1">
                                    <a:solidFill>
                                      <a:schemeClr val="tx1"/>
                                    </a:solidFill>
                                    <a:latin typeface="Cambria Math" panose="02040503050406030204" pitchFamily="18" charset="0"/>
                                    <a:ea typeface="Cambria Math" panose="02040503050406030204" pitchFamily="18" charset="0"/>
                                  </a:rPr>
                                  <m:t>𝐿𝑎𝑡𝑒𝑠𝑡</m:t>
                                </m:r>
                              </m:sub>
                            </m:sSub>
                          </m:e>
                        </m:d>
                      </m:e>
                    </m:d>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34840FCB-0D4E-654F-B9B1-9DD021CF986F}"/>
                </a:ext>
              </a:extLst>
            </xdr:cNvPr>
            <xdr:cNvSpPr txBox="1"/>
          </xdr:nvSpPr>
          <xdr:spPr>
            <a:xfrm>
              <a:off x="1005418" y="14012333"/>
              <a:ext cx="4095749" cy="28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〖𝐿𝑜𝑠𝑠〗_(𝐴𝑌,𝑈𝑙𝑡)^𝑠𝑖𝑚~𝑙𝑜𝑔𝑛𝑜𝑟𝑚𝑎𝑙(𝜇_(𝐴𝑌,𝑈𝑙𝑡), 𝜎_𝑈𝑙𝑡 )+(〖𝐿𝑜𝑠𝑠〗_𝐿𝑎𝑡𝑒𝑠𝑡−𝐸[〖𝐿𝑜𝑠𝑠〗_𝐿𝑎𝑡𝑒𝑠𝑡 ])</a:t>
              </a:r>
              <a:endParaRPr lang="en-US" sz="1100">
                <a:solidFill>
                  <a:schemeClr val="tx1"/>
                </a:solidFill>
              </a:endParaRPr>
            </a:p>
          </xdr:txBody>
        </xdr:sp>
      </mc:Fallback>
    </mc:AlternateContent>
    <xdr:clientData/>
  </xdr:oneCellAnchor>
  <xdr:oneCellAnchor>
    <xdr:from>
      <xdr:col>1</xdr:col>
      <xdr:colOff>190501</xdr:colOff>
      <xdr:row>38</xdr:row>
      <xdr:rowOff>127001</xdr:rowOff>
    </xdr:from>
    <xdr:ext cx="1464439" cy="264431"/>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AAE2552C-187C-C043-A875-EA01DE230930}"/>
                </a:ext>
              </a:extLst>
            </xdr:cNvPr>
            <xdr:cNvSpPr txBox="1"/>
          </xdr:nvSpPr>
          <xdr:spPr>
            <a:xfrm>
              <a:off x="1016001" y="8138584"/>
              <a:ext cx="1464439"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𝑑</m:t>
                        </m:r>
                      </m:e>
                      <m:sub>
                        <m:r>
                          <a:rPr lang="en-US" sz="1100" b="0" i="1">
                            <a:solidFill>
                              <a:schemeClr val="tx1"/>
                            </a:solidFill>
                            <a:latin typeface="Cambria Math" panose="02040503050406030204" pitchFamily="18" charset="0"/>
                            <a:ea typeface="Cambria Math" panose="02040503050406030204" pitchFamily="18" charset="0"/>
                          </a:rPr>
                          <m:t>𝑙𝑎𝑡𝑒𝑠𝑡</m:t>
                        </m:r>
                      </m:sub>
                    </m:sSub>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𝑑</m:t>
                        </m:r>
                      </m:e>
                      <m:sub>
                        <m:r>
                          <a:rPr lang="en-US" sz="1100" b="0" i="1">
                            <a:solidFill>
                              <a:schemeClr val="tx1"/>
                            </a:solidFill>
                            <a:latin typeface="Cambria Math" panose="02040503050406030204" pitchFamily="18" charset="0"/>
                            <a:ea typeface="Cambria Math" panose="02040503050406030204" pitchFamily="18" charset="0"/>
                          </a:rPr>
                          <m:t>𝑈𝑙𝑡</m:t>
                        </m:r>
                      </m:sub>
                    </m:sSub>
                    <m:r>
                      <a:rPr lang="en-US" sz="1100" b="0" i="1">
                        <a:solidFill>
                          <a:schemeClr val="tx1"/>
                        </a:solidFill>
                        <a:latin typeface="Cambria Math" panose="02040503050406030204" pitchFamily="18" charset="0"/>
                      </a:rPr>
                      <m:t>+1−</m:t>
                    </m:r>
                    <m:r>
                      <a:rPr lang="en-US" sz="1100" b="0" i="1">
                        <a:solidFill>
                          <a:schemeClr val="tx1"/>
                        </a:solidFill>
                        <a:latin typeface="Cambria Math" panose="02040503050406030204" pitchFamily="18" charset="0"/>
                      </a:rPr>
                      <m:t>𝑤</m:t>
                    </m:r>
                  </m:oMath>
                </m:oMathPara>
              </a14:m>
              <a:endParaRPr lang="en-US" sz="1100">
                <a:solidFill>
                  <a:schemeClr val="tx1"/>
                </a:solidFill>
              </a:endParaRPr>
            </a:p>
          </xdr:txBody>
        </xdr:sp>
      </mc:Choice>
      <mc:Fallback xmlns="">
        <xdr:sp macro="" textlink="">
          <xdr:nvSpPr>
            <xdr:cNvPr id="18" name="TextBox 17">
              <a:extLst>
                <a:ext uri="{FF2B5EF4-FFF2-40B4-BE49-F238E27FC236}">
                  <a16:creationId xmlns:a16="http://schemas.microsoft.com/office/drawing/2014/main" id="{AAE2552C-187C-C043-A875-EA01DE230930}"/>
                </a:ext>
              </a:extLst>
            </xdr:cNvPr>
            <xdr:cNvSpPr txBox="1"/>
          </xdr:nvSpPr>
          <xdr:spPr>
            <a:xfrm>
              <a:off x="1016001" y="8138584"/>
              <a:ext cx="1464439"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𝑑_𝑙𝑎𝑡𝑒𝑠𝑡</a:t>
              </a:r>
              <a:r>
                <a:rPr lang="en-US" sz="1100" b="0" i="0">
                  <a:solidFill>
                    <a:schemeClr val="tx1"/>
                  </a:solidFill>
                  <a:latin typeface="Cambria Math" panose="02040503050406030204" pitchFamily="18" charset="0"/>
                </a:rPr>
                <a:t>=</a:t>
              </a:r>
              <a:r>
                <a:rPr lang="en-US" sz="1100" b="0" i="0">
                  <a:solidFill>
                    <a:schemeClr val="tx1"/>
                  </a:solidFill>
                  <a:latin typeface="Cambria Math" panose="02040503050406030204" pitchFamily="18" charset="0"/>
                  <a:ea typeface="Cambria Math" panose="02040503050406030204" pitchFamily="18" charset="0"/>
                </a:rPr>
                <a:t>𝑑_𝑈𝑙𝑡</a:t>
              </a:r>
              <a:r>
                <a:rPr lang="en-US" sz="1100" b="0" i="0">
                  <a:solidFill>
                    <a:schemeClr val="tx1"/>
                  </a:solidFill>
                  <a:latin typeface="Cambria Math" panose="02040503050406030204" pitchFamily="18" charset="0"/>
                </a:rPr>
                <a:t>+1−𝑤</a:t>
              </a:r>
              <a:endParaRPr lang="en-US" sz="1100">
                <a:solidFill>
                  <a:schemeClr val="tx1"/>
                </a:solidFill>
              </a:endParaRPr>
            </a:p>
          </xdr:txBody>
        </xdr:sp>
      </mc:Fallback>
    </mc:AlternateContent>
    <xdr:clientData/>
  </xdr:oneCellAnchor>
  <xdr:oneCellAnchor>
    <xdr:from>
      <xdr:col>1</xdr:col>
      <xdr:colOff>232833</xdr:colOff>
      <xdr:row>48</xdr:row>
      <xdr:rowOff>169333</xdr:rowOff>
    </xdr:from>
    <xdr:ext cx="1745734" cy="283411"/>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5E3DA731-0247-5948-AC27-054E4A69D119}"/>
                </a:ext>
              </a:extLst>
            </xdr:cNvPr>
            <xdr:cNvSpPr txBox="1"/>
          </xdr:nvSpPr>
          <xdr:spPr>
            <a:xfrm>
              <a:off x="1058333" y="13091583"/>
              <a:ext cx="1745734"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Sub>
                      </m:e>
                    </m:d>
                  </m:oMath>
                </m:oMathPara>
              </a14:m>
              <a:endParaRPr lang="en-US" sz="1100"/>
            </a:p>
          </xdr:txBody>
        </xdr:sp>
      </mc:Choice>
      <mc:Fallback xmlns="">
        <xdr:sp macro="" textlink="">
          <xdr:nvSpPr>
            <xdr:cNvPr id="23" name="TextBox 22">
              <a:extLst>
                <a:ext uri="{FF2B5EF4-FFF2-40B4-BE49-F238E27FC236}">
                  <a16:creationId xmlns:a16="http://schemas.microsoft.com/office/drawing/2014/main" id="{5E3DA731-0247-5948-AC27-054E4A69D119}"/>
                </a:ext>
              </a:extLst>
            </xdr:cNvPr>
            <xdr:cNvSpPr txBox="1"/>
          </xdr:nvSpPr>
          <xdr:spPr>
            <a:xfrm>
              <a:off x="1058333" y="13091583"/>
              <a:ext cx="1745734"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𝐶_(𝑤,𝑑)~𝑙𝑜𝑔𝑛𝑜𝑟𝑚𝑎𝑙(𝜇_(𝑤,𝑑), 𝜎_𝑑 )</a:t>
              </a:r>
              <a:endParaRPr lang="en-US" sz="1100"/>
            </a:p>
          </xdr:txBody>
        </xdr:sp>
      </mc:Fallback>
    </mc:AlternateContent>
    <xdr:clientData/>
  </xdr:oneCellAnchor>
  <xdr:oneCellAnchor>
    <xdr:from>
      <xdr:col>2</xdr:col>
      <xdr:colOff>264584</xdr:colOff>
      <xdr:row>55</xdr:row>
      <xdr:rowOff>190500</xdr:rowOff>
    </xdr:from>
    <xdr:ext cx="4389984" cy="27635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809C10D8-4C14-5B4C-BB75-4C644CC9A4FE}"/>
                </a:ext>
              </a:extLst>
            </xdr:cNvPr>
            <xdr:cNvSpPr txBox="1"/>
          </xdr:nvSpPr>
          <xdr:spPr>
            <a:xfrm>
              <a:off x="1927129" y="11955318"/>
              <a:ext cx="4389984" cy="2763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left"/>
                  </m:oMathParaPr>
                  <m:oMath>
                    <m:sSub>
                      <m:sSubPr>
                        <m:ctrlPr>
                          <a:rPr lang="en-US" sz="1100" b="0" i="1">
                            <a:solidFill>
                              <a:schemeClr val="tx1"/>
                            </a:solidFill>
                            <a:latin typeface="Cambria Math" panose="02040503050406030204" pitchFamily="18" charset="0"/>
                            <a:ea typeface="Cambria Math" panose="02040503050406030204" pitchFamily="18" charset="0"/>
                          </a:rPr>
                        </m:ctrlPr>
                      </m:sSubPr>
                      <m:e>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𝐶</m:t>
                            </m:r>
                          </m:e>
                        </m:acc>
                      </m:e>
                      <m:sub>
                        <m:r>
                          <a:rPr lang="en-US" sz="1100" b="0" i="1">
                            <a:solidFill>
                              <a:schemeClr val="tx1"/>
                            </a:solidFill>
                            <a:latin typeface="Cambria Math" panose="02040503050406030204" pitchFamily="18" charset="0"/>
                            <a:ea typeface="Cambria Math" panose="02040503050406030204" pitchFamily="18" charset="0"/>
                          </a:rPr>
                          <m:t>4,</m:t>
                        </m:r>
                        <m:r>
                          <a:rPr lang="en-US" sz="1100" b="0" i="1">
                            <a:solidFill>
                              <a:schemeClr val="tx1"/>
                            </a:solidFill>
                            <a:latin typeface="Cambria Math" panose="02040503050406030204" pitchFamily="18" charset="0"/>
                            <a:ea typeface="Cambria Math" panose="02040503050406030204" pitchFamily="18" charset="0"/>
                          </a:rPr>
                          <m:t>𝑈𝑙𝑡</m:t>
                        </m:r>
                      </m:sub>
                    </m:sSub>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𝑙𝑜𝑔𝑛𝑜𝑟𝑚𝑎𝑙</m:t>
                    </m:r>
                    <m:d>
                      <m:dPr>
                        <m:ctrlPr>
                          <a:rPr lang="en-US" sz="1100" b="0" i="1">
                            <a:solidFill>
                              <a:schemeClr val="tx1"/>
                            </a:solidFill>
                            <a:latin typeface="Cambria Math" panose="02040503050406030204" pitchFamily="18" charset="0"/>
                            <a:ea typeface="Cambria Math" panose="02040503050406030204" pitchFamily="18" charset="0"/>
                          </a:rPr>
                        </m:ctrlPr>
                      </m:dPr>
                      <m:e>
                        <m:r>
                          <a:rPr lang="en-US" sz="1100" b="0" i="1">
                            <a:solidFill>
                              <a:schemeClr val="tx1"/>
                            </a:solidFill>
                            <a:latin typeface="Cambria Math" panose="02040503050406030204" pitchFamily="18" charset="0"/>
                            <a:ea typeface="Cambria Math" panose="02040503050406030204" pitchFamily="18" charset="0"/>
                          </a:rPr>
                          <m:t>10.885, 0.042</m:t>
                        </m:r>
                      </m:e>
                    </m:d>
                    <m:r>
                      <a:rPr lang="en-US" sz="1100" b="0" i="1">
                        <a:solidFill>
                          <a:schemeClr val="tx1"/>
                        </a:solidFill>
                        <a:latin typeface="Cambria Math" panose="02040503050406030204" pitchFamily="18" charset="0"/>
                        <a:ea typeface="Cambria Math" panose="02040503050406030204" pitchFamily="18" charset="0"/>
                      </a:rPr>
                      <m:t>−</m:t>
                    </m:r>
                    <m:func>
                      <m:funcPr>
                        <m:ctrlPr>
                          <a:rPr lang="en-US" sz="1100" b="0" i="0">
                            <a:solidFill>
                              <a:schemeClr val="tx1"/>
                            </a:solidFill>
                            <a:latin typeface="Cambria Math" panose="02040503050406030204" pitchFamily="18" charset="0"/>
                            <a:ea typeface="Cambria Math" panose="02040503050406030204" pitchFamily="18" charset="0"/>
                          </a:rPr>
                        </m:ctrlPr>
                      </m:funcPr>
                      <m:fName>
                        <m:r>
                          <m:rPr>
                            <m:sty m:val="p"/>
                          </m:rPr>
                          <a:rPr lang="en-US" sz="1100" b="0" i="0">
                            <a:solidFill>
                              <a:schemeClr val="tx1"/>
                            </a:solidFill>
                            <a:latin typeface="Cambria Math" panose="02040503050406030204" pitchFamily="18" charset="0"/>
                            <a:ea typeface="Cambria Math" panose="02040503050406030204" pitchFamily="18" charset="0"/>
                          </a:rPr>
                          <m:t>exp</m:t>
                        </m:r>
                      </m:fName>
                      <m:e>
                        <m:d>
                          <m:dPr>
                            <m:ctrlPr>
                              <a:rPr lang="en-US" sz="1100" b="0" i="1">
                                <a:solidFill>
                                  <a:schemeClr val="tx1"/>
                                </a:solidFill>
                                <a:latin typeface="Cambria Math" panose="02040503050406030204" pitchFamily="18" charset="0"/>
                                <a:ea typeface="Cambria Math" panose="02040503050406030204" pitchFamily="18" charset="0"/>
                              </a:rPr>
                            </m:ctrlPr>
                          </m:dPr>
                          <m:e>
                            <m:r>
                              <a:rPr lang="en-US" sz="1100" b="0" i="1">
                                <a:solidFill>
                                  <a:schemeClr val="tx1"/>
                                </a:solidFill>
                                <a:latin typeface="Cambria Math" panose="02040503050406030204" pitchFamily="18" charset="0"/>
                                <a:ea typeface="Cambria Math" panose="02040503050406030204" pitchFamily="18" charset="0"/>
                              </a:rPr>
                              <m:t>10.762+</m:t>
                            </m:r>
                            <m:f>
                              <m:fPr>
                                <m:type m:val="lin"/>
                                <m:ctrlPr>
                                  <a:rPr lang="en-US" sz="1100" b="0" i="1">
                                    <a:solidFill>
                                      <a:schemeClr val="tx1"/>
                                    </a:solidFill>
                                    <a:latin typeface="Cambria Math" panose="02040503050406030204" pitchFamily="18" charset="0"/>
                                    <a:ea typeface="Cambria Math" panose="02040503050406030204" pitchFamily="18" charset="0"/>
                                  </a:rPr>
                                </m:ctrlPr>
                              </m:fPr>
                              <m:num>
                                <m:sSup>
                                  <m:sSupPr>
                                    <m:ctrlPr>
                                      <a:rPr lang="en-US" sz="1100" b="0" i="1">
                                        <a:solidFill>
                                          <a:schemeClr val="tx1"/>
                                        </a:solidFill>
                                        <a:latin typeface="Cambria Math" panose="02040503050406030204" pitchFamily="18" charset="0"/>
                                        <a:ea typeface="Cambria Math" panose="02040503050406030204" pitchFamily="18" charset="0"/>
                                      </a:rPr>
                                    </m:ctrlPr>
                                  </m:sSupPr>
                                  <m:e>
                                    <m:r>
                                      <a:rPr lang="en-US" sz="1100" b="0" i="1">
                                        <a:solidFill>
                                          <a:schemeClr val="tx1"/>
                                        </a:solidFill>
                                        <a:latin typeface="Cambria Math" panose="02040503050406030204" pitchFamily="18" charset="0"/>
                                        <a:ea typeface="Cambria Math" panose="02040503050406030204" pitchFamily="18" charset="0"/>
                                      </a:rPr>
                                      <m:t>0.120</m:t>
                                    </m:r>
                                  </m:e>
                                  <m:sup>
                                    <m:r>
                                      <a:rPr lang="en-US" sz="1100" b="0" i="1">
                                        <a:solidFill>
                                          <a:schemeClr val="tx1"/>
                                        </a:solidFill>
                                        <a:latin typeface="Cambria Math" panose="02040503050406030204" pitchFamily="18" charset="0"/>
                                        <a:ea typeface="Cambria Math" panose="02040503050406030204" pitchFamily="18" charset="0"/>
                                      </a:rPr>
                                      <m:t>2</m:t>
                                    </m:r>
                                  </m:sup>
                                </m:sSup>
                              </m:num>
                              <m:den>
                                <m:r>
                                  <a:rPr lang="en-US" sz="1100" b="0" i="1">
                                    <a:solidFill>
                                      <a:schemeClr val="tx1"/>
                                    </a:solidFill>
                                    <a:latin typeface="Cambria Math" panose="02040503050406030204" pitchFamily="18" charset="0"/>
                                    <a:ea typeface="Cambria Math" panose="02040503050406030204" pitchFamily="18" charset="0"/>
                                  </a:rPr>
                                  <m:t>2</m:t>
                                </m:r>
                              </m:den>
                            </m:f>
                          </m:e>
                        </m:d>
                      </m:e>
                    </m:func>
                    <m:r>
                      <a:rPr lang="en-US" sz="1100" b="0" i="1">
                        <a:solidFill>
                          <a:schemeClr val="tx1"/>
                        </a:solidFill>
                        <a:latin typeface="Cambria Math" panose="02040503050406030204" pitchFamily="18" charset="0"/>
                        <a:ea typeface="Cambria Math" panose="02040503050406030204" pitchFamily="18" charset="0"/>
                      </a:rPr>
                      <m:t>+51,513</m:t>
                    </m:r>
                  </m:oMath>
                </m:oMathPara>
              </a14:m>
              <a:endParaRPr lang="en-US" sz="1100">
                <a:solidFill>
                  <a:schemeClr val="tx1"/>
                </a:solidFill>
              </a:endParaRPr>
            </a:p>
          </xdr:txBody>
        </xdr:sp>
      </mc:Choice>
      <mc:Fallback xmlns="">
        <xdr:sp macro="" textlink="">
          <xdr:nvSpPr>
            <xdr:cNvPr id="24" name="TextBox 23">
              <a:extLst>
                <a:ext uri="{FF2B5EF4-FFF2-40B4-BE49-F238E27FC236}">
                  <a16:creationId xmlns:a16="http://schemas.microsoft.com/office/drawing/2014/main" id="{809C10D8-4C14-5B4C-BB75-4C644CC9A4FE}"/>
                </a:ext>
              </a:extLst>
            </xdr:cNvPr>
            <xdr:cNvSpPr txBox="1"/>
          </xdr:nvSpPr>
          <xdr:spPr>
            <a:xfrm>
              <a:off x="1927129" y="11955318"/>
              <a:ext cx="4389984" cy="2763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𝐶 ̃_(4,𝑈𝑙𝑡)~𝑙𝑜𝑔𝑛𝑜𝑟𝑚𝑎𝑙(10.885, 0.042)−exp⁡(10.762+〖0.120〗^2∕2)+51,513</a:t>
              </a:r>
              <a:endParaRPr lang="en-US" sz="1100">
                <a:solidFill>
                  <a:schemeClr val="tx1"/>
                </a:solidFill>
              </a:endParaRPr>
            </a:p>
          </xdr:txBody>
        </xdr:sp>
      </mc:Fallback>
    </mc:AlternateContent>
    <xdr:clientData/>
  </xdr:oneCellAnchor>
  <xdr:oneCellAnchor>
    <xdr:from>
      <xdr:col>2</xdr:col>
      <xdr:colOff>296335</xdr:colOff>
      <xdr:row>58</xdr:row>
      <xdr:rowOff>10584</xdr:rowOff>
    </xdr:from>
    <xdr:ext cx="2660793" cy="276358"/>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505120D5-4F9A-AD4C-9240-BC6414DA8E41}"/>
                </a:ext>
              </a:extLst>
            </xdr:cNvPr>
            <xdr:cNvSpPr txBox="1"/>
          </xdr:nvSpPr>
          <xdr:spPr>
            <a:xfrm>
              <a:off x="1958880" y="12398857"/>
              <a:ext cx="2660793" cy="27635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left"/>
                  </m:oMathParaPr>
                  <m:oMath>
                    <m:sSub>
                      <m:sSubPr>
                        <m:ctrlPr>
                          <a:rPr lang="en-US" sz="1100" b="0" i="1">
                            <a:solidFill>
                              <a:schemeClr val="tx1"/>
                            </a:solidFill>
                            <a:latin typeface="Cambria Math" panose="02040503050406030204" pitchFamily="18" charset="0"/>
                            <a:ea typeface="Cambria Math" panose="02040503050406030204" pitchFamily="18" charset="0"/>
                          </a:rPr>
                        </m:ctrlPr>
                      </m:sSubPr>
                      <m:e>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𝐶</m:t>
                            </m:r>
                          </m:e>
                        </m:acc>
                      </m:e>
                      <m:sub>
                        <m:r>
                          <a:rPr lang="en-US" sz="1100" b="0" i="1">
                            <a:solidFill>
                              <a:schemeClr val="tx1"/>
                            </a:solidFill>
                            <a:latin typeface="Cambria Math" panose="02040503050406030204" pitchFamily="18" charset="0"/>
                            <a:ea typeface="Cambria Math" panose="02040503050406030204" pitchFamily="18" charset="0"/>
                          </a:rPr>
                          <m:t>4,</m:t>
                        </m:r>
                        <m:r>
                          <a:rPr lang="en-US" sz="1100" b="0" i="1">
                            <a:solidFill>
                              <a:schemeClr val="tx1"/>
                            </a:solidFill>
                            <a:latin typeface="Cambria Math" panose="02040503050406030204" pitchFamily="18" charset="0"/>
                            <a:ea typeface="Cambria Math" panose="02040503050406030204" pitchFamily="18" charset="0"/>
                          </a:rPr>
                          <m:t>𝑈𝑙𝑡</m:t>
                        </m:r>
                      </m:sub>
                    </m:sSub>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𝑙𝑜𝑔𝑛𝑜𝑟𝑚𝑎𝑙</m:t>
                    </m:r>
                    <m:d>
                      <m:dPr>
                        <m:ctrlPr>
                          <a:rPr lang="en-US" sz="1100" b="0" i="1">
                            <a:solidFill>
                              <a:schemeClr val="tx1"/>
                            </a:solidFill>
                            <a:latin typeface="Cambria Math" panose="02040503050406030204" pitchFamily="18" charset="0"/>
                            <a:ea typeface="Cambria Math" panose="02040503050406030204" pitchFamily="18" charset="0"/>
                          </a:rPr>
                        </m:ctrlPr>
                      </m:dPr>
                      <m:e>
                        <m:r>
                          <a:rPr lang="en-US" sz="1100" b="0" i="1">
                            <a:solidFill>
                              <a:schemeClr val="tx1"/>
                            </a:solidFill>
                            <a:latin typeface="Cambria Math" panose="02040503050406030204" pitchFamily="18" charset="0"/>
                            <a:ea typeface="Cambria Math" panose="02040503050406030204" pitchFamily="18" charset="0"/>
                          </a:rPr>
                          <m:t>10.885, 0.042</m:t>
                        </m:r>
                      </m:e>
                    </m:d>
                    <m:r>
                      <a:rPr lang="en-US" sz="1100" b="0" i="1">
                        <a:solidFill>
                          <a:schemeClr val="tx1"/>
                        </a:solidFill>
                        <a:latin typeface="Cambria Math" panose="02040503050406030204" pitchFamily="18" charset="0"/>
                        <a:ea typeface="Cambria Math" panose="02040503050406030204" pitchFamily="18" charset="0"/>
                      </a:rPr>
                      <m:t>+3,967</m:t>
                    </m:r>
                  </m:oMath>
                </m:oMathPara>
              </a14:m>
              <a:endParaRPr lang="en-US" sz="1100">
                <a:solidFill>
                  <a:schemeClr val="tx1"/>
                </a:solidFill>
              </a:endParaRPr>
            </a:p>
          </xdr:txBody>
        </xdr:sp>
      </mc:Choice>
      <mc:Fallback xmlns="">
        <xdr:sp macro="" textlink="">
          <xdr:nvSpPr>
            <xdr:cNvPr id="25" name="TextBox 24">
              <a:extLst>
                <a:ext uri="{FF2B5EF4-FFF2-40B4-BE49-F238E27FC236}">
                  <a16:creationId xmlns:a16="http://schemas.microsoft.com/office/drawing/2014/main" id="{505120D5-4F9A-AD4C-9240-BC6414DA8E41}"/>
                </a:ext>
              </a:extLst>
            </xdr:cNvPr>
            <xdr:cNvSpPr txBox="1"/>
          </xdr:nvSpPr>
          <xdr:spPr>
            <a:xfrm>
              <a:off x="1958880" y="12398857"/>
              <a:ext cx="2660793" cy="27635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𝐶 ̃_(4,𝑈𝑙𝑡)~𝑙𝑜𝑔𝑛𝑜𝑟𝑚𝑎𝑙(10.885, 0.042)+3,967</a:t>
              </a:r>
              <a:endParaRPr lang="en-US" sz="1100">
                <a:solidFill>
                  <a:schemeClr val="tx1"/>
                </a:solidFill>
              </a:endParaRPr>
            </a:p>
          </xdr:txBody>
        </xdr:sp>
      </mc:Fallback>
    </mc:AlternateContent>
    <xdr:clientData/>
  </xdr:oneCellAnchor>
  <xdr:oneCellAnchor>
    <xdr:from>
      <xdr:col>6</xdr:col>
      <xdr:colOff>730251</xdr:colOff>
      <xdr:row>52</xdr:row>
      <xdr:rowOff>190500</xdr:rowOff>
    </xdr:from>
    <xdr:ext cx="947247" cy="367793"/>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EA896150-B605-5F4B-B103-E894FFDB7A3C}"/>
                </a:ext>
              </a:extLst>
            </xdr:cNvPr>
            <xdr:cNvSpPr txBox="1"/>
          </xdr:nvSpPr>
          <xdr:spPr>
            <a:xfrm>
              <a:off x="5683251" y="13917083"/>
              <a:ext cx="947247" cy="367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ea typeface="Cambria Math" panose="02040503050406030204" pitchFamily="18" charset="0"/>
                      </a:rPr>
                      <m:t>𝐸</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𝐶</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𝑒</m:t>
                        </m:r>
                      </m:e>
                      <m:sup>
                        <m:r>
                          <a:rPr lang="en-US" sz="1100" b="0" i="1">
                            <a:latin typeface="Cambria Math" panose="02040503050406030204" pitchFamily="18" charset="0"/>
                            <a:ea typeface="Cambria Math" panose="02040503050406030204" pitchFamily="18" charset="0"/>
                          </a:rPr>
                          <m:t>𝜇</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𝜎</m:t>
                                </m:r>
                              </m:e>
                              <m:sup>
                                <m:r>
                                  <a:rPr lang="en-US" sz="1100" b="0" i="1">
                                    <a:latin typeface="Cambria Math" panose="02040503050406030204" pitchFamily="18" charset="0"/>
                                    <a:ea typeface="Cambria Math" panose="02040503050406030204" pitchFamily="18" charset="0"/>
                                  </a:rPr>
                                  <m:t>2</m:t>
                                </m:r>
                              </m:sup>
                            </m:sSup>
                          </m:num>
                          <m:den>
                            <m:r>
                              <a:rPr lang="en-US" sz="1100" b="0" i="1">
                                <a:latin typeface="Cambria Math" panose="02040503050406030204" pitchFamily="18" charset="0"/>
                                <a:ea typeface="Cambria Math" panose="02040503050406030204" pitchFamily="18" charset="0"/>
                              </a:rPr>
                              <m:t>2</m:t>
                            </m:r>
                          </m:den>
                        </m:f>
                      </m:sup>
                    </m:sSup>
                  </m:oMath>
                </m:oMathPara>
              </a14:m>
              <a:endParaRPr lang="en-US" sz="1100"/>
            </a:p>
          </xdr:txBody>
        </xdr:sp>
      </mc:Choice>
      <mc:Fallback xmlns="">
        <xdr:sp macro="" textlink="">
          <xdr:nvSpPr>
            <xdr:cNvPr id="30" name="TextBox 29">
              <a:extLst>
                <a:ext uri="{FF2B5EF4-FFF2-40B4-BE49-F238E27FC236}">
                  <a16:creationId xmlns:a16="http://schemas.microsoft.com/office/drawing/2014/main" id="{EA896150-B605-5F4B-B103-E894FFDB7A3C}"/>
                </a:ext>
              </a:extLst>
            </xdr:cNvPr>
            <xdr:cNvSpPr txBox="1"/>
          </xdr:nvSpPr>
          <xdr:spPr>
            <a:xfrm>
              <a:off x="5683251" y="13917083"/>
              <a:ext cx="947247" cy="367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𝐸[𝐶]=𝑒^(𝜇+𝜎^2/2)</a:t>
              </a:r>
              <a:endParaRPr lang="en-US" sz="1100"/>
            </a:p>
          </xdr:txBody>
        </xdr:sp>
      </mc:Fallback>
    </mc:AlternateContent>
    <xdr:clientData/>
  </xdr:oneCellAnchor>
  <xdr:oneCellAnchor>
    <xdr:from>
      <xdr:col>1</xdr:col>
      <xdr:colOff>232835</xdr:colOff>
      <xdr:row>110</xdr:row>
      <xdr:rowOff>105834</xdr:rowOff>
    </xdr:from>
    <xdr:ext cx="3128549" cy="176908"/>
    <mc:AlternateContent xmlns:mc="http://schemas.openxmlformats.org/markup-compatibility/2006" xmlns:a14="http://schemas.microsoft.com/office/drawing/2010/main">
      <mc:Choice Requires="a14">
        <xdr:sp macro="" textlink="">
          <xdr:nvSpPr>
            <xdr:cNvPr id="57" name="TextBox 56">
              <a:extLst>
                <a:ext uri="{FF2B5EF4-FFF2-40B4-BE49-F238E27FC236}">
                  <a16:creationId xmlns:a16="http://schemas.microsoft.com/office/drawing/2014/main" id="{0E7DF949-4022-8A4A-A0A8-BB5D1A061542}"/>
                </a:ext>
              </a:extLst>
            </xdr:cNvPr>
            <xdr:cNvSpPr txBox="1"/>
          </xdr:nvSpPr>
          <xdr:spPr>
            <a:xfrm>
              <a:off x="1058335" y="25611667"/>
              <a:ext cx="3128549" cy="17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𝑈𝑙𝑡</m:t>
                        </m:r>
                      </m:sub>
                    </m:sSub>
                    <m:r>
                      <a:rPr lang="en-US" sz="1100" b="0" i="1">
                        <a:solidFill>
                          <a:schemeClr val="tx1"/>
                        </a:solidFill>
                        <a:latin typeface="Cambria Math" panose="02040503050406030204" pitchFamily="18" charset="0"/>
                        <a:ea typeface="+mn-ea"/>
                      </a:rPr>
                      <m:t>←</m:t>
                    </m:r>
                    <m:r>
                      <a:rPr lang="en-US" sz="1100" b="0" i="1">
                        <a:solidFill>
                          <a:schemeClr val="tx1"/>
                        </a:solidFill>
                        <a:latin typeface="Cambria Math" panose="02040503050406030204" pitchFamily="18" charset="0"/>
                        <a:ea typeface="+mn-ea"/>
                      </a:rPr>
                      <m:t>𝑈𝑙𝑡𝑖𝑚𝑎𝑡𝑒</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𝑙𝑜𝑠𝑠</m:t>
                    </m:r>
                    <m:r>
                      <a:rPr lang="en-US" sz="1100" b="0" i="1">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what</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we</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want</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to</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simulate</m:t>
                    </m:r>
                    <m:r>
                      <a:rPr lang="en-US" sz="1100" b="0" i="0">
                        <a:solidFill>
                          <a:schemeClr val="tx1"/>
                        </a:solidFill>
                        <a:latin typeface="Cambria Math" panose="02040503050406030204" pitchFamily="18" charset="0"/>
                        <a:ea typeface="+mn-ea"/>
                      </a:rPr>
                      <m:t>)</m:t>
                    </m:r>
                  </m:oMath>
                </m:oMathPara>
              </a14:m>
              <a:endParaRPr lang="en-US" sz="1100" i="0">
                <a:solidFill>
                  <a:schemeClr val="tx1"/>
                </a:solidFill>
              </a:endParaRPr>
            </a:p>
          </xdr:txBody>
        </xdr:sp>
      </mc:Choice>
      <mc:Fallback xmlns="">
        <xdr:sp macro="" textlink="">
          <xdr:nvSpPr>
            <xdr:cNvPr id="57" name="TextBox 56">
              <a:extLst>
                <a:ext uri="{FF2B5EF4-FFF2-40B4-BE49-F238E27FC236}">
                  <a16:creationId xmlns:a16="http://schemas.microsoft.com/office/drawing/2014/main" id="{0E7DF949-4022-8A4A-A0A8-BB5D1A061542}"/>
                </a:ext>
              </a:extLst>
            </xdr:cNvPr>
            <xdr:cNvSpPr txBox="1"/>
          </xdr:nvSpPr>
          <xdr:spPr>
            <a:xfrm>
              <a:off x="1058335" y="25611667"/>
              <a:ext cx="3128549" cy="17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𝐶_(𝑤,𝑈𝑙𝑡)</a:t>
              </a:r>
              <a:r>
                <a:rPr lang="en-US" sz="1100" b="0" i="0">
                  <a:solidFill>
                    <a:schemeClr val="tx1"/>
                  </a:solidFill>
                  <a:latin typeface="Cambria Math" panose="02040503050406030204" pitchFamily="18" charset="0"/>
                  <a:ea typeface="+mn-ea"/>
                </a:rPr>
                <a:t>←𝑈𝑙𝑡𝑖𝑚𝑎𝑡𝑒 𝑙𝑜𝑠𝑠 (what we want to simulate)</a:t>
              </a:r>
              <a:endParaRPr lang="en-US" sz="1100" i="0">
                <a:solidFill>
                  <a:schemeClr val="tx1"/>
                </a:solidFill>
              </a:endParaRPr>
            </a:p>
          </xdr:txBody>
        </xdr:sp>
      </mc:Fallback>
    </mc:AlternateContent>
    <xdr:clientData/>
  </xdr:oneCellAnchor>
  <xdr:oneCellAnchor>
    <xdr:from>
      <xdr:col>1</xdr:col>
      <xdr:colOff>116417</xdr:colOff>
      <xdr:row>127</xdr:row>
      <xdr:rowOff>127000</xdr:rowOff>
    </xdr:from>
    <xdr:ext cx="4467057" cy="294055"/>
    <mc:AlternateContent xmlns:mc="http://schemas.openxmlformats.org/markup-compatibility/2006" xmlns:a14="http://schemas.microsoft.com/office/drawing/2010/main">
      <mc:Choice Requires="a14">
        <xdr:sp macro="" textlink="">
          <xdr:nvSpPr>
            <xdr:cNvPr id="58" name="TextBox 57">
              <a:extLst>
                <a:ext uri="{FF2B5EF4-FFF2-40B4-BE49-F238E27FC236}">
                  <a16:creationId xmlns:a16="http://schemas.microsoft.com/office/drawing/2014/main" id="{4DDCBF6A-A50F-4E48-BDAE-ECBE7B0FD07B}"/>
                </a:ext>
              </a:extLst>
            </xdr:cNvPr>
            <xdr:cNvSpPr txBox="1"/>
          </xdr:nvSpPr>
          <xdr:spPr>
            <a:xfrm>
              <a:off x="941917" y="29855583"/>
              <a:ext cx="4467057" cy="2940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acc>
                          <m:accPr>
                            <m:chr m:val="̃"/>
                            <m:ctrlPr>
                              <a:rPr lang="en-US" sz="1100" b="0" i="1">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𝐶</m:t>
                            </m:r>
                          </m:e>
                        </m:acc>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𝑈𝑙𝑡</m:t>
                            </m:r>
                          </m:sub>
                        </m:sSub>
                      </m:e>
                    </m:d>
                    <m:r>
                      <a:rPr lang="en-US" sz="1100" b="0" i="1">
                        <a:latin typeface="Cambria Math" panose="02040503050406030204" pitchFamily="18" charset="0"/>
                        <a:ea typeface="Cambria Math" panose="02040503050406030204" pitchFamily="18" charset="0"/>
                      </a:rPr>
                      <m:t>−</m:t>
                    </m:r>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exp</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r>
                              <a:rPr lang="en-US" sz="1100" b="0" i="1">
                                <a:latin typeface="Cambria Math" panose="02040503050406030204" pitchFamily="18" charset="0"/>
                                <a:ea typeface="Cambria Math" panose="02040503050406030204" pitchFamily="18" charset="0"/>
                              </a:rPr>
                              <m:t>+</m:t>
                            </m:r>
                            <m:f>
                              <m:fPr>
                                <m:type m:val="lin"/>
                                <m:ctrlPr>
                                  <a:rPr lang="en-US" sz="1100" b="0" i="1">
                                    <a:latin typeface="Cambria Math" panose="02040503050406030204" pitchFamily="18" charset="0"/>
                                    <a:ea typeface="Cambria Math" panose="02040503050406030204" pitchFamily="18" charset="0"/>
                                  </a:rPr>
                                </m:ctrlPr>
                              </m:fPr>
                              <m:num>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up>
                                    <m:r>
                                      <a:rPr lang="en-US" sz="1100" b="0" i="1">
                                        <a:latin typeface="Cambria Math" panose="02040503050406030204" pitchFamily="18" charset="0"/>
                                        <a:ea typeface="Cambria Math" panose="02040503050406030204" pitchFamily="18" charset="0"/>
                                      </a:rPr>
                                      <m:t>2</m:t>
                                    </m:r>
                                  </m:sup>
                                </m:sSubSup>
                              </m:num>
                              <m:den>
                                <m:r>
                                  <a:rPr lang="en-US" sz="1100" b="0" i="1">
                                    <a:latin typeface="Cambria Math" panose="02040503050406030204" pitchFamily="18" charset="0"/>
                                    <a:ea typeface="Cambria Math" panose="02040503050406030204" pitchFamily="18" charset="0"/>
                                  </a:rPr>
                                  <m:t>2</m:t>
                                </m:r>
                              </m:den>
                            </m:f>
                          </m:e>
                        </m:d>
                      </m:e>
                    </m:func>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oMath>
                </m:oMathPara>
              </a14:m>
              <a:endParaRPr lang="en-US" sz="1100"/>
            </a:p>
          </xdr:txBody>
        </xdr:sp>
      </mc:Choice>
      <mc:Fallback xmlns="">
        <xdr:sp macro="" textlink="">
          <xdr:nvSpPr>
            <xdr:cNvPr id="58" name="TextBox 57">
              <a:extLst>
                <a:ext uri="{FF2B5EF4-FFF2-40B4-BE49-F238E27FC236}">
                  <a16:creationId xmlns:a16="http://schemas.microsoft.com/office/drawing/2014/main" id="{4DDCBF6A-A50F-4E48-BDAE-ECBE7B0FD07B}"/>
                </a:ext>
              </a:extLst>
            </xdr:cNvPr>
            <xdr:cNvSpPr txBox="1"/>
          </xdr:nvSpPr>
          <xdr:spPr>
            <a:xfrm>
              <a:off x="941917" y="29855583"/>
              <a:ext cx="4467057" cy="2940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 ̃_(𝑤,𝑈𝑙𝑡)~𝑙𝑜𝑔𝑛𝑜𝑟𝑚𝑎𝑙(𝜇_(𝑤,𝑈𝑙𝑡), 𝜎_𝑈𝑙𝑡 )−exp⁡(𝜇_(𝑤,𝑑_𝑙𝑎𝑡𝑒𝑠𝑡 )+𝜎_(𝑑_𝑙𝑎𝑡𝑒𝑠𝑡)^2∕2)+𝐶_(𝑤,𝑑_𝑙𝑎𝑡𝑒𝑠𝑡 )</a:t>
              </a:r>
              <a:endParaRPr lang="en-US" sz="1100"/>
            </a:p>
          </xdr:txBody>
        </xdr:sp>
      </mc:Fallback>
    </mc:AlternateContent>
    <xdr:clientData/>
  </xdr:oneCellAnchor>
  <xdr:oneCellAnchor>
    <xdr:from>
      <xdr:col>1</xdr:col>
      <xdr:colOff>275167</xdr:colOff>
      <xdr:row>113</xdr:row>
      <xdr:rowOff>63499</xdr:rowOff>
    </xdr:from>
    <xdr:ext cx="1914307" cy="403637"/>
    <mc:AlternateContent xmlns:mc="http://schemas.openxmlformats.org/markup-compatibility/2006" xmlns:a14="http://schemas.microsoft.com/office/drawing/2010/main">
      <mc:Choice Requires="a14">
        <xdr:sp macro="" textlink="">
          <xdr:nvSpPr>
            <xdr:cNvPr id="59" name="TextBox 58">
              <a:extLst>
                <a:ext uri="{FF2B5EF4-FFF2-40B4-BE49-F238E27FC236}">
                  <a16:creationId xmlns:a16="http://schemas.microsoft.com/office/drawing/2014/main" id="{303C1443-DFBA-374D-B362-6D24EF11BF9E}"/>
                </a:ext>
              </a:extLst>
            </xdr:cNvPr>
            <xdr:cNvSpPr txBox="1"/>
          </xdr:nvSpPr>
          <xdr:spPr>
            <a:xfrm>
              <a:off x="1100667" y="23304499"/>
              <a:ext cx="1914307" cy="403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𝐸</m:t>
                    </m:r>
                    <m:d>
                      <m:dPr>
                        <m:begChr m:val="["/>
                        <m:endChr m:val="]"/>
                        <m:ctrlPr>
                          <a:rPr lang="en-US" sz="1100" b="0" i="1">
                            <a:solidFill>
                              <a:schemeClr val="tx1"/>
                            </a:solidFill>
                            <a:latin typeface="Cambria Math" panose="02040503050406030204" pitchFamily="18" charset="0"/>
                            <a:ea typeface="Cambria Math" panose="02040503050406030204" pitchFamily="18" charset="0"/>
                          </a:rPr>
                        </m:ctrlPr>
                      </m:dPr>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Sub>
                      </m:e>
                    </m:d>
                    <m:r>
                      <a:rPr lang="en-US" sz="1100" b="0" i="1">
                        <a:solidFill>
                          <a:schemeClr val="tx1"/>
                        </a:solidFill>
                        <a:latin typeface="Cambria Math" panose="02040503050406030204" pitchFamily="18" charset="0"/>
                        <a:ea typeface="+mn-ea"/>
                      </a:rPr>
                      <m:t>←</m:t>
                    </m:r>
                    <m:r>
                      <a:rPr lang="en-US" sz="1100" b="0" i="1">
                        <a:solidFill>
                          <a:schemeClr val="tx1"/>
                        </a:solidFill>
                        <a:latin typeface="Cambria Math" panose="02040503050406030204" pitchFamily="18" charset="0"/>
                        <a:ea typeface="+mn-ea"/>
                      </a:rPr>
                      <m:t>𝐸𝑥𝑝𝑒𝑐𝑡𝑒𝑑</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𝐿𝑜𝑠𝑠</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𝑎𝑡</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𝑑</m:t>
                    </m:r>
                  </m:oMath>
                </m:oMathPara>
              </a14:m>
              <a:endParaRPr lang="en-US" sz="1100">
                <a:solidFill>
                  <a:schemeClr val="tx1"/>
                </a:solidFill>
              </a:endParaRPr>
            </a:p>
            <a:p>
              <a:r>
                <a:rPr lang="en-US" sz="1100" b="0">
                  <a:solidFill>
                    <a:schemeClr val="tx1"/>
                  </a:solidFill>
                </a:rPr>
                <a:t>                 </a:t>
              </a:r>
              <a14:m>
                <m:oMath xmlns:m="http://schemas.openxmlformats.org/officeDocument/2006/math">
                  <m:r>
                    <a:rPr lang="en-US" sz="1100" b="0" i="1">
                      <a:solidFill>
                        <a:schemeClr val="tx1"/>
                      </a:solidFill>
                      <a:latin typeface="Cambria Math" panose="02040503050406030204" pitchFamily="18" charset="0"/>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f>
                        <m:fPr>
                          <m:type m:val="lin"/>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𝜎</m:t>
                              </m:r>
                            </m:e>
                            <m:sub>
                              <m:r>
                                <a:rPr lang="en-US" sz="1100" i="1">
                                  <a:solidFill>
                                    <a:schemeClr val="tx1"/>
                                  </a:solidFill>
                                  <a:effectLst/>
                                  <a:latin typeface="Cambria Math" panose="02040503050406030204" pitchFamily="18" charset="0"/>
                                  <a:ea typeface="+mn-ea"/>
                                  <a:cs typeface="+mn-cs"/>
                                </a:rPr>
                                <m:t>𝑑</m:t>
                              </m:r>
                            </m:sub>
                            <m:sup>
                              <m:r>
                                <a:rPr lang="en-US" sz="1100" i="1">
                                  <a:solidFill>
                                    <a:schemeClr val="tx1"/>
                                  </a:solidFill>
                                  <a:effectLst/>
                                  <a:latin typeface="Cambria Math" panose="02040503050406030204" pitchFamily="18" charset="0"/>
                                  <a:ea typeface="+mn-ea"/>
                                  <a:cs typeface="+mn-cs"/>
                                </a:rPr>
                                <m:t>2</m:t>
                              </m:r>
                            </m:sup>
                          </m:sSubSup>
                        </m:num>
                        <m:den>
                          <m:r>
                            <a:rPr lang="en-US" sz="1100" i="1">
                              <a:solidFill>
                                <a:schemeClr val="tx1"/>
                              </a:solidFill>
                              <a:effectLst/>
                              <a:latin typeface="Cambria Math" panose="02040503050406030204" pitchFamily="18" charset="0"/>
                              <a:ea typeface="+mn-ea"/>
                              <a:cs typeface="+mn-cs"/>
                            </a:rPr>
                            <m:t>2</m:t>
                          </m:r>
                        </m:den>
                      </m:f>
                    </m:sup>
                  </m:sSup>
                  <m:r>
                    <m:rPr>
                      <m:nor/>
                    </m:rPr>
                    <a:rPr lang="en-US" i="0">
                      <a:effectLst/>
                    </a:rPr>
                    <m:t> </m:t>
                  </m:r>
                </m:oMath>
              </a14:m>
              <a:endParaRPr lang="en-US" sz="1100">
                <a:solidFill>
                  <a:schemeClr val="tx1"/>
                </a:solidFill>
              </a:endParaRPr>
            </a:p>
          </xdr:txBody>
        </xdr:sp>
      </mc:Choice>
      <mc:Fallback xmlns="">
        <xdr:sp macro="" textlink="">
          <xdr:nvSpPr>
            <xdr:cNvPr id="59" name="TextBox 58">
              <a:extLst>
                <a:ext uri="{FF2B5EF4-FFF2-40B4-BE49-F238E27FC236}">
                  <a16:creationId xmlns:a16="http://schemas.microsoft.com/office/drawing/2014/main" id="{303C1443-DFBA-374D-B362-6D24EF11BF9E}"/>
                </a:ext>
              </a:extLst>
            </xdr:cNvPr>
            <xdr:cNvSpPr txBox="1"/>
          </xdr:nvSpPr>
          <xdr:spPr>
            <a:xfrm>
              <a:off x="1100667" y="23304499"/>
              <a:ext cx="1914307" cy="403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latin typeface="Cambria Math" panose="02040503050406030204" pitchFamily="18" charset="0"/>
                </a:rPr>
                <a:t>𝐸</a:t>
              </a:r>
              <a:r>
                <a:rPr lang="en-US" sz="1100" b="0" i="0">
                  <a:solidFill>
                    <a:schemeClr val="tx1"/>
                  </a:solidFill>
                  <a:latin typeface="Cambria Math" panose="02040503050406030204" pitchFamily="18" charset="0"/>
                  <a:ea typeface="Cambria Math" panose="02040503050406030204" pitchFamily="18" charset="0"/>
                </a:rPr>
                <a:t>[𝐶_(𝑤,𝑑) ]</a:t>
              </a:r>
              <a:r>
                <a:rPr lang="en-US" sz="1100" b="0" i="0">
                  <a:solidFill>
                    <a:schemeClr val="tx1"/>
                  </a:solidFill>
                  <a:latin typeface="Cambria Math" panose="02040503050406030204" pitchFamily="18" charset="0"/>
                  <a:ea typeface="+mn-ea"/>
                </a:rPr>
                <a:t>←𝐸𝑥𝑝𝑒𝑐𝑡𝑒𝑑 𝐿𝑜𝑠𝑠 𝑎𝑡 𝑑</a:t>
              </a:r>
              <a:endParaRPr lang="en-US" sz="1100">
                <a:solidFill>
                  <a:schemeClr val="tx1"/>
                </a:solidFill>
              </a:endParaRPr>
            </a:p>
            <a:p>
              <a:r>
                <a:rPr lang="en-US" sz="1100" b="0">
                  <a:solidFill>
                    <a:schemeClr val="tx1"/>
                  </a:solidFill>
                </a:rPr>
                <a:t>                 </a:t>
              </a:r>
              <a:r>
                <a:rPr lang="en-US" sz="1100" b="0" i="0">
                  <a:solidFill>
                    <a:schemeClr val="tx1"/>
                  </a:solidFill>
                  <a:latin typeface="Cambria Math" panose="02040503050406030204" pitchFamily="18" charset="0"/>
                </a:rPr>
                <a:t>=</a:t>
              </a:r>
              <a:r>
                <a:rPr lang="en-US" sz="1100" i="0">
                  <a:solidFill>
                    <a:schemeClr val="tx1"/>
                  </a:solidFill>
                  <a:effectLst/>
                  <a:latin typeface="+mn-lt"/>
                  <a:ea typeface="+mn-ea"/>
                  <a:cs typeface="+mn-cs"/>
                </a:rPr>
                <a:t>𝑒^(𝜇_(𝑤,𝑑)+𝜎_𝑑^2∕2)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1</xdr:col>
      <xdr:colOff>201084</xdr:colOff>
      <xdr:row>111</xdr:row>
      <xdr:rowOff>148165</xdr:rowOff>
    </xdr:from>
    <xdr:ext cx="4063933" cy="185435"/>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a16="http://schemas.microsoft.com/office/drawing/2014/main" id="{5536517D-B846-4B44-9996-5FDF4395E64E}"/>
                </a:ext>
              </a:extLst>
            </xdr:cNvPr>
            <xdr:cNvSpPr txBox="1"/>
          </xdr:nvSpPr>
          <xdr:spPr>
            <a:xfrm>
              <a:off x="1026584" y="25855082"/>
              <a:ext cx="4063933" cy="185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𝑑</m:t>
                            </m:r>
                          </m:e>
                          <m:sub>
                            <m:r>
                              <a:rPr lang="en-US" sz="1100" b="0" i="1">
                                <a:solidFill>
                                  <a:schemeClr val="tx1"/>
                                </a:solidFill>
                                <a:latin typeface="Cambria Math" panose="02040503050406030204" pitchFamily="18" charset="0"/>
                                <a:ea typeface="Cambria Math" panose="02040503050406030204" pitchFamily="18" charset="0"/>
                              </a:rPr>
                              <m:t>𝑙𝑎𝑡𝑒𝑠𝑡</m:t>
                            </m:r>
                          </m:sub>
                        </m:sSub>
                      </m:sub>
                    </m:sSub>
                    <m:r>
                      <a:rPr lang="en-US" sz="1100" b="0" i="1">
                        <a:solidFill>
                          <a:schemeClr val="tx1"/>
                        </a:solidFill>
                        <a:latin typeface="Cambria Math" panose="02040503050406030204" pitchFamily="18" charset="0"/>
                        <a:ea typeface="+mn-ea"/>
                      </a:rPr>
                      <m:t>←</m:t>
                    </m:r>
                    <m:r>
                      <a:rPr lang="en-US" sz="1100" b="0" i="1">
                        <a:solidFill>
                          <a:schemeClr val="tx1"/>
                        </a:solidFill>
                        <a:latin typeface="Cambria Math" panose="02040503050406030204" pitchFamily="18" charset="0"/>
                        <a:ea typeface="+mn-ea"/>
                      </a:rPr>
                      <m:t>𝐿𝑜𝑠𝑠</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𝑎𝑡</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𝑙𝑎𝑡𝑒𝑠𝑡</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𝑑𝑒𝑣𝑒𝑙𝑜𝑝𝑚𝑒𝑛𝑡</m:t>
                    </m:r>
                    <m:r>
                      <a:rPr lang="en-US" sz="1100" b="0" i="1">
                        <a:solidFill>
                          <a:schemeClr val="tx1"/>
                        </a:solidFill>
                        <a:latin typeface="Cambria Math" panose="02040503050406030204" pitchFamily="18" charset="0"/>
                        <a:ea typeface="+mn-ea"/>
                      </a:rPr>
                      <m:t> </m:t>
                    </m:r>
                    <m:r>
                      <a:rPr lang="en-US" sz="1100" b="0" i="1">
                        <a:solidFill>
                          <a:schemeClr val="tx1"/>
                        </a:solidFill>
                        <a:latin typeface="Cambria Math" panose="02040503050406030204" pitchFamily="18" charset="0"/>
                        <a:ea typeface="+mn-ea"/>
                      </a:rPr>
                      <m:t>𝑝𝑒𝑟𝑖𝑜𝑑</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on</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the</m:t>
                    </m:r>
                    <m:r>
                      <a:rPr lang="en-US" sz="1100" b="0" i="0">
                        <a:solidFill>
                          <a:schemeClr val="tx1"/>
                        </a:solidFill>
                        <a:latin typeface="Cambria Math" panose="02040503050406030204" pitchFamily="18" charset="0"/>
                        <a:ea typeface="+mn-ea"/>
                      </a:rPr>
                      <m:t> </m:t>
                    </m:r>
                    <m:r>
                      <m:rPr>
                        <m:sty m:val="p"/>
                      </m:rPr>
                      <a:rPr lang="en-US" sz="1100" b="0" i="0">
                        <a:solidFill>
                          <a:schemeClr val="tx1"/>
                        </a:solidFill>
                        <a:latin typeface="Cambria Math" panose="02040503050406030204" pitchFamily="18" charset="0"/>
                        <a:ea typeface="+mn-ea"/>
                      </a:rPr>
                      <m:t>diagonal</m:t>
                    </m:r>
                    <m:r>
                      <a:rPr lang="en-US" sz="1100" b="0" i="0">
                        <a:solidFill>
                          <a:schemeClr val="tx1"/>
                        </a:solidFill>
                        <a:latin typeface="Cambria Math" panose="02040503050406030204" pitchFamily="18" charset="0"/>
                        <a:ea typeface="+mn-ea"/>
                      </a:rPr>
                      <m:t>)</m:t>
                    </m:r>
                  </m:oMath>
                </m:oMathPara>
              </a14:m>
              <a:endParaRPr lang="en-US" sz="1100" i="0">
                <a:solidFill>
                  <a:schemeClr val="tx1"/>
                </a:solidFill>
              </a:endParaRPr>
            </a:p>
          </xdr:txBody>
        </xdr:sp>
      </mc:Choice>
      <mc:Fallback xmlns="">
        <xdr:sp macro="" textlink="">
          <xdr:nvSpPr>
            <xdr:cNvPr id="60" name="TextBox 59">
              <a:extLst>
                <a:ext uri="{FF2B5EF4-FFF2-40B4-BE49-F238E27FC236}">
                  <a16:creationId xmlns:a16="http://schemas.microsoft.com/office/drawing/2014/main" id="{5536517D-B846-4B44-9996-5FDF4395E64E}"/>
                </a:ext>
              </a:extLst>
            </xdr:cNvPr>
            <xdr:cNvSpPr txBox="1"/>
          </xdr:nvSpPr>
          <xdr:spPr>
            <a:xfrm>
              <a:off x="1026584" y="25855082"/>
              <a:ext cx="4063933" cy="185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𝐶_(𝑤,𝑑_𝑙𝑎𝑡𝑒𝑠𝑡 )</a:t>
              </a:r>
              <a:r>
                <a:rPr lang="en-US" sz="1100" b="0" i="0">
                  <a:solidFill>
                    <a:schemeClr val="tx1"/>
                  </a:solidFill>
                  <a:latin typeface="Cambria Math" panose="02040503050406030204" pitchFamily="18" charset="0"/>
                  <a:ea typeface="+mn-ea"/>
                </a:rPr>
                <a:t>←𝐿𝑜𝑠𝑠 𝑎𝑡 𝑙𝑎𝑡𝑒𝑠𝑡 𝑑𝑒𝑣𝑒𝑙𝑜𝑝𝑚𝑒𝑛𝑡 𝑝𝑒𝑟𝑖𝑜𝑑 (on the diagonal)</a:t>
              </a:r>
              <a:endParaRPr lang="en-US" sz="1100" i="0">
                <a:solidFill>
                  <a:schemeClr val="tx1"/>
                </a:solidFill>
              </a:endParaRPr>
            </a:p>
          </xdr:txBody>
        </xdr:sp>
      </mc:Fallback>
    </mc:AlternateContent>
    <xdr:clientData/>
  </xdr:oneCellAnchor>
  <xdr:oneCellAnchor>
    <xdr:from>
      <xdr:col>0</xdr:col>
      <xdr:colOff>814919</xdr:colOff>
      <xdr:row>117</xdr:row>
      <xdr:rowOff>84665</xdr:rowOff>
    </xdr:from>
    <xdr:ext cx="3709413" cy="172098"/>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a16="http://schemas.microsoft.com/office/drawing/2014/main" id="{94865C1D-9672-EE43-8BBB-FE0E870AFA64}"/>
                </a:ext>
              </a:extLst>
            </xdr:cNvPr>
            <xdr:cNvSpPr txBox="1"/>
          </xdr:nvSpPr>
          <xdr:spPr>
            <a:xfrm>
              <a:off x="814919" y="26998082"/>
              <a:ext cx="370941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𝐶𝑎𝑝𝑒</m:t>
                    </m:r>
                    <m:r>
                      <a:rPr lang="en-US" sz="1100" b="0" i="1">
                        <a:latin typeface="Cambria Math" panose="02040503050406030204" pitchFamily="18" charset="0"/>
                      </a:rPr>
                      <m:t> </m:t>
                    </m:r>
                    <m:r>
                      <a:rPr lang="en-US" sz="1100" b="0" i="1">
                        <a:latin typeface="Cambria Math" panose="02040503050406030204" pitchFamily="18" charset="0"/>
                      </a:rPr>
                      <m:t>𝐶𝑜𝑑</m:t>
                    </m:r>
                    <m:r>
                      <a:rPr lang="en-US" sz="1100" b="0" i="1">
                        <a:latin typeface="Cambria Math" panose="02040503050406030204" pitchFamily="18" charset="0"/>
                      </a:rPr>
                      <m:t> </m:t>
                    </m:r>
                    <m:r>
                      <a:rPr lang="en-US" sz="1100" b="0" i="1">
                        <a:latin typeface="Cambria Math" panose="02040503050406030204" pitchFamily="18" charset="0"/>
                      </a:rPr>
                      <m:t>𝑈𝑙𝑡</m:t>
                    </m:r>
                    <m:r>
                      <a:rPr lang="en-US" sz="1100" b="0" i="1">
                        <a:latin typeface="Cambria Math" panose="02040503050406030204" pitchFamily="18" charset="0"/>
                      </a:rPr>
                      <m:t>=</m:t>
                    </m:r>
                    <m:r>
                      <a:rPr lang="en-US" sz="1100" b="0" i="1">
                        <a:latin typeface="Cambria Math" panose="02040503050406030204" pitchFamily="18" charset="0"/>
                      </a:rPr>
                      <m:t>𝐿𝑜𝑠𝑠</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𝑑𝑎𝑡𝑒</m:t>
                    </m:r>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𝑈𝑙𝑡𝑖𝑚𝑎𝑡𝑒</m:t>
                        </m:r>
                      </m:e>
                    </m: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𝑈𝑛𝑟𝑒𝑝𝑜𝑟𝑡𝑒𝑑</m:t>
                    </m:r>
                  </m:oMath>
                </m:oMathPara>
              </a14:m>
              <a:endParaRPr lang="en-US" sz="1100"/>
            </a:p>
          </xdr:txBody>
        </xdr:sp>
      </mc:Choice>
      <mc:Fallback xmlns="">
        <xdr:sp macro="" textlink="">
          <xdr:nvSpPr>
            <xdr:cNvPr id="61" name="TextBox 60">
              <a:extLst>
                <a:ext uri="{FF2B5EF4-FFF2-40B4-BE49-F238E27FC236}">
                  <a16:creationId xmlns:a16="http://schemas.microsoft.com/office/drawing/2014/main" id="{94865C1D-9672-EE43-8BBB-FE0E870AFA64}"/>
                </a:ext>
              </a:extLst>
            </xdr:cNvPr>
            <xdr:cNvSpPr txBox="1"/>
          </xdr:nvSpPr>
          <xdr:spPr>
            <a:xfrm>
              <a:off x="814919" y="26998082"/>
              <a:ext cx="370941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𝐶𝑎𝑝𝑒 𝐶𝑜𝑑 𝑈𝑙𝑡=𝐿𝑜𝑠𝑠 𝑡𝑜 𝑑𝑎𝑡𝑒+𝐸[𝑈𝑙𝑡𝑖𝑚𝑎𝑡𝑒]</a:t>
              </a:r>
              <a:r>
                <a:rPr lang="en-US" sz="1100" b="0" i="0">
                  <a:latin typeface="Cambria Math" panose="02040503050406030204" pitchFamily="18" charset="0"/>
                  <a:ea typeface="Cambria Math" panose="02040503050406030204" pitchFamily="18" charset="0"/>
                </a:rPr>
                <a:t>×%𝑈𝑛𝑟𝑒𝑝𝑜𝑟𝑡𝑒𝑑</a:t>
              </a:r>
              <a:endParaRPr lang="en-US" sz="1100"/>
            </a:p>
          </xdr:txBody>
        </xdr:sp>
      </mc:Fallback>
    </mc:AlternateContent>
    <xdr:clientData/>
  </xdr:oneCellAnchor>
  <xdr:oneCellAnchor>
    <xdr:from>
      <xdr:col>1</xdr:col>
      <xdr:colOff>497417</xdr:colOff>
      <xdr:row>119</xdr:row>
      <xdr:rowOff>0</xdr:rowOff>
    </xdr:from>
    <xdr:ext cx="2857064" cy="197298"/>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a16="http://schemas.microsoft.com/office/drawing/2014/main" id="{8C525FC1-246E-C54A-A820-60E0C5F22A04}"/>
                </a:ext>
              </a:extLst>
            </xdr:cNvPr>
            <xdr:cNvSpPr txBox="1"/>
          </xdr:nvSpPr>
          <xdr:spPr>
            <a:xfrm>
              <a:off x="1322917" y="26712333"/>
              <a:ext cx="2857064" cy="197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𝑈𝑛𝑟𝑒𝑝𝑜𝑟𝑡𝑒𝑑</m:t>
                      </m:r>
                    </m:e>
                    <m:sub>
                      <m:r>
                        <a:rPr lang="en-US" sz="1100" b="0" i="1">
                          <a:latin typeface="Cambria Math" panose="02040503050406030204" pitchFamily="18" charset="0"/>
                          <a:ea typeface="Cambria Math" panose="02040503050406030204" pitchFamily="18" charset="0"/>
                        </a:rPr>
                        <m:t>𝑤</m:t>
                      </m:r>
                    </m:sub>
                  </m:sSub>
                </m:oMath>
              </a14:m>
              <a:r>
                <a:rPr lang="en-US" sz="1100"/>
                <a:t> </a:t>
              </a:r>
            </a:p>
          </xdr:txBody>
        </xdr:sp>
      </mc:Choice>
      <mc:Fallback xmlns="">
        <xdr:sp macro="" textlink="">
          <xdr:nvSpPr>
            <xdr:cNvPr id="62" name="TextBox 61">
              <a:extLst>
                <a:ext uri="{FF2B5EF4-FFF2-40B4-BE49-F238E27FC236}">
                  <a16:creationId xmlns:a16="http://schemas.microsoft.com/office/drawing/2014/main" id="{8C525FC1-246E-C54A-A820-60E0C5F22A04}"/>
                </a:ext>
              </a:extLst>
            </xdr:cNvPr>
            <xdr:cNvSpPr txBox="1"/>
          </xdr:nvSpPr>
          <xdr:spPr>
            <a:xfrm>
              <a:off x="1322917" y="26712333"/>
              <a:ext cx="2857064" cy="197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ea typeface="Cambria Math" panose="02040503050406030204" pitchFamily="18" charset="0"/>
                </a:rPr>
                <a:t>𝐶_(𝑤,𝑈𝑙𝑡)</a:t>
              </a:r>
              <a:r>
                <a:rPr lang="en-US"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𝐶_(𝑤,𝑑_𝑙𝑎𝑡𝑒𝑠𝑡 )</a:t>
              </a: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[𝐶_(𝑤,𝑈𝑙𝑡) ]×〖%𝑈𝑛𝑟𝑒𝑝𝑜𝑟𝑡𝑒𝑑〗_𝑤</a:t>
              </a:r>
              <a:r>
                <a:rPr lang="en-US" sz="1100"/>
                <a:t> </a:t>
              </a:r>
            </a:p>
          </xdr:txBody>
        </xdr:sp>
      </mc:Fallback>
    </mc:AlternateContent>
    <xdr:clientData/>
  </xdr:oneCellAnchor>
  <xdr:oneCellAnchor>
    <xdr:from>
      <xdr:col>5</xdr:col>
      <xdr:colOff>751418</xdr:colOff>
      <xdr:row>120</xdr:row>
      <xdr:rowOff>179914</xdr:rowOff>
    </xdr:from>
    <xdr:ext cx="2338917" cy="412164"/>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a16="http://schemas.microsoft.com/office/drawing/2014/main" id="{6FE56518-116C-1A41-8FB6-8AF86601C6C2}"/>
                </a:ext>
              </a:extLst>
            </xdr:cNvPr>
            <xdr:cNvSpPr txBox="1"/>
          </xdr:nvSpPr>
          <xdr:spPr>
            <a:xfrm>
              <a:off x="4878918" y="27696581"/>
              <a:ext cx="2338917" cy="412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ea typeface="+mn-ea"/>
                          </a:rPr>
                        </m:ctrlPr>
                      </m:sSubPr>
                      <m:e>
                        <m:r>
                          <a:rPr lang="en-US" sz="1100" b="0" i="1">
                            <a:latin typeface="Cambria Math" panose="02040503050406030204" pitchFamily="18" charset="0"/>
                            <a:ea typeface="+mn-ea"/>
                          </a:rPr>
                          <m:t>←</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𝑈𝑛𝑟𝑒𝑝𝑜𝑟𝑡𝑒𝑑</m:t>
                        </m:r>
                      </m:e>
                      <m:sub>
                        <m:r>
                          <a:rPr lang="en-US" sz="1100" b="0" i="1">
                            <a:latin typeface="Cambria Math" panose="02040503050406030204" pitchFamily="18" charset="0"/>
                            <a:ea typeface="Cambria Math" panose="02040503050406030204" pitchFamily="18" charset="0"/>
                          </a:rPr>
                          <m:t>𝑤</m:t>
                        </m:r>
                      </m:sub>
                    </m:sSub>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𝐿𝑎𝑡𝑒𝑠𝑡</m:t>
                                    </m:r>
                                  </m:sub>
                                </m:sSub>
                              </m:sub>
                            </m:sSub>
                          </m:e>
                        </m:d>
                      </m:num>
                      <m:den>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e>
                        </m:d>
                      </m:den>
                    </m:f>
                  </m:oMath>
                </m:oMathPara>
              </a14:m>
              <a:endParaRPr lang="en-US" sz="1100"/>
            </a:p>
          </xdr:txBody>
        </xdr:sp>
      </mc:Choice>
      <mc:Fallback xmlns="">
        <xdr:sp macro="" textlink="">
          <xdr:nvSpPr>
            <xdr:cNvPr id="63" name="TextBox 62">
              <a:extLst>
                <a:ext uri="{FF2B5EF4-FFF2-40B4-BE49-F238E27FC236}">
                  <a16:creationId xmlns:a16="http://schemas.microsoft.com/office/drawing/2014/main" id="{6FE56518-116C-1A41-8FB6-8AF86601C6C2}"/>
                </a:ext>
              </a:extLst>
            </xdr:cNvPr>
            <xdr:cNvSpPr txBox="1"/>
          </xdr:nvSpPr>
          <xdr:spPr>
            <a:xfrm>
              <a:off x="4878918" y="27696581"/>
              <a:ext cx="2338917" cy="412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mn-ea"/>
                </a:rPr>
                <a:t>←</a:t>
              </a:r>
              <a:r>
                <a:rPr lang="en-US" sz="1100" b="0" i="0">
                  <a:latin typeface="Cambria Math" panose="02040503050406030204" pitchFamily="18" charset="0"/>
                  <a:ea typeface="Cambria Math" panose="02040503050406030204" pitchFamily="18" charset="0"/>
                </a:rPr>
                <a:t>%𝑈𝑛𝑟𝑒𝑝𝑜𝑟𝑡𝑒𝑑〗_𝑤</a:t>
              </a:r>
              <a:r>
                <a:rPr lang="en-US" sz="1100" b="0" i="0">
                  <a:latin typeface="Cambria Math" panose="02040503050406030204" pitchFamily="18" charset="0"/>
                </a:rPr>
                <a:t>=1−𝐸</a:t>
              </a:r>
              <a:r>
                <a:rPr lang="en-US" sz="1100" b="0" i="0">
                  <a:latin typeface="Cambria Math" panose="02040503050406030204" pitchFamily="18" charset="0"/>
                  <a:ea typeface="Cambria Math" panose="02040503050406030204" pitchFamily="18" charset="0"/>
                </a:rPr>
                <a:t>[𝐶_(𝑤,𝑑_𝐿𝑎𝑡𝑒𝑠𝑡 ) ]/</a:t>
              </a: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[𝐶_(𝑤,𝑈𝑙𝑡) ] </a:t>
              </a:r>
              <a:endParaRPr lang="en-US" sz="1100"/>
            </a:p>
          </xdr:txBody>
        </xdr:sp>
      </mc:Fallback>
    </mc:AlternateContent>
    <xdr:clientData/>
  </xdr:oneCellAnchor>
  <xdr:oneCellAnchor>
    <xdr:from>
      <xdr:col>2</xdr:col>
      <xdr:colOff>31752</xdr:colOff>
      <xdr:row>120</xdr:row>
      <xdr:rowOff>190499</xdr:rowOff>
    </xdr:from>
    <xdr:ext cx="2671950" cy="412164"/>
    <mc:AlternateContent xmlns:mc="http://schemas.openxmlformats.org/markup-compatibility/2006" xmlns:a14="http://schemas.microsoft.com/office/drawing/2010/main">
      <mc:Choice Requires="a14">
        <xdr:sp macro="" textlink="">
          <xdr:nvSpPr>
            <xdr:cNvPr id="64" name="TextBox 63">
              <a:extLst>
                <a:ext uri="{FF2B5EF4-FFF2-40B4-BE49-F238E27FC236}">
                  <a16:creationId xmlns:a16="http://schemas.microsoft.com/office/drawing/2014/main" id="{D6A4047E-302C-114D-8E67-F317BDF4B0CC}"/>
                </a:ext>
              </a:extLst>
            </xdr:cNvPr>
            <xdr:cNvSpPr txBox="1"/>
          </xdr:nvSpPr>
          <xdr:spPr>
            <a:xfrm>
              <a:off x="1682752" y="27707166"/>
              <a:ext cx="2671950" cy="412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𝐿𝑎𝑡𝑒𝑠𝑡</m:t>
                                        </m:r>
                                      </m:sub>
                                    </m:sSub>
                                  </m:sub>
                                </m:sSub>
                              </m:e>
                            </m:d>
                          </m:num>
                          <m:den>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e>
                            </m:d>
                          </m:den>
                        </m:f>
                      </m:e>
                    </m:d>
                  </m:oMath>
                </m:oMathPara>
              </a14:m>
              <a:endParaRPr lang="en-US" sz="1100"/>
            </a:p>
          </xdr:txBody>
        </xdr:sp>
      </mc:Choice>
      <mc:Fallback xmlns="">
        <xdr:sp macro="" textlink="">
          <xdr:nvSpPr>
            <xdr:cNvPr id="64" name="TextBox 63">
              <a:extLst>
                <a:ext uri="{FF2B5EF4-FFF2-40B4-BE49-F238E27FC236}">
                  <a16:creationId xmlns:a16="http://schemas.microsoft.com/office/drawing/2014/main" id="{D6A4047E-302C-114D-8E67-F317BDF4B0CC}"/>
                </a:ext>
              </a:extLst>
            </xdr:cNvPr>
            <xdr:cNvSpPr txBox="1"/>
          </xdr:nvSpPr>
          <xdr:spPr>
            <a:xfrm>
              <a:off x="1682752" y="27707166"/>
              <a:ext cx="2671950" cy="412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𝐶_(𝑤,𝑑_𝑙𝑎𝑡𝑒𝑠𝑡 )</a:t>
              </a: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[𝐶_(𝑤,𝑈𝑙𝑡) ]×(</a:t>
              </a:r>
              <a:r>
                <a:rPr lang="en-US" sz="1100" b="0" i="0">
                  <a:latin typeface="Cambria Math" panose="02040503050406030204" pitchFamily="18" charset="0"/>
                </a:rPr>
                <a:t>1−𝐸</a:t>
              </a:r>
              <a:r>
                <a:rPr lang="en-US" sz="1100" b="0" i="0">
                  <a:latin typeface="Cambria Math" panose="02040503050406030204" pitchFamily="18" charset="0"/>
                  <a:ea typeface="Cambria Math" panose="02040503050406030204" pitchFamily="18" charset="0"/>
                </a:rPr>
                <a:t>[𝐶_(𝑤,𝑑_𝐿𝑎𝑡𝑒𝑠𝑡 ) ]/</a:t>
              </a: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[𝐶_(𝑤,𝑈𝑙𝑡) ] )</a:t>
              </a:r>
              <a:endParaRPr lang="en-US" sz="1100"/>
            </a:p>
          </xdr:txBody>
        </xdr:sp>
      </mc:Fallback>
    </mc:AlternateContent>
    <xdr:clientData/>
  </xdr:oneCellAnchor>
  <xdr:oneCellAnchor>
    <xdr:from>
      <xdr:col>2</xdr:col>
      <xdr:colOff>42334</xdr:colOff>
      <xdr:row>124</xdr:row>
      <xdr:rowOff>10582</xdr:rowOff>
    </xdr:from>
    <xdr:ext cx="2307683" cy="197298"/>
    <mc:AlternateContent xmlns:mc="http://schemas.openxmlformats.org/markup-compatibility/2006" xmlns:a14="http://schemas.microsoft.com/office/drawing/2010/main">
      <mc:Choice Requires="a14">
        <xdr:sp macro="" textlink="">
          <xdr:nvSpPr>
            <xdr:cNvPr id="66" name="TextBox 65">
              <a:extLst>
                <a:ext uri="{FF2B5EF4-FFF2-40B4-BE49-F238E27FC236}">
                  <a16:creationId xmlns:a16="http://schemas.microsoft.com/office/drawing/2014/main" id="{385210C6-0CAE-154A-87C0-184B87AA23A3}"/>
                </a:ext>
              </a:extLst>
            </xdr:cNvPr>
            <xdr:cNvSpPr txBox="1"/>
          </xdr:nvSpPr>
          <xdr:spPr>
            <a:xfrm>
              <a:off x="1693334" y="28331582"/>
              <a:ext cx="2307683" cy="197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e>
                    </m: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𝐿𝑎𝑡𝑒𝑠𝑡</m:t>
                                </m:r>
                              </m:sub>
                            </m:sSub>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oMath>
                </m:oMathPara>
              </a14:m>
              <a:endParaRPr lang="en-US" sz="1100"/>
            </a:p>
          </xdr:txBody>
        </xdr:sp>
      </mc:Choice>
      <mc:Fallback xmlns="">
        <xdr:sp macro="" textlink="">
          <xdr:nvSpPr>
            <xdr:cNvPr id="66" name="TextBox 65">
              <a:extLst>
                <a:ext uri="{FF2B5EF4-FFF2-40B4-BE49-F238E27FC236}">
                  <a16:creationId xmlns:a16="http://schemas.microsoft.com/office/drawing/2014/main" id="{385210C6-0CAE-154A-87C0-184B87AA23A3}"/>
                </a:ext>
              </a:extLst>
            </xdr:cNvPr>
            <xdr:cNvSpPr txBox="1"/>
          </xdr:nvSpPr>
          <xdr:spPr>
            <a:xfrm>
              <a:off x="1693334" y="28331582"/>
              <a:ext cx="2307683" cy="197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[𝐶_(𝑤,𝑈𝑙𝑡) ]−</a:t>
              </a: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[𝐶_(𝑤,𝑑_𝐿𝑎𝑡𝑒𝑠𝑡 ) ]+𝐶_(𝑤,𝑑_𝑙𝑎𝑡𝑒𝑠𝑡 )</a:t>
              </a:r>
              <a:endParaRPr lang="en-US" sz="1100"/>
            </a:p>
          </xdr:txBody>
        </xdr:sp>
      </mc:Fallback>
    </mc:AlternateContent>
    <xdr:clientData/>
  </xdr:oneCellAnchor>
  <xdr:oneCellAnchor>
    <xdr:from>
      <xdr:col>6</xdr:col>
      <xdr:colOff>592667</xdr:colOff>
      <xdr:row>127</xdr:row>
      <xdr:rowOff>148166</xdr:rowOff>
    </xdr:from>
    <xdr:ext cx="2794000" cy="201722"/>
    <mc:AlternateContent xmlns:mc="http://schemas.openxmlformats.org/markup-compatibility/2006" xmlns:a14="http://schemas.microsoft.com/office/drawing/2010/main">
      <mc:Choice Requires="a14">
        <xdr:sp macro="" textlink="">
          <xdr:nvSpPr>
            <xdr:cNvPr id="67" name="TextBox 66">
              <a:extLst>
                <a:ext uri="{FF2B5EF4-FFF2-40B4-BE49-F238E27FC236}">
                  <a16:creationId xmlns:a16="http://schemas.microsoft.com/office/drawing/2014/main" id="{7DAADE9F-AFC5-854B-B341-2E1E62BB6910}"/>
                </a:ext>
              </a:extLst>
            </xdr:cNvPr>
            <xdr:cNvSpPr txBox="1"/>
          </xdr:nvSpPr>
          <xdr:spPr>
            <a:xfrm>
              <a:off x="5545667" y="26204333"/>
              <a:ext cx="2794000" cy="201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n-US" sz="1100" b="0" i="1">
                        <a:latin typeface="Cambria Math" panose="02040503050406030204" pitchFamily="18" charset="0"/>
                        <a:ea typeface="+mn-ea"/>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e>
                    </m:d>
                    <m:r>
                      <a:rPr lang="en-US" sz="1100" b="0" i="1">
                        <a:latin typeface="Cambria Math" panose="02040503050406030204" pitchFamily="18" charset="0"/>
                      </a:rPr>
                      <m:t>=</m:t>
                    </m:r>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exp</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Sub>
                            <m:r>
                              <a:rPr lang="en-US" sz="1100" b="0" i="1">
                                <a:latin typeface="Cambria Math" panose="02040503050406030204" pitchFamily="18" charset="0"/>
                                <a:ea typeface="Cambria Math" panose="02040503050406030204" pitchFamily="18" charset="0"/>
                              </a:rPr>
                              <m:t>+</m:t>
                            </m:r>
                            <m:f>
                              <m:fPr>
                                <m:type m:val="lin"/>
                                <m:ctrlPr>
                                  <a:rPr lang="en-US" sz="1100" b="0" i="1">
                                    <a:latin typeface="Cambria Math" panose="02040503050406030204" pitchFamily="18" charset="0"/>
                                    <a:ea typeface="Cambria Math" panose="02040503050406030204" pitchFamily="18" charset="0"/>
                                  </a:rPr>
                                </m:ctrlPr>
                              </m:fPr>
                              <m:num>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𝑑</m:t>
                                        </m:r>
                                      </m:e>
                                      <m:sub>
                                        <m:r>
                                          <a:rPr lang="en-US" sz="1100" b="0" i="1">
                                            <a:latin typeface="Cambria Math" panose="02040503050406030204" pitchFamily="18" charset="0"/>
                                            <a:ea typeface="Cambria Math" panose="02040503050406030204" pitchFamily="18" charset="0"/>
                                          </a:rPr>
                                          <m:t>𝑙𝑎𝑡𝑒𝑠𝑡</m:t>
                                        </m:r>
                                      </m:sub>
                                    </m:sSub>
                                  </m:sub>
                                  <m:sup>
                                    <m:r>
                                      <a:rPr lang="en-US" sz="1100" b="0" i="1">
                                        <a:latin typeface="Cambria Math" panose="02040503050406030204" pitchFamily="18" charset="0"/>
                                        <a:ea typeface="Cambria Math" panose="02040503050406030204" pitchFamily="18" charset="0"/>
                                      </a:rPr>
                                      <m:t>2</m:t>
                                    </m:r>
                                  </m:sup>
                                </m:sSubSup>
                              </m:num>
                              <m:den>
                                <m:r>
                                  <a:rPr lang="en-US" sz="1100" b="0" i="1">
                                    <a:latin typeface="Cambria Math" panose="02040503050406030204" pitchFamily="18" charset="0"/>
                                    <a:ea typeface="Cambria Math" panose="02040503050406030204" pitchFamily="18" charset="0"/>
                                  </a:rPr>
                                  <m:t>2</m:t>
                                </m:r>
                              </m:den>
                            </m:f>
                          </m:e>
                        </m:d>
                      </m:e>
                    </m:func>
                  </m:oMath>
                </m:oMathPara>
              </a14:m>
              <a:endParaRPr lang="en-US" sz="1100"/>
            </a:p>
          </xdr:txBody>
        </xdr:sp>
      </mc:Choice>
      <mc:Fallback xmlns="">
        <xdr:sp macro="" textlink="">
          <xdr:nvSpPr>
            <xdr:cNvPr id="67" name="TextBox 66">
              <a:extLst>
                <a:ext uri="{FF2B5EF4-FFF2-40B4-BE49-F238E27FC236}">
                  <a16:creationId xmlns:a16="http://schemas.microsoft.com/office/drawing/2014/main" id="{7DAADE9F-AFC5-854B-B341-2E1E62BB6910}"/>
                </a:ext>
              </a:extLst>
            </xdr:cNvPr>
            <xdr:cNvSpPr txBox="1"/>
          </xdr:nvSpPr>
          <xdr:spPr>
            <a:xfrm>
              <a:off x="5545667" y="26204333"/>
              <a:ext cx="2794000" cy="201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ea typeface="+mn-ea"/>
                </a:rPr>
                <a:t>←</a:t>
              </a:r>
              <a:r>
                <a:rPr lang="en-US" sz="1100" b="0" i="0">
                  <a:latin typeface="Cambria Math" panose="02040503050406030204" pitchFamily="18" charset="0"/>
                </a:rPr>
                <a:t>𝐸</a:t>
              </a:r>
              <a:r>
                <a:rPr lang="en-US" sz="1100" b="0" i="0">
                  <a:latin typeface="Cambria Math" panose="02040503050406030204" pitchFamily="18" charset="0"/>
                  <a:ea typeface="Cambria Math" panose="02040503050406030204" pitchFamily="18" charset="0"/>
                </a:rPr>
                <a:t>[𝐶_(𝑤,𝑑_𝑙𝑎𝑡𝑒𝑠𝑡 ) ]</a:t>
              </a:r>
              <a:r>
                <a:rPr lang="en-US"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exp⁡(𝜇_(𝑤,𝑑_𝑙𝑎𝑡𝑒𝑠𝑡 )+𝜎_(𝑑_𝑙𝑎𝑡𝑒𝑠𝑡)^2∕2)</a:t>
              </a:r>
              <a:endParaRPr lang="en-US" sz="1100"/>
            </a:p>
          </xdr:txBody>
        </xdr:sp>
      </mc:Fallback>
    </mc:AlternateContent>
    <xdr:clientData/>
  </xdr:oneCellAnchor>
  <xdr:oneCellAnchor>
    <xdr:from>
      <xdr:col>6</xdr:col>
      <xdr:colOff>635001</xdr:colOff>
      <xdr:row>129</xdr:row>
      <xdr:rowOff>21167</xdr:rowOff>
    </xdr:from>
    <xdr:ext cx="2015231" cy="283411"/>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id="{AABE1BDF-4654-C640-9834-9499BE46321F}"/>
                </a:ext>
              </a:extLst>
            </xdr:cNvPr>
            <xdr:cNvSpPr txBox="1"/>
          </xdr:nvSpPr>
          <xdr:spPr>
            <a:xfrm>
              <a:off x="5588001" y="29347584"/>
              <a:ext cx="2015231" cy="2834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𝑈𝑙𝑡</m:t>
                            </m:r>
                          </m:sub>
                        </m:sSub>
                      </m:e>
                    </m:d>
                  </m:oMath>
                </m:oMathPara>
              </a14:m>
              <a:endParaRPr lang="en-US" sz="1100"/>
            </a:p>
          </xdr:txBody>
        </xdr:sp>
      </mc:Choice>
      <mc:Fallback xmlns="">
        <xdr:sp macro="" textlink="">
          <xdr:nvSpPr>
            <xdr:cNvPr id="69" name="TextBox 68">
              <a:extLst>
                <a:ext uri="{FF2B5EF4-FFF2-40B4-BE49-F238E27FC236}">
                  <a16:creationId xmlns:a16="http://schemas.microsoft.com/office/drawing/2014/main" id="{AABE1BDF-4654-C640-9834-9499BE46321F}"/>
                </a:ext>
              </a:extLst>
            </xdr:cNvPr>
            <xdr:cNvSpPr txBox="1"/>
          </xdr:nvSpPr>
          <xdr:spPr>
            <a:xfrm>
              <a:off x="5588001" y="29347584"/>
              <a:ext cx="2015231" cy="2834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𝐶_(𝑤,𝑈𝑙𝑡)~𝑙𝑜𝑔𝑛𝑜𝑟𝑚𝑎𝑙(𝜇_(𝑤,𝑈𝑙𝑡), 𝜎_𝑈𝑙𝑡 )</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4</xdr:col>
      <xdr:colOff>42334</xdr:colOff>
      <xdr:row>38</xdr:row>
      <xdr:rowOff>74084</xdr:rowOff>
    </xdr:from>
    <xdr:ext cx="2691378" cy="49699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F1FE4A2-5A96-3940-8E66-EBBD381E5605}"/>
                </a:ext>
              </a:extLst>
            </xdr:cNvPr>
            <xdr:cNvSpPr txBox="1"/>
          </xdr:nvSpPr>
          <xdr:spPr>
            <a:xfrm>
              <a:off x="3344334" y="7958667"/>
              <a:ext cx="2691378" cy="4969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𝑟𝑒𝑠𝑖𝑑𝑢𝑎𝑙</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𝑑𝑒𝑣</m:t>
                        </m:r>
                      </m:sub>
                      <m:sup>
                        <m:r>
                          <a:rPr lang="en-US" sz="1100" b="0" i="1">
                            <a:latin typeface="Cambria Math" panose="02040503050406030204" pitchFamily="18" charset="0"/>
                          </a:rPr>
                          <m:t>𝑠𝑖𝑚</m:t>
                        </m:r>
                      </m:sup>
                    </m:sSubSup>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𝑑𝑒𝑣</m:t>
                                    </m:r>
                                  </m:sub>
                                </m:sSub>
                              </m:e>
                            </m:d>
                          </m:e>
                        </m:func>
                        <m:r>
                          <a:rPr lang="en-US" sz="1100" b="0" i="1">
                            <a:latin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up>
                            <m:r>
                              <a:rPr lang="en-US" sz="1100" b="0" i="1">
                                <a:latin typeface="Cambria Math" panose="02040503050406030204" pitchFamily="18" charset="0"/>
                                <a:ea typeface="Cambria Math" panose="02040503050406030204" pitchFamily="18" charset="0"/>
                              </a:rPr>
                              <m:t>𝑠𝑖𝑚</m:t>
                            </m:r>
                          </m:sup>
                        </m:sSubSup>
                      </m:num>
                      <m:den>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𝑑𝑒𝑣</m:t>
                            </m:r>
                          </m:sub>
                          <m:sup>
                            <m:r>
                              <a:rPr lang="en-US" sz="1100" b="0" i="1">
                                <a:latin typeface="Cambria Math" panose="02040503050406030204" pitchFamily="18" charset="0"/>
                                <a:ea typeface="Cambria Math" panose="02040503050406030204" pitchFamily="18" charset="0"/>
                              </a:rPr>
                              <m:t>𝑠𝑖𝑚</m:t>
                            </m:r>
                          </m:sup>
                        </m:sSubSup>
                      </m:den>
                    </m:f>
                  </m:oMath>
                </m:oMathPara>
              </a14:m>
              <a:endParaRPr lang="en-US" sz="1100"/>
            </a:p>
          </xdr:txBody>
        </xdr:sp>
      </mc:Choice>
      <mc:Fallback xmlns="">
        <xdr:sp macro="" textlink="">
          <xdr:nvSpPr>
            <xdr:cNvPr id="5" name="TextBox 4">
              <a:extLst>
                <a:ext uri="{FF2B5EF4-FFF2-40B4-BE49-F238E27FC236}">
                  <a16:creationId xmlns:a16="http://schemas.microsoft.com/office/drawing/2014/main" id="{4F1FE4A2-5A96-3940-8E66-EBBD381E5605}"/>
                </a:ext>
              </a:extLst>
            </xdr:cNvPr>
            <xdr:cNvSpPr txBox="1"/>
          </xdr:nvSpPr>
          <xdr:spPr>
            <a:xfrm>
              <a:off x="3344334" y="7958667"/>
              <a:ext cx="2691378" cy="4969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〖𝑟𝑒𝑠𝑖𝑑𝑢𝑎𝑙〗_(𝐴𝑌,𝑑𝑒𝑣)^𝑠𝑖𝑚=(ln⁡(〖𝐿𝑜𝑠𝑠〗_(𝐴𝑌,𝑑𝑒𝑣) )−</a:t>
              </a:r>
              <a:r>
                <a:rPr lang="en-US" sz="1100" b="0" i="0">
                  <a:latin typeface="Cambria Math" panose="02040503050406030204" pitchFamily="18" charset="0"/>
                  <a:ea typeface="Cambria Math" panose="02040503050406030204" pitchFamily="18" charset="0"/>
                </a:rPr>
                <a:t>𝜇_(𝐴𝑌,𝑑𝑒𝑣)^𝑠𝑖𝑚)/(𝜎_𝑑𝑒𝑣^𝑠𝑖𝑚 )</a:t>
              </a:r>
              <a:endParaRPr lang="en-US" sz="1100"/>
            </a:p>
          </xdr:txBody>
        </xdr:sp>
      </mc:Fallback>
    </mc:AlternateContent>
    <xdr:clientData/>
  </xdr:oneCellAnchor>
  <xdr:oneCellAnchor>
    <xdr:from>
      <xdr:col>1</xdr:col>
      <xdr:colOff>296333</xdr:colOff>
      <xdr:row>38</xdr:row>
      <xdr:rowOff>31750</xdr:rowOff>
    </xdr:from>
    <xdr:ext cx="1465338" cy="5516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80FAF5C-E276-5D47-9C80-7A11A26D1823}"/>
                </a:ext>
              </a:extLst>
            </xdr:cNvPr>
            <xdr:cNvSpPr txBox="1"/>
          </xdr:nvSpPr>
          <xdr:spPr>
            <a:xfrm>
              <a:off x="1121833" y="7916333"/>
              <a:ext cx="1465338" cy="5516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𝑟</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𝑗</m:t>
                        </m:r>
                      </m:sup>
                    </m:sSubSup>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Sub>
                              </m:e>
                            </m:d>
                          </m:e>
                        </m:func>
                        <m:r>
                          <a:rPr lang="en-US" sz="1100" b="0" i="1">
                            <a:latin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𝑗</m:t>
                            </m:r>
                          </m:sup>
                        </m:sSubSup>
                      </m:num>
                      <m:den>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𝑗</m:t>
                            </m:r>
                          </m:sup>
                        </m:sSubSup>
                      </m:den>
                    </m:f>
                  </m:oMath>
                </m:oMathPara>
              </a14:m>
              <a:endParaRPr lang="en-US" sz="1100"/>
            </a:p>
          </xdr:txBody>
        </xdr:sp>
      </mc:Choice>
      <mc:Fallback xmlns="">
        <xdr:sp macro="" textlink="">
          <xdr:nvSpPr>
            <xdr:cNvPr id="6" name="TextBox 5">
              <a:extLst>
                <a:ext uri="{FF2B5EF4-FFF2-40B4-BE49-F238E27FC236}">
                  <a16:creationId xmlns:a16="http://schemas.microsoft.com/office/drawing/2014/main" id="{580FAF5C-E276-5D47-9C80-7A11A26D1823}"/>
                </a:ext>
              </a:extLst>
            </xdr:cNvPr>
            <xdr:cNvSpPr txBox="1"/>
          </xdr:nvSpPr>
          <xdr:spPr>
            <a:xfrm>
              <a:off x="1121833" y="7916333"/>
              <a:ext cx="1465338" cy="5516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𝑟_(𝑤,𝑑)^𝑗=(ln⁡(𝐶_(𝑤,𝑑) )−</a:t>
              </a:r>
              <a:r>
                <a:rPr lang="en-US" sz="1100" b="0" i="0">
                  <a:latin typeface="Cambria Math" panose="02040503050406030204" pitchFamily="18" charset="0"/>
                  <a:ea typeface="Cambria Math" panose="02040503050406030204" pitchFamily="18" charset="0"/>
                </a:rPr>
                <a:t>𝜇_(𝑤,𝑑)^𝑗)/(𝜎_𝑑^𝑗 )</a:t>
              </a:r>
              <a:endParaRPr lang="en-US" sz="1100"/>
            </a:p>
          </xdr:txBody>
        </xdr:sp>
      </mc:Fallback>
    </mc:AlternateContent>
    <xdr:clientData/>
  </xdr:oneCellAnchor>
  <xdr:oneCellAnchor>
    <xdr:from>
      <xdr:col>1</xdr:col>
      <xdr:colOff>243416</xdr:colOff>
      <xdr:row>24</xdr:row>
      <xdr:rowOff>105833</xdr:rowOff>
    </xdr:from>
    <xdr:ext cx="3559884" cy="27206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D0A0E48D-62D8-4048-89C1-D899851E898E}"/>
                </a:ext>
              </a:extLst>
            </xdr:cNvPr>
            <xdr:cNvSpPr txBox="1"/>
          </xdr:nvSpPr>
          <xdr:spPr>
            <a:xfrm>
              <a:off x="1068916" y="5090583"/>
              <a:ext cx="3559884" cy="2720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l-GR" sz="1100" b="0" i="1">
                            <a:latin typeface="Cambria Math" panose="02040503050406030204" pitchFamily="18" charset="0"/>
                          </a:rPr>
                        </m:ctrlPr>
                      </m:sSubPr>
                      <m:e>
                        <m:r>
                          <a:rPr lang="el-GR" sz="1100" b="0" i="1">
                            <a:latin typeface="Cambria Math" panose="02040503050406030204" pitchFamily="18" charset="0"/>
                          </a:rPr>
                          <m:t>𝛼</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l-GR" sz="1100" b="0" i="1">
                            <a:latin typeface="Cambria Math" panose="02040503050406030204" pitchFamily="18" charset="0"/>
                          </a:rPr>
                        </m:ctrlPr>
                      </m:sSubPr>
                      <m:e>
                        <m:r>
                          <a:rPr lang="el-GR" sz="1100" b="0" i="1">
                            <a:latin typeface="Cambria Math" panose="02040503050406030204" pitchFamily="18" charset="0"/>
                          </a:rPr>
                          <m:t>𝛽</m:t>
                        </m:r>
                      </m:e>
                      <m:sub>
                        <m:r>
                          <a:rPr lang="en-US" sz="1100" b="0" i="1">
                            <a:latin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l-GR" sz="1100" b="0" i="1">
                                <a:latin typeface="Cambria Math" panose="02040503050406030204" pitchFamily="18" charset="0"/>
                              </a:rPr>
                              <m:t>𝛾</m:t>
                            </m:r>
                          </m:e>
                        </m:d>
                      </m:e>
                      <m:sup>
                        <m:r>
                          <a:rPr lang="en-US" sz="1100" b="0" i="1">
                            <a:latin typeface="Cambria Math" panose="02040503050406030204" pitchFamily="18" charset="0"/>
                          </a:rPr>
                          <m:t>𝑤</m:t>
                        </m:r>
                        <m:r>
                          <a:rPr lang="en-US" sz="1100" b="0" i="1">
                            <a:latin typeface="Cambria Math" panose="02040503050406030204" pitchFamily="18" charset="0"/>
                          </a:rPr>
                          <m:t>−1</m:t>
                        </m:r>
                      </m:sup>
                    </m:sSup>
                  </m:oMath>
                </m:oMathPara>
              </a14:m>
              <a:endParaRPr lang="en-US" sz="1100"/>
            </a:p>
          </xdr:txBody>
        </xdr:sp>
      </mc:Choice>
      <mc:Fallback xmlns="">
        <xdr:sp macro="" textlink="">
          <xdr:nvSpPr>
            <xdr:cNvPr id="12" name="TextBox 11">
              <a:extLst>
                <a:ext uri="{FF2B5EF4-FFF2-40B4-BE49-F238E27FC236}">
                  <a16:creationId xmlns:a16="http://schemas.microsoft.com/office/drawing/2014/main" id="{D0A0E48D-62D8-4048-89C1-D899851E898E}"/>
                </a:ext>
              </a:extLst>
            </xdr:cNvPr>
            <xdr:cNvSpPr txBox="1"/>
          </xdr:nvSpPr>
          <xdr:spPr>
            <a:xfrm>
              <a:off x="1068916" y="5090583"/>
              <a:ext cx="3559884" cy="2720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a:t>
              </a:r>
              <a:r>
                <a:rPr lang="el-GR" sz="1100" b="0" i="0">
                  <a:latin typeface="Cambria Math" panose="02040503050406030204" pitchFamily="18" charset="0"/>
                </a:rPr>
                <a:t>𝛼_</a:t>
              </a:r>
              <a:r>
                <a:rPr lang="en-US" sz="1100" b="0" i="0">
                  <a:latin typeface="Cambria Math" panose="02040503050406030204" pitchFamily="18" charset="0"/>
                </a:rPr>
                <a:t>𝑤+</a:t>
              </a:r>
              <a:r>
                <a:rPr lang="el-GR" sz="1100" b="0" i="0">
                  <a:latin typeface="Cambria Math" panose="02040503050406030204" pitchFamily="18" charset="0"/>
                </a:rPr>
                <a:t>𝛽_</a:t>
              </a:r>
              <a:r>
                <a:rPr lang="en-US" sz="1100" b="0" i="0">
                  <a:latin typeface="Cambria Math" panose="02040503050406030204" pitchFamily="18" charset="0"/>
                </a:rPr>
                <a:t>𝑑</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(1−</a:t>
              </a:r>
              <a:r>
                <a:rPr lang="el-GR" sz="1100" b="0" i="0">
                  <a:latin typeface="Cambria Math" panose="02040503050406030204" pitchFamily="18" charset="0"/>
                </a:rPr>
                <a:t>𝛾)^(</a:t>
              </a:r>
              <a:r>
                <a:rPr lang="en-US" sz="1100" b="0" i="0">
                  <a:latin typeface="Cambria Math" panose="02040503050406030204" pitchFamily="18" charset="0"/>
                </a:rPr>
                <a:t>𝑤−1</a:t>
              </a:r>
              <a:r>
                <a:rPr lang="el-GR" sz="1100" b="0" i="0">
                  <a:latin typeface="Cambria Math" panose="02040503050406030204" pitchFamily="18" charset="0"/>
                </a:rPr>
                <a:t>)</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1</xdr:col>
      <xdr:colOff>201083</xdr:colOff>
      <xdr:row>39</xdr:row>
      <xdr:rowOff>158750</xdr:rowOff>
    </xdr:from>
    <xdr:ext cx="2391833" cy="269241"/>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3D496BBD-9226-484D-BF60-517DACBBDE81}"/>
                </a:ext>
              </a:extLst>
            </xdr:cNvPr>
            <xdr:cNvSpPr txBox="1"/>
          </xdr:nvSpPr>
          <xdr:spPr>
            <a:xfrm>
              <a:off x="1026583" y="8699500"/>
              <a:ext cx="2391833" cy="269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1</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oMath>
                </m:oMathPara>
              </a14:m>
              <a:endParaRPr lang="en-US" sz="1100"/>
            </a:p>
          </xdr:txBody>
        </xdr:sp>
      </mc:Choice>
      <mc:Fallback xmlns="">
        <xdr:sp macro="" textlink="">
          <xdr:nvSpPr>
            <xdr:cNvPr id="27" name="TextBox 26">
              <a:extLst>
                <a:ext uri="{FF2B5EF4-FFF2-40B4-BE49-F238E27FC236}">
                  <a16:creationId xmlns:a16="http://schemas.microsoft.com/office/drawing/2014/main" id="{3D496BBD-9226-484D-BF60-517DACBBDE81}"/>
                </a:ext>
              </a:extLst>
            </xdr:cNvPr>
            <xdr:cNvSpPr txBox="1"/>
          </xdr:nvSpPr>
          <xdr:spPr>
            <a:xfrm>
              <a:off x="1026583" y="8699500"/>
              <a:ext cx="2391833" cy="269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𝜇_(1,𝑑)</a:t>
              </a:r>
              <a:r>
                <a:rPr lang="en-US" sz="1100" b="0" i="0">
                  <a:latin typeface="Cambria Math" panose="02040503050406030204" pitchFamily="18" charset="0"/>
                </a:rPr>
                <a:t>=log⁡(〖𝑃𝑟𝑒𝑚𝑖𝑢𝑚〗_1 )+𝑙𝑜𝑔𝑒𝑙𝑟+</a:t>
              </a:r>
              <a:r>
                <a:rPr lang="en-US" sz="1100" b="0" i="0">
                  <a:latin typeface="Cambria Math" panose="02040503050406030204" pitchFamily="18" charset="0"/>
                  <a:ea typeface="Cambria Math" panose="02040503050406030204" pitchFamily="18" charset="0"/>
                </a:rPr>
                <a:t>𝛽_𝑑</a:t>
              </a:r>
              <a:endParaRPr lang="en-US" sz="1100"/>
            </a:p>
          </xdr:txBody>
        </xdr:sp>
      </mc:Fallback>
    </mc:AlternateContent>
    <xdr:clientData/>
  </xdr:oneCellAnchor>
  <xdr:oneCellAnchor>
    <xdr:from>
      <xdr:col>1</xdr:col>
      <xdr:colOff>211668</xdr:colOff>
      <xdr:row>50</xdr:row>
      <xdr:rowOff>105835</xdr:rowOff>
    </xdr:from>
    <xdr:ext cx="1745734" cy="283411"/>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13135084-126F-1B48-87DF-AE4E647AD01D}"/>
                </a:ext>
              </a:extLst>
            </xdr:cNvPr>
            <xdr:cNvSpPr txBox="1"/>
          </xdr:nvSpPr>
          <xdr:spPr>
            <a:xfrm>
              <a:off x="1037168" y="10657418"/>
              <a:ext cx="1745734"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Sub>
                      </m:e>
                    </m:d>
                  </m:oMath>
                </m:oMathPara>
              </a14:m>
              <a:endParaRPr lang="en-US" sz="1100"/>
            </a:p>
          </xdr:txBody>
        </xdr:sp>
      </mc:Choice>
      <mc:Fallback xmlns="">
        <xdr:sp macro="" textlink="">
          <xdr:nvSpPr>
            <xdr:cNvPr id="28" name="TextBox 27">
              <a:extLst>
                <a:ext uri="{FF2B5EF4-FFF2-40B4-BE49-F238E27FC236}">
                  <a16:creationId xmlns:a16="http://schemas.microsoft.com/office/drawing/2014/main" id="{13135084-126F-1B48-87DF-AE4E647AD01D}"/>
                </a:ext>
              </a:extLst>
            </xdr:cNvPr>
            <xdr:cNvSpPr txBox="1"/>
          </xdr:nvSpPr>
          <xdr:spPr>
            <a:xfrm>
              <a:off x="1037168" y="10657418"/>
              <a:ext cx="1745734"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𝐶_(𝑤,𝑑)~𝑙𝑜𝑔𝑛𝑜𝑟𝑚𝑎𝑙(𝜇_(𝑤,𝑑), 𝜎_𝑑 )</a:t>
              </a:r>
              <a:endParaRPr lang="en-US" sz="1100"/>
            </a:p>
          </xdr:txBody>
        </xdr:sp>
      </mc:Fallback>
    </mc:AlternateContent>
    <xdr:clientData/>
  </xdr:oneCellAnchor>
  <xdr:oneCellAnchor>
    <xdr:from>
      <xdr:col>4</xdr:col>
      <xdr:colOff>10582</xdr:colOff>
      <xdr:row>50</xdr:row>
      <xdr:rowOff>105832</xdr:rowOff>
    </xdr:from>
    <xdr:ext cx="2375971" cy="288092"/>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D8B015B-52D1-8D44-8AE8-8482DFE55E98}"/>
                </a:ext>
              </a:extLst>
            </xdr:cNvPr>
            <xdr:cNvSpPr txBox="1"/>
          </xdr:nvSpPr>
          <xdr:spPr>
            <a:xfrm>
              <a:off x="3312582" y="10657415"/>
              <a:ext cx="2375971" cy="28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𝐿𝑜𝑠𝑠</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𝑑𝑒𝑣</m:t>
                            </m:r>
                          </m:sub>
                        </m:sSub>
                      </m:e>
                    </m:d>
                  </m:oMath>
                </m:oMathPara>
              </a14:m>
              <a:endParaRPr lang="en-US" sz="1100"/>
            </a:p>
          </xdr:txBody>
        </xdr:sp>
      </mc:Choice>
      <mc:Fallback xmlns="">
        <xdr:sp macro="" textlink="">
          <xdr:nvSpPr>
            <xdr:cNvPr id="30" name="TextBox 29">
              <a:extLst>
                <a:ext uri="{FF2B5EF4-FFF2-40B4-BE49-F238E27FC236}">
                  <a16:creationId xmlns:a16="http://schemas.microsoft.com/office/drawing/2014/main" id="{9D8B015B-52D1-8D44-8AE8-8482DFE55E98}"/>
                </a:ext>
              </a:extLst>
            </xdr:cNvPr>
            <xdr:cNvSpPr txBox="1"/>
          </xdr:nvSpPr>
          <xdr:spPr>
            <a:xfrm>
              <a:off x="3312582" y="10657415"/>
              <a:ext cx="2375971" cy="28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〖𝐿𝑜𝑠𝑠〗_(𝐴𝑌,𝑑𝑒𝑣)~𝑙𝑜𝑔𝑛𝑜𝑟𝑚𝑎𝑙(𝜇_(𝐴𝑌,𝑑𝑒𝑣), 𝜎_𝑑𝑒𝑣 )</a:t>
              </a:r>
              <a:endParaRPr lang="en-US" sz="1100"/>
            </a:p>
          </xdr:txBody>
        </xdr:sp>
      </mc:Fallback>
    </mc:AlternateContent>
    <xdr:clientData/>
  </xdr:oneCellAnchor>
  <xdr:oneCellAnchor>
    <xdr:from>
      <xdr:col>1</xdr:col>
      <xdr:colOff>211666</xdr:colOff>
      <xdr:row>48</xdr:row>
      <xdr:rowOff>63500</xdr:rowOff>
    </xdr:from>
    <xdr:ext cx="4370917" cy="283411"/>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a16="http://schemas.microsoft.com/office/drawing/2014/main" id="{28093939-F5DC-F34F-AA51-DDA6A19CA318}"/>
                </a:ext>
              </a:extLst>
            </xdr:cNvPr>
            <xdr:cNvSpPr txBox="1"/>
          </xdr:nvSpPr>
          <xdr:spPr>
            <a:xfrm>
              <a:off x="1037166" y="10212917"/>
              <a:ext cx="4370917"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r>
                      <a:rPr lang="en-US" sz="1100" b="0" i="0">
                        <a:latin typeface="Cambria Math" panose="02040503050406030204" pitchFamily="18" charset="0"/>
                        <a:ea typeface="Cambria Math" panose="02040503050406030204" pitchFamily="18" charset="0"/>
                      </a:rPr>
                      <m:t>+</m:t>
                    </m:r>
                    <m:r>
                      <a:rPr lang="el-GR" sz="1100" b="0" i="1">
                        <a:latin typeface="Cambria Math" panose="02040503050406030204" pitchFamily="18" charset="0"/>
                        <a:ea typeface="Cambria Math" panose="02040503050406030204" pitchFamily="18" charset="0"/>
                      </a:rPr>
                      <m:t>𝜌</m:t>
                    </m:r>
                    <m:d>
                      <m:dPr>
                        <m:ctrlPr>
                          <a:rPr lang="en-US" sz="1100" b="0" i="1">
                            <a:latin typeface="Cambria Math" panose="02040503050406030204" pitchFamily="18" charset="0"/>
                            <a:ea typeface="Cambria Math" panose="02040503050406030204" pitchFamily="18" charset="0"/>
                          </a:rPr>
                        </m:ctrlPr>
                      </m:dPr>
                      <m:e>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func>
                      </m:e>
                    </m:d>
                  </m:oMath>
                </m:oMathPara>
              </a14:m>
              <a:endParaRPr lang="en-US" sz="1100"/>
            </a:p>
          </xdr:txBody>
        </xdr:sp>
      </mc:Choice>
      <mc:Fallback xmlns="">
        <xdr:sp macro="" textlink="">
          <xdr:nvSpPr>
            <xdr:cNvPr id="31" name="TextBox 30">
              <a:extLst>
                <a:ext uri="{FF2B5EF4-FFF2-40B4-BE49-F238E27FC236}">
                  <a16:creationId xmlns:a16="http://schemas.microsoft.com/office/drawing/2014/main" id="{28093939-F5DC-F34F-AA51-DDA6A19CA318}"/>
                </a:ext>
              </a:extLst>
            </xdr:cNvPr>
            <xdr:cNvSpPr txBox="1"/>
          </xdr:nvSpPr>
          <xdr:spPr>
            <a:xfrm>
              <a:off x="1037166" y="10212917"/>
              <a:ext cx="4370917"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)+𝑙𝑜𝑔𝑒𝑙𝑟+𝑎_𝑤+</a:t>
              </a:r>
              <a:r>
                <a:rPr lang="en-US" sz="1100" b="0" i="0">
                  <a:latin typeface="Cambria Math" panose="02040503050406030204" pitchFamily="18" charset="0"/>
                  <a:ea typeface="Cambria Math" panose="02040503050406030204" pitchFamily="18" charset="0"/>
                </a:rPr>
                <a:t>𝛽_𝑑+</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(log⁡〖(𝐶_(𝑤−1,𝑑) )−𝜇_(𝑤−1,𝑑) 〗 )</a:t>
              </a:r>
              <a:endParaRPr lang="en-US" sz="1100"/>
            </a:p>
          </xdr:txBody>
        </xdr:sp>
      </mc:Fallback>
    </mc:AlternateContent>
    <xdr:clientData/>
  </xdr:oneCellAnchor>
  <xdr:oneCellAnchor>
    <xdr:from>
      <xdr:col>6</xdr:col>
      <xdr:colOff>423333</xdr:colOff>
      <xdr:row>48</xdr:row>
      <xdr:rowOff>95248</xdr:rowOff>
    </xdr:from>
    <xdr:ext cx="1092029" cy="264431"/>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511A40CB-B5D9-8E4D-8A33-4584508412C9}"/>
                </a:ext>
              </a:extLst>
            </xdr:cNvPr>
            <xdr:cNvSpPr txBox="1"/>
          </xdr:nvSpPr>
          <xdr:spPr>
            <a:xfrm>
              <a:off x="5439833" y="10244665"/>
              <a:ext cx="1092029"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m:rPr>
                        <m:sty m:val="p"/>
                      </m:rPr>
                      <a:rPr lang="en-US" sz="1100" b="0" i="0">
                        <a:latin typeface="Cambria Math" panose="02040503050406030204" pitchFamily="18" charset="0"/>
                        <a:ea typeface="Cambria Math" panose="02040503050406030204" pitchFamily="18" charset="0"/>
                      </a:rPr>
                      <m:t>for</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rPr>
                      <m:t>=2, …, 10</m:t>
                    </m:r>
                  </m:oMath>
                </m:oMathPara>
              </a14:m>
              <a:endParaRPr lang="en-US" sz="1100"/>
            </a:p>
          </xdr:txBody>
        </xdr:sp>
      </mc:Choice>
      <mc:Fallback xmlns="">
        <xdr:sp macro="" textlink="">
          <xdr:nvSpPr>
            <xdr:cNvPr id="32" name="TextBox 31">
              <a:extLst>
                <a:ext uri="{FF2B5EF4-FFF2-40B4-BE49-F238E27FC236}">
                  <a16:creationId xmlns:a16="http://schemas.microsoft.com/office/drawing/2014/main" id="{511A40CB-B5D9-8E4D-8A33-4584508412C9}"/>
                </a:ext>
              </a:extLst>
            </xdr:cNvPr>
            <xdr:cNvSpPr txBox="1"/>
          </xdr:nvSpPr>
          <xdr:spPr>
            <a:xfrm>
              <a:off x="5439833" y="10244665"/>
              <a:ext cx="1092029"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for 𝑤</a:t>
              </a:r>
              <a:r>
                <a:rPr lang="en-US" sz="1100" b="0" i="0">
                  <a:latin typeface="Cambria Math" panose="02040503050406030204" pitchFamily="18" charset="0"/>
                </a:rPr>
                <a:t>=2, …, 10</a:t>
              </a:r>
              <a:endParaRPr lang="en-US" sz="1100"/>
            </a:p>
          </xdr:txBody>
        </xdr:sp>
      </mc:Fallback>
    </mc:AlternateContent>
    <xdr:clientData/>
  </xdr:oneCellAnchor>
  <xdr:oneCellAnchor>
    <xdr:from>
      <xdr:col>2</xdr:col>
      <xdr:colOff>105832</xdr:colOff>
      <xdr:row>74</xdr:row>
      <xdr:rowOff>137584</xdr:rowOff>
    </xdr:from>
    <xdr:ext cx="3567451" cy="673133"/>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68D4C647-54A2-3B4B-BE5C-DE2B1A4AF42D}"/>
                </a:ext>
              </a:extLst>
            </xdr:cNvPr>
            <xdr:cNvSpPr txBox="1"/>
          </xdr:nvSpPr>
          <xdr:spPr>
            <a:xfrm>
              <a:off x="1756832" y="15959667"/>
              <a:ext cx="3567451" cy="6731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ea typeface="Cambria Math" panose="02040503050406030204" pitchFamily="18" charset="0"/>
                      </a:rPr>
                      <m:t>𝐶𝑜𝑟𝑟</m:t>
                    </m:r>
                    <m:d>
                      <m:dPr>
                        <m:begChr m:val="["/>
                        <m:endChr m:val="]"/>
                        <m:ctrlPr>
                          <a:rPr lang="en-US" sz="1100" b="0" i="1">
                            <a:latin typeface="Cambria Math" panose="02040503050406030204" pitchFamily="18" charset="0"/>
                            <a:ea typeface="Cambria Math" panose="02040503050406030204" pitchFamily="18" charset="0"/>
                          </a:rPr>
                        </m:ctrlPr>
                      </m:dPr>
                      <m:e>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e>
                            </m:d>
                          </m:e>
                        </m:func>
                        <m:r>
                          <a:rPr lang="en-US" sz="1100" b="0" i="1">
                            <a:latin typeface="Cambria Math" panose="02040503050406030204" pitchFamily="18" charset="0"/>
                            <a:ea typeface="Cambria Math" panose="02040503050406030204" pitchFamily="18" charset="0"/>
                          </a:rPr>
                          <m:t>,</m:t>
                        </m:r>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𝑘</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e>
                            </m:d>
                          </m:e>
                        </m:func>
                      </m:e>
                    </m:d>
                    <m:r>
                      <a:rPr lang="en-US" sz="1100" b="0" i="1">
                        <a:latin typeface="Cambria Math" panose="02040503050406030204" pitchFamily="18" charset="0"/>
                        <a:ea typeface="Cambria Math" panose="02040503050406030204" pitchFamily="18" charset="0"/>
                      </a:rPr>
                      <m:t>=</m:t>
                    </m:r>
                    <m:f>
                      <m:fPr>
                        <m:ctrlPr>
                          <a:rPr lang="el-GR" sz="1100" b="0" i="1">
                            <a:latin typeface="Cambria Math" panose="02040503050406030204" pitchFamily="18" charset="0"/>
                            <a:ea typeface="Cambria Math" panose="02040503050406030204" pitchFamily="18" charset="0"/>
                          </a:rPr>
                        </m:ctrlPr>
                      </m:fPr>
                      <m:num>
                        <m:r>
                          <a:rPr lang="el-GR" sz="1100" b="0" i="1">
                            <a:latin typeface="Cambria Math" panose="02040503050406030204" pitchFamily="18" charset="0"/>
                            <a:ea typeface="Cambria Math" panose="02040503050406030204" pitchFamily="18" charset="0"/>
                          </a:rPr>
                          <m:t>𝜌</m:t>
                        </m:r>
                      </m:num>
                      <m:den>
                        <m:r>
                          <a:rPr lang="en-US" sz="1100" b="0" i="1">
                            <a:latin typeface="Cambria Math" panose="02040503050406030204" pitchFamily="18" charset="0"/>
                            <a:ea typeface="Cambria Math" panose="02040503050406030204" pitchFamily="18" charset="0"/>
                          </a:rPr>
                          <m:t>1+</m:t>
                        </m:r>
                        <m:sSup>
                          <m:sSupPr>
                            <m:ctrlPr>
                              <a:rPr lang="el-GR" sz="1100" b="0" i="1">
                                <a:latin typeface="Cambria Math" panose="02040503050406030204" pitchFamily="18" charset="0"/>
                                <a:ea typeface="Cambria Math" panose="02040503050406030204" pitchFamily="18" charset="0"/>
                              </a:rPr>
                            </m:ctrlPr>
                          </m:sSupPr>
                          <m:e>
                            <m:r>
                              <a:rPr lang="el-GR" sz="1100" b="0" i="1">
                                <a:latin typeface="Cambria Math" panose="02040503050406030204" pitchFamily="18" charset="0"/>
                                <a:ea typeface="Cambria Math" panose="02040503050406030204" pitchFamily="18" charset="0"/>
                              </a:rPr>
                              <m:t>𝜌</m:t>
                            </m:r>
                          </m:e>
                          <m:sup>
                            <m:r>
                              <a:rPr lang="en-US" sz="1100" b="0" i="1">
                                <a:latin typeface="Cambria Math" panose="02040503050406030204" pitchFamily="18" charset="0"/>
                                <a:ea typeface="Cambria Math" panose="02040503050406030204" pitchFamily="18" charset="0"/>
                              </a:rPr>
                              <m:t>2</m:t>
                            </m:r>
                          </m:sup>
                        </m:sSup>
                      </m:den>
                    </m:f>
                    <m:r>
                      <a:rPr lang="en-US" sz="1100" b="0" i="1">
                        <a:latin typeface="Cambria Math" panose="02040503050406030204" pitchFamily="18" charset="0"/>
                        <a:ea typeface="Cambria Math" panose="02040503050406030204" pitchFamily="18" charset="0"/>
                      </a:rPr>
                      <m:t>          </m:t>
                    </m:r>
                    <m:r>
                      <m:rPr>
                        <m:sty m:val="p"/>
                      </m:rPr>
                      <a:rPr lang="en-US" sz="1100" b="0" i="0">
                        <a:latin typeface="Cambria Math" panose="02040503050406030204" pitchFamily="18" charset="0"/>
                        <a:ea typeface="Cambria Math" panose="02040503050406030204" pitchFamily="18" charset="0"/>
                      </a:rPr>
                      <m:t>for</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𝑘</m:t>
                    </m:r>
                    <m:r>
                      <a:rPr lang="en-US" sz="1100" b="0" i="1">
                        <a:latin typeface="Cambria Math" panose="02040503050406030204" pitchFamily="18" charset="0"/>
                        <a:ea typeface="Cambria Math" panose="02040503050406030204" pitchFamily="18" charset="0"/>
                      </a:rPr>
                      <m:t>=1</m:t>
                    </m:r>
                  </m:oMath>
                </m:oMathPara>
              </a14:m>
              <a:endParaRPr lang="en-US" sz="1100" b="0" i="1">
                <a:latin typeface="Cambria Math" panose="02040503050406030204" pitchFamily="18" charset="0"/>
                <a:ea typeface="Cambria Math" panose="02040503050406030204" pitchFamily="18" charset="0"/>
              </a:endParaRPr>
            </a:p>
            <a:p>
              <a:endParaRPr lang="en-US" sz="600" b="0" i="1">
                <a:latin typeface="Cambria Math" panose="02040503050406030204" pitchFamily="18" charset="0"/>
                <a:ea typeface="Cambria Math" panose="02040503050406030204" pitchFamily="18" charset="0"/>
              </a:endParaRPr>
            </a:p>
            <a:p>
              <a:pPr/>
              <a14:m>
                <m:oMathPara xmlns:m="http://schemas.openxmlformats.org/officeDocument/2006/math">
                  <m:oMath>
                    <m:r>
                      <a:rPr lang="en-US" sz="1100" b="0" i="1">
                        <a:latin typeface="Cambria Math" panose="02040503050406030204" pitchFamily="18" charset="0"/>
                        <a:ea typeface="Cambria Math" panose="02040503050406030204" pitchFamily="18" charset="0"/>
                      </a:rPr>
                      <m:t>                                                          =0          </m:t>
                    </m:r>
                    <m:r>
                      <a:rPr lang="en-US" sz="1100" b="0" i="0">
                        <a:latin typeface="Cambria Math" panose="02040503050406030204" pitchFamily="18" charset="0"/>
                        <a:ea typeface="Cambria Math" panose="02040503050406030204" pitchFamily="18" charset="0"/>
                      </a:rPr>
                      <m:t>               </m:t>
                    </m:r>
                    <m:r>
                      <m:rPr>
                        <m:sty m:val="p"/>
                      </m:rPr>
                      <a:rPr lang="en-US" sz="1100" b="0" i="0">
                        <a:latin typeface="Cambria Math" panose="02040503050406030204" pitchFamily="18" charset="0"/>
                        <a:ea typeface="Cambria Math" panose="02040503050406030204" pitchFamily="18" charset="0"/>
                      </a:rPr>
                      <m:t>for</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𝑘</m:t>
                    </m:r>
                    <m:r>
                      <a:rPr lang="en-US" sz="1100" b="0" i="1">
                        <a:latin typeface="Cambria Math" panose="02040503050406030204" pitchFamily="18" charset="0"/>
                        <a:ea typeface="Cambria Math" panose="02040503050406030204" pitchFamily="18" charset="0"/>
                      </a:rPr>
                      <m:t>&gt;1</m:t>
                    </m:r>
                  </m:oMath>
                </m:oMathPara>
              </a14:m>
              <a:endParaRPr lang="en-US" sz="1100"/>
            </a:p>
          </xdr:txBody>
        </xdr:sp>
      </mc:Choice>
      <mc:Fallback xmlns="">
        <xdr:sp macro="" textlink="">
          <xdr:nvSpPr>
            <xdr:cNvPr id="33" name="TextBox 32">
              <a:extLst>
                <a:ext uri="{FF2B5EF4-FFF2-40B4-BE49-F238E27FC236}">
                  <a16:creationId xmlns:a16="http://schemas.microsoft.com/office/drawing/2014/main" id="{68D4C647-54A2-3B4B-BE5C-DE2B1A4AF42D}"/>
                </a:ext>
              </a:extLst>
            </xdr:cNvPr>
            <xdr:cNvSpPr txBox="1"/>
          </xdr:nvSpPr>
          <xdr:spPr>
            <a:xfrm>
              <a:off x="1756832" y="15959667"/>
              <a:ext cx="3567451" cy="6731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ea typeface="Cambria Math" panose="02040503050406030204" pitchFamily="18" charset="0"/>
                </a:rPr>
                <a:t>𝐶𝑜𝑟𝑟[log⁡(𝐶_(𝑤,𝑑) ),log⁡(𝐶_(𝑤−𝑘,𝑑) ) ]=</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1+</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^2 </a:t>
              </a:r>
              <a:r>
                <a:rPr lang="el-GR"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           for 𝑘=1</a:t>
              </a:r>
              <a:endParaRPr lang="en-US" sz="1100" b="0" i="1">
                <a:latin typeface="Cambria Math" panose="02040503050406030204" pitchFamily="18" charset="0"/>
                <a:ea typeface="Cambria Math" panose="02040503050406030204" pitchFamily="18" charset="0"/>
              </a:endParaRPr>
            </a:p>
            <a:p>
              <a:endParaRPr lang="en-US" sz="600" b="0" i="1">
                <a:latin typeface="Cambria Math" panose="02040503050406030204" pitchFamily="18" charset="0"/>
                <a:ea typeface="Cambria Math" panose="02040503050406030204" pitchFamily="18" charset="0"/>
              </a:endParaRPr>
            </a:p>
            <a:p>
              <a:pPr/>
              <a:r>
                <a:rPr lang="en-US" sz="1100" b="0" i="0">
                  <a:latin typeface="Cambria Math" panose="02040503050406030204" pitchFamily="18" charset="0"/>
                  <a:ea typeface="Cambria Math" panose="02040503050406030204" pitchFamily="18" charset="0"/>
                </a:rPr>
                <a:t>                                                          =0                         for 𝑘&gt;1</a:t>
              </a:r>
              <a:endParaRPr lang="en-US"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1</xdr:col>
      <xdr:colOff>254000</xdr:colOff>
      <xdr:row>41</xdr:row>
      <xdr:rowOff>158751</xdr:rowOff>
    </xdr:from>
    <xdr:ext cx="1379352" cy="31200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519C499-B398-724B-8901-DE238FE0A912}"/>
                </a:ext>
              </a:extLst>
            </xdr:cNvPr>
            <xdr:cNvSpPr txBox="1"/>
          </xdr:nvSpPr>
          <xdr:spPr>
            <a:xfrm>
              <a:off x="1079500" y="8868834"/>
              <a:ext cx="1379352" cy="31200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Sub>
                      </m:e>
                    </m:d>
                    <m:r>
                      <a:rPr lang="en-US" sz="1100" b="0" i="1">
                        <a:latin typeface="Cambria Math" panose="02040503050406030204" pitchFamily="18" charset="0"/>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f>
                          <m:fPr>
                            <m:type m:val="lin"/>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𝜎</m:t>
                                </m:r>
                              </m:e>
                              <m:sub>
                                <m:r>
                                  <a:rPr lang="en-US" sz="1100" i="1">
                                    <a:solidFill>
                                      <a:schemeClr val="tx1"/>
                                    </a:solidFill>
                                    <a:effectLst/>
                                    <a:latin typeface="Cambria Math" panose="02040503050406030204" pitchFamily="18" charset="0"/>
                                    <a:ea typeface="+mn-ea"/>
                                    <a:cs typeface="+mn-cs"/>
                                  </a:rPr>
                                  <m:t>𝑑</m:t>
                                </m:r>
                              </m:sub>
                              <m:sup>
                                <m:r>
                                  <a:rPr lang="en-US" sz="1100" i="1">
                                    <a:solidFill>
                                      <a:schemeClr val="tx1"/>
                                    </a:solidFill>
                                    <a:effectLst/>
                                    <a:latin typeface="Cambria Math" panose="02040503050406030204" pitchFamily="18" charset="0"/>
                                    <a:ea typeface="+mn-ea"/>
                                    <a:cs typeface="+mn-cs"/>
                                  </a:rPr>
                                  <m:t>2</m:t>
                                </m:r>
                              </m:sup>
                            </m:sSubSup>
                          </m:num>
                          <m:den>
                            <m:r>
                              <a:rPr lang="en-US" sz="1100" i="1">
                                <a:solidFill>
                                  <a:schemeClr val="tx1"/>
                                </a:solidFill>
                                <a:effectLst/>
                                <a:latin typeface="Cambria Math" panose="02040503050406030204" pitchFamily="18" charset="0"/>
                                <a:ea typeface="+mn-ea"/>
                                <a:cs typeface="+mn-cs"/>
                              </a:rPr>
                              <m:t>2</m:t>
                            </m:r>
                          </m:den>
                        </m:f>
                      </m:sup>
                    </m:sSup>
                    <m:r>
                      <m:rPr>
                        <m:nor/>
                      </m:rPr>
                      <a:rPr lang="en-US" i="0">
                        <a:effectLst/>
                      </a:rPr>
                      <m:t> </m:t>
                    </m:r>
                  </m:oMath>
                </m:oMathPara>
              </a14:m>
              <a:endParaRPr lang="en-US" sz="1100"/>
            </a:p>
          </xdr:txBody>
        </xdr:sp>
      </mc:Choice>
      <mc:Fallback xmlns="">
        <xdr:sp macro="" textlink="">
          <xdr:nvSpPr>
            <xdr:cNvPr id="2" name="TextBox 1">
              <a:extLst>
                <a:ext uri="{FF2B5EF4-FFF2-40B4-BE49-F238E27FC236}">
                  <a16:creationId xmlns:a16="http://schemas.microsoft.com/office/drawing/2014/main" id="{0519C499-B398-724B-8901-DE238FE0A912}"/>
                </a:ext>
              </a:extLst>
            </xdr:cNvPr>
            <xdr:cNvSpPr txBox="1"/>
          </xdr:nvSpPr>
          <xdr:spPr>
            <a:xfrm>
              <a:off x="1079500" y="8868834"/>
              <a:ext cx="1379352" cy="31200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𝐸[𝐶_(𝑤,𝑑) ]=</a:t>
              </a:r>
              <a:r>
                <a:rPr lang="en-US" sz="1100" i="0">
                  <a:solidFill>
                    <a:schemeClr val="tx1"/>
                  </a:solidFill>
                  <a:effectLst/>
                  <a:latin typeface="+mn-lt"/>
                  <a:ea typeface="+mn-ea"/>
                  <a:cs typeface="+mn-cs"/>
                </a:rPr>
                <a:t>𝑒^(𝜇_(𝑤,𝑑)+𝜎_𝑑^2∕2)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p>
          </xdr:txBody>
        </xdr:sp>
      </mc:Fallback>
    </mc:AlternateContent>
    <xdr:clientData/>
  </xdr:oneCellAnchor>
  <xdr:oneCellAnchor>
    <xdr:from>
      <xdr:col>1</xdr:col>
      <xdr:colOff>243416</xdr:colOff>
      <xdr:row>39</xdr:row>
      <xdr:rowOff>105833</xdr:rowOff>
    </xdr:from>
    <xdr:ext cx="3741472" cy="297517"/>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ED79F1D9-73F9-8E4E-9884-691533108223}"/>
                </a:ext>
              </a:extLst>
            </xdr:cNvPr>
            <xdr:cNvSpPr txBox="1"/>
          </xdr:nvSpPr>
          <xdr:spPr>
            <a:xfrm>
              <a:off x="1068916" y="8413750"/>
              <a:ext cx="3741472" cy="2975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𝑃</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Sub>
                      </m:e>
                    </m:sPre>
                    <m:r>
                      <a:rPr lang="en-US" sz="1100" b="0" i="1">
                        <a:solidFill>
                          <a:schemeClr val="tx1"/>
                        </a:solidFill>
                        <a:latin typeface="Cambria Math" panose="02040503050406030204" pitchFamily="18" charset="0"/>
                      </a:rPr>
                      <m:t>=</m:t>
                    </m:r>
                    <m:func>
                      <m:funcPr>
                        <m:ctrlPr>
                          <a:rPr lang="en-US" sz="1100" b="0" i="0">
                            <a:solidFill>
                              <a:schemeClr val="tx1"/>
                            </a:solidFill>
                            <a:latin typeface="Cambria Math" panose="02040503050406030204" pitchFamily="18" charset="0"/>
                          </a:rPr>
                        </m:ctrlPr>
                      </m:funcPr>
                      <m:fName>
                        <m:r>
                          <m:rPr>
                            <m:sty m:val="p"/>
                          </m:rPr>
                          <a:rPr lang="en-US" sz="1100" b="0" i="0">
                            <a:solidFill>
                              <a:schemeClr val="tx1"/>
                            </a:solidFill>
                            <a:latin typeface="Cambria Math" panose="02040503050406030204" pitchFamily="18" charset="0"/>
                          </a:rPr>
                          <m:t>log</m:t>
                        </m:r>
                      </m:fName>
                      <m:e>
                        <m:d>
                          <m:dPr>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𝑃𝑟𝑒𝑚𝑖𝑢𝑚</m:t>
                                </m:r>
                              </m:e>
                              <m:sub>
                                <m:r>
                                  <a:rPr lang="en-US" sz="1100" b="0" i="1">
                                    <a:solidFill>
                                      <a:schemeClr val="tx1"/>
                                    </a:solidFill>
                                    <a:latin typeface="Cambria Math" panose="02040503050406030204" pitchFamily="18" charset="0"/>
                                  </a:rPr>
                                  <m:t>𝑤</m:t>
                                </m:r>
                              </m:sub>
                            </m:sSub>
                          </m:e>
                        </m:d>
                      </m:e>
                    </m:func>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𝑙𝑜𝑔𝑒𝑙𝑟</m:t>
                    </m:r>
                    <m:r>
                      <a:rPr lang="en-US" sz="1100" b="0" i="1">
                        <a:solidFill>
                          <a:schemeClr val="tx1"/>
                        </a:solidFill>
                        <a:latin typeface="Cambria Math" panose="02040503050406030204" pitchFamily="18" charset="0"/>
                      </a:rPr>
                      <m:t>+</m:t>
                    </m:r>
                    <m:sSub>
                      <m:sSubPr>
                        <m:ctrlPr>
                          <a:rPr lang="el-GR" sz="1100" b="0" i="1">
                            <a:solidFill>
                              <a:schemeClr val="tx1"/>
                            </a:solidFill>
                            <a:latin typeface="Cambria Math" panose="02040503050406030204" pitchFamily="18" charset="0"/>
                          </a:rPr>
                        </m:ctrlPr>
                      </m:sSubPr>
                      <m:e>
                        <m:r>
                          <a:rPr lang="el-GR" sz="1100" b="0" i="1">
                            <a:solidFill>
                              <a:schemeClr val="tx1"/>
                            </a:solidFill>
                            <a:latin typeface="Cambria Math" panose="02040503050406030204" pitchFamily="18" charset="0"/>
                          </a:rPr>
                          <m:t>𝛼</m:t>
                        </m:r>
                      </m:e>
                      <m:sub>
                        <m:r>
                          <a:rPr lang="en-US" sz="1100" b="0" i="1">
                            <a:solidFill>
                              <a:schemeClr val="tx1"/>
                            </a:solidFill>
                            <a:latin typeface="Cambria Math" panose="02040503050406030204" pitchFamily="18" charset="0"/>
                          </a:rPr>
                          <m:t>𝑤</m:t>
                        </m:r>
                      </m:sub>
                    </m:sSub>
                    <m:r>
                      <a:rPr lang="en-US" sz="1100" b="0" i="1">
                        <a:solidFill>
                          <a:schemeClr val="tx1"/>
                        </a:solidFill>
                        <a:latin typeface="Cambria Math" panose="02040503050406030204" pitchFamily="18" charset="0"/>
                      </a:rPr>
                      <m:t>+</m:t>
                    </m:r>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𝑃</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𝛽</m:t>
                            </m:r>
                          </m:e>
                          <m:sub>
                            <m:r>
                              <a:rPr lang="en-US" sz="1100" b="0" i="1">
                                <a:solidFill>
                                  <a:schemeClr val="tx1"/>
                                </a:solidFill>
                                <a:latin typeface="Cambria Math" panose="02040503050406030204" pitchFamily="18" charset="0"/>
                                <a:ea typeface="Cambria Math" panose="02040503050406030204" pitchFamily="18" charset="0"/>
                              </a:rPr>
                              <m:t>𝑑</m:t>
                            </m:r>
                          </m:sub>
                        </m:sSub>
                      </m:e>
                    </m:sPre>
                    <m:r>
                      <a:rPr lang="en-US" sz="1100" b="0" i="1">
                        <a:solidFill>
                          <a:schemeClr val="tx1"/>
                        </a:solidFill>
                        <a:latin typeface="Cambria Math" panose="02040503050406030204" pitchFamily="18" charset="0"/>
                        <a:ea typeface="Cambria Math" panose="02040503050406030204" pitchFamily="18" charset="0"/>
                      </a:rPr>
                      <m:t>×</m:t>
                    </m:r>
                    <m:sSup>
                      <m:sSupPr>
                        <m:ctrlPr>
                          <a:rPr lang="en-US" sz="1100" b="0" i="1">
                            <a:solidFill>
                              <a:schemeClr val="tx1"/>
                            </a:solidFill>
                            <a:latin typeface="Cambria Math" panose="02040503050406030204" pitchFamily="18" charset="0"/>
                          </a:rPr>
                        </m:ctrlPr>
                      </m:sSupPr>
                      <m:e>
                        <m:d>
                          <m:dPr>
                            <m:ctrlPr>
                              <a:rPr lang="en-US" sz="1100" b="0" i="1">
                                <a:solidFill>
                                  <a:schemeClr val="tx1"/>
                                </a:solidFill>
                                <a:latin typeface="Cambria Math" panose="02040503050406030204" pitchFamily="18" charset="0"/>
                              </a:rPr>
                            </m:ctrlPr>
                          </m:dPr>
                          <m:e>
                            <m:r>
                              <a:rPr lang="en-US" sz="1100" b="0" i="1">
                                <a:solidFill>
                                  <a:schemeClr val="tx1"/>
                                </a:solidFill>
                                <a:latin typeface="Cambria Math" panose="02040503050406030204" pitchFamily="18" charset="0"/>
                              </a:rPr>
                              <m:t>1−</m:t>
                            </m:r>
                            <m:r>
                              <a:rPr lang="el-GR" sz="1100" b="0" i="1">
                                <a:solidFill>
                                  <a:schemeClr val="tx1"/>
                                </a:solidFill>
                                <a:latin typeface="Cambria Math" panose="02040503050406030204" pitchFamily="18" charset="0"/>
                              </a:rPr>
                              <m:t>𝛾</m:t>
                            </m:r>
                          </m:e>
                        </m:d>
                      </m:e>
                      <m:sup>
                        <m:r>
                          <a:rPr lang="en-US" sz="1100" b="0" i="1">
                            <a:solidFill>
                              <a:schemeClr val="tx1"/>
                            </a:solidFill>
                            <a:latin typeface="Cambria Math" panose="02040503050406030204" pitchFamily="18" charset="0"/>
                          </a:rPr>
                          <m:t>𝑤</m:t>
                        </m:r>
                        <m:r>
                          <a:rPr lang="en-US" sz="1100" b="0" i="1">
                            <a:solidFill>
                              <a:schemeClr val="tx1"/>
                            </a:solidFill>
                            <a:latin typeface="Cambria Math" panose="02040503050406030204" pitchFamily="18" charset="0"/>
                          </a:rPr>
                          <m:t>−1</m:t>
                        </m:r>
                      </m:sup>
                    </m:sSup>
                  </m:oMath>
                </m:oMathPara>
              </a14:m>
              <a:endParaRPr lang="en-US" sz="1100">
                <a:solidFill>
                  <a:schemeClr val="tx1"/>
                </a:solidFill>
              </a:endParaRPr>
            </a:p>
          </xdr:txBody>
        </xdr:sp>
      </mc:Choice>
      <mc:Fallback xmlns="">
        <xdr:sp macro="" textlink="">
          <xdr:nvSpPr>
            <xdr:cNvPr id="12" name="TextBox 11">
              <a:extLst>
                <a:ext uri="{FF2B5EF4-FFF2-40B4-BE49-F238E27FC236}">
                  <a16:creationId xmlns:a16="http://schemas.microsoft.com/office/drawing/2014/main" id="{ED79F1D9-73F9-8E4E-9884-691533108223}"/>
                </a:ext>
              </a:extLst>
            </xdr:cNvPr>
            <xdr:cNvSpPr txBox="1"/>
          </xdr:nvSpPr>
          <xdr:spPr>
            <a:xfrm>
              <a:off x="1068916" y="8413750"/>
              <a:ext cx="3741472" cy="2975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(_𝑃^)𝜇_(𝑤,𝑑) </a:t>
              </a:r>
              <a:r>
                <a:rPr lang="en-US" sz="1100" b="0" i="0">
                  <a:solidFill>
                    <a:schemeClr val="tx1"/>
                  </a:solidFill>
                  <a:latin typeface="Cambria Math" panose="02040503050406030204" pitchFamily="18" charset="0"/>
                </a:rPr>
                <a:t>=log⁡(〖𝑃𝑟𝑒𝑚𝑖𝑢𝑚〗_𝑤 )+𝑙𝑜𝑔𝑒𝑙𝑟+</a:t>
              </a:r>
              <a:r>
                <a:rPr lang="el-GR" sz="1100" b="0" i="0">
                  <a:solidFill>
                    <a:schemeClr val="tx1"/>
                  </a:solidFill>
                  <a:latin typeface="Cambria Math" panose="02040503050406030204" pitchFamily="18" charset="0"/>
                </a:rPr>
                <a:t>𝛼_</a:t>
              </a:r>
              <a:r>
                <a:rPr lang="en-US" sz="1100" b="0" i="0">
                  <a:solidFill>
                    <a:schemeClr val="tx1"/>
                  </a:solidFill>
                  <a:latin typeface="Cambria Math" panose="02040503050406030204" pitchFamily="18" charset="0"/>
                </a:rPr>
                <a:t>𝑤+</a:t>
              </a:r>
              <a:r>
                <a:rPr lang="en-US" sz="1100" b="0" i="0">
                  <a:solidFill>
                    <a:schemeClr val="tx1"/>
                  </a:solidFill>
                  <a:latin typeface="Cambria Math" panose="02040503050406030204" pitchFamily="18" charset="0"/>
                  <a:ea typeface="Cambria Math" panose="02040503050406030204" pitchFamily="18" charset="0"/>
                </a:rPr>
                <a:t>(_𝑃^)𝛽_𝑑 ×</a:t>
              </a:r>
              <a:r>
                <a:rPr lang="en-US" sz="1100" b="0" i="0">
                  <a:solidFill>
                    <a:schemeClr val="tx1"/>
                  </a:solidFill>
                  <a:latin typeface="Cambria Math" panose="02040503050406030204" pitchFamily="18" charset="0"/>
                </a:rPr>
                <a:t>(1−</a:t>
              </a:r>
              <a:r>
                <a:rPr lang="el-GR" sz="1100" b="0" i="0">
                  <a:solidFill>
                    <a:schemeClr val="tx1"/>
                  </a:solidFill>
                  <a:latin typeface="Cambria Math" panose="02040503050406030204" pitchFamily="18" charset="0"/>
                </a:rPr>
                <a:t>𝛾)^(</a:t>
              </a:r>
              <a:r>
                <a:rPr lang="en-US" sz="1100" b="0" i="0">
                  <a:solidFill>
                    <a:schemeClr val="tx1"/>
                  </a:solidFill>
                  <a:latin typeface="Cambria Math" panose="02040503050406030204" pitchFamily="18" charset="0"/>
                </a:rPr>
                <a:t>𝑤−1</a:t>
              </a:r>
              <a:r>
                <a:rPr lang="el-GR" sz="1100" b="0" i="0">
                  <a:solidFill>
                    <a:schemeClr val="tx1"/>
                  </a:solidFill>
                  <a:latin typeface="Cambria Math" panose="02040503050406030204" pitchFamily="18" charset="0"/>
                </a:rPr>
                <a:t>)</a:t>
              </a:r>
              <a:endParaRPr lang="en-US" sz="1100">
                <a:solidFill>
                  <a:schemeClr val="tx1"/>
                </a:solidFill>
              </a:endParaRPr>
            </a:p>
          </xdr:txBody>
        </xdr:sp>
      </mc:Fallback>
    </mc:AlternateContent>
    <xdr:clientData/>
  </xdr:oneCellAnchor>
  <xdr:oneCellAnchor>
    <xdr:from>
      <xdr:col>1</xdr:col>
      <xdr:colOff>222248</xdr:colOff>
      <xdr:row>51</xdr:row>
      <xdr:rowOff>158750</xdr:rowOff>
    </xdr:from>
    <xdr:ext cx="4794252" cy="29238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EB31034-67FC-5C44-BAE2-70C42AF0CD85}"/>
                </a:ext>
              </a:extLst>
            </xdr:cNvPr>
            <xdr:cNvSpPr txBox="1"/>
          </xdr:nvSpPr>
          <xdr:spPr>
            <a:xfrm>
              <a:off x="1047748" y="10911417"/>
              <a:ext cx="4794252" cy="2923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Sub>
                      </m:e>
                    </m:sPre>
                    <m:r>
                      <a:rPr lang="en-US" sz="1100" b="0" i="1">
                        <a:solidFill>
                          <a:schemeClr val="tx1"/>
                        </a:solidFill>
                        <a:latin typeface="Cambria Math" panose="02040503050406030204" pitchFamily="18" charset="0"/>
                      </a:rPr>
                      <m:t>=</m:t>
                    </m:r>
                    <m:func>
                      <m:funcPr>
                        <m:ctrlPr>
                          <a:rPr lang="en-US" sz="1100" b="0" i="0">
                            <a:solidFill>
                              <a:schemeClr val="tx1"/>
                            </a:solidFill>
                            <a:latin typeface="Cambria Math" panose="02040503050406030204" pitchFamily="18" charset="0"/>
                          </a:rPr>
                        </m:ctrlPr>
                      </m:funcPr>
                      <m:fName>
                        <m:r>
                          <m:rPr>
                            <m:sty m:val="p"/>
                          </m:rPr>
                          <a:rPr lang="en-US" sz="1100" b="0" i="0">
                            <a:solidFill>
                              <a:schemeClr val="tx1"/>
                            </a:solidFill>
                            <a:latin typeface="Cambria Math" panose="02040503050406030204" pitchFamily="18" charset="0"/>
                          </a:rPr>
                          <m:t>log</m:t>
                        </m:r>
                      </m:fName>
                      <m:e>
                        <m:d>
                          <m:dPr>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𝑃𝑟𝑒𝑚𝑖𝑢𝑚</m:t>
                                </m:r>
                              </m:e>
                              <m:sub>
                                <m:r>
                                  <a:rPr lang="en-US" sz="1100" b="0" i="1">
                                    <a:solidFill>
                                      <a:schemeClr val="tx1"/>
                                    </a:solidFill>
                                    <a:latin typeface="Cambria Math" panose="02040503050406030204" pitchFamily="18" charset="0"/>
                                  </a:rPr>
                                  <m:t>𝑤</m:t>
                                </m:r>
                              </m:sub>
                            </m:sSub>
                          </m:e>
                        </m:d>
                      </m:e>
                    </m:func>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𝑙𝑜𝑔𝑒𝑙𝑟</m:t>
                    </m:r>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𝑎</m:t>
                        </m:r>
                      </m:e>
                      <m:sub>
                        <m:r>
                          <a:rPr lang="en-US" sz="1100" b="0" i="1">
                            <a:solidFill>
                              <a:schemeClr val="tx1"/>
                            </a:solidFill>
                            <a:latin typeface="Cambria Math" panose="02040503050406030204" pitchFamily="18" charset="0"/>
                          </a:rPr>
                          <m:t>𝑤</m:t>
                        </m:r>
                      </m:sub>
                    </m:sSub>
                    <m:r>
                      <a:rPr lang="en-US" sz="1100" b="0" i="1">
                        <a:solidFill>
                          <a:schemeClr val="tx1"/>
                        </a:solidFill>
                        <a:latin typeface="Cambria Math" panose="02040503050406030204" pitchFamily="18" charset="0"/>
                      </a:rPr>
                      <m:t>+</m:t>
                    </m:r>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𝛽</m:t>
                            </m:r>
                          </m:e>
                          <m:sub>
                            <m:r>
                              <a:rPr lang="en-US" sz="1100" b="0" i="1">
                                <a:solidFill>
                                  <a:schemeClr val="tx1"/>
                                </a:solidFill>
                                <a:latin typeface="Cambria Math" panose="02040503050406030204" pitchFamily="18" charset="0"/>
                                <a:ea typeface="Cambria Math" panose="02040503050406030204" pitchFamily="18" charset="0"/>
                              </a:rPr>
                              <m:t>𝑑</m:t>
                            </m:r>
                          </m:sub>
                        </m:sSub>
                      </m:e>
                    </m:sPre>
                    <m:r>
                      <a:rPr lang="en-US" sz="1100" b="0" i="0">
                        <a:solidFill>
                          <a:schemeClr val="tx1"/>
                        </a:solidFill>
                        <a:latin typeface="Cambria Math" panose="02040503050406030204" pitchFamily="18" charset="0"/>
                        <a:ea typeface="Cambria Math" panose="02040503050406030204" pitchFamily="18" charset="0"/>
                      </a:rPr>
                      <m:t>+</m:t>
                    </m:r>
                    <m:r>
                      <a:rPr lang="el-GR" sz="1100" b="0" i="1">
                        <a:solidFill>
                          <a:schemeClr val="tx1"/>
                        </a:solidFill>
                        <a:latin typeface="Cambria Math" panose="02040503050406030204" pitchFamily="18" charset="0"/>
                        <a:ea typeface="Cambria Math" panose="02040503050406030204" pitchFamily="18" charset="0"/>
                      </a:rPr>
                      <m:t>𝜌</m:t>
                    </m:r>
                    <m:d>
                      <m:dPr>
                        <m:ctrlPr>
                          <a:rPr lang="en-US" sz="1100" b="0" i="1">
                            <a:solidFill>
                              <a:schemeClr val="tx1"/>
                            </a:solidFill>
                            <a:latin typeface="Cambria Math" panose="02040503050406030204" pitchFamily="18" charset="0"/>
                            <a:ea typeface="Cambria Math" panose="02040503050406030204" pitchFamily="18" charset="0"/>
                          </a:rPr>
                        </m:ctrlPr>
                      </m:dPr>
                      <m:e>
                        <m:func>
                          <m:funcPr>
                            <m:ctrlPr>
                              <a:rPr lang="en-US" sz="1100" b="0" i="0">
                                <a:solidFill>
                                  <a:schemeClr val="tx1"/>
                                </a:solidFill>
                                <a:latin typeface="Cambria Math" panose="02040503050406030204" pitchFamily="18" charset="0"/>
                                <a:ea typeface="Cambria Math" panose="02040503050406030204" pitchFamily="18" charset="0"/>
                              </a:rPr>
                            </m:ctrlPr>
                          </m:funcPr>
                          <m:fName>
                            <m:r>
                              <m:rPr>
                                <m:sty m:val="p"/>
                              </m:rPr>
                              <a:rPr lang="en-US" sz="1100" b="0" i="0">
                                <a:solidFill>
                                  <a:schemeClr val="tx1"/>
                                </a:solidFill>
                                <a:latin typeface="Cambria Math" panose="02040503050406030204" pitchFamily="18" charset="0"/>
                                <a:ea typeface="Cambria Math" panose="02040503050406030204" pitchFamily="18" charset="0"/>
                              </a:rPr>
                              <m:t>log</m:t>
                            </m:r>
                          </m:fName>
                          <m:e>
                            <m:d>
                              <m:dPr>
                                <m:ctrlPr>
                                  <a:rPr lang="en-US" sz="1100" b="0" i="1">
                                    <a:solidFill>
                                      <a:schemeClr val="tx1"/>
                                    </a:solidFill>
                                    <a:latin typeface="Cambria Math" panose="02040503050406030204" pitchFamily="18" charset="0"/>
                                    <a:ea typeface="Cambria Math" panose="02040503050406030204" pitchFamily="18" charset="0"/>
                                  </a:rPr>
                                </m:ctrlPr>
                              </m:dPr>
                              <m:e>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−1,</m:t>
                                        </m:r>
                                        <m:r>
                                          <a:rPr lang="en-US" sz="1100" b="0" i="1">
                                            <a:solidFill>
                                              <a:schemeClr val="tx1"/>
                                            </a:solidFill>
                                            <a:latin typeface="Cambria Math" panose="02040503050406030204" pitchFamily="18" charset="0"/>
                                            <a:ea typeface="Cambria Math" panose="02040503050406030204" pitchFamily="18" charset="0"/>
                                          </a:rPr>
                                          <m:t>𝑑</m:t>
                                        </m:r>
                                      </m:sub>
                                    </m:sSub>
                                  </m:e>
                                </m:sPre>
                              </m:e>
                            </m:d>
                            <m:r>
                              <a:rPr lang="en-US" sz="1100" b="0" i="1">
                                <a:solidFill>
                                  <a:schemeClr val="tx1"/>
                                </a:solidFill>
                                <a:latin typeface="Cambria Math" panose="02040503050406030204" pitchFamily="18" charset="0"/>
                                <a:ea typeface="Cambria Math" panose="02040503050406030204" pitchFamily="18" charset="0"/>
                              </a:rPr>
                              <m:t>−</m:t>
                            </m:r>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−1,</m:t>
                                    </m:r>
                                    <m:r>
                                      <a:rPr lang="en-US" sz="1100" b="0" i="1">
                                        <a:solidFill>
                                          <a:schemeClr val="tx1"/>
                                        </a:solidFill>
                                        <a:latin typeface="Cambria Math" panose="02040503050406030204" pitchFamily="18" charset="0"/>
                                        <a:ea typeface="Cambria Math" panose="02040503050406030204" pitchFamily="18" charset="0"/>
                                      </a:rPr>
                                      <m:t>𝑑</m:t>
                                    </m:r>
                                  </m:sub>
                                </m:sSub>
                              </m:e>
                            </m:sPre>
                          </m:e>
                        </m:func>
                      </m:e>
                    </m:d>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CEB31034-67FC-5C44-BAE2-70C42AF0CD85}"/>
                </a:ext>
              </a:extLst>
            </xdr:cNvPr>
            <xdr:cNvSpPr txBox="1"/>
          </xdr:nvSpPr>
          <xdr:spPr>
            <a:xfrm>
              <a:off x="1047748" y="10911417"/>
              <a:ext cx="4794252" cy="2923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(_𝐼^)𝜇_(𝑤,𝑑) </a:t>
              </a:r>
              <a:r>
                <a:rPr lang="en-US" sz="1100" b="0" i="0">
                  <a:solidFill>
                    <a:schemeClr val="tx1"/>
                  </a:solidFill>
                  <a:latin typeface="Cambria Math" panose="02040503050406030204" pitchFamily="18" charset="0"/>
                </a:rPr>
                <a:t>=log⁡(〖𝑃𝑟𝑒𝑚𝑖𝑢𝑚〗_𝑤 )+𝑙𝑜𝑔𝑒𝑙𝑟+𝑎_𝑤+</a:t>
              </a:r>
              <a:r>
                <a:rPr lang="en-US" sz="1100" b="0" i="0">
                  <a:solidFill>
                    <a:schemeClr val="tx1"/>
                  </a:solidFill>
                  <a:latin typeface="Cambria Math" panose="02040503050406030204" pitchFamily="18" charset="0"/>
                  <a:ea typeface="Cambria Math" panose="02040503050406030204" pitchFamily="18" charset="0"/>
                </a:rPr>
                <a:t>(_𝐼^)𝛽_𝑑 +</a:t>
              </a:r>
              <a:r>
                <a:rPr lang="el-GR" sz="1100" b="0" i="0">
                  <a:solidFill>
                    <a:schemeClr val="tx1"/>
                  </a:solidFill>
                  <a:latin typeface="Cambria Math" panose="02040503050406030204" pitchFamily="18" charset="0"/>
                  <a:ea typeface="Cambria Math" panose="02040503050406030204" pitchFamily="18" charset="0"/>
                </a:rPr>
                <a:t>𝜌</a:t>
              </a:r>
              <a:r>
                <a:rPr lang="en-US" sz="1100" b="0" i="0">
                  <a:solidFill>
                    <a:schemeClr val="tx1"/>
                  </a:solidFill>
                  <a:latin typeface="Cambria Math" panose="02040503050406030204" pitchFamily="18" charset="0"/>
                  <a:ea typeface="Cambria Math" panose="02040503050406030204" pitchFamily="18" charset="0"/>
                </a:rPr>
                <a:t>(log⁡〖((_𝐼^)𝐶_(𝑤−1,𝑑)  )−(_𝐼^)𝜇_(𝑤−1,𝑑)  〗 )</a:t>
              </a:r>
              <a:endParaRPr lang="en-US" sz="1100">
                <a:solidFill>
                  <a:schemeClr val="tx1"/>
                </a:solidFill>
              </a:endParaRPr>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1</xdr:col>
      <xdr:colOff>201084</xdr:colOff>
      <xdr:row>63</xdr:row>
      <xdr:rowOff>158751</xdr:rowOff>
    </xdr:from>
    <xdr:ext cx="4222246" cy="4137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5EBD32C-F365-504E-9182-C016B8F6F842}"/>
                </a:ext>
              </a:extLst>
            </xdr:cNvPr>
            <xdr:cNvSpPr txBox="1"/>
          </xdr:nvSpPr>
          <xdr:spPr>
            <a:xfrm>
              <a:off x="1026584" y="8297334"/>
              <a:ext cx="4222246" cy="41370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𝑃𝑟𝑒𝑑𝑖𝑐𝑡𝑒𝑑</m:t>
                    </m:r>
                    <m:r>
                      <a:rPr lang="en-US" sz="1100" b="0" i="1">
                        <a:latin typeface="Cambria Math" panose="02040503050406030204" pitchFamily="18" charset="0"/>
                      </a:rPr>
                      <m:t> </m:t>
                    </m:r>
                    <m:r>
                      <a:rPr lang="en-US" sz="1100" b="0" i="1">
                        <a:latin typeface="Cambria Math" panose="02040503050406030204" pitchFamily="18" charset="0"/>
                      </a:rPr>
                      <m:t>𝑃𝑒𝑟𝑐𝑒𝑛𝑡𝑖𝑙𝑒</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en-US" sz="1100" b="0" i="1">
                            <a:latin typeface="Cambria Math" panose="02040503050406030204" pitchFamily="18" charset="0"/>
                          </a:rPr>
                          <m:t>𝑆𝑖𝑚𝑢𝑙𝑎𝑡𝑒𝑑</m:t>
                        </m:r>
                        <m:r>
                          <a:rPr lang="en-US" sz="1100" b="0" i="1">
                            <a:latin typeface="Cambria Math" panose="02040503050406030204" pitchFamily="18" charset="0"/>
                          </a:rPr>
                          <m:t> </m:t>
                        </m:r>
                        <m:r>
                          <a:rPr lang="en-US" sz="1100" b="0" i="1">
                            <a:latin typeface="Cambria Math" panose="02040503050406030204" pitchFamily="18" charset="0"/>
                          </a:rPr>
                          <m:t>𝑂𝑢𝑡𝑐𝑜𝑚𝑒𝑠</m:t>
                        </m:r>
                        <m:r>
                          <a:rPr lang="en-US" sz="1100" b="0" i="1">
                            <a:latin typeface="Cambria Math" panose="02040503050406030204" pitchFamily="18" charset="0"/>
                          </a:rPr>
                          <m:t>≤</m:t>
                        </m:r>
                        <m:r>
                          <a:rPr lang="en-US" sz="1100" b="0" i="1">
                            <a:latin typeface="Cambria Math" panose="02040503050406030204" pitchFamily="18" charset="0"/>
                          </a:rPr>
                          <m:t>𝐴𝑐𝑡𝑢𝑎𝑙</m:t>
                        </m:r>
                        <m:r>
                          <a:rPr lang="en-US" sz="1100" b="0" i="1">
                            <a:latin typeface="Cambria Math" panose="02040503050406030204" pitchFamily="18" charset="0"/>
                          </a:rPr>
                          <m:t> </m:t>
                        </m:r>
                        <m:r>
                          <a:rPr lang="en-US" sz="1100" b="0" i="1">
                            <a:latin typeface="Cambria Math" panose="02040503050406030204" pitchFamily="18" charset="0"/>
                          </a:rPr>
                          <m:t>𝑂𝑢𝑡𝑐𝑜𝑚𝑒</m:t>
                        </m:r>
                      </m:num>
                      <m:den>
                        <m:r>
                          <a:rPr lang="en-US" sz="1100" b="0" i="1">
                            <a:latin typeface="Cambria Math" panose="02040503050406030204" pitchFamily="18" charset="0"/>
                          </a:rPr>
                          <m:t>𝑛</m:t>
                        </m:r>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65EBD32C-F365-504E-9182-C016B8F6F842}"/>
                </a:ext>
              </a:extLst>
            </xdr:cNvPr>
            <xdr:cNvSpPr txBox="1"/>
          </xdr:nvSpPr>
          <xdr:spPr>
            <a:xfrm>
              <a:off x="1026584" y="8297334"/>
              <a:ext cx="4222246" cy="41370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𝑃𝑟𝑒𝑑𝑖𝑐𝑡𝑒𝑑 𝑃𝑒𝑟𝑐𝑒𝑛𝑡𝑖𝑙𝑒=(#𝑆𝑖𝑚𝑢𝑙𝑎𝑡𝑒𝑑 𝑂𝑢𝑡𝑐𝑜𝑚𝑒𝑠≤𝐴𝑐𝑡𝑢𝑎𝑙 𝑂𝑢𝑡𝑐𝑜𝑚𝑒)/𝑛</a:t>
              </a:r>
              <a:endParaRPr lang="en-US" sz="1100"/>
            </a:p>
          </xdr:txBody>
        </xdr:sp>
      </mc:Fallback>
    </mc:AlternateContent>
    <xdr:clientData/>
  </xdr:oneCellAnchor>
  <xdr:oneCellAnchor>
    <xdr:from>
      <xdr:col>1</xdr:col>
      <xdr:colOff>243416</xdr:colOff>
      <xdr:row>46</xdr:row>
      <xdr:rowOff>148166</xdr:rowOff>
    </xdr:from>
    <xdr:ext cx="2323585" cy="41953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BA51DD6-EBAD-E841-9EBF-AFA9A6A2D523}"/>
                </a:ext>
              </a:extLst>
            </xdr:cNvPr>
            <xdr:cNvSpPr txBox="1"/>
          </xdr:nvSpPr>
          <xdr:spPr>
            <a:xfrm>
              <a:off x="1068916" y="9535583"/>
              <a:ext cx="2323585" cy="4195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𝐸𝑠𝑡𝑖𝑚𝑎𝑡𝑒</m:t>
                    </m:r>
                    <m:r>
                      <a:rPr lang="en-US" sz="1100" b="0" i="1">
                        <a:latin typeface="Cambria Math" panose="02040503050406030204" pitchFamily="18" charset="0"/>
                      </a:rPr>
                      <m:t>=</m:t>
                    </m:r>
                    <m:f>
                      <m:fPr>
                        <m:ctrlPr>
                          <a:rPr lang="en-US" sz="1100" b="0" i="1">
                            <a:latin typeface="Cambria Math" panose="02040503050406030204" pitchFamily="18" charset="0"/>
                          </a:rPr>
                        </m:ctrlPr>
                      </m:fPr>
                      <m:num>
                        <m:nary>
                          <m:naryPr>
                            <m:chr m:val="∑"/>
                            <m:subHide m:val="on"/>
                            <m:supHide m:val="on"/>
                            <m:ctrlPr>
                              <a:rPr lang="en-US" sz="1100" b="0" i="1">
                                <a:latin typeface="Cambria Math" panose="02040503050406030204" pitchFamily="18" charset="0"/>
                              </a:rPr>
                            </m:ctrlPr>
                          </m:naryPr>
                          <m:sub/>
                          <m:sup/>
                          <m:e>
                            <m:r>
                              <a:rPr lang="en-US" sz="1100" b="0" i="1">
                                <a:latin typeface="Cambria Math" panose="02040503050406030204" pitchFamily="18" charset="0"/>
                              </a:rPr>
                              <m:t>𝑆𝑖𝑚𝑢𝑙𝑎𝑡𝑒𝑑</m:t>
                            </m:r>
                            <m:r>
                              <a:rPr lang="en-US" sz="1100" b="0" i="1">
                                <a:latin typeface="Cambria Math" panose="02040503050406030204" pitchFamily="18" charset="0"/>
                              </a:rPr>
                              <m:t> </m:t>
                            </m:r>
                            <m:r>
                              <a:rPr lang="en-US" sz="1100" b="0" i="1">
                                <a:latin typeface="Cambria Math" panose="02040503050406030204" pitchFamily="18" charset="0"/>
                              </a:rPr>
                              <m:t>𝑂𝑢𝑡𝑐𝑜𝑚𝑒𝑠</m:t>
                            </m:r>
                          </m:e>
                        </m:nary>
                      </m:num>
                      <m:den>
                        <m:r>
                          <a:rPr lang="en-US" sz="1100" b="0" i="1">
                            <a:latin typeface="Cambria Math" panose="02040503050406030204" pitchFamily="18" charset="0"/>
                          </a:rPr>
                          <m:t>𝑛</m:t>
                        </m:r>
                      </m:den>
                    </m:f>
                  </m:oMath>
                </m:oMathPara>
              </a14:m>
              <a:endParaRPr lang="en-US" sz="1100"/>
            </a:p>
          </xdr:txBody>
        </xdr:sp>
      </mc:Choice>
      <mc:Fallback xmlns="">
        <xdr:sp macro="" textlink="">
          <xdr:nvSpPr>
            <xdr:cNvPr id="12" name="TextBox 11">
              <a:extLst>
                <a:ext uri="{FF2B5EF4-FFF2-40B4-BE49-F238E27FC236}">
                  <a16:creationId xmlns:a16="http://schemas.microsoft.com/office/drawing/2014/main" id="{7BA51DD6-EBAD-E841-9EBF-AFA9A6A2D523}"/>
                </a:ext>
              </a:extLst>
            </xdr:cNvPr>
            <xdr:cNvSpPr txBox="1"/>
          </xdr:nvSpPr>
          <xdr:spPr>
            <a:xfrm>
              <a:off x="1068916" y="9535583"/>
              <a:ext cx="2323585" cy="4195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𝐸𝑠𝑡𝑖𝑚𝑎𝑡𝑒=(∑▒〖𝑆𝑖𝑚𝑢𝑙𝑎𝑡𝑒𝑑 𝑂𝑢𝑡𝑐𝑜𝑚𝑒𝑠〗)/𝑛</a:t>
              </a:r>
              <a:endParaRPr lang="en-US" sz="1100"/>
            </a:p>
          </xdr:txBody>
        </xdr:sp>
      </mc:Fallback>
    </mc:AlternateContent>
    <xdr:clientData/>
  </xdr:oneCellAnchor>
  <xdr:oneCellAnchor>
    <xdr:from>
      <xdr:col>1</xdr:col>
      <xdr:colOff>306918</xdr:colOff>
      <xdr:row>51</xdr:row>
      <xdr:rowOff>137585</xdr:rowOff>
    </xdr:from>
    <xdr:ext cx="1100109" cy="4250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D1BD666-CD58-5748-8B73-07C4E44E5E9B}"/>
                </a:ext>
              </a:extLst>
            </xdr:cNvPr>
            <xdr:cNvSpPr txBox="1"/>
          </xdr:nvSpPr>
          <xdr:spPr>
            <a:xfrm>
              <a:off x="1132418" y="10530418"/>
              <a:ext cx="1100109" cy="42505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𝐶𝑉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𝑆𝑡𝑑</m:t>
                        </m:r>
                        <m:r>
                          <a:rPr lang="en-US" sz="1100" b="0" i="1">
                            <a:latin typeface="Cambria Math" panose="02040503050406030204" pitchFamily="18" charset="0"/>
                          </a:rPr>
                          <m:t> </m:t>
                        </m:r>
                        <m:r>
                          <a:rPr lang="en-US" sz="1100" b="0" i="1">
                            <a:latin typeface="Cambria Math" panose="02040503050406030204" pitchFamily="18" charset="0"/>
                          </a:rPr>
                          <m:t>𝐸𝑟𝑟𝑜𝑟</m:t>
                        </m:r>
                      </m:num>
                      <m:den>
                        <m:r>
                          <a:rPr lang="en-US" sz="1100" b="0" i="1">
                            <a:latin typeface="Cambria Math" panose="02040503050406030204" pitchFamily="18" charset="0"/>
                          </a:rPr>
                          <m:t>𝐸𝑠𝑡𝑖𝑚𝑎𝑡𝑒</m:t>
                        </m:r>
                      </m:den>
                    </m:f>
                  </m:oMath>
                </m:oMathPara>
              </a14:m>
              <a:endParaRPr lang="en-US" sz="1100"/>
            </a:p>
          </xdr:txBody>
        </xdr:sp>
      </mc:Choice>
      <mc:Fallback xmlns="">
        <xdr:sp macro="" textlink="">
          <xdr:nvSpPr>
            <xdr:cNvPr id="13" name="TextBox 12">
              <a:extLst>
                <a:ext uri="{FF2B5EF4-FFF2-40B4-BE49-F238E27FC236}">
                  <a16:creationId xmlns:a16="http://schemas.microsoft.com/office/drawing/2014/main" id="{AD1BD666-CD58-5748-8B73-07C4E44E5E9B}"/>
                </a:ext>
              </a:extLst>
            </xdr:cNvPr>
            <xdr:cNvSpPr txBox="1"/>
          </xdr:nvSpPr>
          <xdr:spPr>
            <a:xfrm>
              <a:off x="1132418" y="10530418"/>
              <a:ext cx="1100109" cy="42505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𝐶𝑉=(𝑆𝑡𝑑 𝐸𝑟𝑟𝑜𝑟)/𝐸𝑠𝑡𝑖𝑚𝑎𝑡𝑒</a:t>
              </a:r>
              <a:endParaRPr lang="en-US" sz="1100"/>
            </a:p>
          </xdr:txBody>
        </xdr:sp>
      </mc:Fallback>
    </mc:AlternateContent>
    <xdr:clientData/>
  </xdr:oneCellAnchor>
  <xdr:oneCellAnchor>
    <xdr:from>
      <xdr:col>1</xdr:col>
      <xdr:colOff>275166</xdr:colOff>
      <xdr:row>49</xdr:row>
      <xdr:rowOff>127000</xdr:rowOff>
    </xdr:from>
    <xdr:ext cx="2849306" cy="26443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4212F1B1-EA4F-C34E-9CA2-1E7293BF9969}"/>
                </a:ext>
              </a:extLst>
            </xdr:cNvPr>
            <xdr:cNvSpPr txBox="1"/>
          </xdr:nvSpPr>
          <xdr:spPr>
            <a:xfrm>
              <a:off x="1100666" y="10117667"/>
              <a:ext cx="284930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𝑆𝑡𝑑</m:t>
                    </m:r>
                    <m:r>
                      <a:rPr lang="en-US" sz="1100" b="0" i="1">
                        <a:latin typeface="Cambria Math" panose="02040503050406030204" pitchFamily="18" charset="0"/>
                      </a:rPr>
                      <m:t> </m:t>
                    </m:r>
                    <m:r>
                      <a:rPr lang="en-US" sz="1100" b="0" i="1">
                        <a:latin typeface="Cambria Math" panose="02040503050406030204" pitchFamily="18" charset="0"/>
                      </a:rPr>
                      <m:t>𝐸𝑟𝑟𝑜𝑟</m:t>
                    </m:r>
                    <m:r>
                      <a:rPr lang="en-US" sz="1100" b="0" i="1">
                        <a:latin typeface="Cambria Math" panose="02040503050406030204" pitchFamily="18" charset="0"/>
                      </a:rPr>
                      <m:t>=</m:t>
                    </m:r>
                    <m:r>
                      <a:rPr lang="en-US" sz="1100" b="0" i="1">
                        <a:latin typeface="Cambria Math" panose="02040503050406030204" pitchFamily="18" charset="0"/>
                      </a:rPr>
                      <m:t>𝑆𝑡𝑑</m:t>
                    </m:r>
                    <m:r>
                      <a:rPr lang="en-US" sz="1100" b="0" i="1">
                        <a:latin typeface="Cambria Math" panose="02040503050406030204" pitchFamily="18" charset="0"/>
                      </a:rPr>
                      <m:t> </m:t>
                    </m:r>
                    <m:r>
                      <a:rPr lang="en-US" sz="1100" b="0" i="1">
                        <a:latin typeface="Cambria Math" panose="02040503050406030204" pitchFamily="18" charset="0"/>
                      </a:rPr>
                      <m:t>𝐷𝑒𝑣</m:t>
                    </m:r>
                    <m:d>
                      <m:dPr>
                        <m:ctrlPr>
                          <a:rPr lang="en-US" sz="1100" b="0" i="1">
                            <a:latin typeface="Cambria Math" panose="02040503050406030204" pitchFamily="18" charset="0"/>
                          </a:rPr>
                        </m:ctrlPr>
                      </m:dPr>
                      <m:e>
                        <m:r>
                          <a:rPr lang="en-US" sz="1100" b="0" i="1">
                            <a:latin typeface="Cambria Math" panose="02040503050406030204" pitchFamily="18" charset="0"/>
                          </a:rPr>
                          <m:t>𝑆𝑖𝑚𝑢𝑙𝑎𝑡𝑒𝑑</m:t>
                        </m:r>
                        <m:r>
                          <a:rPr lang="en-US" sz="1100" b="0" i="1">
                            <a:latin typeface="Cambria Math" panose="02040503050406030204" pitchFamily="18" charset="0"/>
                          </a:rPr>
                          <m:t> </m:t>
                        </m:r>
                        <m:r>
                          <a:rPr lang="en-US" sz="1100" b="0" i="1">
                            <a:latin typeface="Cambria Math" panose="02040503050406030204" pitchFamily="18" charset="0"/>
                          </a:rPr>
                          <m:t>𝑂𝑢𝑡𝑐𝑜𝑚𝑒𝑠</m:t>
                        </m:r>
                      </m:e>
                    </m:d>
                  </m:oMath>
                </m:oMathPara>
              </a14:m>
              <a:endParaRPr lang="en-US" sz="1100"/>
            </a:p>
          </xdr:txBody>
        </xdr:sp>
      </mc:Choice>
      <mc:Fallback xmlns="">
        <xdr:sp macro="" textlink="">
          <xdr:nvSpPr>
            <xdr:cNvPr id="14" name="TextBox 13">
              <a:extLst>
                <a:ext uri="{FF2B5EF4-FFF2-40B4-BE49-F238E27FC236}">
                  <a16:creationId xmlns:a16="http://schemas.microsoft.com/office/drawing/2014/main" id="{4212F1B1-EA4F-C34E-9CA2-1E7293BF9969}"/>
                </a:ext>
              </a:extLst>
            </xdr:cNvPr>
            <xdr:cNvSpPr txBox="1"/>
          </xdr:nvSpPr>
          <xdr:spPr>
            <a:xfrm>
              <a:off x="1100666" y="10117667"/>
              <a:ext cx="284930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𝑆𝑡𝑑 𝐸𝑟𝑟𝑜𝑟=𝑆𝑡𝑑 𝐷𝑒𝑣(𝑆𝑖𝑚𝑢𝑙𝑎𝑡𝑒𝑑 𝑂𝑢𝑡𝑐𝑜𝑚𝑒𝑠)</a:t>
              </a:r>
              <a:endParaRPr lang="en-US"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1</xdr:col>
      <xdr:colOff>254001</xdr:colOff>
      <xdr:row>72</xdr:row>
      <xdr:rowOff>169334</xdr:rowOff>
    </xdr:from>
    <xdr:ext cx="3743076" cy="26443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2BCAE1-0887-6E47-B743-4B537751D354}"/>
                </a:ext>
              </a:extLst>
            </xdr:cNvPr>
            <xdr:cNvSpPr txBox="1"/>
          </xdr:nvSpPr>
          <xdr:spPr>
            <a:xfrm>
              <a:off x="1079501" y="14890751"/>
              <a:ext cx="374307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𝐼𝑛𝑡𝑒𝑟𝑞𝑢𝑎𝑟𝑡𝑖𝑙𝑒</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𝑅𝑎𝑛𝑔𝑒</m:t>
                    </m:r>
                    <m:r>
                      <a:rPr lang="en-US" sz="1100" b="0" i="1">
                        <a:solidFill>
                          <a:schemeClr val="tx1"/>
                        </a:solidFill>
                        <a:latin typeface="Cambria Math" panose="02040503050406030204" pitchFamily="18" charset="0"/>
                      </a:rPr>
                      <m:t>=75</m:t>
                    </m:r>
                    <m:r>
                      <a:rPr lang="en-US" sz="1100" b="0" i="1">
                        <a:solidFill>
                          <a:schemeClr val="tx1"/>
                        </a:solidFill>
                        <a:latin typeface="Cambria Math" panose="02040503050406030204" pitchFamily="18" charset="0"/>
                      </a:rPr>
                      <m:t>𝑡ℎ</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𝑃𝑒𝑟𝑐𝑒𝑛𝑡𝑖𝑙𝑒</m:t>
                    </m:r>
                    <m:r>
                      <a:rPr lang="en-US" sz="1100" b="0" i="1">
                        <a:solidFill>
                          <a:schemeClr val="tx1"/>
                        </a:solidFill>
                        <a:latin typeface="Cambria Math" panose="02040503050406030204" pitchFamily="18" charset="0"/>
                      </a:rPr>
                      <m:t>−25</m:t>
                    </m:r>
                    <m:r>
                      <a:rPr lang="en-US" sz="1100" b="0" i="1">
                        <a:solidFill>
                          <a:schemeClr val="tx1"/>
                        </a:solidFill>
                        <a:latin typeface="Cambria Math" panose="02040503050406030204" pitchFamily="18" charset="0"/>
                      </a:rPr>
                      <m:t>𝑡ℎ</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𝑃𝑒𝑟𝑐𝑒𝑛𝑡𝑖𝑙𝑒</m:t>
                    </m:r>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192BCAE1-0887-6E47-B743-4B537751D354}"/>
                </a:ext>
              </a:extLst>
            </xdr:cNvPr>
            <xdr:cNvSpPr txBox="1"/>
          </xdr:nvSpPr>
          <xdr:spPr>
            <a:xfrm>
              <a:off x="1079501" y="14890751"/>
              <a:ext cx="374307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𝐼𝑛𝑡𝑒𝑟𝑞𝑢𝑎𝑟𝑡𝑖𝑙𝑒 𝑅𝑎𝑛𝑔𝑒=75𝑡ℎ 𝑃𝑒𝑟𝑐𝑒𝑛𝑡𝑖𝑙𝑒−25𝑡ℎ 𝑃𝑒𝑟𝑐𝑒𝑛𝑡𝑖𝑙𝑒</a:t>
              </a:r>
              <a:endParaRPr lang="en-US" sz="1100">
                <a:solidFill>
                  <a:schemeClr val="tx1"/>
                </a:solidFill>
              </a:endParaRPr>
            </a:p>
          </xdr:txBody>
        </xdr:sp>
      </mc:Fallback>
    </mc:AlternateContent>
    <xdr:clientData/>
  </xdr:oneCellAnchor>
  <xdr:oneCellAnchor>
    <xdr:from>
      <xdr:col>4</xdr:col>
      <xdr:colOff>10584</xdr:colOff>
      <xdr:row>53</xdr:row>
      <xdr:rowOff>10584</xdr:rowOff>
    </xdr:from>
    <xdr:ext cx="2691378" cy="496996"/>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F3F4253-219C-C141-A363-5DD8CA76328B}"/>
                </a:ext>
              </a:extLst>
            </xdr:cNvPr>
            <xdr:cNvSpPr txBox="1"/>
          </xdr:nvSpPr>
          <xdr:spPr>
            <a:xfrm>
              <a:off x="3312584" y="10911417"/>
              <a:ext cx="2691378" cy="4969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𝑟𝑒𝑠𝑖𝑑𝑢𝑎𝑙</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𝑑𝑒𝑣</m:t>
                        </m:r>
                      </m:sub>
                      <m:sup>
                        <m:r>
                          <a:rPr lang="en-US" sz="1100" b="0" i="1">
                            <a:latin typeface="Cambria Math" panose="02040503050406030204" pitchFamily="18" charset="0"/>
                          </a:rPr>
                          <m:t>𝑠𝑖𝑚</m:t>
                        </m:r>
                      </m:sup>
                    </m:sSubSup>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𝑑𝑒𝑣</m:t>
                                    </m:r>
                                  </m:sub>
                                </m:sSub>
                              </m:e>
                            </m:d>
                          </m:e>
                        </m:func>
                        <m:r>
                          <a:rPr lang="en-US" sz="1100" b="0" i="1">
                            <a:latin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up>
                            <m:r>
                              <a:rPr lang="en-US" sz="1100" b="0" i="1">
                                <a:latin typeface="Cambria Math" panose="02040503050406030204" pitchFamily="18" charset="0"/>
                                <a:ea typeface="Cambria Math" panose="02040503050406030204" pitchFamily="18" charset="0"/>
                              </a:rPr>
                              <m:t>𝑠𝑖𝑚</m:t>
                            </m:r>
                          </m:sup>
                        </m:sSubSup>
                      </m:num>
                      <m:den>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𝑑𝑒𝑣</m:t>
                            </m:r>
                          </m:sub>
                          <m:sup>
                            <m:r>
                              <a:rPr lang="en-US" sz="1100" b="0" i="1">
                                <a:latin typeface="Cambria Math" panose="02040503050406030204" pitchFamily="18" charset="0"/>
                                <a:ea typeface="Cambria Math" panose="02040503050406030204" pitchFamily="18" charset="0"/>
                              </a:rPr>
                              <m:t>𝑠𝑖𝑚</m:t>
                            </m:r>
                          </m:sup>
                        </m:sSubSup>
                      </m:den>
                    </m:f>
                  </m:oMath>
                </m:oMathPara>
              </a14:m>
              <a:endParaRPr lang="en-US" sz="1100"/>
            </a:p>
          </xdr:txBody>
        </xdr:sp>
      </mc:Choice>
      <mc:Fallback xmlns="">
        <xdr:sp macro="" textlink="">
          <xdr:nvSpPr>
            <xdr:cNvPr id="13" name="TextBox 12">
              <a:extLst>
                <a:ext uri="{FF2B5EF4-FFF2-40B4-BE49-F238E27FC236}">
                  <a16:creationId xmlns:a16="http://schemas.microsoft.com/office/drawing/2014/main" id="{2F3F4253-219C-C141-A363-5DD8CA76328B}"/>
                </a:ext>
              </a:extLst>
            </xdr:cNvPr>
            <xdr:cNvSpPr txBox="1"/>
          </xdr:nvSpPr>
          <xdr:spPr>
            <a:xfrm>
              <a:off x="3312584" y="10911417"/>
              <a:ext cx="2691378" cy="4969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〖𝑟𝑒𝑠𝑖𝑑𝑢𝑎𝑙〗_(𝐴𝑌,𝑑𝑒𝑣)^𝑠𝑖𝑚=(ln⁡(〖𝐿𝑜𝑠𝑠〗_(𝐴𝑌,𝑑𝑒𝑣) )−</a:t>
              </a:r>
              <a:r>
                <a:rPr lang="en-US" sz="1100" b="0" i="0">
                  <a:latin typeface="Cambria Math" panose="02040503050406030204" pitchFamily="18" charset="0"/>
                  <a:ea typeface="Cambria Math" panose="02040503050406030204" pitchFamily="18" charset="0"/>
                </a:rPr>
                <a:t>𝜇_(𝐴𝑌,𝑑𝑒𝑣)^𝑠𝑖𝑚)/(𝜎_𝑑𝑒𝑣^𝑠𝑖𝑚 )</a:t>
              </a:r>
              <a:endParaRPr lang="en-US" sz="1100"/>
            </a:p>
          </xdr:txBody>
        </xdr:sp>
      </mc:Fallback>
    </mc:AlternateContent>
    <xdr:clientData/>
  </xdr:oneCellAnchor>
  <xdr:oneCellAnchor>
    <xdr:from>
      <xdr:col>1</xdr:col>
      <xdr:colOff>349250</xdr:colOff>
      <xdr:row>52</xdr:row>
      <xdr:rowOff>158750</xdr:rowOff>
    </xdr:from>
    <xdr:ext cx="1465338" cy="5516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54B6883-F0E4-D546-92B2-9FB4841A48A7}"/>
                </a:ext>
              </a:extLst>
            </xdr:cNvPr>
            <xdr:cNvSpPr txBox="1"/>
          </xdr:nvSpPr>
          <xdr:spPr>
            <a:xfrm>
              <a:off x="1174750" y="10858500"/>
              <a:ext cx="1465338" cy="5516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𝑟</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𝑗</m:t>
                        </m:r>
                      </m:sup>
                    </m:sSubSup>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Sub>
                              </m:e>
                            </m:d>
                          </m:e>
                        </m:func>
                        <m:r>
                          <a:rPr lang="en-US" sz="1100" b="0" i="1">
                            <a:latin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𝑗</m:t>
                            </m:r>
                          </m:sup>
                        </m:sSubSup>
                      </m:num>
                      <m:den>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𝑗</m:t>
                            </m:r>
                          </m:sup>
                        </m:sSubSup>
                      </m:den>
                    </m:f>
                  </m:oMath>
                </m:oMathPara>
              </a14:m>
              <a:endParaRPr lang="en-US" sz="1100"/>
            </a:p>
          </xdr:txBody>
        </xdr:sp>
      </mc:Choice>
      <mc:Fallback xmlns="">
        <xdr:sp macro="" textlink="">
          <xdr:nvSpPr>
            <xdr:cNvPr id="14" name="TextBox 13">
              <a:extLst>
                <a:ext uri="{FF2B5EF4-FFF2-40B4-BE49-F238E27FC236}">
                  <a16:creationId xmlns:a16="http://schemas.microsoft.com/office/drawing/2014/main" id="{F54B6883-F0E4-D546-92B2-9FB4841A48A7}"/>
                </a:ext>
              </a:extLst>
            </xdr:cNvPr>
            <xdr:cNvSpPr txBox="1"/>
          </xdr:nvSpPr>
          <xdr:spPr>
            <a:xfrm>
              <a:off x="1174750" y="10858500"/>
              <a:ext cx="1465338" cy="5516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𝑟_(𝑤,𝑑)^𝑗=(ln⁡(𝐶_(𝑤,𝑑) )−</a:t>
              </a:r>
              <a:r>
                <a:rPr lang="en-US" sz="1100" b="0" i="0">
                  <a:latin typeface="Cambria Math" panose="02040503050406030204" pitchFamily="18" charset="0"/>
                  <a:ea typeface="Cambria Math" panose="02040503050406030204" pitchFamily="18" charset="0"/>
                </a:rPr>
                <a:t>𝜇_(𝑤,𝑑)^𝑗)/(𝜎_𝑑^𝑗 )</a:t>
              </a:r>
              <a:endParaRPr lang="en-US" sz="1100"/>
            </a:p>
          </xdr:txBody>
        </xdr:sp>
      </mc:Fallback>
    </mc:AlternateContent>
    <xdr:clientData/>
  </xdr:oneCellAnchor>
  <xdr:oneCellAnchor>
    <xdr:from>
      <xdr:col>1</xdr:col>
      <xdr:colOff>275167</xdr:colOff>
      <xdr:row>74</xdr:row>
      <xdr:rowOff>190501</xdr:rowOff>
    </xdr:from>
    <xdr:ext cx="3220177" cy="27488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430C4463-C750-AD48-B88B-4E491B024FD7}"/>
                </a:ext>
              </a:extLst>
            </xdr:cNvPr>
            <xdr:cNvSpPr txBox="1"/>
          </xdr:nvSpPr>
          <xdr:spPr>
            <a:xfrm>
              <a:off x="1100667" y="15314084"/>
              <a:ext cx="3220177" cy="2748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𝑊ℎ𝑖𝑠𝑘𝑒</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𝑟</m:t>
                        </m:r>
                      </m:e>
                      <m:sub>
                        <m:r>
                          <a:rPr lang="en-US" sz="1100" b="0" i="1">
                            <a:solidFill>
                              <a:schemeClr val="tx1"/>
                            </a:solidFill>
                            <a:latin typeface="Cambria Math" panose="02040503050406030204" pitchFamily="18" charset="0"/>
                          </a:rPr>
                          <m:t>𝑇𝑜𝑝</m:t>
                        </m:r>
                      </m:sub>
                    </m:sSub>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𝐵𝑜</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𝑥</m:t>
                        </m:r>
                      </m:e>
                      <m:sub>
                        <m:r>
                          <a:rPr lang="en-US" sz="1100" b="0" i="1">
                            <a:solidFill>
                              <a:schemeClr val="tx1"/>
                            </a:solidFill>
                            <a:latin typeface="Cambria Math" panose="02040503050406030204" pitchFamily="18" charset="0"/>
                          </a:rPr>
                          <m:t>𝑇𝑜𝑝</m:t>
                        </m:r>
                      </m:sub>
                    </m:sSub>
                    <m:r>
                      <a:rPr lang="en-US" sz="1100" b="0" i="1">
                        <a:solidFill>
                          <a:schemeClr val="tx1"/>
                        </a:solidFill>
                        <a:latin typeface="Cambria Math" panose="02040503050406030204" pitchFamily="18" charset="0"/>
                      </a:rPr>
                      <m:t>+1.5</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rPr>
                      <m:t>𝐼𝑛𝑡𝑒𝑟𝑞𝑢𝑎𝑟𝑡𝑖𝑙𝑒</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𝑅𝑎𝑛𝑔𝑒</m:t>
                    </m:r>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430C4463-C750-AD48-B88B-4E491B024FD7}"/>
                </a:ext>
              </a:extLst>
            </xdr:cNvPr>
            <xdr:cNvSpPr txBox="1"/>
          </xdr:nvSpPr>
          <xdr:spPr>
            <a:xfrm>
              <a:off x="1100667" y="15314084"/>
              <a:ext cx="3220177" cy="2748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𝑊ℎ𝑖𝑠𝑘𝑒𝑟_𝑇𝑜𝑝=𝐵𝑜𝑥_𝑇𝑜𝑝+1.5</a:t>
              </a:r>
              <a:r>
                <a:rPr lang="en-US" sz="1100" b="0" i="0">
                  <a:solidFill>
                    <a:schemeClr val="tx1"/>
                  </a:solidFill>
                  <a:latin typeface="Cambria Math" panose="02040503050406030204" pitchFamily="18" charset="0"/>
                  <a:ea typeface="Cambria Math" panose="02040503050406030204" pitchFamily="18" charset="0"/>
                </a:rPr>
                <a:t>×</a:t>
              </a:r>
              <a:r>
                <a:rPr lang="en-US" sz="1100" b="0" i="0">
                  <a:solidFill>
                    <a:schemeClr val="tx1"/>
                  </a:solidFill>
                  <a:latin typeface="Cambria Math" panose="02040503050406030204" pitchFamily="18" charset="0"/>
                </a:rPr>
                <a:t>𝐼𝑛𝑡𝑒𝑟𝑞𝑢𝑎𝑟𝑡𝑖𝑙𝑒 𝑅𝑎𝑛𝑔𝑒</a:t>
              </a:r>
              <a:endParaRPr lang="en-US" sz="1100">
                <a:solidFill>
                  <a:schemeClr val="tx1"/>
                </a:solidFill>
              </a:endParaRPr>
            </a:p>
          </xdr:txBody>
        </xdr:sp>
      </mc:Fallback>
    </mc:AlternateContent>
    <xdr:clientData/>
  </xdr:oneCellAnchor>
  <xdr:oneCellAnchor>
    <xdr:from>
      <xdr:col>1</xdr:col>
      <xdr:colOff>254000</xdr:colOff>
      <xdr:row>70</xdr:row>
      <xdr:rowOff>158749</xdr:rowOff>
    </xdr:from>
    <xdr:ext cx="1735283" cy="274883"/>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2042CA6-2929-F941-B25D-C8EA24399773}"/>
                </a:ext>
              </a:extLst>
            </xdr:cNvPr>
            <xdr:cNvSpPr txBox="1"/>
          </xdr:nvSpPr>
          <xdr:spPr>
            <a:xfrm>
              <a:off x="1079500" y="14477999"/>
              <a:ext cx="1735283" cy="2748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𝐵𝑜</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𝑥</m:t>
                        </m:r>
                      </m:e>
                      <m:sub>
                        <m:r>
                          <a:rPr lang="en-US" sz="1100" b="0" i="1">
                            <a:solidFill>
                              <a:schemeClr val="tx1"/>
                            </a:solidFill>
                            <a:latin typeface="Cambria Math" panose="02040503050406030204" pitchFamily="18" charset="0"/>
                          </a:rPr>
                          <m:t>𝑇𝑜𝑝</m:t>
                        </m:r>
                      </m:sub>
                    </m:sSub>
                    <m:r>
                      <a:rPr lang="en-US" sz="1100" b="0" i="1">
                        <a:solidFill>
                          <a:schemeClr val="tx1"/>
                        </a:solidFill>
                        <a:latin typeface="Cambria Math" panose="02040503050406030204" pitchFamily="18" charset="0"/>
                      </a:rPr>
                      <m:t>=75</m:t>
                    </m:r>
                    <m:r>
                      <a:rPr lang="en-US" sz="1100" b="0" i="1">
                        <a:solidFill>
                          <a:schemeClr val="tx1"/>
                        </a:solidFill>
                        <a:latin typeface="Cambria Math" panose="02040503050406030204" pitchFamily="18" charset="0"/>
                      </a:rPr>
                      <m:t>𝑡ℎ</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𝑃𝑒𝑟𝑐𝑒𝑛𝑡𝑖𝑙𝑒</m:t>
                    </m:r>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02042CA6-2929-F941-B25D-C8EA24399773}"/>
                </a:ext>
              </a:extLst>
            </xdr:cNvPr>
            <xdr:cNvSpPr txBox="1"/>
          </xdr:nvSpPr>
          <xdr:spPr>
            <a:xfrm>
              <a:off x="1079500" y="14477999"/>
              <a:ext cx="1735283" cy="2748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𝐵𝑜𝑥_𝑇𝑜𝑝=75𝑡ℎ 𝑃𝑒𝑟𝑐𝑒𝑛𝑡𝑖𝑙𝑒</a:t>
              </a:r>
              <a:endParaRPr lang="en-US" sz="1100">
                <a:solidFill>
                  <a:schemeClr val="tx1"/>
                </a:solidFill>
              </a:endParaRPr>
            </a:p>
          </xdr:txBody>
        </xdr:sp>
      </mc:Fallback>
    </mc:AlternateContent>
    <xdr:clientData/>
  </xdr:oneCellAnchor>
  <xdr:oneCellAnchor>
    <xdr:from>
      <xdr:col>3</xdr:col>
      <xdr:colOff>539750</xdr:colOff>
      <xdr:row>70</xdr:row>
      <xdr:rowOff>148166</xdr:rowOff>
    </xdr:from>
    <xdr:ext cx="1503360" cy="286745"/>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D60FE67-AA8D-164E-AD25-308A76E43C7F}"/>
                </a:ext>
              </a:extLst>
            </xdr:cNvPr>
            <xdr:cNvSpPr txBox="1"/>
          </xdr:nvSpPr>
          <xdr:spPr>
            <a:xfrm>
              <a:off x="3016250" y="14467416"/>
              <a:ext cx="1503360"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𝐸</m:t>
                    </m:r>
                    <m:d>
                      <m:dPr>
                        <m:begChr m:val="["/>
                        <m:endChr m:val="]"/>
                        <m:ctrlPr>
                          <a:rPr lang="en-US" sz="1100" b="0" i="1">
                            <a:solidFill>
                              <a:schemeClr val="tx1"/>
                            </a:solidFill>
                            <a:latin typeface="Cambria Math" panose="02040503050406030204" pitchFamily="18" charset="0"/>
                          </a:rPr>
                        </m:ctrlPr>
                      </m:dPr>
                      <m:e>
                        <m:r>
                          <a:rPr lang="en-US" sz="1100" b="0" i="1">
                            <a:solidFill>
                              <a:schemeClr val="tx1"/>
                            </a:solidFill>
                            <a:latin typeface="Cambria Math" panose="02040503050406030204" pitchFamily="18" charset="0"/>
                          </a:rPr>
                          <m:t>𝐵𝑜</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𝑥</m:t>
                            </m:r>
                          </m:e>
                          <m:sub>
                            <m:r>
                              <a:rPr lang="en-US" sz="1100" b="0" i="1">
                                <a:solidFill>
                                  <a:schemeClr val="tx1"/>
                                </a:solidFill>
                                <a:latin typeface="Cambria Math" panose="02040503050406030204" pitchFamily="18" charset="0"/>
                              </a:rPr>
                              <m:t>𝑇𝑜𝑝</m:t>
                            </m:r>
                          </m:sub>
                        </m:sSub>
                      </m:e>
                    </m:d>
                    <m:r>
                      <a:rPr lang="en-US" sz="1100" b="0" i="1">
                        <a:solidFill>
                          <a:schemeClr val="tx1"/>
                        </a:solidFill>
                        <a:latin typeface="Cambria Math" panose="02040503050406030204" pitchFamily="18" charset="0"/>
                      </a:rPr>
                      <m:t>=</m:t>
                    </m:r>
                    <m:sSup>
                      <m:sSupPr>
                        <m:ctrlPr>
                          <a:rPr lang="el-GR" sz="1100" b="0" i="1">
                            <a:solidFill>
                              <a:schemeClr val="tx1"/>
                            </a:solidFill>
                            <a:latin typeface="Cambria Math" panose="02040503050406030204" pitchFamily="18" charset="0"/>
                            <a:ea typeface="Cambria Math" panose="02040503050406030204" pitchFamily="18" charset="0"/>
                          </a:rPr>
                        </m:ctrlPr>
                      </m:sSupPr>
                      <m:e>
                        <m:r>
                          <m:rPr>
                            <m:sty m:val="p"/>
                          </m:rPr>
                          <a:rPr lang="el-GR" sz="1100" b="0" i="1">
                            <a:solidFill>
                              <a:schemeClr val="tx1"/>
                            </a:solidFill>
                            <a:latin typeface="Cambria Math" panose="02040503050406030204" pitchFamily="18" charset="0"/>
                            <a:ea typeface="Cambria Math" panose="02040503050406030204" pitchFamily="18" charset="0"/>
                          </a:rPr>
                          <m:t>Φ</m:t>
                        </m:r>
                      </m:e>
                      <m:sup>
                        <m:r>
                          <a:rPr lang="en-US" sz="1100" b="0" i="1">
                            <a:solidFill>
                              <a:schemeClr val="tx1"/>
                            </a:solidFill>
                            <a:latin typeface="Cambria Math" panose="02040503050406030204" pitchFamily="18" charset="0"/>
                            <a:ea typeface="Cambria Math" panose="02040503050406030204" pitchFamily="18" charset="0"/>
                          </a:rPr>
                          <m:t>−1</m:t>
                        </m:r>
                      </m:sup>
                    </m:sSup>
                    <m:d>
                      <m:dPr>
                        <m:ctrlPr>
                          <a:rPr lang="en-US" sz="1100" b="0" i="1">
                            <a:solidFill>
                              <a:schemeClr val="tx1"/>
                            </a:solidFill>
                            <a:latin typeface="Cambria Math" panose="02040503050406030204" pitchFamily="18" charset="0"/>
                            <a:ea typeface="Cambria Math" panose="02040503050406030204" pitchFamily="18" charset="0"/>
                          </a:rPr>
                        </m:ctrlPr>
                      </m:dPr>
                      <m:e>
                        <m:r>
                          <a:rPr lang="en-US" sz="1100" b="0" i="1">
                            <a:solidFill>
                              <a:schemeClr val="tx1"/>
                            </a:solidFill>
                            <a:latin typeface="Cambria Math" panose="02040503050406030204" pitchFamily="18" charset="0"/>
                            <a:ea typeface="Cambria Math" panose="02040503050406030204" pitchFamily="18" charset="0"/>
                          </a:rPr>
                          <m:t>.75</m:t>
                        </m:r>
                      </m:e>
                    </m:d>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AD60FE67-AA8D-164E-AD25-308A76E43C7F}"/>
                </a:ext>
              </a:extLst>
            </xdr:cNvPr>
            <xdr:cNvSpPr txBox="1"/>
          </xdr:nvSpPr>
          <xdr:spPr>
            <a:xfrm>
              <a:off x="3016250" y="14467416"/>
              <a:ext cx="1503360"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𝐸[𝐵𝑜𝑥_𝑇𝑜𝑝 ]=</a:t>
              </a:r>
              <a:r>
                <a:rPr lang="el-GR" sz="1100" b="0" i="0">
                  <a:solidFill>
                    <a:schemeClr val="tx1"/>
                  </a:solidFill>
                  <a:latin typeface="Cambria Math" panose="02040503050406030204" pitchFamily="18" charset="0"/>
                  <a:ea typeface="Cambria Math" panose="02040503050406030204" pitchFamily="18" charset="0"/>
                </a:rPr>
                <a:t>Φ</a:t>
              </a:r>
              <a:r>
                <a:rPr lang="en-US" sz="1100" b="0" i="0">
                  <a:solidFill>
                    <a:schemeClr val="tx1"/>
                  </a:solidFill>
                  <a:latin typeface="Cambria Math" panose="02040503050406030204" pitchFamily="18" charset="0"/>
                  <a:ea typeface="Cambria Math" panose="02040503050406030204" pitchFamily="18" charset="0"/>
                </a:rPr>
                <a:t>^(−1) (.75)</a:t>
              </a:r>
              <a:endParaRPr lang="en-US" sz="1100">
                <a:solidFill>
                  <a:schemeClr val="tx1"/>
                </a:solidFill>
              </a:endParaRPr>
            </a:p>
          </xdr:txBody>
        </xdr:sp>
      </mc:Fallback>
    </mc:AlternateContent>
    <xdr:clientData/>
  </xdr:oneCellAnchor>
  <xdr:oneCellAnchor>
    <xdr:from>
      <xdr:col>3</xdr:col>
      <xdr:colOff>402166</xdr:colOff>
      <xdr:row>135</xdr:row>
      <xdr:rowOff>21167</xdr:rowOff>
    </xdr:from>
    <xdr:ext cx="1442574" cy="277127"/>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84499FBE-1327-634B-B9E3-453B35CF621F}"/>
                </a:ext>
              </a:extLst>
            </xdr:cNvPr>
            <xdr:cNvSpPr txBox="1"/>
          </xdr:nvSpPr>
          <xdr:spPr>
            <a:xfrm>
              <a:off x="2878666" y="27357917"/>
              <a:ext cx="1442574" cy="27712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𝐿𝑂𝑂𝐼𝐶</m:t>
                    </m:r>
                    <m:r>
                      <a:rPr lang="en-US" sz="1100" b="0" i="1">
                        <a:latin typeface="Cambria Math" panose="02040503050406030204" pitchFamily="18" charset="0"/>
                      </a:rPr>
                      <m:t>=−2×</m:t>
                    </m:r>
                    <m:sSub>
                      <m:sSubPr>
                        <m:ctrlPr>
                          <a:rPr lang="en-US" sz="1100" b="0" i="1">
                            <a:latin typeface="Cambria Math" panose="02040503050406030204" pitchFamily="18" charset="0"/>
                            <a:ea typeface="Cambria Math" panose="02040503050406030204" pitchFamily="18" charset="0"/>
                          </a:rPr>
                        </m:ctrlPr>
                      </m:sSubPr>
                      <m:e>
                        <m:acc>
                          <m:accPr>
                            <m:chr m:val="̂"/>
                            <m:ctrlPr>
                              <a:rPr lang="en-US" sz="1100" b="0" i="1">
                                <a:latin typeface="Cambria Math" panose="02040503050406030204" pitchFamily="18" charset="0"/>
                                <a:ea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𝑒𝑙𝑝𝑑</m:t>
                            </m:r>
                          </m:e>
                        </m:acc>
                      </m:e>
                      <m:sub>
                        <m:r>
                          <a:rPr lang="en-US" sz="1100" b="0" i="1">
                            <a:latin typeface="Cambria Math" panose="02040503050406030204" pitchFamily="18" charset="0"/>
                          </a:rPr>
                          <m:t>𝑙𝑜𝑜</m:t>
                        </m:r>
                      </m:sub>
                    </m:sSub>
                  </m:oMath>
                </m:oMathPara>
              </a14:m>
              <a:endParaRPr lang="en-US" sz="1100"/>
            </a:p>
          </xdr:txBody>
        </xdr:sp>
      </mc:Choice>
      <mc:Fallback xmlns="">
        <xdr:sp macro="" textlink="">
          <xdr:nvSpPr>
            <xdr:cNvPr id="18" name="TextBox 17">
              <a:extLst>
                <a:ext uri="{FF2B5EF4-FFF2-40B4-BE49-F238E27FC236}">
                  <a16:creationId xmlns:a16="http://schemas.microsoft.com/office/drawing/2014/main" id="{84499FBE-1327-634B-B9E3-453B35CF621F}"/>
                </a:ext>
              </a:extLst>
            </xdr:cNvPr>
            <xdr:cNvSpPr txBox="1"/>
          </xdr:nvSpPr>
          <xdr:spPr>
            <a:xfrm>
              <a:off x="2878666" y="27357917"/>
              <a:ext cx="1442574" cy="27712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𝐿𝑂𝑂𝐼𝐶=−2</a:t>
              </a:r>
              <a:r>
                <a:rPr lang="en-US" sz="1100" b="0" i="0">
                  <a:latin typeface="Cambria Math" panose="02040503050406030204" pitchFamily="18" charset="0"/>
                  <a:ea typeface="Cambria Math" panose="02040503050406030204" pitchFamily="18" charset="0"/>
                </a:rPr>
                <a:t>×(𝑒𝑙𝑝𝑑) ̂_</a:t>
              </a:r>
              <a:r>
                <a:rPr lang="en-US" sz="1100" b="0" i="0">
                  <a:latin typeface="Cambria Math" panose="02040503050406030204" pitchFamily="18" charset="0"/>
                </a:rPr>
                <a:t>𝑙𝑜𝑜</a:t>
              </a:r>
              <a:endParaRPr lang="en-US"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1</xdr:col>
      <xdr:colOff>338666</xdr:colOff>
      <xdr:row>51</xdr:row>
      <xdr:rowOff>1</xdr:rowOff>
    </xdr:from>
    <xdr:ext cx="1595629" cy="52527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EB49825-4817-3C40-9A7C-6F1B50D1EBF9}"/>
                </a:ext>
              </a:extLst>
            </xdr:cNvPr>
            <xdr:cNvSpPr txBox="1"/>
          </xdr:nvSpPr>
          <xdr:spPr>
            <a:xfrm>
              <a:off x="1164166" y="10382251"/>
              <a:ext cx="1595629" cy="52527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𝐸</m:t>
                        </m:r>
                      </m:e>
                      <m:sub>
                        <m:r>
                          <a:rPr lang="en-US" sz="1100" b="0" i="1">
                            <a:solidFill>
                              <a:schemeClr val="tx1"/>
                            </a:solidFill>
                            <a:latin typeface="Cambria Math" panose="02040503050406030204" pitchFamily="18" charset="0"/>
                          </a:rPr>
                          <m:t>𝐵𝑒𝑠𝑡</m:t>
                        </m:r>
                      </m:sub>
                      <m:sup>
                        <m:r>
                          <a:rPr lang="en-US" sz="1100" b="0" i="1">
                            <a:solidFill>
                              <a:schemeClr val="tx1"/>
                            </a:solidFill>
                            <a:latin typeface="Cambria Math" panose="02040503050406030204" pitchFamily="18" charset="0"/>
                          </a:rPr>
                          <m:t>𝑠𝑖𝑚</m:t>
                        </m:r>
                      </m:sup>
                    </m:sSubSup>
                    <m:r>
                      <a:rPr lang="en-US" sz="1100" b="0" i="1">
                        <a:solidFill>
                          <a:schemeClr val="tx1"/>
                        </a:solidFill>
                        <a:latin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m:rPr>
                            <m:brk m:alnAt="7"/>
                          </m:rPr>
                          <a:rPr lang="en-US" sz="1100" b="0" i="1">
                            <a:solidFill>
                              <a:schemeClr val="tx1"/>
                            </a:solidFill>
                            <a:latin typeface="Cambria Math" panose="02040503050406030204" pitchFamily="18" charset="0"/>
                          </a:rPr>
                          <m:t>𝑡</m:t>
                        </m:r>
                      </m:sub>
                      <m:sup/>
                      <m:e>
                        <m:f>
                          <m:fPr>
                            <m:ctrlPr>
                              <a:rPr lang="en-US" sz="1100" b="0" i="1">
                                <a:solidFill>
                                  <a:schemeClr val="tx1"/>
                                </a:solidFill>
                                <a:latin typeface="Cambria Math" panose="02040503050406030204" pitchFamily="18" charset="0"/>
                                <a:ea typeface="Cambria Math" panose="02040503050406030204" pitchFamily="18" charset="0"/>
                              </a:rPr>
                            </m:ctrlPr>
                          </m:fPr>
                          <m:num>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𝑡</m:t>
                                </m:r>
                              </m:sub>
                              <m:sup>
                                <m:r>
                                  <a:rPr lang="en-US" sz="1100" b="0" i="1">
                                    <a:solidFill>
                                      <a:schemeClr val="tx1"/>
                                    </a:solidFill>
                                    <a:latin typeface="Cambria Math" panose="02040503050406030204" pitchFamily="18" charset="0"/>
                                    <a:ea typeface="Cambria Math" panose="02040503050406030204" pitchFamily="18" charset="0"/>
                                  </a:rPr>
                                  <m:t>𝑠𝑖𝑚</m:t>
                                </m:r>
                              </m:sup>
                            </m:sSubSup>
                          </m:num>
                          <m:den>
                            <m:sSup>
                              <m:sSupPr>
                                <m:ctrlPr>
                                  <a:rPr lang="en-US" sz="1100" b="0" i="1">
                                    <a:solidFill>
                                      <a:schemeClr val="tx1"/>
                                    </a:solidFill>
                                    <a:latin typeface="Cambria Math" panose="02040503050406030204" pitchFamily="18" charset="0"/>
                                  </a:rPr>
                                </m:ctrlPr>
                              </m:sSupPr>
                              <m:e>
                                <m:d>
                                  <m:dPr>
                                    <m:ctrlPr>
                                      <a:rPr lang="en-US" sz="1100" b="0" i="1">
                                        <a:solidFill>
                                          <a:schemeClr val="tx1"/>
                                        </a:solidFill>
                                        <a:latin typeface="Cambria Math" panose="02040503050406030204" pitchFamily="18" charset="0"/>
                                      </a:rPr>
                                    </m:ctrlPr>
                                  </m:dPr>
                                  <m:e>
                                    <m:r>
                                      <a:rPr lang="en-US" sz="1100" b="0" i="1">
                                        <a:solidFill>
                                          <a:schemeClr val="tx1"/>
                                        </a:solidFill>
                                        <a:latin typeface="Cambria Math" panose="02040503050406030204" pitchFamily="18" charset="0"/>
                                      </a:rPr>
                                      <m:t>1+</m:t>
                                    </m:r>
                                    <m:r>
                                      <a:rPr lang="en-US" sz="1100" b="0" i="1">
                                        <a:solidFill>
                                          <a:schemeClr val="tx1"/>
                                        </a:solidFill>
                                        <a:latin typeface="Cambria Math" panose="02040503050406030204" pitchFamily="18" charset="0"/>
                                      </a:rPr>
                                      <m:t>𝑖</m:t>
                                    </m:r>
                                  </m:e>
                                </m:d>
                              </m:e>
                              <m: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𝑡</m:t>
                                </m:r>
                                <m:r>
                                  <a:rPr lang="en-US" sz="1100" b="0" i="1">
                                    <a:solidFill>
                                      <a:schemeClr val="tx1"/>
                                    </a:solidFill>
                                    <a:latin typeface="Cambria Math" panose="02040503050406030204" pitchFamily="18" charset="0"/>
                                  </a:rPr>
                                  <m:t>−0.5)</m:t>
                                </m:r>
                              </m:sup>
                            </m:sSup>
                          </m:den>
                        </m:f>
                      </m:e>
                    </m:nary>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5EB49825-4817-3C40-9A7C-6F1B50D1EBF9}"/>
                </a:ext>
              </a:extLst>
            </xdr:cNvPr>
            <xdr:cNvSpPr txBox="1"/>
          </xdr:nvSpPr>
          <xdr:spPr>
            <a:xfrm>
              <a:off x="1164166" y="10382251"/>
              <a:ext cx="1595629" cy="52527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𝐸_𝐵𝑒𝑠𝑡^𝑠𝑖𝑚=∑_𝑡▒(</a:t>
              </a:r>
              <a:r>
                <a:rPr lang="en-US" sz="1100" b="0" i="0">
                  <a:solidFill>
                    <a:schemeClr val="tx1"/>
                  </a:solidFill>
                  <a:latin typeface="Cambria Math" panose="02040503050406030204" pitchFamily="18" charset="0"/>
                  <a:ea typeface="Cambria Math" panose="02040503050406030204" pitchFamily="18" charset="0"/>
                </a:rPr>
                <a:t>𝑃_𝑡^𝑠𝑖𝑚)/(</a:t>
              </a:r>
              <a:r>
                <a:rPr lang="en-US" sz="1100" b="0" i="0">
                  <a:solidFill>
                    <a:schemeClr val="tx1"/>
                  </a:solidFill>
                  <a:latin typeface="Cambria Math" panose="02040503050406030204" pitchFamily="18" charset="0"/>
                </a:rPr>
                <a:t>1+𝑖)^((𝑡−0.5)) </a:t>
              </a:r>
              <a:endParaRPr lang="en-US" sz="1100">
                <a:solidFill>
                  <a:schemeClr val="tx1"/>
                </a:solidFill>
              </a:endParaRPr>
            </a:p>
          </xdr:txBody>
        </xdr:sp>
      </mc:Fallback>
    </mc:AlternateContent>
    <xdr:clientData/>
  </xdr:oneCellAnchor>
  <xdr:oneCellAnchor>
    <xdr:from>
      <xdr:col>4</xdr:col>
      <xdr:colOff>127001</xdr:colOff>
      <xdr:row>51</xdr:row>
      <xdr:rowOff>1</xdr:rowOff>
    </xdr:from>
    <xdr:ext cx="2468176" cy="5279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6DEA545-0004-AF4F-9117-202E93C08B67}"/>
                </a:ext>
              </a:extLst>
            </xdr:cNvPr>
            <xdr:cNvSpPr txBox="1"/>
          </xdr:nvSpPr>
          <xdr:spPr>
            <a:xfrm>
              <a:off x="3545418" y="10382251"/>
              <a:ext cx="2468176" cy="5279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𝐵𝑒𝑠𝑡</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𝐸𝑠𝑡𝑖𝑚𝑎𝑡𝑒</m:t>
                        </m:r>
                      </m:e>
                      <m:sup>
                        <m:r>
                          <a:rPr lang="en-US" sz="1100" b="0" i="1">
                            <a:solidFill>
                              <a:schemeClr val="tx1"/>
                            </a:solidFill>
                            <a:latin typeface="Cambria Math" panose="02040503050406030204" pitchFamily="18" charset="0"/>
                          </a:rPr>
                          <m:t>𝑆𝑖𝑚</m:t>
                        </m:r>
                      </m:sup>
                    </m:sSup>
                    <m:r>
                      <a:rPr lang="en-US" sz="1100" b="0" i="1">
                        <a:solidFill>
                          <a:schemeClr val="tx1"/>
                        </a:solidFill>
                        <a:latin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a:rPr lang="en-US" sz="1100" b="0" i="1">
                            <a:solidFill>
                              <a:schemeClr val="tx1"/>
                            </a:solidFill>
                            <a:latin typeface="Cambria Math" panose="02040503050406030204" pitchFamily="18" charset="0"/>
                          </a:rPr>
                          <m:t>𝐶𝑌</m:t>
                        </m:r>
                      </m:sub>
                      <m:sup/>
                      <m:e>
                        <m:f>
                          <m:fPr>
                            <m:ctrlPr>
                              <a:rPr lang="en-US" sz="1100" b="0" i="1">
                                <a:solidFill>
                                  <a:schemeClr val="tx1"/>
                                </a:solidFill>
                                <a:latin typeface="Cambria Math" panose="02040503050406030204" pitchFamily="18" charset="0"/>
                              </a:rPr>
                            </m:ctrlPr>
                          </m:fPr>
                          <m:num>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𝑃𝑎𝑖𝑑</m:t>
                                </m:r>
                              </m:e>
                              <m:sub>
                                <m:r>
                                  <a:rPr lang="en-US" sz="1100" b="0" i="1">
                                    <a:solidFill>
                                      <a:schemeClr val="tx1"/>
                                    </a:solidFill>
                                    <a:latin typeface="Cambria Math" panose="02040503050406030204" pitchFamily="18" charset="0"/>
                                  </a:rPr>
                                  <m:t>𝐶𝑌</m:t>
                                </m:r>
                              </m:sub>
                              <m:sup>
                                <m:r>
                                  <a:rPr lang="en-US" sz="1100" b="0" i="1">
                                    <a:solidFill>
                                      <a:schemeClr val="tx1"/>
                                    </a:solidFill>
                                    <a:latin typeface="Cambria Math" panose="02040503050406030204" pitchFamily="18" charset="0"/>
                                  </a:rPr>
                                  <m:t>𝑠𝑖𝑚</m:t>
                                </m:r>
                              </m:sup>
                            </m:sSubSup>
                          </m:num>
                          <m:den>
                            <m:sSup>
                              <m:sSupPr>
                                <m:ctrlPr>
                                  <a:rPr lang="en-US" sz="1100" b="0" i="1">
                                    <a:solidFill>
                                      <a:schemeClr val="tx1"/>
                                    </a:solidFill>
                                    <a:latin typeface="Cambria Math" panose="02040503050406030204" pitchFamily="18" charset="0"/>
                                  </a:rPr>
                                </m:ctrlPr>
                              </m:sSupPr>
                              <m:e>
                                <m:d>
                                  <m:dPr>
                                    <m:ctrlPr>
                                      <a:rPr lang="en-US" sz="1100" b="0" i="1">
                                        <a:solidFill>
                                          <a:schemeClr val="tx1"/>
                                        </a:solidFill>
                                        <a:latin typeface="Cambria Math" panose="02040503050406030204" pitchFamily="18" charset="0"/>
                                      </a:rPr>
                                    </m:ctrlPr>
                                  </m:dPr>
                                  <m:e>
                                    <m:r>
                                      <a:rPr lang="en-US" sz="1100" b="0" i="1">
                                        <a:solidFill>
                                          <a:schemeClr val="tx1"/>
                                        </a:solidFill>
                                        <a:latin typeface="Cambria Math" panose="02040503050406030204" pitchFamily="18" charset="0"/>
                                      </a:rPr>
                                      <m:t>1+</m:t>
                                    </m:r>
                                    <m:r>
                                      <a:rPr lang="en-US" sz="1100" b="0" i="1">
                                        <a:solidFill>
                                          <a:schemeClr val="tx1"/>
                                        </a:solidFill>
                                        <a:latin typeface="Cambria Math" panose="02040503050406030204" pitchFamily="18" charset="0"/>
                                      </a:rPr>
                                      <m:t>𝑖</m:t>
                                    </m:r>
                                  </m:e>
                                </m:d>
                              </m:e>
                              <m: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𝐶𝑌</m:t>
                                </m:r>
                                <m:r>
                                  <a:rPr lang="en-US" sz="1100" b="0" i="1">
                                    <a:solidFill>
                                      <a:schemeClr val="tx1"/>
                                    </a:solidFill>
                                    <a:latin typeface="Cambria Math" panose="02040503050406030204" pitchFamily="18" charset="0"/>
                                  </a:rPr>
                                  <m:t>−0.5)</m:t>
                                </m:r>
                              </m:sup>
                            </m:sSup>
                          </m:den>
                        </m:f>
                      </m:e>
                    </m:nary>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06DEA545-0004-AF4F-9117-202E93C08B67}"/>
                </a:ext>
              </a:extLst>
            </xdr:cNvPr>
            <xdr:cNvSpPr txBox="1"/>
          </xdr:nvSpPr>
          <xdr:spPr>
            <a:xfrm>
              <a:off x="3545418" y="10382251"/>
              <a:ext cx="2468176" cy="5279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〖𝐵𝑒𝑠𝑡 𝐸𝑠𝑡𝑖𝑚𝑎𝑡𝑒〗^𝑆𝑖𝑚=∑_𝐶𝑌▒(〖𝑃𝑎𝑖𝑑〗_𝐶𝑌^𝑠𝑖𝑚)/(1+𝑖)^((𝐶𝑌−0.5)) </a:t>
              </a:r>
              <a:endParaRPr lang="en-US" sz="1100">
                <a:solidFill>
                  <a:schemeClr val="tx1"/>
                </a:solidFill>
              </a:endParaRPr>
            </a:p>
          </xdr:txBody>
        </xdr:sp>
      </mc:Fallback>
    </mc:AlternateContent>
    <xdr:clientData/>
  </xdr:oneCellAnchor>
  <xdr:oneCellAnchor>
    <xdr:from>
      <xdr:col>1</xdr:col>
      <xdr:colOff>317498</xdr:colOff>
      <xdr:row>28</xdr:row>
      <xdr:rowOff>137582</xdr:rowOff>
    </xdr:from>
    <xdr:ext cx="1629835" cy="34644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E5695DF-B50A-3D4C-9320-7A566BA8AE28}"/>
                </a:ext>
              </a:extLst>
            </xdr:cNvPr>
            <xdr:cNvSpPr txBox="1"/>
          </xdr:nvSpPr>
          <xdr:spPr>
            <a:xfrm>
              <a:off x="1142998" y="5863165"/>
              <a:ext cx="1629835" cy="3464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𝐸</m:t>
                    </m:r>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up>
                        <m:r>
                          <a:rPr lang="en-US" sz="1100" i="1">
                            <a:solidFill>
                              <a:schemeClr val="tx1"/>
                            </a:solidFill>
                            <a:effectLst/>
                            <a:latin typeface="Cambria Math" panose="02040503050406030204" pitchFamily="18" charset="0"/>
                            <a:ea typeface="+mn-ea"/>
                            <a:cs typeface="+mn-cs"/>
                          </a:rPr>
                          <m:t>𝑠𝑖𝑚</m:t>
                        </m:r>
                      </m:sup>
                    </m:sSub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up>
                            <m:r>
                              <a:rPr lang="en-US" sz="1100" i="1">
                                <a:solidFill>
                                  <a:schemeClr val="tx1"/>
                                </a:solidFill>
                                <a:effectLst/>
                                <a:latin typeface="Cambria Math" panose="02040503050406030204" pitchFamily="18" charset="0"/>
                                <a:ea typeface="+mn-ea"/>
                                <a:cs typeface="+mn-cs"/>
                              </a:rPr>
                              <m:t>𝑠𝑖𝑚</m:t>
                            </m:r>
                          </m:sup>
                        </m:sSubSup>
                        <m:r>
                          <a:rPr lang="en-US" sz="1100" i="1">
                            <a:solidFill>
                              <a:schemeClr val="tx1"/>
                            </a:solidFill>
                            <a:effectLst/>
                            <a:latin typeface="Cambria Math" panose="02040503050406030204" pitchFamily="18" charset="0"/>
                            <a:ea typeface="+mn-ea"/>
                            <a:cs typeface="+mn-cs"/>
                          </a:rPr>
                          <m:t>+</m:t>
                        </m:r>
                        <m:f>
                          <m:fPr>
                            <m:type m:val="lin"/>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𝑠𝑖𝑚</m:t>
                                    </m:r>
                                  </m:sup>
                                </m:sSup>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sup>
                    </m:sSup>
                  </m:oMath>
                </m:oMathPara>
              </a14:m>
              <a:endParaRPr lang="en-US"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0E5695DF-B50A-3D4C-9320-7A566BA8AE28}"/>
                </a:ext>
              </a:extLst>
            </xdr:cNvPr>
            <xdr:cNvSpPr txBox="1"/>
          </xdr:nvSpPr>
          <xdr:spPr>
            <a:xfrm>
              <a:off x="1142998" y="5863165"/>
              <a:ext cx="1629835" cy="3464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r>
                <a:rPr lang="en-US" sz="1100" i="0">
                  <a:solidFill>
                    <a:schemeClr val="tx1"/>
                  </a:solidFill>
                  <a:effectLst/>
                  <a:latin typeface="+mn-lt"/>
                  <a:ea typeface="+mn-ea"/>
                  <a:cs typeface="+mn-cs"/>
                </a:rPr>
                <a:t>𝐸[𝐶_(𝑤,𝑑)^𝑠𝑖𝑚]=𝑒^(𝜇_(𝑤,𝑑)^𝑠𝑖𝑚+〖𝜎^𝑠𝑖𝑚〗^2∕2)</a:t>
              </a:r>
              <a:endParaRPr lang="en-US" sz="1100">
                <a:solidFill>
                  <a:schemeClr val="tx1"/>
                </a:solidFill>
                <a:effectLst/>
                <a:latin typeface="+mn-lt"/>
                <a:ea typeface="+mn-ea"/>
                <a:cs typeface="+mn-cs"/>
              </a:endParaRPr>
            </a:p>
          </xdr:txBody>
        </xdr:sp>
      </mc:Fallback>
    </mc:AlternateContent>
    <xdr:clientData/>
  </xdr:oneCellAnchor>
  <xdr:oneCellAnchor>
    <xdr:from>
      <xdr:col>1</xdr:col>
      <xdr:colOff>328085</xdr:colOff>
      <xdr:row>31</xdr:row>
      <xdr:rowOff>52917</xdr:rowOff>
    </xdr:from>
    <xdr:ext cx="1873250" cy="288092"/>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989DA7B-A967-4F47-B5A9-445C2951BA5A}"/>
                </a:ext>
              </a:extLst>
            </xdr:cNvPr>
            <xdr:cNvSpPr txBox="1"/>
          </xdr:nvSpPr>
          <xdr:spPr>
            <a:xfrm>
              <a:off x="1153585" y="6985000"/>
              <a:ext cx="1873250" cy="28809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𝐸</m:t>
                    </m:r>
                    <m:d>
                      <m:dPr>
                        <m:begChr m:val="["/>
                        <m:endChr m:val="]"/>
                        <m:ctrlPr>
                          <a:rPr lang="en-US" sz="1100" b="0" i="1">
                            <a:solidFill>
                              <a:schemeClr val="tx1"/>
                            </a:solidFill>
                            <a:latin typeface="Cambria Math" panose="02040503050406030204" pitchFamily="18" charset="0"/>
                            <a:ea typeface="Cambria Math" panose="02040503050406030204" pitchFamily="18" charset="0"/>
                          </a:rPr>
                        </m:ctrlPr>
                      </m:dPr>
                      <m:e>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up>
                            <m:r>
                              <a:rPr lang="en-US" sz="1100" b="0" i="1">
                                <a:solidFill>
                                  <a:schemeClr val="tx1"/>
                                </a:solidFill>
                                <a:latin typeface="Cambria Math" panose="02040503050406030204" pitchFamily="18" charset="0"/>
                                <a:ea typeface="Cambria Math" panose="02040503050406030204" pitchFamily="18" charset="0"/>
                              </a:rPr>
                              <m:t>𝑠𝑖𝑚</m:t>
                            </m:r>
                          </m:sup>
                        </m:sSubSup>
                      </m:e>
                    </m:d>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𝐸</m:t>
                    </m:r>
                    <m:r>
                      <a:rPr lang="en-US" sz="1100" b="0" i="1">
                        <a:solidFill>
                          <a:schemeClr val="tx1"/>
                        </a:solidFill>
                        <a:latin typeface="Cambria Math" panose="02040503050406030204" pitchFamily="18" charset="0"/>
                        <a:ea typeface="Cambria Math" panose="02040503050406030204" pitchFamily="18" charset="0"/>
                      </a:rPr>
                      <m:t>[</m:t>
                    </m:r>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r>
                          <a:rPr lang="en-US" sz="1100" b="0" i="1">
                            <a:solidFill>
                              <a:schemeClr val="tx1"/>
                            </a:solidFill>
                            <a:latin typeface="Cambria Math" panose="02040503050406030204" pitchFamily="18" charset="0"/>
                            <a:ea typeface="Cambria Math" panose="02040503050406030204" pitchFamily="18" charset="0"/>
                          </a:rPr>
                          <m:t>−1</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ea typeface="Cambria Math" panose="02040503050406030204" pitchFamily="18" charset="0"/>
                      </a:rPr>
                      <m:t>]</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9989DA7B-A967-4F47-B5A9-445C2951BA5A}"/>
                </a:ext>
              </a:extLst>
            </xdr:cNvPr>
            <xdr:cNvSpPr txBox="1"/>
          </xdr:nvSpPr>
          <xdr:spPr>
            <a:xfrm>
              <a:off x="1153585" y="6985000"/>
              <a:ext cx="1873250" cy="28809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𝑃_(𝑤,𝑑)^𝑠𝑖𝑚</a:t>
              </a:r>
              <a:r>
                <a:rPr lang="en-US" sz="1100" b="0" i="0">
                  <a:solidFill>
                    <a:schemeClr val="tx1"/>
                  </a:solidFill>
                  <a:latin typeface="Cambria Math" panose="02040503050406030204" pitchFamily="18" charset="0"/>
                </a:rPr>
                <a:t>=</a:t>
              </a:r>
              <a:r>
                <a:rPr lang="en-US" sz="1100" b="0" i="0">
                  <a:solidFill>
                    <a:schemeClr val="tx1"/>
                  </a:solidFill>
                  <a:latin typeface="Cambria Math" panose="02040503050406030204" pitchFamily="18" charset="0"/>
                  <a:ea typeface="Cambria Math" panose="02040503050406030204" pitchFamily="18" charset="0"/>
                </a:rPr>
                <a:t>𝐸[𝐶_(𝑤,𝑑)^𝑠𝑖𝑚 ]−𝐸[𝐶_(𝑤,𝑑−1)^𝑠𝑖𝑚]</a:t>
              </a:r>
              <a:endParaRPr lang="en-US" sz="1100">
                <a:solidFill>
                  <a:schemeClr val="tx1"/>
                </a:solidFill>
              </a:endParaRPr>
            </a:p>
          </xdr:txBody>
        </xdr:sp>
      </mc:Fallback>
    </mc:AlternateContent>
    <xdr:clientData/>
  </xdr:oneCellAnchor>
  <xdr:oneCellAnchor>
    <xdr:from>
      <xdr:col>1</xdr:col>
      <xdr:colOff>338667</xdr:colOff>
      <xdr:row>47</xdr:row>
      <xdr:rowOff>95250</xdr:rowOff>
    </xdr:from>
    <xdr:ext cx="1143000" cy="50603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8D0E674-AC4F-5149-AD23-FAB3C270F668}"/>
                </a:ext>
              </a:extLst>
            </xdr:cNvPr>
            <xdr:cNvSpPr txBox="1"/>
          </xdr:nvSpPr>
          <xdr:spPr>
            <a:xfrm>
              <a:off x="1164167" y="9673167"/>
              <a:ext cx="1143000" cy="50603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𝑡</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m:rPr>
                            <m:brk m:alnAt="7"/>
                          </m:rPr>
                          <a:rPr lang="en-US" sz="1100" b="0" i="1">
                            <a:solidFill>
                              <a:schemeClr val="tx1"/>
                            </a:solidFill>
                            <a:latin typeface="Cambria Math" panose="02040503050406030204" pitchFamily="18" charset="0"/>
                          </a:rPr>
                          <m:t>𝑡</m:t>
                        </m:r>
                      </m:sub>
                      <m:sup/>
                      <m:e>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up>
                            <m:r>
                              <a:rPr lang="en-US" sz="1100" b="0" i="1">
                                <a:solidFill>
                                  <a:schemeClr val="tx1"/>
                                </a:solidFill>
                                <a:latin typeface="Cambria Math" panose="02040503050406030204" pitchFamily="18" charset="0"/>
                                <a:ea typeface="Cambria Math" panose="02040503050406030204" pitchFamily="18" charset="0"/>
                              </a:rPr>
                              <m:t>𝑠𝑖𝑚</m:t>
                            </m:r>
                          </m:sup>
                        </m:sSubSup>
                      </m:e>
                    </m:nary>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08D0E674-AC4F-5149-AD23-FAB3C270F668}"/>
                </a:ext>
              </a:extLst>
            </xdr:cNvPr>
            <xdr:cNvSpPr txBox="1"/>
          </xdr:nvSpPr>
          <xdr:spPr>
            <a:xfrm>
              <a:off x="1164167" y="9673167"/>
              <a:ext cx="1143000" cy="50603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𝑃_𝑡^𝑠𝑖𝑚</a:t>
              </a:r>
              <a:r>
                <a:rPr lang="en-US" sz="1100" b="0" i="0">
                  <a:solidFill>
                    <a:schemeClr val="tx1"/>
                  </a:solidFill>
                  <a:latin typeface="Cambria Math" panose="02040503050406030204" pitchFamily="18" charset="0"/>
                </a:rPr>
                <a:t>=∑_𝑡</a:t>
              </a:r>
              <a:r>
                <a:rPr lang="en-US" sz="1100" b="0" i="0">
                  <a:solidFill>
                    <a:schemeClr val="tx1"/>
                  </a:solidFill>
                  <a:latin typeface="Cambria Math" panose="02040503050406030204" pitchFamily="18" charset="0"/>
                  <a:ea typeface="Cambria Math" panose="02040503050406030204" pitchFamily="18" charset="0"/>
                </a:rPr>
                <a:t>▒𝑃_(𝑤,𝑑)^𝑠𝑖𝑚 </a:t>
              </a:r>
              <a:endParaRPr lang="en-US" sz="1100">
                <a:solidFill>
                  <a:schemeClr val="tx1"/>
                </a:solidFill>
              </a:endParaRPr>
            </a:p>
          </xdr:txBody>
        </xdr:sp>
      </mc:Fallback>
    </mc:AlternateContent>
    <xdr:clientData/>
  </xdr:oneCellAnchor>
  <xdr:oneCellAnchor>
    <xdr:from>
      <xdr:col>4</xdr:col>
      <xdr:colOff>127000</xdr:colOff>
      <xdr:row>47</xdr:row>
      <xdr:rowOff>126998</xdr:rowOff>
    </xdr:from>
    <xdr:ext cx="1873141" cy="503279"/>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8FE311E-A9C6-E146-83D3-4BE1FD1687B9}"/>
                </a:ext>
              </a:extLst>
            </xdr:cNvPr>
            <xdr:cNvSpPr txBox="1"/>
          </xdr:nvSpPr>
          <xdr:spPr>
            <a:xfrm>
              <a:off x="3545417" y="9704915"/>
              <a:ext cx="1873141" cy="5032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𝑃𝑎𝑖𝑑</m:t>
                        </m:r>
                      </m:e>
                      <m:sub>
                        <m:r>
                          <a:rPr lang="en-US" sz="1100" b="0" i="1">
                            <a:solidFill>
                              <a:schemeClr val="tx1"/>
                            </a:solidFill>
                            <a:latin typeface="Cambria Math" panose="02040503050406030204" pitchFamily="18" charset="0"/>
                          </a:rPr>
                          <m:t>𝐶𝑌</m:t>
                        </m:r>
                      </m:sub>
                      <m:sup>
                        <m:r>
                          <a:rPr lang="en-US" sz="1100" b="0" i="1">
                            <a:solidFill>
                              <a:schemeClr val="tx1"/>
                            </a:solidFill>
                            <a:latin typeface="Cambria Math" panose="02040503050406030204" pitchFamily="18" charset="0"/>
                          </a:rPr>
                          <m:t>𝑠𝑖𝑚</m:t>
                        </m:r>
                      </m:sup>
                    </m:sSubSup>
                    <m:r>
                      <a:rPr lang="en-US" sz="1100" b="0" i="1">
                        <a:solidFill>
                          <a:schemeClr val="tx1"/>
                        </a:solidFill>
                        <a:latin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m:rPr>
                            <m:brk m:alnAt="7"/>
                          </m:rPr>
                          <a:rPr lang="en-US" sz="1100" b="0" i="1">
                            <a:solidFill>
                              <a:schemeClr val="tx1"/>
                            </a:solidFill>
                            <a:latin typeface="Cambria Math" panose="02040503050406030204" pitchFamily="18" charset="0"/>
                          </a:rPr>
                          <m:t>𝐶</m:t>
                        </m:r>
                        <m:r>
                          <a:rPr lang="en-US" sz="1100" b="0" i="1">
                            <a:solidFill>
                              <a:schemeClr val="tx1"/>
                            </a:solidFill>
                            <a:latin typeface="Cambria Math" panose="02040503050406030204" pitchFamily="18" charset="0"/>
                          </a:rPr>
                          <m:t>𝑌</m:t>
                        </m:r>
                      </m:sub>
                      <m:sup/>
                      <m:e>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𝐼𝑛𝑐</m:t>
                            </m:r>
                            <m:r>
                              <a:rPr lang="en-US" sz="1100" b="0" i="1">
                                <a:solidFill>
                                  <a:schemeClr val="tx1"/>
                                </a:solidFill>
                                <a:latin typeface="Cambria Math" panose="02040503050406030204" pitchFamily="18" charset="0"/>
                                <a:ea typeface="Cambria Math" panose="02040503050406030204" pitchFamily="18" charset="0"/>
                              </a:rPr>
                              <m:t> </m:t>
                            </m:r>
                            <m:r>
                              <a:rPr lang="en-US" sz="1100" b="0" i="1">
                                <a:solidFill>
                                  <a:schemeClr val="tx1"/>
                                </a:solidFill>
                                <a:latin typeface="Cambria Math" panose="02040503050406030204" pitchFamily="18" charset="0"/>
                                <a:ea typeface="Cambria Math" panose="02040503050406030204" pitchFamily="18" charset="0"/>
                              </a:rPr>
                              <m:t>𝑃𝑎𝑖𝑑</m:t>
                            </m:r>
                          </m:e>
                          <m:sub>
                            <m:r>
                              <a:rPr lang="en-US" sz="1100" b="0" i="1">
                                <a:solidFill>
                                  <a:schemeClr val="tx1"/>
                                </a:solidFill>
                                <a:latin typeface="Cambria Math" panose="02040503050406030204" pitchFamily="18" charset="0"/>
                                <a:ea typeface="Cambria Math" panose="02040503050406030204" pitchFamily="18" charset="0"/>
                              </a:rPr>
                              <m:t>𝐴𝑌</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𝑑𝑒𝑣</m:t>
                            </m:r>
                          </m:sub>
                          <m:sup>
                            <m:r>
                              <a:rPr lang="en-US" sz="1100" b="0" i="1">
                                <a:solidFill>
                                  <a:schemeClr val="tx1"/>
                                </a:solidFill>
                                <a:latin typeface="Cambria Math" panose="02040503050406030204" pitchFamily="18" charset="0"/>
                                <a:ea typeface="Cambria Math" panose="02040503050406030204" pitchFamily="18" charset="0"/>
                              </a:rPr>
                              <m:t>𝑠𝑖𝑚</m:t>
                            </m:r>
                          </m:sup>
                        </m:sSubSup>
                      </m:e>
                    </m:nary>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B8FE311E-A9C6-E146-83D3-4BE1FD1687B9}"/>
                </a:ext>
              </a:extLst>
            </xdr:cNvPr>
            <xdr:cNvSpPr txBox="1"/>
          </xdr:nvSpPr>
          <xdr:spPr>
            <a:xfrm>
              <a:off x="3545417" y="9704915"/>
              <a:ext cx="1873141" cy="5032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〖𝑃𝑎𝑖𝑑〗_𝐶𝑌^𝑠𝑖𝑚=∑_𝐶𝑌</a:t>
              </a:r>
              <a:r>
                <a:rPr lang="en-US" sz="1100" b="0" i="0">
                  <a:solidFill>
                    <a:schemeClr val="tx1"/>
                  </a:solidFill>
                  <a:latin typeface="Cambria Math" panose="02040503050406030204" pitchFamily="18" charset="0"/>
                  <a:ea typeface="Cambria Math" panose="02040503050406030204" pitchFamily="18" charset="0"/>
                </a:rPr>
                <a:t>▒〖𝐼𝑛𝑐 𝑃𝑎𝑖𝑑〗_(𝐴𝑌,𝑑𝑒𝑣)^𝑠𝑖𝑚 </a:t>
              </a:r>
              <a:endParaRPr lang="en-US" sz="1100">
                <a:solidFill>
                  <a:schemeClr val="tx1"/>
                </a:solidFill>
              </a:endParaRPr>
            </a:p>
          </xdr:txBody>
        </xdr:sp>
      </mc:Fallback>
    </mc:AlternateContent>
    <xdr:clientData/>
  </xdr:oneCellAnchor>
  <xdr:oneCellAnchor>
    <xdr:from>
      <xdr:col>1</xdr:col>
      <xdr:colOff>423333</xdr:colOff>
      <xdr:row>68</xdr:row>
      <xdr:rowOff>126999</xdr:rowOff>
    </xdr:from>
    <xdr:ext cx="1373774" cy="5032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39789DC-D0ED-E043-B804-36784E98DBA7}"/>
                </a:ext>
              </a:extLst>
            </xdr:cNvPr>
            <xdr:cNvSpPr txBox="1"/>
          </xdr:nvSpPr>
          <xdr:spPr>
            <a:xfrm>
              <a:off x="1248833" y="14022916"/>
              <a:ext cx="1373774" cy="5032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𝐸</m:t>
                        </m:r>
                      </m:e>
                      <m:sub>
                        <m:r>
                          <a:rPr lang="en-US" sz="1100" b="0" i="1">
                            <a:solidFill>
                              <a:schemeClr val="tx1"/>
                            </a:solidFill>
                            <a:latin typeface="Cambria Math" panose="02040503050406030204" pitchFamily="18" charset="0"/>
                          </a:rPr>
                          <m:t>𝐵𝑒𝑠𝑡</m:t>
                        </m:r>
                      </m:sub>
                    </m:sSub>
                    <m:r>
                      <a:rPr lang="en-US" sz="1100" b="0" i="1">
                        <a:solidFill>
                          <a:schemeClr val="tx1"/>
                        </a:solidFill>
                        <a:latin typeface="Cambria Math" panose="02040503050406030204" pitchFamily="18" charset="0"/>
                      </a:rPr>
                      <m:t>=</m:t>
                    </m:r>
                    <m:f>
                      <m:fPr>
                        <m:ctrlPr>
                          <a:rPr lang="en-US" sz="1100" b="0" i="1">
                            <a:solidFill>
                              <a:schemeClr val="tx1"/>
                            </a:solidFill>
                            <a:latin typeface="Cambria Math" panose="02040503050406030204" pitchFamily="18" charset="0"/>
                          </a:rPr>
                        </m:ctrlPr>
                      </m:fPr>
                      <m:num>
                        <m:r>
                          <a:rPr lang="en-US" sz="1100" b="0" i="1">
                            <a:solidFill>
                              <a:schemeClr val="tx1"/>
                            </a:solidFill>
                            <a:latin typeface="Cambria Math" panose="02040503050406030204" pitchFamily="18" charset="0"/>
                          </a:rPr>
                          <m:t>1</m:t>
                        </m:r>
                      </m:num>
                      <m:den>
                        <m:r>
                          <a:rPr lang="en-US" sz="1100" b="0" i="1">
                            <a:solidFill>
                              <a:schemeClr val="tx1"/>
                            </a:solidFill>
                            <a:latin typeface="Cambria Math" panose="02040503050406030204" pitchFamily="18" charset="0"/>
                          </a:rPr>
                          <m:t>𝑛</m:t>
                        </m:r>
                      </m:den>
                    </m:f>
                    <m:r>
                      <a:rPr lang="en-US" sz="1100" b="0" i="1">
                        <a:solidFill>
                          <a:schemeClr val="tx1"/>
                        </a:solidFill>
                        <a:latin typeface="Cambria Math" panose="02040503050406030204" pitchFamily="18" charset="0"/>
                        <a:ea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a:rPr lang="en-US" sz="1100" b="0" i="1">
                            <a:solidFill>
                              <a:schemeClr val="tx1"/>
                            </a:solidFill>
                            <a:latin typeface="Cambria Math" panose="02040503050406030204" pitchFamily="18" charset="0"/>
                          </a:rPr>
                          <m:t>𝑆𝑖𝑚</m:t>
                        </m:r>
                      </m:sub>
                      <m:sup/>
                      <m:e>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𝐸</m:t>
                            </m:r>
                          </m:e>
                          <m:sub>
                            <m:r>
                              <a:rPr lang="en-US" sz="1100" b="0" i="1">
                                <a:solidFill>
                                  <a:schemeClr val="tx1"/>
                                </a:solidFill>
                                <a:latin typeface="Cambria Math" panose="02040503050406030204" pitchFamily="18" charset="0"/>
                              </a:rPr>
                              <m:t>𝐵𝑒𝑠𝑡</m:t>
                            </m:r>
                          </m:sub>
                          <m:sup>
                            <m:r>
                              <a:rPr lang="en-US" sz="1100" b="0" i="1">
                                <a:solidFill>
                                  <a:schemeClr val="tx1"/>
                                </a:solidFill>
                                <a:latin typeface="Cambria Math" panose="02040503050406030204" pitchFamily="18" charset="0"/>
                              </a:rPr>
                              <m:t>𝑠𝑖𝑚</m:t>
                            </m:r>
                          </m:sup>
                        </m:sSubSup>
                      </m:e>
                    </m:nary>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139789DC-D0ED-E043-B804-36784E98DBA7}"/>
                </a:ext>
              </a:extLst>
            </xdr:cNvPr>
            <xdr:cNvSpPr txBox="1"/>
          </xdr:nvSpPr>
          <xdr:spPr>
            <a:xfrm>
              <a:off x="1248833" y="14022916"/>
              <a:ext cx="1373774" cy="5032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𝐸_𝐵𝑒𝑠𝑡=1/𝑛</a:t>
              </a:r>
              <a:r>
                <a:rPr lang="en-US" sz="1100" b="0" i="0">
                  <a:solidFill>
                    <a:schemeClr val="tx1"/>
                  </a:solidFill>
                  <a:latin typeface="Cambria Math" panose="02040503050406030204" pitchFamily="18" charset="0"/>
                  <a:ea typeface="Cambria Math" panose="02040503050406030204" pitchFamily="18" charset="0"/>
                </a:rPr>
                <a:t>×</a:t>
              </a:r>
              <a:r>
                <a:rPr lang="en-US" sz="1100" b="0" i="0">
                  <a:solidFill>
                    <a:schemeClr val="tx1"/>
                  </a:solidFill>
                  <a:latin typeface="Cambria Math" panose="02040503050406030204" pitchFamily="18" charset="0"/>
                </a:rPr>
                <a:t>∑_𝑆𝑖𝑚▒𝐸_𝐵𝑒𝑠𝑡^𝑠𝑖𝑚 </a:t>
              </a:r>
              <a:endParaRPr lang="en-US" sz="1100">
                <a:solidFill>
                  <a:schemeClr val="tx1"/>
                </a:solidFill>
              </a:endParaRPr>
            </a:p>
          </xdr:txBody>
        </xdr:sp>
      </mc:Fallback>
    </mc:AlternateContent>
    <xdr:clientData/>
  </xdr:oneCellAnchor>
  <xdr:oneCellAnchor>
    <xdr:from>
      <xdr:col>4</xdr:col>
      <xdr:colOff>105832</xdr:colOff>
      <xdr:row>31</xdr:row>
      <xdr:rowOff>63501</xdr:rowOff>
    </xdr:from>
    <xdr:ext cx="3873499" cy="288092"/>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C742CA7-C175-384C-AA5F-F1E5E91D3792}"/>
                </a:ext>
              </a:extLst>
            </xdr:cNvPr>
            <xdr:cNvSpPr txBox="1"/>
          </xdr:nvSpPr>
          <xdr:spPr>
            <a:xfrm>
              <a:off x="3524249" y="6392334"/>
              <a:ext cx="3873499" cy="288092"/>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𝐼𝑛𝑐</m:t>
                        </m:r>
                        <m:r>
                          <a:rPr lang="en-US" sz="1100" b="0" i="1">
                            <a:solidFill>
                              <a:schemeClr val="tx1"/>
                            </a:solidFill>
                            <a:latin typeface="Cambria Math" panose="02040503050406030204" pitchFamily="18" charset="0"/>
                            <a:ea typeface="Cambria Math" panose="02040503050406030204" pitchFamily="18" charset="0"/>
                          </a:rPr>
                          <m:t> </m:t>
                        </m:r>
                        <m:r>
                          <a:rPr lang="en-US" sz="1100" b="0" i="1">
                            <a:solidFill>
                              <a:schemeClr val="tx1"/>
                            </a:solidFill>
                            <a:latin typeface="Cambria Math" panose="02040503050406030204" pitchFamily="18" charset="0"/>
                            <a:ea typeface="Cambria Math" panose="02040503050406030204" pitchFamily="18" charset="0"/>
                          </a:rPr>
                          <m:t>𝑃𝑎𝑖𝑑</m:t>
                        </m:r>
                      </m:e>
                      <m:sub>
                        <m:r>
                          <a:rPr lang="en-US" sz="1100" b="0" i="1">
                            <a:solidFill>
                              <a:schemeClr val="tx1"/>
                            </a:solidFill>
                            <a:latin typeface="Cambria Math" panose="02040503050406030204" pitchFamily="18" charset="0"/>
                            <a:ea typeface="Cambria Math" panose="02040503050406030204" pitchFamily="18" charset="0"/>
                          </a:rPr>
                          <m:t>𝐴𝑌</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𝑑𝑒𝑣</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𝐸</m:t>
                    </m:r>
                    <m:d>
                      <m:dPr>
                        <m:begChr m:val="["/>
                        <m:endChr m:val="]"/>
                        <m:ctrlPr>
                          <a:rPr lang="en-US" sz="1100" b="0" i="1">
                            <a:solidFill>
                              <a:schemeClr val="tx1"/>
                            </a:solidFill>
                            <a:latin typeface="Cambria Math" panose="02040503050406030204" pitchFamily="18" charset="0"/>
                            <a:ea typeface="Cambria Math" panose="02040503050406030204" pitchFamily="18" charset="0"/>
                          </a:rPr>
                        </m:ctrlPr>
                      </m:dPr>
                      <m:e>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𝐶𝑢𝑚</m:t>
                            </m:r>
                            <m:r>
                              <a:rPr lang="en-US" sz="1100" b="0" i="1">
                                <a:solidFill>
                                  <a:schemeClr val="tx1"/>
                                </a:solidFill>
                                <a:latin typeface="Cambria Math" panose="02040503050406030204" pitchFamily="18" charset="0"/>
                                <a:ea typeface="Cambria Math" panose="02040503050406030204" pitchFamily="18" charset="0"/>
                              </a:rPr>
                              <m:t> </m:t>
                            </m:r>
                            <m:r>
                              <a:rPr lang="en-US" sz="1100" b="0" i="1">
                                <a:solidFill>
                                  <a:schemeClr val="tx1"/>
                                </a:solidFill>
                                <a:latin typeface="Cambria Math" panose="02040503050406030204" pitchFamily="18" charset="0"/>
                                <a:ea typeface="Cambria Math" panose="02040503050406030204" pitchFamily="18" charset="0"/>
                              </a:rPr>
                              <m:t>𝑃𝑎𝑖𝑑</m:t>
                            </m:r>
                          </m:e>
                          <m:sub>
                            <m:r>
                              <a:rPr lang="en-US" sz="1100" b="0" i="1">
                                <a:solidFill>
                                  <a:schemeClr val="tx1"/>
                                </a:solidFill>
                                <a:latin typeface="Cambria Math" panose="02040503050406030204" pitchFamily="18" charset="0"/>
                                <a:ea typeface="Cambria Math" panose="02040503050406030204" pitchFamily="18" charset="0"/>
                              </a:rPr>
                              <m:t>𝐴𝑌</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𝑑𝑒𝑣</m:t>
                            </m:r>
                          </m:sub>
                          <m:sup>
                            <m:r>
                              <a:rPr lang="en-US" sz="1100" b="0" i="1">
                                <a:solidFill>
                                  <a:schemeClr val="tx1"/>
                                </a:solidFill>
                                <a:latin typeface="Cambria Math" panose="02040503050406030204" pitchFamily="18" charset="0"/>
                                <a:ea typeface="Cambria Math" panose="02040503050406030204" pitchFamily="18" charset="0"/>
                              </a:rPr>
                              <m:t>𝑠𝑖𝑚</m:t>
                            </m:r>
                          </m:sup>
                        </m:sSubSup>
                      </m:e>
                    </m:d>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𝐸</m:t>
                    </m:r>
                    <m:r>
                      <a:rPr lang="en-US" sz="1100" b="0" i="1">
                        <a:solidFill>
                          <a:schemeClr val="tx1"/>
                        </a:solidFill>
                        <a:latin typeface="Cambria Math" panose="02040503050406030204" pitchFamily="18" charset="0"/>
                        <a:ea typeface="Cambria Math" panose="02040503050406030204" pitchFamily="18" charset="0"/>
                      </a:rPr>
                      <m:t>[</m:t>
                    </m:r>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𝐶𝑢𝑚</m:t>
                        </m:r>
                        <m:r>
                          <a:rPr lang="en-US" sz="1100" b="0" i="1">
                            <a:solidFill>
                              <a:schemeClr val="tx1"/>
                            </a:solidFill>
                            <a:latin typeface="Cambria Math" panose="02040503050406030204" pitchFamily="18" charset="0"/>
                            <a:ea typeface="Cambria Math" panose="02040503050406030204" pitchFamily="18" charset="0"/>
                          </a:rPr>
                          <m:t> </m:t>
                        </m:r>
                        <m:r>
                          <a:rPr lang="en-US" sz="1100" b="0" i="1">
                            <a:solidFill>
                              <a:schemeClr val="tx1"/>
                            </a:solidFill>
                            <a:latin typeface="Cambria Math" panose="02040503050406030204" pitchFamily="18" charset="0"/>
                            <a:ea typeface="Cambria Math" panose="02040503050406030204" pitchFamily="18" charset="0"/>
                          </a:rPr>
                          <m:t>𝑃𝑎𝑖𝑑</m:t>
                        </m:r>
                      </m:e>
                      <m:sub>
                        <m:r>
                          <a:rPr lang="en-US" sz="1100" b="0" i="1">
                            <a:solidFill>
                              <a:schemeClr val="tx1"/>
                            </a:solidFill>
                            <a:latin typeface="Cambria Math" panose="02040503050406030204" pitchFamily="18" charset="0"/>
                            <a:ea typeface="Cambria Math" panose="02040503050406030204" pitchFamily="18" charset="0"/>
                          </a:rPr>
                          <m:t>𝐴𝑌</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𝑑𝑒𝑣</m:t>
                        </m:r>
                        <m:r>
                          <a:rPr lang="en-US" sz="1100" b="0" i="1">
                            <a:solidFill>
                              <a:schemeClr val="tx1"/>
                            </a:solidFill>
                            <a:latin typeface="Cambria Math" panose="02040503050406030204" pitchFamily="18" charset="0"/>
                            <a:ea typeface="Cambria Math" panose="02040503050406030204" pitchFamily="18" charset="0"/>
                          </a:rPr>
                          <m:t>−1</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ea typeface="Cambria Math" panose="02040503050406030204" pitchFamily="18" charset="0"/>
                      </a:rPr>
                      <m:t>]</m:t>
                    </m:r>
                  </m:oMath>
                </m:oMathPara>
              </a14:m>
              <a:endParaRPr lang="en-US" sz="1100">
                <a:solidFill>
                  <a:schemeClr val="tx1"/>
                </a:solidFill>
              </a:endParaRPr>
            </a:p>
          </xdr:txBody>
        </xdr:sp>
      </mc:Choice>
      <mc:Fallback xmlns="">
        <xdr:sp macro="" textlink="">
          <xdr:nvSpPr>
            <xdr:cNvPr id="18" name="TextBox 17">
              <a:extLst>
                <a:ext uri="{FF2B5EF4-FFF2-40B4-BE49-F238E27FC236}">
                  <a16:creationId xmlns:a16="http://schemas.microsoft.com/office/drawing/2014/main" id="{1C742CA7-C175-384C-AA5F-F1E5E91D3792}"/>
                </a:ext>
              </a:extLst>
            </xdr:cNvPr>
            <xdr:cNvSpPr txBox="1"/>
          </xdr:nvSpPr>
          <xdr:spPr>
            <a:xfrm>
              <a:off x="3524249" y="6392334"/>
              <a:ext cx="3873499" cy="288092"/>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ea typeface="Cambria Math" panose="02040503050406030204" pitchFamily="18" charset="0"/>
                </a:rPr>
                <a:t>〖𝐼𝑛𝑐 𝑃𝑎𝑖𝑑〗_(𝐴𝑌,𝑑𝑒𝑣)^𝑠𝑖𝑚</a:t>
              </a:r>
              <a:r>
                <a:rPr lang="en-US" sz="1100" b="0" i="0">
                  <a:solidFill>
                    <a:schemeClr val="tx1"/>
                  </a:solidFill>
                  <a:latin typeface="Cambria Math" panose="02040503050406030204" pitchFamily="18" charset="0"/>
                </a:rPr>
                <a:t>=</a:t>
              </a:r>
              <a:r>
                <a:rPr lang="en-US" sz="1100" b="0" i="0">
                  <a:solidFill>
                    <a:schemeClr val="tx1"/>
                  </a:solidFill>
                  <a:latin typeface="Cambria Math" panose="02040503050406030204" pitchFamily="18" charset="0"/>
                  <a:ea typeface="Cambria Math" panose="02040503050406030204" pitchFamily="18" charset="0"/>
                </a:rPr>
                <a:t>𝐸[〖𝐶𝑢𝑚 𝑃𝑎𝑖𝑑〗_(𝐴𝑌,𝑑𝑒𝑣)^𝑠𝑖𝑚 ]−𝐸[〖𝐶𝑢𝑚 𝑃𝑎𝑖𝑑〗_(𝐴𝑌,𝑑𝑒𝑣−1)^𝑠𝑖𝑚]</a:t>
              </a:r>
              <a:endParaRPr lang="en-US" sz="1100">
                <a:solidFill>
                  <a:schemeClr val="tx1"/>
                </a:solidFill>
              </a:endParaRPr>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1</xdr:col>
      <xdr:colOff>201084</xdr:colOff>
      <xdr:row>25</xdr:row>
      <xdr:rowOff>148166</xdr:rowOff>
    </xdr:from>
    <xdr:ext cx="1306127" cy="26443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AAE2EE-7AB8-6F40-8DB4-23DDFD2A0BC7}"/>
                </a:ext>
              </a:extLst>
            </xdr:cNvPr>
            <xdr:cNvSpPr txBox="1"/>
          </xdr:nvSpPr>
          <xdr:spPr>
            <a:xfrm>
              <a:off x="1026584" y="5302249"/>
              <a:ext cx="130612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𝐾</m:t>
                        </m:r>
                      </m:e>
                      <m:sub>
                        <m:r>
                          <a:rPr lang="en-US" sz="1100" b="0" i="1">
                            <a:latin typeface="Cambria Math" panose="02040503050406030204" pitchFamily="18" charset="0"/>
                          </a:rPr>
                          <m:t>𝑡</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𝑇𝑉𝑎𝑅</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𝛼</m:t>
                    </m:r>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𝐸</m:t>
                        </m:r>
                      </m:e>
                      <m:sub>
                        <m:r>
                          <a:rPr lang="en-US" sz="1100" b="0" i="1">
                            <a:latin typeface="Cambria Math" panose="02040503050406030204" pitchFamily="18" charset="0"/>
                            <a:ea typeface="Cambria Math" panose="02040503050406030204" pitchFamily="18" charset="0"/>
                          </a:rPr>
                          <m:t>𝑡</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3BAAE2EE-7AB8-6F40-8DB4-23DDFD2A0BC7}"/>
                </a:ext>
              </a:extLst>
            </xdr:cNvPr>
            <xdr:cNvSpPr txBox="1"/>
          </xdr:nvSpPr>
          <xdr:spPr>
            <a:xfrm>
              <a:off x="1026584" y="5302249"/>
              <a:ext cx="130612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𝐾_𝑡</a:t>
              </a:r>
              <a:r>
                <a:rPr lang="en-US" sz="1100" b="0" i="0">
                  <a:latin typeface="Cambria Math" panose="02040503050406030204" pitchFamily="18" charset="0"/>
                  <a:ea typeface="Cambria Math" panose="02040503050406030204" pitchFamily="18" charset="0"/>
                </a:rPr>
                <a:t>≡𝑇𝑉𝑎𝑅@𝛼−𝐸_𝑡</a:t>
              </a:r>
              <a:endParaRPr lang="en-US" sz="1100"/>
            </a:p>
          </xdr:txBody>
        </xdr:sp>
      </mc:Fallback>
    </mc:AlternateContent>
    <xdr:clientData/>
  </xdr:oneCellAnchor>
  <xdr:oneCellAnchor>
    <xdr:from>
      <xdr:col>1</xdr:col>
      <xdr:colOff>264584</xdr:colOff>
      <xdr:row>33</xdr:row>
      <xdr:rowOff>148167</xdr:rowOff>
    </xdr:from>
    <xdr:ext cx="2262927" cy="56284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F02E84A-80F2-6440-B89A-D126C4418C08}"/>
                </a:ext>
              </a:extLst>
            </xdr:cNvPr>
            <xdr:cNvSpPr txBox="1"/>
          </xdr:nvSpPr>
          <xdr:spPr>
            <a:xfrm>
              <a:off x="1090084" y="6741584"/>
              <a:ext cx="2262927" cy="5628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𝐶𝑂𝐶</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𝐾</m:t>
                        </m:r>
                      </m:e>
                      <m:sub>
                        <m:r>
                          <a:rPr lang="en-US" sz="1100" b="0" i="1">
                            <a:latin typeface="Cambria Math" panose="02040503050406030204" pitchFamily="18" charset="0"/>
                          </a:rPr>
                          <m:t>0</m:t>
                        </m:r>
                      </m:sub>
                    </m:sSub>
                    <m:r>
                      <a:rPr lang="en-US" sz="1100" b="0" i="1">
                        <a:latin typeface="Cambria Math" panose="02040503050406030204" pitchFamily="18" charset="0"/>
                      </a:rPr>
                      <m:t>−</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𝑡</m:t>
                        </m:r>
                        <m:r>
                          <a:rPr lang="en-US" sz="1100" b="0" i="1">
                            <a:latin typeface="Cambria Math" panose="02040503050406030204" pitchFamily="18" charset="0"/>
                          </a:rPr>
                          <m:t>=1</m:t>
                        </m:r>
                      </m:sub>
                      <m:sup>
                        <m:r>
                          <a:rPr lang="en-US" sz="1100" b="0" i="1">
                            <a:latin typeface="Cambria Math" panose="02040503050406030204" pitchFamily="18" charset="0"/>
                          </a:rPr>
                          <m:t>𝑢</m:t>
                        </m:r>
                        <m:r>
                          <a:rPr lang="en-US" sz="1100" b="0" i="1">
                            <a:latin typeface="Cambria Math" panose="02040503050406030204" pitchFamily="18" charset="0"/>
                          </a:rPr>
                          <m:t>+1</m:t>
                        </m:r>
                      </m:sup>
                      <m:e>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𝐾</m:t>
                                </m:r>
                              </m:e>
                              <m:sub>
                                <m:r>
                                  <a:rPr lang="en-US" sz="1100" b="0" i="1">
                                    <a:latin typeface="Cambria Math" panose="02040503050406030204" pitchFamily="18" charset="0"/>
                                  </a:rPr>
                                  <m:t>𝑡</m:t>
                                </m:r>
                                <m:r>
                                  <a:rPr lang="en-US" sz="1100" b="0" i="1">
                                    <a:latin typeface="Cambria Math" panose="02040503050406030204" pitchFamily="18" charset="0"/>
                                  </a:rPr>
                                  <m:t>−1</m:t>
                                </m:r>
                              </m:sub>
                            </m:sSub>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𝑖</m:t>
                                </m:r>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𝐾</m:t>
                                </m:r>
                              </m:e>
                              <m:sub>
                                <m:r>
                                  <a:rPr lang="en-US" sz="1100" b="0" i="1">
                                    <a:latin typeface="Cambria Math" panose="02040503050406030204" pitchFamily="18" charset="0"/>
                                    <a:ea typeface="Cambria Math" panose="02040503050406030204" pitchFamily="18" charset="0"/>
                                  </a:rPr>
                                  <m:t>𝑡</m:t>
                                </m:r>
                              </m:sub>
                            </m:sSub>
                            <m:r>
                              <a:rPr lang="en-US" sz="1100" b="0" i="1">
                                <a:latin typeface="Cambria Math" panose="02040503050406030204" pitchFamily="18" charset="0"/>
                              </a:rPr>
                              <m:t> </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𝑡</m:t>
                                </m:r>
                              </m:sup>
                            </m:sSup>
                          </m:den>
                        </m:f>
                      </m:e>
                    </m:nary>
                  </m:oMath>
                </m:oMathPara>
              </a14:m>
              <a:endParaRPr lang="en-US" sz="1100"/>
            </a:p>
          </xdr:txBody>
        </xdr:sp>
      </mc:Choice>
      <mc:Fallback xmlns="">
        <xdr:sp macro="" textlink="">
          <xdr:nvSpPr>
            <xdr:cNvPr id="3" name="TextBox 2">
              <a:extLst>
                <a:ext uri="{FF2B5EF4-FFF2-40B4-BE49-F238E27FC236}">
                  <a16:creationId xmlns:a16="http://schemas.microsoft.com/office/drawing/2014/main" id="{6F02E84A-80F2-6440-B89A-D126C4418C08}"/>
                </a:ext>
              </a:extLst>
            </xdr:cNvPr>
            <xdr:cNvSpPr txBox="1"/>
          </xdr:nvSpPr>
          <xdr:spPr>
            <a:xfrm>
              <a:off x="1090084" y="6741584"/>
              <a:ext cx="2262927" cy="5628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𝑅_𝐶𝑂𝐶=𝐾_0−∑24_(𝑡=1)^(𝑢+1)▒(𝐾_(𝑡−1)</a:t>
              </a:r>
              <a:r>
                <a:rPr lang="en-US" sz="1100" b="0" i="0">
                  <a:latin typeface="Cambria Math" panose="02040503050406030204" pitchFamily="18" charset="0"/>
                  <a:ea typeface="Cambria Math" panose="02040503050406030204" pitchFamily="18" charset="0"/>
                </a:rPr>
                <a:t>×(1+𝑖)−𝐾_𝑡 </a:t>
              </a:r>
              <a:r>
                <a:rPr lang="en-US" sz="1100" b="0" i="0">
                  <a:latin typeface="Cambria Math" panose="02040503050406030204" pitchFamily="18" charset="0"/>
                </a:rPr>
                <a:t> )/(1+𝑟)^𝑡 </a:t>
              </a:r>
              <a:endParaRPr lang="en-US" sz="1100"/>
            </a:p>
          </xdr:txBody>
        </xdr:sp>
      </mc:Fallback>
    </mc:AlternateContent>
    <xdr:clientData/>
  </xdr:oneCellAnchor>
  <xdr:oneCellAnchor>
    <xdr:from>
      <xdr:col>4</xdr:col>
      <xdr:colOff>116417</xdr:colOff>
      <xdr:row>25</xdr:row>
      <xdr:rowOff>127001</xdr:rowOff>
    </xdr:from>
    <xdr:ext cx="2625462" cy="26443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AF1F4-A0DF-C848-8CF0-A7CBC90DE9DD}"/>
                </a:ext>
              </a:extLst>
            </xdr:cNvPr>
            <xdr:cNvSpPr txBox="1"/>
          </xdr:nvSpPr>
          <xdr:spPr>
            <a:xfrm>
              <a:off x="3534834" y="5281084"/>
              <a:ext cx="2625462"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𝐶𝑎𝑝𝑖𝑡𝑎𝑙</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𝑇𝑉𝑎𝑅</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𝛼</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𝑈𝑙𝑡</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𝐿𝑜𝑠𝑠</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𝐸𝑠𝑡𝑖𝑚𝑎𝑡𝑒</m:t>
                    </m:r>
                  </m:oMath>
                </m:oMathPara>
              </a14:m>
              <a:endParaRPr lang="en-US" sz="1100"/>
            </a:p>
          </xdr:txBody>
        </xdr:sp>
      </mc:Choice>
      <mc:Fallback xmlns="">
        <xdr:sp macro="" textlink="">
          <xdr:nvSpPr>
            <xdr:cNvPr id="4" name="TextBox 3">
              <a:extLst>
                <a:ext uri="{FF2B5EF4-FFF2-40B4-BE49-F238E27FC236}">
                  <a16:creationId xmlns:a16="http://schemas.microsoft.com/office/drawing/2014/main" id="{7A5AF1F4-A0DF-C848-8CF0-A7CBC90DE9DD}"/>
                </a:ext>
              </a:extLst>
            </xdr:cNvPr>
            <xdr:cNvSpPr txBox="1"/>
          </xdr:nvSpPr>
          <xdr:spPr>
            <a:xfrm>
              <a:off x="3534834" y="5281084"/>
              <a:ext cx="2625462"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𝐶𝑎𝑝𝑖𝑡𝑎𝑙</a:t>
              </a:r>
              <a:r>
                <a:rPr lang="en-US" sz="1100" b="0" i="0">
                  <a:latin typeface="Cambria Math" panose="02040503050406030204" pitchFamily="18" charset="0"/>
                  <a:ea typeface="Cambria Math" panose="02040503050406030204" pitchFamily="18" charset="0"/>
                </a:rPr>
                <a:t>≡𝑇𝑉𝑎𝑅@𝛼−𝑈𝑙𝑡 𝐿𝑜𝑠𝑠 𝐸𝑠𝑡𝑖𝑚𝑎𝑡𝑒</a:t>
              </a:r>
              <a:endParaRPr lang="en-US" sz="1100"/>
            </a:p>
          </xdr:txBody>
        </xdr:sp>
      </mc:Fallback>
    </mc:AlternateContent>
    <xdr:clientData/>
  </xdr:oneCellAnchor>
  <xdr:oneCellAnchor>
    <xdr:from>
      <xdr:col>4</xdr:col>
      <xdr:colOff>751417</xdr:colOff>
      <xdr:row>34</xdr:row>
      <xdr:rowOff>10584</xdr:rowOff>
    </xdr:from>
    <xdr:ext cx="3450688" cy="50308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72BFF66-D399-F84F-8F22-86231E4E89B6}"/>
                </a:ext>
              </a:extLst>
            </xdr:cNvPr>
            <xdr:cNvSpPr txBox="1"/>
          </xdr:nvSpPr>
          <xdr:spPr>
            <a:xfrm>
              <a:off x="4169834" y="7207251"/>
              <a:ext cx="3450688" cy="5030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𝑅𝑖𝑠𝑘</m:t>
                    </m:r>
                    <m:r>
                      <a:rPr lang="en-US" sz="1100" b="0" i="1">
                        <a:latin typeface="Cambria Math" panose="02040503050406030204" pitchFamily="18" charset="0"/>
                      </a:rPr>
                      <m:t> </m:t>
                    </m:r>
                    <m:r>
                      <a:rPr lang="en-US" sz="1100" b="0" i="1">
                        <a:latin typeface="Cambria Math" panose="02040503050406030204" pitchFamily="18" charset="0"/>
                      </a:rPr>
                      <m:t>𝑀𝑎𝑟𝑔𝑖𝑛</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𝐶𝑎𝑝𝑖𝑡𝑎𝑙</m:t>
                        </m:r>
                      </m:e>
                      <m:sub>
                        <m:r>
                          <a:rPr lang="en-US" sz="1100" b="0" i="1">
                            <a:latin typeface="Cambria Math" panose="02040503050406030204" pitchFamily="18" charset="0"/>
                          </a:rPr>
                          <m:t>𝐼𝑛𝑖𝑡𝑖𝑎𝑙</m:t>
                        </m:r>
                      </m:sub>
                    </m:sSub>
                    <m:r>
                      <a:rPr lang="en-US" sz="1100" b="0" i="1">
                        <a:latin typeface="Cambria Math" panose="02040503050406030204" pitchFamily="18" charset="0"/>
                      </a:rPr>
                      <m:t>−</m:t>
                    </m:r>
                    <m:nary>
                      <m:naryPr>
                        <m:chr m:val="∑"/>
                        <m:supHide m:val="on"/>
                        <m:ctrlPr>
                          <a:rPr lang="en-US" sz="1100" b="0" i="1">
                            <a:latin typeface="Cambria Math" panose="02040503050406030204" pitchFamily="18" charset="0"/>
                          </a:rPr>
                        </m:ctrlPr>
                      </m:naryPr>
                      <m:sub>
                        <m:r>
                          <a:rPr lang="en-US" sz="1100" b="0" i="1">
                            <a:latin typeface="Cambria Math" panose="02040503050406030204" pitchFamily="18" charset="0"/>
                          </a:rPr>
                          <m:t>𝐶𝑌</m:t>
                        </m:r>
                      </m:sub>
                      <m:sup/>
                      <m:e>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𝑅𝑒𝑙𝑒𝑎𝑠𝑒𝑑</m:t>
                                </m:r>
                                <m:r>
                                  <a:rPr lang="en-US" sz="1100" b="0" i="1">
                                    <a:latin typeface="Cambria Math" panose="02040503050406030204" pitchFamily="18" charset="0"/>
                                  </a:rPr>
                                  <m:t> </m:t>
                                </m:r>
                                <m:r>
                                  <a:rPr lang="en-US" sz="1100" b="0" i="1">
                                    <a:latin typeface="Cambria Math" panose="02040503050406030204" pitchFamily="18" charset="0"/>
                                  </a:rPr>
                                  <m:t>𝐶𝑎𝑝𝑖𝑡𝑎𝑙</m:t>
                                </m:r>
                              </m:e>
                              <m:sub>
                                <m:r>
                                  <a:rPr lang="en-US" sz="1100" b="0" i="1">
                                    <a:latin typeface="Cambria Math" panose="02040503050406030204" pitchFamily="18" charset="0"/>
                                  </a:rPr>
                                  <m:t>𝑡</m:t>
                                </m:r>
                              </m:sub>
                            </m:sSub>
                            <m:r>
                              <a:rPr lang="en-US" sz="1100" b="0" i="1">
                                <a:latin typeface="Cambria Math" panose="02040503050406030204" pitchFamily="18" charset="0"/>
                              </a:rPr>
                              <m:t> </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𝑟𝑖𝑠𝑘𝑦</m:t>
                                    </m:r>
                                    <m:r>
                                      <a:rPr lang="en-US" sz="1100" b="0" i="1">
                                        <a:latin typeface="Cambria Math" panose="02040503050406030204" pitchFamily="18" charset="0"/>
                                      </a:rPr>
                                      <m:t> </m:t>
                                    </m:r>
                                    <m:r>
                                      <a:rPr lang="en-US" sz="1100" b="0" i="1">
                                        <a:latin typeface="Cambria Math" panose="02040503050406030204" pitchFamily="18" charset="0"/>
                                      </a:rPr>
                                      <m:t>𝑟𝑎𝑡𝑒</m:t>
                                    </m:r>
                                  </m:e>
                                </m:d>
                              </m:e>
                              <m:sup>
                                <m:r>
                                  <a:rPr lang="en-US" sz="1100" b="0" i="1">
                                    <a:latin typeface="Cambria Math" panose="02040503050406030204" pitchFamily="18" charset="0"/>
                                  </a:rPr>
                                  <m:t>𝐶𝑌</m:t>
                                </m:r>
                              </m:sup>
                            </m:sSup>
                          </m:den>
                        </m:f>
                      </m:e>
                    </m:nary>
                  </m:oMath>
                </m:oMathPara>
              </a14:m>
              <a:endParaRPr lang="en-US" sz="1100"/>
            </a:p>
          </xdr:txBody>
        </xdr:sp>
      </mc:Choice>
      <mc:Fallback xmlns="">
        <xdr:sp macro="" textlink="">
          <xdr:nvSpPr>
            <xdr:cNvPr id="5" name="TextBox 4">
              <a:extLst>
                <a:ext uri="{FF2B5EF4-FFF2-40B4-BE49-F238E27FC236}">
                  <a16:creationId xmlns:a16="http://schemas.microsoft.com/office/drawing/2014/main" id="{572BFF66-D399-F84F-8F22-86231E4E89B6}"/>
                </a:ext>
              </a:extLst>
            </xdr:cNvPr>
            <xdr:cNvSpPr txBox="1"/>
          </xdr:nvSpPr>
          <xdr:spPr>
            <a:xfrm>
              <a:off x="4169834" y="7207251"/>
              <a:ext cx="3450688" cy="5030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𝑅𝑖𝑠𝑘 𝑀𝑎𝑟𝑔𝑖𝑛=〖𝐶𝑎𝑝𝑖𝑡𝑎𝑙〗_𝐼𝑛𝑖𝑡𝑖𝑎𝑙−∑_𝐶𝑌▒(〖𝑅𝑒𝑙𝑒𝑎𝑠𝑒𝑑 𝐶𝑎𝑝𝑖𝑡𝑎𝑙〗_𝑡  )/(1+𝑟𝑖𝑠𝑘𝑦 𝑟𝑎𝑡𝑒)^𝐶𝑌 </a:t>
              </a:r>
              <a:endParaRPr lang="en-US" sz="1100"/>
            </a:p>
          </xdr:txBody>
        </xdr:sp>
      </mc:Fallback>
    </mc:AlternateContent>
    <xdr:clientData/>
  </xdr:oneCellAnchor>
  <xdr:oneCellAnchor>
    <xdr:from>
      <xdr:col>1</xdr:col>
      <xdr:colOff>381001</xdr:colOff>
      <xdr:row>48</xdr:row>
      <xdr:rowOff>158750</xdr:rowOff>
    </xdr:from>
    <xdr:ext cx="1963743" cy="55457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B8D538A-8B62-7248-B01C-506F9BFD6274}"/>
                </a:ext>
              </a:extLst>
            </xdr:cNvPr>
            <xdr:cNvSpPr txBox="1"/>
          </xdr:nvSpPr>
          <xdr:spPr>
            <a:xfrm>
              <a:off x="1206501" y="9800167"/>
              <a:ext cx="1963743" cy="5545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𝐶𝑂𝐶</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𝑟</m:t>
                        </m:r>
                        <m:r>
                          <a:rPr lang="en-US" sz="1100" b="0" i="1">
                            <a:latin typeface="Cambria Math" panose="02040503050406030204" pitchFamily="18" charset="0"/>
                          </a:rPr>
                          <m:t>−</m:t>
                        </m:r>
                        <m:r>
                          <a:rPr lang="en-US" sz="1100" b="0" i="1">
                            <a:latin typeface="Cambria Math" panose="02040503050406030204" pitchFamily="18" charset="0"/>
                          </a:rPr>
                          <m:t>𝑖</m:t>
                        </m:r>
                      </m:e>
                    </m:d>
                    <m:r>
                      <a:rPr lang="en-US" sz="1100" b="0" i="1">
                        <a:latin typeface="Cambria Math" panose="02040503050406030204" pitchFamily="18" charset="0"/>
                        <a:ea typeface="Cambria Math" panose="02040503050406030204" pitchFamily="18" charset="0"/>
                      </a:rPr>
                      <m:t>×</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𝑡</m:t>
                        </m:r>
                        <m:r>
                          <a:rPr lang="en-US" sz="1100" b="0" i="1">
                            <a:latin typeface="Cambria Math" panose="02040503050406030204" pitchFamily="18" charset="0"/>
                          </a:rPr>
                          <m:t>=0</m:t>
                        </m:r>
                      </m:sub>
                      <m:sup>
                        <m:r>
                          <a:rPr lang="en-US" sz="1100" b="0" i="1">
                            <a:latin typeface="Cambria Math" panose="02040503050406030204" pitchFamily="18" charset="0"/>
                          </a:rPr>
                          <m:t>𝑢</m:t>
                        </m:r>
                      </m:sup>
                      <m:e>
                        <m:f>
                          <m:fPr>
                            <m:ctrlPr>
                              <a:rPr lang="en-US" sz="1100" b="0" i="1">
                                <a:latin typeface="Cambria Math" panose="02040503050406030204" pitchFamily="18" charset="0"/>
                                <a:ea typeface="Cambria Math" panose="02040503050406030204" pitchFamily="18" charset="0"/>
                              </a:rPr>
                            </m:ctrlPr>
                          </m:fPr>
                          <m:num>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𝐾</m:t>
                                </m:r>
                              </m:e>
                              <m:sub>
                                <m:r>
                                  <a:rPr lang="en-US" sz="1100" b="0" i="1">
                                    <a:latin typeface="Cambria Math" panose="02040503050406030204" pitchFamily="18" charset="0"/>
                                    <a:ea typeface="Cambria Math" panose="02040503050406030204" pitchFamily="18" charset="0"/>
                                  </a:rPr>
                                  <m:t>𝑡</m:t>
                                </m:r>
                              </m:sub>
                            </m:sSub>
                            <m:r>
                              <a:rPr lang="en-US" sz="1100" b="0" i="1">
                                <a:latin typeface="Cambria Math" panose="02040503050406030204" pitchFamily="18" charset="0"/>
                              </a:rPr>
                              <m:t> </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𝑡</m:t>
                                </m:r>
                                <m:r>
                                  <a:rPr lang="en-US" sz="1100" b="0" i="1">
                                    <a:latin typeface="Cambria Math" panose="02040503050406030204" pitchFamily="18" charset="0"/>
                                  </a:rPr>
                                  <m:t>+1</m:t>
                                </m:r>
                              </m:sup>
                            </m:sSup>
                          </m:den>
                        </m:f>
                      </m:e>
                    </m:nary>
                  </m:oMath>
                </m:oMathPara>
              </a14:m>
              <a:endParaRPr lang="en-US" sz="1100"/>
            </a:p>
          </xdr:txBody>
        </xdr:sp>
      </mc:Choice>
      <mc:Fallback xmlns="">
        <xdr:sp macro="" textlink="">
          <xdr:nvSpPr>
            <xdr:cNvPr id="6" name="TextBox 5">
              <a:extLst>
                <a:ext uri="{FF2B5EF4-FFF2-40B4-BE49-F238E27FC236}">
                  <a16:creationId xmlns:a16="http://schemas.microsoft.com/office/drawing/2014/main" id="{8B8D538A-8B62-7248-B01C-506F9BFD6274}"/>
                </a:ext>
              </a:extLst>
            </xdr:cNvPr>
            <xdr:cNvSpPr txBox="1"/>
          </xdr:nvSpPr>
          <xdr:spPr>
            <a:xfrm>
              <a:off x="1206501" y="9800167"/>
              <a:ext cx="1963743" cy="5545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𝑅_𝐶𝑂𝐶=(𝑟−𝑖)</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∑_(𝑡=0)^𝑢▒(</a:t>
              </a:r>
              <a:r>
                <a:rPr lang="en-US" sz="1100" b="0" i="0">
                  <a:latin typeface="Cambria Math" panose="02040503050406030204" pitchFamily="18" charset="0"/>
                  <a:ea typeface="Cambria Math" panose="02040503050406030204" pitchFamily="18" charset="0"/>
                </a:rPr>
                <a:t>𝐾_𝑡 </a:t>
              </a:r>
              <a:r>
                <a:rPr lang="en-US" sz="1100" b="0" i="0">
                  <a:latin typeface="Cambria Math" panose="02040503050406030204" pitchFamily="18" charset="0"/>
                </a:rPr>
                <a:t> )/(1+𝑟)^(𝑡+1) </a:t>
              </a:r>
              <a:endParaRPr lang="en-US" sz="1100"/>
            </a:p>
          </xdr:txBody>
        </xdr:sp>
      </mc:Fallback>
    </mc:AlternateContent>
    <xdr:clientData/>
  </xdr:oneCellAnchor>
  <xdr:oneCellAnchor>
    <xdr:from>
      <xdr:col>4</xdr:col>
      <xdr:colOff>603250</xdr:colOff>
      <xdr:row>49</xdr:row>
      <xdr:rowOff>10584</xdr:rowOff>
    </xdr:from>
    <xdr:ext cx="3952749" cy="5032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A66382E1-FCA0-C54F-8B51-6BF6F0D9E007}"/>
                </a:ext>
              </a:extLst>
            </xdr:cNvPr>
            <xdr:cNvSpPr txBox="1"/>
          </xdr:nvSpPr>
          <xdr:spPr>
            <a:xfrm>
              <a:off x="4021667" y="10054167"/>
              <a:ext cx="3952749" cy="5032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𝑅𝑖𝑠𝑘</m:t>
                    </m:r>
                    <m:r>
                      <a:rPr lang="en-US" sz="1100" b="0" i="1">
                        <a:latin typeface="Cambria Math" panose="02040503050406030204" pitchFamily="18" charset="0"/>
                      </a:rPr>
                      <m:t> </m:t>
                    </m:r>
                    <m:r>
                      <a:rPr lang="en-US" sz="1100" b="0" i="1">
                        <a:latin typeface="Cambria Math" panose="02040503050406030204" pitchFamily="18" charset="0"/>
                      </a:rPr>
                      <m:t>𝑀𝑎𝑟𝑔𝑖𝑛</m:t>
                    </m:r>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𝑟𝑖𝑠𝑘𝑦</m:t>
                        </m:r>
                        <m:r>
                          <a:rPr lang="en-US" sz="1100" b="0" i="1">
                            <a:latin typeface="Cambria Math" panose="02040503050406030204" pitchFamily="18" charset="0"/>
                          </a:rPr>
                          <m:t>−</m:t>
                        </m:r>
                        <m:r>
                          <a:rPr lang="en-US" sz="1100" b="0" i="1">
                            <a:latin typeface="Cambria Math" panose="02040503050406030204" pitchFamily="18" charset="0"/>
                          </a:rPr>
                          <m:t>𝑟𝑖𝑠𝑘</m:t>
                        </m:r>
                        <m:r>
                          <a:rPr lang="en-US" sz="1100" b="0" i="1">
                            <a:latin typeface="Cambria Math" panose="02040503050406030204" pitchFamily="18" charset="0"/>
                          </a:rPr>
                          <m:t> </m:t>
                        </m:r>
                        <m:r>
                          <a:rPr lang="en-US" sz="1100" b="0" i="1">
                            <a:latin typeface="Cambria Math" panose="02040503050406030204" pitchFamily="18" charset="0"/>
                          </a:rPr>
                          <m:t>𝑓𝑟𝑒𝑒</m:t>
                        </m:r>
                      </m:e>
                    </m:d>
                    <m:r>
                      <a:rPr lang="en-US" sz="1100" b="0" i="1">
                        <a:latin typeface="Cambria Math" panose="02040503050406030204" pitchFamily="18" charset="0"/>
                      </a:rPr>
                      <m:t>−</m:t>
                    </m:r>
                    <m:nary>
                      <m:naryPr>
                        <m:chr m:val="∑"/>
                        <m:supHide m:val="on"/>
                        <m:ctrlPr>
                          <a:rPr lang="en-US" sz="1100" b="0" i="1">
                            <a:latin typeface="Cambria Math" panose="02040503050406030204" pitchFamily="18" charset="0"/>
                          </a:rPr>
                        </m:ctrlPr>
                      </m:naryPr>
                      <m:sub>
                        <m:r>
                          <a:rPr lang="en-US" sz="1100" b="0" i="1">
                            <a:latin typeface="Cambria Math" panose="02040503050406030204" pitchFamily="18" charset="0"/>
                          </a:rPr>
                          <m:t>𝐶𝑌</m:t>
                        </m:r>
                      </m:sub>
                      <m:sup/>
                      <m:e>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𝐶𝑎𝑝𝑖𝑡𝑎𝑙</m:t>
                                </m:r>
                              </m:e>
                              <m:sub>
                                <m:r>
                                  <a:rPr lang="en-US" sz="1100" b="0" i="1">
                                    <a:latin typeface="Cambria Math" panose="02040503050406030204" pitchFamily="18" charset="0"/>
                                  </a:rPr>
                                  <m:t>𝑡</m:t>
                                </m:r>
                              </m:sub>
                            </m:sSub>
                            <m:r>
                              <a:rPr lang="en-US" sz="1100" b="0" i="1">
                                <a:latin typeface="Cambria Math" panose="02040503050406030204" pitchFamily="18" charset="0"/>
                              </a:rPr>
                              <m:t> </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𝑟𝑖𝑠𝑘𝑦</m:t>
                                    </m:r>
                                    <m:r>
                                      <a:rPr lang="en-US" sz="1100" b="0" i="1">
                                        <a:latin typeface="Cambria Math" panose="02040503050406030204" pitchFamily="18" charset="0"/>
                                      </a:rPr>
                                      <m:t> </m:t>
                                    </m:r>
                                    <m:r>
                                      <a:rPr lang="en-US" sz="1100" b="0" i="1">
                                        <a:latin typeface="Cambria Math" panose="02040503050406030204" pitchFamily="18" charset="0"/>
                                      </a:rPr>
                                      <m:t>𝑟𝑎𝑡𝑒</m:t>
                                    </m:r>
                                  </m:e>
                                </m:d>
                              </m:e>
                              <m:sup>
                                <m:r>
                                  <a:rPr lang="en-US" sz="1100" b="0" i="1">
                                    <a:latin typeface="Cambria Math" panose="02040503050406030204" pitchFamily="18" charset="0"/>
                                  </a:rPr>
                                  <m:t>𝐶𝑌</m:t>
                                </m:r>
                                <m:r>
                                  <a:rPr lang="en-US" sz="1100" b="0" i="1">
                                    <a:latin typeface="Cambria Math" panose="02040503050406030204" pitchFamily="18" charset="0"/>
                                  </a:rPr>
                                  <m:t>+1</m:t>
                                </m:r>
                              </m:sup>
                            </m:sSup>
                          </m:den>
                        </m:f>
                      </m:e>
                    </m:nary>
                  </m:oMath>
                </m:oMathPara>
              </a14:m>
              <a:endParaRPr lang="en-US" sz="1100"/>
            </a:p>
          </xdr:txBody>
        </xdr:sp>
      </mc:Choice>
      <mc:Fallback xmlns="">
        <xdr:sp macro="" textlink="">
          <xdr:nvSpPr>
            <xdr:cNvPr id="7" name="TextBox 6">
              <a:extLst>
                <a:ext uri="{FF2B5EF4-FFF2-40B4-BE49-F238E27FC236}">
                  <a16:creationId xmlns:a16="http://schemas.microsoft.com/office/drawing/2014/main" id="{A66382E1-FCA0-C54F-8B51-6BF6F0D9E007}"/>
                </a:ext>
              </a:extLst>
            </xdr:cNvPr>
            <xdr:cNvSpPr txBox="1"/>
          </xdr:nvSpPr>
          <xdr:spPr>
            <a:xfrm>
              <a:off x="4021667" y="10054167"/>
              <a:ext cx="3952749" cy="5032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𝑅𝑖𝑠𝑘 𝑀𝑎𝑟𝑔𝑖𝑛=(𝑟𝑖𝑠𝑘𝑦−𝑟𝑖𝑠𝑘 𝑓𝑟𝑒𝑒)−∑_𝐶𝑌▒(〖𝐶𝑎𝑝𝑖𝑡𝑎𝑙〗_𝑡  )/(1+𝑟𝑖𝑠𝑘𝑦 𝑟𝑎𝑡𝑒)^(𝐶𝑌+1) </a:t>
              </a:r>
              <a:endParaRPr lang="en-US" sz="1100"/>
            </a:p>
          </xdr:txBody>
        </xdr:sp>
      </mc:Fallback>
    </mc:AlternateContent>
    <xdr:clientData/>
  </xdr:oneCellAnchor>
  <xdr:oneCellAnchor>
    <xdr:from>
      <xdr:col>1</xdr:col>
      <xdr:colOff>338665</xdr:colOff>
      <xdr:row>62</xdr:row>
      <xdr:rowOff>190499</xdr:rowOff>
    </xdr:from>
    <xdr:ext cx="2168863" cy="26443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9EAD85A-9278-C34B-B0FB-7B0B46C4AA9C}"/>
                </a:ext>
              </a:extLst>
            </xdr:cNvPr>
            <xdr:cNvSpPr txBox="1"/>
          </xdr:nvSpPr>
          <xdr:spPr>
            <a:xfrm>
              <a:off x="1164165" y="13451416"/>
              <a:ext cx="216886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𝑅𝑒𝑠𝑒𝑟𝑣𝑒</m:t>
                    </m:r>
                    <m:r>
                      <a:rPr lang="en-US" sz="1100" b="0" i="1">
                        <a:latin typeface="Cambria Math" panose="02040503050406030204" pitchFamily="18" charset="0"/>
                      </a:rPr>
                      <m:t> </m:t>
                    </m:r>
                    <m:r>
                      <a:rPr lang="en-US" sz="1100" b="0" i="1">
                        <a:latin typeface="Cambria Math" panose="02040503050406030204" pitchFamily="18" charset="0"/>
                      </a:rPr>
                      <m:t>𝐿𝑖𝑎𝑏𝑖𝑙𝑖𝑡𝑦</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𝐵𝑒𝑠𝑡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𝐶𝑂𝐶</m:t>
                        </m:r>
                      </m:sub>
                    </m:sSub>
                  </m:oMath>
                </m:oMathPara>
              </a14:m>
              <a:endParaRPr lang="en-US" sz="1100"/>
            </a:p>
          </xdr:txBody>
        </xdr:sp>
      </mc:Choice>
      <mc:Fallback xmlns="">
        <xdr:sp macro="" textlink="">
          <xdr:nvSpPr>
            <xdr:cNvPr id="8" name="TextBox 7">
              <a:extLst>
                <a:ext uri="{FF2B5EF4-FFF2-40B4-BE49-F238E27FC236}">
                  <a16:creationId xmlns:a16="http://schemas.microsoft.com/office/drawing/2014/main" id="{49EAD85A-9278-C34B-B0FB-7B0B46C4AA9C}"/>
                </a:ext>
              </a:extLst>
            </xdr:cNvPr>
            <xdr:cNvSpPr txBox="1"/>
          </xdr:nvSpPr>
          <xdr:spPr>
            <a:xfrm>
              <a:off x="1164165" y="13451416"/>
              <a:ext cx="216886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𝑅𝑒𝑠𝑒𝑟𝑣𝑒 𝐿𝑖𝑎𝑏𝑖𝑙𝑖𝑡𝑦=𝐸_𝐵𝑒𝑠𝑡+𝑅_𝐶𝑂𝐶</a:t>
              </a:r>
              <a:endParaRPr lang="en-US" sz="1100"/>
            </a:p>
          </xdr:txBody>
        </xdr:sp>
      </mc:Fallback>
    </mc:AlternateContent>
    <xdr:clientData/>
  </xdr:oneCellAnchor>
  <xdr:oneCellAnchor>
    <xdr:from>
      <xdr:col>4</xdr:col>
      <xdr:colOff>254000</xdr:colOff>
      <xdr:row>63</xdr:row>
      <xdr:rowOff>1</xdr:rowOff>
    </xdr:from>
    <xdr:ext cx="3254224" cy="26443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F5844CE-A352-8940-9567-03945F3C38CA}"/>
                </a:ext>
              </a:extLst>
            </xdr:cNvPr>
            <xdr:cNvSpPr txBox="1"/>
          </xdr:nvSpPr>
          <xdr:spPr>
            <a:xfrm>
              <a:off x="3672417" y="13462001"/>
              <a:ext cx="3254224"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𝑅𝑒𝑠𝑒𝑟𝑣𝑒</m:t>
                    </m:r>
                    <m:r>
                      <a:rPr lang="en-US" sz="1100" b="0" i="1">
                        <a:latin typeface="Cambria Math" panose="02040503050406030204" pitchFamily="18" charset="0"/>
                      </a:rPr>
                      <m:t> </m:t>
                    </m:r>
                    <m:r>
                      <a:rPr lang="en-US" sz="1100" b="0" i="1">
                        <a:latin typeface="Cambria Math" panose="02040503050406030204" pitchFamily="18" charset="0"/>
                      </a:rPr>
                      <m:t>𝐿𝑖𝑎𝑏𝑖𝑙𝑖𝑡𝑦</m:t>
                    </m:r>
                    <m:r>
                      <a:rPr lang="en-US" sz="1100" b="0" i="1">
                        <a:latin typeface="Cambria Math" panose="02040503050406030204" pitchFamily="18" charset="0"/>
                      </a:rPr>
                      <m:t>=</m:t>
                    </m:r>
                    <m:r>
                      <a:rPr lang="en-US" sz="1100" b="0" i="1">
                        <a:latin typeface="Cambria Math" panose="02040503050406030204" pitchFamily="18" charset="0"/>
                      </a:rPr>
                      <m:t>𝐵𝑒𝑠𝑡</m:t>
                    </m:r>
                    <m:r>
                      <a:rPr lang="en-US" sz="1100" b="0" i="1">
                        <a:latin typeface="Cambria Math" panose="02040503050406030204" pitchFamily="18" charset="0"/>
                      </a:rPr>
                      <m:t> </m:t>
                    </m:r>
                    <m:r>
                      <a:rPr lang="en-US" sz="1100" b="0" i="1">
                        <a:latin typeface="Cambria Math" panose="02040503050406030204" pitchFamily="18" charset="0"/>
                      </a:rPr>
                      <m:t>𝐸𝑠𝑡𝑖𝑚𝑎𝑡𝑒</m:t>
                    </m:r>
                    <m:r>
                      <a:rPr lang="en-US" sz="1100" b="0" i="1">
                        <a:latin typeface="Cambria Math" panose="02040503050406030204" pitchFamily="18" charset="0"/>
                      </a:rPr>
                      <m:t>+</m:t>
                    </m:r>
                    <m:r>
                      <a:rPr lang="en-US" sz="1100" b="0" i="1">
                        <a:latin typeface="Cambria Math" panose="02040503050406030204" pitchFamily="18" charset="0"/>
                      </a:rPr>
                      <m:t>𝑅𝑖𝑠𝑘</m:t>
                    </m:r>
                    <m:r>
                      <a:rPr lang="en-US" sz="1100" b="0" i="1">
                        <a:latin typeface="Cambria Math" panose="02040503050406030204" pitchFamily="18" charset="0"/>
                      </a:rPr>
                      <m:t> </m:t>
                    </m:r>
                    <m:r>
                      <a:rPr lang="en-US" sz="1100" b="0" i="1">
                        <a:latin typeface="Cambria Math" panose="02040503050406030204" pitchFamily="18" charset="0"/>
                      </a:rPr>
                      <m:t>𝑀𝑎𝑟𝑔𝑖𝑛</m:t>
                    </m:r>
                  </m:oMath>
                </m:oMathPara>
              </a14:m>
              <a:endParaRPr lang="en-US" sz="1100"/>
            </a:p>
          </xdr:txBody>
        </xdr:sp>
      </mc:Choice>
      <mc:Fallback xmlns="">
        <xdr:sp macro="" textlink="">
          <xdr:nvSpPr>
            <xdr:cNvPr id="9" name="TextBox 8">
              <a:extLst>
                <a:ext uri="{FF2B5EF4-FFF2-40B4-BE49-F238E27FC236}">
                  <a16:creationId xmlns:a16="http://schemas.microsoft.com/office/drawing/2014/main" id="{DF5844CE-A352-8940-9567-03945F3C38CA}"/>
                </a:ext>
              </a:extLst>
            </xdr:cNvPr>
            <xdr:cNvSpPr txBox="1"/>
          </xdr:nvSpPr>
          <xdr:spPr>
            <a:xfrm>
              <a:off x="3672417" y="13462001"/>
              <a:ext cx="3254224"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𝑅𝑒𝑠𝑒𝑟𝑣𝑒 𝐿𝑖𝑎𝑏𝑖𝑙𝑖𝑡𝑦=𝐵𝑒𝑠𝑡 𝐸𝑠𝑡𝑖𝑚𝑎𝑡𝑒+𝑅𝑖𝑠𝑘 𝑀𝑎𝑟𝑔𝑖𝑛</a:t>
              </a:r>
              <a:endParaRPr lang="en-US"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1</xdr:col>
      <xdr:colOff>275166</xdr:colOff>
      <xdr:row>24</xdr:row>
      <xdr:rowOff>2</xdr:rowOff>
    </xdr:from>
    <xdr:ext cx="3627853" cy="26443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4B4AEFC3-4FCB-7647-8ACB-E337D42A4313}"/>
                </a:ext>
              </a:extLst>
            </xdr:cNvPr>
            <xdr:cNvSpPr txBox="1"/>
          </xdr:nvSpPr>
          <xdr:spPr>
            <a:xfrm>
              <a:off x="1100666" y="5524502"/>
              <a:ext cx="362785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𝑀𝑎𝑟𝑔𝑖𝑛𝑎𝑙</m:t>
                        </m:r>
                      </m:e>
                      <m:sub>
                        <m:r>
                          <a:rPr lang="en-US" sz="1100" b="0" i="1">
                            <a:latin typeface="Cambria Math" panose="02040503050406030204" pitchFamily="18" charset="0"/>
                          </a:rPr>
                          <m:t>𝑖</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𝑅𝑖𝑠𝑘</m:t>
                        </m:r>
                        <m:r>
                          <a:rPr lang="en-US" sz="1100" b="0" i="1">
                            <a:latin typeface="Cambria Math" panose="02040503050406030204" pitchFamily="18" charset="0"/>
                          </a:rPr>
                          <m:t> </m:t>
                        </m:r>
                        <m:r>
                          <a:rPr lang="en-US" sz="1100" b="0" i="1">
                            <a:latin typeface="Cambria Math" panose="02040503050406030204" pitchFamily="18" charset="0"/>
                          </a:rPr>
                          <m:t>𝑀𝑎𝑟𝑔𝑖𝑛</m:t>
                        </m:r>
                      </m:e>
                      <m:sub>
                        <m:r>
                          <a:rPr lang="en-US" sz="1100" b="0" i="1">
                            <a:latin typeface="Cambria Math" panose="02040503050406030204" pitchFamily="18" charset="0"/>
                          </a:rPr>
                          <m:t>𝐴𝑙𝑙</m:t>
                        </m:r>
                        <m:r>
                          <a:rPr lang="en-US" sz="1100" b="0" i="1">
                            <a:latin typeface="Cambria Math" panose="02040503050406030204" pitchFamily="18" charset="0"/>
                          </a:rPr>
                          <m:t> </m:t>
                        </m:r>
                        <m:r>
                          <a:rPr lang="en-US" sz="1100" b="0" i="1">
                            <a:latin typeface="Cambria Math" panose="02040503050406030204" pitchFamily="18" charset="0"/>
                          </a:rPr>
                          <m:t>𝐿𝑖𝑛𝑒𝑠</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𝑅𝑖𝑠𝑘</m:t>
                        </m:r>
                        <m:r>
                          <a:rPr lang="en-US" sz="1100" b="0" i="1">
                            <a:latin typeface="Cambria Math" panose="02040503050406030204" pitchFamily="18" charset="0"/>
                          </a:rPr>
                          <m:t> </m:t>
                        </m:r>
                        <m:r>
                          <a:rPr lang="en-US" sz="1100" b="0" i="1">
                            <a:latin typeface="Cambria Math" panose="02040503050406030204" pitchFamily="18" charset="0"/>
                          </a:rPr>
                          <m:t>𝑀𝑎𝑟𝑔𝑖𝑛</m:t>
                        </m:r>
                      </m:e>
                      <m:sub>
                        <m:r>
                          <a:rPr lang="en-US" sz="1100" b="0" i="1">
                            <a:latin typeface="Cambria Math" panose="02040503050406030204" pitchFamily="18" charset="0"/>
                          </a:rPr>
                          <m:t>𝐴𝑙𝑙</m:t>
                        </m:r>
                        <m:r>
                          <a:rPr lang="en-US" sz="1100" b="0" i="1">
                            <a:latin typeface="Cambria Math" panose="02040503050406030204" pitchFamily="18" charset="0"/>
                          </a:rPr>
                          <m:t> </m:t>
                        </m:r>
                        <m:r>
                          <a:rPr lang="en-US" sz="1100" b="0" i="1">
                            <a:latin typeface="Cambria Math" panose="02040503050406030204" pitchFamily="18" charset="0"/>
                          </a:rPr>
                          <m:t>𝐸𝑥𝑐𝑙</m:t>
                        </m:r>
                        <m:r>
                          <a:rPr lang="en-US" sz="1100" b="0" i="1">
                            <a:latin typeface="Cambria Math" panose="02040503050406030204" pitchFamily="18" charset="0"/>
                          </a:rPr>
                          <m:t> </m:t>
                        </m:r>
                        <m:r>
                          <a:rPr lang="en-US" sz="1100" b="0" i="1">
                            <a:latin typeface="Cambria Math" panose="02040503050406030204" pitchFamily="18" charset="0"/>
                          </a:rPr>
                          <m:t>𝑖</m:t>
                        </m:r>
                      </m:sub>
                    </m:sSub>
                    <m:r>
                      <a:rPr lang="en-US" sz="1100" b="0" i="1">
                        <a:latin typeface="Cambria Math" panose="02040503050406030204" pitchFamily="18" charset="0"/>
                      </a:rPr>
                      <m:t> </m:t>
                    </m:r>
                  </m:oMath>
                </m:oMathPara>
              </a14:m>
              <a:endParaRPr lang="en-US" sz="1100"/>
            </a:p>
          </xdr:txBody>
        </xdr:sp>
      </mc:Choice>
      <mc:Fallback xmlns="">
        <xdr:sp macro="" textlink="">
          <xdr:nvSpPr>
            <xdr:cNvPr id="12" name="TextBox 11">
              <a:extLst>
                <a:ext uri="{FF2B5EF4-FFF2-40B4-BE49-F238E27FC236}">
                  <a16:creationId xmlns:a16="http://schemas.microsoft.com/office/drawing/2014/main" id="{4B4AEFC3-4FCB-7647-8ACB-E337D42A4313}"/>
                </a:ext>
              </a:extLst>
            </xdr:cNvPr>
            <xdr:cNvSpPr txBox="1"/>
          </xdr:nvSpPr>
          <xdr:spPr>
            <a:xfrm>
              <a:off x="1100666" y="5524502"/>
              <a:ext cx="362785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〖𝑀𝑎𝑟𝑔𝑖𝑛𝑎𝑙〗_𝑖=〖𝑅𝑖𝑠𝑘 𝑀𝑎𝑟𝑔𝑖𝑛〗_(𝐴𝑙𝑙 𝐿𝑖𝑛𝑒𝑠)−〖𝑅𝑖𝑠𝑘 𝑀𝑎𝑟𝑔𝑖𝑛〗_(𝐴𝑙𝑙 𝐸𝑥𝑐𝑙 𝑖)  </a:t>
              </a:r>
              <a:endParaRPr lang="en-US" sz="1100"/>
            </a:p>
          </xdr:txBody>
        </xdr:sp>
      </mc:Fallback>
    </mc:AlternateContent>
    <xdr:clientData/>
  </xdr:oneCellAnchor>
  <xdr:oneCellAnchor>
    <xdr:from>
      <xdr:col>1</xdr:col>
      <xdr:colOff>317499</xdr:colOff>
      <xdr:row>29</xdr:row>
      <xdr:rowOff>169333</xdr:rowOff>
    </xdr:from>
    <xdr:ext cx="3072444" cy="44339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7837DE60-647F-DF4E-9405-1856DFC07672}"/>
                </a:ext>
              </a:extLst>
            </xdr:cNvPr>
            <xdr:cNvSpPr txBox="1"/>
          </xdr:nvSpPr>
          <xdr:spPr>
            <a:xfrm>
              <a:off x="1142999" y="6699250"/>
              <a:ext cx="3072444" cy="44339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𝐴𝑙𝑙𝑜𝑐𝑎𝑡𝑒𝑑</m:t>
                        </m:r>
                      </m:e>
                      <m:sub>
                        <m:r>
                          <a:rPr lang="en-US" sz="1100" b="0" i="1">
                            <a:solidFill>
                              <a:schemeClr val="tx1"/>
                            </a:solidFill>
                            <a:latin typeface="Cambria Math" panose="02040503050406030204" pitchFamily="18" charset="0"/>
                          </a:rPr>
                          <m:t>𝑖</m:t>
                        </m:r>
                      </m:sub>
                    </m:sSub>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𝑅𝑖𝑠𝑘</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𝑀𝑎𝑟𝑔𝑖𝑛</m:t>
                        </m:r>
                      </m:e>
                      <m:sub>
                        <m:r>
                          <a:rPr lang="en-US" sz="1100" b="0" i="1">
                            <a:solidFill>
                              <a:schemeClr val="tx1"/>
                            </a:solidFill>
                            <a:latin typeface="Cambria Math" panose="02040503050406030204" pitchFamily="18" charset="0"/>
                          </a:rPr>
                          <m:t>𝐴𝑙𝑙</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𝐿𝑖𝑛𝑒𝑠</m:t>
                        </m:r>
                      </m:sub>
                    </m:sSub>
                    <m:r>
                      <a:rPr lang="en-US" sz="1100" b="0" i="1">
                        <a:solidFill>
                          <a:schemeClr val="tx1"/>
                        </a:solidFill>
                        <a:latin typeface="Cambria Math" panose="02040503050406030204" pitchFamily="18" charset="0"/>
                        <a:ea typeface="Cambria Math" panose="02040503050406030204" pitchFamily="18" charset="0"/>
                      </a:rPr>
                      <m:t>×</m:t>
                    </m:r>
                    <m:f>
                      <m:fPr>
                        <m:ctrlPr>
                          <a:rPr lang="en-US" sz="1100" b="0" i="1">
                            <a:solidFill>
                              <a:schemeClr val="tx1"/>
                            </a:solidFill>
                            <a:latin typeface="Cambria Math" panose="02040503050406030204" pitchFamily="18" charset="0"/>
                          </a:rPr>
                        </m:ctrlPr>
                      </m:fPr>
                      <m:num>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𝑀𝑎𝑟𝑔𝑖𝑛𝑎𝑙</m:t>
                            </m:r>
                          </m:e>
                          <m:sub>
                            <m:r>
                              <a:rPr lang="en-US" sz="1100" b="0" i="1">
                                <a:solidFill>
                                  <a:schemeClr val="tx1"/>
                                </a:solidFill>
                                <a:latin typeface="Cambria Math" panose="02040503050406030204" pitchFamily="18" charset="0"/>
                              </a:rPr>
                              <m:t>𝑖</m:t>
                            </m:r>
                          </m:sub>
                        </m:sSub>
                      </m:num>
                      <m:den>
                        <m:nary>
                          <m:naryPr>
                            <m:chr m:val="∑"/>
                            <m:subHide m:val="on"/>
                            <m:supHide m:val="on"/>
                            <m:ctrlPr>
                              <a:rPr lang="en-US" sz="1100" b="0" i="1">
                                <a:solidFill>
                                  <a:schemeClr val="tx1"/>
                                </a:solidFill>
                                <a:latin typeface="Cambria Math" panose="02040503050406030204" pitchFamily="18" charset="0"/>
                                <a:ea typeface="Cambria Math" panose="02040503050406030204" pitchFamily="18" charset="0"/>
                              </a:rPr>
                            </m:ctrlPr>
                          </m:naryPr>
                          <m:sub/>
                          <m:sup/>
                          <m:e>
                            <m:r>
                              <a:rPr lang="en-US" sz="1100" b="0" i="1">
                                <a:solidFill>
                                  <a:schemeClr val="tx1"/>
                                </a:solidFill>
                                <a:latin typeface="Cambria Math" panose="02040503050406030204" pitchFamily="18" charset="0"/>
                              </a:rPr>
                              <m:t>𝑀𝑎𝑟𝑔𝑖𝑛𝑎𝑙</m:t>
                            </m:r>
                          </m:e>
                        </m:nary>
                      </m:den>
                    </m:f>
                    <m:r>
                      <a:rPr lang="en-US" sz="1100" b="0" i="1">
                        <a:solidFill>
                          <a:schemeClr val="tx1"/>
                        </a:solidFill>
                        <a:latin typeface="Cambria Math" panose="02040503050406030204" pitchFamily="18" charset="0"/>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7837DE60-647F-DF4E-9405-1856DFC07672}"/>
                </a:ext>
              </a:extLst>
            </xdr:cNvPr>
            <xdr:cNvSpPr txBox="1"/>
          </xdr:nvSpPr>
          <xdr:spPr>
            <a:xfrm>
              <a:off x="1142999" y="6699250"/>
              <a:ext cx="3072444" cy="44339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〖𝐴𝑙𝑙𝑜𝑐𝑎𝑡𝑒𝑑〗_𝑖=〖𝑅𝑖𝑠𝑘 𝑀𝑎𝑟𝑔𝑖𝑛〗_(𝐴𝑙𝑙 𝐿𝑖𝑛𝑒𝑠)</a:t>
              </a:r>
              <a:r>
                <a:rPr lang="en-US" sz="1100" b="0" i="0">
                  <a:solidFill>
                    <a:schemeClr val="tx1"/>
                  </a:solidFill>
                  <a:latin typeface="Cambria Math" panose="02040503050406030204" pitchFamily="18" charset="0"/>
                  <a:ea typeface="Cambria Math" panose="02040503050406030204" pitchFamily="18" charset="0"/>
                </a:rPr>
                <a:t>×</a:t>
              </a:r>
              <a:r>
                <a:rPr lang="en-US" sz="1100" b="0" i="0">
                  <a:solidFill>
                    <a:schemeClr val="tx1"/>
                  </a:solidFill>
                  <a:latin typeface="Cambria Math" panose="02040503050406030204" pitchFamily="18" charset="0"/>
                </a:rPr>
                <a:t>〖𝑀𝑎𝑟𝑔𝑖𝑛𝑎𝑙〗_𝑖</a:t>
              </a:r>
              <a:r>
                <a:rPr lang="en-US" sz="1100" b="0" i="0">
                  <a:solidFill>
                    <a:schemeClr val="tx1"/>
                  </a:solidFill>
                  <a:latin typeface="Cambria Math" panose="02040503050406030204" pitchFamily="18" charset="0"/>
                  <a:ea typeface="Cambria Math" panose="02040503050406030204" pitchFamily="18" charset="0"/>
                </a:rPr>
                <a:t>/(∑▒</a:t>
              </a:r>
              <a:r>
                <a:rPr lang="en-US" sz="1100" b="0" i="0">
                  <a:solidFill>
                    <a:schemeClr val="tx1"/>
                  </a:solidFill>
                  <a:latin typeface="Cambria Math" panose="02040503050406030204" pitchFamily="18" charset="0"/>
                </a:rPr>
                <a:t>𝑀𝑎𝑟𝑔𝑖𝑛𝑎𝑙</a:t>
              </a:r>
              <a:r>
                <a:rPr lang="en-US" sz="1100" b="0" i="0">
                  <a:solidFill>
                    <a:schemeClr val="tx1"/>
                  </a:solidFill>
                  <a:latin typeface="Cambria Math" panose="02040503050406030204" pitchFamily="18" charset="0"/>
                  <a:ea typeface="Cambria Math" panose="02040503050406030204" pitchFamily="18" charset="0"/>
                </a:rPr>
                <a:t>) </a:t>
              </a:r>
              <a:r>
                <a:rPr lang="en-US" sz="1100" b="0" i="0">
                  <a:solidFill>
                    <a:schemeClr val="tx1"/>
                  </a:solidFill>
                  <a:latin typeface="Cambria Math" panose="02040503050406030204" pitchFamily="18" charset="0"/>
                </a:rPr>
                <a:t> </a:t>
              </a:r>
              <a:endParaRPr lang="en-US" sz="1100">
                <a:solidFill>
                  <a:schemeClr val="tx1"/>
                </a:solidFill>
              </a:endParaRPr>
            </a:p>
          </xdr:txBody>
        </xdr:sp>
      </mc:Fallback>
    </mc:AlternateContent>
    <xdr:clientData/>
  </xdr:oneCellAnchor>
  <xdr:oneCellAnchor>
    <xdr:from>
      <xdr:col>1</xdr:col>
      <xdr:colOff>190501</xdr:colOff>
      <xdr:row>43</xdr:row>
      <xdr:rowOff>148165</xdr:rowOff>
    </xdr:from>
    <xdr:ext cx="3484224" cy="4423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21EA617-3FFF-B84C-8B73-9640E82FF896}"/>
                </a:ext>
              </a:extLst>
            </xdr:cNvPr>
            <xdr:cNvSpPr txBox="1"/>
          </xdr:nvSpPr>
          <xdr:spPr>
            <a:xfrm>
              <a:off x="1016001" y="9493248"/>
              <a:ext cx="3484224" cy="44230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𝐷𝑖𝑣𝑒𝑟𝑠𝑖𝑓𝑖𝑐𝑎𝑡𝑖𝑜𝑛</m:t>
                        </m:r>
                        <m:r>
                          <a:rPr lang="en-US" sz="1100" b="0" i="1">
                            <a:latin typeface="Cambria Math" panose="02040503050406030204" pitchFamily="18" charset="0"/>
                          </a:rPr>
                          <m:t> </m:t>
                        </m:r>
                        <m:r>
                          <a:rPr lang="en-US" sz="1100" b="0" i="1">
                            <a:latin typeface="Cambria Math" panose="02040503050406030204" pitchFamily="18" charset="0"/>
                          </a:rPr>
                          <m:t>𝐶𝑟𝑒𝑑𝑖𝑡</m:t>
                        </m:r>
                        <m:r>
                          <a:rPr lang="en-US" sz="1100" b="0" i="1">
                            <a:latin typeface="Cambria Math" panose="02040503050406030204" pitchFamily="18" charset="0"/>
                          </a:rPr>
                          <m:t>%</m:t>
                        </m:r>
                      </m:e>
                      <m:sub>
                        <m:r>
                          <a:rPr lang="en-US" sz="1100" b="0" i="1">
                            <a:latin typeface="Cambria Math" panose="02040503050406030204" pitchFamily="18" charset="0"/>
                          </a:rPr>
                          <m:t>𝑖</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𝑆𝑡𝑎𝑛𝑑𝑎𝑙𝑜𝑛𝑒</m:t>
                            </m:r>
                          </m:e>
                          <m:sub>
                            <m:r>
                              <a:rPr lang="en-US" sz="1100" b="0" i="1">
                                <a:latin typeface="Cambria Math" panose="02040503050406030204" pitchFamily="18" charset="0"/>
                              </a:rPr>
                              <m:t>𝑖</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𝐴𝑙𝑙𝑜𝑐𝑎𝑡𝑒𝑑</m:t>
                            </m:r>
                          </m:e>
                          <m:sub>
                            <m:r>
                              <a:rPr lang="en-US" sz="1100" b="0" i="1">
                                <a:latin typeface="Cambria Math" panose="02040503050406030204" pitchFamily="18" charset="0"/>
                              </a:rPr>
                              <m:t>𝑖</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𝑆𝑡𝑎𝑛𝑑𝑎𝑙𝑜𝑛𝑒</m:t>
                            </m:r>
                          </m:e>
                          <m:sub>
                            <m:r>
                              <a:rPr lang="en-US" sz="1100" b="0" i="1">
                                <a:latin typeface="Cambria Math" panose="02040503050406030204" pitchFamily="18" charset="0"/>
                              </a:rPr>
                              <m:t>𝑖</m:t>
                            </m:r>
                          </m:sub>
                        </m:sSub>
                      </m:den>
                    </m:f>
                  </m:oMath>
                </m:oMathPara>
              </a14:m>
              <a:endParaRPr lang="en-US" sz="1100"/>
            </a:p>
          </xdr:txBody>
        </xdr:sp>
      </mc:Choice>
      <mc:Fallback xmlns="">
        <xdr:sp macro="" textlink="">
          <xdr:nvSpPr>
            <xdr:cNvPr id="15" name="TextBox 14">
              <a:extLst>
                <a:ext uri="{FF2B5EF4-FFF2-40B4-BE49-F238E27FC236}">
                  <a16:creationId xmlns:a16="http://schemas.microsoft.com/office/drawing/2014/main" id="{521EA617-3FFF-B84C-8B73-9640E82FF896}"/>
                </a:ext>
              </a:extLst>
            </xdr:cNvPr>
            <xdr:cNvSpPr txBox="1"/>
          </xdr:nvSpPr>
          <xdr:spPr>
            <a:xfrm>
              <a:off x="1016001" y="9493248"/>
              <a:ext cx="3484224" cy="44230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〖𝐷𝑖𝑣𝑒𝑟𝑠𝑖𝑓𝑖𝑐𝑎𝑡𝑖𝑜𝑛 𝐶𝑟𝑒𝑑𝑖𝑡%〗_𝑖=(〖𝑆𝑡𝑎𝑛𝑑𝑎𝑙𝑜𝑛𝑒〗_𝑖−〖𝐴𝑙𝑙𝑜𝑐𝑎𝑡𝑒𝑑〗_𝑖)/〖𝑆𝑡𝑎𝑛𝑑𝑎𝑙𝑜𝑛𝑒〗_𝑖 </a:t>
              </a:r>
              <a:endParaRPr lang="en-US" sz="11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0572-8E1A-E943-8E08-2874B9F6F1C0}">
  <dimension ref="A1:BM300"/>
  <sheetViews>
    <sheetView showGridLines="0" zoomScale="120" zoomScaleNormal="120" workbookViewId="0"/>
  </sheetViews>
  <sheetFormatPr baseColWidth="10" defaultColWidth="10.83203125" defaultRowHeight="16" x14ac:dyDescent="0.2"/>
  <cols>
    <col min="1" max="16384" width="10.83203125" style="31"/>
  </cols>
  <sheetData>
    <row r="1" spans="1:10" ht="19" x14ac:dyDescent="0.25">
      <c r="A1" s="11" t="s">
        <v>14</v>
      </c>
      <c r="B1" s="29"/>
      <c r="C1" s="29"/>
      <c r="D1" s="29"/>
      <c r="E1" s="29"/>
      <c r="F1" s="29"/>
      <c r="G1" s="29"/>
      <c r="H1" s="29"/>
      <c r="I1" s="29"/>
      <c r="J1" s="30"/>
    </row>
    <row r="2" spans="1:10" x14ac:dyDescent="0.2">
      <c r="A2" s="32"/>
      <c r="B2" s="29"/>
      <c r="C2" s="29"/>
      <c r="D2" s="29"/>
      <c r="E2" s="29"/>
      <c r="F2" s="29"/>
      <c r="G2" s="29"/>
      <c r="H2" s="29"/>
      <c r="I2" s="29"/>
      <c r="J2" s="30"/>
    </row>
    <row r="3" spans="1:10" x14ac:dyDescent="0.2">
      <c r="A3" s="32"/>
      <c r="B3" s="349" t="s">
        <v>15</v>
      </c>
      <c r="C3" s="349"/>
      <c r="D3" s="349"/>
      <c r="E3" s="349"/>
      <c r="F3" s="349"/>
      <c r="G3" s="349"/>
      <c r="H3" s="349"/>
      <c r="I3" s="349"/>
      <c r="J3" s="30"/>
    </row>
    <row r="4" spans="1:10" x14ac:dyDescent="0.2">
      <c r="A4" s="32"/>
      <c r="B4" s="349"/>
      <c r="C4" s="349"/>
      <c r="D4" s="349"/>
      <c r="E4" s="349"/>
      <c r="F4" s="349"/>
      <c r="G4" s="349"/>
      <c r="H4" s="349"/>
      <c r="I4" s="349"/>
      <c r="J4" s="30"/>
    </row>
    <row r="5" spans="1:10" x14ac:dyDescent="0.2">
      <c r="A5" s="32"/>
      <c r="B5" s="349"/>
      <c r="C5" s="349"/>
      <c r="D5" s="349"/>
      <c r="E5" s="349"/>
      <c r="F5" s="349"/>
      <c r="G5" s="349"/>
      <c r="H5" s="349"/>
      <c r="I5" s="349"/>
      <c r="J5" s="30"/>
    </row>
    <row r="6" spans="1:10" x14ac:dyDescent="0.2">
      <c r="A6" s="32"/>
      <c r="B6" s="349"/>
      <c r="C6" s="349"/>
      <c r="D6" s="349"/>
      <c r="E6" s="349"/>
      <c r="F6" s="349"/>
      <c r="G6" s="349"/>
      <c r="H6" s="349"/>
      <c r="I6" s="349"/>
      <c r="J6" s="30"/>
    </row>
    <row r="7" spans="1:10" x14ac:dyDescent="0.2">
      <c r="A7" s="32"/>
      <c r="B7" s="349"/>
      <c r="C7" s="349"/>
      <c r="D7" s="349"/>
      <c r="E7" s="349"/>
      <c r="F7" s="349"/>
      <c r="G7" s="349"/>
      <c r="H7" s="349"/>
      <c r="I7" s="349"/>
      <c r="J7" s="30"/>
    </row>
    <row r="8" spans="1:10" x14ac:dyDescent="0.2">
      <c r="A8" s="32"/>
      <c r="B8" s="349"/>
      <c r="C8" s="349"/>
      <c r="D8" s="349"/>
      <c r="E8" s="349"/>
      <c r="F8" s="349"/>
      <c r="G8" s="349"/>
      <c r="H8" s="349"/>
      <c r="I8" s="349"/>
      <c r="J8" s="30"/>
    </row>
    <row r="9" spans="1:10" x14ac:dyDescent="0.2">
      <c r="A9" s="32"/>
      <c r="B9" s="349"/>
      <c r="C9" s="349"/>
      <c r="D9" s="349"/>
      <c r="E9" s="349"/>
      <c r="F9" s="349"/>
      <c r="G9" s="349"/>
      <c r="H9" s="349"/>
      <c r="I9" s="349"/>
      <c r="J9" s="30"/>
    </row>
    <row r="10" spans="1:10" x14ac:dyDescent="0.2">
      <c r="A10" s="32"/>
      <c r="B10" s="349"/>
      <c r="C10" s="349"/>
      <c r="D10" s="349"/>
      <c r="E10" s="349"/>
      <c r="F10" s="349"/>
      <c r="G10" s="349"/>
      <c r="H10" s="349"/>
      <c r="I10" s="349"/>
      <c r="J10" s="30"/>
    </row>
    <row r="11" spans="1:10" x14ac:dyDescent="0.2">
      <c r="A11" s="32"/>
      <c r="B11" s="349"/>
      <c r="C11" s="349"/>
      <c r="D11" s="349"/>
      <c r="E11" s="349"/>
      <c r="F11" s="349"/>
      <c r="G11" s="349"/>
      <c r="H11" s="349"/>
      <c r="I11" s="349"/>
      <c r="J11" s="30"/>
    </row>
    <row r="12" spans="1:10" x14ac:dyDescent="0.2">
      <c r="A12" s="32"/>
      <c r="B12" s="29"/>
      <c r="C12" s="29"/>
      <c r="D12" s="29"/>
      <c r="E12" s="29"/>
      <c r="F12" s="29"/>
      <c r="G12" s="29"/>
      <c r="H12" s="29"/>
      <c r="I12" s="29"/>
      <c r="J12" s="30"/>
    </row>
    <row r="13" spans="1:10" ht="34" x14ac:dyDescent="0.2">
      <c r="A13" s="32"/>
      <c r="B13" s="29"/>
      <c r="C13" s="29"/>
      <c r="D13" s="33" t="s">
        <v>16</v>
      </c>
      <c r="E13" s="34" t="s">
        <v>17</v>
      </c>
      <c r="F13" s="29"/>
      <c r="G13" s="29"/>
      <c r="H13" s="29"/>
      <c r="I13" s="29"/>
      <c r="J13" s="30"/>
    </row>
    <row r="14" spans="1:10" x14ac:dyDescent="0.2">
      <c r="A14" s="32"/>
      <c r="B14" s="29"/>
      <c r="C14" s="29"/>
      <c r="D14" s="35">
        <v>1</v>
      </c>
      <c r="E14" s="36">
        <v>0.4</v>
      </c>
      <c r="F14" s="29"/>
      <c r="G14" s="29"/>
      <c r="H14" s="29"/>
      <c r="I14" s="29"/>
      <c r="J14" s="30"/>
    </row>
    <row r="15" spans="1:10" x14ac:dyDescent="0.2">
      <c r="A15" s="32"/>
      <c r="B15" s="29"/>
      <c r="C15" s="29"/>
      <c r="D15" s="37">
        <v>2</v>
      </c>
      <c r="E15" s="38">
        <v>8.6999999999999993</v>
      </c>
      <c r="F15" s="29"/>
      <c r="G15" s="29"/>
      <c r="H15" s="29"/>
      <c r="I15" s="29"/>
      <c r="J15" s="30"/>
    </row>
    <row r="16" spans="1:10" x14ac:dyDescent="0.2">
      <c r="A16" s="32"/>
      <c r="B16" s="29"/>
      <c r="C16" s="29"/>
      <c r="D16" s="37">
        <v>3</v>
      </c>
      <c r="E16" s="38">
        <v>22.7</v>
      </c>
      <c r="F16" s="29"/>
      <c r="G16" s="29"/>
      <c r="H16" s="29"/>
      <c r="I16" s="29"/>
      <c r="J16" s="30"/>
    </row>
    <row r="17" spans="1:10" x14ac:dyDescent="0.2">
      <c r="A17" s="32"/>
      <c r="B17" s="29"/>
      <c r="C17" s="29"/>
      <c r="D17" s="37">
        <v>4</v>
      </c>
      <c r="E17" s="38">
        <v>92.6</v>
      </c>
      <c r="F17" s="29"/>
      <c r="G17" s="29"/>
      <c r="H17" s="29"/>
      <c r="I17" s="29"/>
      <c r="J17" s="30"/>
    </row>
    <row r="18" spans="1:10" x14ac:dyDescent="0.2">
      <c r="A18" s="32"/>
      <c r="B18" s="29"/>
      <c r="C18" s="29"/>
      <c r="D18" s="37">
        <v>5</v>
      </c>
      <c r="E18" s="38">
        <v>68.400000000000006</v>
      </c>
      <c r="F18" s="29"/>
      <c r="G18" s="29"/>
      <c r="H18" s="29"/>
      <c r="I18" s="29"/>
      <c r="J18" s="30"/>
    </row>
    <row r="19" spans="1:10" x14ac:dyDescent="0.2">
      <c r="A19" s="32"/>
      <c r="B19" s="29"/>
      <c r="C19" s="29"/>
      <c r="D19" s="37">
        <v>6</v>
      </c>
      <c r="E19" s="38">
        <v>45.6</v>
      </c>
      <c r="F19" s="29"/>
      <c r="G19" s="29"/>
      <c r="H19" s="29"/>
      <c r="I19" s="29"/>
      <c r="J19" s="30"/>
    </row>
    <row r="20" spans="1:10" x14ac:dyDescent="0.2">
      <c r="A20" s="32"/>
      <c r="B20" s="29"/>
      <c r="C20" s="29"/>
      <c r="D20" s="37">
        <v>7</v>
      </c>
      <c r="E20" s="38">
        <v>93.6</v>
      </c>
      <c r="F20" s="29"/>
      <c r="G20" s="29"/>
      <c r="H20" s="29"/>
      <c r="I20" s="29"/>
      <c r="J20" s="30"/>
    </row>
    <row r="21" spans="1:10" x14ac:dyDescent="0.2">
      <c r="A21" s="32"/>
      <c r="B21" s="29"/>
      <c r="C21" s="29"/>
      <c r="D21" s="37">
        <v>8</v>
      </c>
      <c r="E21" s="38">
        <v>87.4</v>
      </c>
      <c r="F21" s="29"/>
      <c r="G21" s="29"/>
      <c r="H21" s="29"/>
      <c r="I21" s="29"/>
      <c r="J21" s="30"/>
    </row>
    <row r="22" spans="1:10" x14ac:dyDescent="0.2">
      <c r="A22" s="32"/>
      <c r="B22" s="29"/>
      <c r="C22" s="29"/>
      <c r="D22" s="37">
        <v>9</v>
      </c>
      <c r="E22" s="38">
        <v>9.6999999999999993</v>
      </c>
      <c r="F22" s="29"/>
      <c r="G22" s="29"/>
      <c r="H22" s="29"/>
      <c r="I22" s="29"/>
      <c r="J22" s="30"/>
    </row>
    <row r="23" spans="1:10" x14ac:dyDescent="0.2">
      <c r="A23" s="32"/>
      <c r="B23" s="29"/>
      <c r="C23" s="29"/>
      <c r="D23" s="39">
        <v>10</v>
      </c>
      <c r="E23" s="40">
        <v>2.1</v>
      </c>
      <c r="F23" s="29"/>
      <c r="G23" s="29"/>
      <c r="H23" s="29"/>
      <c r="I23" s="29"/>
      <c r="J23" s="30"/>
    </row>
    <row r="24" spans="1:10" x14ac:dyDescent="0.2">
      <c r="A24" s="32"/>
      <c r="B24" s="29"/>
      <c r="C24" s="29"/>
      <c r="D24" s="29"/>
      <c r="E24" s="29"/>
      <c r="F24" s="29"/>
      <c r="G24" s="29"/>
      <c r="H24" s="29"/>
      <c r="I24" s="29"/>
      <c r="J24" s="30"/>
    </row>
    <row r="25" spans="1:10" x14ac:dyDescent="0.2">
      <c r="A25" s="32"/>
      <c r="B25" s="29"/>
      <c r="C25" s="29"/>
      <c r="D25" s="29"/>
      <c r="E25" s="29"/>
      <c r="F25" s="29"/>
      <c r="G25" s="29"/>
      <c r="H25" s="29"/>
      <c r="I25" s="29"/>
      <c r="J25" s="30"/>
    </row>
    <row r="26" spans="1:10" x14ac:dyDescent="0.2">
      <c r="A26" s="32"/>
      <c r="B26" s="29" t="s">
        <v>10</v>
      </c>
      <c r="C26" s="29"/>
      <c r="D26" s="29"/>
      <c r="E26" s="29"/>
      <c r="F26" s="29"/>
      <c r="G26" s="29"/>
      <c r="H26" s="29"/>
      <c r="I26" s="29"/>
      <c r="J26" s="30"/>
    </row>
    <row r="27" spans="1:10" x14ac:dyDescent="0.2">
      <c r="A27" s="32"/>
      <c r="B27" s="29" t="s">
        <v>18</v>
      </c>
      <c r="C27" s="29"/>
      <c r="D27" s="29"/>
      <c r="E27" s="29"/>
      <c r="F27" s="29"/>
      <c r="G27" s="29"/>
      <c r="H27" s="29"/>
      <c r="I27" s="29"/>
      <c r="J27" s="30"/>
    </row>
    <row r="28" spans="1:10" x14ac:dyDescent="0.2">
      <c r="A28" s="32"/>
      <c r="B28" s="29"/>
      <c r="C28" s="29"/>
      <c r="D28" s="29"/>
      <c r="E28" s="29"/>
      <c r="F28" s="29"/>
      <c r="G28" s="29"/>
      <c r="H28" s="29"/>
      <c r="I28" s="29"/>
      <c r="J28" s="30"/>
    </row>
    <row r="29" spans="1:10" x14ac:dyDescent="0.2">
      <c r="A29" s="32"/>
      <c r="B29" s="29" t="s">
        <v>9</v>
      </c>
      <c r="C29" s="29"/>
      <c r="D29" s="29"/>
      <c r="E29" s="29"/>
      <c r="F29" s="29"/>
      <c r="G29" s="29"/>
      <c r="H29" s="29"/>
      <c r="I29" s="29"/>
      <c r="J29" s="30"/>
    </row>
    <row r="30" spans="1:10" x14ac:dyDescent="0.2">
      <c r="A30" s="32"/>
      <c r="B30" s="29" t="s">
        <v>19</v>
      </c>
      <c r="C30" s="29"/>
      <c r="D30" s="29"/>
      <c r="E30" s="29"/>
      <c r="F30" s="29"/>
      <c r="G30" s="29"/>
      <c r="H30" s="29"/>
      <c r="I30" s="29"/>
      <c r="J30" s="30"/>
    </row>
    <row r="31" spans="1:10" x14ac:dyDescent="0.2">
      <c r="A31" s="32"/>
      <c r="B31" s="29"/>
      <c r="C31" s="29"/>
      <c r="D31" s="29"/>
      <c r="E31" s="29"/>
      <c r="F31" s="29"/>
      <c r="G31" s="29"/>
      <c r="H31" s="29"/>
      <c r="I31" s="29"/>
      <c r="J31" s="30"/>
    </row>
    <row r="32" spans="1:10" x14ac:dyDescent="0.2">
      <c r="A32" s="32"/>
      <c r="B32" s="29" t="s">
        <v>20</v>
      </c>
      <c r="C32" s="29"/>
      <c r="D32" s="29"/>
      <c r="E32" s="29"/>
      <c r="F32" s="29"/>
      <c r="G32" s="29"/>
      <c r="H32" s="29"/>
      <c r="I32" s="29"/>
      <c r="J32" s="30"/>
    </row>
    <row r="33" spans="1:13" x14ac:dyDescent="0.2">
      <c r="A33" s="32"/>
      <c r="B33" s="29" t="s">
        <v>21</v>
      </c>
      <c r="C33" s="29"/>
      <c r="D33" s="29"/>
      <c r="E33" s="29"/>
      <c r="F33" s="29"/>
      <c r="G33" s="29"/>
      <c r="H33" s="29"/>
      <c r="I33" s="29"/>
      <c r="J33" s="30"/>
    </row>
    <row r="34" spans="1:13" ht="17" thickBot="1" x14ac:dyDescent="0.25">
      <c r="A34" s="41"/>
      <c r="B34" s="42"/>
      <c r="C34" s="43"/>
      <c r="D34" s="43"/>
      <c r="E34" s="43"/>
      <c r="F34" s="42"/>
      <c r="G34" s="42"/>
      <c r="H34" s="42"/>
      <c r="I34" s="42"/>
      <c r="J34" s="44"/>
    </row>
    <row r="36" spans="1:13" ht="19" x14ac:dyDescent="0.25">
      <c r="A36" s="22" t="s">
        <v>8</v>
      </c>
    </row>
    <row r="37" spans="1:13" x14ac:dyDescent="0.2">
      <c r="A37" s="23" t="s">
        <v>22</v>
      </c>
      <c r="C37" s="45"/>
    </row>
    <row r="38" spans="1:13" x14ac:dyDescent="0.2">
      <c r="A38" s="46" t="s">
        <v>7</v>
      </c>
      <c r="B38" s="24" t="s">
        <v>23</v>
      </c>
    </row>
    <row r="39" spans="1:13" x14ac:dyDescent="0.2">
      <c r="A39" s="46"/>
      <c r="B39" s="24"/>
    </row>
    <row r="40" spans="1:13" x14ac:dyDescent="0.2">
      <c r="C40" s="350" t="s">
        <v>24</v>
      </c>
      <c r="D40" s="350"/>
      <c r="M40" s="25"/>
    </row>
    <row r="41" spans="1:13" x14ac:dyDescent="0.2">
      <c r="C41" s="47" t="s">
        <v>25</v>
      </c>
      <c r="D41" s="48" t="s">
        <v>26</v>
      </c>
      <c r="M41" s="25"/>
    </row>
    <row r="42" spans="1:13" x14ac:dyDescent="0.2">
      <c r="C42" s="49" t="s">
        <v>27</v>
      </c>
      <c r="D42" s="50">
        <v>4</v>
      </c>
      <c r="M42" s="25"/>
    </row>
    <row r="43" spans="1:13" x14ac:dyDescent="0.2">
      <c r="C43" s="49" t="s">
        <v>28</v>
      </c>
      <c r="D43" s="50">
        <v>1</v>
      </c>
      <c r="M43" s="25"/>
    </row>
    <row r="44" spans="1:13" x14ac:dyDescent="0.2">
      <c r="C44" s="49" t="s">
        <v>29</v>
      </c>
      <c r="D44" s="50">
        <v>1</v>
      </c>
      <c r="M44" s="25"/>
    </row>
    <row r="45" spans="1:13" x14ac:dyDescent="0.2">
      <c r="C45" s="49" t="s">
        <v>30</v>
      </c>
      <c r="D45" s="50">
        <v>1</v>
      </c>
      <c r="M45" s="25"/>
    </row>
    <row r="46" spans="1:13" x14ac:dyDescent="0.2">
      <c r="C46" s="49" t="s">
        <v>31</v>
      </c>
      <c r="D46" s="50">
        <v>3</v>
      </c>
      <c r="M46" s="25"/>
    </row>
    <row r="47" spans="1:13" x14ac:dyDescent="0.2">
      <c r="L47" s="25"/>
    </row>
    <row r="48" spans="1:13" x14ac:dyDescent="0.2">
      <c r="A48" s="46" t="s">
        <v>6</v>
      </c>
      <c r="B48" s="24" t="s">
        <v>32</v>
      </c>
      <c r="L48" s="25"/>
    </row>
    <row r="49" spans="1:12" x14ac:dyDescent="0.2">
      <c r="L49" s="25"/>
    </row>
    <row r="50" spans="1:12" x14ac:dyDescent="0.2">
      <c r="L50" s="25"/>
    </row>
    <row r="51" spans="1:12" x14ac:dyDescent="0.2">
      <c r="L51" s="25"/>
    </row>
    <row r="52" spans="1:12" x14ac:dyDescent="0.2">
      <c r="L52" s="25"/>
    </row>
    <row r="53" spans="1:12" x14ac:dyDescent="0.2">
      <c r="L53" s="25"/>
    </row>
    <row r="54" spans="1:12" x14ac:dyDescent="0.2">
      <c r="L54" s="25"/>
    </row>
    <row r="55" spans="1:12" x14ac:dyDescent="0.2">
      <c r="L55" s="25"/>
    </row>
    <row r="56" spans="1:12" x14ac:dyDescent="0.2">
      <c r="L56" s="25"/>
    </row>
    <row r="57" spans="1:12" x14ac:dyDescent="0.2">
      <c r="L57" s="25"/>
    </row>
    <row r="58" spans="1:12" x14ac:dyDescent="0.2">
      <c r="L58" s="25"/>
    </row>
    <row r="59" spans="1:12" x14ac:dyDescent="0.2">
      <c r="L59" s="25"/>
    </row>
    <row r="60" spans="1:12" x14ac:dyDescent="0.2">
      <c r="L60" s="25"/>
    </row>
    <row r="61" spans="1:12" x14ac:dyDescent="0.2">
      <c r="L61" s="25"/>
    </row>
    <row r="62" spans="1:12" x14ac:dyDescent="0.2">
      <c r="A62" s="23" t="s">
        <v>33</v>
      </c>
      <c r="C62" s="45"/>
    </row>
    <row r="63" spans="1:12" x14ac:dyDescent="0.2">
      <c r="A63" s="46" t="s">
        <v>5</v>
      </c>
      <c r="B63" s="351" t="s">
        <v>34</v>
      </c>
      <c r="C63" s="351"/>
      <c r="D63" s="351"/>
      <c r="E63" s="351"/>
      <c r="F63" s="351"/>
      <c r="G63" s="351"/>
      <c r="H63" s="351"/>
      <c r="I63" s="351"/>
    </row>
    <row r="64" spans="1:12" x14ac:dyDescent="0.2">
      <c r="A64" s="23"/>
      <c r="B64" s="351"/>
      <c r="C64" s="351"/>
      <c r="D64" s="351"/>
      <c r="E64" s="351"/>
      <c r="F64" s="351"/>
      <c r="G64" s="351"/>
      <c r="H64" s="351"/>
      <c r="I64" s="351"/>
    </row>
    <row r="65" spans="1:9" x14ac:dyDescent="0.2">
      <c r="A65" s="23"/>
      <c r="B65" s="51"/>
      <c r="C65" s="51"/>
      <c r="D65" s="51"/>
      <c r="E65" s="51"/>
      <c r="F65" s="51"/>
      <c r="G65" s="51"/>
      <c r="H65" s="51"/>
      <c r="I65" s="51"/>
    </row>
    <row r="66" spans="1:9" x14ac:dyDescent="0.2">
      <c r="A66" s="23"/>
      <c r="B66" s="51"/>
      <c r="C66" s="51"/>
      <c r="D66" s="51"/>
      <c r="E66" s="51"/>
      <c r="F66" s="51"/>
      <c r="G66" s="51"/>
      <c r="H66" s="51"/>
      <c r="I66" s="51"/>
    </row>
    <row r="67" spans="1:9" x14ac:dyDescent="0.2">
      <c r="A67" s="23"/>
      <c r="B67" s="51"/>
      <c r="C67" s="51"/>
      <c r="D67" s="51"/>
      <c r="E67" s="51"/>
      <c r="F67" s="51"/>
      <c r="G67" s="51"/>
      <c r="H67" s="51"/>
      <c r="I67" s="51"/>
    </row>
    <row r="68" spans="1:9" x14ac:dyDescent="0.2">
      <c r="A68" s="23"/>
      <c r="C68" s="45"/>
    </row>
    <row r="69" spans="1:9" x14ac:dyDescent="0.2">
      <c r="A69" s="23"/>
      <c r="C69" s="45"/>
    </row>
    <row r="70" spans="1:9" x14ac:dyDescent="0.2">
      <c r="A70" s="23"/>
      <c r="C70" s="45"/>
    </row>
    <row r="71" spans="1:9" x14ac:dyDescent="0.2">
      <c r="A71" s="23"/>
      <c r="C71" s="45"/>
    </row>
    <row r="72" spans="1:9" x14ac:dyDescent="0.2">
      <c r="C72" s="352" t="s">
        <v>35</v>
      </c>
      <c r="D72" s="354" t="s">
        <v>36</v>
      </c>
      <c r="E72" s="356" t="s">
        <v>37</v>
      </c>
      <c r="F72" s="352" t="s">
        <v>38</v>
      </c>
      <c r="G72" s="356" t="s">
        <v>39</v>
      </c>
    </row>
    <row r="73" spans="1:9" x14ac:dyDescent="0.2">
      <c r="C73" s="353"/>
      <c r="D73" s="355"/>
      <c r="E73" s="357"/>
      <c r="F73" s="353"/>
      <c r="G73" s="357"/>
    </row>
    <row r="74" spans="1:9" x14ac:dyDescent="0.2">
      <c r="C74" s="52">
        <v>1</v>
      </c>
      <c r="D74" s="50">
        <v>1</v>
      </c>
      <c r="E74" s="53" cm="1">
        <f t="array" ref="E74:E83">_xlfn._xlws.SORT($E$14:$E$23,C74)</f>
        <v>0.4</v>
      </c>
      <c r="F74" s="54">
        <f t="shared" ref="F74:F83" si="0">100*C74/(10+1)</f>
        <v>9.0909090909090917</v>
      </c>
      <c r="G74" s="55">
        <f t="shared" ref="G74:G83" si="1">E74-F74</f>
        <v>-8.6909090909090914</v>
      </c>
    </row>
    <row r="75" spans="1:9" x14ac:dyDescent="0.2">
      <c r="C75" s="52">
        <v>2</v>
      </c>
      <c r="D75" s="50">
        <v>10</v>
      </c>
      <c r="E75" s="53">
        <v>2.1</v>
      </c>
      <c r="F75" s="54">
        <f t="shared" si="0"/>
        <v>18.181818181818183</v>
      </c>
      <c r="G75" s="55">
        <f t="shared" si="1"/>
        <v>-16.081818181818182</v>
      </c>
    </row>
    <row r="76" spans="1:9" x14ac:dyDescent="0.2">
      <c r="C76" s="52">
        <v>3</v>
      </c>
      <c r="D76" s="50">
        <v>2</v>
      </c>
      <c r="E76" s="53">
        <v>8.6999999999999993</v>
      </c>
      <c r="F76" s="54">
        <f t="shared" si="0"/>
        <v>27.272727272727273</v>
      </c>
      <c r="G76" s="55">
        <f t="shared" si="1"/>
        <v>-18.572727272727274</v>
      </c>
    </row>
    <row r="77" spans="1:9" x14ac:dyDescent="0.2">
      <c r="C77" s="52">
        <v>4</v>
      </c>
      <c r="D77" s="50">
        <v>9</v>
      </c>
      <c r="E77" s="53">
        <v>9.6999999999999993</v>
      </c>
      <c r="F77" s="54">
        <f t="shared" si="0"/>
        <v>36.363636363636367</v>
      </c>
      <c r="G77" s="55">
        <f t="shared" si="1"/>
        <v>-26.663636363636368</v>
      </c>
    </row>
    <row r="78" spans="1:9" x14ac:dyDescent="0.2">
      <c r="C78" s="52">
        <v>5</v>
      </c>
      <c r="D78" s="50">
        <v>3</v>
      </c>
      <c r="E78" s="53">
        <v>22.7</v>
      </c>
      <c r="F78" s="54">
        <f t="shared" si="0"/>
        <v>45.454545454545453</v>
      </c>
      <c r="G78" s="55">
        <f t="shared" si="1"/>
        <v>-22.754545454545454</v>
      </c>
    </row>
    <row r="79" spans="1:9" x14ac:dyDescent="0.2">
      <c r="C79" s="52">
        <v>6</v>
      </c>
      <c r="D79" s="50">
        <v>6</v>
      </c>
      <c r="E79" s="53">
        <v>45.6</v>
      </c>
      <c r="F79" s="54">
        <f t="shared" si="0"/>
        <v>54.545454545454547</v>
      </c>
      <c r="G79" s="55">
        <f t="shared" si="1"/>
        <v>-8.9454545454545453</v>
      </c>
    </row>
    <row r="80" spans="1:9" x14ac:dyDescent="0.2">
      <c r="C80" s="52">
        <v>7</v>
      </c>
      <c r="D80" s="50">
        <v>5</v>
      </c>
      <c r="E80" s="53">
        <v>68.400000000000006</v>
      </c>
      <c r="F80" s="54">
        <f t="shared" si="0"/>
        <v>63.636363636363633</v>
      </c>
      <c r="G80" s="55">
        <f t="shared" si="1"/>
        <v>4.7636363636363726</v>
      </c>
    </row>
    <row r="81" spans="1:9" x14ac:dyDescent="0.2">
      <c r="C81" s="52">
        <v>8</v>
      </c>
      <c r="D81" s="50">
        <v>8</v>
      </c>
      <c r="E81" s="53">
        <v>87.4</v>
      </c>
      <c r="F81" s="54">
        <f t="shared" si="0"/>
        <v>72.727272727272734</v>
      </c>
      <c r="G81" s="55">
        <f t="shared" si="1"/>
        <v>14.672727272727272</v>
      </c>
    </row>
    <row r="82" spans="1:9" x14ac:dyDescent="0.2">
      <c r="C82" s="52">
        <v>9</v>
      </c>
      <c r="D82" s="50">
        <v>4</v>
      </c>
      <c r="E82" s="53">
        <v>92.6</v>
      </c>
      <c r="F82" s="54">
        <f t="shared" si="0"/>
        <v>81.818181818181813</v>
      </c>
      <c r="G82" s="55">
        <f t="shared" si="1"/>
        <v>10.781818181818181</v>
      </c>
    </row>
    <row r="83" spans="1:9" x14ac:dyDescent="0.2">
      <c r="C83" s="52">
        <v>10</v>
      </c>
      <c r="D83" s="50">
        <v>7</v>
      </c>
      <c r="E83" s="53">
        <v>93.6</v>
      </c>
      <c r="F83" s="54">
        <f t="shared" si="0"/>
        <v>90.909090909090907</v>
      </c>
      <c r="G83" s="55">
        <f t="shared" si="1"/>
        <v>2.6909090909090878</v>
      </c>
    </row>
    <row r="85" spans="1:9" x14ac:dyDescent="0.2">
      <c r="B85" s="24" t="s">
        <v>40</v>
      </c>
    </row>
    <row r="86" spans="1:9" x14ac:dyDescent="0.2">
      <c r="B86" s="24"/>
    </row>
    <row r="87" spans="1:9" ht="15.5" customHeight="1" x14ac:dyDescent="0.2">
      <c r="A87" s="46" t="s">
        <v>5</v>
      </c>
      <c r="B87" s="24" t="s">
        <v>41</v>
      </c>
      <c r="C87" s="56"/>
      <c r="D87" s="56"/>
      <c r="E87" s="56"/>
      <c r="F87" s="56"/>
      <c r="G87" s="56"/>
      <c r="H87" s="56"/>
      <c r="I87" s="56"/>
    </row>
    <row r="88" spans="1:9" ht="15.5" customHeight="1" x14ac:dyDescent="0.2">
      <c r="A88" s="46"/>
      <c r="B88" s="24"/>
      <c r="C88" s="56"/>
      <c r="D88" s="56"/>
      <c r="E88" s="56"/>
      <c r="F88" s="56"/>
      <c r="G88" s="56"/>
      <c r="H88" s="56"/>
      <c r="I88" s="56"/>
    </row>
    <row r="89" spans="1:9" ht="15.5" customHeight="1" x14ac:dyDescent="0.2">
      <c r="A89" s="46"/>
      <c r="B89" s="31" t="s">
        <v>42</v>
      </c>
      <c r="C89" s="56"/>
      <c r="D89" s="56"/>
      <c r="E89" s="56"/>
      <c r="F89" s="56"/>
      <c r="G89" s="56"/>
      <c r="H89" s="56"/>
      <c r="I89" s="56"/>
    </row>
    <row r="90" spans="1:9" ht="15.5" customHeight="1" x14ac:dyDescent="0.2">
      <c r="A90" s="46"/>
      <c r="B90" s="31" t="s">
        <v>43</v>
      </c>
      <c r="C90" s="56"/>
      <c r="D90" s="56"/>
      <c r="E90" s="56"/>
      <c r="F90" s="56"/>
      <c r="G90" s="56"/>
      <c r="H90" s="56"/>
      <c r="I90" s="56"/>
    </row>
    <row r="91" spans="1:9" ht="15.5" customHeight="1" x14ac:dyDescent="0.2">
      <c r="A91" s="23"/>
      <c r="B91" s="56"/>
      <c r="C91" s="56"/>
      <c r="D91" s="56"/>
      <c r="E91" s="56"/>
      <c r="F91" s="56"/>
      <c r="G91" s="56"/>
      <c r="H91" s="56"/>
      <c r="I91" s="56"/>
    </row>
    <row r="100" spans="1:14" x14ac:dyDescent="0.2">
      <c r="C100" s="45"/>
    </row>
    <row r="101" spans="1:14" x14ac:dyDescent="0.2">
      <c r="M101" s="45"/>
    </row>
    <row r="102" spans="1:14" ht="15" customHeight="1" x14ac:dyDescent="0.2">
      <c r="A102" s="23" t="s">
        <v>44</v>
      </c>
      <c r="L102" s="25"/>
      <c r="M102" s="25"/>
      <c r="N102" s="25"/>
    </row>
    <row r="103" spans="1:14" x14ac:dyDescent="0.2">
      <c r="B103" s="347" t="s">
        <v>45</v>
      </c>
      <c r="C103" s="347"/>
      <c r="D103" s="347"/>
      <c r="E103" s="347"/>
      <c r="F103" s="347"/>
      <c r="G103" s="347"/>
      <c r="H103" s="347"/>
      <c r="I103" s="347"/>
      <c r="L103" s="25"/>
      <c r="M103" s="25"/>
      <c r="N103" s="25"/>
    </row>
    <row r="104" spans="1:14" x14ac:dyDescent="0.2">
      <c r="B104" s="347"/>
      <c r="C104" s="347"/>
      <c r="D104" s="347"/>
      <c r="E104" s="347"/>
      <c r="F104" s="347"/>
      <c r="G104" s="347"/>
      <c r="H104" s="347"/>
      <c r="I104" s="347"/>
      <c r="L104" s="25"/>
      <c r="M104" s="25"/>
      <c r="N104" s="25"/>
    </row>
    <row r="105" spans="1:14" x14ac:dyDescent="0.2">
      <c r="L105" s="25"/>
      <c r="M105" s="25"/>
      <c r="N105" s="25"/>
    </row>
    <row r="106" spans="1:14" x14ac:dyDescent="0.2">
      <c r="B106" s="347" t="s">
        <v>46</v>
      </c>
      <c r="C106" s="347"/>
      <c r="D106" s="347"/>
      <c r="E106" s="347"/>
      <c r="F106" s="347"/>
      <c r="G106" s="347"/>
      <c r="H106" s="347"/>
      <c r="I106" s="347"/>
    </row>
    <row r="107" spans="1:14" x14ac:dyDescent="0.2">
      <c r="B107" s="347"/>
      <c r="C107" s="347"/>
      <c r="D107" s="347"/>
      <c r="E107" s="347"/>
      <c r="F107" s="347"/>
      <c r="G107" s="347"/>
      <c r="H107" s="347"/>
      <c r="I107" s="347"/>
      <c r="L107" s="25"/>
      <c r="M107" s="25"/>
      <c r="N107" s="25"/>
    </row>
    <row r="108" spans="1:14" x14ac:dyDescent="0.2">
      <c r="L108" s="25"/>
      <c r="M108" s="25"/>
      <c r="N108" s="25"/>
    </row>
    <row r="109" spans="1:14" x14ac:dyDescent="0.2">
      <c r="B109" s="347" t="s">
        <v>47</v>
      </c>
      <c r="C109" s="347"/>
      <c r="D109" s="347"/>
      <c r="E109" s="347"/>
      <c r="F109" s="347"/>
      <c r="G109" s="347"/>
      <c r="H109" s="347"/>
      <c r="I109" s="347"/>
      <c r="L109" s="25"/>
      <c r="M109" s="25"/>
      <c r="N109" s="25"/>
    </row>
    <row r="110" spans="1:14" x14ac:dyDescent="0.2">
      <c r="B110" s="347"/>
      <c r="C110" s="347"/>
      <c r="D110" s="347"/>
      <c r="E110" s="347"/>
      <c r="F110" s="347"/>
      <c r="G110" s="347"/>
      <c r="H110" s="347"/>
      <c r="I110" s="347"/>
      <c r="L110" s="25"/>
      <c r="M110" s="25"/>
      <c r="N110" s="25"/>
    </row>
    <row r="111" spans="1:14" x14ac:dyDescent="0.2">
      <c r="B111" s="57"/>
      <c r="C111" s="57"/>
      <c r="D111" s="57"/>
      <c r="E111" s="57"/>
      <c r="F111" s="57"/>
      <c r="G111" s="57"/>
      <c r="H111" s="57"/>
      <c r="I111" s="57"/>
      <c r="L111" s="25"/>
      <c r="M111" s="25"/>
      <c r="N111" s="25"/>
    </row>
    <row r="112" spans="1:14" x14ac:dyDescent="0.2">
      <c r="B112" s="58" t="s">
        <v>48</v>
      </c>
      <c r="C112" s="57"/>
      <c r="D112" s="57"/>
      <c r="E112" s="57"/>
      <c r="F112" s="57"/>
      <c r="G112" s="57"/>
      <c r="H112" s="57"/>
      <c r="I112" s="57"/>
      <c r="L112" s="25"/>
      <c r="M112" s="25"/>
      <c r="N112" s="25"/>
    </row>
    <row r="113" spans="1:14" x14ac:dyDescent="0.2">
      <c r="L113" s="25"/>
      <c r="M113" s="25"/>
      <c r="N113" s="25"/>
    </row>
    <row r="114" spans="1:14" ht="19" x14ac:dyDescent="0.25">
      <c r="A114" s="22" t="s">
        <v>2</v>
      </c>
      <c r="L114" s="25"/>
      <c r="M114" s="25"/>
      <c r="N114" s="25"/>
    </row>
    <row r="115" spans="1:14" x14ac:dyDescent="0.2">
      <c r="B115" s="348" t="s">
        <v>49</v>
      </c>
      <c r="C115" s="345"/>
      <c r="D115" s="345"/>
      <c r="E115" s="345"/>
      <c r="F115" s="345"/>
      <c r="G115" s="345"/>
      <c r="H115" s="345"/>
      <c r="I115" s="345"/>
      <c r="L115" s="25"/>
      <c r="M115" s="25"/>
      <c r="N115" s="25"/>
    </row>
    <row r="116" spans="1:14" x14ac:dyDescent="0.2">
      <c r="B116" s="345"/>
      <c r="C116" s="345"/>
      <c r="D116" s="345"/>
      <c r="E116" s="345"/>
      <c r="F116" s="345"/>
      <c r="G116" s="345"/>
      <c r="H116" s="345"/>
      <c r="I116" s="345"/>
      <c r="L116" s="25"/>
      <c r="M116" s="25"/>
      <c r="N116" s="25"/>
    </row>
    <row r="117" spans="1:14" x14ac:dyDescent="0.2">
      <c r="B117" s="345"/>
      <c r="C117" s="345"/>
      <c r="D117" s="345"/>
      <c r="E117" s="345"/>
      <c r="F117" s="345"/>
      <c r="G117" s="345"/>
      <c r="H117" s="345"/>
      <c r="I117" s="345"/>
      <c r="L117" s="25"/>
      <c r="M117" s="25"/>
      <c r="N117" s="25"/>
    </row>
    <row r="118" spans="1:14" x14ac:dyDescent="0.2">
      <c r="B118" s="345"/>
      <c r="C118" s="345"/>
      <c r="D118" s="345"/>
      <c r="E118" s="345"/>
      <c r="F118" s="345"/>
      <c r="G118" s="345"/>
      <c r="H118" s="345"/>
      <c r="I118" s="345"/>
      <c r="L118" s="25"/>
      <c r="M118" s="25"/>
      <c r="N118" s="25"/>
    </row>
    <row r="119" spans="1:14" x14ac:dyDescent="0.2">
      <c r="B119" s="345"/>
      <c r="C119" s="345"/>
      <c r="D119" s="345"/>
      <c r="E119" s="345"/>
      <c r="F119" s="345"/>
      <c r="G119" s="345"/>
      <c r="H119" s="345"/>
      <c r="I119" s="345"/>
      <c r="L119" s="25"/>
      <c r="M119" s="25"/>
      <c r="N119" s="25"/>
    </row>
    <row r="120" spans="1:14" x14ac:dyDescent="0.2">
      <c r="B120" s="345"/>
      <c r="C120" s="345"/>
      <c r="D120" s="345"/>
      <c r="E120" s="345"/>
      <c r="F120" s="345"/>
      <c r="G120" s="345"/>
      <c r="H120" s="345"/>
      <c r="I120" s="345"/>
      <c r="L120" s="25"/>
      <c r="M120" s="25"/>
      <c r="N120" s="25"/>
    </row>
    <row r="121" spans="1:14" x14ac:dyDescent="0.2">
      <c r="B121" s="345"/>
      <c r="C121" s="345"/>
      <c r="D121" s="345"/>
      <c r="E121" s="345"/>
      <c r="F121" s="345"/>
      <c r="G121" s="345"/>
      <c r="H121" s="345"/>
      <c r="I121" s="345"/>
      <c r="L121" s="25"/>
      <c r="M121" s="25"/>
      <c r="N121" s="25"/>
    </row>
    <row r="122" spans="1:14" x14ac:dyDescent="0.2">
      <c r="B122" s="345"/>
      <c r="C122" s="345"/>
      <c r="D122" s="345"/>
      <c r="E122" s="345"/>
      <c r="F122" s="345"/>
      <c r="G122" s="345"/>
      <c r="H122" s="345"/>
      <c r="I122" s="345"/>
      <c r="L122" s="25"/>
      <c r="M122" s="25"/>
      <c r="N122" s="25"/>
    </row>
    <row r="123" spans="1:14" x14ac:dyDescent="0.2">
      <c r="B123" s="345"/>
      <c r="C123" s="345"/>
      <c r="D123" s="345"/>
      <c r="E123" s="345"/>
      <c r="F123" s="345"/>
      <c r="G123" s="345"/>
      <c r="H123" s="345"/>
      <c r="I123" s="345"/>
      <c r="L123" s="25"/>
      <c r="M123" s="25"/>
      <c r="N123" s="25"/>
    </row>
    <row r="124" spans="1:14" x14ac:dyDescent="0.2">
      <c r="B124" s="345"/>
      <c r="C124" s="345"/>
      <c r="D124" s="345"/>
      <c r="E124" s="345"/>
      <c r="F124" s="345"/>
      <c r="G124" s="345"/>
      <c r="H124" s="345"/>
      <c r="I124" s="345"/>
      <c r="L124" s="25"/>
      <c r="M124" s="25"/>
      <c r="N124" s="25"/>
    </row>
    <row r="125" spans="1:14" x14ac:dyDescent="0.2">
      <c r="B125" s="345"/>
      <c r="C125" s="345"/>
      <c r="D125" s="345"/>
      <c r="E125" s="345"/>
      <c r="F125" s="345"/>
      <c r="G125" s="345"/>
      <c r="H125" s="345"/>
      <c r="I125" s="345"/>
      <c r="L125" s="25"/>
      <c r="M125" s="25"/>
      <c r="N125" s="25"/>
    </row>
    <row r="126" spans="1:14" x14ac:dyDescent="0.2">
      <c r="L126" s="25"/>
      <c r="M126" s="25"/>
      <c r="N126" s="25"/>
    </row>
    <row r="127" spans="1:14" ht="19" x14ac:dyDescent="0.25">
      <c r="B127" s="26" t="s">
        <v>50</v>
      </c>
      <c r="L127" s="25"/>
      <c r="M127" s="25"/>
      <c r="N127" s="25"/>
    </row>
    <row r="128" spans="1:14" x14ac:dyDescent="0.2">
      <c r="B128" s="345" t="s">
        <v>51</v>
      </c>
      <c r="C128" s="345"/>
      <c r="D128" s="345"/>
      <c r="E128" s="345"/>
      <c r="F128" s="345"/>
      <c r="G128" s="345"/>
      <c r="H128" s="345"/>
      <c r="I128" s="345"/>
      <c r="L128" s="25"/>
      <c r="M128" s="25"/>
      <c r="N128" s="25"/>
    </row>
    <row r="129" spans="2:14" x14ac:dyDescent="0.2">
      <c r="B129" s="345"/>
      <c r="C129" s="345"/>
      <c r="D129" s="345"/>
      <c r="E129" s="345"/>
      <c r="F129" s="345"/>
      <c r="G129" s="345"/>
      <c r="H129" s="345"/>
      <c r="I129" s="345"/>
      <c r="L129" s="25"/>
      <c r="M129" s="25"/>
      <c r="N129" s="25"/>
    </row>
    <row r="130" spans="2:14" x14ac:dyDescent="0.2">
      <c r="B130" s="345"/>
      <c r="C130" s="345"/>
      <c r="D130" s="345"/>
      <c r="E130" s="345"/>
      <c r="F130" s="345"/>
      <c r="G130" s="345"/>
      <c r="H130" s="345"/>
      <c r="I130" s="345"/>
      <c r="L130" s="25"/>
      <c r="M130" s="25"/>
      <c r="N130" s="25"/>
    </row>
    <row r="131" spans="2:14" x14ac:dyDescent="0.2">
      <c r="B131" s="345"/>
      <c r="C131" s="345"/>
      <c r="D131" s="345"/>
      <c r="E131" s="345"/>
      <c r="F131" s="345"/>
      <c r="G131" s="345"/>
      <c r="H131" s="345"/>
      <c r="I131" s="345"/>
      <c r="L131" s="25"/>
      <c r="M131" s="25"/>
      <c r="N131" s="25"/>
    </row>
    <row r="132" spans="2:14" x14ac:dyDescent="0.2">
      <c r="B132" s="345"/>
      <c r="C132" s="345"/>
      <c r="D132" s="345"/>
      <c r="E132" s="345"/>
      <c r="F132" s="345"/>
      <c r="G132" s="345"/>
      <c r="H132" s="345"/>
      <c r="I132" s="345"/>
      <c r="L132" s="25"/>
      <c r="M132" s="25"/>
      <c r="N132" s="25"/>
    </row>
    <row r="133" spans="2:14" x14ac:dyDescent="0.2">
      <c r="B133" s="345"/>
      <c r="C133" s="345"/>
      <c r="D133" s="345"/>
      <c r="E133" s="345"/>
      <c r="F133" s="345"/>
      <c r="G133" s="345"/>
      <c r="H133" s="345"/>
      <c r="I133" s="345"/>
      <c r="L133" s="25"/>
      <c r="M133" s="25"/>
      <c r="N133" s="25"/>
    </row>
    <row r="134" spans="2:14" x14ac:dyDescent="0.2">
      <c r="B134" s="345"/>
      <c r="C134" s="345"/>
      <c r="D134" s="345"/>
      <c r="E134" s="345"/>
      <c r="F134" s="345"/>
      <c r="G134" s="345"/>
      <c r="H134" s="345"/>
      <c r="I134" s="345"/>
      <c r="L134" s="25"/>
      <c r="M134" s="25"/>
      <c r="N134" s="25"/>
    </row>
    <row r="135" spans="2:14" x14ac:dyDescent="0.2">
      <c r="B135" s="345"/>
      <c r="C135" s="345"/>
      <c r="D135" s="345"/>
      <c r="E135" s="345"/>
      <c r="F135" s="345"/>
      <c r="G135" s="345"/>
      <c r="H135" s="345"/>
      <c r="I135" s="345"/>
      <c r="L135" s="25"/>
      <c r="M135" s="25"/>
      <c r="N135" s="25"/>
    </row>
    <row r="136" spans="2:14" x14ac:dyDescent="0.2">
      <c r="B136" s="345"/>
      <c r="C136" s="345"/>
      <c r="D136" s="345"/>
      <c r="E136" s="345"/>
      <c r="F136" s="345"/>
      <c r="G136" s="345"/>
      <c r="H136" s="345"/>
      <c r="I136" s="345"/>
      <c r="L136" s="25"/>
      <c r="M136" s="25"/>
      <c r="N136" s="25"/>
    </row>
    <row r="137" spans="2:14" x14ac:dyDescent="0.2">
      <c r="B137" s="345"/>
      <c r="C137" s="345"/>
      <c r="D137" s="345"/>
      <c r="E137" s="345"/>
      <c r="F137" s="345"/>
      <c r="G137" s="345"/>
      <c r="H137" s="345"/>
      <c r="I137" s="345"/>
      <c r="L137" s="25"/>
      <c r="M137" s="25"/>
      <c r="N137" s="25"/>
    </row>
    <row r="138" spans="2:14" x14ac:dyDescent="0.2">
      <c r="B138" s="345"/>
      <c r="C138" s="345"/>
      <c r="D138" s="345"/>
      <c r="E138" s="345"/>
      <c r="F138" s="345"/>
      <c r="G138" s="345"/>
      <c r="H138" s="345"/>
      <c r="I138" s="345"/>
      <c r="L138" s="25"/>
      <c r="M138" s="25"/>
      <c r="N138" s="25"/>
    </row>
    <row r="139" spans="2:14" x14ac:dyDescent="0.2">
      <c r="B139" s="345"/>
      <c r="C139" s="345"/>
      <c r="D139" s="345"/>
      <c r="E139" s="345"/>
      <c r="F139" s="345"/>
      <c r="G139" s="345"/>
      <c r="H139" s="345"/>
      <c r="I139" s="345"/>
      <c r="L139" s="25"/>
      <c r="M139" s="25"/>
      <c r="N139" s="25"/>
    </row>
    <row r="140" spans="2:14" x14ac:dyDescent="0.2">
      <c r="L140" s="25"/>
      <c r="M140" s="25"/>
      <c r="N140" s="25"/>
    </row>
    <row r="141" spans="2:14" x14ac:dyDescent="0.2">
      <c r="L141" s="25"/>
      <c r="M141" s="25"/>
      <c r="N141" s="25"/>
    </row>
    <row r="142" spans="2:14" x14ac:dyDescent="0.2">
      <c r="L142" s="25"/>
      <c r="M142" s="25"/>
      <c r="N142" s="25"/>
    </row>
    <row r="143" spans="2:14" x14ac:dyDescent="0.2">
      <c r="L143" s="25"/>
      <c r="M143" s="25"/>
      <c r="N143" s="25"/>
    </row>
    <row r="144" spans="2:14" x14ac:dyDescent="0.2">
      <c r="L144" s="25"/>
      <c r="M144" s="25"/>
      <c r="N144" s="25"/>
    </row>
    <row r="145" spans="2:14" x14ac:dyDescent="0.2">
      <c r="L145" s="25"/>
      <c r="M145" s="25"/>
      <c r="N145" s="25"/>
    </row>
    <row r="146" spans="2:14" x14ac:dyDescent="0.2">
      <c r="L146" s="25"/>
      <c r="M146" s="25"/>
      <c r="N146" s="25"/>
    </row>
    <row r="147" spans="2:14" x14ac:dyDescent="0.2">
      <c r="L147" s="25"/>
      <c r="M147" s="25"/>
      <c r="N147" s="25"/>
    </row>
    <row r="148" spans="2:14" x14ac:dyDescent="0.2">
      <c r="L148" s="25"/>
      <c r="M148" s="25"/>
      <c r="N148" s="25"/>
    </row>
    <row r="149" spans="2:14" x14ac:dyDescent="0.2">
      <c r="L149" s="25"/>
      <c r="M149" s="25"/>
      <c r="N149" s="25"/>
    </row>
    <row r="150" spans="2:14" x14ac:dyDescent="0.2">
      <c r="L150" s="25"/>
      <c r="M150" s="25"/>
      <c r="N150" s="25"/>
    </row>
    <row r="151" spans="2:14" x14ac:dyDescent="0.2">
      <c r="L151" s="25"/>
      <c r="M151" s="25"/>
      <c r="N151" s="25"/>
    </row>
    <row r="152" spans="2:14" x14ac:dyDescent="0.2">
      <c r="L152" s="25"/>
      <c r="M152" s="25"/>
      <c r="N152" s="25"/>
    </row>
    <row r="153" spans="2:14" x14ac:dyDescent="0.2">
      <c r="L153" s="25"/>
      <c r="M153" s="25"/>
      <c r="N153" s="25"/>
    </row>
    <row r="154" spans="2:14" x14ac:dyDescent="0.2">
      <c r="L154" s="25"/>
      <c r="M154" s="25"/>
      <c r="N154" s="25"/>
    </row>
    <row r="155" spans="2:14" x14ac:dyDescent="0.2">
      <c r="B155" s="345" t="s">
        <v>52</v>
      </c>
      <c r="C155" s="345"/>
      <c r="D155" s="345"/>
      <c r="E155" s="345"/>
      <c r="F155" s="345"/>
      <c r="G155" s="345"/>
      <c r="H155" s="345"/>
      <c r="I155" s="345"/>
      <c r="L155" s="25"/>
      <c r="M155" s="25"/>
      <c r="N155" s="25"/>
    </row>
    <row r="156" spans="2:14" x14ac:dyDescent="0.2">
      <c r="B156" s="345"/>
      <c r="C156" s="345"/>
      <c r="D156" s="345"/>
      <c r="E156" s="345"/>
      <c r="F156" s="345"/>
      <c r="G156" s="345"/>
      <c r="H156" s="345"/>
      <c r="I156" s="345"/>
      <c r="L156" s="25"/>
      <c r="M156" s="25"/>
      <c r="N156" s="25"/>
    </row>
    <row r="157" spans="2:14" x14ac:dyDescent="0.2">
      <c r="B157" s="345"/>
      <c r="C157" s="345"/>
      <c r="D157" s="345"/>
      <c r="E157" s="345"/>
      <c r="F157" s="345"/>
      <c r="G157" s="345"/>
      <c r="H157" s="345"/>
      <c r="I157" s="345"/>
      <c r="L157" s="25"/>
      <c r="M157" s="25"/>
      <c r="N157" s="25"/>
    </row>
    <row r="158" spans="2:14" x14ac:dyDescent="0.2">
      <c r="L158" s="25"/>
      <c r="M158" s="25"/>
      <c r="N158" s="25"/>
    </row>
    <row r="159" spans="2:14" x14ac:dyDescent="0.2">
      <c r="B159" s="24" t="s">
        <v>53</v>
      </c>
      <c r="L159" s="25"/>
      <c r="M159" s="25"/>
      <c r="N159" s="25"/>
    </row>
    <row r="160" spans="2:14" ht="18" customHeight="1" x14ac:dyDescent="0.2">
      <c r="B160" s="345" t="s">
        <v>54</v>
      </c>
      <c r="C160" s="345"/>
      <c r="D160" s="345"/>
      <c r="E160" s="345"/>
      <c r="F160" s="345"/>
      <c r="G160" s="345"/>
      <c r="H160" s="345"/>
      <c r="I160" s="345"/>
      <c r="L160" s="25"/>
      <c r="M160" s="25"/>
      <c r="N160" s="25"/>
    </row>
    <row r="161" spans="1:14" x14ac:dyDescent="0.2">
      <c r="B161" s="345"/>
      <c r="C161" s="345"/>
      <c r="D161" s="345"/>
      <c r="E161" s="345"/>
      <c r="F161" s="345"/>
      <c r="G161" s="345"/>
      <c r="H161" s="345"/>
      <c r="I161" s="345"/>
      <c r="L161" s="25"/>
      <c r="M161" s="25"/>
      <c r="N161" s="25"/>
    </row>
    <row r="162" spans="1:14" x14ac:dyDescent="0.2">
      <c r="L162" s="25"/>
      <c r="M162" s="25"/>
      <c r="N162" s="25"/>
    </row>
    <row r="163" spans="1:14" ht="19" x14ac:dyDescent="0.25">
      <c r="A163" s="22" t="s">
        <v>13</v>
      </c>
      <c r="L163" s="25"/>
      <c r="M163" s="25"/>
      <c r="N163" s="25"/>
    </row>
    <row r="164" spans="1:14" x14ac:dyDescent="0.2">
      <c r="B164" s="346" t="s">
        <v>104</v>
      </c>
      <c r="C164" s="345"/>
      <c r="D164" s="345"/>
      <c r="E164" s="345"/>
      <c r="F164" s="345"/>
      <c r="G164" s="345"/>
      <c r="H164" s="345"/>
      <c r="I164" s="345"/>
      <c r="L164" s="25"/>
      <c r="M164" s="25"/>
      <c r="N164" s="25"/>
    </row>
    <row r="165" spans="1:14" x14ac:dyDescent="0.2">
      <c r="B165" s="345"/>
      <c r="C165" s="345"/>
      <c r="D165" s="345"/>
      <c r="E165" s="345"/>
      <c r="F165" s="345"/>
      <c r="G165" s="345"/>
      <c r="H165" s="345"/>
      <c r="I165" s="345"/>
      <c r="L165" s="25"/>
      <c r="M165" s="25"/>
      <c r="N165" s="25"/>
    </row>
    <row r="166" spans="1:14" x14ac:dyDescent="0.2">
      <c r="B166" s="345"/>
      <c r="C166" s="345"/>
      <c r="D166" s="345"/>
      <c r="E166" s="345"/>
      <c r="F166" s="345"/>
      <c r="G166" s="345"/>
      <c r="H166" s="345"/>
      <c r="I166" s="345"/>
      <c r="L166" s="25"/>
      <c r="M166" s="25"/>
      <c r="N166" s="25"/>
    </row>
    <row r="167" spans="1:14" x14ac:dyDescent="0.2">
      <c r="L167" s="25"/>
      <c r="M167" s="25"/>
      <c r="N167" s="25"/>
    </row>
    <row r="168" spans="1:14" ht="19" x14ac:dyDescent="0.25">
      <c r="A168" s="22" t="s">
        <v>1</v>
      </c>
      <c r="M168" s="45"/>
    </row>
    <row r="169" spans="1:14" x14ac:dyDescent="0.2">
      <c r="B169" s="31" t="s">
        <v>126</v>
      </c>
      <c r="L169" s="25"/>
      <c r="M169" s="25"/>
      <c r="N169" s="25"/>
    </row>
    <row r="170" spans="1:14" x14ac:dyDescent="0.2">
      <c r="L170" s="25"/>
      <c r="M170" s="25"/>
      <c r="N170" s="25"/>
    </row>
    <row r="171" spans="1:14" ht="19" x14ac:dyDescent="0.25">
      <c r="A171" s="22" t="s">
        <v>0</v>
      </c>
      <c r="L171" s="25"/>
      <c r="M171" s="25"/>
      <c r="N171" s="25"/>
    </row>
    <row r="172" spans="1:14" x14ac:dyDescent="0.2">
      <c r="B172" s="31" t="s">
        <v>55</v>
      </c>
      <c r="L172" s="25"/>
      <c r="M172" s="25"/>
      <c r="N172" s="25"/>
    </row>
    <row r="173" spans="1:14" x14ac:dyDescent="0.2">
      <c r="L173" s="25"/>
      <c r="M173" s="25"/>
      <c r="N173" s="25"/>
    </row>
    <row r="174" spans="1:14" x14ac:dyDescent="0.2">
      <c r="L174" s="25"/>
      <c r="M174" s="25"/>
      <c r="N174" s="25"/>
    </row>
    <row r="175" spans="1:14" x14ac:dyDescent="0.2">
      <c r="L175" s="25"/>
      <c r="M175" s="25"/>
      <c r="N175" s="25"/>
    </row>
    <row r="176" spans="1:14" x14ac:dyDescent="0.2">
      <c r="L176" s="25"/>
      <c r="M176" s="25"/>
      <c r="N176" s="25"/>
    </row>
    <row r="177" spans="12:14" x14ac:dyDescent="0.2">
      <c r="L177" s="25"/>
      <c r="M177" s="25"/>
      <c r="N177" s="25"/>
    </row>
    <row r="178" spans="12:14" x14ac:dyDescent="0.2">
      <c r="M178" s="45"/>
    </row>
    <row r="179" spans="12:14" x14ac:dyDescent="0.2">
      <c r="L179" s="25"/>
      <c r="M179" s="25"/>
      <c r="N179" s="25"/>
    </row>
    <row r="180" spans="12:14" x14ac:dyDescent="0.2">
      <c r="L180" s="25"/>
      <c r="M180" s="25"/>
      <c r="N180" s="25"/>
    </row>
    <row r="181" spans="12:14" x14ac:dyDescent="0.2">
      <c r="L181" s="25"/>
      <c r="M181" s="25"/>
      <c r="N181" s="25"/>
    </row>
    <row r="182" spans="12:14" x14ac:dyDescent="0.2">
      <c r="L182" s="25"/>
      <c r="M182" s="25"/>
      <c r="N182" s="25"/>
    </row>
    <row r="183" spans="12:14" x14ac:dyDescent="0.2">
      <c r="L183" s="25"/>
      <c r="M183" s="25"/>
      <c r="N183" s="25"/>
    </row>
    <row r="184" spans="12:14" x14ac:dyDescent="0.2">
      <c r="L184" s="25"/>
      <c r="M184" s="25"/>
      <c r="N184" s="25"/>
    </row>
    <row r="185" spans="12:14" x14ac:dyDescent="0.2">
      <c r="L185" s="25"/>
      <c r="M185" s="25"/>
      <c r="N185" s="25"/>
    </row>
    <row r="186" spans="12:14" x14ac:dyDescent="0.2">
      <c r="L186" s="25"/>
      <c r="M186" s="25"/>
      <c r="N186" s="25"/>
    </row>
    <row r="187" spans="12:14" x14ac:dyDescent="0.2">
      <c r="L187" s="25"/>
      <c r="M187" s="25"/>
      <c r="N187" s="25"/>
    </row>
    <row r="188" spans="12:14" x14ac:dyDescent="0.2">
      <c r="M188" s="45"/>
    </row>
    <row r="189" spans="12:14" x14ac:dyDescent="0.2">
      <c r="L189" s="25"/>
      <c r="M189" s="25"/>
      <c r="N189" s="25"/>
    </row>
    <row r="190" spans="12:14" x14ac:dyDescent="0.2">
      <c r="L190" s="25"/>
      <c r="M190" s="25"/>
      <c r="N190" s="25"/>
    </row>
    <row r="191" spans="12:14" x14ac:dyDescent="0.2">
      <c r="L191" s="25"/>
      <c r="M191" s="25"/>
      <c r="N191" s="25"/>
    </row>
    <row r="192" spans="12:14" x14ac:dyDescent="0.2">
      <c r="L192" s="25"/>
      <c r="M192" s="25"/>
      <c r="N192" s="25"/>
    </row>
    <row r="193" spans="1:65" x14ac:dyDescent="0.2">
      <c r="L193" s="25"/>
      <c r="M193" s="25"/>
      <c r="N193" s="25"/>
    </row>
    <row r="194" spans="1:65" x14ac:dyDescent="0.2">
      <c r="L194" s="25"/>
      <c r="M194" s="25"/>
      <c r="N194" s="25"/>
    </row>
    <row r="195" spans="1:65" x14ac:dyDescent="0.2">
      <c r="L195" s="25"/>
      <c r="M195" s="25"/>
      <c r="N195" s="25"/>
    </row>
    <row r="196" spans="1:65" x14ac:dyDescent="0.2">
      <c r="L196" s="25"/>
      <c r="M196" s="25"/>
      <c r="N196" s="25"/>
    </row>
    <row r="197" spans="1:65" x14ac:dyDescent="0.2">
      <c r="L197" s="25"/>
      <c r="M197" s="25"/>
      <c r="N197" s="25"/>
    </row>
    <row r="198" spans="1:65" x14ac:dyDescent="0.2">
      <c r="M198" s="45"/>
    </row>
    <row r="199" spans="1:65"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row>
    <row r="200" spans="1:65"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row>
    <row r="201" spans="1:65"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row>
    <row r="202" spans="1:65"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row>
    <row r="203" spans="1:65"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row>
    <row r="204" spans="1:65"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row>
    <row r="205" spans="1:65"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row>
    <row r="206" spans="1:65"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row>
    <row r="207" spans="1:65"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row>
    <row r="208" spans="1:65"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row>
    <row r="209" spans="1:65"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row>
    <row r="210" spans="1:65"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row>
    <row r="211" spans="1:65"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row>
    <row r="212" spans="1:65"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row>
    <row r="213" spans="1:65"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row>
    <row r="214" spans="1:65"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row>
    <row r="215" spans="1:65"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row>
    <row r="216" spans="1:65"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row>
    <row r="217" spans="1:65"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row>
    <row r="218" spans="1:65"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row>
    <row r="219" spans="1:65"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row>
    <row r="220" spans="1:65"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row>
    <row r="221" spans="1:65"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row>
    <row r="222" spans="1:65"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row>
    <row r="223" spans="1:65"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row>
    <row r="224" spans="1:65"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row>
    <row r="225" spans="1:65"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row>
    <row r="226" spans="1:65"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row>
    <row r="227" spans="1:65"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row>
    <row r="228" spans="1:65"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row>
    <row r="229" spans="1:65"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row>
    <row r="230" spans="1:65"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row>
    <row r="231" spans="1:65"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row>
    <row r="232" spans="1:65"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row>
    <row r="233" spans="1:65"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row>
    <row r="234" spans="1:65"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row>
    <row r="235" spans="1:65"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row>
    <row r="236" spans="1:65"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row>
    <row r="237" spans="1:65"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row>
    <row r="238" spans="1:65"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row>
    <row r="239" spans="1:65"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row>
    <row r="240" spans="1:65"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row>
    <row r="241" spans="1:65"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row>
    <row r="242" spans="1:65"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row>
    <row r="243" spans="1:65"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row>
    <row r="244" spans="1:65"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row>
    <row r="245" spans="1:65"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row>
    <row r="246" spans="1:65"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row>
    <row r="247" spans="1:65"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row>
    <row r="248" spans="1:65"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row>
    <row r="249" spans="1:65"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row>
    <row r="250" spans="1:65"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row>
    <row r="251" spans="1:65"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row>
    <row r="252" spans="1:65"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row>
    <row r="253" spans="1:65"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row>
    <row r="254" spans="1:65"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row>
    <row r="255" spans="1:65"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row>
    <row r="256" spans="1:65"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row>
    <row r="257" spans="1:65"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row>
    <row r="258" spans="1:65"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row>
    <row r="259" spans="1:65"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row>
    <row r="260" spans="1:65"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row>
    <row r="261" spans="1:65"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row>
    <row r="262" spans="1:65"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row>
    <row r="263" spans="1:65"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row>
    <row r="264" spans="1:65"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row>
    <row r="265" spans="1:65"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row>
    <row r="266" spans="1:65"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row>
    <row r="267" spans="1:65"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row>
    <row r="268" spans="1:65"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row>
    <row r="269" spans="1:65"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row>
    <row r="270" spans="1:65"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row>
    <row r="271" spans="1:65"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row>
    <row r="272" spans="1:65"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row>
    <row r="273" spans="1:65"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row>
    <row r="274" spans="1:65"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row>
    <row r="275" spans="1:65"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row>
    <row r="276" spans="1:65"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row>
    <row r="277" spans="1:65"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row>
    <row r="278" spans="1:65"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row>
    <row r="279" spans="1:65"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row>
    <row r="280" spans="1:65"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row>
    <row r="281" spans="1:65"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row>
    <row r="282" spans="1:65"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row>
    <row r="283" spans="1:65"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row>
    <row r="284" spans="1:65"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row>
    <row r="285" spans="1:65"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row>
    <row r="286" spans="1:65"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row>
    <row r="287" spans="1:65"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row>
    <row r="288" spans="1:65"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row>
    <row r="289" spans="1:65"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row>
    <row r="290" spans="1:65"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row>
    <row r="291" spans="1:65"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row>
    <row r="292" spans="1:65"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row>
    <row r="293" spans="1:65"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row>
    <row r="294" spans="1:65"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row>
    <row r="295" spans="1:65"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row>
    <row r="296" spans="1:65"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row>
    <row r="297" spans="1:65"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row>
    <row r="298" spans="1:65"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row>
    <row r="299" spans="1:65"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row>
    <row r="300" spans="1:65"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row>
  </sheetData>
  <mergeCells count="16">
    <mergeCell ref="B3:I11"/>
    <mergeCell ref="C40:D40"/>
    <mergeCell ref="B63:I64"/>
    <mergeCell ref="C72:C73"/>
    <mergeCell ref="D72:D73"/>
    <mergeCell ref="E72:E73"/>
    <mergeCell ref="F72:F73"/>
    <mergeCell ref="G72:G73"/>
    <mergeCell ref="B160:I161"/>
    <mergeCell ref="B164:I166"/>
    <mergeCell ref="B103:I104"/>
    <mergeCell ref="B106:I107"/>
    <mergeCell ref="B109:I110"/>
    <mergeCell ref="B115:I125"/>
    <mergeCell ref="B128:I139"/>
    <mergeCell ref="B155:I157"/>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87EC-C98C-CA40-95DB-CB7DD780DCAC}">
  <dimension ref="A1:BM245"/>
  <sheetViews>
    <sheetView showGridLines="0" zoomScale="120" zoomScaleNormal="120" workbookViewId="0"/>
  </sheetViews>
  <sheetFormatPr baseColWidth="10" defaultColWidth="10.83203125" defaultRowHeight="16" x14ac:dyDescent="0.2"/>
  <cols>
    <col min="1" max="16384" width="10.83203125" style="31"/>
  </cols>
  <sheetData>
    <row r="1" spans="1:10" ht="19" x14ac:dyDescent="0.25">
      <c r="A1" s="11" t="s">
        <v>56</v>
      </c>
      <c r="B1" s="29"/>
      <c r="C1" s="29"/>
      <c r="D1" s="29"/>
      <c r="E1" s="29"/>
      <c r="F1" s="29"/>
      <c r="G1" s="29"/>
      <c r="H1" s="29"/>
      <c r="I1" s="29"/>
      <c r="J1" s="30"/>
    </row>
    <row r="2" spans="1:10" x14ac:dyDescent="0.2">
      <c r="A2" s="32"/>
      <c r="B2" s="29"/>
      <c r="C2" s="29"/>
      <c r="D2" s="29"/>
      <c r="E2" s="29"/>
      <c r="F2" s="29"/>
      <c r="G2" s="29"/>
      <c r="H2" s="29"/>
      <c r="I2" s="29"/>
      <c r="J2" s="30"/>
    </row>
    <row r="3" spans="1:10" x14ac:dyDescent="0.2">
      <c r="A3" s="32"/>
      <c r="B3" s="29" t="s">
        <v>57</v>
      </c>
      <c r="C3" s="29"/>
      <c r="D3" s="29"/>
      <c r="E3" s="29"/>
      <c r="F3" s="29"/>
      <c r="G3" s="29"/>
      <c r="H3" s="29"/>
      <c r="I3" s="29"/>
      <c r="J3" s="30"/>
    </row>
    <row r="4" spans="1:10" x14ac:dyDescent="0.2">
      <c r="A4" s="32"/>
      <c r="B4" s="79" t="s">
        <v>416</v>
      </c>
      <c r="C4" s="29"/>
      <c r="D4" s="29"/>
      <c r="E4" s="29"/>
      <c r="F4" s="29"/>
      <c r="G4" s="29"/>
      <c r="H4" s="29"/>
      <c r="I4" s="29"/>
      <c r="J4" s="30"/>
    </row>
    <row r="5" spans="1:10" x14ac:dyDescent="0.2">
      <c r="A5" s="32"/>
      <c r="B5" s="29" t="s">
        <v>58</v>
      </c>
      <c r="C5" s="29"/>
      <c r="D5" s="29"/>
      <c r="E5" s="29"/>
      <c r="F5" s="29"/>
      <c r="G5" s="29"/>
      <c r="H5" s="29"/>
      <c r="I5" s="29"/>
      <c r="J5" s="30"/>
    </row>
    <row r="6" spans="1:10" x14ac:dyDescent="0.2">
      <c r="A6" s="32"/>
      <c r="B6" s="29"/>
      <c r="C6" s="29"/>
      <c r="D6" s="29"/>
      <c r="E6" s="29"/>
      <c r="F6" s="29"/>
      <c r="G6" s="29"/>
      <c r="H6" s="29"/>
      <c r="I6" s="29"/>
      <c r="J6" s="30"/>
    </row>
    <row r="7" spans="1:10" x14ac:dyDescent="0.2">
      <c r="A7" s="32"/>
      <c r="B7" s="16" t="s">
        <v>59</v>
      </c>
      <c r="C7" s="29"/>
      <c r="D7" s="29"/>
      <c r="E7" s="29"/>
      <c r="F7" s="29"/>
      <c r="G7" s="16" t="s">
        <v>60</v>
      </c>
      <c r="H7" s="29"/>
      <c r="I7" s="29"/>
      <c r="J7" s="30"/>
    </row>
    <row r="8" spans="1:10" x14ac:dyDescent="0.2">
      <c r="A8" s="32"/>
      <c r="B8" s="29"/>
      <c r="C8" s="29"/>
      <c r="D8" s="29"/>
      <c r="E8" s="29"/>
      <c r="F8" s="29"/>
      <c r="G8" s="29"/>
      <c r="H8" s="29"/>
      <c r="I8" s="29"/>
      <c r="J8" s="30"/>
    </row>
    <row r="9" spans="1:10" x14ac:dyDescent="0.2">
      <c r="A9" s="32"/>
      <c r="B9" s="29"/>
      <c r="C9" s="29"/>
      <c r="D9" s="29"/>
      <c r="E9" s="29"/>
      <c r="F9" s="29"/>
      <c r="G9" s="29"/>
      <c r="H9" s="29"/>
      <c r="I9" s="29"/>
      <c r="J9" s="30"/>
    </row>
    <row r="10" spans="1:10" x14ac:dyDescent="0.2">
      <c r="A10" s="32"/>
      <c r="B10" s="29"/>
      <c r="C10" s="29"/>
      <c r="D10" s="29"/>
      <c r="E10" s="29"/>
      <c r="F10" s="29"/>
      <c r="G10" s="29"/>
      <c r="H10" s="29"/>
      <c r="I10" s="29"/>
      <c r="J10" s="30"/>
    </row>
    <row r="11" spans="1:10" x14ac:dyDescent="0.2">
      <c r="A11" s="32"/>
      <c r="B11" s="29"/>
      <c r="C11" s="29"/>
      <c r="D11" s="29"/>
      <c r="E11" s="29"/>
      <c r="F11" s="29"/>
      <c r="G11" s="29"/>
      <c r="H11" s="29"/>
      <c r="I11" s="29"/>
      <c r="J11" s="30"/>
    </row>
    <row r="12" spans="1:10" x14ac:dyDescent="0.2">
      <c r="A12" s="32"/>
      <c r="B12" s="29"/>
      <c r="C12" s="29"/>
      <c r="D12" s="29"/>
      <c r="E12" s="29"/>
      <c r="F12" s="29"/>
      <c r="G12" s="29"/>
      <c r="H12" s="29"/>
      <c r="I12" s="29"/>
      <c r="J12" s="30"/>
    </row>
    <row r="13" spans="1:10" x14ac:dyDescent="0.2">
      <c r="A13" s="32"/>
      <c r="B13" s="29"/>
      <c r="C13" s="29"/>
      <c r="D13" s="29"/>
      <c r="E13" s="29"/>
      <c r="F13" s="29"/>
      <c r="G13" s="29"/>
      <c r="H13" s="29"/>
      <c r="I13" s="29"/>
      <c r="J13" s="30"/>
    </row>
    <row r="14" spans="1:10" x14ac:dyDescent="0.2">
      <c r="A14" s="32"/>
      <c r="B14" s="29"/>
      <c r="C14" s="29"/>
      <c r="D14" s="29"/>
      <c r="E14" s="29"/>
      <c r="F14" s="29"/>
      <c r="G14" s="29"/>
      <c r="H14" s="29"/>
      <c r="I14" s="29"/>
      <c r="J14" s="30"/>
    </row>
    <row r="15" spans="1:10" x14ac:dyDescent="0.2">
      <c r="A15" s="32"/>
      <c r="B15" s="29"/>
      <c r="C15" s="29"/>
      <c r="D15" s="29"/>
      <c r="E15" s="29"/>
      <c r="F15" s="29"/>
      <c r="G15" s="29"/>
      <c r="H15" s="29"/>
      <c r="I15" s="29"/>
      <c r="J15" s="30"/>
    </row>
    <row r="16" spans="1:10" x14ac:dyDescent="0.2">
      <c r="A16" s="32"/>
      <c r="B16" s="29"/>
      <c r="C16" s="29"/>
      <c r="D16" s="29"/>
      <c r="E16" s="29"/>
      <c r="F16" s="29"/>
      <c r="G16" s="29"/>
      <c r="H16" s="29"/>
      <c r="I16" s="29"/>
      <c r="J16" s="30"/>
    </row>
    <row r="17" spans="1:10" x14ac:dyDescent="0.2">
      <c r="A17" s="32"/>
      <c r="B17" s="29"/>
      <c r="C17" s="29"/>
      <c r="D17" s="29"/>
      <c r="E17" s="29"/>
      <c r="F17" s="29"/>
      <c r="G17" s="29"/>
      <c r="H17" s="29"/>
      <c r="I17" s="29"/>
      <c r="J17" s="30"/>
    </row>
    <row r="18" spans="1:10" x14ac:dyDescent="0.2">
      <c r="A18" s="32"/>
      <c r="B18" s="29"/>
      <c r="C18" s="29"/>
      <c r="D18" s="29"/>
      <c r="E18" s="29"/>
      <c r="F18" s="29"/>
      <c r="G18" s="29"/>
      <c r="H18" s="29"/>
      <c r="I18" s="29"/>
      <c r="J18" s="30"/>
    </row>
    <row r="19" spans="1:10" x14ac:dyDescent="0.2">
      <c r="A19" s="32"/>
      <c r="B19" s="16" t="s">
        <v>61</v>
      </c>
      <c r="C19" s="29"/>
      <c r="D19" s="29"/>
      <c r="E19" s="29"/>
      <c r="F19" s="29"/>
      <c r="G19" s="16" t="s">
        <v>62</v>
      </c>
      <c r="H19" s="29"/>
      <c r="I19" s="29"/>
      <c r="J19" s="30"/>
    </row>
    <row r="20" spans="1:10" x14ac:dyDescent="0.2">
      <c r="A20" s="32"/>
      <c r="B20" s="29"/>
      <c r="C20" s="29"/>
      <c r="D20" s="29"/>
      <c r="E20" s="29"/>
      <c r="F20" s="29"/>
      <c r="G20" s="29"/>
      <c r="H20" s="29"/>
      <c r="I20" s="29"/>
      <c r="J20" s="30"/>
    </row>
    <row r="21" spans="1:10" x14ac:dyDescent="0.2">
      <c r="A21" s="32"/>
      <c r="B21" s="29"/>
      <c r="C21" s="29"/>
      <c r="D21" s="29"/>
      <c r="E21" s="29"/>
      <c r="F21" s="29"/>
      <c r="G21" s="29"/>
      <c r="H21" s="29"/>
      <c r="I21" s="29"/>
      <c r="J21" s="30"/>
    </row>
    <row r="22" spans="1:10" x14ac:dyDescent="0.2">
      <c r="A22" s="32"/>
      <c r="B22" s="29"/>
      <c r="C22" s="29"/>
      <c r="D22" s="29"/>
      <c r="E22" s="29"/>
      <c r="F22" s="29"/>
      <c r="G22" s="29"/>
      <c r="H22" s="29"/>
      <c r="I22" s="29"/>
      <c r="J22" s="30"/>
    </row>
    <row r="23" spans="1:10" x14ac:dyDescent="0.2">
      <c r="A23" s="32"/>
      <c r="B23" s="29"/>
      <c r="C23" s="29"/>
      <c r="D23" s="29"/>
      <c r="E23" s="29"/>
      <c r="F23" s="29"/>
      <c r="G23" s="29"/>
      <c r="H23" s="29"/>
      <c r="I23" s="29"/>
      <c r="J23" s="30"/>
    </row>
    <row r="24" spans="1:10" x14ac:dyDescent="0.2">
      <c r="A24" s="32"/>
      <c r="B24" s="29"/>
      <c r="C24" s="29"/>
      <c r="D24" s="29"/>
      <c r="E24" s="29"/>
      <c r="F24" s="29"/>
      <c r="G24" s="29"/>
      <c r="H24" s="29"/>
      <c r="I24" s="29"/>
      <c r="J24" s="30"/>
    </row>
    <row r="25" spans="1:10" x14ac:dyDescent="0.2">
      <c r="A25" s="32"/>
      <c r="B25" s="29"/>
      <c r="C25" s="29"/>
      <c r="D25" s="29"/>
      <c r="E25" s="29"/>
      <c r="F25" s="29"/>
      <c r="G25" s="29"/>
      <c r="H25" s="29"/>
      <c r="I25" s="29"/>
      <c r="J25" s="30"/>
    </row>
    <row r="26" spans="1:10" x14ac:dyDescent="0.2">
      <c r="A26" s="32"/>
      <c r="B26" s="29"/>
      <c r="C26" s="29"/>
      <c r="D26" s="29"/>
      <c r="E26" s="29"/>
      <c r="F26" s="29"/>
      <c r="G26" s="29"/>
      <c r="H26" s="29"/>
      <c r="I26" s="29"/>
      <c r="J26" s="30"/>
    </row>
    <row r="27" spans="1:10" x14ac:dyDescent="0.2">
      <c r="A27" s="32"/>
      <c r="B27" s="29"/>
      <c r="C27" s="29"/>
      <c r="D27" s="29"/>
      <c r="E27" s="29"/>
      <c r="F27" s="29"/>
      <c r="G27" s="29"/>
      <c r="H27" s="29"/>
      <c r="I27" s="29"/>
      <c r="J27" s="30"/>
    </row>
    <row r="28" spans="1:10" x14ac:dyDescent="0.2">
      <c r="A28" s="32"/>
      <c r="B28" s="29"/>
      <c r="C28" s="29"/>
      <c r="D28" s="29"/>
      <c r="E28" s="29"/>
      <c r="F28" s="29"/>
      <c r="G28" s="29"/>
      <c r="H28" s="29"/>
      <c r="I28" s="29"/>
      <c r="J28" s="30"/>
    </row>
    <row r="29" spans="1:10" x14ac:dyDescent="0.2">
      <c r="A29" s="32"/>
      <c r="B29" s="29"/>
      <c r="C29" s="29"/>
      <c r="D29" s="29"/>
      <c r="E29" s="29"/>
      <c r="F29" s="29"/>
      <c r="G29" s="29"/>
      <c r="H29" s="29"/>
      <c r="I29" s="29"/>
      <c r="J29" s="30"/>
    </row>
    <row r="30" spans="1:10" x14ac:dyDescent="0.2">
      <c r="A30" s="32"/>
      <c r="B30" s="29"/>
      <c r="C30" s="29"/>
      <c r="D30" s="29"/>
      <c r="E30" s="29"/>
      <c r="F30" s="29"/>
      <c r="G30" s="29"/>
      <c r="H30" s="29"/>
      <c r="I30" s="29"/>
      <c r="J30" s="30"/>
    </row>
    <row r="31" spans="1:10" x14ac:dyDescent="0.2">
      <c r="A31" s="32"/>
      <c r="B31" s="29"/>
      <c r="C31" s="29"/>
      <c r="D31" s="16" t="s">
        <v>63</v>
      </c>
      <c r="E31" s="29"/>
      <c r="F31" s="29"/>
      <c r="G31" s="29"/>
      <c r="H31" s="29"/>
      <c r="I31" s="29"/>
      <c r="J31" s="30"/>
    </row>
    <row r="32" spans="1:10" x14ac:dyDescent="0.2">
      <c r="A32" s="32"/>
      <c r="B32" s="29"/>
      <c r="C32" s="29"/>
      <c r="D32" s="29"/>
      <c r="E32" s="29"/>
      <c r="F32" s="29"/>
      <c r="G32" s="29"/>
      <c r="H32" s="29"/>
      <c r="I32" s="29"/>
      <c r="J32" s="30"/>
    </row>
    <row r="33" spans="1:10" x14ac:dyDescent="0.2">
      <c r="A33" s="32"/>
      <c r="B33" s="29"/>
      <c r="C33" s="29"/>
      <c r="D33" s="29"/>
      <c r="E33" s="29"/>
      <c r="F33" s="29"/>
      <c r="G33" s="29"/>
      <c r="H33" s="29"/>
      <c r="I33" s="29"/>
      <c r="J33" s="30"/>
    </row>
    <row r="34" spans="1:10" x14ac:dyDescent="0.2">
      <c r="A34" s="32"/>
      <c r="B34" s="29"/>
      <c r="C34" s="29"/>
      <c r="D34" s="29"/>
      <c r="E34" s="29"/>
      <c r="F34" s="29"/>
      <c r="G34" s="29"/>
      <c r="H34" s="29"/>
      <c r="I34" s="29"/>
      <c r="J34" s="30"/>
    </row>
    <row r="35" spans="1:10" x14ac:dyDescent="0.2">
      <c r="A35" s="32"/>
      <c r="B35" s="29"/>
      <c r="C35" s="29"/>
      <c r="D35" s="29"/>
      <c r="E35" s="29"/>
      <c r="F35" s="29"/>
      <c r="G35" s="29"/>
      <c r="H35" s="29"/>
      <c r="I35" s="29"/>
      <c r="J35" s="30"/>
    </row>
    <row r="36" spans="1:10" x14ac:dyDescent="0.2">
      <c r="A36" s="32"/>
      <c r="B36" s="29"/>
      <c r="C36" s="29"/>
      <c r="D36" s="29"/>
      <c r="E36" s="29"/>
      <c r="F36" s="29"/>
      <c r="G36" s="29"/>
      <c r="H36" s="29"/>
      <c r="I36" s="29"/>
      <c r="J36" s="30"/>
    </row>
    <row r="37" spans="1:10" x14ac:dyDescent="0.2">
      <c r="A37" s="32"/>
      <c r="B37" s="29"/>
      <c r="C37" s="29"/>
      <c r="D37" s="29"/>
      <c r="E37" s="29"/>
      <c r="F37" s="29"/>
      <c r="G37" s="29"/>
      <c r="H37" s="29"/>
      <c r="I37" s="29"/>
      <c r="J37" s="30"/>
    </row>
    <row r="38" spans="1:10" x14ac:dyDescent="0.2">
      <c r="A38" s="32"/>
      <c r="B38" s="29"/>
      <c r="C38" s="29"/>
      <c r="D38" s="29"/>
      <c r="E38" s="29"/>
      <c r="F38" s="29"/>
      <c r="G38" s="29"/>
      <c r="H38" s="29"/>
      <c r="I38" s="29"/>
      <c r="J38" s="30"/>
    </row>
    <row r="39" spans="1:10" x14ac:dyDescent="0.2">
      <c r="A39" s="32"/>
      <c r="B39" s="29"/>
      <c r="C39" s="29"/>
      <c r="D39" s="29"/>
      <c r="E39" s="29"/>
      <c r="F39" s="29"/>
      <c r="G39" s="29"/>
      <c r="H39" s="29"/>
      <c r="I39" s="29"/>
      <c r="J39" s="30"/>
    </row>
    <row r="40" spans="1:10" x14ac:dyDescent="0.2">
      <c r="A40" s="32"/>
      <c r="B40" s="29"/>
      <c r="C40" s="29"/>
      <c r="D40" s="29"/>
      <c r="E40" s="29"/>
      <c r="F40" s="29"/>
      <c r="G40" s="29"/>
      <c r="H40" s="29"/>
      <c r="I40" s="29"/>
      <c r="J40" s="30"/>
    </row>
    <row r="41" spans="1:10" x14ac:dyDescent="0.2">
      <c r="A41" s="32"/>
      <c r="B41" s="29"/>
      <c r="C41" s="29"/>
      <c r="D41" s="29"/>
      <c r="E41" s="29"/>
      <c r="F41" s="29"/>
      <c r="G41" s="29"/>
      <c r="H41" s="29"/>
      <c r="I41" s="29"/>
      <c r="J41" s="30"/>
    </row>
    <row r="42" spans="1:10" x14ac:dyDescent="0.2">
      <c r="A42" s="32"/>
      <c r="B42" s="29"/>
      <c r="C42" s="29"/>
      <c r="D42" s="29"/>
      <c r="E42" s="29"/>
      <c r="F42" s="29"/>
      <c r="G42" s="29"/>
      <c r="H42" s="29"/>
      <c r="I42" s="29"/>
      <c r="J42" s="30"/>
    </row>
    <row r="43" spans="1:10" x14ac:dyDescent="0.2">
      <c r="A43" s="32"/>
      <c r="B43" s="29" t="s">
        <v>64</v>
      </c>
      <c r="C43" s="29"/>
      <c r="D43" s="29"/>
      <c r="E43" s="29"/>
      <c r="F43" s="29"/>
      <c r="G43" s="29"/>
      <c r="H43" s="29"/>
      <c r="I43" s="29"/>
      <c r="J43" s="30"/>
    </row>
    <row r="44" spans="1:10" ht="17" thickBot="1" x14ac:dyDescent="0.25">
      <c r="A44" s="41"/>
      <c r="B44" s="42"/>
      <c r="C44" s="43"/>
      <c r="D44" s="43"/>
      <c r="E44" s="43"/>
      <c r="F44" s="42"/>
      <c r="G44" s="42"/>
      <c r="H44" s="42"/>
      <c r="I44" s="42"/>
      <c r="J44" s="44"/>
    </row>
    <row r="46" spans="1:10" ht="19" x14ac:dyDescent="0.25">
      <c r="A46" s="22" t="s">
        <v>8</v>
      </c>
    </row>
    <row r="47" spans="1:10" ht="16" customHeight="1" x14ac:dyDescent="0.2">
      <c r="A47" s="23"/>
      <c r="B47" s="59" t="s">
        <v>65</v>
      </c>
      <c r="C47" s="60"/>
      <c r="D47" s="60"/>
      <c r="E47" s="60"/>
      <c r="F47" s="60"/>
      <c r="G47" s="60"/>
      <c r="H47" s="60"/>
      <c r="I47" s="60"/>
      <c r="J47" s="61"/>
    </row>
    <row r="48" spans="1:10" x14ac:dyDescent="0.2">
      <c r="A48" s="23"/>
      <c r="B48" s="358" t="s">
        <v>66</v>
      </c>
      <c r="C48" s="358"/>
      <c r="D48" s="358"/>
      <c r="E48" s="358"/>
      <c r="F48" s="358"/>
      <c r="G48" s="358"/>
      <c r="H48" s="358"/>
      <c r="I48" s="358"/>
      <c r="J48" s="61"/>
    </row>
    <row r="49" spans="1:10" x14ac:dyDescent="0.2">
      <c r="A49" s="23"/>
      <c r="B49" s="358"/>
      <c r="C49" s="358"/>
      <c r="D49" s="358"/>
      <c r="E49" s="358"/>
      <c r="F49" s="358"/>
      <c r="G49" s="358"/>
      <c r="H49" s="358"/>
      <c r="I49" s="358"/>
      <c r="J49" s="61"/>
    </row>
    <row r="50" spans="1:10" x14ac:dyDescent="0.2">
      <c r="A50" s="23"/>
      <c r="B50" s="358"/>
      <c r="C50" s="358"/>
      <c r="D50" s="358"/>
      <c r="E50" s="358"/>
      <c r="F50" s="358"/>
      <c r="G50" s="358"/>
      <c r="H50" s="358"/>
      <c r="I50" s="358"/>
      <c r="J50" s="61"/>
    </row>
    <row r="51" spans="1:10" x14ac:dyDescent="0.2">
      <c r="A51" s="23"/>
      <c r="B51" s="358"/>
      <c r="C51" s="358"/>
      <c r="D51" s="358"/>
      <c r="E51" s="358"/>
      <c r="F51" s="358"/>
      <c r="G51" s="358"/>
      <c r="H51" s="358"/>
      <c r="I51" s="358"/>
      <c r="J51" s="61"/>
    </row>
    <row r="52" spans="1:10" x14ac:dyDescent="0.2">
      <c r="A52" s="23"/>
      <c r="B52" s="60"/>
      <c r="C52" s="60"/>
      <c r="D52" s="60"/>
      <c r="E52" s="60"/>
      <c r="F52" s="60"/>
      <c r="G52" s="60"/>
      <c r="H52" s="60"/>
      <c r="I52" s="60"/>
      <c r="J52" s="61"/>
    </row>
    <row r="53" spans="1:10" ht="17" x14ac:dyDescent="0.2">
      <c r="A53" s="23"/>
      <c r="B53" s="59" t="s">
        <v>67</v>
      </c>
      <c r="C53" s="60"/>
      <c r="D53" s="60"/>
      <c r="E53" s="60"/>
      <c r="F53" s="60"/>
      <c r="G53" s="60"/>
      <c r="H53" s="60"/>
      <c r="I53" s="60"/>
      <c r="J53" s="61"/>
    </row>
    <row r="54" spans="1:10" ht="15.75" customHeight="1" x14ac:dyDescent="0.2">
      <c r="A54" s="23"/>
      <c r="B54" s="359" t="s">
        <v>68</v>
      </c>
      <c r="C54" s="358"/>
      <c r="D54" s="358"/>
      <c r="E54" s="358"/>
      <c r="F54" s="358"/>
      <c r="G54" s="358"/>
      <c r="H54" s="358"/>
      <c r="I54" s="358"/>
      <c r="J54" s="61"/>
    </row>
    <row r="55" spans="1:10" x14ac:dyDescent="0.2">
      <c r="A55" s="23"/>
      <c r="B55" s="358"/>
      <c r="C55" s="358"/>
      <c r="D55" s="358"/>
      <c r="E55" s="358"/>
      <c r="F55" s="358"/>
      <c r="G55" s="358"/>
      <c r="H55" s="358"/>
      <c r="I55" s="358"/>
      <c r="J55" s="61"/>
    </row>
    <row r="56" spans="1:10" x14ac:dyDescent="0.2">
      <c r="A56" s="23"/>
      <c r="B56" s="358"/>
      <c r="C56" s="358"/>
      <c r="D56" s="358"/>
      <c r="E56" s="358"/>
      <c r="F56" s="358"/>
      <c r="G56" s="358"/>
      <c r="H56" s="358"/>
      <c r="I56" s="358"/>
      <c r="J56" s="61"/>
    </row>
    <row r="57" spans="1:10" x14ac:dyDescent="0.2">
      <c r="A57" s="23"/>
      <c r="B57" s="60"/>
      <c r="C57" s="60"/>
      <c r="D57" s="60"/>
      <c r="E57" s="60"/>
      <c r="F57" s="60"/>
      <c r="G57" s="60"/>
      <c r="H57" s="60"/>
      <c r="I57" s="60"/>
      <c r="J57" s="61"/>
    </row>
    <row r="58" spans="1:10" ht="17" x14ac:dyDescent="0.2">
      <c r="A58" s="23"/>
      <c r="B58" s="59" t="s">
        <v>69</v>
      </c>
      <c r="C58" s="60"/>
      <c r="D58" s="60"/>
      <c r="E58" s="60"/>
      <c r="F58" s="60"/>
      <c r="G58" s="60"/>
      <c r="H58" s="60"/>
      <c r="I58" s="60"/>
      <c r="J58" s="61"/>
    </row>
    <row r="59" spans="1:10" ht="15.75" customHeight="1" x14ac:dyDescent="0.2">
      <c r="A59" s="23"/>
      <c r="B59" s="358" t="s">
        <v>70</v>
      </c>
      <c r="C59" s="358"/>
      <c r="D59" s="358"/>
      <c r="E59" s="358"/>
      <c r="F59" s="358"/>
      <c r="G59" s="358"/>
      <c r="H59" s="358"/>
      <c r="I59" s="358"/>
      <c r="J59" s="61"/>
    </row>
    <row r="60" spans="1:10" x14ac:dyDescent="0.2">
      <c r="A60" s="23"/>
      <c r="B60" s="358"/>
      <c r="C60" s="358"/>
      <c r="D60" s="358"/>
      <c r="E60" s="358"/>
      <c r="F60" s="358"/>
      <c r="G60" s="358"/>
      <c r="H60" s="358"/>
      <c r="I60" s="358"/>
      <c r="J60" s="61"/>
    </row>
    <row r="61" spans="1:10" x14ac:dyDescent="0.2">
      <c r="A61" s="23"/>
      <c r="B61" s="358"/>
      <c r="C61" s="358"/>
      <c r="D61" s="358"/>
      <c r="E61" s="358"/>
      <c r="F61" s="358"/>
      <c r="G61" s="358"/>
      <c r="H61" s="358"/>
      <c r="I61" s="358"/>
      <c r="J61" s="61"/>
    </row>
    <row r="62" spans="1:10" x14ac:dyDescent="0.2">
      <c r="A62" s="23"/>
      <c r="B62" s="60"/>
      <c r="C62" s="60"/>
      <c r="D62" s="60"/>
      <c r="E62" s="60"/>
      <c r="F62" s="60"/>
      <c r="G62" s="60"/>
      <c r="H62" s="60"/>
      <c r="I62" s="60"/>
      <c r="J62" s="61"/>
    </row>
    <row r="63" spans="1:10" ht="17" x14ac:dyDescent="0.2">
      <c r="A63" s="23"/>
      <c r="B63" s="59" t="s">
        <v>71</v>
      </c>
      <c r="C63" s="60"/>
      <c r="D63" s="60"/>
      <c r="E63" s="60"/>
      <c r="F63" s="60"/>
      <c r="G63" s="60"/>
      <c r="H63" s="60"/>
      <c r="I63" s="60"/>
      <c r="J63" s="61"/>
    </row>
    <row r="64" spans="1:10" x14ac:dyDescent="0.2">
      <c r="A64" s="23"/>
      <c r="B64" s="358" t="s">
        <v>72</v>
      </c>
      <c r="C64" s="358"/>
      <c r="D64" s="358"/>
      <c r="E64" s="358"/>
      <c r="F64" s="358"/>
      <c r="G64" s="358"/>
      <c r="H64" s="358"/>
      <c r="I64" s="358"/>
      <c r="J64" s="61"/>
    </row>
    <row r="65" spans="1:49" x14ac:dyDescent="0.2">
      <c r="A65" s="23"/>
      <c r="B65" s="358"/>
      <c r="C65" s="358"/>
      <c r="D65" s="358"/>
      <c r="E65" s="358"/>
      <c r="F65" s="358"/>
      <c r="G65" s="358"/>
      <c r="H65" s="358"/>
      <c r="I65" s="358"/>
      <c r="J65" s="61"/>
    </row>
    <row r="66" spans="1:49" x14ac:dyDescent="0.2">
      <c r="A66" s="23"/>
      <c r="B66" s="358"/>
      <c r="C66" s="358"/>
      <c r="D66" s="358"/>
      <c r="E66" s="358"/>
      <c r="F66" s="358"/>
      <c r="G66" s="358"/>
      <c r="H66" s="358"/>
      <c r="I66" s="358"/>
      <c r="J66" s="61"/>
    </row>
    <row r="67" spans="1:49" x14ac:dyDescent="0.2">
      <c r="A67" s="23"/>
      <c r="B67" s="358"/>
      <c r="C67" s="358"/>
      <c r="D67" s="358"/>
      <c r="E67" s="358"/>
      <c r="F67" s="358"/>
      <c r="G67" s="358"/>
      <c r="H67" s="358"/>
      <c r="I67" s="358"/>
      <c r="J67" s="61"/>
    </row>
    <row r="68" spans="1:49" x14ac:dyDescent="0.2">
      <c r="A68" s="23"/>
      <c r="B68" s="60"/>
      <c r="C68" s="60"/>
      <c r="D68" s="60"/>
      <c r="E68" s="60"/>
      <c r="F68" s="60"/>
      <c r="G68" s="60"/>
      <c r="H68" s="60"/>
      <c r="I68" s="60"/>
      <c r="J68" s="61"/>
    </row>
    <row r="69" spans="1:49" ht="17" x14ac:dyDescent="0.2">
      <c r="A69" s="23"/>
      <c r="B69" s="59" t="s">
        <v>73</v>
      </c>
      <c r="C69" s="60"/>
      <c r="D69" s="60"/>
      <c r="E69" s="60"/>
      <c r="F69" s="60"/>
      <c r="G69" s="60"/>
      <c r="H69" s="60"/>
      <c r="I69" s="60"/>
      <c r="J69" s="61"/>
    </row>
    <row r="70" spans="1:49" x14ac:dyDescent="0.2">
      <c r="A70" s="23"/>
      <c r="B70" s="358" t="s">
        <v>74</v>
      </c>
      <c r="C70" s="358"/>
      <c r="D70" s="358"/>
      <c r="E70" s="358"/>
      <c r="F70" s="358"/>
      <c r="G70" s="358"/>
      <c r="H70" s="358"/>
      <c r="I70" s="358"/>
      <c r="J70" s="61"/>
    </row>
    <row r="71" spans="1:49" x14ac:dyDescent="0.2">
      <c r="A71" s="23"/>
      <c r="B71" s="358"/>
      <c r="C71" s="358"/>
      <c r="D71" s="358"/>
      <c r="E71" s="358"/>
      <c r="F71" s="358"/>
      <c r="G71" s="358"/>
      <c r="H71" s="358"/>
      <c r="I71" s="358"/>
      <c r="J71" s="61"/>
    </row>
    <row r="72" spans="1:49" x14ac:dyDescent="0.2">
      <c r="A72" s="23"/>
      <c r="B72" s="358"/>
      <c r="C72" s="358"/>
      <c r="D72" s="358"/>
      <c r="E72" s="358"/>
      <c r="F72" s="358"/>
      <c r="G72" s="358"/>
      <c r="H72" s="358"/>
      <c r="I72" s="358"/>
      <c r="J72" s="61"/>
    </row>
    <row r="74" spans="1:49" ht="19" x14ac:dyDescent="0.25">
      <c r="A74" s="22" t="s">
        <v>2</v>
      </c>
      <c r="L74" s="25"/>
    </row>
    <row r="75" spans="1:49" ht="15.75" customHeight="1" x14ac:dyDescent="0.2">
      <c r="B75" s="346" t="s">
        <v>426</v>
      </c>
      <c r="C75" s="345"/>
      <c r="D75" s="345"/>
      <c r="E75" s="345"/>
      <c r="F75" s="345"/>
      <c r="G75" s="345"/>
      <c r="H75" s="345"/>
      <c r="I75" s="345"/>
      <c r="L75" s="25"/>
    </row>
    <row r="76" spans="1:49" x14ac:dyDescent="0.2">
      <c r="B76" s="345"/>
      <c r="C76" s="345"/>
      <c r="D76" s="345"/>
      <c r="E76" s="345"/>
      <c r="F76" s="345"/>
      <c r="G76" s="345"/>
      <c r="H76" s="345"/>
      <c r="I76" s="345"/>
      <c r="L76" s="25"/>
    </row>
    <row r="77" spans="1:49" x14ac:dyDescent="0.2">
      <c r="B77" s="345"/>
      <c r="C77" s="345"/>
      <c r="D77" s="345"/>
      <c r="E77" s="345"/>
      <c r="F77" s="345"/>
      <c r="G77" s="345"/>
      <c r="H77" s="345"/>
      <c r="I77" s="345"/>
      <c r="L77" s="25"/>
    </row>
    <row r="78" spans="1:49" x14ac:dyDescent="0.2">
      <c r="B78" s="345"/>
      <c r="C78" s="345"/>
      <c r="D78" s="345"/>
      <c r="E78" s="345"/>
      <c r="F78" s="345"/>
      <c r="G78" s="345"/>
      <c r="H78" s="345"/>
      <c r="I78" s="345"/>
      <c r="L78" s="25"/>
    </row>
    <row r="79" spans="1:49" x14ac:dyDescent="0.2">
      <c r="B79" s="60"/>
      <c r="C79" s="60"/>
      <c r="D79" s="60"/>
      <c r="E79" s="60"/>
      <c r="F79" s="60"/>
      <c r="G79" s="60"/>
      <c r="H79" s="60"/>
      <c r="I79" s="60"/>
      <c r="L79" s="25"/>
    </row>
    <row r="80" spans="1:49" s="15" customFormat="1" ht="16" customHeight="1" x14ac:dyDescent="0.25">
      <c r="A80" s="22"/>
      <c r="B80" s="26" t="s">
        <v>159</v>
      </c>
      <c r="C80" s="100"/>
      <c r="D80" s="100"/>
      <c r="E80" s="100"/>
      <c r="F80" s="100"/>
      <c r="G80" s="100"/>
      <c r="H80" s="100"/>
      <c r="I80" s="100"/>
      <c r="J80" s="100"/>
      <c r="K80" s="100"/>
      <c r="L80" s="25"/>
      <c r="M80" s="25"/>
      <c r="N80" s="25"/>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row>
    <row r="81" spans="1:49" s="15" customFormat="1" ht="16" customHeight="1" x14ac:dyDescent="0.25">
      <c r="A81" s="22"/>
      <c r="B81" s="346" t="s">
        <v>162</v>
      </c>
      <c r="C81" s="348"/>
      <c r="D81" s="348"/>
      <c r="E81" s="348"/>
      <c r="F81" s="348"/>
      <c r="G81" s="348"/>
      <c r="H81" s="348"/>
      <c r="I81" s="348"/>
      <c r="J81" s="100"/>
      <c r="K81" s="100"/>
      <c r="L81" s="25"/>
      <c r="M81" s="25"/>
      <c r="N81" s="25"/>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row>
    <row r="82" spans="1:49" s="15" customFormat="1" ht="16" customHeight="1" x14ac:dyDescent="0.25">
      <c r="A82" s="22"/>
      <c r="B82" s="348"/>
      <c r="C82" s="348"/>
      <c r="D82" s="348"/>
      <c r="E82" s="348"/>
      <c r="F82" s="348"/>
      <c r="G82" s="348"/>
      <c r="H82" s="348"/>
      <c r="I82" s="348"/>
      <c r="J82" s="100"/>
      <c r="K82" s="100"/>
      <c r="L82" s="25"/>
      <c r="M82" s="25"/>
      <c r="N82" s="25"/>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row>
    <row r="83" spans="1:49" s="15" customFormat="1" ht="16" customHeight="1" x14ac:dyDescent="0.25">
      <c r="A83" s="22"/>
      <c r="B83" s="348"/>
      <c r="C83" s="348"/>
      <c r="D83" s="348"/>
      <c r="E83" s="348"/>
      <c r="F83" s="348"/>
      <c r="G83" s="348"/>
      <c r="H83" s="348"/>
      <c r="I83" s="348"/>
      <c r="J83" s="100"/>
      <c r="K83" s="100"/>
      <c r="L83" s="25"/>
      <c r="M83" s="25"/>
      <c r="N83" s="25"/>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row>
    <row r="84" spans="1:49" s="15" customFormat="1" ht="16" customHeight="1" x14ac:dyDescent="0.25">
      <c r="A84" s="22"/>
      <c r="B84" s="348"/>
      <c r="C84" s="348"/>
      <c r="D84" s="348"/>
      <c r="E84" s="348"/>
      <c r="F84" s="348"/>
      <c r="G84" s="348"/>
      <c r="H84" s="348"/>
      <c r="I84" s="348"/>
      <c r="J84" s="100"/>
      <c r="K84" s="100"/>
      <c r="L84" s="25"/>
      <c r="M84" s="25"/>
      <c r="N84" s="25"/>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row>
    <row r="85" spans="1:49" s="15" customFormat="1" ht="16" customHeight="1" x14ac:dyDescent="0.25">
      <c r="A85" s="22"/>
      <c r="B85" s="348"/>
      <c r="C85" s="348"/>
      <c r="D85" s="348"/>
      <c r="E85" s="348"/>
      <c r="F85" s="348"/>
      <c r="G85" s="348"/>
      <c r="H85" s="348"/>
      <c r="I85" s="348"/>
      <c r="J85" s="100"/>
      <c r="K85" s="100"/>
      <c r="L85" s="25"/>
      <c r="M85" s="25"/>
      <c r="N85" s="25"/>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row>
    <row r="86" spans="1:49" s="15" customFormat="1" ht="16" customHeight="1" x14ac:dyDescent="0.25">
      <c r="A86" s="22"/>
      <c r="B86" s="348"/>
      <c r="C86" s="348"/>
      <c r="D86" s="348"/>
      <c r="E86" s="348"/>
      <c r="F86" s="348"/>
      <c r="G86" s="348"/>
      <c r="H86" s="348"/>
      <c r="I86" s="348"/>
      <c r="J86" s="100"/>
      <c r="K86" s="100"/>
      <c r="L86" s="25"/>
      <c r="M86" s="25"/>
      <c r="N86" s="25"/>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row>
    <row r="87" spans="1:49" s="15" customFormat="1" ht="16" customHeight="1" x14ac:dyDescent="0.25">
      <c r="A87" s="22"/>
      <c r="B87" s="348"/>
      <c r="C87" s="348"/>
      <c r="D87" s="348"/>
      <c r="E87" s="348"/>
      <c r="F87" s="348"/>
      <c r="G87" s="348"/>
      <c r="H87" s="348"/>
      <c r="I87" s="348"/>
      <c r="J87" s="100"/>
      <c r="K87" s="100"/>
      <c r="L87" s="25"/>
      <c r="M87" s="25"/>
      <c r="N87" s="25"/>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row>
    <row r="88" spans="1:49" s="15" customFormat="1" ht="16" customHeight="1" x14ac:dyDescent="0.25">
      <c r="A88" s="22"/>
      <c r="B88" s="348"/>
      <c r="C88" s="348"/>
      <c r="D88" s="348"/>
      <c r="E88" s="348"/>
      <c r="F88" s="348"/>
      <c r="G88" s="348"/>
      <c r="H88" s="348"/>
      <c r="I88" s="348"/>
      <c r="J88" s="100"/>
      <c r="K88" s="100"/>
      <c r="L88" s="25"/>
      <c r="M88" s="25"/>
      <c r="N88" s="25"/>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row>
    <row r="89" spans="1:49" s="15" customFormat="1" ht="16" customHeight="1" x14ac:dyDescent="0.25">
      <c r="A89" s="22"/>
      <c r="B89" s="348"/>
      <c r="C89" s="348"/>
      <c r="D89" s="348"/>
      <c r="E89" s="348"/>
      <c r="F89" s="348"/>
      <c r="G89" s="348"/>
      <c r="H89" s="348"/>
      <c r="I89" s="348"/>
      <c r="J89" s="100"/>
      <c r="K89" s="100"/>
      <c r="L89" s="25"/>
      <c r="M89" s="25"/>
      <c r="N89" s="25"/>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row>
    <row r="90" spans="1:49" x14ac:dyDescent="0.2">
      <c r="B90" s="60"/>
      <c r="C90" s="60"/>
      <c r="D90" s="60"/>
      <c r="E90" s="60"/>
      <c r="F90" s="60"/>
      <c r="G90" s="60"/>
      <c r="H90" s="60"/>
      <c r="I90" s="60"/>
      <c r="L90" s="25"/>
    </row>
    <row r="91" spans="1:49" ht="19" x14ac:dyDescent="0.25">
      <c r="A91" s="22" t="s">
        <v>1</v>
      </c>
      <c r="L91" s="25"/>
    </row>
    <row r="92" spans="1:49" x14ac:dyDescent="0.2">
      <c r="B92" s="31" t="s">
        <v>127</v>
      </c>
    </row>
    <row r="94" spans="1:49" ht="19" x14ac:dyDescent="0.25">
      <c r="A94" s="22" t="s">
        <v>0</v>
      </c>
    </row>
    <row r="95" spans="1:49" x14ac:dyDescent="0.2">
      <c r="B95" s="31" t="s">
        <v>75</v>
      </c>
      <c r="D95" s="31" t="s">
        <v>76</v>
      </c>
    </row>
    <row r="96" spans="1:49" x14ac:dyDescent="0.2">
      <c r="D96" s="31" t="s">
        <v>77</v>
      </c>
    </row>
    <row r="102" spans="1:14" x14ac:dyDescent="0.2">
      <c r="A102" s="23"/>
      <c r="C102" s="45"/>
    </row>
    <row r="103" spans="1:14" x14ac:dyDescent="0.2">
      <c r="M103" s="45"/>
    </row>
    <row r="104" spans="1:14" x14ac:dyDescent="0.2">
      <c r="L104" s="25"/>
      <c r="M104" s="25"/>
      <c r="N104" s="25"/>
    </row>
    <row r="105" spans="1:14" x14ac:dyDescent="0.2">
      <c r="L105" s="25"/>
      <c r="M105" s="25"/>
      <c r="N105" s="25"/>
    </row>
    <row r="106" spans="1:14" x14ac:dyDescent="0.2">
      <c r="L106" s="25"/>
      <c r="M106" s="25"/>
      <c r="N106" s="25"/>
    </row>
    <row r="107" spans="1:14" x14ac:dyDescent="0.2">
      <c r="L107" s="25"/>
      <c r="M107" s="25"/>
      <c r="N107" s="25"/>
    </row>
    <row r="108" spans="1:14" x14ac:dyDescent="0.2">
      <c r="L108" s="25"/>
      <c r="M108" s="25"/>
      <c r="N108" s="25"/>
    </row>
    <row r="109" spans="1:14" x14ac:dyDescent="0.2">
      <c r="L109" s="25"/>
      <c r="M109" s="25"/>
      <c r="N109" s="25"/>
    </row>
    <row r="110" spans="1:14" x14ac:dyDescent="0.2">
      <c r="L110" s="25"/>
      <c r="M110" s="25"/>
      <c r="N110" s="25"/>
    </row>
    <row r="111" spans="1:14" x14ac:dyDescent="0.2">
      <c r="L111" s="25"/>
      <c r="M111" s="25"/>
      <c r="N111" s="25"/>
    </row>
    <row r="112" spans="1:14" x14ac:dyDescent="0.2">
      <c r="L112" s="25"/>
      <c r="M112" s="25"/>
      <c r="N112" s="25"/>
    </row>
    <row r="113" spans="12:14" x14ac:dyDescent="0.2">
      <c r="M113" s="45"/>
    </row>
    <row r="114" spans="12:14" x14ac:dyDescent="0.2">
      <c r="L114" s="25"/>
      <c r="M114" s="25"/>
      <c r="N114" s="25"/>
    </row>
    <row r="115" spans="12:14" x14ac:dyDescent="0.2">
      <c r="L115" s="25"/>
      <c r="M115" s="25"/>
      <c r="N115" s="25"/>
    </row>
    <row r="116" spans="12:14" x14ac:dyDescent="0.2">
      <c r="L116" s="25"/>
      <c r="M116" s="25"/>
      <c r="N116" s="25"/>
    </row>
    <row r="117" spans="12:14" x14ac:dyDescent="0.2">
      <c r="L117" s="25"/>
      <c r="M117" s="25"/>
      <c r="N117" s="25"/>
    </row>
    <row r="118" spans="12:14" x14ac:dyDescent="0.2">
      <c r="L118" s="25"/>
      <c r="M118" s="25"/>
      <c r="N118" s="25"/>
    </row>
    <row r="119" spans="12:14" x14ac:dyDescent="0.2">
      <c r="L119" s="25"/>
      <c r="M119" s="25"/>
      <c r="N119" s="25"/>
    </row>
    <row r="120" spans="12:14" x14ac:dyDescent="0.2">
      <c r="L120" s="25"/>
      <c r="M120" s="25"/>
      <c r="N120" s="25"/>
    </row>
    <row r="121" spans="12:14" x14ac:dyDescent="0.2">
      <c r="L121" s="25"/>
      <c r="M121" s="25"/>
      <c r="N121" s="25"/>
    </row>
    <row r="122" spans="12:14" x14ac:dyDescent="0.2">
      <c r="L122" s="25"/>
      <c r="M122" s="25"/>
      <c r="N122" s="25"/>
    </row>
    <row r="123" spans="12:14" x14ac:dyDescent="0.2">
      <c r="M123" s="45"/>
    </row>
    <row r="124" spans="12:14" x14ac:dyDescent="0.2">
      <c r="L124" s="25"/>
      <c r="M124" s="25"/>
      <c r="N124" s="25"/>
    </row>
    <row r="125" spans="12:14" x14ac:dyDescent="0.2">
      <c r="L125" s="25"/>
      <c r="M125" s="25"/>
      <c r="N125" s="25"/>
    </row>
    <row r="126" spans="12:14" x14ac:dyDescent="0.2">
      <c r="L126" s="25"/>
      <c r="M126" s="25"/>
      <c r="N126" s="25"/>
    </row>
    <row r="127" spans="12:14" x14ac:dyDescent="0.2">
      <c r="L127" s="25"/>
      <c r="M127" s="25"/>
      <c r="N127" s="25"/>
    </row>
    <row r="128" spans="12:14" x14ac:dyDescent="0.2">
      <c r="L128" s="25"/>
      <c r="M128" s="25"/>
      <c r="N128" s="25"/>
    </row>
    <row r="129" spans="1:65" x14ac:dyDescent="0.2">
      <c r="L129" s="25"/>
      <c r="M129" s="25"/>
      <c r="N129" s="25"/>
    </row>
    <row r="130" spans="1:65" x14ac:dyDescent="0.2">
      <c r="L130" s="25"/>
      <c r="M130" s="25"/>
      <c r="N130" s="25"/>
    </row>
    <row r="131" spans="1:65" x14ac:dyDescent="0.2">
      <c r="L131" s="25"/>
      <c r="M131" s="25"/>
      <c r="N131" s="25"/>
    </row>
    <row r="132" spans="1:65" x14ac:dyDescent="0.2">
      <c r="L132" s="25"/>
      <c r="M132" s="25"/>
      <c r="N132" s="25"/>
    </row>
    <row r="133" spans="1:65" x14ac:dyDescent="0.2">
      <c r="M133" s="45"/>
    </row>
    <row r="134" spans="1:65" x14ac:dyDescent="0.2">
      <c r="L134" s="25"/>
      <c r="M134" s="25"/>
      <c r="N134" s="25"/>
    </row>
    <row r="135" spans="1:65" x14ac:dyDescent="0.2">
      <c r="L135" s="25"/>
      <c r="M135" s="25"/>
      <c r="N135" s="25"/>
    </row>
    <row r="136" spans="1:65" x14ac:dyDescent="0.2">
      <c r="L136" s="25"/>
      <c r="M136" s="25"/>
      <c r="N136" s="25"/>
    </row>
    <row r="137" spans="1:65" x14ac:dyDescent="0.2">
      <c r="L137" s="25"/>
      <c r="M137" s="25"/>
      <c r="N137" s="25"/>
    </row>
    <row r="138" spans="1:65" x14ac:dyDescent="0.2">
      <c r="L138" s="25"/>
      <c r="M138" s="25"/>
      <c r="N138" s="25"/>
    </row>
    <row r="139" spans="1:65" x14ac:dyDescent="0.2">
      <c r="L139" s="25"/>
      <c r="M139" s="25"/>
      <c r="N139" s="25"/>
    </row>
    <row r="140" spans="1:65" x14ac:dyDescent="0.2">
      <c r="L140" s="25"/>
      <c r="M140" s="25"/>
      <c r="N140" s="25"/>
    </row>
    <row r="141" spans="1:65" x14ac:dyDescent="0.2">
      <c r="L141" s="25"/>
      <c r="M141" s="25"/>
      <c r="N141" s="25"/>
    </row>
    <row r="142" spans="1:65" x14ac:dyDescent="0.2">
      <c r="L142" s="25"/>
      <c r="M142" s="25"/>
      <c r="N142" s="25"/>
    </row>
    <row r="143" spans="1:65" x14ac:dyDescent="0.2">
      <c r="M143" s="45"/>
    </row>
    <row r="144" spans="1:65"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row>
    <row r="145" spans="1:65"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row>
    <row r="146" spans="1:65"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row>
    <row r="147" spans="1:65"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row>
    <row r="148" spans="1:65"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row>
    <row r="149" spans="1:65"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row>
    <row r="150" spans="1:65"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row>
    <row r="151" spans="1:65"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row>
    <row r="152" spans="1:65"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row>
    <row r="153" spans="1:65"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row>
    <row r="154" spans="1:65"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row>
    <row r="155" spans="1:65"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row>
    <row r="156" spans="1:65"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row>
    <row r="157" spans="1:65"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row>
    <row r="158" spans="1:65"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row>
    <row r="159" spans="1:65"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row>
    <row r="160" spans="1:65"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row>
    <row r="161" spans="1:65"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row>
    <row r="162" spans="1:65"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row>
    <row r="163" spans="1:65"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row>
    <row r="164" spans="1:65"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row>
    <row r="165" spans="1:65"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row>
    <row r="166" spans="1:65"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row>
    <row r="167" spans="1:65"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row>
    <row r="168" spans="1:65"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row>
    <row r="169" spans="1:65"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row>
    <row r="170" spans="1:65"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row>
    <row r="171" spans="1:65"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row>
    <row r="172" spans="1:65"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row>
    <row r="173" spans="1:65"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row>
    <row r="174" spans="1:65"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row>
    <row r="175" spans="1:65"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row>
    <row r="176" spans="1:65"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row>
    <row r="177" spans="1:65"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row>
    <row r="178" spans="1:65"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row>
    <row r="179" spans="1:65"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row>
    <row r="180" spans="1:65"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row>
    <row r="181" spans="1:65"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row>
    <row r="182" spans="1:65"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row>
    <row r="183" spans="1:65"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row>
    <row r="184" spans="1:65"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row>
    <row r="185" spans="1:65"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row>
    <row r="186" spans="1:65"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row>
    <row r="187" spans="1:65"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row>
    <row r="188" spans="1:65"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row>
    <row r="189" spans="1:65"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row>
    <row r="190" spans="1:65"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row>
    <row r="191" spans="1:65"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row>
    <row r="192" spans="1:65"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row>
    <row r="193" spans="1:65"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row>
    <row r="194" spans="1:65"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row>
    <row r="195" spans="1:65"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row>
    <row r="196" spans="1:65"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row>
    <row r="197" spans="1:65"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row>
    <row r="198" spans="1:65"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row>
    <row r="199" spans="1:65"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row>
    <row r="200" spans="1:65"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row>
    <row r="201" spans="1:65"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row>
    <row r="202" spans="1:65"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row>
    <row r="203" spans="1:65"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row>
    <row r="204" spans="1:65"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row>
    <row r="205" spans="1:65"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row>
    <row r="206" spans="1:65"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row>
    <row r="207" spans="1:65"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row>
    <row r="208" spans="1:65"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row>
    <row r="209" spans="1:65"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row>
    <row r="210" spans="1:65"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row>
    <row r="211" spans="1:65"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row>
    <row r="212" spans="1:65"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row>
    <row r="213" spans="1:65"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row>
    <row r="214" spans="1:65"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row>
    <row r="215" spans="1:65"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row>
    <row r="216" spans="1:65"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row>
    <row r="217" spans="1:65"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row>
    <row r="218" spans="1:65"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row>
    <row r="219" spans="1:65"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row>
    <row r="220" spans="1:65"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row>
    <row r="221" spans="1:65"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row>
    <row r="222" spans="1:65"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row>
    <row r="223" spans="1:65"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row>
    <row r="224" spans="1:65"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row>
    <row r="225" spans="1:65"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row>
    <row r="226" spans="1:65"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row>
    <row r="227" spans="1:65"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row>
    <row r="228" spans="1:65"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row>
    <row r="229" spans="1:65"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row>
    <row r="230" spans="1:65"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row>
    <row r="231" spans="1:65"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row>
    <row r="232" spans="1:65"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row>
    <row r="233" spans="1:65"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row>
    <row r="234" spans="1:65"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row>
    <row r="235" spans="1:65"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row>
    <row r="236" spans="1:65"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row>
    <row r="237" spans="1:65"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row>
    <row r="238" spans="1:65"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row>
    <row r="239" spans="1:65"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row>
    <row r="240" spans="1:65"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row>
    <row r="241" spans="1:65"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row>
    <row r="242" spans="1:65"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row>
    <row r="243" spans="1:65"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row>
    <row r="244" spans="1:65"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row>
    <row r="245" spans="1:65"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row>
  </sheetData>
  <mergeCells count="7">
    <mergeCell ref="B81:I89"/>
    <mergeCell ref="B75:I78"/>
    <mergeCell ref="B48:I51"/>
    <mergeCell ref="B54:I56"/>
    <mergeCell ref="B59:I61"/>
    <mergeCell ref="B64:I67"/>
    <mergeCell ref="B70:I72"/>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1EF6-DA06-A241-A03F-AD073F7AED49}">
  <dimension ref="A1:BM224"/>
  <sheetViews>
    <sheetView showGridLines="0" zoomScale="120" zoomScaleNormal="120" workbookViewId="0"/>
  </sheetViews>
  <sheetFormatPr baseColWidth="10" defaultColWidth="10.83203125" defaultRowHeight="16" x14ac:dyDescent="0.2"/>
  <cols>
    <col min="1" max="2" width="10.83203125" style="31"/>
    <col min="3" max="3" width="10.83203125" style="31" customWidth="1"/>
    <col min="4" max="4" width="11.6640625" style="31" customWidth="1"/>
    <col min="5" max="5" width="11.33203125" style="31" customWidth="1"/>
    <col min="6" max="16384" width="10.83203125" style="31"/>
  </cols>
  <sheetData>
    <row r="1" spans="1:10" ht="19" x14ac:dyDescent="0.25">
      <c r="A1" s="11" t="s">
        <v>78</v>
      </c>
      <c r="B1" s="29"/>
      <c r="C1" s="29"/>
      <c r="D1" s="29"/>
      <c r="E1" s="29"/>
      <c r="F1" s="29"/>
      <c r="G1" s="29"/>
      <c r="H1" s="29"/>
      <c r="I1" s="29"/>
      <c r="J1" s="30"/>
    </row>
    <row r="2" spans="1:10" x14ac:dyDescent="0.2">
      <c r="A2" s="32"/>
      <c r="B2" s="29"/>
      <c r="C2" s="29"/>
      <c r="D2" s="29"/>
      <c r="E2" s="29"/>
      <c r="F2" s="29"/>
      <c r="G2" s="29"/>
      <c r="H2" s="29"/>
      <c r="I2" s="29"/>
      <c r="J2" s="30"/>
    </row>
    <row r="3" spans="1:10" x14ac:dyDescent="0.2">
      <c r="A3" s="32"/>
      <c r="B3" s="29" t="s">
        <v>79</v>
      </c>
      <c r="C3" s="29"/>
      <c r="D3" s="29"/>
      <c r="E3" s="29"/>
      <c r="F3" s="29"/>
      <c r="G3" s="29"/>
      <c r="H3" s="29"/>
      <c r="I3" s="29"/>
      <c r="J3" s="30"/>
    </row>
    <row r="4" spans="1:10" x14ac:dyDescent="0.2">
      <c r="A4" s="32"/>
      <c r="B4" s="29" t="s">
        <v>80</v>
      </c>
      <c r="C4" s="29"/>
      <c r="D4" s="29"/>
      <c r="E4" s="29"/>
      <c r="F4" s="29"/>
      <c r="G4" s="29"/>
      <c r="H4" s="29"/>
      <c r="I4" s="29"/>
      <c r="J4" s="30"/>
    </row>
    <row r="5" spans="1:10" x14ac:dyDescent="0.2">
      <c r="A5" s="32"/>
      <c r="B5" s="29" t="s">
        <v>81</v>
      </c>
      <c r="C5" s="29"/>
      <c r="D5" s="29"/>
      <c r="E5" s="29"/>
      <c r="F5" s="29"/>
      <c r="G5" s="29"/>
      <c r="H5" s="29"/>
      <c r="I5" s="29"/>
      <c r="J5" s="30"/>
    </row>
    <row r="6" spans="1:10" x14ac:dyDescent="0.2">
      <c r="A6" s="32"/>
      <c r="B6" s="29"/>
      <c r="C6" s="29"/>
      <c r="D6" s="29"/>
      <c r="E6" s="29"/>
      <c r="F6" s="29"/>
      <c r="G6" s="29"/>
      <c r="H6" s="29"/>
      <c r="I6" s="29"/>
      <c r="J6" s="30"/>
    </row>
    <row r="7" spans="1:10" ht="34" x14ac:dyDescent="0.2">
      <c r="A7" s="32"/>
      <c r="B7" s="29"/>
      <c r="C7" s="62" t="s">
        <v>16</v>
      </c>
      <c r="D7" s="63" t="s">
        <v>17</v>
      </c>
      <c r="E7" s="29"/>
      <c r="F7" s="29"/>
      <c r="G7" s="29"/>
      <c r="H7" s="29"/>
      <c r="I7" s="29"/>
      <c r="J7" s="30"/>
    </row>
    <row r="8" spans="1:10" x14ac:dyDescent="0.2">
      <c r="A8" s="32"/>
      <c r="B8" s="29"/>
      <c r="C8" s="35">
        <v>1</v>
      </c>
      <c r="D8" s="36">
        <v>99.5</v>
      </c>
      <c r="E8" s="29"/>
      <c r="F8" s="29"/>
      <c r="G8" s="29"/>
      <c r="H8" s="29"/>
      <c r="I8" s="29"/>
      <c r="J8" s="30"/>
    </row>
    <row r="9" spans="1:10" x14ac:dyDescent="0.2">
      <c r="A9" s="32"/>
      <c r="B9" s="29"/>
      <c r="C9" s="37">
        <v>2</v>
      </c>
      <c r="D9" s="38">
        <v>50.7</v>
      </c>
      <c r="E9" s="29"/>
      <c r="F9" s="29"/>
      <c r="G9" s="29"/>
      <c r="H9" s="29"/>
      <c r="I9" s="29"/>
      <c r="J9" s="30"/>
    </row>
    <row r="10" spans="1:10" x14ac:dyDescent="0.2">
      <c r="A10" s="32"/>
      <c r="B10" s="29"/>
      <c r="C10" s="37">
        <v>3</v>
      </c>
      <c r="D10" s="38">
        <v>3.4</v>
      </c>
      <c r="E10" s="29"/>
      <c r="F10" s="29"/>
      <c r="G10" s="29"/>
      <c r="H10" s="29"/>
      <c r="I10" s="29"/>
      <c r="J10" s="30"/>
    </row>
    <row r="11" spans="1:10" x14ac:dyDescent="0.2">
      <c r="A11" s="32"/>
      <c r="B11" s="29"/>
      <c r="C11" s="37">
        <v>4</v>
      </c>
      <c r="D11" s="38">
        <v>98.5</v>
      </c>
      <c r="E11" s="29"/>
      <c r="F11" s="29"/>
      <c r="G11" s="29"/>
      <c r="H11" s="29"/>
      <c r="I11" s="29"/>
      <c r="J11" s="30"/>
    </row>
    <row r="12" spans="1:10" x14ac:dyDescent="0.2">
      <c r="A12" s="32"/>
      <c r="B12" s="29"/>
      <c r="C12" s="37">
        <v>5</v>
      </c>
      <c r="D12" s="38">
        <v>90.9</v>
      </c>
      <c r="E12" s="29"/>
      <c r="F12" s="29"/>
      <c r="G12" s="29"/>
      <c r="H12" s="29"/>
      <c r="I12" s="29"/>
      <c r="J12" s="30"/>
    </row>
    <row r="13" spans="1:10" x14ac:dyDescent="0.2">
      <c r="A13" s="32"/>
      <c r="B13" s="29"/>
      <c r="C13" s="37">
        <v>6</v>
      </c>
      <c r="D13" s="38">
        <v>60.4</v>
      </c>
      <c r="E13" s="29"/>
      <c r="F13" s="29"/>
      <c r="G13" s="29"/>
      <c r="H13" s="29"/>
      <c r="I13" s="29"/>
      <c r="J13" s="30"/>
    </row>
    <row r="14" spans="1:10" x14ac:dyDescent="0.2">
      <c r="A14" s="32"/>
      <c r="B14" s="29"/>
      <c r="C14" s="37">
        <v>7</v>
      </c>
      <c r="D14" s="38">
        <v>89.7</v>
      </c>
      <c r="E14" s="29"/>
      <c r="F14" s="29"/>
      <c r="G14" s="29"/>
      <c r="H14" s="29"/>
      <c r="I14" s="29"/>
      <c r="J14" s="30"/>
    </row>
    <row r="15" spans="1:10" x14ac:dyDescent="0.2">
      <c r="A15" s="32"/>
      <c r="B15" s="29"/>
      <c r="C15" s="37">
        <v>8</v>
      </c>
      <c r="D15" s="38">
        <v>97.3</v>
      </c>
      <c r="E15" s="29"/>
      <c r="F15" s="29"/>
      <c r="G15" s="29"/>
      <c r="H15" s="29"/>
      <c r="I15" s="29"/>
      <c r="J15" s="30"/>
    </row>
    <row r="16" spans="1:10" x14ac:dyDescent="0.2">
      <c r="A16" s="32"/>
      <c r="B16" s="29"/>
      <c r="C16" s="37">
        <v>9</v>
      </c>
      <c r="D16" s="38">
        <v>12.6</v>
      </c>
      <c r="E16" s="29"/>
      <c r="F16" s="29"/>
      <c r="G16" s="29"/>
      <c r="H16" s="29"/>
      <c r="I16" s="29"/>
      <c r="J16" s="30"/>
    </row>
    <row r="17" spans="1:10" x14ac:dyDescent="0.2">
      <c r="A17" s="32"/>
      <c r="B17" s="29"/>
      <c r="C17" s="39">
        <v>10</v>
      </c>
      <c r="D17" s="40">
        <v>98</v>
      </c>
      <c r="E17" s="29"/>
      <c r="F17" s="29"/>
      <c r="G17" s="29"/>
      <c r="H17" s="29"/>
      <c r="I17" s="29"/>
      <c r="J17" s="30"/>
    </row>
    <row r="18" spans="1:10" x14ac:dyDescent="0.2">
      <c r="A18" s="32"/>
      <c r="B18" s="29"/>
      <c r="C18" s="29"/>
      <c r="D18" s="29"/>
      <c r="E18" s="29"/>
      <c r="F18" s="29"/>
      <c r="G18" s="29"/>
      <c r="H18" s="29"/>
      <c r="I18" s="29"/>
      <c r="J18" s="30"/>
    </row>
    <row r="19" spans="1:10" x14ac:dyDescent="0.2">
      <c r="A19" s="32"/>
      <c r="B19" s="29"/>
      <c r="C19" s="29"/>
      <c r="D19" s="29"/>
      <c r="E19" s="29"/>
      <c r="F19" s="29"/>
      <c r="G19" s="29"/>
      <c r="H19" s="29"/>
      <c r="I19" s="29"/>
      <c r="J19" s="30"/>
    </row>
    <row r="20" spans="1:10" x14ac:dyDescent="0.2">
      <c r="A20" s="32"/>
      <c r="B20" s="29" t="s">
        <v>82</v>
      </c>
      <c r="C20" s="29"/>
      <c r="D20" s="29"/>
      <c r="E20" s="29"/>
      <c r="F20" s="29"/>
      <c r="G20" s="29"/>
      <c r="H20" s="29"/>
      <c r="I20" s="29"/>
      <c r="J20" s="30"/>
    </row>
    <row r="21" spans="1:10" ht="17" thickBot="1" x14ac:dyDescent="0.25">
      <c r="A21" s="41"/>
      <c r="B21" s="42"/>
      <c r="C21" s="43"/>
      <c r="D21" s="43"/>
      <c r="E21" s="43"/>
      <c r="F21" s="42"/>
      <c r="G21" s="42"/>
      <c r="H21" s="42"/>
      <c r="I21" s="42"/>
      <c r="J21" s="44"/>
    </row>
    <row r="23" spans="1:10" ht="19" x14ac:dyDescent="0.25">
      <c r="A23" s="22" t="s">
        <v>8</v>
      </c>
    </row>
    <row r="24" spans="1:10" x14ac:dyDescent="0.2">
      <c r="A24" s="46" t="s">
        <v>7</v>
      </c>
      <c r="B24" s="24" t="s">
        <v>83</v>
      </c>
      <c r="C24" s="45"/>
    </row>
    <row r="25" spans="1:10" x14ac:dyDescent="0.2">
      <c r="A25" s="46"/>
      <c r="B25" s="24"/>
      <c r="C25" s="45"/>
    </row>
    <row r="26" spans="1:10" ht="17" thickBot="1" x14ac:dyDescent="0.25">
      <c r="A26" s="46"/>
      <c r="B26" s="24"/>
      <c r="C26" s="45"/>
    </row>
    <row r="27" spans="1:10" ht="17" thickBot="1" x14ac:dyDescent="0.25">
      <c r="A27" s="46"/>
      <c r="B27" s="24"/>
      <c r="C27" s="45"/>
      <c r="E27" s="360" t="s">
        <v>84</v>
      </c>
      <c r="F27" s="361"/>
      <c r="G27" s="64">
        <f>136/SQRT(10)</f>
        <v>43.006976178289953</v>
      </c>
    </row>
    <row r="31" spans="1:10" x14ac:dyDescent="0.2">
      <c r="B31" s="24" t="s">
        <v>427</v>
      </c>
    </row>
    <row r="32" spans="1:10" x14ac:dyDescent="0.2">
      <c r="B32" s="305" t="s">
        <v>428</v>
      </c>
    </row>
    <row r="34" spans="1:12" ht="18" x14ac:dyDescent="0.25">
      <c r="A34" s="46" t="s">
        <v>6</v>
      </c>
      <c r="B34" s="24" t="s">
        <v>85</v>
      </c>
      <c r="L34" s="25"/>
    </row>
    <row r="35" spans="1:12" x14ac:dyDescent="0.2">
      <c r="B35" s="31" t="s">
        <v>86</v>
      </c>
      <c r="L35" s="25"/>
    </row>
    <row r="36" spans="1:12" x14ac:dyDescent="0.2">
      <c r="L36" s="25"/>
    </row>
    <row r="37" spans="1:12" ht="18" x14ac:dyDescent="0.25">
      <c r="A37" s="46" t="s">
        <v>5</v>
      </c>
      <c r="B37" s="24" t="s">
        <v>87</v>
      </c>
      <c r="L37" s="25"/>
    </row>
    <row r="38" spans="1:12" x14ac:dyDescent="0.2">
      <c r="L38" s="25"/>
    </row>
    <row r="39" spans="1:12" x14ac:dyDescent="0.2">
      <c r="L39" s="25"/>
    </row>
    <row r="40" spans="1:12" x14ac:dyDescent="0.2">
      <c r="L40" s="25"/>
    </row>
    <row r="43" spans="1:12" ht="18" x14ac:dyDescent="0.25">
      <c r="A43" s="46" t="s">
        <v>4</v>
      </c>
      <c r="B43" s="24" t="s">
        <v>88</v>
      </c>
    </row>
    <row r="45" spans="1:12" ht="35" customHeight="1" x14ac:dyDescent="0.25">
      <c r="B45" s="65" t="s">
        <v>35</v>
      </c>
      <c r="C45" s="66" t="s">
        <v>89</v>
      </c>
      <c r="D45" s="67" t="s">
        <v>90</v>
      </c>
      <c r="E45" s="65" t="s">
        <v>91</v>
      </c>
      <c r="F45" s="67" t="s">
        <v>92</v>
      </c>
      <c r="L45" s="25"/>
    </row>
    <row r="46" spans="1:12" x14ac:dyDescent="0.2">
      <c r="B46" s="52">
        <v>1</v>
      </c>
      <c r="C46" s="68">
        <v>3</v>
      </c>
      <c r="D46" s="53" cm="1">
        <f t="array" ref="D46:D55">_xlfn._xlws.SORT($D$8:$D$17,B46)</f>
        <v>3.4</v>
      </c>
      <c r="E46" s="52">
        <f t="shared" ref="E46:E55" si="0">100*B46/10</f>
        <v>10</v>
      </c>
      <c r="F46" s="53">
        <f>ABS(D46-E46)</f>
        <v>6.6</v>
      </c>
      <c r="L46" s="25"/>
    </row>
    <row r="47" spans="1:12" x14ac:dyDescent="0.2">
      <c r="B47" s="52">
        <v>2</v>
      </c>
      <c r="C47" s="68">
        <v>9</v>
      </c>
      <c r="D47" s="53">
        <v>12.6</v>
      </c>
      <c r="E47" s="52">
        <f t="shared" si="0"/>
        <v>20</v>
      </c>
      <c r="F47" s="53">
        <f t="shared" ref="F47:F55" si="1">ABS(D47-E47)</f>
        <v>7.4</v>
      </c>
      <c r="L47" s="25"/>
    </row>
    <row r="48" spans="1:12" x14ac:dyDescent="0.2">
      <c r="A48" s="23"/>
      <c r="B48" s="52">
        <v>3</v>
      </c>
      <c r="C48" s="68">
        <v>2</v>
      </c>
      <c r="D48" s="53">
        <v>50.7</v>
      </c>
      <c r="E48" s="52">
        <f t="shared" si="0"/>
        <v>30</v>
      </c>
      <c r="F48" s="53">
        <f t="shared" si="1"/>
        <v>20.700000000000003</v>
      </c>
    </row>
    <row r="49" spans="1:6" x14ac:dyDescent="0.2">
      <c r="B49" s="52">
        <v>4</v>
      </c>
      <c r="C49" s="68">
        <v>6</v>
      </c>
      <c r="D49" s="53">
        <v>60.4</v>
      </c>
      <c r="E49" s="52">
        <f t="shared" si="0"/>
        <v>40</v>
      </c>
      <c r="F49" s="53">
        <f t="shared" si="1"/>
        <v>20.399999999999999</v>
      </c>
    </row>
    <row r="50" spans="1:6" x14ac:dyDescent="0.2">
      <c r="B50" s="52">
        <v>5</v>
      </c>
      <c r="C50" s="68">
        <v>7</v>
      </c>
      <c r="D50" s="53">
        <v>89.7</v>
      </c>
      <c r="E50" s="52">
        <f t="shared" si="0"/>
        <v>50</v>
      </c>
      <c r="F50" s="53">
        <f t="shared" si="1"/>
        <v>39.700000000000003</v>
      </c>
    </row>
    <row r="51" spans="1:6" x14ac:dyDescent="0.2">
      <c r="B51" s="52">
        <v>6</v>
      </c>
      <c r="C51" s="68">
        <v>5</v>
      </c>
      <c r="D51" s="53">
        <v>90.9</v>
      </c>
      <c r="E51" s="52">
        <f t="shared" si="0"/>
        <v>60</v>
      </c>
      <c r="F51" s="53">
        <f t="shared" si="1"/>
        <v>30.900000000000006</v>
      </c>
    </row>
    <row r="52" spans="1:6" x14ac:dyDescent="0.2">
      <c r="B52" s="52">
        <v>7</v>
      </c>
      <c r="C52" s="68">
        <v>8</v>
      </c>
      <c r="D52" s="53">
        <v>97.3</v>
      </c>
      <c r="E52" s="52">
        <f t="shared" si="0"/>
        <v>70</v>
      </c>
      <c r="F52" s="53">
        <f t="shared" si="1"/>
        <v>27.299999999999997</v>
      </c>
    </row>
    <row r="53" spans="1:6" x14ac:dyDescent="0.2">
      <c r="B53" s="52">
        <v>8</v>
      </c>
      <c r="C53" s="68">
        <v>10</v>
      </c>
      <c r="D53" s="53">
        <v>98</v>
      </c>
      <c r="E53" s="52">
        <f t="shared" si="0"/>
        <v>80</v>
      </c>
      <c r="F53" s="53">
        <f t="shared" si="1"/>
        <v>18</v>
      </c>
    </row>
    <row r="54" spans="1:6" x14ac:dyDescent="0.2">
      <c r="B54" s="52">
        <v>9</v>
      </c>
      <c r="C54" s="68">
        <v>4</v>
      </c>
      <c r="D54" s="53">
        <v>98.5</v>
      </c>
      <c r="E54" s="52">
        <f t="shared" si="0"/>
        <v>90</v>
      </c>
      <c r="F54" s="53">
        <f t="shared" si="1"/>
        <v>8.5</v>
      </c>
    </row>
    <row r="55" spans="1:6" x14ac:dyDescent="0.2">
      <c r="B55" s="52">
        <v>10</v>
      </c>
      <c r="C55" s="68">
        <v>1</v>
      </c>
      <c r="D55" s="53">
        <v>99.5</v>
      </c>
      <c r="E55" s="52">
        <f t="shared" si="0"/>
        <v>100</v>
      </c>
      <c r="F55" s="53">
        <f t="shared" si="1"/>
        <v>0.5</v>
      </c>
    </row>
    <row r="56" spans="1:6" x14ac:dyDescent="0.2">
      <c r="C56" s="45"/>
    </row>
    <row r="57" spans="1:6" x14ac:dyDescent="0.2">
      <c r="A57" s="46" t="s">
        <v>3</v>
      </c>
      <c r="B57" s="24" t="s">
        <v>93</v>
      </c>
      <c r="C57" s="45"/>
    </row>
    <row r="58" spans="1:6" x14ac:dyDescent="0.2">
      <c r="A58" s="46"/>
      <c r="B58" s="24"/>
      <c r="C58" s="45"/>
    </row>
    <row r="59" spans="1:6" x14ac:dyDescent="0.2">
      <c r="A59" s="46"/>
      <c r="B59" s="24"/>
      <c r="C59" s="45"/>
    </row>
    <row r="60" spans="1:6" ht="17" thickBot="1" x14ac:dyDescent="0.25">
      <c r="A60" s="46"/>
      <c r="B60" s="24"/>
      <c r="C60" s="45"/>
    </row>
    <row r="61" spans="1:6" ht="17" thickBot="1" x14ac:dyDescent="0.25">
      <c r="A61" s="46"/>
      <c r="B61" s="24"/>
      <c r="C61" s="69" t="s">
        <v>94</v>
      </c>
      <c r="D61" s="70">
        <f>MAX(F46:F55)</f>
        <v>39.700000000000003</v>
      </c>
    </row>
    <row r="62" spans="1:6" x14ac:dyDescent="0.2">
      <c r="A62" s="46"/>
      <c r="B62" s="24"/>
      <c r="C62" s="45"/>
    </row>
    <row r="63" spans="1:6" x14ac:dyDescent="0.2">
      <c r="A63" s="46" t="s">
        <v>95</v>
      </c>
      <c r="B63" s="24" t="s">
        <v>418</v>
      </c>
    </row>
    <row r="64" spans="1:6" x14ac:dyDescent="0.2">
      <c r="A64" s="23"/>
      <c r="B64" s="31" t="s">
        <v>96</v>
      </c>
    </row>
    <row r="65" spans="1:14" x14ac:dyDescent="0.2">
      <c r="A65" s="23"/>
      <c r="B65" s="71" t="s">
        <v>97</v>
      </c>
    </row>
    <row r="66" spans="1:14" x14ac:dyDescent="0.2">
      <c r="A66" s="23"/>
    </row>
    <row r="67" spans="1:14" x14ac:dyDescent="0.2">
      <c r="A67" s="23"/>
      <c r="B67" s="31" t="s">
        <v>98</v>
      </c>
    </row>
    <row r="68" spans="1:14" x14ac:dyDescent="0.2">
      <c r="A68" s="23"/>
      <c r="B68" s="71" t="s">
        <v>99</v>
      </c>
    </row>
    <row r="69" spans="1:14" ht="17" thickBot="1" x14ac:dyDescent="0.25">
      <c r="A69" s="23"/>
    </row>
    <row r="70" spans="1:14" ht="17" thickBot="1" x14ac:dyDescent="0.25">
      <c r="A70" s="23"/>
      <c r="C70" s="72" t="s">
        <v>100</v>
      </c>
    </row>
    <row r="71" spans="1:14" x14ac:dyDescent="0.2">
      <c r="A71" s="23"/>
    </row>
    <row r="72" spans="1:14" x14ac:dyDescent="0.2">
      <c r="B72" s="345" t="s">
        <v>101</v>
      </c>
      <c r="C72" s="345"/>
      <c r="D72" s="345"/>
      <c r="E72" s="345"/>
      <c r="F72" s="345"/>
      <c r="G72" s="345"/>
      <c r="H72" s="345"/>
      <c r="I72" s="345"/>
      <c r="M72" s="45"/>
    </row>
    <row r="73" spans="1:14" x14ac:dyDescent="0.2">
      <c r="B73" s="345"/>
      <c r="C73" s="345"/>
      <c r="D73" s="345"/>
      <c r="E73" s="345"/>
      <c r="F73" s="345"/>
      <c r="G73" s="345"/>
      <c r="H73" s="345"/>
      <c r="I73" s="345"/>
      <c r="M73" s="45"/>
    </row>
    <row r="74" spans="1:14" x14ac:dyDescent="0.2">
      <c r="L74" s="25"/>
      <c r="M74" s="25"/>
      <c r="N74" s="25"/>
    </row>
    <row r="75" spans="1:14" ht="19" x14ac:dyDescent="0.25">
      <c r="A75" s="22" t="s">
        <v>2</v>
      </c>
      <c r="L75" s="25"/>
      <c r="M75" s="25"/>
      <c r="N75" s="25"/>
    </row>
    <row r="76" spans="1:14" ht="15" customHeight="1" x14ac:dyDescent="0.2">
      <c r="B76" s="347" t="s">
        <v>102</v>
      </c>
      <c r="C76" s="347"/>
      <c r="D76" s="347"/>
      <c r="E76" s="347"/>
      <c r="F76" s="347"/>
      <c r="G76" s="347"/>
      <c r="H76" s="347"/>
      <c r="I76" s="347"/>
      <c r="L76" s="25"/>
      <c r="M76" s="25"/>
      <c r="N76" s="25"/>
    </row>
    <row r="77" spans="1:14" ht="15" customHeight="1" x14ac:dyDescent="0.2">
      <c r="B77" s="347"/>
      <c r="C77" s="347"/>
      <c r="D77" s="347"/>
      <c r="E77" s="347"/>
      <c r="F77" s="347"/>
      <c r="G77" s="347"/>
      <c r="H77" s="347"/>
      <c r="I77" s="347"/>
      <c r="L77" s="25"/>
      <c r="M77" s="25"/>
      <c r="N77" s="25"/>
    </row>
    <row r="78" spans="1:14" ht="15" customHeight="1" x14ac:dyDescent="0.2">
      <c r="B78" s="347"/>
      <c r="C78" s="347"/>
      <c r="D78" s="347"/>
      <c r="E78" s="347"/>
      <c r="F78" s="347"/>
      <c r="G78" s="347"/>
      <c r="H78" s="347"/>
      <c r="I78" s="347"/>
      <c r="L78" s="25"/>
      <c r="M78" s="25"/>
      <c r="N78" s="25"/>
    </row>
    <row r="79" spans="1:14" ht="15" customHeight="1" x14ac:dyDescent="0.2">
      <c r="B79" s="347"/>
      <c r="C79" s="347"/>
      <c r="D79" s="347"/>
      <c r="E79" s="347"/>
      <c r="F79" s="347"/>
      <c r="G79" s="347"/>
      <c r="H79" s="347"/>
      <c r="I79" s="347"/>
      <c r="L79" s="25"/>
      <c r="M79" s="25"/>
      <c r="N79" s="25"/>
    </row>
    <row r="80" spans="1:14" ht="15" customHeight="1" x14ac:dyDescent="0.2">
      <c r="B80" s="347"/>
      <c r="C80" s="347"/>
      <c r="D80" s="347"/>
      <c r="E80" s="347"/>
      <c r="F80" s="347"/>
      <c r="G80" s="347"/>
      <c r="H80" s="347"/>
      <c r="I80" s="347"/>
      <c r="L80" s="25"/>
      <c r="M80" s="25"/>
      <c r="N80" s="25"/>
    </row>
    <row r="81" spans="1:14" ht="15" customHeight="1" x14ac:dyDescent="0.2">
      <c r="B81" s="347"/>
      <c r="C81" s="347"/>
      <c r="D81" s="347"/>
      <c r="E81" s="347"/>
      <c r="F81" s="347"/>
      <c r="G81" s="347"/>
      <c r="H81" s="347"/>
      <c r="I81" s="347"/>
      <c r="L81" s="25"/>
      <c r="M81" s="25"/>
      <c r="N81" s="25"/>
    </row>
    <row r="82" spans="1:14" ht="15" customHeight="1" x14ac:dyDescent="0.2">
      <c r="B82" s="347"/>
      <c r="C82" s="347"/>
      <c r="D82" s="347"/>
      <c r="E82" s="347"/>
      <c r="F82" s="347"/>
      <c r="G82" s="347"/>
      <c r="H82" s="347"/>
      <c r="I82" s="347"/>
      <c r="L82" s="25"/>
      <c r="M82" s="25"/>
      <c r="N82" s="25"/>
    </row>
    <row r="83" spans="1:14" ht="15" customHeight="1" x14ac:dyDescent="0.2">
      <c r="B83" s="347"/>
      <c r="C83" s="347"/>
      <c r="D83" s="347"/>
      <c r="E83" s="347"/>
      <c r="F83" s="347"/>
      <c r="G83" s="347"/>
      <c r="H83" s="347"/>
      <c r="I83" s="347"/>
      <c r="L83" s="25"/>
      <c r="M83" s="25"/>
      <c r="N83" s="25"/>
    </row>
    <row r="84" spans="1:14" x14ac:dyDescent="0.2">
      <c r="L84" s="25"/>
      <c r="M84" s="25"/>
      <c r="N84" s="25"/>
    </row>
    <row r="85" spans="1:14" x14ac:dyDescent="0.2">
      <c r="B85" s="31" t="s">
        <v>103</v>
      </c>
      <c r="L85" s="25"/>
      <c r="M85" s="25"/>
      <c r="N85" s="25"/>
    </row>
    <row r="86" spans="1:14" x14ac:dyDescent="0.2">
      <c r="L86" s="25"/>
      <c r="M86" s="25"/>
      <c r="N86" s="25"/>
    </row>
    <row r="87" spans="1:14" ht="19" x14ac:dyDescent="0.25">
      <c r="A87" s="22" t="s">
        <v>13</v>
      </c>
      <c r="L87" s="25"/>
      <c r="M87" s="25"/>
      <c r="N87" s="25"/>
    </row>
    <row r="88" spans="1:14" x14ac:dyDescent="0.2">
      <c r="B88" s="345" t="s">
        <v>104</v>
      </c>
      <c r="C88" s="345"/>
      <c r="D88" s="345"/>
      <c r="E88" s="345"/>
      <c r="F88" s="345"/>
      <c r="G88" s="345"/>
      <c r="H88" s="345"/>
      <c r="I88" s="345"/>
      <c r="L88" s="25"/>
      <c r="M88" s="25"/>
      <c r="N88" s="25"/>
    </row>
    <row r="89" spans="1:14" x14ac:dyDescent="0.2">
      <c r="B89" s="345"/>
      <c r="C89" s="345"/>
      <c r="D89" s="345"/>
      <c r="E89" s="345"/>
      <c r="F89" s="345"/>
      <c r="G89" s="345"/>
      <c r="H89" s="345"/>
      <c r="I89" s="345"/>
      <c r="L89" s="25"/>
      <c r="M89" s="25"/>
      <c r="N89" s="25"/>
    </row>
    <row r="90" spans="1:14" x14ac:dyDescent="0.2">
      <c r="B90" s="345"/>
      <c r="C90" s="345"/>
      <c r="D90" s="345"/>
      <c r="E90" s="345"/>
      <c r="F90" s="345"/>
      <c r="G90" s="345"/>
      <c r="H90" s="345"/>
      <c r="I90" s="345"/>
      <c r="L90" s="25"/>
      <c r="M90" s="25"/>
      <c r="N90" s="25"/>
    </row>
    <row r="91" spans="1:14" x14ac:dyDescent="0.2">
      <c r="L91" s="25"/>
      <c r="M91" s="25"/>
      <c r="N91" s="25"/>
    </row>
    <row r="92" spans="1:14" ht="19" x14ac:dyDescent="0.25">
      <c r="A92" s="22" t="s">
        <v>1</v>
      </c>
      <c r="M92" s="45"/>
    </row>
    <row r="93" spans="1:14" x14ac:dyDescent="0.2">
      <c r="B93" s="31" t="s">
        <v>128</v>
      </c>
      <c r="L93" s="25"/>
      <c r="M93" s="25"/>
      <c r="N93" s="25"/>
    </row>
    <row r="94" spans="1:14" x14ac:dyDescent="0.2">
      <c r="L94" s="25"/>
      <c r="M94" s="25"/>
      <c r="N94" s="25"/>
    </row>
    <row r="95" spans="1:14" ht="19" x14ac:dyDescent="0.25">
      <c r="A95" s="22" t="s">
        <v>0</v>
      </c>
      <c r="L95" s="25"/>
      <c r="M95" s="25"/>
      <c r="N95" s="25"/>
    </row>
    <row r="96" spans="1:14" x14ac:dyDescent="0.2">
      <c r="B96" s="31" t="s">
        <v>105</v>
      </c>
      <c r="D96" s="31" t="s">
        <v>106</v>
      </c>
      <c r="L96" s="25"/>
      <c r="M96" s="25"/>
      <c r="N96" s="25"/>
    </row>
    <row r="97" spans="4:14" x14ac:dyDescent="0.2">
      <c r="D97" s="31" t="s">
        <v>107</v>
      </c>
      <c r="L97" s="25"/>
      <c r="M97" s="25"/>
      <c r="N97" s="25"/>
    </row>
    <row r="98" spans="4:14" x14ac:dyDescent="0.2">
      <c r="D98" s="31" t="s">
        <v>108</v>
      </c>
      <c r="L98" s="25"/>
      <c r="M98" s="25"/>
      <c r="N98" s="25"/>
    </row>
    <row r="99" spans="4:14" x14ac:dyDescent="0.2">
      <c r="L99" s="25"/>
      <c r="M99" s="25"/>
      <c r="N99" s="25"/>
    </row>
    <row r="100" spans="4:14" x14ac:dyDescent="0.2">
      <c r="L100" s="25"/>
      <c r="M100" s="25"/>
      <c r="N100" s="25"/>
    </row>
    <row r="101" spans="4:14" x14ac:dyDescent="0.2">
      <c r="L101" s="25"/>
      <c r="M101" s="25"/>
      <c r="N101" s="25"/>
    </row>
    <row r="102" spans="4:14" x14ac:dyDescent="0.2">
      <c r="M102" s="45"/>
    </row>
    <row r="103" spans="4:14" x14ac:dyDescent="0.2">
      <c r="L103" s="25"/>
      <c r="M103" s="25"/>
      <c r="N103" s="25"/>
    </row>
    <row r="104" spans="4:14" x14ac:dyDescent="0.2">
      <c r="L104" s="25"/>
      <c r="M104" s="25"/>
      <c r="N104" s="25"/>
    </row>
    <row r="105" spans="4:14" x14ac:dyDescent="0.2">
      <c r="L105" s="25"/>
      <c r="M105" s="25"/>
      <c r="N105" s="25"/>
    </row>
    <row r="106" spans="4:14" x14ac:dyDescent="0.2">
      <c r="L106" s="25"/>
      <c r="M106" s="25"/>
      <c r="N106" s="25"/>
    </row>
    <row r="107" spans="4:14" x14ac:dyDescent="0.2">
      <c r="L107" s="25"/>
      <c r="M107" s="25"/>
      <c r="N107" s="25"/>
    </row>
    <row r="108" spans="4:14" x14ac:dyDescent="0.2">
      <c r="L108" s="25"/>
      <c r="M108" s="25"/>
      <c r="N108" s="25"/>
    </row>
    <row r="109" spans="4:14" x14ac:dyDescent="0.2">
      <c r="L109" s="25"/>
      <c r="M109" s="25"/>
      <c r="N109" s="25"/>
    </row>
    <row r="110" spans="4:14" x14ac:dyDescent="0.2">
      <c r="L110" s="25"/>
      <c r="M110" s="25"/>
      <c r="N110" s="25"/>
    </row>
    <row r="111" spans="4:14" x14ac:dyDescent="0.2">
      <c r="L111" s="25"/>
      <c r="M111" s="25"/>
      <c r="N111" s="25"/>
    </row>
    <row r="112" spans="4:14" x14ac:dyDescent="0.2">
      <c r="M112" s="45"/>
    </row>
    <row r="113" spans="1:65" x14ac:dyDescent="0.2">
      <c r="L113" s="25"/>
      <c r="M113" s="25"/>
      <c r="N113" s="25"/>
    </row>
    <row r="114" spans="1:65" x14ac:dyDescent="0.2">
      <c r="L114" s="25"/>
      <c r="M114" s="25"/>
      <c r="N114" s="25"/>
    </row>
    <row r="115" spans="1:65" x14ac:dyDescent="0.2">
      <c r="L115" s="25"/>
      <c r="M115" s="25"/>
      <c r="N115" s="25"/>
    </row>
    <row r="116" spans="1:65" x14ac:dyDescent="0.2">
      <c r="L116" s="25"/>
      <c r="M116" s="25"/>
      <c r="N116" s="25"/>
    </row>
    <row r="117" spans="1:65" x14ac:dyDescent="0.2">
      <c r="L117" s="25"/>
      <c r="M117" s="25"/>
      <c r="N117" s="25"/>
    </row>
    <row r="118" spans="1:65" x14ac:dyDescent="0.2">
      <c r="L118" s="25"/>
      <c r="M118" s="25"/>
      <c r="N118" s="25"/>
    </row>
    <row r="119" spans="1:65" x14ac:dyDescent="0.2">
      <c r="L119" s="25"/>
      <c r="M119" s="25"/>
      <c r="N119" s="25"/>
    </row>
    <row r="120" spans="1:65" x14ac:dyDescent="0.2">
      <c r="L120" s="25"/>
      <c r="M120" s="25"/>
      <c r="N120" s="25"/>
    </row>
    <row r="121" spans="1:65" x14ac:dyDescent="0.2">
      <c r="L121" s="25"/>
      <c r="M121" s="25"/>
      <c r="N121" s="25"/>
    </row>
    <row r="122" spans="1:65" x14ac:dyDescent="0.2">
      <c r="M122" s="45"/>
    </row>
    <row r="123" spans="1:65"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row>
    <row r="124" spans="1:65"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row>
    <row r="125" spans="1:65"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row>
    <row r="126" spans="1:65"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row>
    <row r="127" spans="1:65"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row>
    <row r="128" spans="1:65"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row>
    <row r="129" spans="1:65"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row>
    <row r="130" spans="1:65"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row>
    <row r="131" spans="1:65"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row>
    <row r="132" spans="1:65"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row>
    <row r="133" spans="1:65"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row>
    <row r="134" spans="1:65"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row>
    <row r="135" spans="1:65"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row>
    <row r="136" spans="1:65"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row>
    <row r="137" spans="1:65"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row>
    <row r="138" spans="1:65"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row>
    <row r="139" spans="1:65"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row>
    <row r="140" spans="1:65"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row>
    <row r="141" spans="1:65"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row>
    <row r="142" spans="1:65"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row>
    <row r="143" spans="1:65"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row>
    <row r="144" spans="1:65"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row>
    <row r="145" spans="1:65"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row>
    <row r="146" spans="1:65"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row>
    <row r="147" spans="1:65"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row>
    <row r="148" spans="1:65"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row>
    <row r="149" spans="1:65"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row>
    <row r="150" spans="1:65"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row>
    <row r="151" spans="1:65"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row>
    <row r="152" spans="1:65"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row>
    <row r="153" spans="1:65"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row>
    <row r="154" spans="1:65"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row>
    <row r="155" spans="1:65"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row>
    <row r="156" spans="1:65"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row>
    <row r="157" spans="1:65"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row>
    <row r="158" spans="1:65"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row>
    <row r="159" spans="1:65"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row>
    <row r="160" spans="1:65"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row>
    <row r="161" spans="1:65"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row>
    <row r="162" spans="1:65"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row>
    <row r="163" spans="1:65"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row>
    <row r="164" spans="1:65"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row>
    <row r="165" spans="1:65"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row>
    <row r="166" spans="1:65"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row>
    <row r="167" spans="1:65"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row>
    <row r="168" spans="1:65"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row>
    <row r="169" spans="1:65"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row>
    <row r="170" spans="1:65"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row>
    <row r="171" spans="1:65"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row>
    <row r="172" spans="1:65"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row>
    <row r="173" spans="1:65"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row>
    <row r="174" spans="1:65"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row>
    <row r="175" spans="1:65"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row>
    <row r="176" spans="1:65"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row>
    <row r="177" spans="1:65"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row>
    <row r="178" spans="1:65"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row>
    <row r="179" spans="1:65"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row>
    <row r="180" spans="1:65"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row>
    <row r="181" spans="1:65"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row>
    <row r="182" spans="1:65"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row>
    <row r="183" spans="1:65"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row>
    <row r="184" spans="1:65"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row>
    <row r="185" spans="1:65"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row>
    <row r="186" spans="1:65"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row>
    <row r="187" spans="1:65"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row>
    <row r="188" spans="1:65"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row>
    <row r="189" spans="1:65"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row>
    <row r="190" spans="1:65"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row>
    <row r="191" spans="1:65"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row>
    <row r="192" spans="1:65"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row>
    <row r="193" spans="1:65"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row>
    <row r="194" spans="1:65"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row>
    <row r="195" spans="1:65"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row>
    <row r="196" spans="1:65"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row>
    <row r="197" spans="1:65"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row>
    <row r="198" spans="1:65"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row>
    <row r="199" spans="1:65"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row>
    <row r="200" spans="1:65"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row>
    <row r="201" spans="1:65"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row>
    <row r="202" spans="1:65"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row>
    <row r="203" spans="1:65"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row>
    <row r="204" spans="1:65"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row>
    <row r="205" spans="1:65"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row>
    <row r="206" spans="1:65"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row>
    <row r="207" spans="1:65"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row>
    <row r="208" spans="1:65"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row>
    <row r="209" spans="1:65"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row>
    <row r="210" spans="1:65"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row>
    <row r="211" spans="1:65"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row>
    <row r="212" spans="1:65"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row>
    <row r="213" spans="1:65"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row>
    <row r="214" spans="1:65"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row>
    <row r="215" spans="1:65"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row>
    <row r="216" spans="1:65"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row>
    <row r="217" spans="1:65"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row>
    <row r="218" spans="1:65"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row>
    <row r="219" spans="1:65"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row>
    <row r="220" spans="1:65"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row>
    <row r="221" spans="1:65"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row>
    <row r="222" spans="1:65"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row>
    <row r="223" spans="1:65"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row>
    <row r="224" spans="1:65"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row>
  </sheetData>
  <mergeCells count="4">
    <mergeCell ref="B72:I73"/>
    <mergeCell ref="B76:I83"/>
    <mergeCell ref="B88:I90"/>
    <mergeCell ref="E27:F27"/>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6AE5-321E-6948-8179-2EB1F3FE10C8}">
  <sheetPr>
    <pageSetUpPr fitToPage="1"/>
  </sheetPr>
  <dimension ref="A1:BM185"/>
  <sheetViews>
    <sheetView showGridLines="0" zoomScale="120" zoomScaleNormal="120" workbookViewId="0"/>
  </sheetViews>
  <sheetFormatPr baseColWidth="10" defaultColWidth="10.83203125" defaultRowHeight="16" x14ac:dyDescent="0.2"/>
  <cols>
    <col min="1" max="1" width="10.83203125" style="15"/>
    <col min="2" max="6" width="10.83203125" style="15" customWidth="1"/>
    <col min="7" max="7" width="11.33203125" style="15" customWidth="1"/>
    <col min="8" max="9" width="10.83203125" style="15"/>
    <col min="10" max="10" width="10.83203125" style="15" customWidth="1"/>
    <col min="11" max="16384" width="10.83203125" style="15"/>
  </cols>
  <sheetData>
    <row r="1" spans="1:49" ht="19" x14ac:dyDescent="0.25">
      <c r="A1" s="11" t="s">
        <v>138</v>
      </c>
      <c r="B1" s="12"/>
      <c r="C1" s="12"/>
      <c r="D1" s="12"/>
      <c r="E1" s="12"/>
      <c r="F1" s="12"/>
      <c r="G1" s="12"/>
      <c r="H1" s="12"/>
      <c r="I1" s="12"/>
      <c r="J1" s="13"/>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2">
      <c r="A2" s="9"/>
      <c r="B2" s="12"/>
      <c r="C2" s="12"/>
      <c r="D2" s="12"/>
      <c r="E2" s="12"/>
      <c r="F2" s="12"/>
      <c r="G2" s="12"/>
      <c r="H2" s="12"/>
      <c r="I2" s="12"/>
      <c r="J2" s="13"/>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2">
      <c r="A3" s="5"/>
      <c r="B3" s="16" t="s">
        <v>11</v>
      </c>
      <c r="C3" s="12"/>
      <c r="D3" s="12"/>
      <c r="E3" s="12"/>
      <c r="F3" s="12"/>
      <c r="G3" s="12"/>
      <c r="H3" s="12"/>
      <c r="I3" s="12"/>
      <c r="J3" s="1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ht="16" customHeight="1" x14ac:dyDescent="0.2">
      <c r="A4" s="5"/>
      <c r="B4" s="362" t="s">
        <v>429</v>
      </c>
      <c r="C4" s="363"/>
      <c r="D4" s="363"/>
      <c r="E4" s="363"/>
      <c r="F4" s="363"/>
      <c r="G4" s="363"/>
      <c r="H4" s="363"/>
      <c r="I4" s="363"/>
      <c r="J4" s="13"/>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ht="16" customHeight="1" x14ac:dyDescent="0.2">
      <c r="A5" s="5"/>
      <c r="B5" s="363"/>
      <c r="C5" s="363"/>
      <c r="D5" s="363"/>
      <c r="E5" s="363"/>
      <c r="F5" s="363"/>
      <c r="G5" s="363"/>
      <c r="H5" s="363"/>
      <c r="I5" s="363"/>
      <c r="J5" s="13"/>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49" x14ac:dyDescent="0.2">
      <c r="A6" s="5"/>
      <c r="B6" s="363"/>
      <c r="C6" s="363"/>
      <c r="D6" s="363"/>
      <c r="E6" s="363"/>
      <c r="F6" s="363"/>
      <c r="G6" s="363"/>
      <c r="H6" s="363"/>
      <c r="I6" s="363"/>
      <c r="J6" s="13"/>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1:49" x14ac:dyDescent="0.2">
      <c r="A7" s="5"/>
      <c r="B7" s="12"/>
      <c r="C7" s="6"/>
      <c r="D7" s="6"/>
      <c r="E7" s="6"/>
      <c r="F7" s="12"/>
      <c r="G7" s="12"/>
      <c r="H7" s="12"/>
      <c r="I7" s="12"/>
      <c r="J7" s="13"/>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row>
    <row r="8" spans="1:49" ht="16" customHeight="1" x14ac:dyDescent="0.2">
      <c r="A8" s="5"/>
      <c r="B8" s="365" t="s">
        <v>140</v>
      </c>
      <c r="C8" s="376" t="s">
        <v>136</v>
      </c>
      <c r="D8" s="365" t="s">
        <v>154</v>
      </c>
      <c r="E8" s="374" t="s">
        <v>142</v>
      </c>
      <c r="F8" s="12"/>
      <c r="G8" s="372" t="s">
        <v>141</v>
      </c>
      <c r="H8" s="370" t="s">
        <v>143</v>
      </c>
      <c r="I8" s="368" t="s">
        <v>144</v>
      </c>
      <c r="J8" s="13"/>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row>
    <row r="9" spans="1:49" x14ac:dyDescent="0.2">
      <c r="A9" s="5"/>
      <c r="B9" s="366"/>
      <c r="C9" s="375"/>
      <c r="D9" s="366"/>
      <c r="E9" s="375"/>
      <c r="F9" s="12"/>
      <c r="G9" s="373"/>
      <c r="H9" s="371"/>
      <c r="I9" s="369"/>
      <c r="J9" s="13"/>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row>
    <row r="10" spans="1:49" x14ac:dyDescent="0.2">
      <c r="A10" s="5"/>
      <c r="B10" s="84">
        <v>2006</v>
      </c>
      <c r="C10" s="103">
        <v>5812</v>
      </c>
      <c r="D10" s="110">
        <v>3917</v>
      </c>
      <c r="E10" s="87">
        <v>0</v>
      </c>
      <c r="F10" s="12"/>
      <c r="G10" s="84">
        <v>12</v>
      </c>
      <c r="H10" s="91">
        <v>-0.62090000000000001</v>
      </c>
      <c r="I10" s="92">
        <v>0.221</v>
      </c>
      <c r="J10" s="13"/>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row>
    <row r="11" spans="1:49" x14ac:dyDescent="0.2">
      <c r="A11" s="5"/>
      <c r="B11" s="85">
        <v>2007</v>
      </c>
      <c r="C11" s="104">
        <v>4908</v>
      </c>
      <c r="D11" s="126">
        <v>2539</v>
      </c>
      <c r="E11" s="88">
        <v>-0.22570000000000001</v>
      </c>
      <c r="F11" s="12"/>
      <c r="G11" s="85">
        <v>24</v>
      </c>
      <c r="H11" s="93">
        <v>-0.28170000000000001</v>
      </c>
      <c r="I11" s="94">
        <v>0.1196</v>
      </c>
      <c r="J11" s="13"/>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row>
    <row r="12" spans="1:49" x14ac:dyDescent="0.2">
      <c r="A12" s="5"/>
      <c r="B12" s="85">
        <v>2008</v>
      </c>
      <c r="C12" s="104">
        <v>5454</v>
      </c>
      <c r="D12" s="126">
        <v>4172</v>
      </c>
      <c r="E12" s="88">
        <v>0.16819999999999999</v>
      </c>
      <c r="F12" s="12"/>
      <c r="G12" s="85">
        <v>36</v>
      </c>
      <c r="H12" s="93">
        <v>-0.2056</v>
      </c>
      <c r="I12" s="94">
        <v>9.4100000000000003E-2</v>
      </c>
      <c r="J12" s="13"/>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row>
    <row r="13" spans="1:49" x14ac:dyDescent="0.2">
      <c r="A13" s="5"/>
      <c r="B13" s="85">
        <v>2009</v>
      </c>
      <c r="C13" s="104">
        <v>5165</v>
      </c>
      <c r="D13" s="126">
        <v>4343</v>
      </c>
      <c r="E13" s="88">
        <v>0.22439999999999999</v>
      </c>
      <c r="F13" s="12"/>
      <c r="G13" s="85">
        <v>48</v>
      </c>
      <c r="H13" s="93">
        <v>-0.1384</v>
      </c>
      <c r="I13" s="94">
        <v>9.2200000000000004E-2</v>
      </c>
      <c r="J13" s="13"/>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row>
    <row r="14" spans="1:49" x14ac:dyDescent="0.2">
      <c r="A14" s="5"/>
      <c r="B14" s="85">
        <v>2010</v>
      </c>
      <c r="C14" s="104">
        <v>5214</v>
      </c>
      <c r="D14" s="126">
        <v>3568</v>
      </c>
      <c r="E14" s="88">
        <v>4.3999999999999997E-2</v>
      </c>
      <c r="F14" s="12"/>
      <c r="G14" s="85">
        <v>60</v>
      </c>
      <c r="H14" s="93">
        <v>-6.88E-2</v>
      </c>
      <c r="I14" s="94">
        <v>8.3000000000000004E-2</v>
      </c>
      <c r="J14" s="13"/>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49" x14ac:dyDescent="0.2">
      <c r="A15" s="5"/>
      <c r="B15" s="85">
        <v>2011</v>
      </c>
      <c r="C15" s="104">
        <v>5230</v>
      </c>
      <c r="D15" s="126">
        <v>3285</v>
      </c>
      <c r="E15" s="88">
        <v>7.7200000000000005E-2</v>
      </c>
      <c r="F15" s="12"/>
      <c r="G15" s="85">
        <v>72</v>
      </c>
      <c r="H15" s="93">
        <v>-4.3900000000000002E-2</v>
      </c>
      <c r="I15" s="94">
        <v>7.8200000000000006E-2</v>
      </c>
      <c r="J15" s="13"/>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49" x14ac:dyDescent="0.2">
      <c r="A16" s="5"/>
      <c r="B16" s="85">
        <v>2012</v>
      </c>
      <c r="C16" s="104">
        <v>4992</v>
      </c>
      <c r="D16" s="126">
        <v>5311</v>
      </c>
      <c r="E16" s="88">
        <v>0.57540000000000002</v>
      </c>
      <c r="F16" s="12"/>
      <c r="G16" s="85">
        <v>84</v>
      </c>
      <c r="H16" s="93">
        <v>-2.9899999999999999E-2</v>
      </c>
      <c r="I16" s="94">
        <v>5.8299999999999998E-2</v>
      </c>
      <c r="J16" s="13"/>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x14ac:dyDescent="0.2">
      <c r="A17" s="5"/>
      <c r="B17" s="85">
        <v>2013</v>
      </c>
      <c r="C17" s="104">
        <v>5466</v>
      </c>
      <c r="D17" s="126">
        <v>3950</v>
      </c>
      <c r="E17" s="88">
        <v>7.3999999999999996E-2</v>
      </c>
      <c r="F17" s="12"/>
      <c r="G17" s="85">
        <v>96</v>
      </c>
      <c r="H17" s="93">
        <v>3.3000000000000002E-2</v>
      </c>
      <c r="I17" s="94">
        <v>5.5E-2</v>
      </c>
      <c r="J17" s="13"/>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x14ac:dyDescent="0.2">
      <c r="A18" s="5"/>
      <c r="B18" s="85">
        <v>2014</v>
      </c>
      <c r="C18" s="104">
        <v>5226</v>
      </c>
      <c r="D18" s="126">
        <v>4032</v>
      </c>
      <c r="E18" s="88">
        <v>0.30359999999999998</v>
      </c>
      <c r="F18" s="12"/>
      <c r="G18" s="85">
        <v>108</v>
      </c>
      <c r="H18" s="93">
        <v>-2.18E-2</v>
      </c>
      <c r="I18" s="94">
        <v>2.5600000000000001E-2</v>
      </c>
      <c r="J18" s="13"/>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49" x14ac:dyDescent="0.2">
      <c r="A19" s="5"/>
      <c r="B19" s="86">
        <v>2015</v>
      </c>
      <c r="C19" s="105">
        <v>4962</v>
      </c>
      <c r="D19" s="127">
        <v>3332</v>
      </c>
      <c r="E19" s="89">
        <v>0.57620000000000005</v>
      </c>
      <c r="F19" s="12"/>
      <c r="G19" s="86">
        <v>120</v>
      </c>
      <c r="H19" s="95">
        <v>0</v>
      </c>
      <c r="I19" s="96">
        <v>1.4E-2</v>
      </c>
      <c r="J19" s="13"/>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49" x14ac:dyDescent="0.2">
      <c r="A20" s="5"/>
      <c r="B20" s="12"/>
      <c r="C20" s="6"/>
      <c r="D20" s="6"/>
      <c r="E20" s="6"/>
      <c r="F20" s="12"/>
      <c r="G20" s="12"/>
      <c r="H20" s="12"/>
      <c r="I20" s="12"/>
      <c r="J20" s="13"/>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49" x14ac:dyDescent="0.2">
      <c r="A21" s="5"/>
      <c r="B21" s="79" t="s">
        <v>129</v>
      </c>
      <c r="C21" s="82">
        <v>-0.38290000000000002</v>
      </c>
      <c r="D21" s="6"/>
      <c r="E21" s="12"/>
      <c r="F21" s="12"/>
      <c r="G21" s="12"/>
      <c r="H21" s="12"/>
      <c r="I21" s="12"/>
      <c r="J21" s="13"/>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x14ac:dyDescent="0.2">
      <c r="A22" s="5"/>
      <c r="B22" s="306" t="s">
        <v>139</v>
      </c>
      <c r="C22" s="82"/>
      <c r="D22" s="6"/>
      <c r="E22" s="6"/>
      <c r="F22" s="12"/>
      <c r="G22" s="12"/>
      <c r="H22" s="12"/>
      <c r="I22" s="12"/>
      <c r="J22" s="13"/>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x14ac:dyDescent="0.2">
      <c r="A23" s="5"/>
      <c r="B23" s="79"/>
      <c r="C23" s="82"/>
      <c r="D23" s="6"/>
      <c r="E23" s="6"/>
      <c r="F23" s="12"/>
      <c r="G23" s="12"/>
      <c r="H23" s="12"/>
      <c r="I23" s="12"/>
      <c r="J23" s="13"/>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x14ac:dyDescent="0.2">
      <c r="A24" s="5"/>
      <c r="B24" s="362" t="s">
        <v>131</v>
      </c>
      <c r="C24" s="363"/>
      <c r="D24" s="363"/>
      <c r="E24" s="363"/>
      <c r="F24" s="363"/>
      <c r="G24" s="363"/>
      <c r="H24" s="363"/>
      <c r="I24" s="363"/>
      <c r="J24" s="13"/>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49" x14ac:dyDescent="0.2">
      <c r="A25" s="5"/>
      <c r="B25" s="363"/>
      <c r="C25" s="363"/>
      <c r="D25" s="363"/>
      <c r="E25" s="363"/>
      <c r="F25" s="363"/>
      <c r="G25" s="363"/>
      <c r="H25" s="363"/>
      <c r="I25" s="363"/>
      <c r="J25" s="13"/>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x14ac:dyDescent="0.2">
      <c r="A26" s="5"/>
      <c r="B26" s="12"/>
      <c r="C26" s="6"/>
      <c r="D26" s="6"/>
      <c r="E26" s="6"/>
      <c r="F26" s="12"/>
      <c r="G26" s="12"/>
      <c r="H26" s="12"/>
      <c r="I26" s="12"/>
      <c r="J26" s="13"/>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x14ac:dyDescent="0.2">
      <c r="A27" s="5"/>
      <c r="B27" s="12"/>
      <c r="C27" s="83" t="s">
        <v>132</v>
      </c>
      <c r="D27" s="83" t="s">
        <v>130</v>
      </c>
      <c r="E27" s="6"/>
      <c r="F27" s="12"/>
      <c r="G27" s="12"/>
      <c r="H27" s="12"/>
      <c r="I27" s="12"/>
      <c r="J27" s="13"/>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x14ac:dyDescent="0.2">
      <c r="A28" s="5"/>
      <c r="B28" s="12"/>
      <c r="C28" s="85">
        <v>2</v>
      </c>
      <c r="D28" s="88">
        <v>0.99819999999999998</v>
      </c>
      <c r="E28" s="6"/>
      <c r="F28" s="12"/>
      <c r="G28" s="12"/>
      <c r="H28" s="12"/>
      <c r="I28" s="12"/>
      <c r="J28" s="13"/>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x14ac:dyDescent="0.2">
      <c r="A29" s="5"/>
      <c r="B29" s="12"/>
      <c r="C29" s="85">
        <v>3</v>
      </c>
      <c r="D29" s="88">
        <v>0.41920000000000002</v>
      </c>
      <c r="E29" s="6"/>
      <c r="F29" s="12"/>
      <c r="G29" s="12"/>
      <c r="H29" s="12"/>
      <c r="I29" s="12"/>
      <c r="J29" s="13"/>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x14ac:dyDescent="0.2">
      <c r="A30" s="5"/>
      <c r="B30" s="12"/>
      <c r="C30" s="85">
        <v>4</v>
      </c>
      <c r="D30" s="88">
        <v>0.79430000000000001</v>
      </c>
      <c r="E30" s="6"/>
      <c r="F30" s="12"/>
      <c r="G30" s="12"/>
      <c r="H30" s="12"/>
      <c r="I30" s="12"/>
      <c r="J30" s="13"/>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1:49" x14ac:dyDescent="0.2">
      <c r="A31" s="5"/>
      <c r="B31" s="12"/>
      <c r="C31" s="85">
        <v>5</v>
      </c>
      <c r="D31" s="88">
        <v>0.37930000000000003</v>
      </c>
      <c r="E31" s="6"/>
      <c r="F31" s="12"/>
      <c r="G31" s="12"/>
      <c r="H31" s="12"/>
      <c r="I31" s="12"/>
      <c r="J31" s="13"/>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x14ac:dyDescent="0.2">
      <c r="A32" s="5"/>
      <c r="B32" s="12"/>
      <c r="C32" s="85">
        <v>6</v>
      </c>
      <c r="D32" s="88">
        <v>0.19439999999999999</v>
      </c>
      <c r="E32" s="6"/>
      <c r="F32" s="12"/>
      <c r="G32" s="12"/>
      <c r="H32" s="12"/>
      <c r="I32" s="12"/>
      <c r="J32" s="13"/>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x14ac:dyDescent="0.2">
      <c r="A33" s="5"/>
      <c r="B33" s="12"/>
      <c r="C33" s="85">
        <v>7</v>
      </c>
      <c r="D33" s="88">
        <v>0.5675</v>
      </c>
      <c r="E33" s="6"/>
      <c r="F33" s="12"/>
      <c r="G33" s="12"/>
      <c r="H33" s="12"/>
      <c r="I33" s="12"/>
      <c r="J33" s="13"/>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x14ac:dyDescent="0.2">
      <c r="A34" s="5"/>
      <c r="B34" s="12"/>
      <c r="C34" s="85">
        <v>8</v>
      </c>
      <c r="D34" s="88">
        <v>0.43020000000000003</v>
      </c>
      <c r="E34" s="6"/>
      <c r="F34" s="12"/>
      <c r="G34" s="12"/>
      <c r="H34" s="12"/>
      <c r="I34" s="12"/>
      <c r="J34" s="13"/>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row>
    <row r="35" spans="1:49" x14ac:dyDescent="0.2">
      <c r="A35" s="5"/>
      <c r="B35" s="12"/>
      <c r="C35" s="85">
        <v>9</v>
      </c>
      <c r="D35" s="88">
        <v>0.4753</v>
      </c>
      <c r="E35" s="6"/>
      <c r="F35" s="12"/>
      <c r="G35" s="12"/>
      <c r="H35" s="12"/>
      <c r="I35" s="12"/>
      <c r="J35" s="13"/>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x14ac:dyDescent="0.2">
      <c r="A36" s="5"/>
      <c r="B36" s="12"/>
      <c r="C36" s="86">
        <v>10</v>
      </c>
      <c r="D36" s="89">
        <v>4.0800000000000003E-2</v>
      </c>
      <c r="E36" s="6"/>
      <c r="F36" s="12"/>
      <c r="G36" s="12"/>
      <c r="H36" s="12"/>
      <c r="I36" s="12"/>
      <c r="J36" s="13"/>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x14ac:dyDescent="0.2">
      <c r="A37" s="5"/>
      <c r="B37" s="12"/>
      <c r="C37" s="6"/>
      <c r="D37" s="6"/>
      <c r="E37" s="6"/>
      <c r="F37" s="12"/>
      <c r="G37" s="12"/>
      <c r="H37" s="12"/>
      <c r="I37" s="12"/>
      <c r="J37" s="13"/>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49" x14ac:dyDescent="0.2">
      <c r="A38" s="5"/>
      <c r="B38" s="306" t="s">
        <v>135</v>
      </c>
      <c r="C38" s="6"/>
      <c r="D38" s="7"/>
      <c r="E38" s="6"/>
      <c r="F38" s="12"/>
      <c r="G38" s="12"/>
      <c r="H38" s="12"/>
      <c r="I38" s="12"/>
      <c r="J38" s="13"/>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x14ac:dyDescent="0.2">
      <c r="A39" s="5"/>
      <c r="B39" s="79"/>
      <c r="C39" s="6"/>
      <c r="D39" s="7"/>
      <c r="E39" s="6"/>
      <c r="F39" s="12"/>
      <c r="G39" s="12"/>
      <c r="H39" s="12"/>
      <c r="I39" s="12"/>
      <c r="J39" s="13"/>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x14ac:dyDescent="0.2">
      <c r="A40" s="5"/>
      <c r="B40" s="79"/>
      <c r="C40" s="307" t="s">
        <v>134</v>
      </c>
      <c r="D40" s="7"/>
      <c r="E40" s="6"/>
      <c r="F40" s="12"/>
      <c r="G40" s="12"/>
      <c r="H40" s="12"/>
      <c r="I40" s="12"/>
      <c r="J40" s="13"/>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49" x14ac:dyDescent="0.2">
      <c r="A41" s="5"/>
      <c r="B41" s="79"/>
      <c r="C41" s="6"/>
      <c r="D41" s="7"/>
      <c r="E41" s="6"/>
      <c r="F41" s="12"/>
      <c r="G41" s="12"/>
      <c r="H41" s="12"/>
      <c r="I41" s="12"/>
      <c r="J41" s="13"/>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x14ac:dyDescent="0.2">
      <c r="A42" s="5"/>
      <c r="B42" s="12"/>
      <c r="C42" s="6"/>
      <c r="D42" s="7"/>
      <c r="E42" s="6"/>
      <c r="F42" s="12"/>
      <c r="G42" s="12"/>
      <c r="H42" s="12"/>
      <c r="I42" s="12"/>
      <c r="J42" s="13"/>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ht="16" customHeight="1" x14ac:dyDescent="0.2">
      <c r="A43" s="5"/>
      <c r="B43" s="367" t="s">
        <v>156</v>
      </c>
      <c r="C43" s="367"/>
      <c r="D43" s="367"/>
      <c r="E43" s="367"/>
      <c r="F43" s="367"/>
      <c r="G43" s="367"/>
      <c r="H43" s="367"/>
      <c r="I43" s="367"/>
      <c r="J43" s="13"/>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ht="16" customHeight="1" x14ac:dyDescent="0.2">
      <c r="A44" s="5"/>
      <c r="B44" s="367"/>
      <c r="C44" s="367"/>
      <c r="D44" s="367"/>
      <c r="E44" s="367"/>
      <c r="F44" s="367"/>
      <c r="G44" s="367"/>
      <c r="H44" s="367"/>
      <c r="I44" s="367"/>
      <c r="J44" s="13"/>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ht="17" thickBot="1" x14ac:dyDescent="0.25">
      <c r="A45" s="4"/>
      <c r="B45" s="19"/>
      <c r="C45" s="20"/>
      <c r="D45" s="20"/>
      <c r="E45" s="20"/>
      <c r="F45" s="19"/>
      <c r="G45" s="19"/>
      <c r="H45" s="19"/>
      <c r="I45" s="19"/>
      <c r="J45" s="2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x14ac:dyDescent="0.2">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ht="19" x14ac:dyDescent="0.25">
      <c r="A47" s="22" t="s">
        <v>8</v>
      </c>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ht="16" customHeight="1" x14ac:dyDescent="0.2">
      <c r="A48" s="1" t="s">
        <v>7</v>
      </c>
      <c r="B48" s="364" t="s">
        <v>230</v>
      </c>
      <c r="C48" s="364"/>
      <c r="D48" s="364"/>
      <c r="E48" s="364"/>
      <c r="F48" s="364"/>
      <c r="G48" s="364"/>
      <c r="H48" s="364"/>
      <c r="I48" s="36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49" ht="16" customHeight="1" x14ac:dyDescent="0.2">
      <c r="A49" s="1"/>
      <c r="B49" s="364"/>
      <c r="C49" s="364"/>
      <c r="D49" s="364"/>
      <c r="E49" s="364"/>
      <c r="F49" s="364"/>
      <c r="G49" s="364"/>
      <c r="H49" s="364"/>
      <c r="I49" s="36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49" ht="18" customHeight="1" x14ac:dyDescent="0.2">
      <c r="A50" s="1"/>
      <c r="B50" s="364"/>
      <c r="C50" s="364"/>
      <c r="D50" s="364"/>
      <c r="E50" s="364"/>
      <c r="F50" s="364"/>
      <c r="G50" s="364"/>
      <c r="H50" s="364"/>
      <c r="I50" s="36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row>
    <row r="51" spans="1:49" ht="16" customHeight="1" x14ac:dyDescent="0.2">
      <c r="A51" s="1"/>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49" ht="16" customHeight="1" x14ac:dyDescent="0.2">
      <c r="A52" s="1"/>
      <c r="B52" s="14"/>
      <c r="C52" s="14"/>
      <c r="D52" s="14"/>
      <c r="E52" s="14"/>
      <c r="F52" s="3"/>
      <c r="G52" s="3"/>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49" ht="16" customHeight="1" x14ac:dyDescent="0.2">
      <c r="A53" s="1"/>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49" ht="16" customHeight="1" x14ac:dyDescent="0.2">
      <c r="A54" s="1"/>
      <c r="B54" s="14"/>
      <c r="C54" s="14"/>
      <c r="D54" s="100" t="s">
        <v>152</v>
      </c>
      <c r="E54" s="14"/>
      <c r="F54" s="14"/>
      <c r="G54" s="14"/>
      <c r="H54" s="14"/>
      <c r="I54" s="14"/>
      <c r="J54" s="14"/>
      <c r="K54" s="14"/>
      <c r="L54" s="25"/>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ht="16" customHeight="1" x14ac:dyDescent="0.2">
      <c r="A55" s="1"/>
      <c r="B55" s="14"/>
      <c r="C55" s="14"/>
      <c r="D55" s="14"/>
      <c r="E55" s="14"/>
      <c r="F55" s="14"/>
      <c r="G55" s="14"/>
      <c r="H55" s="14"/>
      <c r="I55" s="14"/>
      <c r="J55" s="14"/>
      <c r="K55" s="14"/>
      <c r="L55" s="25"/>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ht="16" customHeight="1" x14ac:dyDescent="0.2">
      <c r="A56" s="1"/>
      <c r="B56" s="14"/>
      <c r="C56" s="14"/>
      <c r="D56" s="14"/>
      <c r="E56" s="14"/>
      <c r="F56" s="14"/>
      <c r="G56" s="14"/>
      <c r="H56" s="14"/>
      <c r="I56" s="14"/>
      <c r="J56" s="14"/>
      <c r="K56" s="14"/>
      <c r="L56" s="25"/>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49" ht="16" customHeight="1" x14ac:dyDescent="0.2">
      <c r="A57" s="1"/>
      <c r="B57" s="14"/>
      <c r="C57" s="14"/>
      <c r="D57" s="14"/>
      <c r="E57" s="14"/>
      <c r="F57" s="14"/>
      <c r="G57" s="14"/>
      <c r="H57" s="14"/>
      <c r="I57" s="14"/>
      <c r="J57" s="14"/>
      <c r="K57" s="14"/>
      <c r="L57" s="25"/>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49" ht="16" customHeight="1" x14ac:dyDescent="0.2">
      <c r="A58" s="1"/>
      <c r="B58" s="24" t="s">
        <v>146</v>
      </c>
      <c r="C58" s="14"/>
      <c r="D58" s="14"/>
      <c r="E58" s="14"/>
      <c r="F58" s="14"/>
      <c r="G58" s="14"/>
      <c r="H58" s="14"/>
      <c r="I58" s="14"/>
      <c r="J58" s="14"/>
      <c r="K58" s="14"/>
      <c r="L58" s="25"/>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49" ht="16" customHeight="1" x14ac:dyDescent="0.25">
      <c r="A59" s="1"/>
      <c r="B59" s="305" t="s">
        <v>145</v>
      </c>
      <c r="C59" s="14"/>
      <c r="D59" s="14"/>
      <c r="E59" s="14"/>
      <c r="F59" s="14"/>
      <c r="G59" s="14"/>
      <c r="H59" s="14"/>
      <c r="I59" s="14"/>
      <c r="J59" s="14"/>
      <c r="K59" s="14"/>
      <c r="L59" s="25"/>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49" ht="16" customHeight="1" x14ac:dyDescent="0.25">
      <c r="A60" s="1"/>
      <c r="B60" s="305" t="s">
        <v>153</v>
      </c>
      <c r="C60" s="14"/>
      <c r="D60" s="14"/>
      <c r="E60" s="14"/>
      <c r="F60" s="14"/>
      <c r="G60" s="14"/>
      <c r="H60" s="14"/>
      <c r="I60" s="14"/>
      <c r="J60" s="14"/>
      <c r="K60" s="14"/>
      <c r="L60" s="25"/>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row>
    <row r="61" spans="1:49" ht="16" customHeight="1" x14ac:dyDescent="0.2">
      <c r="A61" s="1"/>
      <c r="B61" s="343" t="s">
        <v>485</v>
      </c>
      <c r="C61" s="14"/>
      <c r="D61" s="14"/>
      <c r="E61" s="14"/>
      <c r="F61" s="14"/>
      <c r="G61" s="14"/>
      <c r="H61" s="14"/>
      <c r="I61" s="14"/>
      <c r="J61" s="14"/>
      <c r="K61" s="14"/>
      <c r="L61" s="25"/>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49" ht="16" customHeight="1" x14ac:dyDescent="0.2">
      <c r="A62" s="1"/>
      <c r="B62" s="14"/>
      <c r="C62" s="14"/>
      <c r="D62" s="14"/>
      <c r="E62" s="14"/>
      <c r="F62" s="14"/>
      <c r="G62" s="14"/>
      <c r="H62" s="14"/>
      <c r="I62" s="14"/>
      <c r="J62" s="14"/>
      <c r="K62" s="14"/>
      <c r="L62" s="25"/>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49" ht="19" customHeight="1" x14ac:dyDescent="0.2">
      <c r="A63" s="1" t="s">
        <v>6</v>
      </c>
      <c r="B63" s="364" t="s">
        <v>231</v>
      </c>
      <c r="C63" s="364"/>
      <c r="D63" s="364"/>
      <c r="E63" s="364"/>
      <c r="F63" s="364"/>
      <c r="G63" s="364"/>
      <c r="H63" s="364"/>
      <c r="I63" s="36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row>
    <row r="64" spans="1:49" ht="19" customHeight="1" x14ac:dyDescent="0.2">
      <c r="A64" s="1"/>
      <c r="B64" s="364"/>
      <c r="C64" s="364"/>
      <c r="D64" s="364"/>
      <c r="E64" s="364"/>
      <c r="F64" s="364"/>
      <c r="G64" s="364"/>
      <c r="H64" s="364"/>
      <c r="I64" s="36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49" ht="16" customHeight="1" x14ac:dyDescent="0.2">
      <c r="A65" s="1"/>
      <c r="B65" s="364"/>
      <c r="C65" s="364"/>
      <c r="D65" s="364"/>
      <c r="E65" s="364"/>
      <c r="F65" s="364"/>
      <c r="G65" s="364"/>
      <c r="H65" s="364"/>
      <c r="I65" s="36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ht="16" customHeight="1" x14ac:dyDescent="0.2">
      <c r="A66" s="1"/>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49" ht="16" customHeight="1" x14ac:dyDescent="0.2">
      <c r="A67" s="1"/>
      <c r="B67" s="14"/>
      <c r="C67" s="14"/>
      <c r="D67" s="14"/>
      <c r="E67" s="14"/>
      <c r="F67" s="3"/>
      <c r="G67" s="3"/>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row>
    <row r="68" spans="1:49" ht="16" customHeight="1" x14ac:dyDescent="0.2">
      <c r="A68" s="1"/>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row>
    <row r="69" spans="1:49" ht="16" customHeight="1" x14ac:dyDescent="0.2">
      <c r="A69" s="1"/>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row>
    <row r="70" spans="1:49" ht="16" customHeight="1" x14ac:dyDescent="0.2">
      <c r="A70" s="1"/>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row>
    <row r="71" spans="1:49" ht="16" customHeight="1" x14ac:dyDescent="0.2">
      <c r="A71" s="1"/>
      <c r="B71" s="120" t="s">
        <v>149</v>
      </c>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row>
    <row r="72" spans="1:49" ht="16" customHeight="1" x14ac:dyDescent="0.25">
      <c r="A72" s="1"/>
      <c r="B72" s="305" t="s">
        <v>430</v>
      </c>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row>
    <row r="73" spans="1:49" ht="16" customHeight="1" x14ac:dyDescent="0.2">
      <c r="A73" s="1"/>
      <c r="B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row>
    <row r="74" spans="1:49" ht="16" customHeight="1" x14ac:dyDescent="0.2">
      <c r="A74" s="1"/>
      <c r="B74" s="14"/>
      <c r="C74" s="117"/>
      <c r="D74" s="3"/>
      <c r="E74" s="117"/>
      <c r="F74" s="3" t="s">
        <v>147</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row>
    <row r="75" spans="1:49" ht="20" x14ac:dyDescent="0.25">
      <c r="A75" s="1"/>
      <c r="B75" s="14"/>
      <c r="C75" s="118" t="s">
        <v>132</v>
      </c>
      <c r="D75" s="116" t="s">
        <v>157</v>
      </c>
      <c r="E75" s="119" t="s">
        <v>148</v>
      </c>
      <c r="F75" s="309" t="s">
        <v>209</v>
      </c>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row>
    <row r="76" spans="1:49" x14ac:dyDescent="0.2">
      <c r="A76" s="1"/>
      <c r="B76" s="14"/>
      <c r="C76" s="52">
        <v>2</v>
      </c>
      <c r="D76" s="108">
        <f t="shared" ref="D76:D84" si="0">LN(C11)+$C$21+E11+$H$19</f>
        <v>7.890021805830802</v>
      </c>
      <c r="E76" s="107">
        <f t="shared" ref="E76:E84" si="1">$I$19</f>
        <v>1.4E-2</v>
      </c>
      <c r="F76" s="109">
        <f t="shared" ref="F76:F84" si="2">_xlfn.LOGNORM.INV(D28,D76,E76)</f>
        <v>2781.5931942802681</v>
      </c>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row>
    <row r="77" spans="1:49" x14ac:dyDescent="0.2">
      <c r="A77" s="1"/>
      <c r="B77" s="14"/>
      <c r="C77" s="52">
        <v>3</v>
      </c>
      <c r="D77" s="108">
        <f t="shared" si="0"/>
        <v>8.3894045634055345</v>
      </c>
      <c r="E77" s="107">
        <f t="shared" si="1"/>
        <v>1.4E-2</v>
      </c>
      <c r="F77" s="109">
        <f t="shared" si="2"/>
        <v>4387.6514973247031</v>
      </c>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49" x14ac:dyDescent="0.2">
      <c r="A78" s="1"/>
      <c r="B78" s="14"/>
      <c r="C78" s="52">
        <v>4</v>
      </c>
      <c r="D78" s="108">
        <f t="shared" si="0"/>
        <v>8.391160381553739</v>
      </c>
      <c r="E78" s="107">
        <f t="shared" si="1"/>
        <v>1.4E-2</v>
      </c>
      <c r="F78" s="109">
        <f t="shared" si="2"/>
        <v>4458.913633960572</v>
      </c>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49" x14ac:dyDescent="0.2">
      <c r="A79" s="1"/>
      <c r="B79" s="14"/>
      <c r="C79" s="52">
        <v>5</v>
      </c>
      <c r="D79" s="108">
        <f t="shared" si="0"/>
        <v>8.2202025944934487</v>
      </c>
      <c r="E79" s="107">
        <f t="shared" si="1"/>
        <v>1.4E-2</v>
      </c>
      <c r="F79" s="109">
        <f t="shared" si="2"/>
        <v>3699.30453671433</v>
      </c>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spans="1:49" x14ac:dyDescent="0.2">
      <c r="A80" s="1"/>
      <c r="B80" s="14"/>
      <c r="C80" s="52">
        <v>6</v>
      </c>
      <c r="D80" s="108">
        <f t="shared" si="0"/>
        <v>8.2564665570589693</v>
      </c>
      <c r="E80" s="107">
        <f t="shared" si="1"/>
        <v>1.4E-2</v>
      </c>
      <c r="F80" s="109">
        <f t="shared" si="2"/>
        <v>3806.2564212718744</v>
      </c>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row>
    <row r="81" spans="1:49" x14ac:dyDescent="0.2">
      <c r="A81" s="1"/>
      <c r="B81" s="14"/>
      <c r="C81" s="52">
        <v>7</v>
      </c>
      <c r="D81" s="108">
        <f t="shared" si="0"/>
        <v>8.708091910049264</v>
      </c>
      <c r="E81" s="107">
        <f t="shared" si="1"/>
        <v>1.4E-2</v>
      </c>
      <c r="F81" s="109">
        <f t="shared" si="2"/>
        <v>6066.1055629754337</v>
      </c>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row>
    <row r="82" spans="1:49" x14ac:dyDescent="0.2">
      <c r="A82" s="1"/>
      <c r="B82" s="14"/>
      <c r="C82" s="52">
        <v>8</v>
      </c>
      <c r="D82" s="108">
        <f t="shared" si="0"/>
        <v>8.2974023664880132</v>
      </c>
      <c r="E82" s="107">
        <f t="shared" si="1"/>
        <v>1.4E-2</v>
      </c>
      <c r="F82" s="109">
        <f t="shared" si="2"/>
        <v>4003.5640522179033</v>
      </c>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row>
    <row r="83" spans="1:49" x14ac:dyDescent="0.2">
      <c r="A83" s="1"/>
      <c r="B83" s="14"/>
      <c r="C83" s="52">
        <v>9</v>
      </c>
      <c r="D83" s="108">
        <f>LN(C18)+$C$21+E18+$H$19</f>
        <v>8.4821014460805575</v>
      </c>
      <c r="E83" s="107">
        <f t="shared" si="1"/>
        <v>1.4E-2</v>
      </c>
      <c r="F83" s="109">
        <f>_xlfn.LOGNORM.INV(D35,D83,E83)</f>
        <v>4823.3987793749902</v>
      </c>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row>
    <row r="84" spans="1:49" x14ac:dyDescent="0.2">
      <c r="A84" s="1"/>
      <c r="B84" s="14"/>
      <c r="C84" s="52">
        <v>10</v>
      </c>
      <c r="D84" s="108">
        <f t="shared" si="0"/>
        <v>8.7028641642517464</v>
      </c>
      <c r="E84" s="107">
        <f t="shared" si="1"/>
        <v>1.4E-2</v>
      </c>
      <c r="F84" s="109">
        <f t="shared" si="2"/>
        <v>5875.130115798107</v>
      </c>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row r="85" spans="1:49" ht="16" customHeight="1" x14ac:dyDescent="0.2">
      <c r="A85" s="1"/>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6" spans="1:49" ht="16" customHeight="1" x14ac:dyDescent="0.2">
      <c r="A86" s="1"/>
      <c r="B86" s="24" t="s">
        <v>146</v>
      </c>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row>
    <row r="87" spans="1:49" ht="16" customHeight="1" x14ac:dyDescent="0.2">
      <c r="A87" s="1"/>
      <c r="B87" s="100" t="s">
        <v>150</v>
      </c>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row>
    <row r="88" spans="1:49" ht="16" customHeight="1" x14ac:dyDescent="0.2">
      <c r="A88" s="1"/>
      <c r="B88" s="100"/>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row>
    <row r="89" spans="1:49" ht="16" customHeight="1" x14ac:dyDescent="0.2">
      <c r="A89" s="1" t="s">
        <v>5</v>
      </c>
      <c r="B89" s="364" t="s">
        <v>151</v>
      </c>
      <c r="C89" s="364"/>
      <c r="D89" s="364"/>
      <c r="E89" s="364"/>
      <c r="F89" s="364"/>
      <c r="G89" s="364"/>
      <c r="H89" s="364"/>
      <c r="I89" s="36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row>
    <row r="90" spans="1:49" ht="16" customHeight="1" x14ac:dyDescent="0.2">
      <c r="A90" s="1"/>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row>
    <row r="91" spans="1:49" ht="16" customHeight="1" x14ac:dyDescent="0.2">
      <c r="A91" s="1"/>
      <c r="B91" s="14"/>
      <c r="C91" s="14"/>
      <c r="D91" s="14"/>
      <c r="E91" s="14"/>
      <c r="F91" s="3"/>
      <c r="G91" s="3"/>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row>
    <row r="92" spans="1:49" ht="16" customHeight="1" x14ac:dyDescent="0.2">
      <c r="A92" s="1"/>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row>
    <row r="93" spans="1:49" ht="16" customHeight="1" thickBot="1" x14ac:dyDescent="0.25">
      <c r="A93" s="1"/>
      <c r="B93" s="14"/>
      <c r="C93" s="14"/>
      <c r="D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row>
    <row r="94" spans="1:49" ht="18" customHeight="1" thickBot="1" x14ac:dyDescent="0.3">
      <c r="A94" s="1"/>
      <c r="B94" s="14"/>
      <c r="C94" s="14"/>
      <c r="D94" s="14"/>
      <c r="E94" s="308" t="s">
        <v>431</v>
      </c>
      <c r="F94" s="2">
        <f>D10+SUM(F76:F84)</f>
        <v>43818.917793918175</v>
      </c>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row>
    <row r="95" spans="1:49" ht="16" customHeight="1" x14ac:dyDescent="0.2">
      <c r="A95" s="1"/>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row>
    <row r="96" spans="1:49" ht="19" x14ac:dyDescent="0.25">
      <c r="A96" s="22" t="s">
        <v>2</v>
      </c>
      <c r="B96" s="14"/>
      <c r="C96" s="14"/>
      <c r="D96" s="14"/>
      <c r="E96" s="14"/>
      <c r="F96" s="14"/>
      <c r="G96" s="14"/>
      <c r="H96" s="14"/>
      <c r="I96" s="14"/>
      <c r="J96" s="14"/>
      <c r="K96" s="14"/>
      <c r="L96" s="25"/>
      <c r="M96" s="25"/>
      <c r="N96" s="25"/>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row>
    <row r="97" spans="1:65" ht="19" customHeight="1" x14ac:dyDescent="0.25">
      <c r="A97" s="22"/>
      <c r="B97" s="346" t="s">
        <v>240</v>
      </c>
      <c r="C97" s="348"/>
      <c r="D97" s="348"/>
      <c r="E97" s="348"/>
      <c r="F97" s="348"/>
      <c r="G97" s="348"/>
      <c r="H97" s="348"/>
      <c r="I97" s="348"/>
      <c r="J97" s="14"/>
      <c r="K97" s="14"/>
      <c r="L97" s="25"/>
      <c r="M97" s="25"/>
      <c r="N97" s="25"/>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row>
    <row r="98" spans="1:65" ht="16" customHeight="1" x14ac:dyDescent="0.25">
      <c r="A98" s="22"/>
      <c r="B98" s="348"/>
      <c r="C98" s="348"/>
      <c r="D98" s="348"/>
      <c r="E98" s="348"/>
      <c r="F98" s="348"/>
      <c r="G98" s="348"/>
      <c r="H98" s="348"/>
      <c r="I98" s="348"/>
      <c r="J98" s="14"/>
      <c r="K98" s="14"/>
      <c r="L98" s="25"/>
      <c r="M98" s="25"/>
      <c r="N98" s="25"/>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row>
    <row r="99" spans="1:65" ht="16" customHeight="1" x14ac:dyDescent="0.25">
      <c r="A99" s="22"/>
      <c r="B99" s="348"/>
      <c r="C99" s="348"/>
      <c r="D99" s="348"/>
      <c r="E99" s="348"/>
      <c r="F99" s="348"/>
      <c r="G99" s="348"/>
      <c r="H99" s="348"/>
      <c r="I99" s="348"/>
      <c r="J99" s="14"/>
      <c r="K99" s="14"/>
      <c r="L99" s="25"/>
      <c r="M99" s="25"/>
      <c r="N99" s="25"/>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row>
    <row r="100" spans="1:65" ht="16" customHeight="1" x14ac:dyDescent="0.25">
      <c r="A100" s="22"/>
      <c r="B100" s="348"/>
      <c r="C100" s="348"/>
      <c r="D100" s="348"/>
      <c r="E100" s="348"/>
      <c r="F100" s="348"/>
      <c r="G100" s="348"/>
      <c r="H100" s="348"/>
      <c r="I100" s="348"/>
      <c r="J100" s="14"/>
      <c r="K100" s="14"/>
      <c r="L100" s="25"/>
      <c r="M100" s="25"/>
      <c r="N100" s="25"/>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row>
    <row r="101" spans="1:65" ht="16" customHeight="1" x14ac:dyDescent="0.25">
      <c r="A101" s="22"/>
      <c r="B101" s="348"/>
      <c r="C101" s="348"/>
      <c r="D101" s="348"/>
      <c r="E101" s="348"/>
      <c r="F101" s="348"/>
      <c r="G101" s="348"/>
      <c r="H101" s="348"/>
      <c r="I101" s="348"/>
      <c r="J101" s="14"/>
      <c r="K101" s="14"/>
      <c r="L101" s="25"/>
      <c r="M101" s="25"/>
      <c r="N101" s="25"/>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row>
    <row r="102" spans="1:65" ht="16" customHeight="1" x14ac:dyDescent="0.25">
      <c r="A102" s="22"/>
      <c r="B102" s="348"/>
      <c r="C102" s="348"/>
      <c r="D102" s="348"/>
      <c r="E102" s="348"/>
      <c r="F102" s="348"/>
      <c r="G102" s="348"/>
      <c r="H102" s="348"/>
      <c r="I102" s="348"/>
      <c r="J102" s="14"/>
      <c r="K102" s="14"/>
      <c r="L102" s="25"/>
      <c r="M102" s="25"/>
      <c r="N102" s="25"/>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row>
    <row r="103" spans="1:65" ht="16" customHeight="1" x14ac:dyDescent="0.25">
      <c r="A103" s="22"/>
      <c r="B103" s="14"/>
      <c r="C103" s="14"/>
      <c r="D103" s="14"/>
      <c r="E103" s="14"/>
      <c r="F103" s="14"/>
      <c r="G103" s="14"/>
      <c r="H103" s="14"/>
      <c r="I103" s="14"/>
      <c r="J103" s="14"/>
      <c r="K103" s="14"/>
      <c r="L103" s="25"/>
      <c r="M103" s="25"/>
      <c r="N103" s="25"/>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row>
    <row r="104" spans="1:65" ht="19" x14ac:dyDescent="0.25">
      <c r="A104" s="14"/>
      <c r="B104" s="26" t="s">
        <v>239</v>
      </c>
      <c r="C104" s="100"/>
      <c r="D104" s="100"/>
      <c r="E104" s="100"/>
      <c r="F104" s="100"/>
      <c r="G104" s="100"/>
      <c r="H104" s="100"/>
      <c r="I104" s="100"/>
      <c r="J104" s="14"/>
      <c r="K104" s="14"/>
      <c r="L104" s="25"/>
      <c r="M104" s="25"/>
      <c r="N104" s="25"/>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row>
    <row r="105" spans="1:65" ht="16" customHeight="1" x14ac:dyDescent="0.2">
      <c r="A105" s="25"/>
      <c r="B105" s="346" t="s">
        <v>433</v>
      </c>
      <c r="C105" s="348"/>
      <c r="D105" s="348"/>
      <c r="E105" s="348"/>
      <c r="F105" s="348"/>
      <c r="G105" s="348"/>
      <c r="H105" s="348"/>
      <c r="I105" s="348"/>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row>
    <row r="106" spans="1:65" x14ac:dyDescent="0.2">
      <c r="A106" s="25"/>
      <c r="B106" s="348"/>
      <c r="C106" s="348"/>
      <c r="D106" s="348"/>
      <c r="E106" s="348"/>
      <c r="F106" s="348"/>
      <c r="G106" s="348"/>
      <c r="H106" s="348"/>
      <c r="I106" s="348"/>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row>
    <row r="107" spans="1:65" x14ac:dyDescent="0.2">
      <c r="A107" s="25"/>
      <c r="B107" s="348"/>
      <c r="C107" s="348"/>
      <c r="D107" s="348"/>
      <c r="E107" s="348"/>
      <c r="F107" s="348"/>
      <c r="G107" s="348"/>
      <c r="H107" s="348"/>
      <c r="I107" s="348"/>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row>
    <row r="108" spans="1:65" x14ac:dyDescent="0.2">
      <c r="A108" s="25"/>
      <c r="B108" s="348"/>
      <c r="C108" s="348"/>
      <c r="D108" s="348"/>
      <c r="E108" s="348"/>
      <c r="F108" s="348"/>
      <c r="G108" s="348"/>
      <c r="H108" s="348"/>
      <c r="I108" s="348"/>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row>
    <row r="109" spans="1:65" x14ac:dyDescent="0.2">
      <c r="A109" s="25"/>
      <c r="B109" s="348"/>
      <c r="C109" s="348"/>
      <c r="D109" s="348"/>
      <c r="E109" s="348"/>
      <c r="F109" s="348"/>
      <c r="G109" s="348"/>
      <c r="H109" s="348"/>
      <c r="I109" s="348"/>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row>
    <row r="110" spans="1:65" x14ac:dyDescent="0.2">
      <c r="A110" s="25"/>
      <c r="B110" s="348"/>
      <c r="C110" s="348"/>
      <c r="D110" s="348"/>
      <c r="E110" s="348"/>
      <c r="F110" s="348"/>
      <c r="G110" s="348"/>
      <c r="H110" s="348"/>
      <c r="I110" s="348"/>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row>
    <row r="111" spans="1:65" x14ac:dyDescent="0.2">
      <c r="A111" s="25"/>
      <c r="B111" s="348"/>
      <c r="C111" s="348"/>
      <c r="D111" s="348"/>
      <c r="E111" s="348"/>
      <c r="F111" s="348"/>
      <c r="G111" s="348"/>
      <c r="H111" s="348"/>
      <c r="I111" s="348"/>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row>
    <row r="112" spans="1:65" x14ac:dyDescent="0.2">
      <c r="A112" s="25"/>
      <c r="B112" s="348"/>
      <c r="C112" s="348"/>
      <c r="D112" s="348"/>
      <c r="E112" s="348"/>
      <c r="F112" s="348"/>
      <c r="G112" s="348"/>
      <c r="H112" s="348"/>
      <c r="I112" s="348"/>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row>
    <row r="113" spans="1:65" ht="18" customHeight="1" x14ac:dyDescent="0.2">
      <c r="A113" s="25"/>
      <c r="B113" s="348"/>
      <c r="C113" s="348"/>
      <c r="D113" s="348"/>
      <c r="E113" s="348"/>
      <c r="F113" s="348"/>
      <c r="G113" s="348"/>
      <c r="H113" s="348"/>
      <c r="I113" s="348"/>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row>
    <row r="114" spans="1:65" x14ac:dyDescent="0.2">
      <c r="A114" s="25"/>
      <c r="B114" s="348"/>
      <c r="C114" s="348"/>
      <c r="D114" s="348"/>
      <c r="E114" s="348"/>
      <c r="F114" s="348"/>
      <c r="G114" s="348"/>
      <c r="H114" s="348"/>
      <c r="I114" s="348"/>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row>
    <row r="115" spans="1:65" x14ac:dyDescent="0.2">
      <c r="A115" s="25"/>
      <c r="B115" s="348"/>
      <c r="C115" s="348"/>
      <c r="D115" s="348"/>
      <c r="E115" s="348"/>
      <c r="F115" s="348"/>
      <c r="G115" s="348"/>
      <c r="H115" s="348"/>
      <c r="I115" s="348"/>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row>
    <row r="116" spans="1:65" x14ac:dyDescent="0.2">
      <c r="A116" s="25"/>
      <c r="B116" s="123"/>
      <c r="C116" s="123"/>
      <c r="D116" s="123"/>
      <c r="E116" s="123"/>
      <c r="F116" s="123"/>
      <c r="G116" s="123"/>
      <c r="H116" s="123"/>
      <c r="I116" s="123"/>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row>
    <row r="117" spans="1:65" ht="19" x14ac:dyDescent="0.25">
      <c r="A117" s="14"/>
      <c r="B117" s="26" t="s">
        <v>158</v>
      </c>
      <c r="C117" s="100"/>
      <c r="D117" s="100"/>
      <c r="E117" s="100"/>
      <c r="F117" s="100"/>
      <c r="G117" s="100"/>
      <c r="H117" s="100"/>
      <c r="I117" s="100"/>
      <c r="J117" s="14"/>
      <c r="K117" s="14"/>
      <c r="L117" s="25"/>
      <c r="M117" s="25"/>
      <c r="N117" s="25"/>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row>
    <row r="118" spans="1:65" ht="19" customHeight="1" x14ac:dyDescent="0.2">
      <c r="A118" s="25"/>
      <c r="B118" s="346" t="s">
        <v>421</v>
      </c>
      <c r="C118" s="348"/>
      <c r="D118" s="348"/>
      <c r="E118" s="348"/>
      <c r="F118" s="348"/>
      <c r="G118" s="348"/>
      <c r="H118" s="348"/>
      <c r="I118" s="348"/>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row>
    <row r="119" spans="1:65" x14ac:dyDescent="0.2">
      <c r="A119" s="25"/>
      <c r="B119" s="348"/>
      <c r="C119" s="348"/>
      <c r="D119" s="348"/>
      <c r="E119" s="348"/>
      <c r="F119" s="348"/>
      <c r="G119" s="348"/>
      <c r="H119" s="348"/>
      <c r="I119" s="348"/>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row>
    <row r="120" spans="1:65" x14ac:dyDescent="0.2">
      <c r="A120" s="25"/>
      <c r="B120" s="348"/>
      <c r="C120" s="348"/>
      <c r="D120" s="348"/>
      <c r="E120" s="348"/>
      <c r="F120" s="348"/>
      <c r="G120" s="348"/>
      <c r="H120" s="348"/>
      <c r="I120" s="348"/>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row>
    <row r="121" spans="1:65" x14ac:dyDescent="0.2">
      <c r="A121" s="25"/>
      <c r="B121" s="348"/>
      <c r="C121" s="348"/>
      <c r="D121" s="348"/>
      <c r="E121" s="348"/>
      <c r="F121" s="348"/>
      <c r="G121" s="348"/>
      <c r="H121" s="348"/>
      <c r="I121" s="348"/>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row>
    <row r="122" spans="1:65" x14ac:dyDescent="0.2">
      <c r="A122" s="25"/>
      <c r="B122" s="348"/>
      <c r="C122" s="348"/>
      <c r="D122" s="348"/>
      <c r="E122" s="348"/>
      <c r="F122" s="348"/>
      <c r="G122" s="348"/>
      <c r="H122" s="348"/>
      <c r="I122" s="348"/>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row>
    <row r="123" spans="1:65" x14ac:dyDescent="0.2">
      <c r="A123" s="25"/>
      <c r="B123" s="348"/>
      <c r="C123" s="348"/>
      <c r="D123" s="348"/>
      <c r="E123" s="348"/>
      <c r="F123" s="348"/>
      <c r="G123" s="348"/>
      <c r="H123" s="348"/>
      <c r="I123" s="348"/>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row>
    <row r="124" spans="1:65" x14ac:dyDescent="0.2">
      <c r="A124" s="25"/>
      <c r="B124" s="348"/>
      <c r="C124" s="348"/>
      <c r="D124" s="348"/>
      <c r="E124" s="348"/>
      <c r="F124" s="348"/>
      <c r="G124" s="348"/>
      <c r="H124" s="348"/>
      <c r="I124" s="348"/>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row>
    <row r="125" spans="1:65" x14ac:dyDescent="0.2">
      <c r="A125" s="25"/>
      <c r="B125" s="348"/>
      <c r="C125" s="348"/>
      <c r="D125" s="348"/>
      <c r="E125" s="348"/>
      <c r="F125" s="348"/>
      <c r="G125" s="348"/>
      <c r="H125" s="348"/>
      <c r="I125" s="348"/>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row>
    <row r="126" spans="1:65" x14ac:dyDescent="0.2">
      <c r="A126" s="25"/>
      <c r="B126" s="348"/>
      <c r="C126" s="348"/>
      <c r="D126" s="348"/>
      <c r="E126" s="348"/>
      <c r="F126" s="348"/>
      <c r="G126" s="348"/>
      <c r="H126" s="348"/>
      <c r="I126" s="348"/>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row>
    <row r="127" spans="1:65" x14ac:dyDescent="0.2">
      <c r="A127" s="25"/>
      <c r="B127" s="348"/>
      <c r="C127" s="348"/>
      <c r="D127" s="348"/>
      <c r="E127" s="348"/>
      <c r="F127" s="348"/>
      <c r="G127" s="348"/>
      <c r="H127" s="348"/>
      <c r="I127" s="348"/>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row>
    <row r="128" spans="1:65" x14ac:dyDescent="0.2">
      <c r="A128" s="25"/>
      <c r="B128" s="348"/>
      <c r="C128" s="348"/>
      <c r="D128" s="348"/>
      <c r="E128" s="348"/>
      <c r="F128" s="348"/>
      <c r="G128" s="348"/>
      <c r="H128" s="348"/>
      <c r="I128" s="348"/>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row>
    <row r="129" spans="1:65" x14ac:dyDescent="0.2">
      <c r="A129" s="25"/>
      <c r="B129" s="348"/>
      <c r="C129" s="348"/>
      <c r="D129" s="348"/>
      <c r="E129" s="348"/>
      <c r="F129" s="348"/>
      <c r="G129" s="348"/>
      <c r="H129" s="348"/>
      <c r="I129" s="348"/>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row>
    <row r="130" spans="1:65" x14ac:dyDescent="0.2">
      <c r="A130" s="25"/>
      <c r="B130" s="123"/>
      <c r="C130" s="123"/>
      <c r="D130" s="123"/>
      <c r="E130" s="123"/>
      <c r="F130" s="123"/>
      <c r="G130" s="123"/>
      <c r="H130" s="123"/>
      <c r="I130" s="123"/>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row>
    <row r="131" spans="1:65" ht="19" x14ac:dyDescent="0.25">
      <c r="A131" s="14"/>
      <c r="B131" s="26" t="s">
        <v>160</v>
      </c>
      <c r="C131" s="14"/>
      <c r="D131" s="14"/>
      <c r="E131" s="14"/>
      <c r="F131" s="14"/>
      <c r="G131" s="14"/>
      <c r="H131" s="14"/>
      <c r="I131" s="14"/>
      <c r="J131" s="14"/>
      <c r="K131" s="14"/>
      <c r="L131" s="25"/>
      <c r="M131" s="25"/>
      <c r="N131" s="25"/>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row>
    <row r="132" spans="1:65" ht="16" customHeight="1" x14ac:dyDescent="0.2">
      <c r="A132" s="25"/>
      <c r="B132" s="346" t="s">
        <v>432</v>
      </c>
      <c r="C132" s="348"/>
      <c r="D132" s="348"/>
      <c r="E132" s="348"/>
      <c r="F132" s="348"/>
      <c r="G132" s="348"/>
      <c r="H132" s="348"/>
      <c r="I132" s="348"/>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row>
    <row r="133" spans="1:65" x14ac:dyDescent="0.2">
      <c r="A133" s="25"/>
      <c r="B133" s="348"/>
      <c r="C133" s="348"/>
      <c r="D133" s="348"/>
      <c r="E133" s="348"/>
      <c r="F133" s="348"/>
      <c r="G133" s="348"/>
      <c r="H133" s="348"/>
      <c r="I133" s="348"/>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row>
    <row r="134" spans="1:65" x14ac:dyDescent="0.2">
      <c r="A134" s="25"/>
      <c r="B134" s="348"/>
      <c r="C134" s="348"/>
      <c r="D134" s="348"/>
      <c r="E134" s="348"/>
      <c r="F134" s="348"/>
      <c r="G134" s="348"/>
      <c r="H134" s="348"/>
      <c r="I134" s="348"/>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row>
    <row r="135" spans="1:65" x14ac:dyDescent="0.2">
      <c r="A135" s="25"/>
      <c r="B135" s="348"/>
      <c r="C135" s="348"/>
      <c r="D135" s="348"/>
      <c r="E135" s="348"/>
      <c r="F135" s="348"/>
      <c r="G135" s="348"/>
      <c r="H135" s="348"/>
      <c r="I135" s="348"/>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row>
    <row r="136" spans="1:65" x14ac:dyDescent="0.2">
      <c r="A136" s="25"/>
      <c r="B136" s="348"/>
      <c r="C136" s="348"/>
      <c r="D136" s="348"/>
      <c r="E136" s="348"/>
      <c r="F136" s="348"/>
      <c r="G136" s="348"/>
      <c r="H136" s="348"/>
      <c r="I136" s="348"/>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row>
    <row r="137" spans="1:65" x14ac:dyDescent="0.2">
      <c r="A137" s="25"/>
      <c r="B137" s="348"/>
      <c r="C137" s="348"/>
      <c r="D137" s="348"/>
      <c r="E137" s="348"/>
      <c r="F137" s="348"/>
      <c r="G137" s="348"/>
      <c r="H137" s="348"/>
      <c r="I137" s="348"/>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row>
    <row r="138" spans="1:65" x14ac:dyDescent="0.2">
      <c r="A138" s="25"/>
      <c r="B138" s="348"/>
      <c r="C138" s="348"/>
      <c r="D138" s="348"/>
      <c r="E138" s="348"/>
      <c r="F138" s="348"/>
      <c r="G138" s="348"/>
      <c r="H138" s="348"/>
      <c r="I138" s="348"/>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row>
    <row r="139" spans="1:65" x14ac:dyDescent="0.2">
      <c r="A139" s="25"/>
      <c r="B139" s="348"/>
      <c r="C139" s="348"/>
      <c r="D139" s="348"/>
      <c r="E139" s="348"/>
      <c r="F139" s="348"/>
      <c r="G139" s="348"/>
      <c r="H139" s="348"/>
      <c r="I139" s="348"/>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row>
    <row r="140" spans="1:65" x14ac:dyDescent="0.2">
      <c r="A140" s="25"/>
      <c r="B140" s="348"/>
      <c r="C140" s="348"/>
      <c r="D140" s="348"/>
      <c r="E140" s="348"/>
      <c r="F140" s="348"/>
      <c r="G140" s="348"/>
      <c r="H140" s="348"/>
      <c r="I140" s="348"/>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row>
    <row r="141" spans="1:65" x14ac:dyDescent="0.2">
      <c r="A141" s="25"/>
      <c r="B141" s="348"/>
      <c r="C141" s="348"/>
      <c r="D141" s="348"/>
      <c r="E141" s="348"/>
      <c r="F141" s="348"/>
      <c r="G141" s="348"/>
      <c r="H141" s="348"/>
      <c r="I141" s="348"/>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row>
    <row r="142" spans="1:65" x14ac:dyDescent="0.2">
      <c r="A142" s="25"/>
      <c r="B142" s="348"/>
      <c r="C142" s="348"/>
      <c r="D142" s="348"/>
      <c r="E142" s="348"/>
      <c r="F142" s="348"/>
      <c r="G142" s="348"/>
      <c r="H142" s="348"/>
      <c r="I142" s="348"/>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row>
    <row r="143" spans="1:65" x14ac:dyDescent="0.2">
      <c r="A143" s="25"/>
      <c r="B143" s="348"/>
      <c r="C143" s="348"/>
      <c r="D143" s="348"/>
      <c r="E143" s="348"/>
      <c r="F143" s="348"/>
      <c r="G143" s="348"/>
      <c r="H143" s="348"/>
      <c r="I143" s="348"/>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row>
    <row r="144" spans="1:65" x14ac:dyDescent="0.2">
      <c r="A144" s="25"/>
      <c r="B144" s="348"/>
      <c r="C144" s="348"/>
      <c r="D144" s="348"/>
      <c r="E144" s="348"/>
      <c r="F144" s="348"/>
      <c r="G144" s="348"/>
      <c r="H144" s="348"/>
      <c r="I144" s="348"/>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row>
    <row r="145" spans="1:65" x14ac:dyDescent="0.2">
      <c r="A145" s="25"/>
      <c r="B145" s="348"/>
      <c r="C145" s="348"/>
      <c r="D145" s="348"/>
      <c r="E145" s="348"/>
      <c r="F145" s="348"/>
      <c r="G145" s="348"/>
      <c r="H145" s="348"/>
      <c r="I145" s="348"/>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row>
    <row r="146" spans="1:65" x14ac:dyDescent="0.2">
      <c r="A146" s="25"/>
      <c r="B146" s="348"/>
      <c r="C146" s="348"/>
      <c r="D146" s="348"/>
      <c r="E146" s="348"/>
      <c r="F146" s="348"/>
      <c r="G146" s="348"/>
      <c r="H146" s="348"/>
      <c r="I146" s="348"/>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row>
    <row r="147" spans="1:65" x14ac:dyDescent="0.2">
      <c r="A147" s="25"/>
      <c r="B147" s="348"/>
      <c r="C147" s="348"/>
      <c r="D147" s="348"/>
      <c r="E147" s="348"/>
      <c r="F147" s="348"/>
      <c r="G147" s="348"/>
      <c r="H147" s="348"/>
      <c r="I147" s="348"/>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row>
    <row r="148" spans="1:65" x14ac:dyDescent="0.2">
      <c r="A148" s="25"/>
      <c r="B148" s="348"/>
      <c r="C148" s="348"/>
      <c r="D148" s="348"/>
      <c r="E148" s="348"/>
      <c r="F148" s="348"/>
      <c r="G148" s="348"/>
      <c r="H148" s="348"/>
      <c r="I148" s="348"/>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row>
    <row r="149" spans="1:65" x14ac:dyDescent="0.2">
      <c r="A149" s="25"/>
      <c r="B149" s="348"/>
      <c r="C149" s="348"/>
      <c r="D149" s="348"/>
      <c r="E149" s="348"/>
      <c r="F149" s="348"/>
      <c r="G149" s="348"/>
      <c r="H149" s="348"/>
      <c r="I149" s="348"/>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row>
    <row r="150" spans="1:65" x14ac:dyDescent="0.2">
      <c r="A150" s="25"/>
      <c r="B150" s="348"/>
      <c r="C150" s="348"/>
      <c r="D150" s="348"/>
      <c r="E150" s="348"/>
      <c r="F150" s="348"/>
      <c r="G150" s="348"/>
      <c r="H150" s="348"/>
      <c r="I150" s="348"/>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row>
    <row r="151" spans="1:65" x14ac:dyDescent="0.2">
      <c r="A151" s="25"/>
      <c r="B151" s="348"/>
      <c r="C151" s="348"/>
      <c r="D151" s="348"/>
      <c r="E151" s="348"/>
      <c r="F151" s="348"/>
      <c r="G151" s="348"/>
      <c r="H151" s="348"/>
      <c r="I151" s="348"/>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row>
    <row r="152" spans="1:65" x14ac:dyDescent="0.2">
      <c r="A152" s="25"/>
      <c r="B152" s="348"/>
      <c r="C152" s="348"/>
      <c r="D152" s="348"/>
      <c r="E152" s="348"/>
      <c r="F152" s="348"/>
      <c r="G152" s="348"/>
      <c r="H152" s="348"/>
      <c r="I152" s="348"/>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row>
    <row r="153" spans="1:65" x14ac:dyDescent="0.2">
      <c r="A153" s="25"/>
      <c r="B153" s="348"/>
      <c r="C153" s="348"/>
      <c r="D153" s="348"/>
      <c r="E153" s="348"/>
      <c r="F153" s="348"/>
      <c r="G153" s="348"/>
      <c r="H153" s="348"/>
      <c r="I153" s="348"/>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row>
    <row r="154" spans="1:65" x14ac:dyDescent="0.2">
      <c r="A154" s="25"/>
      <c r="B154" s="348"/>
      <c r="C154" s="348"/>
      <c r="D154" s="348"/>
      <c r="E154" s="348"/>
      <c r="F154" s="348"/>
      <c r="G154" s="348"/>
      <c r="H154" s="348"/>
      <c r="I154" s="348"/>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row>
    <row r="155" spans="1:65" x14ac:dyDescent="0.2">
      <c r="A155" s="25"/>
      <c r="B155" s="348"/>
      <c r="C155" s="348"/>
      <c r="D155" s="348"/>
      <c r="E155" s="348"/>
      <c r="F155" s="348"/>
      <c r="G155" s="348"/>
      <c r="H155" s="348"/>
      <c r="I155" s="348"/>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row>
    <row r="156" spans="1:65" x14ac:dyDescent="0.2">
      <c r="A156" s="25"/>
      <c r="B156" s="348"/>
      <c r="C156" s="348"/>
      <c r="D156" s="348"/>
      <c r="E156" s="348"/>
      <c r="F156" s="348"/>
      <c r="G156" s="348"/>
      <c r="H156" s="348"/>
      <c r="I156" s="348"/>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row>
    <row r="157" spans="1:65" x14ac:dyDescent="0.2">
      <c r="A157" s="25"/>
      <c r="B157" s="348"/>
      <c r="C157" s="348"/>
      <c r="D157" s="348"/>
      <c r="E157" s="348"/>
      <c r="F157" s="348"/>
      <c r="G157" s="348"/>
      <c r="H157" s="348"/>
      <c r="I157" s="348"/>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row>
    <row r="158" spans="1:65" x14ac:dyDescent="0.2">
      <c r="A158" s="25"/>
      <c r="B158" s="348"/>
      <c r="C158" s="348"/>
      <c r="D158" s="348"/>
      <c r="E158" s="348"/>
      <c r="F158" s="348"/>
      <c r="G158" s="348"/>
      <c r="H158" s="348"/>
      <c r="I158" s="348"/>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row>
    <row r="159" spans="1:65" x14ac:dyDescent="0.2">
      <c r="A159" s="25"/>
      <c r="B159" s="348"/>
      <c r="C159" s="348"/>
      <c r="D159" s="348"/>
      <c r="E159" s="348"/>
      <c r="F159" s="348"/>
      <c r="G159" s="348"/>
      <c r="H159" s="348"/>
      <c r="I159" s="348"/>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row>
    <row r="160" spans="1:65" x14ac:dyDescent="0.2">
      <c r="A160" s="25"/>
      <c r="B160" s="348"/>
      <c r="C160" s="348"/>
      <c r="D160" s="348"/>
      <c r="E160" s="348"/>
      <c r="F160" s="348"/>
      <c r="G160" s="348"/>
      <c r="H160" s="348"/>
      <c r="I160" s="348"/>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row>
    <row r="161" spans="1:65" x14ac:dyDescent="0.2">
      <c r="A161" s="25"/>
      <c r="B161" s="348"/>
      <c r="C161" s="348"/>
      <c r="D161" s="348"/>
      <c r="E161" s="348"/>
      <c r="F161" s="348"/>
      <c r="G161" s="348"/>
      <c r="H161" s="348"/>
      <c r="I161" s="348"/>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row>
    <row r="162" spans="1:65" x14ac:dyDescent="0.2">
      <c r="A162" s="25"/>
      <c r="B162" s="348"/>
      <c r="C162" s="348"/>
      <c r="D162" s="348"/>
      <c r="E162" s="348"/>
      <c r="F162" s="348"/>
      <c r="G162" s="348"/>
      <c r="H162" s="348"/>
      <c r="I162" s="348"/>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row>
    <row r="163" spans="1:65" x14ac:dyDescent="0.2">
      <c r="A163" s="25"/>
      <c r="B163" s="348"/>
      <c r="C163" s="348"/>
      <c r="D163" s="348"/>
      <c r="E163" s="348"/>
      <c r="F163" s="348"/>
      <c r="G163" s="348"/>
      <c r="H163" s="348"/>
      <c r="I163" s="348"/>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row>
    <row r="164" spans="1:65" x14ac:dyDescent="0.2">
      <c r="A164" s="25"/>
      <c r="B164" s="348"/>
      <c r="C164" s="348"/>
      <c r="D164" s="348"/>
      <c r="E164" s="348"/>
      <c r="F164" s="348"/>
      <c r="G164" s="348"/>
      <c r="H164" s="348"/>
      <c r="I164" s="348"/>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row>
    <row r="165" spans="1:65" x14ac:dyDescent="0.2">
      <c r="A165" s="25"/>
      <c r="B165" s="348"/>
      <c r="C165" s="348"/>
      <c r="D165" s="348"/>
      <c r="E165" s="348"/>
      <c r="F165" s="348"/>
      <c r="G165" s="348"/>
      <c r="H165" s="348"/>
      <c r="I165" s="348"/>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row>
    <row r="166" spans="1:65" s="27" customFormat="1" ht="19" x14ac:dyDescent="0.25">
      <c r="A166" s="22" t="s">
        <v>12</v>
      </c>
      <c r="B166" s="26"/>
    </row>
    <row r="167" spans="1:65" s="27" customFormat="1" ht="17" customHeight="1" x14ac:dyDescent="0.2">
      <c r="A167" s="25"/>
      <c r="B167" s="346" t="s">
        <v>161</v>
      </c>
      <c r="C167" s="377"/>
      <c r="D167" s="378" t="s">
        <v>163</v>
      </c>
      <c r="E167" s="379"/>
      <c r="F167" s="379"/>
      <c r="G167" s="379"/>
      <c r="H167" s="379"/>
      <c r="I167" s="379"/>
      <c r="J167" s="379"/>
      <c r="K167" s="28"/>
    </row>
    <row r="168" spans="1:65" s="27" customFormat="1" ht="17" customHeight="1" x14ac:dyDescent="0.2">
      <c r="A168" s="25"/>
      <c r="B168" s="377"/>
      <c r="C168" s="377"/>
      <c r="D168" s="379"/>
      <c r="E168" s="379"/>
      <c r="F168" s="379"/>
      <c r="G168" s="379"/>
      <c r="H168" s="379"/>
      <c r="I168" s="379"/>
      <c r="J168" s="379"/>
      <c r="K168" s="28"/>
    </row>
    <row r="169" spans="1:65" s="27" customFormat="1" ht="17" customHeight="1" x14ac:dyDescent="0.2">
      <c r="A169" s="25"/>
      <c r="B169" s="377"/>
      <c r="C169" s="377"/>
      <c r="D169" s="379"/>
      <c r="E169" s="379"/>
      <c r="F169" s="379"/>
      <c r="G169" s="379"/>
      <c r="H169" s="379"/>
      <c r="I169" s="379"/>
      <c r="J169" s="379"/>
      <c r="K169" s="28"/>
    </row>
    <row r="170" spans="1:65" s="27" customFormat="1" ht="17" customHeight="1" x14ac:dyDescent="0.2">
      <c r="A170" s="25"/>
      <c r="B170" s="377"/>
      <c r="C170" s="377"/>
      <c r="D170" s="379"/>
      <c r="E170" s="379"/>
      <c r="F170" s="379"/>
      <c r="G170" s="379"/>
      <c r="H170" s="379"/>
      <c r="I170" s="379"/>
      <c r="J170" s="379"/>
      <c r="K170" s="28"/>
    </row>
    <row r="171" spans="1:65" x14ac:dyDescent="0.2">
      <c r="A171" s="25"/>
      <c r="B171" s="10"/>
      <c r="C171" s="10"/>
      <c r="D171" s="10"/>
      <c r="E171" s="10"/>
      <c r="F171" s="10"/>
      <c r="G171" s="10"/>
      <c r="H171" s="10"/>
      <c r="I171" s="10"/>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row>
    <row r="172" spans="1:65" ht="19" x14ac:dyDescent="0.25">
      <c r="A172" s="22" t="s">
        <v>13</v>
      </c>
      <c r="B172" s="14"/>
      <c r="C172" s="14"/>
      <c r="D172" s="14"/>
      <c r="E172" s="14"/>
      <c r="F172" s="14"/>
      <c r="G172" s="14"/>
      <c r="H172" s="14"/>
      <c r="I172" s="14"/>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row>
    <row r="173" spans="1:65" x14ac:dyDescent="0.2">
      <c r="A173" s="25"/>
      <c r="B173" s="346" t="s">
        <v>155</v>
      </c>
      <c r="C173" s="380"/>
      <c r="D173" s="380"/>
      <c r="E173" s="380"/>
      <c r="F173" s="380"/>
      <c r="G173" s="380"/>
      <c r="H173" s="380"/>
      <c r="I173" s="380"/>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row>
    <row r="174" spans="1:65" x14ac:dyDescent="0.2">
      <c r="A174" s="25"/>
      <c r="B174" s="380"/>
      <c r="C174" s="380"/>
      <c r="D174" s="380"/>
      <c r="E174" s="380"/>
      <c r="F174" s="380"/>
      <c r="G174" s="380"/>
      <c r="H174" s="380"/>
      <c r="I174" s="380"/>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row>
    <row r="175" spans="1:65" x14ac:dyDescent="0.2">
      <c r="A175" s="25"/>
      <c r="B175" s="380"/>
      <c r="C175" s="380"/>
      <c r="D175" s="380"/>
      <c r="E175" s="380"/>
      <c r="F175" s="380"/>
      <c r="G175" s="380"/>
      <c r="H175" s="380"/>
      <c r="I175" s="380"/>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row>
    <row r="176" spans="1:65" x14ac:dyDescent="0.2">
      <c r="A176" s="25"/>
      <c r="B176" s="14"/>
      <c r="C176" s="14"/>
      <c r="D176" s="14"/>
      <c r="E176" s="14"/>
      <c r="F176" s="14"/>
      <c r="G176" s="14"/>
      <c r="H176" s="14"/>
      <c r="I176" s="14"/>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row>
    <row r="177" spans="1:65" ht="19" x14ac:dyDescent="0.25">
      <c r="A177" s="22" t="s">
        <v>1</v>
      </c>
      <c r="B177" s="14"/>
      <c r="C177" s="14"/>
      <c r="D177" s="14"/>
      <c r="E177" s="14"/>
      <c r="F177" s="14"/>
      <c r="G177" s="14"/>
      <c r="H177" s="14"/>
      <c r="I177" s="14"/>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row>
    <row r="178" spans="1:65" x14ac:dyDescent="0.2">
      <c r="A178" s="25"/>
      <c r="B178" s="305" t="s">
        <v>214</v>
      </c>
      <c r="C178" s="14"/>
      <c r="D178" s="14"/>
      <c r="E178" s="14"/>
      <c r="F178" s="14"/>
      <c r="G178" s="14"/>
      <c r="H178" s="14"/>
      <c r="I178" s="14"/>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row>
    <row r="179" spans="1:65" x14ac:dyDescent="0.2">
      <c r="A179" s="25"/>
      <c r="B179" s="14"/>
      <c r="C179" s="14"/>
      <c r="D179" s="14"/>
      <c r="E179" s="14"/>
      <c r="F179" s="14"/>
      <c r="G179" s="14"/>
      <c r="H179" s="14"/>
      <c r="I179" s="14"/>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row>
    <row r="180" spans="1:65" x14ac:dyDescent="0.2">
      <c r="A180" s="25"/>
      <c r="B180" s="14"/>
      <c r="C180" s="14"/>
      <c r="D180" s="14"/>
      <c r="E180" s="14"/>
      <c r="F180" s="14"/>
      <c r="G180" s="14"/>
      <c r="H180" s="14"/>
      <c r="I180" s="14"/>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row>
    <row r="181" spans="1:65" x14ac:dyDescent="0.2">
      <c r="A181" s="25"/>
      <c r="B181" s="14"/>
      <c r="C181" s="14"/>
      <c r="D181" s="14"/>
      <c r="E181" s="14"/>
      <c r="F181" s="14"/>
      <c r="G181" s="14"/>
      <c r="H181" s="14"/>
      <c r="I181" s="14"/>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row>
    <row r="182" spans="1:65" x14ac:dyDescent="0.2">
      <c r="A182" s="25"/>
      <c r="B182" s="14"/>
      <c r="C182" s="14"/>
      <c r="D182" s="14"/>
      <c r="E182" s="14"/>
      <c r="F182" s="14"/>
      <c r="G182" s="14"/>
      <c r="H182" s="14"/>
      <c r="I182" s="14"/>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row>
    <row r="183" spans="1:65" x14ac:dyDescent="0.2">
      <c r="A183" s="25"/>
      <c r="B183" s="14"/>
      <c r="C183" s="14"/>
      <c r="D183" s="14"/>
      <c r="E183" s="14"/>
      <c r="F183" s="14"/>
      <c r="G183" s="14"/>
      <c r="H183" s="14"/>
      <c r="I183" s="14"/>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row>
    <row r="184" spans="1:65" x14ac:dyDescent="0.2">
      <c r="A184" s="25"/>
      <c r="B184" s="14"/>
      <c r="C184" s="14"/>
      <c r="D184" s="14"/>
      <c r="E184" s="14"/>
      <c r="F184" s="14"/>
      <c r="G184" s="14"/>
      <c r="H184" s="14"/>
      <c r="I184" s="14"/>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row>
    <row r="185" spans="1:65" x14ac:dyDescent="0.2">
      <c r="A185" s="25"/>
      <c r="B185" s="14"/>
      <c r="C185" s="14"/>
      <c r="D185" s="14"/>
      <c r="E185" s="14"/>
      <c r="F185" s="14"/>
      <c r="G185" s="14"/>
      <c r="H185" s="14"/>
      <c r="I185" s="14"/>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row>
  </sheetData>
  <mergeCells count="20">
    <mergeCell ref="D8:D9"/>
    <mergeCell ref="B167:C170"/>
    <mergeCell ref="D167:J170"/>
    <mergeCell ref="B173:I175"/>
    <mergeCell ref="B4:I6"/>
    <mergeCell ref="B24:I25"/>
    <mergeCell ref="B105:I115"/>
    <mergeCell ref="B132:I165"/>
    <mergeCell ref="B89:I89"/>
    <mergeCell ref="B48:I50"/>
    <mergeCell ref="B63:I65"/>
    <mergeCell ref="B118:I129"/>
    <mergeCell ref="B8:B9"/>
    <mergeCell ref="B43:I44"/>
    <mergeCell ref="B97:I102"/>
    <mergeCell ref="I8:I9"/>
    <mergeCell ref="H8:H9"/>
    <mergeCell ref="G8:G9"/>
    <mergeCell ref="E8:E9"/>
    <mergeCell ref="C8:C9"/>
  </mergeCells>
  <pageMargins left="0.7" right="0.7" top="0.75" bottom="0.75" header="0.3" footer="0.3"/>
  <pageSetup scale="25"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18A2A-9A5E-4E4A-B05F-C13D677DF372}">
  <dimension ref="A1:BM145"/>
  <sheetViews>
    <sheetView showGridLines="0" zoomScale="110" zoomScaleNormal="110" workbookViewId="0"/>
  </sheetViews>
  <sheetFormatPr baseColWidth="10" defaultColWidth="10.83203125" defaultRowHeight="16" x14ac:dyDescent="0.2"/>
  <cols>
    <col min="1" max="1" width="10.83203125" style="100"/>
    <col min="2" max="7" width="10.83203125" style="100" customWidth="1"/>
    <col min="8" max="9" width="10.83203125" style="100"/>
    <col min="10" max="10" width="10.83203125" style="100" customWidth="1"/>
    <col min="11" max="16384" width="10.83203125" style="100"/>
  </cols>
  <sheetData>
    <row r="1" spans="1:10" ht="19" x14ac:dyDescent="0.25">
      <c r="A1" s="11" t="s">
        <v>224</v>
      </c>
      <c r="B1" s="79"/>
      <c r="C1" s="79"/>
      <c r="D1" s="79"/>
      <c r="E1" s="79"/>
      <c r="F1" s="79"/>
      <c r="G1" s="79"/>
      <c r="H1" s="79"/>
      <c r="I1" s="79"/>
      <c r="J1" s="128"/>
    </row>
    <row r="2" spans="1:10" x14ac:dyDescent="0.2">
      <c r="A2" s="129"/>
      <c r="B2" s="79"/>
      <c r="C2" s="79"/>
      <c r="D2" s="79"/>
      <c r="E2" s="79"/>
      <c r="F2" s="79"/>
      <c r="G2" s="79"/>
      <c r="H2" s="79"/>
      <c r="I2" s="79"/>
      <c r="J2" s="128"/>
    </row>
    <row r="3" spans="1:10" x14ac:dyDescent="0.2">
      <c r="A3" s="130"/>
      <c r="B3" s="16" t="s">
        <v>11</v>
      </c>
      <c r="C3" s="79"/>
      <c r="D3" s="79"/>
      <c r="E3" s="79"/>
      <c r="F3" s="79"/>
      <c r="G3" s="79"/>
      <c r="H3" s="79"/>
      <c r="I3" s="79"/>
      <c r="J3" s="128"/>
    </row>
    <row r="4" spans="1:10" ht="16" customHeight="1" x14ac:dyDescent="0.2">
      <c r="A4" s="130"/>
      <c r="B4" s="362" t="s">
        <v>221</v>
      </c>
      <c r="C4" s="363"/>
      <c r="D4" s="363"/>
      <c r="E4" s="363"/>
      <c r="F4" s="363"/>
      <c r="G4" s="363"/>
      <c r="H4" s="363"/>
      <c r="I4" s="363"/>
      <c r="J4" s="128"/>
    </row>
    <row r="5" spans="1:10" x14ac:dyDescent="0.2">
      <c r="A5" s="130"/>
      <c r="B5" s="79"/>
      <c r="C5" s="79"/>
      <c r="D5" s="79"/>
      <c r="E5" s="79"/>
      <c r="F5" s="79"/>
      <c r="G5" s="79"/>
      <c r="H5" s="79"/>
      <c r="I5" s="79"/>
      <c r="J5" s="128"/>
    </row>
    <row r="6" spans="1:10" x14ac:dyDescent="0.2">
      <c r="A6" s="130"/>
      <c r="B6" s="385" t="s">
        <v>140</v>
      </c>
      <c r="C6" s="387" t="s">
        <v>220</v>
      </c>
      <c r="D6" s="388"/>
      <c r="E6" s="388"/>
      <c r="F6" s="388"/>
      <c r="G6" s="389"/>
      <c r="H6" s="365" t="s">
        <v>136</v>
      </c>
      <c r="I6" s="168"/>
      <c r="J6" s="128"/>
    </row>
    <row r="7" spans="1:10" x14ac:dyDescent="0.2">
      <c r="A7" s="130"/>
      <c r="B7" s="386"/>
      <c r="C7" s="97">
        <v>12</v>
      </c>
      <c r="D7" s="173">
        <v>24</v>
      </c>
      <c r="E7" s="173">
        <v>36</v>
      </c>
      <c r="F7" s="173">
        <v>48</v>
      </c>
      <c r="G7" s="98">
        <v>60</v>
      </c>
      <c r="H7" s="366"/>
      <c r="I7" s="168"/>
      <c r="J7" s="128"/>
    </row>
    <row r="8" spans="1:10" x14ac:dyDescent="0.2">
      <c r="A8" s="130"/>
      <c r="B8" s="111">
        <v>2021</v>
      </c>
      <c r="C8" s="163">
        <v>34985</v>
      </c>
      <c r="D8" s="164">
        <v>39295</v>
      </c>
      <c r="E8" s="164">
        <v>40403</v>
      </c>
      <c r="F8" s="164">
        <v>41207</v>
      </c>
      <c r="G8" s="165">
        <v>41902</v>
      </c>
      <c r="H8" s="113">
        <v>58004</v>
      </c>
      <c r="I8" s="168"/>
      <c r="J8" s="128"/>
    </row>
    <row r="9" spans="1:10" x14ac:dyDescent="0.2">
      <c r="A9" s="130"/>
      <c r="B9" s="156">
        <v>2022</v>
      </c>
      <c r="C9" s="166">
        <v>41299</v>
      </c>
      <c r="D9" s="80">
        <v>45433</v>
      </c>
      <c r="E9" s="80">
        <v>46926</v>
      </c>
      <c r="F9" s="80">
        <v>47450</v>
      </c>
      <c r="G9" s="174"/>
      <c r="H9" s="175">
        <v>64119</v>
      </c>
      <c r="I9" s="168"/>
      <c r="J9" s="128"/>
    </row>
    <row r="10" spans="1:10" x14ac:dyDescent="0.2">
      <c r="A10" s="130"/>
      <c r="B10" s="156">
        <v>2023</v>
      </c>
      <c r="C10" s="166">
        <v>45608</v>
      </c>
      <c r="D10" s="80">
        <v>49532</v>
      </c>
      <c r="E10" s="80">
        <v>50586</v>
      </c>
      <c r="F10" s="81"/>
      <c r="G10" s="174"/>
      <c r="H10" s="175">
        <v>68613</v>
      </c>
      <c r="I10" s="168"/>
      <c r="J10" s="128"/>
    </row>
    <row r="11" spans="1:10" x14ac:dyDescent="0.2">
      <c r="A11" s="130"/>
      <c r="B11" s="156">
        <v>2024</v>
      </c>
      <c r="C11" s="166">
        <v>46698</v>
      </c>
      <c r="D11" s="80">
        <v>51513</v>
      </c>
      <c r="E11" s="81"/>
      <c r="F11" s="81"/>
      <c r="G11" s="174"/>
      <c r="H11" s="175">
        <v>74552</v>
      </c>
      <c r="I11" s="168"/>
      <c r="J11" s="128"/>
    </row>
    <row r="12" spans="1:10" x14ac:dyDescent="0.2">
      <c r="A12" s="130"/>
      <c r="B12" s="131">
        <v>2025</v>
      </c>
      <c r="C12" s="167">
        <v>50026</v>
      </c>
      <c r="D12" s="176"/>
      <c r="E12" s="176"/>
      <c r="F12" s="176"/>
      <c r="G12" s="112"/>
      <c r="H12" s="114">
        <v>78855</v>
      </c>
      <c r="I12" s="168"/>
      <c r="J12" s="128"/>
    </row>
    <row r="13" spans="1:10" x14ac:dyDescent="0.2">
      <c r="A13" s="130"/>
      <c r="B13" s="79"/>
      <c r="C13" s="79"/>
      <c r="D13" s="79"/>
      <c r="E13" s="79"/>
      <c r="F13" s="79"/>
      <c r="G13" s="79"/>
      <c r="H13" s="79"/>
      <c r="I13" s="79"/>
      <c r="J13" s="128"/>
    </row>
    <row r="14" spans="1:10" x14ac:dyDescent="0.2">
      <c r="A14" s="130"/>
      <c r="B14" s="363" t="s">
        <v>222</v>
      </c>
      <c r="C14" s="363"/>
      <c r="D14" s="363"/>
      <c r="E14" s="363"/>
      <c r="F14" s="363"/>
      <c r="G14" s="363"/>
      <c r="H14" s="363"/>
      <c r="I14" s="363"/>
      <c r="J14" s="128"/>
    </row>
    <row r="15" spans="1:10" x14ac:dyDescent="0.2">
      <c r="A15" s="130"/>
      <c r="B15" s="363"/>
      <c r="C15" s="363"/>
      <c r="D15" s="363"/>
      <c r="E15" s="363"/>
      <c r="F15" s="363"/>
      <c r="G15" s="363"/>
      <c r="H15" s="363"/>
      <c r="I15" s="363"/>
      <c r="J15" s="128"/>
    </row>
    <row r="16" spans="1:10" x14ac:dyDescent="0.2">
      <c r="A16" s="130"/>
      <c r="B16" s="79"/>
      <c r="C16" s="79"/>
      <c r="D16" s="79"/>
      <c r="E16" s="79"/>
      <c r="F16" s="79"/>
      <c r="G16" s="79"/>
      <c r="H16" s="79"/>
      <c r="I16" s="79"/>
      <c r="J16" s="128"/>
    </row>
    <row r="17" spans="1:10" ht="16" customHeight="1" x14ac:dyDescent="0.2">
      <c r="A17" s="130"/>
      <c r="B17" s="79"/>
      <c r="C17" s="381" t="s">
        <v>109</v>
      </c>
      <c r="D17" s="383" t="s">
        <v>110</v>
      </c>
      <c r="E17" s="79"/>
      <c r="F17" s="381" t="s">
        <v>109</v>
      </c>
      <c r="G17" s="383" t="s">
        <v>110</v>
      </c>
      <c r="H17" s="79"/>
      <c r="I17" s="79"/>
      <c r="J17" s="128"/>
    </row>
    <row r="18" spans="1:10" x14ac:dyDescent="0.2">
      <c r="A18" s="130"/>
      <c r="B18" s="79"/>
      <c r="C18" s="382"/>
      <c r="D18" s="384"/>
      <c r="E18" s="79"/>
      <c r="F18" s="382"/>
      <c r="G18" s="384"/>
      <c r="H18" s="79"/>
      <c r="I18" s="79"/>
      <c r="J18" s="128"/>
    </row>
    <row r="19" spans="1:10" ht="19" x14ac:dyDescent="0.2">
      <c r="A19" s="130"/>
      <c r="B19" s="79"/>
      <c r="C19" s="37" t="s">
        <v>115</v>
      </c>
      <c r="D19" s="73">
        <v>-0.20599999999999999</v>
      </c>
      <c r="E19" s="79"/>
      <c r="F19" s="37" t="s">
        <v>118</v>
      </c>
      <c r="G19" s="73">
        <v>0.124</v>
      </c>
      <c r="H19" s="79"/>
      <c r="I19" s="79"/>
      <c r="J19" s="128"/>
    </row>
    <row r="20" spans="1:10" ht="19" x14ac:dyDescent="0.2">
      <c r="A20" s="130"/>
      <c r="B20" s="79"/>
      <c r="C20" s="37" t="s">
        <v>227</v>
      </c>
      <c r="D20" s="73">
        <v>-0.123</v>
      </c>
      <c r="E20" s="79"/>
      <c r="F20" s="37" t="s">
        <v>228</v>
      </c>
      <c r="G20" s="73">
        <v>0.12</v>
      </c>
      <c r="H20" s="79"/>
      <c r="I20" s="79"/>
      <c r="J20" s="128"/>
    </row>
    <row r="21" spans="1:10" ht="19" x14ac:dyDescent="0.2">
      <c r="A21" s="130"/>
      <c r="B21" s="79"/>
      <c r="C21" s="37" t="s">
        <v>196</v>
      </c>
      <c r="D21" s="73">
        <v>-8.5000000000000006E-2</v>
      </c>
      <c r="E21" s="79"/>
      <c r="F21" s="37" t="s">
        <v>197</v>
      </c>
      <c r="G21" s="73">
        <v>9.9000000000000005E-2</v>
      </c>
      <c r="H21" s="79"/>
      <c r="I21" s="79"/>
      <c r="J21" s="128"/>
    </row>
    <row r="22" spans="1:10" ht="19" x14ac:dyDescent="0.2">
      <c r="A22" s="130"/>
      <c r="B22" s="79"/>
      <c r="C22" s="37" t="s">
        <v>216</v>
      </c>
      <c r="D22" s="73">
        <v>-4.8000000000000001E-2</v>
      </c>
      <c r="E22" s="79"/>
      <c r="F22" s="37" t="s">
        <v>218</v>
      </c>
      <c r="G22" s="73">
        <v>8.1000000000000003E-2</v>
      </c>
      <c r="H22" s="79"/>
      <c r="I22" s="79"/>
      <c r="J22" s="128"/>
    </row>
    <row r="23" spans="1:10" ht="19" x14ac:dyDescent="0.2">
      <c r="A23" s="130"/>
      <c r="B23" s="79"/>
      <c r="C23" s="39" t="s">
        <v>217</v>
      </c>
      <c r="D23" s="74">
        <v>0</v>
      </c>
      <c r="E23" s="79"/>
      <c r="F23" s="37" t="s">
        <v>219</v>
      </c>
      <c r="G23" s="73">
        <v>4.2000000000000003E-2</v>
      </c>
      <c r="H23" s="79"/>
      <c r="I23" s="79"/>
      <c r="J23" s="128"/>
    </row>
    <row r="24" spans="1:10" ht="17" x14ac:dyDescent="0.2">
      <c r="A24" s="130"/>
      <c r="B24" s="79"/>
      <c r="C24" s="79"/>
      <c r="D24" s="79"/>
      <c r="E24" s="79"/>
      <c r="F24" s="39" t="s">
        <v>172</v>
      </c>
      <c r="G24" s="74">
        <v>-0.33400000000000002</v>
      </c>
      <c r="H24" s="79"/>
      <c r="I24" s="79"/>
      <c r="J24" s="128"/>
    </row>
    <row r="25" spans="1:10" x14ac:dyDescent="0.2">
      <c r="A25" s="130"/>
      <c r="B25" s="79"/>
      <c r="C25" s="79"/>
      <c r="D25" s="79"/>
      <c r="E25" s="79"/>
      <c r="F25" s="79"/>
      <c r="G25" s="79"/>
      <c r="H25" s="79"/>
      <c r="I25" s="79"/>
      <c r="J25" s="128"/>
    </row>
    <row r="26" spans="1:10" x14ac:dyDescent="0.2">
      <c r="A26" s="130"/>
      <c r="B26" s="307" t="s">
        <v>434</v>
      </c>
      <c r="C26" s="79"/>
      <c r="D26" s="79"/>
      <c r="E26" s="79"/>
      <c r="F26" s="157"/>
      <c r="G26" s="79"/>
      <c r="H26" s="79"/>
      <c r="I26" s="79"/>
      <c r="J26" s="128"/>
    </row>
    <row r="27" spans="1:10" x14ac:dyDescent="0.2">
      <c r="A27" s="130"/>
      <c r="B27" s="79"/>
      <c r="C27" s="80"/>
      <c r="D27" s="177"/>
      <c r="E27" s="80"/>
      <c r="F27" s="79"/>
      <c r="G27" s="79"/>
      <c r="H27" s="79"/>
      <c r="I27" s="79"/>
      <c r="J27" s="128"/>
    </row>
    <row r="28" spans="1:10" x14ac:dyDescent="0.2">
      <c r="A28" s="130"/>
      <c r="B28" s="79"/>
      <c r="C28" s="80"/>
      <c r="D28" s="177"/>
      <c r="E28" s="80"/>
      <c r="F28" s="79"/>
      <c r="G28" s="79"/>
      <c r="H28" s="79"/>
      <c r="I28" s="79"/>
      <c r="J28" s="128"/>
    </row>
    <row r="29" spans="1:10" x14ac:dyDescent="0.2">
      <c r="A29" s="130"/>
      <c r="B29" s="362" t="s">
        <v>223</v>
      </c>
      <c r="C29" s="363"/>
      <c r="D29" s="363"/>
      <c r="E29" s="363"/>
      <c r="F29" s="363"/>
      <c r="G29" s="363"/>
      <c r="H29" s="363"/>
      <c r="I29" s="363"/>
      <c r="J29" s="128"/>
    </row>
    <row r="30" spans="1:10" ht="16" customHeight="1" x14ac:dyDescent="0.2">
      <c r="A30" s="130"/>
      <c r="B30" s="363"/>
      <c r="C30" s="363"/>
      <c r="D30" s="363"/>
      <c r="E30" s="363"/>
      <c r="F30" s="363"/>
      <c r="G30" s="363"/>
      <c r="H30" s="363"/>
      <c r="I30" s="363"/>
      <c r="J30" s="128"/>
    </row>
    <row r="31" spans="1:10" ht="17" thickBot="1" x14ac:dyDescent="0.25">
      <c r="A31" s="141"/>
      <c r="B31" s="142"/>
      <c r="C31" s="143"/>
      <c r="D31" s="143"/>
      <c r="E31" s="143"/>
      <c r="F31" s="142"/>
      <c r="G31" s="142"/>
      <c r="H31" s="142"/>
      <c r="I31" s="142"/>
      <c r="J31" s="144"/>
    </row>
    <row r="33" spans="1:9" ht="19" x14ac:dyDescent="0.25">
      <c r="A33" s="22" t="s">
        <v>8</v>
      </c>
    </row>
    <row r="34" spans="1:9" ht="16" customHeight="1" x14ac:dyDescent="0.2">
      <c r="A34" s="1" t="s">
        <v>7</v>
      </c>
      <c r="B34" s="364" t="s">
        <v>435</v>
      </c>
      <c r="C34" s="364"/>
      <c r="D34" s="364"/>
      <c r="E34" s="364"/>
      <c r="F34" s="364"/>
      <c r="G34" s="364"/>
      <c r="H34" s="364"/>
      <c r="I34" s="364"/>
    </row>
    <row r="35" spans="1:9" ht="16" customHeight="1" x14ac:dyDescent="0.2">
      <c r="A35" s="1"/>
      <c r="B35" s="364"/>
      <c r="C35" s="364"/>
      <c r="D35" s="364"/>
      <c r="E35" s="364"/>
      <c r="F35" s="364"/>
      <c r="G35" s="364"/>
      <c r="H35" s="364"/>
      <c r="I35" s="364"/>
    </row>
    <row r="36" spans="1:9" ht="20" customHeight="1" x14ac:dyDescent="0.2">
      <c r="A36" s="1"/>
      <c r="B36" s="364"/>
      <c r="C36" s="364"/>
      <c r="D36" s="364"/>
      <c r="E36" s="364"/>
      <c r="F36" s="364"/>
      <c r="G36" s="364"/>
      <c r="H36" s="364"/>
      <c r="I36" s="364"/>
    </row>
    <row r="37" spans="1:9" ht="16" customHeight="1" x14ac:dyDescent="0.2">
      <c r="A37" s="1"/>
    </row>
    <row r="38" spans="1:9" ht="16" customHeight="1" x14ac:dyDescent="0.2">
      <c r="A38" s="1"/>
      <c r="F38" s="169"/>
      <c r="G38" s="350" t="s">
        <v>233</v>
      </c>
      <c r="H38" s="350"/>
    </row>
    <row r="39" spans="1:9" ht="16" customHeight="1" x14ac:dyDescent="0.2">
      <c r="A39" s="1"/>
      <c r="F39" s="170"/>
      <c r="G39" s="116" t="s">
        <v>225</v>
      </c>
      <c r="H39" s="116" t="s">
        <v>226</v>
      </c>
    </row>
    <row r="40" spans="1:9" ht="16" customHeight="1" x14ac:dyDescent="0.25">
      <c r="A40" s="1"/>
      <c r="F40" s="311" t="s">
        <v>438</v>
      </c>
      <c r="G40" s="171">
        <f>LN($H$11)+$G$24+D20</f>
        <v>10.762252147465492</v>
      </c>
      <c r="H40" s="171">
        <f>LN($H$11)+$G$24+D23</f>
        <v>10.885252147465492</v>
      </c>
    </row>
    <row r="41" spans="1:9" ht="16" customHeight="1" x14ac:dyDescent="0.25">
      <c r="A41" s="1"/>
      <c r="F41" s="311" t="s">
        <v>144</v>
      </c>
      <c r="G41" s="171">
        <f>G20</f>
        <v>0.12</v>
      </c>
      <c r="H41" s="171">
        <f>G23</f>
        <v>4.2000000000000003E-2</v>
      </c>
    </row>
    <row r="42" spans="1:9" ht="16" customHeight="1" x14ac:dyDescent="0.2">
      <c r="A42" s="1"/>
      <c r="B42" s="24" t="s">
        <v>146</v>
      </c>
    </row>
    <row r="43" spans="1:9" ht="16" customHeight="1" x14ac:dyDescent="0.2">
      <c r="A43" s="1"/>
      <c r="B43" s="305" t="s">
        <v>436</v>
      </c>
    </row>
    <row r="44" spans="1:9" ht="16" customHeight="1" x14ac:dyDescent="0.2">
      <c r="A44" s="1"/>
      <c r="B44" s="305" t="s">
        <v>437</v>
      </c>
    </row>
    <row r="45" spans="1:9" ht="16" customHeight="1" x14ac:dyDescent="0.2">
      <c r="A45" s="1"/>
    </row>
    <row r="46" spans="1:9" ht="18" customHeight="1" x14ac:dyDescent="0.2">
      <c r="A46" s="1" t="s">
        <v>6</v>
      </c>
      <c r="B46" s="364" t="s">
        <v>440</v>
      </c>
      <c r="C46" s="364"/>
      <c r="D46" s="364"/>
      <c r="E46" s="364"/>
      <c r="F46" s="364"/>
      <c r="G46" s="364"/>
      <c r="H46" s="364"/>
      <c r="I46" s="364"/>
    </row>
    <row r="47" spans="1:9" ht="16" customHeight="1" x14ac:dyDescent="0.2">
      <c r="A47" s="1"/>
      <c r="B47" s="364"/>
      <c r="C47" s="364"/>
      <c r="D47" s="364"/>
      <c r="E47" s="364"/>
      <c r="F47" s="364"/>
      <c r="G47" s="364"/>
      <c r="H47" s="364"/>
      <c r="I47" s="364"/>
    </row>
    <row r="48" spans="1:9" ht="16" customHeight="1" x14ac:dyDescent="0.2">
      <c r="A48" s="1"/>
      <c r="B48" s="364"/>
      <c r="C48" s="364"/>
      <c r="D48" s="364"/>
      <c r="E48" s="364"/>
      <c r="F48" s="364"/>
      <c r="G48" s="364"/>
      <c r="H48" s="364"/>
      <c r="I48" s="364"/>
    </row>
    <row r="49" spans="1:12" ht="16" customHeight="1" x14ac:dyDescent="0.2">
      <c r="A49" s="1"/>
    </row>
    <row r="50" spans="1:12" ht="16" customHeight="1" x14ac:dyDescent="0.2">
      <c r="A50" s="1"/>
      <c r="F50" s="115"/>
      <c r="G50" s="115"/>
    </row>
    <row r="51" spans="1:12" ht="16" customHeight="1" x14ac:dyDescent="0.2">
      <c r="A51" s="1"/>
    </row>
    <row r="52" spans="1:12" ht="16" customHeight="1" x14ac:dyDescent="0.2">
      <c r="A52" s="1"/>
    </row>
    <row r="53" spans="1:12" ht="16" customHeight="1" x14ac:dyDescent="0.2">
      <c r="A53" s="1"/>
    </row>
    <row r="54" spans="1:12" ht="16" customHeight="1" x14ac:dyDescent="0.2">
      <c r="A54" s="1"/>
    </row>
    <row r="55" spans="1:12" ht="16" customHeight="1" x14ac:dyDescent="0.2">
      <c r="A55" s="1"/>
    </row>
    <row r="56" spans="1:12" ht="16" customHeight="1" x14ac:dyDescent="0.2">
      <c r="A56" s="1"/>
    </row>
    <row r="57" spans="1:12" ht="16" customHeight="1" x14ac:dyDescent="0.2">
      <c r="A57" s="1"/>
      <c r="J57" s="202"/>
    </row>
    <row r="58" spans="1:12" ht="16" customHeight="1" x14ac:dyDescent="0.2">
      <c r="A58" s="1"/>
    </row>
    <row r="59" spans="1:12" ht="16" customHeight="1" x14ac:dyDescent="0.2">
      <c r="A59" s="1"/>
    </row>
    <row r="60" spans="1:12" ht="16" customHeight="1" x14ac:dyDescent="0.2">
      <c r="A60" s="1"/>
    </row>
    <row r="61" spans="1:12" ht="16" customHeight="1" x14ac:dyDescent="0.2">
      <c r="A61" s="1"/>
    </row>
    <row r="62" spans="1:12" ht="16" customHeight="1" x14ac:dyDescent="0.2">
      <c r="A62" s="1"/>
      <c r="B62" s="24" t="s">
        <v>232</v>
      </c>
    </row>
    <row r="63" spans="1:12" ht="16" customHeight="1" x14ac:dyDescent="0.2">
      <c r="A63" s="1"/>
      <c r="B63" s="346" t="s">
        <v>439</v>
      </c>
      <c r="C63" s="348"/>
      <c r="D63" s="348"/>
      <c r="E63" s="348"/>
      <c r="F63" s="348"/>
      <c r="G63" s="348"/>
      <c r="H63" s="348"/>
      <c r="I63" s="348"/>
    </row>
    <row r="64" spans="1:12" ht="16" customHeight="1" x14ac:dyDescent="0.2">
      <c r="A64" s="1"/>
      <c r="B64" s="348"/>
      <c r="C64" s="348"/>
      <c r="D64" s="348"/>
      <c r="E64" s="348"/>
      <c r="F64" s="348"/>
      <c r="G64" s="348"/>
      <c r="H64" s="348"/>
      <c r="I64" s="348"/>
      <c r="L64" s="25"/>
    </row>
    <row r="65" spans="1:14" ht="16" customHeight="1" x14ac:dyDescent="0.2">
      <c r="A65" s="1"/>
      <c r="B65" s="348"/>
      <c r="C65" s="348"/>
      <c r="D65" s="348"/>
      <c r="E65" s="348"/>
      <c r="F65" s="348"/>
      <c r="G65" s="348"/>
      <c r="H65" s="348"/>
      <c r="I65" s="348"/>
      <c r="L65" s="25"/>
    </row>
    <row r="66" spans="1:14" ht="16" customHeight="1" x14ac:dyDescent="0.2">
      <c r="A66" s="1"/>
      <c r="B66" s="348"/>
      <c r="C66" s="348"/>
      <c r="D66" s="348"/>
      <c r="E66" s="348"/>
      <c r="F66" s="348"/>
      <c r="G66" s="348"/>
      <c r="H66" s="348"/>
      <c r="I66" s="348"/>
      <c r="L66" s="25"/>
    </row>
    <row r="67" spans="1:14" ht="16" customHeight="1" x14ac:dyDescent="0.2">
      <c r="A67" s="1"/>
      <c r="B67" s="348"/>
      <c r="C67" s="348"/>
      <c r="D67" s="348"/>
      <c r="E67" s="348"/>
      <c r="F67" s="348"/>
      <c r="G67" s="348"/>
      <c r="H67" s="348"/>
      <c r="I67" s="348"/>
      <c r="L67" s="25"/>
    </row>
    <row r="68" spans="1:14" ht="16" customHeight="1" x14ac:dyDescent="0.2">
      <c r="A68" s="1"/>
      <c r="B68" s="348"/>
      <c r="C68" s="348"/>
      <c r="D68" s="348"/>
      <c r="E68" s="348"/>
      <c r="F68" s="348"/>
      <c r="G68" s="348"/>
      <c r="H68" s="348"/>
      <c r="I68" s="348"/>
      <c r="L68" s="25"/>
    </row>
    <row r="69" spans="1:14" ht="16" customHeight="1" x14ac:dyDescent="0.2">
      <c r="A69" s="1"/>
      <c r="B69" s="348"/>
      <c r="C69" s="348"/>
      <c r="D69" s="348"/>
      <c r="E69" s="348"/>
      <c r="F69" s="348"/>
      <c r="G69" s="348"/>
      <c r="H69" s="348"/>
      <c r="I69" s="348"/>
      <c r="L69" s="25"/>
    </row>
    <row r="70" spans="1:14" ht="16" customHeight="1" x14ac:dyDescent="0.2">
      <c r="A70" s="1"/>
      <c r="B70" s="348"/>
      <c r="C70" s="348"/>
      <c r="D70" s="348"/>
      <c r="E70" s="348"/>
      <c r="F70" s="348"/>
      <c r="G70" s="348"/>
      <c r="H70" s="348"/>
      <c r="I70" s="348"/>
      <c r="L70" s="25"/>
    </row>
    <row r="71" spans="1:14" ht="16" customHeight="1" x14ac:dyDescent="0.2">
      <c r="A71" s="1"/>
      <c r="B71" s="348"/>
      <c r="C71" s="348"/>
      <c r="D71" s="348"/>
      <c r="E71" s="348"/>
      <c r="F71" s="348"/>
      <c r="G71" s="348"/>
      <c r="H71" s="348"/>
      <c r="I71" s="348"/>
      <c r="L71" s="25"/>
    </row>
    <row r="72" spans="1:14" ht="16" customHeight="1" x14ac:dyDescent="0.2">
      <c r="A72" s="1"/>
      <c r="B72" s="348"/>
      <c r="C72" s="348"/>
      <c r="D72" s="348"/>
      <c r="E72" s="348"/>
      <c r="F72" s="348"/>
      <c r="G72" s="348"/>
      <c r="H72" s="348"/>
      <c r="I72" s="348"/>
      <c r="L72" s="25"/>
    </row>
    <row r="73" spans="1:14" ht="16" customHeight="1" x14ac:dyDescent="0.2">
      <c r="A73" s="1"/>
      <c r="B73" s="348"/>
      <c r="C73" s="348"/>
      <c r="D73" s="348"/>
      <c r="E73" s="348"/>
      <c r="F73" s="348"/>
      <c r="G73" s="348"/>
      <c r="H73" s="348"/>
      <c r="I73" s="348"/>
      <c r="L73" s="25"/>
    </row>
    <row r="74" spans="1:14" ht="16" customHeight="1" x14ac:dyDescent="0.2">
      <c r="A74" s="1"/>
      <c r="B74" s="122"/>
      <c r="C74" s="122"/>
      <c r="D74" s="122"/>
      <c r="E74" s="122"/>
      <c r="F74" s="122"/>
      <c r="G74" s="122"/>
      <c r="H74" s="122"/>
      <c r="I74" s="122"/>
      <c r="L74" s="25"/>
    </row>
    <row r="75" spans="1:14" ht="19" x14ac:dyDescent="0.25">
      <c r="A75" s="22" t="s">
        <v>2</v>
      </c>
      <c r="L75" s="25"/>
      <c r="M75" s="25"/>
      <c r="N75" s="25"/>
    </row>
    <row r="76" spans="1:14" ht="15" customHeight="1" x14ac:dyDescent="0.25">
      <c r="A76" s="22"/>
      <c r="B76" s="346" t="s">
        <v>241</v>
      </c>
      <c r="C76" s="348"/>
      <c r="D76" s="348"/>
      <c r="E76" s="348"/>
      <c r="F76" s="348"/>
      <c r="G76" s="348"/>
      <c r="H76" s="348"/>
      <c r="I76" s="348"/>
      <c r="L76" s="25"/>
      <c r="M76" s="25"/>
      <c r="N76" s="25"/>
    </row>
    <row r="77" spans="1:14" ht="16" customHeight="1" x14ac:dyDescent="0.25">
      <c r="A77" s="22"/>
      <c r="B77" s="348"/>
      <c r="C77" s="348"/>
      <c r="D77" s="348"/>
      <c r="E77" s="348"/>
      <c r="F77" s="348"/>
      <c r="G77" s="348"/>
      <c r="H77" s="348"/>
      <c r="I77" s="348"/>
      <c r="L77" s="25"/>
      <c r="M77" s="25"/>
      <c r="N77" s="25"/>
    </row>
    <row r="78" spans="1:14" ht="16" customHeight="1" x14ac:dyDescent="0.25">
      <c r="A78" s="22"/>
      <c r="B78" s="348"/>
      <c r="C78" s="348"/>
      <c r="D78" s="348"/>
      <c r="E78" s="348"/>
      <c r="F78" s="348"/>
      <c r="G78" s="348"/>
      <c r="H78" s="348"/>
      <c r="I78" s="348"/>
      <c r="L78" s="25"/>
      <c r="M78" s="25"/>
      <c r="N78" s="25"/>
    </row>
    <row r="79" spans="1:14" ht="16" customHeight="1" x14ac:dyDescent="0.25">
      <c r="A79" s="22"/>
      <c r="B79" s="348"/>
      <c r="C79" s="348"/>
      <c r="D79" s="348"/>
      <c r="E79" s="348"/>
      <c r="F79" s="348"/>
      <c r="G79" s="348"/>
      <c r="H79" s="348"/>
      <c r="I79" s="348"/>
      <c r="L79" s="25"/>
      <c r="M79" s="25"/>
      <c r="N79" s="25"/>
    </row>
    <row r="80" spans="1:14" ht="16" customHeight="1" x14ac:dyDescent="0.25">
      <c r="A80" s="22"/>
      <c r="B80" s="348"/>
      <c r="C80" s="348"/>
      <c r="D80" s="348"/>
      <c r="E80" s="348"/>
      <c r="F80" s="348"/>
      <c r="G80" s="348"/>
      <c r="H80" s="348"/>
      <c r="I80" s="348"/>
      <c r="L80" s="25"/>
      <c r="M80" s="25"/>
      <c r="N80" s="25"/>
    </row>
    <row r="81" spans="1:14" ht="16" customHeight="1" x14ac:dyDescent="0.25">
      <c r="A81" s="22"/>
      <c r="B81" s="348"/>
      <c r="C81" s="348"/>
      <c r="D81" s="348"/>
      <c r="E81" s="348"/>
      <c r="F81" s="348"/>
      <c r="G81" s="348"/>
      <c r="H81" s="348"/>
      <c r="I81" s="348"/>
      <c r="L81" s="25"/>
      <c r="M81" s="25"/>
      <c r="N81" s="25"/>
    </row>
    <row r="82" spans="1:14" ht="16" customHeight="1" x14ac:dyDescent="0.25">
      <c r="A82" s="22"/>
      <c r="B82" s="348"/>
      <c r="C82" s="348"/>
      <c r="D82" s="348"/>
      <c r="E82" s="348"/>
      <c r="F82" s="348"/>
      <c r="G82" s="348"/>
      <c r="H82" s="348"/>
      <c r="I82" s="348"/>
      <c r="L82" s="25"/>
      <c r="M82" s="25"/>
      <c r="N82" s="25"/>
    </row>
    <row r="83" spans="1:14" ht="16" customHeight="1" x14ac:dyDescent="0.25">
      <c r="A83" s="22"/>
      <c r="B83" s="348"/>
      <c r="C83" s="348"/>
      <c r="D83" s="348"/>
      <c r="E83" s="348"/>
      <c r="F83" s="348"/>
      <c r="G83" s="348"/>
      <c r="H83" s="348"/>
      <c r="I83" s="348"/>
      <c r="L83" s="25"/>
      <c r="M83" s="25"/>
      <c r="N83" s="25"/>
    </row>
    <row r="84" spans="1:14" ht="16" customHeight="1" x14ac:dyDescent="0.25">
      <c r="A84" s="22"/>
      <c r="B84" s="348"/>
      <c r="C84" s="348"/>
      <c r="D84" s="348"/>
      <c r="E84" s="348"/>
      <c r="F84" s="348"/>
      <c r="G84" s="348"/>
      <c r="H84" s="348"/>
      <c r="I84" s="348"/>
      <c r="L84" s="25"/>
      <c r="M84" s="25"/>
      <c r="N84" s="25"/>
    </row>
    <row r="85" spans="1:14" ht="16" customHeight="1" x14ac:dyDescent="0.25">
      <c r="A85" s="22"/>
      <c r="B85" s="348"/>
      <c r="C85" s="348"/>
      <c r="D85" s="348"/>
      <c r="E85" s="348"/>
      <c r="F85" s="348"/>
      <c r="G85" s="348"/>
      <c r="H85" s="348"/>
      <c r="I85" s="348"/>
      <c r="L85" s="25"/>
      <c r="M85" s="25"/>
      <c r="N85" s="25"/>
    </row>
    <row r="86" spans="1:14" ht="16" customHeight="1" x14ac:dyDescent="0.25">
      <c r="A86" s="22"/>
      <c r="B86" s="348"/>
      <c r="C86" s="348"/>
      <c r="D86" s="348"/>
      <c r="E86" s="348"/>
      <c r="F86" s="348"/>
      <c r="G86" s="348"/>
      <c r="H86" s="348"/>
      <c r="I86" s="348"/>
      <c r="L86" s="25"/>
      <c r="M86" s="25"/>
      <c r="N86" s="25"/>
    </row>
    <row r="87" spans="1:14" ht="16" customHeight="1" x14ac:dyDescent="0.25">
      <c r="A87" s="22"/>
      <c r="B87" s="348"/>
      <c r="C87" s="348"/>
      <c r="D87" s="348"/>
      <c r="E87" s="348"/>
      <c r="F87" s="348"/>
      <c r="G87" s="348"/>
      <c r="H87" s="348"/>
      <c r="I87" s="348"/>
      <c r="L87" s="25"/>
      <c r="M87" s="25"/>
      <c r="N87" s="25"/>
    </row>
    <row r="88" spans="1:14" ht="16" customHeight="1" x14ac:dyDescent="0.25">
      <c r="A88" s="22"/>
      <c r="B88" s="348"/>
      <c r="C88" s="348"/>
      <c r="D88" s="348"/>
      <c r="E88" s="348"/>
      <c r="F88" s="348"/>
      <c r="G88" s="348"/>
      <c r="H88" s="348"/>
      <c r="I88" s="348"/>
      <c r="L88" s="25"/>
      <c r="M88" s="25"/>
      <c r="N88" s="25"/>
    </row>
    <row r="89" spans="1:14" ht="16" customHeight="1" x14ac:dyDescent="0.25">
      <c r="A89" s="22"/>
      <c r="B89" s="348"/>
      <c r="C89" s="348"/>
      <c r="D89" s="348"/>
      <c r="E89" s="348"/>
      <c r="F89" s="348"/>
      <c r="G89" s="348"/>
      <c r="H89" s="348"/>
      <c r="I89" s="348"/>
      <c r="L89" s="25"/>
      <c r="M89" s="25"/>
      <c r="N89" s="25"/>
    </row>
    <row r="90" spans="1:14" ht="16" customHeight="1" x14ac:dyDescent="0.25">
      <c r="A90" s="22"/>
      <c r="L90" s="25"/>
      <c r="M90" s="25"/>
      <c r="N90" s="25"/>
    </row>
    <row r="91" spans="1:14" ht="16" customHeight="1" x14ac:dyDescent="0.25">
      <c r="A91" s="22"/>
      <c r="B91" s="26" t="s">
        <v>238</v>
      </c>
      <c r="L91" s="25"/>
      <c r="M91" s="25"/>
      <c r="N91" s="25"/>
    </row>
    <row r="92" spans="1:14" ht="16" customHeight="1" x14ac:dyDescent="0.25">
      <c r="A92" s="22"/>
      <c r="B92" s="346" t="s">
        <v>341</v>
      </c>
      <c r="C92" s="348"/>
      <c r="D92" s="348"/>
      <c r="E92" s="348"/>
      <c r="F92" s="348"/>
      <c r="G92" s="348"/>
      <c r="H92" s="348"/>
      <c r="I92" s="348"/>
      <c r="L92" s="25"/>
      <c r="M92" s="25"/>
      <c r="N92" s="25"/>
    </row>
    <row r="93" spans="1:14" ht="16" customHeight="1" x14ac:dyDescent="0.25">
      <c r="A93" s="22"/>
      <c r="B93" s="348"/>
      <c r="C93" s="348"/>
      <c r="D93" s="348"/>
      <c r="E93" s="348"/>
      <c r="F93" s="348"/>
      <c r="G93" s="348"/>
      <c r="H93" s="348"/>
      <c r="I93" s="348"/>
      <c r="L93" s="25"/>
      <c r="M93" s="25"/>
      <c r="N93" s="25"/>
    </row>
    <row r="94" spans="1:14" ht="16" customHeight="1" x14ac:dyDescent="0.25">
      <c r="A94" s="22"/>
      <c r="B94" s="348"/>
      <c r="C94" s="348"/>
      <c r="D94" s="348"/>
      <c r="E94" s="348"/>
      <c r="F94" s="348"/>
      <c r="G94" s="348"/>
      <c r="H94" s="348"/>
      <c r="I94" s="348"/>
      <c r="L94" s="25"/>
      <c r="M94" s="25"/>
      <c r="N94" s="25"/>
    </row>
    <row r="95" spans="1:14" ht="16" customHeight="1" x14ac:dyDescent="0.25">
      <c r="A95" s="22"/>
      <c r="B95" s="348"/>
      <c r="C95" s="348"/>
      <c r="D95" s="348"/>
      <c r="E95" s="348"/>
      <c r="F95" s="348"/>
      <c r="G95" s="348"/>
      <c r="H95" s="348"/>
      <c r="I95" s="348"/>
      <c r="L95" s="25"/>
      <c r="M95" s="25"/>
      <c r="N95" s="25"/>
    </row>
    <row r="96" spans="1:14" ht="16" customHeight="1" x14ac:dyDescent="0.25">
      <c r="A96" s="22"/>
      <c r="B96" s="348"/>
      <c r="C96" s="348"/>
      <c r="D96" s="348"/>
      <c r="E96" s="348"/>
      <c r="F96" s="348"/>
      <c r="G96" s="348"/>
      <c r="H96" s="348"/>
      <c r="I96" s="348"/>
      <c r="L96" s="25"/>
      <c r="M96" s="25"/>
      <c r="N96" s="25"/>
    </row>
    <row r="97" spans="1:65" ht="19" x14ac:dyDescent="0.25">
      <c r="B97" s="26" t="s">
        <v>246</v>
      </c>
      <c r="L97" s="25"/>
      <c r="M97" s="25"/>
      <c r="N97" s="25"/>
    </row>
    <row r="98" spans="1:65" ht="16" customHeight="1" x14ac:dyDescent="0.2">
      <c r="A98" s="25"/>
      <c r="B98" s="346" t="s">
        <v>441</v>
      </c>
      <c r="C98" s="348"/>
      <c r="D98" s="348"/>
      <c r="E98" s="348"/>
      <c r="F98" s="348"/>
      <c r="G98" s="348"/>
      <c r="H98" s="348"/>
      <c r="I98" s="348"/>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row>
    <row r="99" spans="1:65" x14ac:dyDescent="0.2">
      <c r="A99" s="25"/>
      <c r="B99" s="348"/>
      <c r="C99" s="348"/>
      <c r="D99" s="348"/>
      <c r="E99" s="348"/>
      <c r="F99" s="348"/>
      <c r="G99" s="348"/>
      <c r="H99" s="348"/>
      <c r="I99" s="348"/>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row>
    <row r="100" spans="1:65" x14ac:dyDescent="0.2">
      <c r="A100" s="25"/>
      <c r="B100" s="348"/>
      <c r="C100" s="348"/>
      <c r="D100" s="348"/>
      <c r="E100" s="348"/>
      <c r="F100" s="348"/>
      <c r="G100" s="348"/>
      <c r="H100" s="348"/>
      <c r="I100" s="348"/>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row>
    <row r="101" spans="1:65" x14ac:dyDescent="0.2">
      <c r="A101" s="25"/>
      <c r="B101" s="348"/>
      <c r="C101" s="348"/>
      <c r="D101" s="348"/>
      <c r="E101" s="348"/>
      <c r="F101" s="348"/>
      <c r="G101" s="348"/>
      <c r="H101" s="348"/>
      <c r="I101" s="348"/>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row>
    <row r="102" spans="1:65" x14ac:dyDescent="0.2">
      <c r="A102" s="25"/>
      <c r="B102" s="348"/>
      <c r="C102" s="348"/>
      <c r="D102" s="348"/>
      <c r="E102" s="348"/>
      <c r="F102" s="348"/>
      <c r="G102" s="348"/>
      <c r="H102" s="348"/>
      <c r="I102" s="348"/>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row>
    <row r="103" spans="1:65" x14ac:dyDescent="0.2">
      <c r="A103" s="25"/>
      <c r="B103" s="348"/>
      <c r="C103" s="348"/>
      <c r="D103" s="348"/>
      <c r="E103" s="348"/>
      <c r="F103" s="348"/>
      <c r="G103" s="348"/>
      <c r="H103" s="348"/>
      <c r="I103" s="348"/>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row>
    <row r="104" spans="1:65" x14ac:dyDescent="0.2">
      <c r="A104" s="25"/>
      <c r="B104" s="348"/>
      <c r="C104" s="348"/>
      <c r="D104" s="348"/>
      <c r="E104" s="348"/>
      <c r="F104" s="348"/>
      <c r="G104" s="348"/>
      <c r="H104" s="348"/>
      <c r="I104" s="348"/>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row>
    <row r="105" spans="1:65" x14ac:dyDescent="0.2">
      <c r="A105" s="25"/>
      <c r="B105" s="348"/>
      <c r="C105" s="348"/>
      <c r="D105" s="348"/>
      <c r="E105" s="348"/>
      <c r="F105" s="348"/>
      <c r="G105" s="348"/>
      <c r="H105" s="348"/>
      <c r="I105" s="348"/>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row>
    <row r="106" spans="1:65" x14ac:dyDescent="0.2">
      <c r="A106" s="25"/>
      <c r="B106" s="123"/>
      <c r="C106" s="123"/>
      <c r="D106" s="123"/>
      <c r="E106" s="123"/>
      <c r="F106" s="123"/>
      <c r="G106" s="123"/>
      <c r="H106" s="123"/>
      <c r="I106" s="123"/>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row>
    <row r="107" spans="1:65" ht="19" x14ac:dyDescent="0.25">
      <c r="A107" s="25"/>
      <c r="B107" s="26" t="s">
        <v>243</v>
      </c>
      <c r="C107" s="123"/>
      <c r="D107" s="123"/>
      <c r="E107" s="123"/>
      <c r="F107" s="123"/>
      <c r="G107" s="123"/>
      <c r="H107" s="123"/>
      <c r="I107" s="123"/>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row>
    <row r="108" spans="1:65" x14ac:dyDescent="0.2">
      <c r="A108" s="25"/>
      <c r="B108" s="310" t="s">
        <v>234</v>
      </c>
      <c r="C108" s="123"/>
      <c r="D108" s="123"/>
      <c r="E108" s="123"/>
      <c r="F108" s="123"/>
      <c r="G108" s="123"/>
      <c r="H108" s="123"/>
      <c r="I108" s="123"/>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row>
    <row r="109" spans="1:65" x14ac:dyDescent="0.2">
      <c r="A109" s="25"/>
      <c r="B109" s="123"/>
      <c r="C109" s="123"/>
      <c r="D109" s="123"/>
      <c r="E109" s="123"/>
      <c r="F109" s="123"/>
      <c r="G109" s="123"/>
      <c r="H109" s="123"/>
      <c r="I109" s="123"/>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row>
    <row r="110" spans="1:65" x14ac:dyDescent="0.2">
      <c r="A110" s="25"/>
      <c r="B110" s="24" t="s">
        <v>242</v>
      </c>
      <c r="C110" s="123"/>
      <c r="D110" s="123"/>
      <c r="E110" s="123"/>
      <c r="G110" s="123"/>
      <c r="H110" s="123"/>
      <c r="I110" s="123"/>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row>
    <row r="111" spans="1:65" x14ac:dyDescent="0.2">
      <c r="A111" s="25"/>
      <c r="B111" s="123"/>
      <c r="C111" s="123"/>
      <c r="D111" s="123"/>
      <c r="E111" s="123"/>
      <c r="F111" s="123"/>
      <c r="G111" s="123"/>
      <c r="H111" s="123"/>
      <c r="I111" s="123"/>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row>
    <row r="112" spans="1:65" x14ac:dyDescent="0.2">
      <c r="A112" s="25"/>
      <c r="B112" s="123"/>
      <c r="C112" s="123"/>
      <c r="D112" s="123"/>
      <c r="E112" s="123"/>
      <c r="F112" s="123"/>
      <c r="G112" s="123"/>
      <c r="H112" s="123"/>
      <c r="I112" s="123"/>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row>
    <row r="113" spans="1:65" x14ac:dyDescent="0.2">
      <c r="A113" s="25"/>
      <c r="B113" s="123"/>
      <c r="C113" s="123"/>
      <c r="D113" s="123"/>
      <c r="E113" s="123"/>
      <c r="F113" s="123"/>
      <c r="G113" s="123"/>
      <c r="H113" s="123"/>
      <c r="I113" s="123"/>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row>
    <row r="114" spans="1:65" x14ac:dyDescent="0.2">
      <c r="A114" s="25"/>
      <c r="B114" s="123"/>
      <c r="C114" s="123"/>
      <c r="D114" s="123"/>
      <c r="E114" s="123"/>
      <c r="F114" s="123"/>
      <c r="G114" s="123"/>
      <c r="H114" s="123"/>
      <c r="I114" s="123"/>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row>
    <row r="115" spans="1:65" x14ac:dyDescent="0.2">
      <c r="A115" s="25"/>
      <c r="B115" s="123"/>
      <c r="C115" s="123"/>
      <c r="D115" s="123"/>
      <c r="E115" s="123"/>
      <c r="F115" s="123"/>
      <c r="G115" s="123"/>
      <c r="H115" s="123"/>
      <c r="I115" s="123"/>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row>
    <row r="116" spans="1:65" x14ac:dyDescent="0.2">
      <c r="A116" s="25"/>
      <c r="B116" s="123"/>
      <c r="C116" s="123"/>
      <c r="D116" s="123"/>
      <c r="E116" s="123"/>
      <c r="F116" s="123"/>
      <c r="G116" s="123"/>
      <c r="H116" s="123"/>
      <c r="I116" s="123"/>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row>
    <row r="117" spans="1:65" x14ac:dyDescent="0.2">
      <c r="A117" s="25"/>
      <c r="B117" s="24" t="s">
        <v>229</v>
      </c>
      <c r="C117" s="123"/>
      <c r="D117" s="123"/>
      <c r="E117" s="123"/>
      <c r="F117" s="123"/>
      <c r="G117" s="123"/>
      <c r="H117" s="123"/>
      <c r="I117" s="123"/>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row>
    <row r="118" spans="1:65" x14ac:dyDescent="0.2">
      <c r="A118" s="25"/>
      <c r="B118" s="123"/>
      <c r="C118" s="123"/>
      <c r="D118" s="123"/>
      <c r="E118" s="123"/>
      <c r="F118" s="123"/>
      <c r="G118" s="123"/>
      <c r="H118" s="123"/>
      <c r="I118" s="123"/>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row>
    <row r="119" spans="1:65" x14ac:dyDescent="0.2">
      <c r="A119" s="25"/>
      <c r="B119" s="123"/>
      <c r="C119" s="123"/>
      <c r="D119" s="123"/>
      <c r="E119" s="123"/>
      <c r="F119" s="123"/>
      <c r="G119" s="123"/>
      <c r="H119" s="123"/>
      <c r="I119" s="123"/>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row>
    <row r="120" spans="1:65" x14ac:dyDescent="0.2">
      <c r="A120" s="25"/>
      <c r="B120" s="123"/>
      <c r="C120" s="123"/>
      <c r="D120" s="123"/>
      <c r="E120" s="123"/>
      <c r="F120" s="123"/>
      <c r="G120" s="123"/>
      <c r="H120" s="123"/>
      <c r="I120" s="123"/>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row>
    <row r="121" spans="1:65" x14ac:dyDescent="0.2">
      <c r="A121" s="25"/>
      <c r="B121" s="123"/>
      <c r="C121" s="123"/>
      <c r="D121" s="123"/>
      <c r="E121" s="123"/>
      <c r="F121" s="123"/>
      <c r="G121" s="123"/>
      <c r="H121" s="123"/>
      <c r="I121" s="123"/>
      <c r="J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row>
    <row r="122" spans="1:65" x14ac:dyDescent="0.2">
      <c r="A122" s="25"/>
      <c r="B122" s="123"/>
      <c r="C122" s="123"/>
      <c r="D122" s="123"/>
      <c r="E122" s="123"/>
      <c r="F122" s="123"/>
      <c r="G122" s="123"/>
      <c r="H122" s="123"/>
      <c r="I122" s="123"/>
      <c r="J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row>
    <row r="123" spans="1:65" x14ac:dyDescent="0.2">
      <c r="A123" s="25"/>
      <c r="B123" s="123"/>
      <c r="C123" s="123"/>
      <c r="D123" s="123"/>
      <c r="E123" s="123"/>
      <c r="F123" s="123"/>
      <c r="G123" s="123"/>
      <c r="H123" s="123"/>
      <c r="I123" s="123"/>
      <c r="J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row>
    <row r="124" spans="1:65" x14ac:dyDescent="0.2">
      <c r="A124" s="25"/>
      <c r="B124" s="123"/>
      <c r="C124" s="123"/>
      <c r="D124" s="123"/>
      <c r="E124" s="123"/>
      <c r="F124" s="123"/>
      <c r="G124" s="123"/>
      <c r="H124" s="123"/>
      <c r="I124" s="123"/>
      <c r="J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row>
    <row r="125" spans="1:65" x14ac:dyDescent="0.2">
      <c r="A125" s="25"/>
      <c r="B125" s="123"/>
      <c r="C125" s="123"/>
      <c r="D125" s="123"/>
      <c r="E125" s="123"/>
      <c r="F125" s="123"/>
      <c r="G125" s="100" t="s">
        <v>245</v>
      </c>
      <c r="H125" s="123"/>
      <c r="I125" s="123"/>
      <c r="J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row>
    <row r="126" spans="1:65" x14ac:dyDescent="0.2">
      <c r="A126" s="25"/>
      <c r="B126" s="123"/>
      <c r="C126" s="123"/>
      <c r="D126" s="123"/>
      <c r="E126" s="123"/>
      <c r="F126" s="123"/>
      <c r="G126" s="123"/>
      <c r="H126" s="123"/>
      <c r="I126" s="123"/>
      <c r="J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row>
    <row r="127" spans="1:65" x14ac:dyDescent="0.2">
      <c r="A127" s="25"/>
      <c r="B127" s="305" t="s">
        <v>244</v>
      </c>
      <c r="C127" s="123"/>
      <c r="D127" s="123"/>
      <c r="E127" s="123"/>
      <c r="F127" s="123"/>
      <c r="I127" s="123"/>
      <c r="J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row>
    <row r="128" spans="1:65" x14ac:dyDescent="0.2">
      <c r="A128" s="25"/>
      <c r="B128" s="123"/>
      <c r="C128" s="123"/>
      <c r="D128" s="123"/>
      <c r="E128" s="123"/>
      <c r="F128" s="123"/>
      <c r="G128" s="123"/>
      <c r="H128" s="123"/>
      <c r="I128" s="123"/>
      <c r="J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row>
    <row r="129" spans="1:65" x14ac:dyDescent="0.2">
      <c r="A129" s="25"/>
      <c r="B129" s="123"/>
      <c r="C129" s="123"/>
      <c r="D129" s="123"/>
      <c r="E129" s="123"/>
      <c r="F129" s="123"/>
      <c r="G129" s="123"/>
      <c r="H129" s="123"/>
      <c r="I129" s="123"/>
      <c r="J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row>
    <row r="130" spans="1:65" x14ac:dyDescent="0.2">
      <c r="A130" s="25"/>
      <c r="B130" s="123"/>
      <c r="C130" s="123"/>
      <c r="D130" s="123"/>
      <c r="E130" s="123"/>
      <c r="F130" s="123"/>
      <c r="G130" s="123"/>
      <c r="H130" s="123"/>
      <c r="I130" s="123"/>
      <c r="J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row>
    <row r="131" spans="1:65" x14ac:dyDescent="0.2">
      <c r="A131" s="25"/>
      <c r="B131" s="123"/>
      <c r="C131" s="123"/>
      <c r="D131" s="123"/>
      <c r="E131" s="123"/>
      <c r="F131" s="123"/>
      <c r="G131" s="123"/>
      <c r="H131" s="123"/>
      <c r="I131" s="123"/>
      <c r="J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row>
    <row r="132" spans="1:65" ht="19" x14ac:dyDescent="0.25">
      <c r="A132" s="22" t="s">
        <v>12</v>
      </c>
      <c r="B132" s="26"/>
    </row>
    <row r="133" spans="1:65" ht="16" customHeight="1" x14ac:dyDescent="0.2">
      <c r="A133" s="25"/>
      <c r="B133" s="346" t="s">
        <v>236</v>
      </c>
      <c r="C133" s="348"/>
      <c r="D133" s="378" t="s">
        <v>237</v>
      </c>
      <c r="E133" s="379"/>
      <c r="F133" s="379"/>
      <c r="G133" s="379"/>
      <c r="H133" s="379"/>
      <c r="I133" s="379"/>
      <c r="J133" s="379"/>
    </row>
    <row r="134" spans="1:65" x14ac:dyDescent="0.2">
      <c r="A134" s="25"/>
      <c r="B134" s="348"/>
      <c r="C134" s="348"/>
      <c r="D134" s="379"/>
      <c r="E134" s="379"/>
      <c r="F134" s="379"/>
      <c r="G134" s="379"/>
      <c r="H134" s="379"/>
      <c r="I134" s="379"/>
      <c r="J134" s="379"/>
    </row>
    <row r="135" spans="1:65" x14ac:dyDescent="0.2">
      <c r="A135" s="25"/>
      <c r="B135" s="348"/>
      <c r="C135" s="348"/>
      <c r="D135" s="379"/>
      <c r="E135" s="379"/>
      <c r="F135" s="379"/>
      <c r="G135" s="379"/>
      <c r="H135" s="379"/>
      <c r="I135" s="379"/>
      <c r="J135" s="379"/>
    </row>
    <row r="136" spans="1:65" x14ac:dyDescent="0.2">
      <c r="A136" s="25"/>
      <c r="B136" s="123"/>
      <c r="C136" s="123"/>
      <c r="D136" s="123"/>
      <c r="E136" s="123"/>
      <c r="F136" s="123"/>
      <c r="G136" s="123"/>
      <c r="H136" s="123"/>
      <c r="I136" s="123"/>
      <c r="J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row>
    <row r="137" spans="1:65" ht="19" x14ac:dyDescent="0.25">
      <c r="A137" s="22" t="s">
        <v>13</v>
      </c>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row>
    <row r="138" spans="1:65" x14ac:dyDescent="0.2">
      <c r="A138" s="25"/>
      <c r="B138" s="346" t="s">
        <v>235</v>
      </c>
      <c r="C138" s="348"/>
      <c r="D138" s="348"/>
      <c r="E138" s="348"/>
      <c r="F138" s="348"/>
      <c r="G138" s="348"/>
      <c r="H138" s="348"/>
      <c r="I138" s="348"/>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row>
    <row r="139" spans="1:65" x14ac:dyDescent="0.2">
      <c r="A139" s="25"/>
      <c r="B139" s="348"/>
      <c r="C139" s="348"/>
      <c r="D139" s="348"/>
      <c r="E139" s="348"/>
      <c r="F139" s="348"/>
      <c r="G139" s="348"/>
      <c r="H139" s="348"/>
      <c r="I139" s="348"/>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row>
    <row r="140" spans="1:65" x14ac:dyDescent="0.2">
      <c r="A140" s="25"/>
      <c r="B140" s="348"/>
      <c r="C140" s="348"/>
      <c r="D140" s="348"/>
      <c r="E140" s="348"/>
      <c r="F140" s="348"/>
      <c r="G140" s="348"/>
      <c r="H140" s="348"/>
      <c r="I140" s="348"/>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row>
    <row r="141" spans="1:65" x14ac:dyDescent="0.2">
      <c r="A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row>
    <row r="142" spans="1:65" ht="19" x14ac:dyDescent="0.25">
      <c r="A142" s="22" t="s">
        <v>1</v>
      </c>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row>
    <row r="143" spans="1:65" x14ac:dyDescent="0.2">
      <c r="A143" s="25"/>
      <c r="B143" s="100" t="s">
        <v>215</v>
      </c>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row>
    <row r="144" spans="1:65" x14ac:dyDescent="0.2">
      <c r="A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row>
    <row r="145" spans="1:65" x14ac:dyDescent="0.2">
      <c r="A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row>
  </sheetData>
  <mergeCells count="20">
    <mergeCell ref="B4:I4"/>
    <mergeCell ref="C17:C18"/>
    <mergeCell ref="D17:D18"/>
    <mergeCell ref="F17:F18"/>
    <mergeCell ref="B76:I89"/>
    <mergeCell ref="B34:I36"/>
    <mergeCell ref="B46:I48"/>
    <mergeCell ref="B63:I73"/>
    <mergeCell ref="G38:H38"/>
    <mergeCell ref="B29:I30"/>
    <mergeCell ref="G17:G18"/>
    <mergeCell ref="B6:B7"/>
    <mergeCell ref="C6:G6"/>
    <mergeCell ref="B14:I15"/>
    <mergeCell ref="H6:H7"/>
    <mergeCell ref="B138:I140"/>
    <mergeCell ref="B98:I105"/>
    <mergeCell ref="B92:I96"/>
    <mergeCell ref="B133:C135"/>
    <mergeCell ref="D133:J135"/>
  </mergeCells>
  <phoneticPr fontId="34" type="noConversion"/>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EEA4-F261-D340-93D7-D27361079F2B}">
  <dimension ref="A1:BM89"/>
  <sheetViews>
    <sheetView showGridLines="0" zoomScale="120" zoomScaleNormal="120" workbookViewId="0"/>
  </sheetViews>
  <sheetFormatPr baseColWidth="10" defaultColWidth="10.83203125" defaultRowHeight="16" x14ac:dyDescent="0.2"/>
  <cols>
    <col min="1" max="1" width="10.83203125" style="15"/>
    <col min="2" max="3" width="10.83203125" style="15" customWidth="1"/>
    <col min="4" max="5" width="10.83203125" style="15"/>
    <col min="6" max="7" width="10.83203125" style="15" customWidth="1"/>
    <col min="8" max="9" width="10.83203125" style="15"/>
    <col min="10" max="10" width="10.83203125" style="15" customWidth="1"/>
    <col min="11" max="16384" width="10.83203125" style="15"/>
  </cols>
  <sheetData>
    <row r="1" spans="1:49" ht="19" x14ac:dyDescent="0.25">
      <c r="A1" s="11" t="s">
        <v>186</v>
      </c>
      <c r="B1" s="79"/>
      <c r="C1" s="79"/>
      <c r="D1" s="79"/>
      <c r="E1" s="79"/>
      <c r="F1" s="79"/>
      <c r="G1" s="79"/>
      <c r="H1" s="79"/>
      <c r="I1" s="79"/>
      <c r="J1" s="128"/>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2">
      <c r="A2" s="129"/>
      <c r="B2" s="79"/>
      <c r="C2" s="79"/>
      <c r="D2" s="79"/>
      <c r="E2" s="79"/>
      <c r="F2" s="79"/>
      <c r="G2" s="79"/>
      <c r="H2" s="79"/>
      <c r="I2" s="79"/>
      <c r="J2" s="128"/>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2">
      <c r="A3" s="130"/>
      <c r="B3" s="16" t="s">
        <v>11</v>
      </c>
      <c r="C3" s="79"/>
      <c r="D3" s="79"/>
      <c r="E3" s="79"/>
      <c r="F3" s="79"/>
      <c r="G3" s="79"/>
      <c r="H3" s="79"/>
      <c r="I3" s="79"/>
      <c r="J3" s="128"/>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ht="16" customHeight="1" x14ac:dyDescent="0.2">
      <c r="A4" s="130"/>
      <c r="B4" s="362" t="s">
        <v>187</v>
      </c>
      <c r="C4" s="363"/>
      <c r="D4" s="363"/>
      <c r="E4" s="363"/>
      <c r="F4" s="363"/>
      <c r="G4" s="363"/>
      <c r="H4" s="363"/>
      <c r="I4" s="363"/>
      <c r="J4" s="128"/>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x14ac:dyDescent="0.2">
      <c r="A5" s="130"/>
      <c r="B5" s="363"/>
      <c r="C5" s="363"/>
      <c r="D5" s="363"/>
      <c r="E5" s="363"/>
      <c r="F5" s="363"/>
      <c r="G5" s="363"/>
      <c r="H5" s="363"/>
      <c r="I5" s="363"/>
      <c r="J5" s="128"/>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49" x14ac:dyDescent="0.2">
      <c r="A6" s="130"/>
      <c r="B6" s="79"/>
      <c r="C6" s="80"/>
      <c r="D6" s="80"/>
      <c r="E6" s="80"/>
      <c r="F6" s="79"/>
      <c r="G6" s="79"/>
      <c r="H6" s="79"/>
      <c r="I6" s="79"/>
      <c r="J6" s="128"/>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1:49" ht="16" customHeight="1" x14ac:dyDescent="0.2">
      <c r="A7" s="130"/>
      <c r="B7" s="79"/>
      <c r="C7" s="392" t="s">
        <v>164</v>
      </c>
      <c r="D7" s="376" t="s">
        <v>136</v>
      </c>
      <c r="E7" s="392" t="s">
        <v>165</v>
      </c>
      <c r="F7" s="79"/>
      <c r="G7" s="79"/>
      <c r="H7" s="79"/>
      <c r="I7" s="79"/>
      <c r="J7" s="128"/>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row>
    <row r="8" spans="1:49" x14ac:dyDescent="0.2">
      <c r="A8" s="130"/>
      <c r="B8" s="79"/>
      <c r="C8" s="366"/>
      <c r="D8" s="375"/>
      <c r="E8" s="366"/>
      <c r="F8" s="79"/>
      <c r="G8" s="79"/>
      <c r="H8" s="79"/>
      <c r="I8" s="79"/>
      <c r="J8" s="128"/>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row>
    <row r="9" spans="1:49" x14ac:dyDescent="0.2">
      <c r="A9" s="130"/>
      <c r="B9" s="79"/>
      <c r="C9" s="111">
        <v>5</v>
      </c>
      <c r="D9" s="110">
        <v>53546</v>
      </c>
      <c r="E9" s="110">
        <v>37157</v>
      </c>
      <c r="F9" s="79"/>
      <c r="G9" s="79"/>
      <c r="H9" s="79"/>
      <c r="I9" s="79"/>
      <c r="J9" s="128"/>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row>
    <row r="10" spans="1:49" x14ac:dyDescent="0.2">
      <c r="A10" s="130"/>
      <c r="B10" s="79"/>
      <c r="C10" s="131">
        <v>6</v>
      </c>
      <c r="D10" s="127">
        <v>58004</v>
      </c>
      <c r="E10" s="127">
        <v>37207</v>
      </c>
      <c r="F10" s="79"/>
      <c r="G10" s="79"/>
      <c r="H10" s="79"/>
      <c r="I10" s="79"/>
      <c r="J10" s="128"/>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row>
    <row r="11" spans="1:49" x14ac:dyDescent="0.2">
      <c r="A11" s="130"/>
      <c r="B11" s="79"/>
      <c r="C11" s="80"/>
      <c r="D11" s="80"/>
      <c r="E11" s="79"/>
      <c r="F11" s="79"/>
      <c r="G11" s="79"/>
      <c r="H11" s="79"/>
      <c r="I11" s="79"/>
      <c r="J11" s="128"/>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row>
    <row r="12" spans="1:49" ht="18" x14ac:dyDescent="0.25">
      <c r="A12" s="130"/>
      <c r="B12" s="132"/>
      <c r="C12" s="111"/>
      <c r="D12" s="393" t="s">
        <v>166</v>
      </c>
      <c r="E12" s="394"/>
      <c r="F12" s="395" t="s">
        <v>142</v>
      </c>
      <c r="G12" s="396"/>
      <c r="H12" s="111"/>
      <c r="I12" s="111"/>
      <c r="J12" s="128"/>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row>
    <row r="13" spans="1:49" ht="18" x14ac:dyDescent="0.25">
      <c r="A13" s="130"/>
      <c r="B13" s="132"/>
      <c r="C13" s="131" t="s">
        <v>167</v>
      </c>
      <c r="D13" s="90" t="s">
        <v>168</v>
      </c>
      <c r="E13" s="90" t="s">
        <v>169</v>
      </c>
      <c r="F13" s="97" t="s">
        <v>170</v>
      </c>
      <c r="G13" s="98" t="s">
        <v>171</v>
      </c>
      <c r="H13" s="114" t="s">
        <v>172</v>
      </c>
      <c r="I13" s="131" t="s">
        <v>173</v>
      </c>
      <c r="J13" s="128"/>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row>
    <row r="14" spans="1:49" x14ac:dyDescent="0.2">
      <c r="A14" s="130"/>
      <c r="B14" s="132"/>
      <c r="C14" s="111">
        <v>1</v>
      </c>
      <c r="D14" s="135">
        <v>-0.1784</v>
      </c>
      <c r="E14" s="135">
        <v>7.5700000000000003E-2</v>
      </c>
      <c r="F14" s="136">
        <v>-3.5900000000000001E-2</v>
      </c>
      <c r="G14" s="137">
        <v>-0.26140000000000002</v>
      </c>
      <c r="H14" s="135">
        <v>-0.3014</v>
      </c>
      <c r="I14" s="135">
        <v>4.9599999999999998E-2</v>
      </c>
      <c r="J14" s="128"/>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49" x14ac:dyDescent="0.2">
      <c r="A15" s="130"/>
      <c r="B15" s="132"/>
      <c r="C15" s="131">
        <v>2</v>
      </c>
      <c r="D15" s="138">
        <v>-0.14560000000000001</v>
      </c>
      <c r="E15" s="138">
        <v>6.4000000000000001E-2</v>
      </c>
      <c r="F15" s="139">
        <v>-0.1047</v>
      </c>
      <c r="G15" s="140">
        <v>-0.13070000000000001</v>
      </c>
      <c r="H15" s="138">
        <v>-0.31390000000000001</v>
      </c>
      <c r="I15" s="138">
        <v>7.51E-2</v>
      </c>
      <c r="J15" s="128"/>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49" x14ac:dyDescent="0.2">
      <c r="A16" s="130"/>
      <c r="B16" s="79"/>
      <c r="C16" s="80"/>
      <c r="D16" s="80"/>
      <c r="E16" s="80"/>
      <c r="F16" s="79"/>
      <c r="G16" s="79"/>
      <c r="H16" s="79"/>
      <c r="I16" s="79"/>
      <c r="J16" s="128"/>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50" x14ac:dyDescent="0.2">
      <c r="A17" s="130"/>
      <c r="B17" s="79"/>
      <c r="C17" s="80"/>
      <c r="D17" s="80"/>
      <c r="E17" s="80"/>
      <c r="F17" s="79"/>
      <c r="G17" s="79"/>
      <c r="H17" s="79"/>
      <c r="I17" s="79"/>
      <c r="J17" s="128"/>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50" x14ac:dyDescent="0.2">
      <c r="A18" s="130"/>
      <c r="B18" s="367" t="s">
        <v>174</v>
      </c>
      <c r="C18" s="367"/>
      <c r="D18" s="367"/>
      <c r="E18" s="367"/>
      <c r="F18" s="367"/>
      <c r="G18" s="367"/>
      <c r="H18" s="367"/>
      <c r="I18" s="367"/>
      <c r="J18" s="128"/>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50" x14ac:dyDescent="0.2">
      <c r="A19" s="130"/>
      <c r="B19" s="367"/>
      <c r="C19" s="367"/>
      <c r="D19" s="367"/>
      <c r="E19" s="367"/>
      <c r="F19" s="367"/>
      <c r="G19" s="367"/>
      <c r="H19" s="367"/>
      <c r="I19" s="367"/>
      <c r="J19" s="128"/>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50" ht="17" thickBot="1" x14ac:dyDescent="0.25">
      <c r="A20" s="141"/>
      <c r="B20" s="142"/>
      <c r="C20" s="143"/>
      <c r="D20" s="143"/>
      <c r="E20" s="143"/>
      <c r="F20" s="142"/>
      <c r="G20" s="142"/>
      <c r="H20" s="142"/>
      <c r="I20" s="142"/>
      <c r="J20" s="14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50" x14ac:dyDescent="0.2">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50" ht="19" x14ac:dyDescent="0.25">
      <c r="A22" s="22" t="s">
        <v>8</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50" ht="16" customHeight="1" x14ac:dyDescent="0.2">
      <c r="A23" s="1" t="s">
        <v>7</v>
      </c>
      <c r="B23" s="364" t="s">
        <v>443</v>
      </c>
      <c r="C23" s="364"/>
      <c r="D23" s="364"/>
      <c r="E23" s="364"/>
      <c r="F23" s="364"/>
      <c r="G23" s="364"/>
      <c r="H23" s="364"/>
      <c r="I23" s="36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50" ht="19" customHeight="1" x14ac:dyDescent="0.2">
      <c r="A24" s="1"/>
      <c r="B24" s="364"/>
      <c r="C24" s="364"/>
      <c r="D24" s="364"/>
      <c r="E24" s="364"/>
      <c r="F24" s="364"/>
      <c r="G24" s="364"/>
      <c r="H24" s="364"/>
      <c r="I24" s="36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50" ht="16" customHeight="1" x14ac:dyDescent="0.2">
      <c r="A25" s="1"/>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50" ht="16" customHeight="1" x14ac:dyDescent="0.2">
      <c r="A26" s="1"/>
      <c r="B26" s="14"/>
      <c r="C26" s="14"/>
      <c r="D26" s="14"/>
      <c r="E26" s="14"/>
      <c r="F26" s="3"/>
      <c r="G26" s="3"/>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50" ht="16" customHeight="1" x14ac:dyDescent="0.2">
      <c r="A27" s="1"/>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50" ht="16" customHeight="1" x14ac:dyDescent="0.2">
      <c r="A28" s="1"/>
      <c r="B28" s="305" t="s">
        <v>185</v>
      </c>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50" ht="16" customHeight="1" x14ac:dyDescent="0.2">
      <c r="A29" s="1"/>
      <c r="B29" s="14"/>
      <c r="C29" s="14"/>
      <c r="D29" s="14"/>
      <c r="E29" s="14"/>
      <c r="F29" s="14"/>
      <c r="G29" s="115"/>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50" ht="16" customHeight="1" x14ac:dyDescent="0.25">
      <c r="A30" s="1"/>
      <c r="B30" s="116" t="s">
        <v>175</v>
      </c>
      <c r="C30" s="119" t="s">
        <v>137</v>
      </c>
      <c r="D30" s="116" t="s">
        <v>184</v>
      </c>
      <c r="E30" s="116" t="s">
        <v>172</v>
      </c>
      <c r="F30" s="116" t="s">
        <v>182</v>
      </c>
      <c r="G30" s="116" t="s">
        <v>168</v>
      </c>
      <c r="H30" s="119" t="s">
        <v>173</v>
      </c>
      <c r="I30" s="116" t="s">
        <v>176</v>
      </c>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row>
    <row r="31" spans="1:50" ht="16" customHeight="1" x14ac:dyDescent="0.2">
      <c r="A31" s="1"/>
      <c r="B31" s="53">
        <v>1</v>
      </c>
      <c r="C31" s="52">
        <v>5</v>
      </c>
      <c r="D31" s="147">
        <f>LN(VLOOKUP(C31,$C$9:$D$10,2,FALSE))</f>
        <v>10.888296376540683</v>
      </c>
      <c r="E31" s="146">
        <f>H14</f>
        <v>-0.3014</v>
      </c>
      <c r="F31" s="146">
        <f>F14</f>
        <v>-3.5900000000000001E-2</v>
      </c>
      <c r="G31" s="146">
        <f>D14</f>
        <v>-0.1784</v>
      </c>
      <c r="H31" s="102">
        <f>I14</f>
        <v>4.9599999999999998E-2</v>
      </c>
      <c r="I31" s="106">
        <f>D31+E31+F31+G31*(1-H31)^(C31-1)</f>
        <v>10.405443577811534</v>
      </c>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spans="1:50" ht="16" customHeight="1" x14ac:dyDescent="0.2">
      <c r="A32" s="1"/>
      <c r="B32" s="53">
        <v>1</v>
      </c>
      <c r="C32" s="52">
        <v>6</v>
      </c>
      <c r="D32" s="147">
        <f t="shared" ref="D32:D34" si="0">LN(VLOOKUP(C32,$C$9:$D$10,2,FALSE))</f>
        <v>10.968267252667786</v>
      </c>
      <c r="E32" s="146">
        <f>H14</f>
        <v>-0.3014</v>
      </c>
      <c r="F32" s="146">
        <f>G14</f>
        <v>-0.26140000000000002</v>
      </c>
      <c r="G32" s="146">
        <f>D14</f>
        <v>-0.1784</v>
      </c>
      <c r="H32" s="102">
        <f>I14</f>
        <v>4.9599999999999998E-2</v>
      </c>
      <c r="I32" s="106">
        <f>D32+E32+F32+G32*(1-H32)^(C32-1)</f>
        <v>10.267133872755601</v>
      </c>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row>
    <row r="33" spans="1:50" ht="16" customHeight="1" x14ac:dyDescent="0.2">
      <c r="A33" s="1"/>
      <c r="B33" s="53">
        <v>2</v>
      </c>
      <c r="C33" s="52">
        <v>5</v>
      </c>
      <c r="D33" s="147">
        <f t="shared" si="0"/>
        <v>10.888296376540683</v>
      </c>
      <c r="E33" s="146">
        <f>H15</f>
        <v>-0.31390000000000001</v>
      </c>
      <c r="F33" s="146">
        <f>F15</f>
        <v>-0.1047</v>
      </c>
      <c r="G33" s="146">
        <f>D15</f>
        <v>-0.14560000000000001</v>
      </c>
      <c r="H33" s="102">
        <f>I15</f>
        <v>7.51E-2</v>
      </c>
      <c r="I33" s="106">
        <f t="shared" ref="I33:I34" si="1">D33+E33+F33+G33*(1-H33)^(C33-1)</f>
        <v>10.363149556421483</v>
      </c>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row>
    <row r="34" spans="1:50" ht="16" customHeight="1" x14ac:dyDescent="0.2">
      <c r="A34" s="1"/>
      <c r="B34" s="53">
        <v>2</v>
      </c>
      <c r="C34" s="52">
        <v>6</v>
      </c>
      <c r="D34" s="147">
        <f t="shared" si="0"/>
        <v>10.968267252667786</v>
      </c>
      <c r="E34" s="146">
        <f>H15</f>
        <v>-0.31390000000000001</v>
      </c>
      <c r="F34" s="146">
        <f>G15</f>
        <v>-0.13070000000000001</v>
      </c>
      <c r="G34" s="146">
        <f>D15</f>
        <v>-0.14560000000000001</v>
      </c>
      <c r="H34" s="102">
        <f>I15</f>
        <v>7.51E-2</v>
      </c>
      <c r="I34" s="106">
        <f t="shared" si="1"/>
        <v>10.425122098739537</v>
      </c>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row>
    <row r="35" spans="1:50" ht="16" customHeight="1" x14ac:dyDescent="0.2">
      <c r="A35" s="1"/>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50" ht="16" customHeight="1" x14ac:dyDescent="0.2">
      <c r="A36" s="1" t="s">
        <v>6</v>
      </c>
      <c r="B36" s="364" t="s">
        <v>445</v>
      </c>
      <c r="C36" s="364"/>
      <c r="D36" s="364"/>
      <c r="E36" s="364"/>
      <c r="F36" s="364"/>
      <c r="G36" s="364"/>
      <c r="H36" s="364"/>
      <c r="I36" s="36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50" ht="19" customHeight="1" x14ac:dyDescent="0.2">
      <c r="A37" s="1"/>
      <c r="B37" s="364"/>
      <c r="C37" s="364"/>
      <c r="D37" s="364"/>
      <c r="E37" s="364"/>
      <c r="F37" s="364"/>
      <c r="G37" s="364"/>
      <c r="H37" s="364"/>
      <c r="I37" s="36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50" ht="16" customHeight="1" x14ac:dyDescent="0.2">
      <c r="A38" s="1"/>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50" ht="16" customHeight="1" x14ac:dyDescent="0.2">
      <c r="A39" s="1"/>
      <c r="B39" s="14"/>
      <c r="C39" s="14"/>
      <c r="D39" s="14"/>
      <c r="E39" s="14"/>
      <c r="F39" s="3"/>
      <c r="G39" s="3"/>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50" ht="16" customHeight="1" x14ac:dyDescent="0.2">
      <c r="A40" s="1"/>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50" ht="16" customHeight="1" x14ac:dyDescent="0.2">
      <c r="A41" s="1"/>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50" ht="16" customHeight="1" x14ac:dyDescent="0.2">
      <c r="A42" s="1"/>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50" ht="16" customHeight="1" thickBot="1" x14ac:dyDescent="0.25">
      <c r="A43" s="1"/>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50" ht="16" customHeight="1" x14ac:dyDescent="0.2">
      <c r="A44" s="1"/>
      <c r="B44" s="3"/>
      <c r="D44" s="350" t="s">
        <v>180</v>
      </c>
      <c r="E44" s="390"/>
      <c r="F44" s="148" t="s">
        <v>179</v>
      </c>
      <c r="G44" s="151" t="s">
        <v>178</v>
      </c>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50" ht="16" customHeight="1" x14ac:dyDescent="0.25">
      <c r="A45" s="1"/>
      <c r="B45" s="116" t="s">
        <v>175</v>
      </c>
      <c r="C45" s="119" t="s">
        <v>137</v>
      </c>
      <c r="D45" s="116" t="s">
        <v>176</v>
      </c>
      <c r="E45" s="119" t="s">
        <v>169</v>
      </c>
      <c r="F45" s="149" t="s">
        <v>177</v>
      </c>
      <c r="G45" s="152" t="s">
        <v>181</v>
      </c>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50" ht="16" customHeight="1" x14ac:dyDescent="0.2">
      <c r="A46" s="1"/>
      <c r="B46" s="53">
        <v>1</v>
      </c>
      <c r="C46" s="52">
        <v>5</v>
      </c>
      <c r="D46" s="108">
        <f>I31</f>
        <v>10.405443577811534</v>
      </c>
      <c r="E46" s="102">
        <f>E14</f>
        <v>7.5700000000000003E-2</v>
      </c>
      <c r="F46" s="150">
        <f>E9</f>
        <v>37157</v>
      </c>
      <c r="G46" s="153">
        <f>(LN(F46)-D46)/E46</f>
        <v>1.5517025084198113</v>
      </c>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50" ht="16" customHeight="1" x14ac:dyDescent="0.2">
      <c r="A47" s="1"/>
      <c r="B47" s="53">
        <v>1</v>
      </c>
      <c r="C47" s="52">
        <v>6</v>
      </c>
      <c r="D47" s="108">
        <f>I32</f>
        <v>10.267133872755601</v>
      </c>
      <c r="E47" s="102">
        <f>E14</f>
        <v>7.5700000000000003E-2</v>
      </c>
      <c r="F47" s="150">
        <f>E10</f>
        <v>37207</v>
      </c>
      <c r="G47" s="153">
        <f t="shared" ref="G47:G49" si="2">(LN(F47)-D47)/E47</f>
        <v>3.3965432212220672</v>
      </c>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50" ht="16" customHeight="1" x14ac:dyDescent="0.2">
      <c r="A48" s="1"/>
      <c r="B48" s="53">
        <v>2</v>
      </c>
      <c r="C48" s="52">
        <v>5</v>
      </c>
      <c r="D48" s="108">
        <f t="shared" ref="D48:D49" si="3">I33</f>
        <v>10.363149556421483</v>
      </c>
      <c r="E48" s="102">
        <f>E15</f>
        <v>6.4000000000000001E-2</v>
      </c>
      <c r="F48" s="150">
        <f>E9</f>
        <v>37157</v>
      </c>
      <c r="G48" s="153">
        <f t="shared" si="2"/>
        <v>2.4962172074598499</v>
      </c>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65" ht="16" customHeight="1" thickBot="1" x14ac:dyDescent="0.25">
      <c r="A49" s="1"/>
      <c r="B49" s="53">
        <v>2</v>
      </c>
      <c r="C49" s="52">
        <v>6</v>
      </c>
      <c r="D49" s="108">
        <f t="shared" si="3"/>
        <v>10.425122098739537</v>
      </c>
      <c r="E49" s="102">
        <f>E15</f>
        <v>6.4000000000000001E-2</v>
      </c>
      <c r="F49" s="150">
        <f>E10</f>
        <v>37207</v>
      </c>
      <c r="G49" s="154">
        <f t="shared" si="2"/>
        <v>1.5489077478527125</v>
      </c>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65" s="100" customFormat="1" x14ac:dyDescent="0.2"/>
    <row r="51" spans="1:65" ht="19" x14ac:dyDescent="0.25">
      <c r="A51" s="22" t="s">
        <v>2</v>
      </c>
      <c r="B51" s="14"/>
      <c r="C51" s="14"/>
      <c r="D51" s="14"/>
      <c r="E51" s="14"/>
      <c r="F51" s="14"/>
      <c r="G51" s="14"/>
      <c r="H51" s="14"/>
      <c r="I51" s="14"/>
      <c r="J51" s="14"/>
      <c r="K51" s="14"/>
      <c r="L51" s="25"/>
      <c r="M51" s="25"/>
      <c r="N51" s="25"/>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65" ht="16" customHeight="1" x14ac:dyDescent="0.25">
      <c r="A52" s="22"/>
      <c r="B52" s="346" t="s">
        <v>188</v>
      </c>
      <c r="C52" s="348"/>
      <c r="D52" s="348"/>
      <c r="E52" s="348"/>
      <c r="F52" s="348"/>
      <c r="G52" s="348"/>
      <c r="H52" s="348"/>
      <c r="I52" s="348"/>
      <c r="J52" s="14"/>
      <c r="K52" s="14"/>
      <c r="L52" s="25"/>
      <c r="M52" s="25"/>
      <c r="N52" s="25"/>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65" ht="16" customHeight="1" x14ac:dyDescent="0.25">
      <c r="A53" s="22"/>
      <c r="B53" s="348"/>
      <c r="C53" s="348"/>
      <c r="D53" s="348"/>
      <c r="E53" s="348"/>
      <c r="F53" s="348"/>
      <c r="G53" s="348"/>
      <c r="H53" s="348"/>
      <c r="I53" s="348"/>
      <c r="J53" s="14"/>
      <c r="K53" s="14"/>
      <c r="L53" s="25"/>
      <c r="M53" s="25"/>
      <c r="N53" s="25"/>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65" ht="16" customHeight="1" x14ac:dyDescent="0.25">
      <c r="A54" s="22"/>
      <c r="B54" s="348"/>
      <c r="C54" s="348"/>
      <c r="D54" s="348"/>
      <c r="E54" s="348"/>
      <c r="F54" s="348"/>
      <c r="G54" s="348"/>
      <c r="H54" s="348"/>
      <c r="I54" s="348"/>
      <c r="J54" s="14"/>
      <c r="K54" s="14"/>
      <c r="L54" s="25"/>
      <c r="M54" s="25"/>
      <c r="N54" s="25"/>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65" ht="16" customHeight="1" x14ac:dyDescent="0.25">
      <c r="A55" s="22"/>
      <c r="B55" s="348"/>
      <c r="C55" s="348"/>
      <c r="D55" s="348"/>
      <c r="E55" s="348"/>
      <c r="F55" s="348"/>
      <c r="G55" s="348"/>
      <c r="H55" s="348"/>
      <c r="I55" s="348"/>
      <c r="J55" s="14"/>
      <c r="K55" s="14"/>
      <c r="L55" s="25"/>
      <c r="M55" s="25"/>
      <c r="N55" s="25"/>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65" ht="16" customHeight="1" x14ac:dyDescent="0.25">
      <c r="A56" s="22"/>
      <c r="B56" s="348"/>
      <c r="C56" s="348"/>
      <c r="D56" s="348"/>
      <c r="E56" s="348"/>
      <c r="F56" s="348"/>
      <c r="G56" s="348"/>
      <c r="H56" s="348"/>
      <c r="I56" s="348"/>
      <c r="J56" s="14"/>
      <c r="K56" s="14"/>
      <c r="L56" s="25"/>
      <c r="M56" s="25"/>
      <c r="N56" s="25"/>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65" ht="16" customHeight="1" x14ac:dyDescent="0.25">
      <c r="A57" s="22"/>
      <c r="B57" s="348"/>
      <c r="C57" s="348"/>
      <c r="D57" s="348"/>
      <c r="E57" s="348"/>
      <c r="F57" s="348"/>
      <c r="G57" s="348"/>
      <c r="H57" s="348"/>
      <c r="I57" s="348"/>
      <c r="J57" s="14"/>
      <c r="K57" s="14"/>
      <c r="L57" s="25"/>
      <c r="M57" s="25"/>
      <c r="N57" s="25"/>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65" ht="16" customHeight="1" x14ac:dyDescent="0.25">
      <c r="A58" s="22"/>
      <c r="B58" s="348"/>
      <c r="C58" s="348"/>
      <c r="D58" s="348"/>
      <c r="E58" s="348"/>
      <c r="F58" s="348"/>
      <c r="G58" s="348"/>
      <c r="H58" s="348"/>
      <c r="I58" s="348"/>
      <c r="J58" s="14"/>
      <c r="K58" s="14"/>
      <c r="L58" s="25"/>
      <c r="M58" s="25"/>
      <c r="N58" s="25"/>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65" ht="16" customHeight="1" x14ac:dyDescent="0.25">
      <c r="A59" s="22"/>
      <c r="B59" s="348"/>
      <c r="C59" s="348"/>
      <c r="D59" s="348"/>
      <c r="E59" s="348"/>
      <c r="F59" s="348"/>
      <c r="G59" s="348"/>
      <c r="H59" s="348"/>
      <c r="I59" s="348"/>
      <c r="J59" s="14"/>
      <c r="K59" s="14"/>
      <c r="L59" s="25"/>
      <c r="M59" s="25"/>
      <c r="N59" s="25"/>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65" ht="16" customHeight="1" x14ac:dyDescent="0.25">
      <c r="A60" s="22"/>
      <c r="B60" s="348"/>
      <c r="C60" s="348"/>
      <c r="D60" s="348"/>
      <c r="E60" s="348"/>
      <c r="F60" s="348"/>
      <c r="G60" s="348"/>
      <c r="H60" s="348"/>
      <c r="I60" s="348"/>
      <c r="J60" s="14"/>
      <c r="K60" s="14"/>
      <c r="L60" s="25"/>
      <c r="M60" s="25"/>
      <c r="N60" s="25"/>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row>
    <row r="61" spans="1:65" ht="16" customHeight="1" x14ac:dyDescent="0.25">
      <c r="A61" s="22"/>
      <c r="B61" s="14"/>
      <c r="C61" s="14"/>
      <c r="D61" s="14"/>
      <c r="E61" s="14"/>
      <c r="F61" s="14"/>
      <c r="G61" s="14"/>
      <c r="H61" s="14"/>
      <c r="I61" s="14"/>
      <c r="J61" s="14"/>
      <c r="K61" s="14"/>
      <c r="L61" s="25"/>
      <c r="M61" s="25"/>
      <c r="N61" s="25"/>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65" ht="19" x14ac:dyDescent="0.25">
      <c r="A62" s="14"/>
      <c r="B62" s="26" t="s">
        <v>208</v>
      </c>
      <c r="C62" s="14"/>
      <c r="D62" s="14"/>
      <c r="E62" s="14"/>
      <c r="F62" s="14"/>
      <c r="G62" s="14"/>
      <c r="H62" s="14"/>
      <c r="I62" s="14"/>
      <c r="J62" s="14"/>
      <c r="K62" s="14"/>
      <c r="L62" s="25"/>
      <c r="M62" s="25"/>
      <c r="N62" s="25"/>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65" ht="16" customHeight="1" x14ac:dyDescent="0.2">
      <c r="A63" s="25"/>
      <c r="B63" s="346" t="s">
        <v>189</v>
      </c>
      <c r="C63" s="348"/>
      <c r="D63" s="348"/>
      <c r="E63" s="348"/>
      <c r="F63" s="348"/>
      <c r="G63" s="348"/>
      <c r="H63" s="348"/>
      <c r="I63" s="348"/>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row>
    <row r="64" spans="1:65" x14ac:dyDescent="0.2">
      <c r="A64" s="25"/>
      <c r="B64" s="348"/>
      <c r="C64" s="348"/>
      <c r="D64" s="348"/>
      <c r="E64" s="348"/>
      <c r="F64" s="348"/>
      <c r="G64" s="348"/>
      <c r="H64" s="348"/>
      <c r="I64" s="348"/>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row>
    <row r="65" spans="1:65" x14ac:dyDescent="0.2">
      <c r="A65" s="25"/>
      <c r="B65" s="348"/>
      <c r="C65" s="348"/>
      <c r="D65" s="348"/>
      <c r="E65" s="348"/>
      <c r="F65" s="348"/>
      <c r="G65" s="348"/>
      <c r="H65" s="348"/>
      <c r="I65" s="348"/>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row>
    <row r="66" spans="1:65" x14ac:dyDescent="0.2">
      <c r="A66" s="25"/>
      <c r="B66" s="348"/>
      <c r="C66" s="348"/>
      <c r="D66" s="348"/>
      <c r="E66" s="348"/>
      <c r="F66" s="348"/>
      <c r="G66" s="348"/>
      <c r="H66" s="348"/>
      <c r="I66" s="348"/>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row>
    <row r="67" spans="1:65" x14ac:dyDescent="0.2">
      <c r="A67" s="25"/>
      <c r="B67" s="348"/>
      <c r="C67" s="348"/>
      <c r="D67" s="348"/>
      <c r="E67" s="348"/>
      <c r="F67" s="348"/>
      <c r="G67" s="348"/>
      <c r="H67" s="348"/>
      <c r="I67" s="348"/>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row>
    <row r="68" spans="1:65" x14ac:dyDescent="0.2">
      <c r="A68" s="25"/>
      <c r="B68" s="348"/>
      <c r="C68" s="348"/>
      <c r="D68" s="348"/>
      <c r="E68" s="348"/>
      <c r="F68" s="348"/>
      <c r="G68" s="348"/>
      <c r="H68" s="348"/>
      <c r="I68" s="348"/>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row>
    <row r="69" spans="1:65" x14ac:dyDescent="0.2">
      <c r="A69" s="25"/>
      <c r="B69" s="348"/>
      <c r="C69" s="348"/>
      <c r="D69" s="348"/>
      <c r="E69" s="348"/>
      <c r="F69" s="348"/>
      <c r="G69" s="348"/>
      <c r="H69" s="348"/>
      <c r="I69" s="348"/>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row>
    <row r="70" spans="1:65" x14ac:dyDescent="0.2">
      <c r="A70" s="25"/>
      <c r="B70" s="348"/>
      <c r="C70" s="348"/>
      <c r="D70" s="348"/>
      <c r="E70" s="348"/>
      <c r="F70" s="348"/>
      <c r="G70" s="348"/>
      <c r="H70" s="348"/>
      <c r="I70" s="348"/>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row>
    <row r="71" spans="1:65" x14ac:dyDescent="0.2">
      <c r="A71" s="25"/>
      <c r="B71" s="348"/>
      <c r="C71" s="348"/>
      <c r="D71" s="348"/>
      <c r="E71" s="348"/>
      <c r="F71" s="348"/>
      <c r="G71" s="348"/>
      <c r="H71" s="348"/>
      <c r="I71" s="348"/>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row>
    <row r="72" spans="1:65" x14ac:dyDescent="0.2">
      <c r="A72" s="25"/>
      <c r="B72" s="10"/>
      <c r="C72" s="10"/>
      <c r="D72" s="10"/>
      <c r="E72" s="10"/>
      <c r="F72" s="10"/>
      <c r="G72" s="10"/>
      <c r="H72" s="10"/>
      <c r="I72" s="10"/>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row>
    <row r="73" spans="1:65" s="27" customFormat="1" ht="19" x14ac:dyDescent="0.25">
      <c r="A73" s="22" t="s">
        <v>12</v>
      </c>
      <c r="B73" s="26"/>
    </row>
    <row r="74" spans="1:65" s="27" customFormat="1" ht="16" customHeight="1" x14ac:dyDescent="0.2">
      <c r="A74" s="25"/>
      <c r="B74" s="346" t="s">
        <v>191</v>
      </c>
      <c r="C74" s="377"/>
      <c r="D74" s="378" t="s">
        <v>444</v>
      </c>
      <c r="E74" s="391"/>
      <c r="F74" s="391"/>
      <c r="G74" s="391"/>
      <c r="H74" s="391"/>
      <c r="I74" s="391"/>
      <c r="J74" s="391"/>
      <c r="K74" s="28"/>
    </row>
    <row r="75" spans="1:65" s="27" customFormat="1" x14ac:dyDescent="0.2">
      <c r="A75" s="25"/>
      <c r="B75" s="377"/>
      <c r="C75" s="377"/>
      <c r="D75" s="391"/>
      <c r="E75" s="391"/>
      <c r="F75" s="391"/>
      <c r="G75" s="391"/>
      <c r="H75" s="391"/>
      <c r="I75" s="391"/>
      <c r="J75" s="391"/>
      <c r="K75" s="28"/>
    </row>
    <row r="76" spans="1:65" s="27" customFormat="1" x14ac:dyDescent="0.2">
      <c r="A76" s="25"/>
      <c r="B76" s="377"/>
      <c r="C76" s="377"/>
      <c r="D76" s="391"/>
      <c r="E76" s="391"/>
      <c r="F76" s="391"/>
      <c r="G76" s="391"/>
      <c r="H76" s="391"/>
      <c r="I76" s="391"/>
      <c r="J76" s="391"/>
      <c r="K76" s="28"/>
    </row>
    <row r="77" spans="1:65" s="27" customFormat="1" x14ac:dyDescent="0.2">
      <c r="A77" s="25"/>
      <c r="B77" s="377"/>
      <c r="C77" s="377"/>
      <c r="D77" s="391"/>
      <c r="E77" s="391"/>
      <c r="F77" s="391"/>
      <c r="G77" s="391"/>
      <c r="H77" s="391"/>
      <c r="I77" s="391"/>
      <c r="J77" s="391"/>
      <c r="K77" s="28"/>
    </row>
    <row r="78" spans="1:65" s="27" customFormat="1" x14ac:dyDescent="0.2">
      <c r="A78" s="25"/>
      <c r="B78" s="377"/>
      <c r="C78" s="377"/>
      <c r="D78" s="391"/>
      <c r="E78" s="391"/>
      <c r="F78" s="391"/>
      <c r="G78" s="391"/>
      <c r="H78" s="391"/>
      <c r="I78" s="391"/>
      <c r="J78" s="391"/>
      <c r="K78" s="28"/>
    </row>
    <row r="79" spans="1:65" s="27" customFormat="1" x14ac:dyDescent="0.2">
      <c r="A79" s="25"/>
      <c r="B79" s="377"/>
      <c r="C79" s="377"/>
      <c r="D79" s="391"/>
      <c r="E79" s="391"/>
      <c r="F79" s="391"/>
      <c r="G79" s="391"/>
      <c r="H79" s="391"/>
      <c r="I79" s="391"/>
      <c r="J79" s="391"/>
      <c r="K79" s="28"/>
    </row>
    <row r="80" spans="1:65" s="27" customFormat="1" x14ac:dyDescent="0.2">
      <c r="A80" s="25"/>
      <c r="B80" s="77"/>
      <c r="C80" s="77"/>
      <c r="D80" s="78"/>
      <c r="E80" s="78"/>
      <c r="F80" s="78"/>
      <c r="G80" s="78"/>
      <c r="H80" s="78"/>
      <c r="I80" s="78"/>
      <c r="J80" s="78"/>
      <c r="K80" s="28"/>
    </row>
    <row r="81" spans="1:65" ht="19" x14ac:dyDescent="0.25">
      <c r="A81" s="22" t="s">
        <v>1</v>
      </c>
      <c r="B81" s="14"/>
      <c r="C81" s="14"/>
      <c r="D81" s="14"/>
      <c r="E81" s="14"/>
      <c r="F81" s="14"/>
      <c r="G81" s="14"/>
      <c r="H81" s="14"/>
      <c r="I81" s="14"/>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row>
    <row r="82" spans="1:65" x14ac:dyDescent="0.2">
      <c r="A82" s="25"/>
      <c r="B82" s="100" t="s">
        <v>190</v>
      </c>
      <c r="C82" s="14"/>
      <c r="D82" s="344" t="s">
        <v>486</v>
      </c>
      <c r="E82" s="14"/>
      <c r="F82" s="14"/>
      <c r="G82" s="14"/>
      <c r="H82" s="14"/>
      <c r="I82" s="14"/>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row>
    <row r="83" spans="1:65" x14ac:dyDescent="0.2">
      <c r="A83" s="25"/>
      <c r="B83" s="14"/>
      <c r="C83" s="14"/>
      <c r="D83" s="14"/>
      <c r="E83" s="14"/>
      <c r="F83" s="14"/>
      <c r="G83" s="14"/>
      <c r="H83" s="14"/>
      <c r="I83" s="14"/>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row>
    <row r="84" spans="1:65" x14ac:dyDescent="0.2">
      <c r="A84" s="25"/>
      <c r="B84" s="14"/>
      <c r="C84" s="14"/>
      <c r="D84" s="14"/>
      <c r="E84" s="14"/>
      <c r="F84" s="14"/>
      <c r="G84" s="14"/>
      <c r="H84" s="14"/>
      <c r="I84" s="14"/>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row>
    <row r="85" spans="1:65" x14ac:dyDescent="0.2">
      <c r="A85" s="25"/>
      <c r="B85" s="14"/>
      <c r="C85" s="14"/>
      <c r="D85" s="14"/>
      <c r="E85" s="14"/>
      <c r="F85" s="14"/>
      <c r="G85" s="14"/>
      <c r="H85" s="14"/>
      <c r="I85" s="14"/>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row>
    <row r="86" spans="1:65" x14ac:dyDescent="0.2">
      <c r="A86" s="25"/>
      <c r="B86" s="14"/>
      <c r="C86" s="14"/>
      <c r="D86" s="14"/>
      <c r="E86" s="14"/>
      <c r="F86" s="14"/>
      <c r="G86" s="14"/>
      <c r="H86" s="14"/>
      <c r="I86" s="14"/>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row>
    <row r="87" spans="1:65" x14ac:dyDescent="0.2">
      <c r="A87" s="25"/>
      <c r="B87" s="14"/>
      <c r="C87" s="14"/>
      <c r="D87" s="14"/>
      <c r="E87" s="14"/>
      <c r="F87" s="14"/>
      <c r="G87" s="14"/>
      <c r="H87" s="14"/>
      <c r="I87" s="14"/>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row>
    <row r="88" spans="1:65" x14ac:dyDescent="0.2">
      <c r="A88" s="25"/>
      <c r="B88" s="14"/>
      <c r="C88" s="14"/>
      <c r="D88" s="14"/>
      <c r="E88" s="14"/>
      <c r="F88" s="14"/>
      <c r="G88" s="14"/>
      <c r="H88" s="14"/>
      <c r="I88" s="14"/>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row>
    <row r="89" spans="1:65" x14ac:dyDescent="0.2">
      <c r="A89" s="25"/>
      <c r="B89" s="14"/>
      <c r="C89" s="14"/>
      <c r="D89" s="14"/>
      <c r="E89" s="14"/>
      <c r="F89" s="14"/>
      <c r="G89" s="14"/>
      <c r="H89" s="14"/>
      <c r="I89" s="14"/>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row>
  </sheetData>
  <mergeCells count="14">
    <mergeCell ref="B4:I5"/>
    <mergeCell ref="C7:C8"/>
    <mergeCell ref="D7:D8"/>
    <mergeCell ref="E7:E8"/>
    <mergeCell ref="D12:E12"/>
    <mergeCell ref="F12:G12"/>
    <mergeCell ref="B18:I19"/>
    <mergeCell ref="D44:E44"/>
    <mergeCell ref="B52:I60"/>
    <mergeCell ref="B74:C79"/>
    <mergeCell ref="D74:J79"/>
    <mergeCell ref="B63:I71"/>
    <mergeCell ref="B23:I24"/>
    <mergeCell ref="B36:I37"/>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AB08-6785-FB4C-A6F7-94E3411B2F15}">
  <dimension ref="A1:BM112"/>
  <sheetViews>
    <sheetView showGridLines="0" zoomScale="120" zoomScaleNormal="120" workbookViewId="0"/>
  </sheetViews>
  <sheetFormatPr baseColWidth="10" defaultColWidth="10.83203125" defaultRowHeight="16" x14ac:dyDescent="0.2"/>
  <cols>
    <col min="1" max="1" width="10.83203125" style="15"/>
    <col min="2" max="3" width="10.83203125" style="15" customWidth="1"/>
    <col min="4" max="5" width="10.83203125" style="15"/>
    <col min="6" max="6" width="11.6640625" style="15" customWidth="1"/>
    <col min="7" max="7" width="10.83203125" style="15" customWidth="1"/>
    <col min="8" max="9" width="10.83203125" style="15"/>
    <col min="10" max="10" width="10.83203125" style="15" customWidth="1"/>
    <col min="11" max="16384" width="10.83203125" style="15"/>
  </cols>
  <sheetData>
    <row r="1" spans="1:49" ht="19" x14ac:dyDescent="0.25">
      <c r="A1" s="11" t="s">
        <v>192</v>
      </c>
      <c r="B1" s="12"/>
      <c r="C1" s="12"/>
      <c r="D1" s="12"/>
      <c r="E1" s="12"/>
      <c r="F1" s="12"/>
      <c r="G1" s="12"/>
      <c r="H1" s="12"/>
      <c r="I1" s="12"/>
      <c r="J1" s="13"/>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2">
      <c r="A2" s="9"/>
      <c r="B2" s="12"/>
      <c r="C2" s="12"/>
      <c r="D2" s="12"/>
      <c r="E2" s="12"/>
      <c r="F2" s="12"/>
      <c r="G2" s="12"/>
      <c r="H2" s="12"/>
      <c r="I2" s="12"/>
      <c r="J2" s="13"/>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2">
      <c r="A3" s="5"/>
      <c r="B3" s="16" t="s">
        <v>11</v>
      </c>
      <c r="C3" s="12"/>
      <c r="D3" s="12"/>
      <c r="E3" s="12"/>
      <c r="F3" s="12"/>
      <c r="G3" s="12"/>
      <c r="H3" s="12"/>
      <c r="I3" s="12"/>
      <c r="J3" s="1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ht="16" customHeight="1" x14ac:dyDescent="0.2">
      <c r="A4" s="5"/>
      <c r="B4" s="362" t="s">
        <v>193</v>
      </c>
      <c r="C4" s="363"/>
      <c r="D4" s="363"/>
      <c r="E4" s="363"/>
      <c r="F4" s="363"/>
      <c r="G4" s="363"/>
      <c r="H4" s="363"/>
      <c r="I4" s="363"/>
      <c r="J4" s="13"/>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ht="16" customHeight="1" x14ac:dyDescent="0.2">
      <c r="A5" s="5"/>
      <c r="B5" s="363"/>
      <c r="C5" s="363"/>
      <c r="D5" s="363"/>
      <c r="E5" s="363"/>
      <c r="F5" s="363"/>
      <c r="G5" s="363"/>
      <c r="H5" s="363"/>
      <c r="I5" s="363"/>
      <c r="J5" s="13"/>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49" s="31" customFormat="1" x14ac:dyDescent="0.2">
      <c r="A6" s="32"/>
      <c r="B6" s="29"/>
      <c r="C6" s="29"/>
      <c r="D6" s="29"/>
      <c r="E6" s="29"/>
      <c r="F6" s="29"/>
      <c r="G6" s="29"/>
      <c r="H6" s="29"/>
      <c r="I6" s="29"/>
      <c r="J6" s="30"/>
    </row>
    <row r="7" spans="1:49" s="31" customFormat="1" ht="16" customHeight="1" x14ac:dyDescent="0.2">
      <c r="A7" s="32"/>
      <c r="B7" s="381" t="s">
        <v>109</v>
      </c>
      <c r="C7" s="383" t="s">
        <v>110</v>
      </c>
      <c r="D7" s="29"/>
      <c r="E7" s="381" t="s">
        <v>109</v>
      </c>
      <c r="F7" s="383" t="s">
        <v>110</v>
      </c>
      <c r="G7" s="29"/>
      <c r="H7" s="365" t="s">
        <v>164</v>
      </c>
      <c r="I7" s="376" t="s">
        <v>136</v>
      </c>
      <c r="J7" s="30"/>
    </row>
    <row r="8" spans="1:49" s="31" customFormat="1" x14ac:dyDescent="0.2">
      <c r="A8" s="32"/>
      <c r="B8" s="382"/>
      <c r="C8" s="384"/>
      <c r="D8" s="29"/>
      <c r="E8" s="382"/>
      <c r="F8" s="384"/>
      <c r="G8" s="29"/>
      <c r="H8" s="366"/>
      <c r="I8" s="375"/>
      <c r="J8" s="30"/>
    </row>
    <row r="9" spans="1:49" s="31" customFormat="1" ht="19" x14ac:dyDescent="0.2">
      <c r="A9" s="32"/>
      <c r="B9" s="37" t="s">
        <v>111</v>
      </c>
      <c r="C9" s="73">
        <v>0</v>
      </c>
      <c r="D9" s="29"/>
      <c r="E9" s="37" t="s">
        <v>118</v>
      </c>
      <c r="F9" s="73">
        <v>0.214</v>
      </c>
      <c r="G9" s="29"/>
      <c r="H9" s="111">
        <v>1</v>
      </c>
      <c r="I9" s="110">
        <v>5510</v>
      </c>
      <c r="J9" s="30"/>
    </row>
    <row r="10" spans="1:49" s="31" customFormat="1" ht="19" x14ac:dyDescent="0.2">
      <c r="A10" s="32"/>
      <c r="B10" s="37" t="s">
        <v>112</v>
      </c>
      <c r="C10" s="73">
        <v>-0.125</v>
      </c>
      <c r="D10" s="29"/>
      <c r="E10" s="37" t="s">
        <v>119</v>
      </c>
      <c r="F10" s="73">
        <v>0.186</v>
      </c>
      <c r="G10" s="29"/>
      <c r="H10" s="156">
        <v>2</v>
      </c>
      <c r="I10" s="126">
        <v>5720</v>
      </c>
      <c r="J10" s="30"/>
    </row>
    <row r="11" spans="1:49" s="31" customFormat="1" ht="19" x14ac:dyDescent="0.2">
      <c r="A11" s="32"/>
      <c r="B11" s="37" t="s">
        <v>195</v>
      </c>
      <c r="C11" s="158">
        <v>5.3999999999999999E-2</v>
      </c>
      <c r="D11" s="29"/>
      <c r="E11" s="37" t="s">
        <v>197</v>
      </c>
      <c r="F11" s="73">
        <v>0.16200000000000001</v>
      </c>
      <c r="G11" s="29"/>
      <c r="H11" s="131">
        <v>3</v>
      </c>
      <c r="I11" s="127">
        <v>5940</v>
      </c>
      <c r="J11" s="30"/>
    </row>
    <row r="12" spans="1:49" s="31" customFormat="1" ht="17" x14ac:dyDescent="0.2">
      <c r="A12" s="32"/>
      <c r="B12" s="37" t="s">
        <v>113</v>
      </c>
      <c r="C12" s="73" t="s">
        <v>113</v>
      </c>
      <c r="D12" s="29"/>
      <c r="E12" s="37" t="s">
        <v>113</v>
      </c>
      <c r="F12" s="73" t="s">
        <v>113</v>
      </c>
      <c r="G12" s="29"/>
      <c r="H12" s="29"/>
      <c r="I12" s="29"/>
      <c r="J12" s="30"/>
    </row>
    <row r="13" spans="1:49" s="31" customFormat="1" ht="19" x14ac:dyDescent="0.2">
      <c r="A13" s="32"/>
      <c r="B13" s="37" t="s">
        <v>114</v>
      </c>
      <c r="C13" s="73">
        <v>0.20499999999999999</v>
      </c>
      <c r="D13" s="29"/>
      <c r="E13" s="37" t="s">
        <v>120</v>
      </c>
      <c r="F13" s="73">
        <v>2.4E-2</v>
      </c>
      <c r="G13" s="29"/>
      <c r="H13" s="29"/>
      <c r="I13" s="29"/>
      <c r="J13" s="30"/>
    </row>
    <row r="14" spans="1:49" s="31" customFormat="1" ht="19" x14ac:dyDescent="0.2">
      <c r="A14" s="32"/>
      <c r="B14" s="37" t="s">
        <v>115</v>
      </c>
      <c r="C14" s="73">
        <v>-0.495</v>
      </c>
      <c r="D14" s="29"/>
      <c r="E14" s="37" t="s">
        <v>172</v>
      </c>
      <c r="F14" s="73">
        <v>-0.38600000000000001</v>
      </c>
      <c r="G14" s="29"/>
      <c r="H14" s="29"/>
      <c r="I14" s="29"/>
      <c r="J14" s="30"/>
    </row>
    <row r="15" spans="1:49" s="31" customFormat="1" ht="19" x14ac:dyDescent="0.2">
      <c r="A15" s="32"/>
      <c r="B15" s="37" t="s">
        <v>116</v>
      </c>
      <c r="C15" s="73">
        <v>-0.315</v>
      </c>
      <c r="D15" s="29"/>
      <c r="E15" s="39" t="s">
        <v>121</v>
      </c>
      <c r="F15" s="74">
        <v>0.19</v>
      </c>
      <c r="G15" s="29"/>
      <c r="H15" s="29"/>
      <c r="I15" s="29"/>
      <c r="J15" s="30"/>
    </row>
    <row r="16" spans="1:49" s="31" customFormat="1" ht="19" x14ac:dyDescent="0.2">
      <c r="A16" s="32"/>
      <c r="B16" s="37" t="s">
        <v>196</v>
      </c>
      <c r="C16" s="73">
        <v>0.16400000000000001</v>
      </c>
      <c r="D16" s="29"/>
      <c r="E16" s="29"/>
      <c r="F16" s="29"/>
      <c r="G16" s="29"/>
      <c r="H16" s="29"/>
      <c r="I16" s="29"/>
      <c r="J16" s="30"/>
    </row>
    <row r="17" spans="1:49" s="31" customFormat="1" ht="17" x14ac:dyDescent="0.2">
      <c r="A17" s="32"/>
      <c r="B17" s="37" t="s">
        <v>113</v>
      </c>
      <c r="C17" s="73" t="s">
        <v>113</v>
      </c>
      <c r="D17" s="29"/>
      <c r="E17" s="29"/>
      <c r="F17" s="29"/>
      <c r="G17" s="29"/>
      <c r="H17" s="29"/>
      <c r="I17" s="29"/>
      <c r="J17" s="30"/>
    </row>
    <row r="18" spans="1:49" s="31" customFormat="1" ht="19" x14ac:dyDescent="0.2">
      <c r="A18" s="32"/>
      <c r="B18" s="39" t="s">
        <v>117</v>
      </c>
      <c r="C18" s="74">
        <v>0</v>
      </c>
      <c r="D18" s="29"/>
      <c r="E18" s="29"/>
      <c r="F18" s="29"/>
      <c r="G18" s="29"/>
      <c r="H18" s="29"/>
      <c r="I18" s="29"/>
      <c r="J18" s="30"/>
    </row>
    <row r="19" spans="1:49" s="31" customFormat="1" x14ac:dyDescent="0.2">
      <c r="A19" s="32"/>
      <c r="B19" s="29"/>
      <c r="C19" s="29"/>
      <c r="D19" s="29"/>
      <c r="E19" s="29"/>
      <c r="F19" s="29"/>
      <c r="G19" s="29"/>
      <c r="H19" s="29"/>
      <c r="I19" s="29"/>
      <c r="J19" s="30"/>
    </row>
    <row r="20" spans="1:49" x14ac:dyDescent="0.2">
      <c r="A20" s="32"/>
      <c r="B20" s="307" t="s">
        <v>194</v>
      </c>
      <c r="C20" s="29"/>
      <c r="D20" s="29"/>
      <c r="E20" s="29"/>
      <c r="F20" s="157">
        <v>4760</v>
      </c>
      <c r="G20" s="29"/>
      <c r="H20" s="29"/>
      <c r="I20" s="12"/>
      <c r="J20" s="13"/>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49" x14ac:dyDescent="0.2">
      <c r="A21" s="5"/>
      <c r="B21" s="307" t="s">
        <v>198</v>
      </c>
      <c r="C21" s="29"/>
      <c r="D21" s="29"/>
      <c r="E21" s="29"/>
      <c r="F21" s="157"/>
      <c r="G21" s="29"/>
      <c r="H21" s="29"/>
      <c r="I21" s="12"/>
      <c r="J21" s="13"/>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x14ac:dyDescent="0.2">
      <c r="A22" s="5"/>
      <c r="B22" s="29"/>
      <c r="C22" s="29"/>
      <c r="D22" s="29"/>
      <c r="E22" s="29"/>
      <c r="F22" s="29"/>
      <c r="G22" s="29"/>
      <c r="H22" s="29"/>
      <c r="I22" s="12"/>
      <c r="J22" s="13"/>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ht="16" customHeight="1" x14ac:dyDescent="0.2">
      <c r="A23" s="5"/>
      <c r="B23" s="312" t="s">
        <v>200</v>
      </c>
      <c r="C23" s="161"/>
      <c r="D23" s="161"/>
      <c r="E23" s="161"/>
      <c r="F23" s="161"/>
      <c r="G23" s="161"/>
      <c r="H23" s="161"/>
      <c r="I23" s="161"/>
      <c r="J23" s="13"/>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x14ac:dyDescent="0.2">
      <c r="A24" s="5"/>
      <c r="B24" s="12"/>
      <c r="C24" s="6"/>
      <c r="D24" s="6"/>
      <c r="E24" s="6"/>
      <c r="F24" s="12"/>
      <c r="G24" s="12"/>
      <c r="H24" s="12"/>
      <c r="I24" s="12"/>
      <c r="J24" s="13"/>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49" x14ac:dyDescent="0.2">
      <c r="A25" s="5"/>
      <c r="B25" s="12"/>
      <c r="C25" s="83" t="s">
        <v>132</v>
      </c>
      <c r="D25" s="83" t="s">
        <v>130</v>
      </c>
      <c r="E25" s="6"/>
      <c r="F25" s="12"/>
      <c r="G25" s="12"/>
      <c r="H25" s="12"/>
      <c r="I25" s="12"/>
      <c r="J25" s="13"/>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x14ac:dyDescent="0.2">
      <c r="A26" s="5"/>
      <c r="B26" s="12"/>
      <c r="C26" s="156">
        <v>1</v>
      </c>
      <c r="D26" s="159">
        <v>0.16500000000000001</v>
      </c>
      <c r="E26" s="6"/>
      <c r="F26" s="12"/>
      <c r="G26" s="12"/>
      <c r="H26" s="12"/>
      <c r="I26" s="12"/>
      <c r="J26" s="13"/>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x14ac:dyDescent="0.2">
      <c r="A27" s="5"/>
      <c r="B27" s="12"/>
      <c r="C27" s="156">
        <v>2</v>
      </c>
      <c r="D27" s="159">
        <v>0.54100000000000004</v>
      </c>
      <c r="E27" s="6"/>
      <c r="F27" s="12"/>
      <c r="G27" s="12"/>
      <c r="H27" s="12"/>
      <c r="I27" s="12"/>
      <c r="J27" s="13"/>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x14ac:dyDescent="0.2">
      <c r="A28" s="5"/>
      <c r="B28" s="12"/>
      <c r="C28" s="131">
        <v>3</v>
      </c>
      <c r="D28" s="160">
        <v>0.68200000000000005</v>
      </c>
      <c r="E28" s="6"/>
      <c r="F28" s="12"/>
      <c r="G28" s="12"/>
      <c r="H28" s="12"/>
      <c r="I28" s="12"/>
      <c r="J28" s="13"/>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x14ac:dyDescent="0.2">
      <c r="A29" s="5"/>
      <c r="B29" s="12"/>
      <c r="C29" s="6"/>
      <c r="D29" s="6"/>
      <c r="E29" s="6"/>
      <c r="F29" s="12"/>
      <c r="G29" s="12"/>
      <c r="H29" s="12"/>
      <c r="I29" s="12"/>
      <c r="J29" s="13"/>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x14ac:dyDescent="0.2">
      <c r="A30" s="5"/>
      <c r="B30" s="306" t="s">
        <v>135</v>
      </c>
      <c r="C30" s="6"/>
      <c r="D30" s="7"/>
      <c r="E30" s="6"/>
      <c r="F30" s="12"/>
      <c r="G30" s="12"/>
      <c r="H30" s="12"/>
      <c r="I30" s="12"/>
      <c r="J30" s="13"/>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1:49" x14ac:dyDescent="0.2">
      <c r="A31" s="5"/>
      <c r="B31" s="79"/>
      <c r="C31" s="6"/>
      <c r="D31" s="7"/>
      <c r="E31" s="6"/>
      <c r="F31" s="12"/>
      <c r="G31" s="12"/>
      <c r="H31" s="12"/>
      <c r="I31" s="12"/>
      <c r="J31" s="13"/>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x14ac:dyDescent="0.2">
      <c r="A32" s="5"/>
      <c r="B32" s="79"/>
      <c r="C32" s="307" t="s">
        <v>134</v>
      </c>
      <c r="D32" s="7"/>
      <c r="E32" s="6"/>
      <c r="F32" s="12"/>
      <c r="G32" s="12"/>
      <c r="H32" s="12"/>
      <c r="I32" s="12"/>
      <c r="J32" s="13"/>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x14ac:dyDescent="0.2">
      <c r="A33" s="5"/>
      <c r="B33" s="79"/>
      <c r="C33" s="6"/>
      <c r="D33" s="7"/>
      <c r="E33" s="6"/>
      <c r="F33" s="12"/>
      <c r="G33" s="12"/>
      <c r="H33" s="12"/>
      <c r="I33" s="12"/>
      <c r="J33" s="13"/>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x14ac:dyDescent="0.2">
      <c r="A34" s="5"/>
      <c r="B34" s="306" t="s">
        <v>199</v>
      </c>
      <c r="C34" s="29"/>
      <c r="D34" s="29"/>
      <c r="E34" s="29"/>
      <c r="F34" s="29"/>
      <c r="G34" s="29"/>
      <c r="H34" s="29"/>
      <c r="I34" s="12"/>
      <c r="J34" s="13"/>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row>
    <row r="35" spans="1:49" ht="17" thickBot="1" x14ac:dyDescent="0.25">
      <c r="A35" s="4"/>
      <c r="B35" s="19"/>
      <c r="C35" s="20"/>
      <c r="D35" s="20"/>
      <c r="E35" s="20"/>
      <c r="F35" s="19"/>
      <c r="G35" s="19"/>
      <c r="H35" s="19"/>
      <c r="I35" s="19"/>
      <c r="J35" s="21"/>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x14ac:dyDescent="0.2">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ht="19" x14ac:dyDescent="0.25">
      <c r="A37" s="22" t="s">
        <v>8</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49" ht="19" customHeight="1" x14ac:dyDescent="0.2">
      <c r="A38" s="1" t="s">
        <v>7</v>
      </c>
      <c r="B38" s="364" t="s">
        <v>447</v>
      </c>
      <c r="C38" s="364"/>
      <c r="D38" s="364"/>
      <c r="E38" s="364"/>
      <c r="F38" s="364"/>
      <c r="G38" s="364"/>
      <c r="H38" s="364"/>
      <c r="I38" s="36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ht="16" customHeight="1" x14ac:dyDescent="0.2">
      <c r="A39" s="1"/>
      <c r="B39" s="364"/>
      <c r="C39" s="364"/>
      <c r="D39" s="364"/>
      <c r="E39" s="364"/>
      <c r="F39" s="364"/>
      <c r="G39" s="364"/>
      <c r="H39" s="364"/>
      <c r="I39" s="36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ht="16" customHeight="1" x14ac:dyDescent="0.2">
      <c r="A40" s="1"/>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49" ht="16" customHeight="1" x14ac:dyDescent="0.2">
      <c r="A41" s="1"/>
      <c r="B41" s="14"/>
      <c r="C41" s="14"/>
      <c r="D41" s="14"/>
      <c r="E41" s="14"/>
      <c r="F41" s="3"/>
      <c r="G41" s="3"/>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ht="16" customHeight="1" thickBot="1" x14ac:dyDescent="0.25">
      <c r="A42" s="1"/>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ht="16" customHeight="1" thickBot="1" x14ac:dyDescent="0.3">
      <c r="A43" s="1"/>
      <c r="B43" s="14"/>
      <c r="C43" s="14"/>
      <c r="D43" s="14"/>
      <c r="E43" s="14"/>
      <c r="F43" s="69" t="s">
        <v>122</v>
      </c>
      <c r="G43" s="313">
        <f>C59+$F$14+$C$18</f>
        <v>8.2283199021469606</v>
      </c>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ht="16" customHeight="1" x14ac:dyDescent="0.2">
      <c r="A44" s="1"/>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ht="16" customHeight="1" x14ac:dyDescent="0.2">
      <c r="A45" s="1" t="s">
        <v>6</v>
      </c>
      <c r="B45" s="364" t="s">
        <v>448</v>
      </c>
      <c r="C45" s="364"/>
      <c r="D45" s="364"/>
      <c r="E45" s="364"/>
      <c r="F45" s="364"/>
      <c r="G45" s="364"/>
      <c r="H45" s="364"/>
      <c r="I45" s="36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ht="16" customHeight="1" x14ac:dyDescent="0.2">
      <c r="A46" s="1"/>
      <c r="B46" s="364"/>
      <c r="C46" s="364"/>
      <c r="D46" s="364"/>
      <c r="E46" s="364"/>
      <c r="F46" s="364"/>
      <c r="G46" s="364"/>
      <c r="H46" s="364"/>
      <c r="I46" s="36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ht="16" customHeight="1" x14ac:dyDescent="0.2">
      <c r="A47" s="1"/>
      <c r="B47" s="364"/>
      <c r="C47" s="364"/>
      <c r="D47" s="364"/>
      <c r="E47" s="364"/>
      <c r="F47" s="364"/>
      <c r="G47" s="364"/>
      <c r="H47" s="364"/>
      <c r="I47" s="36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ht="16" customHeight="1" x14ac:dyDescent="0.2">
      <c r="A48" s="1"/>
      <c r="B48" s="364"/>
      <c r="C48" s="364"/>
      <c r="D48" s="364"/>
      <c r="E48" s="364"/>
      <c r="F48" s="364"/>
      <c r="G48" s="364"/>
      <c r="H48" s="364"/>
      <c r="I48" s="36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49" ht="16" customHeight="1" x14ac:dyDescent="0.2">
      <c r="A49" s="1"/>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49" ht="16" customHeight="1" x14ac:dyDescent="0.2">
      <c r="A50" s="1"/>
      <c r="B50" s="14"/>
      <c r="C50" s="14"/>
      <c r="D50" s="14"/>
      <c r="E50" s="14"/>
      <c r="F50" s="3"/>
      <c r="G50" s="3"/>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row>
    <row r="51" spans="1:49" ht="16" customHeight="1" x14ac:dyDescent="0.2">
      <c r="A51" s="1"/>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49" ht="16" customHeight="1" x14ac:dyDescent="0.2">
      <c r="A52" s="1"/>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49" ht="16" customHeight="1" x14ac:dyDescent="0.2">
      <c r="A53" s="1"/>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49" ht="16" customHeight="1" x14ac:dyDescent="0.2">
      <c r="A54" s="1"/>
      <c r="B54" s="120" t="s">
        <v>149</v>
      </c>
      <c r="C54" s="14"/>
      <c r="D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ht="16" customHeight="1" x14ac:dyDescent="0.25">
      <c r="A55" s="1"/>
      <c r="B55" s="100" t="s">
        <v>204</v>
      </c>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ht="16" customHeight="1" x14ac:dyDescent="0.2">
      <c r="A56" s="1"/>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row>
    <row r="57" spans="1:49" ht="16" customHeight="1" x14ac:dyDescent="0.2">
      <c r="A57" s="1"/>
      <c r="B57" s="162"/>
      <c r="C57" s="14"/>
      <c r="D57" s="14"/>
      <c r="E57" s="350" t="s">
        <v>203</v>
      </c>
      <c r="F57" s="390"/>
      <c r="G57" s="14"/>
      <c r="H57" s="117"/>
      <c r="I57" s="3" t="s">
        <v>147</v>
      </c>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row>
    <row r="58" spans="1:49" ht="16" customHeight="1" x14ac:dyDescent="0.25">
      <c r="A58" s="1"/>
      <c r="B58" s="119" t="s">
        <v>137</v>
      </c>
      <c r="C58" s="116" t="s">
        <v>184</v>
      </c>
      <c r="D58" s="116" t="s">
        <v>182</v>
      </c>
      <c r="E58" s="116" t="s">
        <v>202</v>
      </c>
      <c r="F58" s="119" t="s">
        <v>201</v>
      </c>
      <c r="G58" s="116" t="s">
        <v>157</v>
      </c>
      <c r="H58" s="119" t="s">
        <v>148</v>
      </c>
      <c r="I58" s="309" t="s">
        <v>209</v>
      </c>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row>
    <row r="59" spans="1:49" ht="16" customHeight="1" x14ac:dyDescent="0.2">
      <c r="A59" s="1"/>
      <c r="B59" s="52">
        <v>1</v>
      </c>
      <c r="C59" s="314">
        <f>LN(I9)</f>
        <v>8.6143199021469599</v>
      </c>
      <c r="D59" s="315">
        <f>C9</f>
        <v>0</v>
      </c>
      <c r="E59" s="315" t="s">
        <v>205</v>
      </c>
      <c r="F59" s="316" t="s">
        <v>205</v>
      </c>
      <c r="G59" s="317">
        <f>C59+$F$14+$C$18</f>
        <v>8.2283199021469606</v>
      </c>
      <c r="H59" s="316">
        <f>$F$13</f>
        <v>2.4E-2</v>
      </c>
      <c r="I59" s="318">
        <f>F20</f>
        <v>4760</v>
      </c>
      <c r="J59" s="100" t="s">
        <v>206</v>
      </c>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row>
    <row r="60" spans="1:49" ht="16" customHeight="1" x14ac:dyDescent="0.2">
      <c r="A60" s="1"/>
      <c r="B60" s="52">
        <v>2</v>
      </c>
      <c r="C60" s="314">
        <f>LN(I10)</f>
        <v>8.6517240843738428</v>
      </c>
      <c r="D60" s="315">
        <f t="shared" ref="D60:D61" si="0">C10</f>
        <v>-0.125</v>
      </c>
      <c r="E60" s="317">
        <f>LN(I59)</f>
        <v>8.4680029472254663</v>
      </c>
      <c r="F60" s="316">
        <f>G59</f>
        <v>8.2283199021469606</v>
      </c>
      <c r="G60" s="317">
        <f>C60+$F$14+D60+$C$18+$F$15*(E60-F60)</f>
        <v>8.186263862938759</v>
      </c>
      <c r="H60" s="316">
        <f>$F$13</f>
        <v>2.4E-2</v>
      </c>
      <c r="I60" s="318">
        <f>_xlfn.LOGNORM.INV(D27,G60,H60)</f>
        <v>3600.1642312700233</v>
      </c>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row>
    <row r="61" spans="1:49" ht="16" customHeight="1" x14ac:dyDescent="0.2">
      <c r="A61" s="1"/>
      <c r="B61" s="52">
        <v>3</v>
      </c>
      <c r="C61" s="314">
        <f>LN(I11)</f>
        <v>8.6894644123566902</v>
      </c>
      <c r="D61" s="315">
        <f t="shared" si="0"/>
        <v>5.3999999999999999E-2</v>
      </c>
      <c r="E61" s="317">
        <f>LN(I60)</f>
        <v>8.1887347432008788</v>
      </c>
      <c r="F61" s="316">
        <f>G60</f>
        <v>8.186263862938759</v>
      </c>
      <c r="G61" s="317">
        <f>C61+$F$14+D61+$C$18+$F$15*(E61-G60)</f>
        <v>8.3579338796064935</v>
      </c>
      <c r="H61" s="316">
        <f>$F$13</f>
        <v>2.4E-2</v>
      </c>
      <c r="I61" s="318">
        <f>_xlfn.LOGNORM.INV(D28,G61,H61)</f>
        <v>4312.586208069818</v>
      </c>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row>
    <row r="62" spans="1:49" ht="16" customHeight="1" x14ac:dyDescent="0.2">
      <c r="A62" s="1"/>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row>
    <row r="63" spans="1:49" ht="16" customHeight="1" x14ac:dyDescent="0.2">
      <c r="A63" s="1"/>
      <c r="B63" s="24" t="s">
        <v>53</v>
      </c>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row>
    <row r="64" spans="1:49" ht="16" customHeight="1" x14ac:dyDescent="0.25">
      <c r="A64" s="1"/>
      <c r="B64" s="305" t="s">
        <v>446</v>
      </c>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49" ht="16" customHeight="1" x14ac:dyDescent="0.2">
      <c r="A65" s="1"/>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s="31" customFormat="1" ht="19" x14ac:dyDescent="0.25">
      <c r="A66" s="22" t="s">
        <v>2</v>
      </c>
      <c r="C66" s="45"/>
    </row>
    <row r="67" spans="1:49" s="31" customFormat="1" x14ac:dyDescent="0.2">
      <c r="B67" s="346" t="s">
        <v>458</v>
      </c>
      <c r="C67" s="348"/>
      <c r="D67" s="348"/>
      <c r="E67" s="348"/>
      <c r="F67" s="348"/>
      <c r="G67" s="348"/>
      <c r="H67" s="348"/>
      <c r="I67" s="348"/>
      <c r="M67" s="45"/>
    </row>
    <row r="68" spans="1:49" s="31" customFormat="1" x14ac:dyDescent="0.2">
      <c r="B68" s="348"/>
      <c r="C68" s="348"/>
      <c r="D68" s="348"/>
      <c r="E68" s="348"/>
      <c r="F68" s="348"/>
      <c r="G68" s="348"/>
      <c r="H68" s="348"/>
      <c r="I68" s="348"/>
      <c r="L68" s="25"/>
      <c r="M68" s="25"/>
      <c r="N68" s="25"/>
    </row>
    <row r="69" spans="1:49" s="31" customFormat="1" x14ac:dyDescent="0.2">
      <c r="B69" s="348"/>
      <c r="C69" s="348"/>
      <c r="D69" s="348"/>
      <c r="E69" s="348"/>
      <c r="F69" s="348"/>
      <c r="G69" s="348"/>
      <c r="H69" s="348"/>
      <c r="I69" s="348"/>
      <c r="L69" s="25"/>
      <c r="M69" s="25"/>
      <c r="N69" s="25"/>
    </row>
    <row r="70" spans="1:49" s="31" customFormat="1" x14ac:dyDescent="0.2">
      <c r="B70" s="348"/>
      <c r="C70" s="348"/>
      <c r="D70" s="348"/>
      <c r="E70" s="348"/>
      <c r="F70" s="348"/>
      <c r="G70" s="348"/>
      <c r="H70" s="348"/>
      <c r="I70" s="348"/>
      <c r="L70" s="25"/>
      <c r="M70" s="25"/>
      <c r="N70" s="25"/>
    </row>
    <row r="71" spans="1:49" s="31" customFormat="1" x14ac:dyDescent="0.2">
      <c r="B71" s="348"/>
      <c r="C71" s="348"/>
      <c r="D71" s="348"/>
      <c r="E71" s="348"/>
      <c r="F71" s="348"/>
      <c r="G71" s="348"/>
      <c r="H71" s="348"/>
      <c r="I71" s="348"/>
      <c r="L71" s="25"/>
      <c r="M71" s="25"/>
      <c r="N71" s="25"/>
    </row>
    <row r="72" spans="1:49" s="31" customFormat="1" x14ac:dyDescent="0.2">
      <c r="B72" s="348"/>
      <c r="C72" s="348"/>
      <c r="D72" s="348"/>
      <c r="E72" s="348"/>
      <c r="F72" s="348"/>
      <c r="G72" s="348"/>
      <c r="H72" s="348"/>
      <c r="I72" s="348"/>
      <c r="L72" s="25"/>
      <c r="M72" s="25"/>
      <c r="N72" s="25"/>
    </row>
    <row r="73" spans="1:49" s="31" customFormat="1" x14ac:dyDescent="0.2">
      <c r="B73" s="348"/>
      <c r="C73" s="348"/>
      <c r="D73" s="348"/>
      <c r="E73" s="348"/>
      <c r="F73" s="348"/>
      <c r="G73" s="348"/>
      <c r="H73" s="348"/>
      <c r="I73" s="348"/>
      <c r="L73" s="25"/>
      <c r="M73" s="25"/>
      <c r="N73" s="25"/>
    </row>
    <row r="74" spans="1:49" s="31" customFormat="1" x14ac:dyDescent="0.2">
      <c r="B74" s="348"/>
      <c r="C74" s="348"/>
      <c r="D74" s="348"/>
      <c r="E74" s="348"/>
      <c r="F74" s="348"/>
      <c r="G74" s="348"/>
      <c r="H74" s="348"/>
      <c r="I74" s="348"/>
      <c r="L74" s="25"/>
      <c r="M74" s="25"/>
      <c r="N74" s="25"/>
    </row>
    <row r="75" spans="1:49" s="31" customFormat="1" x14ac:dyDescent="0.2">
      <c r="B75" s="348"/>
      <c r="C75" s="348"/>
      <c r="D75" s="348"/>
      <c r="E75" s="348"/>
      <c r="F75" s="348"/>
      <c r="G75" s="348"/>
      <c r="H75" s="348"/>
      <c r="I75" s="348"/>
      <c r="L75" s="25"/>
      <c r="M75" s="25"/>
      <c r="N75" s="25"/>
    </row>
    <row r="76" spans="1:49" s="31" customFormat="1" x14ac:dyDescent="0.2">
      <c r="B76" s="348"/>
      <c r="C76" s="348"/>
      <c r="D76" s="348"/>
      <c r="E76" s="348"/>
      <c r="F76" s="348"/>
      <c r="G76" s="348"/>
      <c r="H76" s="348"/>
      <c r="I76" s="348"/>
      <c r="L76" s="25"/>
      <c r="M76" s="25"/>
      <c r="N76" s="25"/>
    </row>
    <row r="77" spans="1:49" s="31" customFormat="1" x14ac:dyDescent="0.2">
      <c r="B77" s="348"/>
      <c r="C77" s="348"/>
      <c r="D77" s="348"/>
      <c r="E77" s="348"/>
      <c r="F77" s="348"/>
      <c r="G77" s="348"/>
      <c r="H77" s="348"/>
      <c r="I77" s="348"/>
      <c r="L77" s="25"/>
      <c r="M77" s="25"/>
      <c r="N77" s="25"/>
    </row>
    <row r="78" spans="1:49" s="31" customFormat="1" x14ac:dyDescent="0.2">
      <c r="B78" s="348"/>
      <c r="C78" s="348"/>
      <c r="D78" s="348"/>
      <c r="E78" s="348"/>
      <c r="F78" s="348"/>
      <c r="G78" s="348"/>
      <c r="H78" s="348"/>
      <c r="I78" s="348"/>
      <c r="L78" s="25"/>
      <c r="M78" s="25"/>
      <c r="N78" s="25"/>
    </row>
    <row r="79" spans="1:49" s="31" customFormat="1" x14ac:dyDescent="0.2">
      <c r="B79" s="75"/>
      <c r="C79" s="75"/>
      <c r="D79" s="75"/>
      <c r="E79" s="75"/>
      <c r="F79" s="75"/>
      <c r="G79" s="75"/>
      <c r="H79" s="75"/>
      <c r="I79" s="75"/>
      <c r="L79" s="25"/>
      <c r="M79" s="25"/>
      <c r="N79" s="25"/>
    </row>
    <row r="80" spans="1:49" ht="19" x14ac:dyDescent="0.25">
      <c r="A80" s="14"/>
      <c r="B80" s="26" t="s">
        <v>207</v>
      </c>
      <c r="C80" s="14"/>
      <c r="D80" s="14"/>
      <c r="E80" s="14"/>
      <c r="F80" s="14"/>
      <c r="G80" s="14"/>
      <c r="H80" s="14"/>
      <c r="I80" s="14"/>
      <c r="J80" s="14"/>
      <c r="K80" s="14"/>
      <c r="L80" s="25"/>
      <c r="M80" s="25"/>
      <c r="N80" s="25"/>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row>
    <row r="81" spans="1:65" ht="16" customHeight="1" x14ac:dyDescent="0.2">
      <c r="A81" s="25"/>
      <c r="B81" s="346" t="s">
        <v>212</v>
      </c>
      <c r="C81" s="348"/>
      <c r="D81" s="348"/>
      <c r="E81" s="348"/>
      <c r="F81" s="348"/>
      <c r="G81" s="348"/>
      <c r="H81" s="348"/>
      <c r="I81" s="348"/>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row>
    <row r="82" spans="1:65" x14ac:dyDescent="0.2">
      <c r="A82" s="25"/>
      <c r="B82" s="348"/>
      <c r="C82" s="348"/>
      <c r="D82" s="348"/>
      <c r="E82" s="348"/>
      <c r="F82" s="348"/>
      <c r="G82" s="348"/>
      <c r="H82" s="348"/>
      <c r="I82" s="348"/>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row>
    <row r="83" spans="1:65" x14ac:dyDescent="0.2">
      <c r="A83" s="25"/>
      <c r="B83" s="348"/>
      <c r="C83" s="348"/>
      <c r="D83" s="348"/>
      <c r="E83" s="348"/>
      <c r="F83" s="348"/>
      <c r="G83" s="348"/>
      <c r="H83" s="348"/>
      <c r="I83" s="348"/>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row>
    <row r="84" spans="1:65" x14ac:dyDescent="0.2">
      <c r="A84" s="25"/>
      <c r="B84" s="348"/>
      <c r="C84" s="348"/>
      <c r="D84" s="348"/>
      <c r="E84" s="348"/>
      <c r="F84" s="348"/>
      <c r="G84" s="348"/>
      <c r="H84" s="348"/>
      <c r="I84" s="348"/>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row>
    <row r="85" spans="1:65" x14ac:dyDescent="0.2">
      <c r="A85" s="25"/>
      <c r="B85" s="348"/>
      <c r="C85" s="348"/>
      <c r="D85" s="348"/>
      <c r="E85" s="348"/>
      <c r="F85" s="348"/>
      <c r="G85" s="348"/>
      <c r="H85" s="348"/>
      <c r="I85" s="348"/>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row>
    <row r="86" spans="1:65" x14ac:dyDescent="0.2">
      <c r="A86" s="25"/>
      <c r="B86" s="348"/>
      <c r="C86" s="348"/>
      <c r="D86" s="348"/>
      <c r="E86" s="348"/>
      <c r="F86" s="348"/>
      <c r="G86" s="348"/>
      <c r="H86" s="348"/>
      <c r="I86" s="348"/>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row>
    <row r="87" spans="1:65" x14ac:dyDescent="0.2">
      <c r="A87" s="25"/>
      <c r="B87" s="348"/>
      <c r="C87" s="348"/>
      <c r="D87" s="348"/>
      <c r="E87" s="348"/>
      <c r="F87" s="348"/>
      <c r="G87" s="348"/>
      <c r="H87" s="348"/>
      <c r="I87" s="348"/>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row>
    <row r="88" spans="1:65" x14ac:dyDescent="0.2">
      <c r="A88" s="25"/>
      <c r="B88" s="348"/>
      <c r="C88" s="348"/>
      <c r="D88" s="348"/>
      <c r="E88" s="348"/>
      <c r="F88" s="348"/>
      <c r="G88" s="348"/>
      <c r="H88" s="348"/>
      <c r="I88" s="348"/>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row>
    <row r="89" spans="1:65" x14ac:dyDescent="0.2">
      <c r="A89" s="25"/>
      <c r="B89" s="348"/>
      <c r="C89" s="348"/>
      <c r="D89" s="348"/>
      <c r="E89" s="348"/>
      <c r="F89" s="348"/>
      <c r="G89" s="348"/>
      <c r="H89" s="348"/>
      <c r="I89" s="348"/>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row>
    <row r="90" spans="1:65" x14ac:dyDescent="0.2">
      <c r="A90" s="25"/>
      <c r="B90" s="10"/>
      <c r="C90" s="10"/>
      <c r="D90" s="10"/>
      <c r="E90" s="10"/>
      <c r="F90" s="10"/>
      <c r="G90" s="10"/>
      <c r="H90" s="10"/>
      <c r="I90" s="10"/>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row>
    <row r="91" spans="1:65" s="27" customFormat="1" ht="19" x14ac:dyDescent="0.25">
      <c r="A91" s="22" t="s">
        <v>12</v>
      </c>
      <c r="B91" s="26"/>
    </row>
    <row r="92" spans="1:65" s="27" customFormat="1" ht="16" customHeight="1" x14ac:dyDescent="0.2">
      <c r="A92" s="25"/>
      <c r="B92" s="346" t="s">
        <v>213</v>
      </c>
      <c r="C92" s="377"/>
      <c r="D92" s="378" t="s">
        <v>210</v>
      </c>
      <c r="E92" s="391"/>
      <c r="F92" s="391"/>
      <c r="G92" s="391"/>
      <c r="H92" s="391"/>
      <c r="I92" s="391"/>
      <c r="J92" s="391"/>
      <c r="K92" s="28"/>
    </row>
    <row r="93" spans="1:65" s="27" customFormat="1" ht="18" customHeight="1" x14ac:dyDescent="0.2">
      <c r="A93" s="25"/>
      <c r="B93" s="377"/>
      <c r="C93" s="377"/>
      <c r="D93" s="391"/>
      <c r="E93" s="391"/>
      <c r="F93" s="391"/>
      <c r="G93" s="391"/>
      <c r="H93" s="391"/>
      <c r="I93" s="391"/>
      <c r="J93" s="391"/>
      <c r="K93" s="28"/>
    </row>
    <row r="94" spans="1:65" s="27" customFormat="1" ht="19" customHeight="1" x14ac:dyDescent="0.2">
      <c r="A94" s="25"/>
      <c r="B94" s="377"/>
      <c r="C94" s="377"/>
      <c r="D94" s="391"/>
      <c r="E94" s="391"/>
      <c r="F94" s="391"/>
      <c r="G94" s="391"/>
      <c r="H94" s="391"/>
      <c r="I94" s="391"/>
      <c r="J94" s="391"/>
      <c r="K94" s="28"/>
    </row>
    <row r="95" spans="1:65" x14ac:dyDescent="0.2">
      <c r="A95" s="25"/>
      <c r="B95" s="10"/>
      <c r="C95" s="10"/>
      <c r="D95" s="10"/>
      <c r="E95" s="10"/>
      <c r="F95" s="10"/>
      <c r="G95" s="10"/>
      <c r="H95" s="10"/>
      <c r="I95" s="10"/>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row>
    <row r="96" spans="1:65" ht="19" x14ac:dyDescent="0.25">
      <c r="A96" s="22" t="s">
        <v>13</v>
      </c>
      <c r="B96" s="14"/>
      <c r="C96" s="14"/>
      <c r="D96" s="14"/>
      <c r="E96" s="14"/>
      <c r="F96" s="14"/>
      <c r="G96" s="14"/>
      <c r="H96" s="14"/>
      <c r="I96" s="14"/>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row>
    <row r="97" spans="1:65" x14ac:dyDescent="0.2">
      <c r="A97" s="25"/>
      <c r="B97" s="346" t="s">
        <v>449</v>
      </c>
      <c r="C97" s="380"/>
      <c r="D97" s="380"/>
      <c r="E97" s="380"/>
      <c r="F97" s="380"/>
      <c r="G97" s="380"/>
      <c r="H97" s="380"/>
      <c r="I97" s="380"/>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row>
    <row r="98" spans="1:65" x14ac:dyDescent="0.2">
      <c r="A98" s="25"/>
      <c r="B98" s="380"/>
      <c r="C98" s="380"/>
      <c r="D98" s="380"/>
      <c r="E98" s="380"/>
      <c r="F98" s="380"/>
      <c r="G98" s="380"/>
      <c r="H98" s="380"/>
      <c r="I98" s="380"/>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row>
    <row r="99" spans="1:65" x14ac:dyDescent="0.2">
      <c r="A99" s="25"/>
      <c r="B99" s="14"/>
      <c r="C99" s="14"/>
      <c r="D99" s="14"/>
      <c r="E99" s="14"/>
      <c r="F99" s="14"/>
      <c r="G99" s="14"/>
      <c r="H99" s="14"/>
      <c r="I99" s="14"/>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row>
    <row r="100" spans="1:65" s="31" customFormat="1" ht="19" x14ac:dyDescent="0.25">
      <c r="A100" s="22" t="s">
        <v>1</v>
      </c>
      <c r="L100" s="25"/>
      <c r="M100" s="25"/>
      <c r="N100" s="25"/>
    </row>
    <row r="101" spans="1:65" s="31" customFormat="1" x14ac:dyDescent="0.2">
      <c r="B101" s="305" t="s">
        <v>211</v>
      </c>
      <c r="L101" s="25"/>
      <c r="M101" s="25"/>
      <c r="N101" s="25"/>
    </row>
    <row r="102" spans="1:65" s="31" customFormat="1" x14ac:dyDescent="0.2">
      <c r="L102" s="25"/>
      <c r="M102" s="25"/>
      <c r="N102" s="25"/>
    </row>
    <row r="103" spans="1:65" s="31" customFormat="1" ht="19" x14ac:dyDescent="0.25">
      <c r="A103" s="22" t="s">
        <v>0</v>
      </c>
      <c r="L103" s="25"/>
      <c r="M103" s="25"/>
      <c r="N103" s="25"/>
    </row>
    <row r="104" spans="1:65" s="31" customFormat="1" x14ac:dyDescent="0.2">
      <c r="B104" s="305" t="s">
        <v>123</v>
      </c>
      <c r="C104" s="305"/>
      <c r="D104" s="305" t="s">
        <v>124</v>
      </c>
      <c r="L104" s="25"/>
      <c r="M104" s="25"/>
      <c r="N104" s="25"/>
    </row>
    <row r="105" spans="1:65" s="31" customFormat="1" x14ac:dyDescent="0.2">
      <c r="B105" s="305" t="s">
        <v>442</v>
      </c>
      <c r="C105" s="305"/>
      <c r="D105" s="305" t="s">
        <v>125</v>
      </c>
      <c r="L105" s="25"/>
      <c r="M105" s="25"/>
      <c r="N105" s="25"/>
    </row>
    <row r="106" spans="1:65" s="31" customFormat="1" x14ac:dyDescent="0.2">
      <c r="D106" s="344" t="s">
        <v>487</v>
      </c>
      <c r="L106" s="25"/>
      <c r="M106" s="25"/>
      <c r="N106" s="25"/>
    </row>
    <row r="107" spans="1:65" x14ac:dyDescent="0.2">
      <c r="A107" s="25"/>
      <c r="B107" s="14"/>
      <c r="C107" s="14"/>
      <c r="D107" s="14"/>
      <c r="E107" s="14"/>
      <c r="F107" s="14"/>
      <c r="G107" s="14"/>
      <c r="H107" s="14"/>
      <c r="I107" s="14"/>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row>
    <row r="108" spans="1:65" x14ac:dyDescent="0.2">
      <c r="A108" s="25"/>
      <c r="B108" s="14"/>
      <c r="C108" s="14"/>
      <c r="D108" s="14"/>
      <c r="E108" s="14"/>
      <c r="F108" s="14"/>
      <c r="G108" s="14"/>
      <c r="H108" s="14"/>
      <c r="I108" s="14"/>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row>
    <row r="109" spans="1:65" x14ac:dyDescent="0.2">
      <c r="A109" s="25"/>
      <c r="B109" s="14"/>
      <c r="C109" s="14"/>
      <c r="D109" s="14"/>
      <c r="E109" s="14"/>
      <c r="F109" s="14"/>
      <c r="G109" s="14"/>
      <c r="H109" s="14"/>
      <c r="I109" s="14"/>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row>
    <row r="110" spans="1:65" x14ac:dyDescent="0.2">
      <c r="A110" s="25"/>
      <c r="B110" s="14"/>
      <c r="C110" s="14"/>
      <c r="D110" s="14"/>
      <c r="E110" s="14"/>
      <c r="F110" s="14"/>
      <c r="G110" s="14"/>
      <c r="H110" s="14"/>
      <c r="I110" s="14"/>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row>
    <row r="111" spans="1:65" x14ac:dyDescent="0.2">
      <c r="A111" s="25"/>
      <c r="B111" s="14"/>
      <c r="C111" s="14"/>
      <c r="D111" s="14"/>
      <c r="E111" s="14"/>
      <c r="F111" s="14"/>
      <c r="G111" s="14"/>
      <c r="H111" s="14"/>
      <c r="I111" s="14"/>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row>
    <row r="112" spans="1:65" x14ac:dyDescent="0.2">
      <c r="A112" s="25"/>
      <c r="B112" s="14"/>
      <c r="C112" s="14"/>
      <c r="D112" s="14"/>
      <c r="E112" s="14"/>
      <c r="F112" s="14"/>
      <c r="G112" s="14"/>
      <c r="H112" s="14"/>
      <c r="I112" s="14"/>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row>
  </sheetData>
  <mergeCells count="15">
    <mergeCell ref="B92:C94"/>
    <mergeCell ref="D92:J94"/>
    <mergeCell ref="B97:I98"/>
    <mergeCell ref="B4:I5"/>
    <mergeCell ref="B7:B8"/>
    <mergeCell ref="C7:C8"/>
    <mergeCell ref="E7:E8"/>
    <mergeCell ref="B38:I39"/>
    <mergeCell ref="F7:F8"/>
    <mergeCell ref="E57:F57"/>
    <mergeCell ref="B81:I89"/>
    <mergeCell ref="I7:I8"/>
    <mergeCell ref="B67:I78"/>
    <mergeCell ref="H7:H8"/>
    <mergeCell ref="B45:I48"/>
  </mergeCells>
  <phoneticPr fontId="34" type="noConversion"/>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DD333-DC69-C84A-A79E-D0A907AE5CCE}">
  <dimension ref="A1:BM97"/>
  <sheetViews>
    <sheetView showGridLines="0" tabSelected="1" zoomScale="120" zoomScaleNormal="120" workbookViewId="0"/>
  </sheetViews>
  <sheetFormatPr baseColWidth="10" defaultColWidth="10.83203125" defaultRowHeight="16" x14ac:dyDescent="0.2"/>
  <cols>
    <col min="1" max="1" width="10.83203125" style="100"/>
    <col min="2" max="3" width="10.83203125" style="100" customWidth="1"/>
    <col min="4" max="5" width="10.83203125" style="100"/>
    <col min="6" max="7" width="10.83203125" style="100" customWidth="1"/>
    <col min="8" max="8" width="10.83203125" style="100"/>
    <col min="9" max="9" width="11.33203125" style="100" customWidth="1"/>
    <col min="10" max="10" width="10.83203125" style="100" customWidth="1"/>
    <col min="11" max="16384" width="10.83203125" style="100"/>
  </cols>
  <sheetData>
    <row r="1" spans="1:10" ht="19" x14ac:dyDescent="0.25">
      <c r="A1" s="11" t="s">
        <v>273</v>
      </c>
      <c r="B1" s="79"/>
      <c r="C1" s="79"/>
      <c r="D1" s="79"/>
      <c r="E1" s="79"/>
      <c r="F1" s="79"/>
      <c r="G1" s="79"/>
      <c r="H1" s="79"/>
      <c r="I1" s="79"/>
      <c r="J1" s="128"/>
    </row>
    <row r="2" spans="1:10" x14ac:dyDescent="0.2">
      <c r="A2" s="129"/>
      <c r="B2" s="79"/>
      <c r="C2" s="79"/>
      <c r="D2" s="79"/>
      <c r="E2" s="79"/>
      <c r="F2" s="79"/>
      <c r="G2" s="79"/>
      <c r="H2" s="79"/>
      <c r="I2" s="79"/>
      <c r="J2" s="128"/>
    </row>
    <row r="3" spans="1:10" x14ac:dyDescent="0.2">
      <c r="A3" s="130"/>
      <c r="B3" s="16" t="s">
        <v>11</v>
      </c>
      <c r="C3" s="79"/>
      <c r="D3" s="79"/>
      <c r="E3" s="79"/>
      <c r="F3" s="79"/>
      <c r="G3" s="79"/>
      <c r="H3" s="79"/>
      <c r="I3" s="79"/>
      <c r="J3" s="128"/>
    </row>
    <row r="4" spans="1:10" x14ac:dyDescent="0.2">
      <c r="A4" s="130"/>
      <c r="B4" s="362" t="s">
        <v>250</v>
      </c>
      <c r="C4" s="363"/>
      <c r="D4" s="363"/>
      <c r="E4" s="363"/>
      <c r="F4" s="363"/>
      <c r="G4" s="363"/>
      <c r="H4" s="363"/>
      <c r="I4" s="363"/>
      <c r="J4" s="128"/>
    </row>
    <row r="5" spans="1:10" x14ac:dyDescent="0.2">
      <c r="A5" s="130"/>
      <c r="B5" s="363"/>
      <c r="C5" s="363"/>
      <c r="D5" s="363"/>
      <c r="E5" s="363"/>
      <c r="F5" s="363"/>
      <c r="G5" s="363"/>
      <c r="H5" s="363"/>
      <c r="I5" s="363"/>
      <c r="J5" s="128"/>
    </row>
    <row r="6" spans="1:10" x14ac:dyDescent="0.2">
      <c r="A6" s="130"/>
      <c r="B6" s="363"/>
      <c r="C6" s="363"/>
      <c r="D6" s="363"/>
      <c r="E6" s="363"/>
      <c r="F6" s="363"/>
      <c r="G6" s="363"/>
      <c r="H6" s="363"/>
      <c r="I6" s="363"/>
      <c r="J6" s="128"/>
    </row>
    <row r="7" spans="1:10" x14ac:dyDescent="0.2">
      <c r="A7" s="129"/>
      <c r="B7" s="79"/>
      <c r="C7" s="79"/>
      <c r="D7" s="79"/>
      <c r="E7" s="79"/>
      <c r="F7" s="79"/>
      <c r="G7" s="79"/>
      <c r="H7" s="79"/>
      <c r="I7" s="79"/>
      <c r="J7" s="128"/>
    </row>
    <row r="8" spans="1:10" ht="16" customHeight="1" x14ac:dyDescent="0.2">
      <c r="A8" s="129"/>
      <c r="B8" s="381" t="s">
        <v>109</v>
      </c>
      <c r="C8" s="383" t="s">
        <v>110</v>
      </c>
      <c r="D8" s="79"/>
      <c r="E8" s="381" t="s">
        <v>109</v>
      </c>
      <c r="F8" s="383" t="s">
        <v>110</v>
      </c>
      <c r="G8" s="79"/>
      <c r="H8" s="381" t="s">
        <v>109</v>
      </c>
      <c r="I8" s="383" t="s">
        <v>110</v>
      </c>
      <c r="J8" s="128"/>
    </row>
    <row r="9" spans="1:10" x14ac:dyDescent="0.2">
      <c r="A9" s="129"/>
      <c r="B9" s="382"/>
      <c r="C9" s="384"/>
      <c r="D9" s="79"/>
      <c r="E9" s="382"/>
      <c r="F9" s="384"/>
      <c r="G9" s="79"/>
      <c r="H9" s="382"/>
      <c r="I9" s="384"/>
      <c r="J9" s="128"/>
    </row>
    <row r="10" spans="1:10" ht="19" x14ac:dyDescent="0.2">
      <c r="A10" s="129"/>
      <c r="B10" s="190" t="s">
        <v>254</v>
      </c>
      <c r="C10" s="191">
        <v>0</v>
      </c>
      <c r="D10" s="79"/>
      <c r="E10" s="190" t="s">
        <v>255</v>
      </c>
      <c r="F10" s="191">
        <v>-0.26</v>
      </c>
      <c r="G10" s="79"/>
      <c r="H10" s="192" t="s">
        <v>256</v>
      </c>
      <c r="I10" s="158">
        <v>-0.189</v>
      </c>
      <c r="J10" s="128"/>
    </row>
    <row r="11" spans="1:10" ht="19" x14ac:dyDescent="0.2">
      <c r="A11" s="129"/>
      <c r="B11" s="192" t="s">
        <v>257</v>
      </c>
      <c r="C11" s="158">
        <v>0.124</v>
      </c>
      <c r="D11" s="79"/>
      <c r="E11" s="192" t="s">
        <v>258</v>
      </c>
      <c r="F11" s="158">
        <v>-8.5000000000000006E-2</v>
      </c>
      <c r="G11" s="79"/>
      <c r="H11" s="192" t="s">
        <v>259</v>
      </c>
      <c r="I11" s="158">
        <v>-3.4000000000000002E-2</v>
      </c>
      <c r="J11" s="128"/>
    </row>
    <row r="12" spans="1:10" ht="19" x14ac:dyDescent="0.2">
      <c r="A12" s="129"/>
      <c r="B12" s="192" t="s">
        <v>260</v>
      </c>
      <c r="C12" s="158">
        <v>-5.3999999999999999E-2</v>
      </c>
      <c r="D12" s="79"/>
      <c r="E12" s="192" t="s">
        <v>113</v>
      </c>
      <c r="F12" s="158" t="s">
        <v>113</v>
      </c>
      <c r="G12" s="79"/>
      <c r="H12" s="192" t="s">
        <v>113</v>
      </c>
      <c r="I12" s="158" t="s">
        <v>113</v>
      </c>
      <c r="J12" s="128"/>
    </row>
    <row r="13" spans="1:10" ht="19" x14ac:dyDescent="0.2">
      <c r="A13" s="129"/>
      <c r="B13" s="192" t="s">
        <v>261</v>
      </c>
      <c r="C13" s="158">
        <v>0.23100000000000001</v>
      </c>
      <c r="D13" s="79"/>
      <c r="E13" s="192" t="s">
        <v>262</v>
      </c>
      <c r="F13" s="158">
        <v>0.113</v>
      </c>
      <c r="G13" s="79"/>
      <c r="H13" s="192" t="s">
        <v>263</v>
      </c>
      <c r="I13" s="158">
        <v>0.10100000000000001</v>
      </c>
      <c r="J13" s="128"/>
    </row>
    <row r="14" spans="1:10" ht="19" x14ac:dyDescent="0.2">
      <c r="A14" s="129"/>
      <c r="B14" s="192" t="s">
        <v>266</v>
      </c>
      <c r="C14" s="158">
        <v>0.16500000000000001</v>
      </c>
      <c r="D14" s="79"/>
      <c r="E14" s="192" t="s">
        <v>264</v>
      </c>
      <c r="F14" s="158">
        <v>9.4E-2</v>
      </c>
      <c r="G14" s="79"/>
      <c r="H14" s="192" t="s">
        <v>265</v>
      </c>
      <c r="I14" s="158">
        <v>8.5999999999999993E-2</v>
      </c>
      <c r="J14" s="128"/>
    </row>
    <row r="15" spans="1:10" ht="17" x14ac:dyDescent="0.2">
      <c r="A15" s="129"/>
      <c r="B15" s="192" t="s">
        <v>113</v>
      </c>
      <c r="C15" s="158" t="s">
        <v>113</v>
      </c>
      <c r="D15" s="79"/>
      <c r="E15" s="192" t="s">
        <v>113</v>
      </c>
      <c r="F15" s="158" t="s">
        <v>113</v>
      </c>
      <c r="G15" s="79"/>
      <c r="H15" s="192" t="s">
        <v>113</v>
      </c>
      <c r="I15" s="158" t="s">
        <v>113</v>
      </c>
      <c r="J15" s="128"/>
    </row>
    <row r="16" spans="1:10" ht="17" x14ac:dyDescent="0.2">
      <c r="A16" s="129"/>
      <c r="B16" s="193" t="s">
        <v>172</v>
      </c>
      <c r="C16" s="194">
        <v>-0.39700000000000002</v>
      </c>
      <c r="D16" s="79"/>
      <c r="E16" s="131" t="s">
        <v>173</v>
      </c>
      <c r="F16" s="194">
        <v>7.1999999999999995E-2</v>
      </c>
      <c r="G16" s="79"/>
      <c r="H16" s="193" t="s">
        <v>121</v>
      </c>
      <c r="I16" s="194">
        <v>0.14499999999999999</v>
      </c>
      <c r="J16" s="128"/>
    </row>
    <row r="17" spans="1:10" x14ac:dyDescent="0.2">
      <c r="A17" s="129"/>
      <c r="B17" s="79"/>
      <c r="C17" s="79"/>
      <c r="D17" s="79"/>
      <c r="E17" s="81"/>
      <c r="F17" s="195"/>
      <c r="G17" s="79"/>
      <c r="H17" s="196"/>
      <c r="I17" s="195"/>
      <c r="J17" s="128"/>
    </row>
    <row r="18" spans="1:10" x14ac:dyDescent="0.2">
      <c r="A18" s="129"/>
      <c r="B18" s="307" t="s">
        <v>251</v>
      </c>
      <c r="C18" s="79"/>
      <c r="D18" s="157">
        <v>6500</v>
      </c>
      <c r="E18" s="81"/>
      <c r="F18" s="79"/>
      <c r="G18" s="79"/>
      <c r="H18" s="79"/>
      <c r="I18" s="79"/>
      <c r="J18" s="128"/>
    </row>
    <row r="19" spans="1:10" x14ac:dyDescent="0.2">
      <c r="A19" s="129"/>
      <c r="B19" s="101"/>
      <c r="C19" s="79"/>
      <c r="D19" s="79"/>
      <c r="E19" s="79"/>
      <c r="F19" s="157"/>
      <c r="G19" s="79"/>
      <c r="H19" s="79"/>
      <c r="I19" s="79"/>
      <c r="J19" s="128"/>
    </row>
    <row r="20" spans="1:10" x14ac:dyDescent="0.2">
      <c r="A20" s="129"/>
      <c r="B20" s="397" t="s">
        <v>253</v>
      </c>
      <c r="C20" s="398"/>
      <c r="D20" s="398"/>
      <c r="E20" s="398"/>
      <c r="F20" s="398"/>
      <c r="G20" s="398"/>
      <c r="H20" s="398"/>
      <c r="I20" s="398"/>
      <c r="J20" s="128"/>
    </row>
    <row r="21" spans="1:10" x14ac:dyDescent="0.2">
      <c r="A21" s="129"/>
      <c r="B21" s="398"/>
      <c r="C21" s="398"/>
      <c r="D21" s="398"/>
      <c r="E21" s="398"/>
      <c r="F21" s="398"/>
      <c r="G21" s="398"/>
      <c r="H21" s="398"/>
      <c r="I21" s="398"/>
      <c r="J21" s="128"/>
    </row>
    <row r="22" spans="1:10" x14ac:dyDescent="0.2">
      <c r="A22" s="129"/>
      <c r="B22" s="101"/>
      <c r="C22" s="79"/>
      <c r="D22" s="79"/>
      <c r="E22" s="79"/>
      <c r="F22" s="157"/>
      <c r="G22" s="79"/>
      <c r="H22" s="79"/>
      <c r="I22" s="79"/>
      <c r="J22" s="128"/>
    </row>
    <row r="23" spans="1:10" x14ac:dyDescent="0.2">
      <c r="A23" s="129"/>
      <c r="B23" s="101"/>
      <c r="C23" s="189"/>
      <c r="D23" s="189" t="s">
        <v>252</v>
      </c>
      <c r="E23" s="79"/>
      <c r="F23" s="157"/>
      <c r="G23" s="79"/>
      <c r="H23" s="79"/>
      <c r="I23" s="79"/>
      <c r="J23" s="128"/>
    </row>
    <row r="24" spans="1:10" ht="18" x14ac:dyDescent="0.25">
      <c r="A24" s="129"/>
      <c r="B24" s="101"/>
      <c r="C24" s="319" t="s">
        <v>268</v>
      </c>
      <c r="D24" s="113">
        <v>4600</v>
      </c>
      <c r="E24" s="79"/>
      <c r="F24" s="157"/>
      <c r="G24" s="79"/>
      <c r="H24" s="79"/>
      <c r="I24" s="79"/>
      <c r="J24" s="128"/>
    </row>
    <row r="25" spans="1:10" ht="18" x14ac:dyDescent="0.25">
      <c r="A25" s="130"/>
      <c r="B25" s="101"/>
      <c r="C25" s="320" t="s">
        <v>453</v>
      </c>
      <c r="D25" s="131">
        <v>8.35</v>
      </c>
      <c r="E25" s="79"/>
      <c r="F25" s="79"/>
      <c r="G25" s="79"/>
      <c r="H25" s="79"/>
      <c r="I25" s="79"/>
      <c r="J25" s="128"/>
    </row>
    <row r="26" spans="1:10" x14ac:dyDescent="0.2">
      <c r="A26" s="130"/>
      <c r="B26" s="79"/>
      <c r="C26" s="80"/>
      <c r="D26" s="177"/>
      <c r="E26" s="80"/>
      <c r="F26" s="79"/>
      <c r="G26" s="79"/>
      <c r="H26" s="79"/>
      <c r="I26" s="79"/>
      <c r="J26" s="128"/>
    </row>
    <row r="27" spans="1:10" x14ac:dyDescent="0.2">
      <c r="A27" s="130"/>
      <c r="B27" s="79"/>
      <c r="C27" s="80"/>
      <c r="D27" s="177"/>
      <c r="E27" s="80"/>
      <c r="F27" s="79"/>
      <c r="G27" s="79"/>
      <c r="H27" s="79"/>
      <c r="I27" s="79"/>
      <c r="J27" s="128"/>
    </row>
    <row r="28" spans="1:10" ht="16" customHeight="1" x14ac:dyDescent="0.2">
      <c r="A28" s="130" t="s">
        <v>10</v>
      </c>
      <c r="B28" s="362" t="s">
        <v>279</v>
      </c>
      <c r="C28" s="363"/>
      <c r="D28" s="363"/>
      <c r="E28" s="363"/>
      <c r="F28" s="363"/>
      <c r="G28" s="363"/>
      <c r="H28" s="363"/>
      <c r="I28" s="363"/>
      <c r="J28" s="128"/>
    </row>
    <row r="29" spans="1:10" ht="16" customHeight="1" x14ac:dyDescent="0.2">
      <c r="A29" s="130"/>
      <c r="B29" s="363"/>
      <c r="C29" s="363"/>
      <c r="D29" s="363"/>
      <c r="E29" s="363"/>
      <c r="F29" s="363"/>
      <c r="G29" s="363"/>
      <c r="H29" s="363"/>
      <c r="I29" s="363"/>
      <c r="J29" s="128"/>
    </row>
    <row r="30" spans="1:10" ht="16" customHeight="1" x14ac:dyDescent="0.2">
      <c r="A30" s="130"/>
      <c r="B30" s="79"/>
      <c r="C30" s="187"/>
      <c r="D30" s="187"/>
      <c r="E30" s="187"/>
      <c r="F30" s="187"/>
      <c r="G30" s="187"/>
      <c r="H30" s="187"/>
      <c r="I30" s="187"/>
      <c r="J30" s="128"/>
    </row>
    <row r="31" spans="1:10" ht="16" customHeight="1" x14ac:dyDescent="0.2">
      <c r="A31" s="130" t="s">
        <v>9</v>
      </c>
      <c r="B31" s="362" t="s">
        <v>450</v>
      </c>
      <c r="C31" s="363"/>
      <c r="D31" s="363"/>
      <c r="E31" s="363"/>
      <c r="F31" s="363"/>
      <c r="G31" s="363"/>
      <c r="H31" s="363"/>
      <c r="I31" s="363"/>
      <c r="J31" s="128"/>
    </row>
    <row r="32" spans="1:10" ht="16" customHeight="1" x14ac:dyDescent="0.2">
      <c r="A32" s="130"/>
      <c r="B32" s="363"/>
      <c r="C32" s="363"/>
      <c r="D32" s="363"/>
      <c r="E32" s="363"/>
      <c r="F32" s="363"/>
      <c r="G32" s="363"/>
      <c r="H32" s="363"/>
      <c r="I32" s="363"/>
      <c r="J32" s="128"/>
    </row>
    <row r="33" spans="1:10" ht="17" thickBot="1" x14ac:dyDescent="0.25">
      <c r="A33" s="141"/>
      <c r="B33" s="142"/>
      <c r="C33" s="143"/>
      <c r="D33" s="143"/>
      <c r="E33" s="143"/>
      <c r="F33" s="142"/>
      <c r="G33" s="142"/>
      <c r="H33" s="142"/>
      <c r="I33" s="142"/>
      <c r="J33" s="144"/>
    </row>
    <row r="35" spans="1:10" ht="19" x14ac:dyDescent="0.25">
      <c r="A35" s="22" t="s">
        <v>8</v>
      </c>
    </row>
    <row r="36" spans="1:10" ht="16" customHeight="1" x14ac:dyDescent="0.2">
      <c r="A36" s="23" t="s">
        <v>267</v>
      </c>
      <c r="B36" s="24"/>
      <c r="C36" s="24"/>
      <c r="D36" s="24"/>
      <c r="E36" s="24"/>
      <c r="F36" s="24"/>
      <c r="G36" s="24"/>
      <c r="H36" s="24"/>
      <c r="I36" s="24"/>
    </row>
    <row r="37" spans="1:10" ht="18" customHeight="1" x14ac:dyDescent="0.2">
      <c r="A37" s="1" t="s">
        <v>7</v>
      </c>
      <c r="B37" s="364" t="s">
        <v>452</v>
      </c>
      <c r="C37" s="364"/>
      <c r="D37" s="364"/>
      <c r="E37" s="364"/>
      <c r="F37" s="364"/>
      <c r="G37" s="364"/>
      <c r="H37" s="364"/>
      <c r="I37" s="364"/>
    </row>
    <row r="38" spans="1:10" ht="16" customHeight="1" x14ac:dyDescent="0.2">
      <c r="A38" s="1"/>
      <c r="B38" s="364"/>
      <c r="C38" s="364"/>
      <c r="D38" s="364"/>
      <c r="E38" s="364"/>
      <c r="F38" s="364"/>
      <c r="G38" s="364"/>
      <c r="H38" s="364"/>
      <c r="I38" s="364"/>
    </row>
    <row r="39" spans="1:10" ht="19" customHeight="1" x14ac:dyDescent="0.2">
      <c r="A39" s="1"/>
      <c r="B39" s="364"/>
      <c r="C39" s="364"/>
      <c r="D39" s="364"/>
      <c r="E39" s="364"/>
      <c r="F39" s="364"/>
      <c r="G39" s="364"/>
      <c r="H39" s="364"/>
      <c r="I39" s="364"/>
    </row>
    <row r="40" spans="1:10" ht="16" customHeight="1" x14ac:dyDescent="0.2">
      <c r="A40" s="1"/>
    </row>
    <row r="41" spans="1:10" ht="16" customHeight="1" x14ac:dyDescent="0.2">
      <c r="A41" s="1"/>
      <c r="F41" s="115"/>
      <c r="G41" s="115"/>
    </row>
    <row r="42" spans="1:10" ht="16" customHeight="1" x14ac:dyDescent="0.2">
      <c r="A42" s="1"/>
    </row>
    <row r="43" spans="1:10" ht="16" customHeight="1" x14ac:dyDescent="0.2">
      <c r="A43" s="1"/>
      <c r="F43" s="115"/>
      <c r="G43" s="115"/>
    </row>
    <row r="44" spans="1:10" ht="16" customHeight="1" x14ac:dyDescent="0.25">
      <c r="A44" s="1"/>
      <c r="F44" s="115" t="s">
        <v>269</v>
      </c>
      <c r="G44" s="171">
        <f>LN(D18)+C16+C13+F11*(1-F16)^(4-1)</f>
        <v>8.5456272619637268</v>
      </c>
    </row>
    <row r="45" spans="1:10" ht="16" customHeight="1" x14ac:dyDescent="0.25">
      <c r="A45" s="1"/>
      <c r="F45" s="115" t="s">
        <v>264</v>
      </c>
      <c r="G45" s="198">
        <f>F14</f>
        <v>9.4E-2</v>
      </c>
    </row>
    <row r="46" spans="1:10" ht="16" customHeight="1" thickBot="1" x14ac:dyDescent="0.25">
      <c r="A46" s="1"/>
    </row>
    <row r="47" spans="1:10" ht="16" customHeight="1" thickBot="1" x14ac:dyDescent="0.3">
      <c r="A47" s="1"/>
      <c r="F47" s="124" t="s">
        <v>272</v>
      </c>
      <c r="G47" s="197">
        <f>EXP(G44+G45^2/2)</f>
        <v>5166.9882899199592</v>
      </c>
    </row>
    <row r="48" spans="1:10" ht="16" customHeight="1" x14ac:dyDescent="0.2">
      <c r="A48" s="1"/>
      <c r="F48" s="115"/>
      <c r="G48" s="109"/>
    </row>
    <row r="49" spans="1:14" ht="16" customHeight="1" x14ac:dyDescent="0.2">
      <c r="A49" s="23" t="s">
        <v>274</v>
      </c>
    </row>
    <row r="50" spans="1:14" ht="18" customHeight="1" x14ac:dyDescent="0.2">
      <c r="A50" s="1" t="s">
        <v>5</v>
      </c>
      <c r="B50" s="364" t="s">
        <v>451</v>
      </c>
      <c r="C50" s="364"/>
      <c r="D50" s="364"/>
      <c r="E50" s="364"/>
      <c r="F50" s="364"/>
      <c r="G50" s="364"/>
      <c r="H50" s="364"/>
      <c r="I50" s="364"/>
    </row>
    <row r="51" spans="1:14" ht="16" customHeight="1" x14ac:dyDescent="0.2">
      <c r="A51" s="1"/>
      <c r="B51" s="364"/>
      <c r="C51" s="364"/>
      <c r="D51" s="364"/>
      <c r="E51" s="364"/>
      <c r="F51" s="364"/>
      <c r="G51" s="364"/>
      <c r="H51" s="364"/>
      <c r="I51" s="364"/>
    </row>
    <row r="52" spans="1:14" ht="16" customHeight="1" x14ac:dyDescent="0.2">
      <c r="A52" s="1"/>
      <c r="B52" s="76"/>
      <c r="C52" s="76"/>
      <c r="D52" s="76"/>
      <c r="E52" s="76"/>
      <c r="F52" s="76"/>
      <c r="G52" s="76"/>
      <c r="H52" s="76"/>
      <c r="I52" s="76"/>
    </row>
    <row r="53" spans="1:14" ht="16" customHeight="1" x14ac:dyDescent="0.2">
      <c r="A53" s="1"/>
    </row>
    <row r="54" spans="1:14" ht="16" customHeight="1" x14ac:dyDescent="0.2">
      <c r="A54" s="1"/>
      <c r="F54" s="115"/>
      <c r="G54" s="115"/>
    </row>
    <row r="55" spans="1:14" ht="16" customHeight="1" x14ac:dyDescent="0.25">
      <c r="A55" s="1"/>
      <c r="F55" s="115" t="s">
        <v>270</v>
      </c>
      <c r="G55" s="171">
        <f>LN(D18)+C16+C13+I11+I16*(LN(D24)-D25)</f>
        <v>8.5917101353429182</v>
      </c>
    </row>
    <row r="56" spans="1:14" ht="16" customHeight="1" x14ac:dyDescent="0.25">
      <c r="A56" s="1"/>
      <c r="F56" s="115" t="s">
        <v>265</v>
      </c>
      <c r="G56" s="198">
        <f>I14</f>
        <v>8.5999999999999993E-2</v>
      </c>
    </row>
    <row r="57" spans="1:14" ht="16" customHeight="1" thickBot="1" x14ac:dyDescent="0.25">
      <c r="A57" s="1"/>
    </row>
    <row r="58" spans="1:14" ht="16" customHeight="1" thickBot="1" x14ac:dyDescent="0.3">
      <c r="A58" s="1"/>
      <c r="F58" s="124" t="s">
        <v>271</v>
      </c>
      <c r="G58" s="197">
        <f>EXP(G55+G56^2/2)</f>
        <v>5406.7753219788301</v>
      </c>
      <c r="L58" s="25"/>
    </row>
    <row r="60" spans="1:14" ht="19" x14ac:dyDescent="0.25">
      <c r="A60" s="22" t="s">
        <v>2</v>
      </c>
      <c r="L60" s="25"/>
      <c r="M60" s="25"/>
      <c r="N60" s="25"/>
    </row>
    <row r="61" spans="1:14" ht="19" customHeight="1" x14ac:dyDescent="0.25">
      <c r="A61" s="22"/>
      <c r="B61" s="346" t="s">
        <v>454</v>
      </c>
      <c r="C61" s="348"/>
      <c r="D61" s="348"/>
      <c r="E61" s="348"/>
      <c r="F61" s="348"/>
      <c r="G61" s="348"/>
      <c r="H61" s="348"/>
      <c r="I61" s="348"/>
      <c r="L61" s="25"/>
      <c r="M61" s="25"/>
      <c r="N61" s="25"/>
    </row>
    <row r="62" spans="1:14" ht="16" customHeight="1" x14ac:dyDescent="0.25">
      <c r="A62" s="22"/>
      <c r="B62" s="348"/>
      <c r="C62" s="348"/>
      <c r="D62" s="348"/>
      <c r="E62" s="348"/>
      <c r="F62" s="348"/>
      <c r="G62" s="348"/>
      <c r="H62" s="348"/>
      <c r="I62" s="348"/>
      <c r="L62" s="25"/>
      <c r="M62" s="25"/>
      <c r="N62" s="25"/>
    </row>
    <row r="63" spans="1:14" ht="16" customHeight="1" x14ac:dyDescent="0.25">
      <c r="A63" s="22"/>
      <c r="B63" s="348"/>
      <c r="C63" s="348"/>
      <c r="D63" s="348"/>
      <c r="E63" s="348"/>
      <c r="F63" s="348"/>
      <c r="G63" s="348"/>
      <c r="H63" s="348"/>
      <c r="I63" s="348"/>
      <c r="L63" s="25"/>
      <c r="M63" s="25"/>
      <c r="N63" s="25"/>
    </row>
    <row r="64" spans="1:14" ht="16" customHeight="1" x14ac:dyDescent="0.25">
      <c r="A64" s="22"/>
      <c r="B64" s="348"/>
      <c r="C64" s="348"/>
      <c r="D64" s="348"/>
      <c r="E64" s="348"/>
      <c r="F64" s="348"/>
      <c r="G64" s="348"/>
      <c r="H64" s="348"/>
      <c r="I64" s="348"/>
      <c r="L64" s="25"/>
      <c r="M64" s="25"/>
      <c r="N64" s="25"/>
    </row>
    <row r="65" spans="1:65" ht="16" customHeight="1" x14ac:dyDescent="0.25">
      <c r="A65" s="22"/>
      <c r="B65" s="348"/>
      <c r="C65" s="348"/>
      <c r="D65" s="348"/>
      <c r="E65" s="348"/>
      <c r="F65" s="348"/>
      <c r="G65" s="348"/>
      <c r="H65" s="348"/>
      <c r="I65" s="348"/>
      <c r="L65" s="25"/>
      <c r="M65" s="25"/>
      <c r="N65" s="25"/>
    </row>
    <row r="66" spans="1:65" ht="16" customHeight="1" x14ac:dyDescent="0.25">
      <c r="A66" s="22"/>
      <c r="L66" s="25"/>
      <c r="M66" s="25"/>
      <c r="N66" s="25"/>
    </row>
    <row r="67" spans="1:65" ht="19" x14ac:dyDescent="0.25">
      <c r="B67" s="26" t="s">
        <v>275</v>
      </c>
      <c r="L67" s="25"/>
      <c r="M67" s="25"/>
      <c r="N67" s="25"/>
    </row>
    <row r="68" spans="1:65" ht="19" customHeight="1" x14ac:dyDescent="0.2">
      <c r="A68" s="25"/>
      <c r="B68" s="346" t="s">
        <v>455</v>
      </c>
      <c r="C68" s="348"/>
      <c r="D68" s="348"/>
      <c r="E68" s="348"/>
      <c r="F68" s="348"/>
      <c r="G68" s="348"/>
      <c r="H68" s="348"/>
      <c r="I68" s="348"/>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row>
    <row r="69" spans="1:65" x14ac:dyDescent="0.2">
      <c r="A69" s="25"/>
      <c r="B69" s="348"/>
      <c r="C69" s="348"/>
      <c r="D69" s="348"/>
      <c r="E69" s="348"/>
      <c r="F69" s="348"/>
      <c r="G69" s="348"/>
      <c r="H69" s="348"/>
      <c r="I69" s="348"/>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row>
    <row r="70" spans="1:65" x14ac:dyDescent="0.2">
      <c r="A70" s="25"/>
      <c r="B70" s="348"/>
      <c r="C70" s="348"/>
      <c r="D70" s="348"/>
      <c r="E70" s="348"/>
      <c r="F70" s="348"/>
      <c r="G70" s="348"/>
      <c r="H70" s="348"/>
      <c r="I70" s="348"/>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row>
    <row r="71" spans="1:65" x14ac:dyDescent="0.2">
      <c r="A71" s="25"/>
      <c r="B71" s="348"/>
      <c r="C71" s="348"/>
      <c r="D71" s="348"/>
      <c r="E71" s="348"/>
      <c r="F71" s="348"/>
      <c r="G71" s="348"/>
      <c r="H71" s="348"/>
      <c r="I71" s="348"/>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row>
    <row r="72" spans="1:65" x14ac:dyDescent="0.2">
      <c r="A72" s="25"/>
      <c r="B72" s="348"/>
      <c r="C72" s="348"/>
      <c r="D72" s="348"/>
      <c r="E72" s="348"/>
      <c r="F72" s="348"/>
      <c r="G72" s="348"/>
      <c r="H72" s="348"/>
      <c r="I72" s="348"/>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row>
    <row r="73" spans="1:65" x14ac:dyDescent="0.2">
      <c r="A73" s="25"/>
      <c r="B73" s="348"/>
      <c r="C73" s="348"/>
      <c r="D73" s="348"/>
      <c r="E73" s="348"/>
      <c r="F73" s="348"/>
      <c r="G73" s="348"/>
      <c r="H73" s="348"/>
      <c r="I73" s="348"/>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row>
    <row r="74" spans="1:65" x14ac:dyDescent="0.2">
      <c r="A74" s="25"/>
      <c r="B74" s="348"/>
      <c r="C74" s="348"/>
      <c r="D74" s="348"/>
      <c r="E74" s="348"/>
      <c r="F74" s="348"/>
      <c r="G74" s="348"/>
      <c r="H74" s="348"/>
      <c r="I74" s="348"/>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row>
    <row r="75" spans="1:65" x14ac:dyDescent="0.2">
      <c r="A75" s="25"/>
      <c r="B75" s="348"/>
      <c r="C75" s="348"/>
      <c r="D75" s="348"/>
      <c r="E75" s="348"/>
      <c r="F75" s="348"/>
      <c r="G75" s="348"/>
      <c r="H75" s="348"/>
      <c r="I75" s="348"/>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row>
    <row r="76" spans="1:65" x14ac:dyDescent="0.2">
      <c r="A76" s="25"/>
      <c r="B76" s="123"/>
      <c r="C76" s="123"/>
      <c r="D76" s="123"/>
      <c r="E76" s="123"/>
      <c r="F76" s="123"/>
      <c r="G76" s="123"/>
      <c r="H76" s="123"/>
      <c r="I76" s="123"/>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row>
    <row r="77" spans="1:65" ht="19" x14ac:dyDescent="0.25">
      <c r="A77" s="25"/>
      <c r="B77" s="26" t="s">
        <v>276</v>
      </c>
      <c r="C77" s="123"/>
      <c r="D77" s="123"/>
      <c r="E77" s="123"/>
      <c r="F77" s="123"/>
      <c r="G77" s="123"/>
      <c r="H77" s="123"/>
      <c r="I77" s="123"/>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row>
    <row r="78" spans="1:65" x14ac:dyDescent="0.2">
      <c r="A78" s="25"/>
      <c r="B78" s="346" t="s">
        <v>456</v>
      </c>
      <c r="C78" s="348"/>
      <c r="D78" s="348"/>
      <c r="E78" s="348"/>
      <c r="F78" s="348"/>
      <c r="G78" s="348"/>
      <c r="H78" s="348"/>
      <c r="I78" s="348"/>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row>
    <row r="79" spans="1:65" x14ac:dyDescent="0.2">
      <c r="A79" s="25"/>
      <c r="B79" s="348"/>
      <c r="C79" s="348"/>
      <c r="D79" s="348"/>
      <c r="E79" s="348"/>
      <c r="F79" s="348"/>
      <c r="G79" s="348"/>
      <c r="H79" s="348"/>
      <c r="I79" s="348"/>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row>
    <row r="80" spans="1:65" x14ac:dyDescent="0.2">
      <c r="A80" s="25"/>
      <c r="B80" s="348"/>
      <c r="C80" s="348"/>
      <c r="D80" s="348"/>
      <c r="E80" s="348"/>
      <c r="F80" s="348"/>
      <c r="G80" s="348"/>
      <c r="H80" s="348"/>
      <c r="I80" s="348"/>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row>
    <row r="81" spans="1:65" x14ac:dyDescent="0.2">
      <c r="A81" s="25"/>
      <c r="B81" s="348"/>
      <c r="C81" s="348"/>
      <c r="D81" s="348"/>
      <c r="E81" s="348"/>
      <c r="F81" s="348"/>
      <c r="G81" s="348"/>
      <c r="H81" s="348"/>
      <c r="I81" s="348"/>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row>
    <row r="82" spans="1:65" x14ac:dyDescent="0.2">
      <c r="A82" s="25"/>
      <c r="B82" s="348"/>
      <c r="C82" s="348"/>
      <c r="D82" s="348"/>
      <c r="E82" s="348"/>
      <c r="F82" s="348"/>
      <c r="G82" s="348"/>
      <c r="H82" s="348"/>
      <c r="I82" s="348"/>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row>
    <row r="83" spans="1:65" x14ac:dyDescent="0.2">
      <c r="A83" s="25"/>
      <c r="B83" s="123"/>
      <c r="C83" s="123"/>
      <c r="D83" s="123"/>
      <c r="E83" s="123"/>
      <c r="F83" s="123"/>
      <c r="G83" s="123"/>
      <c r="H83" s="123"/>
      <c r="I83" s="123"/>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row>
    <row r="84" spans="1:65" ht="19" x14ac:dyDescent="0.25">
      <c r="A84" s="22" t="s">
        <v>12</v>
      </c>
      <c r="B84" s="26"/>
    </row>
    <row r="85" spans="1:65" ht="18" customHeight="1" x14ac:dyDescent="0.2">
      <c r="A85" s="25"/>
      <c r="B85" s="346" t="s">
        <v>278</v>
      </c>
      <c r="C85" s="348"/>
      <c r="D85" s="378" t="s">
        <v>457</v>
      </c>
      <c r="E85" s="379"/>
      <c r="F85" s="379"/>
      <c r="G85" s="379"/>
      <c r="H85" s="379"/>
      <c r="I85" s="379"/>
      <c r="J85" s="379"/>
      <c r="K85" s="155"/>
    </row>
    <row r="86" spans="1:65" ht="18" customHeight="1" x14ac:dyDescent="0.2">
      <c r="A86" s="25"/>
      <c r="B86" s="348"/>
      <c r="C86" s="348"/>
      <c r="D86" s="379"/>
      <c r="E86" s="379"/>
      <c r="F86" s="379"/>
      <c r="G86" s="379"/>
      <c r="H86" s="379"/>
      <c r="I86" s="379"/>
      <c r="J86" s="379"/>
      <c r="K86" s="155"/>
    </row>
    <row r="87" spans="1:65" x14ac:dyDescent="0.2">
      <c r="A87" s="25"/>
      <c r="B87" s="123"/>
      <c r="C87" s="123"/>
      <c r="D87" s="123"/>
      <c r="E87" s="123"/>
      <c r="F87" s="123"/>
      <c r="G87" s="123"/>
      <c r="H87" s="123"/>
      <c r="I87" s="123"/>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row>
    <row r="88" spans="1:65" ht="19" x14ac:dyDescent="0.25">
      <c r="A88" s="22" t="s">
        <v>1</v>
      </c>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row>
    <row r="89" spans="1:65" x14ac:dyDescent="0.2">
      <c r="A89" s="25"/>
      <c r="B89" s="100" t="s">
        <v>277</v>
      </c>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row>
    <row r="90" spans="1:65" x14ac:dyDescent="0.2">
      <c r="A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row>
    <row r="91" spans="1:65" x14ac:dyDescent="0.2">
      <c r="A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row>
    <row r="92" spans="1:65" x14ac:dyDescent="0.2">
      <c r="A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row>
    <row r="93" spans="1:65" x14ac:dyDescent="0.2">
      <c r="A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row>
    <row r="94" spans="1:65" x14ac:dyDescent="0.2">
      <c r="A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row>
    <row r="95" spans="1:65" x14ac:dyDescent="0.2">
      <c r="A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row>
    <row r="96" spans="1:65" x14ac:dyDescent="0.2">
      <c r="A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row>
    <row r="97" spans="1:65" x14ac:dyDescent="0.2">
      <c r="A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row>
  </sheetData>
  <mergeCells count="17">
    <mergeCell ref="B4:I6"/>
    <mergeCell ref="B8:B9"/>
    <mergeCell ref="C8:C9"/>
    <mergeCell ref="E8:E9"/>
    <mergeCell ref="F8:F9"/>
    <mergeCell ref="H8:H9"/>
    <mergeCell ref="I8:I9"/>
    <mergeCell ref="B20:I21"/>
    <mergeCell ref="B37:I39"/>
    <mergeCell ref="B50:I51"/>
    <mergeCell ref="B85:C86"/>
    <mergeCell ref="D85:J86"/>
    <mergeCell ref="B61:I65"/>
    <mergeCell ref="B68:I75"/>
    <mergeCell ref="B78:I82"/>
    <mergeCell ref="B28:I29"/>
    <mergeCell ref="B31:I32"/>
  </mergeCells>
  <phoneticPr fontId="34" type="noConversion"/>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045E0-F583-A544-92CF-8C41D6D70996}">
  <dimension ref="A1:BM118"/>
  <sheetViews>
    <sheetView showGridLines="0" zoomScale="120" zoomScaleNormal="120" workbookViewId="0"/>
  </sheetViews>
  <sheetFormatPr baseColWidth="10" defaultColWidth="10.83203125" defaultRowHeight="16" x14ac:dyDescent="0.2"/>
  <cols>
    <col min="1" max="1" width="10.83203125" style="15"/>
    <col min="2" max="3" width="10.83203125" style="15" customWidth="1"/>
    <col min="4" max="5" width="10.83203125" style="15"/>
    <col min="6" max="7" width="10.83203125" style="15" customWidth="1"/>
    <col min="8" max="9" width="10.83203125" style="15"/>
    <col min="10" max="10" width="10.83203125" style="15" customWidth="1"/>
    <col min="11" max="16384" width="10.83203125" style="15"/>
  </cols>
  <sheetData>
    <row r="1" spans="1:49" ht="19" x14ac:dyDescent="0.25">
      <c r="A1" s="11" t="s">
        <v>284</v>
      </c>
      <c r="B1" s="12"/>
      <c r="C1" s="12"/>
      <c r="D1" s="12"/>
      <c r="E1" s="12"/>
      <c r="F1" s="12"/>
      <c r="G1" s="12"/>
      <c r="H1" s="12"/>
      <c r="I1" s="12"/>
      <c r="J1" s="13"/>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2">
      <c r="A2" s="9"/>
      <c r="B2" s="12"/>
      <c r="C2" s="12"/>
      <c r="D2" s="12"/>
      <c r="E2" s="12"/>
      <c r="F2" s="12"/>
      <c r="G2" s="12"/>
      <c r="H2" s="12"/>
      <c r="I2" s="12"/>
      <c r="J2" s="13"/>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2">
      <c r="A3" s="5"/>
      <c r="B3" s="16" t="s">
        <v>11</v>
      </c>
      <c r="C3" s="12"/>
      <c r="D3" s="12"/>
      <c r="E3" s="12"/>
      <c r="F3" s="12"/>
      <c r="G3" s="12"/>
      <c r="H3" s="12"/>
      <c r="I3" s="12"/>
      <c r="J3" s="1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ht="16" customHeight="1" x14ac:dyDescent="0.2">
      <c r="A4" s="5"/>
      <c r="B4" s="362" t="s">
        <v>460</v>
      </c>
      <c r="C4" s="363"/>
      <c r="D4" s="363"/>
      <c r="E4" s="363"/>
      <c r="F4" s="363"/>
      <c r="G4" s="363"/>
      <c r="H4" s="363"/>
      <c r="I4" s="363"/>
      <c r="J4" s="13"/>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x14ac:dyDescent="0.2">
      <c r="A5" s="5"/>
      <c r="B5" s="363"/>
      <c r="C5" s="363"/>
      <c r="D5" s="363"/>
      <c r="E5" s="363"/>
      <c r="F5" s="363"/>
      <c r="G5" s="363"/>
      <c r="H5" s="363"/>
      <c r="I5" s="363"/>
      <c r="J5" s="13"/>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49" x14ac:dyDescent="0.2">
      <c r="A6" s="5"/>
      <c r="B6" s="363"/>
      <c r="C6" s="363"/>
      <c r="D6" s="363"/>
      <c r="E6" s="363"/>
      <c r="F6" s="363"/>
      <c r="G6" s="363"/>
      <c r="H6" s="363"/>
      <c r="I6" s="363"/>
      <c r="J6" s="13"/>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1:49" x14ac:dyDescent="0.2">
      <c r="A7" s="5"/>
      <c r="B7" s="12"/>
      <c r="C7" s="8"/>
      <c r="D7" s="8"/>
      <c r="E7" s="8"/>
      <c r="F7" s="12"/>
      <c r="G7" s="12"/>
      <c r="H7" s="17"/>
      <c r="I7" s="17"/>
      <c r="J7" s="13"/>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row>
    <row r="8" spans="1:49" ht="16" customHeight="1" x14ac:dyDescent="0.2">
      <c r="A8" s="5"/>
      <c r="B8" s="12"/>
      <c r="C8" s="393" t="s">
        <v>280</v>
      </c>
      <c r="D8" s="401"/>
      <c r="E8" s="401"/>
      <c r="F8" s="401"/>
      <c r="G8" s="394"/>
      <c r="H8" s="17"/>
      <c r="I8" s="17"/>
      <c r="J8" s="13"/>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row>
    <row r="9" spans="1:49" x14ac:dyDescent="0.2">
      <c r="A9" s="5"/>
      <c r="B9" s="12"/>
      <c r="C9" s="178">
        <v>3995</v>
      </c>
      <c r="D9" s="179">
        <v>3598</v>
      </c>
      <c r="E9" s="179">
        <v>3693</v>
      </c>
      <c r="F9" s="179">
        <v>3335</v>
      </c>
      <c r="G9" s="180">
        <v>3957</v>
      </c>
      <c r="H9" s="17"/>
      <c r="I9" s="17"/>
      <c r="J9" s="13"/>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row>
    <row r="10" spans="1:49" x14ac:dyDescent="0.2">
      <c r="A10" s="5"/>
      <c r="B10" s="12"/>
      <c r="C10" s="181">
        <v>4026</v>
      </c>
      <c r="D10" s="6">
        <v>3620</v>
      </c>
      <c r="E10" s="6">
        <v>3689</v>
      </c>
      <c r="F10" s="6">
        <v>3480</v>
      </c>
      <c r="G10" s="182">
        <v>3977</v>
      </c>
      <c r="H10" s="17"/>
      <c r="I10" s="17"/>
      <c r="J10" s="13"/>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row>
    <row r="11" spans="1:49" x14ac:dyDescent="0.2">
      <c r="A11" s="5"/>
      <c r="B11" s="12"/>
      <c r="C11" s="181">
        <v>4003</v>
      </c>
      <c r="D11" s="6">
        <v>3322</v>
      </c>
      <c r="E11" s="6">
        <v>3761</v>
      </c>
      <c r="F11" s="6">
        <v>3498</v>
      </c>
      <c r="G11" s="182">
        <v>4151</v>
      </c>
      <c r="H11" s="17"/>
      <c r="I11" s="17"/>
      <c r="J11" s="13"/>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row>
    <row r="12" spans="1:49" x14ac:dyDescent="0.2">
      <c r="A12" s="5"/>
      <c r="B12" s="12"/>
      <c r="C12" s="181">
        <v>4133</v>
      </c>
      <c r="D12" s="6">
        <v>3655</v>
      </c>
      <c r="E12" s="6">
        <v>3674</v>
      </c>
      <c r="F12" s="6">
        <v>3492</v>
      </c>
      <c r="G12" s="182">
        <v>4060</v>
      </c>
      <c r="H12" s="17"/>
      <c r="I12" s="17"/>
      <c r="J12" s="13"/>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row>
    <row r="13" spans="1:49" x14ac:dyDescent="0.2">
      <c r="A13" s="5"/>
      <c r="B13" s="12"/>
      <c r="C13" s="181">
        <v>4143</v>
      </c>
      <c r="D13" s="6">
        <v>3555</v>
      </c>
      <c r="E13" s="6">
        <v>3747</v>
      </c>
      <c r="F13" s="6">
        <v>3442</v>
      </c>
      <c r="G13" s="182">
        <v>4022</v>
      </c>
      <c r="H13" s="17"/>
      <c r="I13" s="17"/>
      <c r="J13" s="13"/>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row>
    <row r="14" spans="1:49" x14ac:dyDescent="0.2">
      <c r="A14" s="5"/>
      <c r="B14" s="12"/>
      <c r="C14" s="181">
        <v>4166</v>
      </c>
      <c r="D14" s="6">
        <v>3477</v>
      </c>
      <c r="E14" s="6">
        <v>3721</v>
      </c>
      <c r="F14" s="6">
        <v>3335</v>
      </c>
      <c r="G14" s="182">
        <v>4109</v>
      </c>
      <c r="H14" s="17"/>
      <c r="I14" s="17"/>
      <c r="J14" s="13"/>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49" x14ac:dyDescent="0.2">
      <c r="A15" s="5"/>
      <c r="B15" s="12"/>
      <c r="C15" s="181">
        <v>3878</v>
      </c>
      <c r="D15" s="6">
        <v>3855</v>
      </c>
      <c r="E15" s="6">
        <v>4040</v>
      </c>
      <c r="F15" s="6">
        <v>3393</v>
      </c>
      <c r="G15" s="182">
        <v>4202</v>
      </c>
      <c r="H15" s="17"/>
      <c r="I15" s="17"/>
      <c r="J15" s="13"/>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49" x14ac:dyDescent="0.2">
      <c r="A16" s="5"/>
      <c r="B16" s="12"/>
      <c r="C16" s="181">
        <v>3982</v>
      </c>
      <c r="D16" s="6">
        <v>3722</v>
      </c>
      <c r="E16" s="6">
        <v>3922</v>
      </c>
      <c r="F16" s="6">
        <v>3729</v>
      </c>
      <c r="G16" s="182">
        <v>4395</v>
      </c>
      <c r="H16" s="17"/>
      <c r="I16" s="17"/>
      <c r="J16" s="13"/>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x14ac:dyDescent="0.2">
      <c r="A17" s="5"/>
      <c r="B17" s="12"/>
      <c r="C17" s="181">
        <v>4263</v>
      </c>
      <c r="D17" s="6">
        <v>3866</v>
      </c>
      <c r="E17" s="6">
        <v>4014</v>
      </c>
      <c r="F17" s="6">
        <v>3991</v>
      </c>
      <c r="G17" s="182">
        <v>4409</v>
      </c>
      <c r="H17" s="17"/>
      <c r="I17" s="17"/>
      <c r="J17" s="13"/>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x14ac:dyDescent="0.2">
      <c r="A18" s="5"/>
      <c r="B18" s="12"/>
      <c r="C18" s="181">
        <v>4188</v>
      </c>
      <c r="D18" s="6">
        <v>4007</v>
      </c>
      <c r="E18" s="6">
        <v>3980</v>
      </c>
      <c r="F18" s="6">
        <v>4138</v>
      </c>
      <c r="G18" s="182">
        <v>3892</v>
      </c>
      <c r="H18" s="17"/>
      <c r="I18" s="17"/>
      <c r="J18" s="13"/>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49" x14ac:dyDescent="0.2">
      <c r="A19" s="5"/>
      <c r="B19" s="12"/>
      <c r="C19" s="181">
        <v>4304</v>
      </c>
      <c r="D19" s="6">
        <v>3962</v>
      </c>
      <c r="E19" s="6">
        <v>3868</v>
      </c>
      <c r="F19" s="6">
        <v>3974</v>
      </c>
      <c r="G19" s="182">
        <v>3874</v>
      </c>
      <c r="H19" s="6"/>
      <c r="I19" s="12"/>
      <c r="J19" s="13"/>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49" x14ac:dyDescent="0.2">
      <c r="A20" s="5"/>
      <c r="B20" s="12"/>
      <c r="C20" s="181">
        <v>4091</v>
      </c>
      <c r="D20" s="6">
        <v>3664</v>
      </c>
      <c r="E20" s="6">
        <v>3771</v>
      </c>
      <c r="F20" s="6">
        <v>3927</v>
      </c>
      <c r="G20" s="182">
        <v>3988</v>
      </c>
      <c r="H20" s="6"/>
      <c r="I20" s="12"/>
      <c r="J20" s="13"/>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49" x14ac:dyDescent="0.2">
      <c r="A21" s="5"/>
      <c r="B21" s="12"/>
      <c r="C21" s="181">
        <v>4201</v>
      </c>
      <c r="D21" s="6">
        <v>3873</v>
      </c>
      <c r="E21" s="6">
        <v>3989</v>
      </c>
      <c r="F21" s="6">
        <v>4062</v>
      </c>
      <c r="G21" s="182">
        <v>4315</v>
      </c>
      <c r="H21" s="6"/>
      <c r="I21" s="12"/>
      <c r="J21" s="13"/>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x14ac:dyDescent="0.2">
      <c r="A22" s="5"/>
      <c r="B22" s="12"/>
      <c r="C22" s="181">
        <v>4284</v>
      </c>
      <c r="D22" s="6">
        <v>3807</v>
      </c>
      <c r="E22" s="6">
        <v>4046</v>
      </c>
      <c r="F22" s="6">
        <v>3840</v>
      </c>
      <c r="G22" s="182">
        <v>4232</v>
      </c>
      <c r="H22" s="6"/>
      <c r="I22" s="12"/>
      <c r="J22" s="13"/>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x14ac:dyDescent="0.2">
      <c r="A23" s="5"/>
      <c r="B23" s="12"/>
      <c r="C23" s="181">
        <v>4682</v>
      </c>
      <c r="D23" s="6">
        <v>3884</v>
      </c>
      <c r="E23" s="6">
        <v>3887</v>
      </c>
      <c r="F23" s="6">
        <v>3898</v>
      </c>
      <c r="G23" s="182">
        <v>4254</v>
      </c>
      <c r="H23" s="7"/>
      <c r="I23" s="12"/>
      <c r="J23" s="13"/>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x14ac:dyDescent="0.2">
      <c r="A24" s="5"/>
      <c r="B24" s="12"/>
      <c r="C24" s="181">
        <v>4676</v>
      </c>
      <c r="D24" s="6">
        <v>3965</v>
      </c>
      <c r="E24" s="6">
        <v>3681</v>
      </c>
      <c r="F24" s="6">
        <v>3890</v>
      </c>
      <c r="G24" s="182">
        <v>4065</v>
      </c>
      <c r="H24" s="7"/>
      <c r="I24" s="12"/>
      <c r="J24" s="13"/>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49" x14ac:dyDescent="0.2">
      <c r="A25" s="5"/>
      <c r="B25" s="12"/>
      <c r="C25" s="181">
        <v>3923</v>
      </c>
      <c r="D25" s="6">
        <v>3927</v>
      </c>
      <c r="E25" s="6">
        <v>3793</v>
      </c>
      <c r="F25" s="6">
        <v>4083</v>
      </c>
      <c r="G25" s="182">
        <v>4208</v>
      </c>
      <c r="H25" s="7"/>
      <c r="I25" s="12"/>
      <c r="J25" s="13"/>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x14ac:dyDescent="0.2">
      <c r="A26" s="5"/>
      <c r="B26" s="12"/>
      <c r="C26" s="181">
        <v>4025</v>
      </c>
      <c r="D26" s="6">
        <v>3745</v>
      </c>
      <c r="E26" s="6">
        <v>3546</v>
      </c>
      <c r="F26" s="6">
        <v>3967</v>
      </c>
      <c r="G26" s="182">
        <v>4064</v>
      </c>
      <c r="H26" s="7"/>
      <c r="I26" s="12"/>
      <c r="J26" s="13"/>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x14ac:dyDescent="0.2">
      <c r="A27" s="5"/>
      <c r="B27" s="12"/>
      <c r="C27" s="181">
        <v>3743</v>
      </c>
      <c r="D27" s="6">
        <v>3963</v>
      </c>
      <c r="E27" s="6">
        <v>3556</v>
      </c>
      <c r="F27" s="6">
        <v>4077</v>
      </c>
      <c r="G27" s="182">
        <v>3736</v>
      </c>
      <c r="H27" s="7"/>
      <c r="I27" s="12"/>
      <c r="J27" s="13"/>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x14ac:dyDescent="0.2">
      <c r="A28" s="5"/>
      <c r="B28" s="12"/>
      <c r="C28" s="183">
        <v>3664</v>
      </c>
      <c r="D28" s="184">
        <v>4119</v>
      </c>
      <c r="E28" s="184">
        <v>3570</v>
      </c>
      <c r="F28" s="184">
        <v>4152</v>
      </c>
      <c r="G28" s="185">
        <v>3770</v>
      </c>
      <c r="H28" s="7"/>
      <c r="I28" s="12"/>
      <c r="J28" s="13"/>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x14ac:dyDescent="0.2">
      <c r="A29" s="5"/>
      <c r="B29" s="12"/>
      <c r="C29" s="6"/>
      <c r="D29" s="6"/>
      <c r="E29" s="6"/>
      <c r="F29" s="12"/>
      <c r="G29" s="12"/>
      <c r="H29" s="12"/>
      <c r="I29" s="12"/>
      <c r="J29" s="13"/>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x14ac:dyDescent="0.2">
      <c r="A30" s="5"/>
      <c r="B30" s="79" t="s">
        <v>281</v>
      </c>
      <c r="C30" s="6"/>
      <c r="D30" s="6">
        <v>3885</v>
      </c>
      <c r="E30" s="201" t="s">
        <v>286</v>
      </c>
      <c r="F30" s="12"/>
      <c r="G30" s="12"/>
      <c r="H30" s="12"/>
      <c r="I30" s="12"/>
      <c r="J30" s="13"/>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1:49" x14ac:dyDescent="0.2">
      <c r="A31" s="5"/>
      <c r="B31" s="12"/>
      <c r="C31" s="6"/>
      <c r="D31" s="7"/>
      <c r="E31" s="6"/>
      <c r="F31" s="12"/>
      <c r="G31" s="12"/>
      <c r="H31" s="12"/>
      <c r="I31" s="12"/>
      <c r="J31" s="13"/>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x14ac:dyDescent="0.2">
      <c r="A32" s="5" t="s">
        <v>10</v>
      </c>
      <c r="B32" s="306" t="s">
        <v>291</v>
      </c>
      <c r="C32" s="6"/>
      <c r="D32" s="7"/>
      <c r="E32" s="6"/>
      <c r="F32" s="12"/>
      <c r="G32" s="12"/>
      <c r="H32" s="12"/>
      <c r="I32" s="12"/>
      <c r="J32" s="13"/>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x14ac:dyDescent="0.2">
      <c r="A33" s="5"/>
      <c r="B33" s="79" t="s">
        <v>292</v>
      </c>
      <c r="C33" s="6"/>
      <c r="D33" s="7"/>
      <c r="E33" s="6"/>
      <c r="F33" s="12"/>
      <c r="G33" s="12"/>
      <c r="H33" s="12"/>
      <c r="I33" s="12"/>
      <c r="J33" s="13"/>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x14ac:dyDescent="0.2">
      <c r="A34" s="5"/>
      <c r="B34" s="79" t="s">
        <v>293</v>
      </c>
      <c r="C34" s="6"/>
      <c r="D34" s="7"/>
      <c r="E34" s="6"/>
      <c r="F34" s="12"/>
      <c r="G34" s="12"/>
      <c r="H34" s="12"/>
      <c r="I34" s="12"/>
      <c r="J34" s="13"/>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row>
    <row r="35" spans="1:49" x14ac:dyDescent="0.2">
      <c r="A35" s="5"/>
      <c r="B35" s="79" t="s">
        <v>294</v>
      </c>
      <c r="C35" s="6"/>
      <c r="D35" s="7"/>
      <c r="E35" s="6"/>
      <c r="F35" s="12"/>
      <c r="G35" s="12"/>
      <c r="H35" s="12"/>
      <c r="I35" s="12"/>
      <c r="J35" s="13"/>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x14ac:dyDescent="0.2">
      <c r="A36" s="5"/>
      <c r="B36" s="12"/>
      <c r="C36" s="6"/>
      <c r="D36" s="7"/>
      <c r="E36" s="6"/>
      <c r="F36" s="12"/>
      <c r="G36" s="12"/>
      <c r="H36" s="12"/>
      <c r="I36" s="12"/>
      <c r="J36" s="13"/>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ht="16" customHeight="1" x14ac:dyDescent="0.2">
      <c r="A37" s="130" t="s">
        <v>9</v>
      </c>
      <c r="B37" s="367" t="s">
        <v>282</v>
      </c>
      <c r="C37" s="367"/>
      <c r="D37" s="367"/>
      <c r="E37" s="367"/>
      <c r="F37" s="367"/>
      <c r="G37" s="367"/>
      <c r="H37" s="367"/>
      <c r="I37" s="367"/>
      <c r="J37" s="13"/>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49" ht="16" customHeight="1" x14ac:dyDescent="0.2">
      <c r="A38" s="5"/>
      <c r="B38" s="18"/>
      <c r="C38" s="8"/>
      <c r="D38" s="8"/>
      <c r="E38" s="8"/>
      <c r="F38" s="8"/>
      <c r="G38" s="8"/>
      <c r="H38" s="8"/>
      <c r="I38" s="8"/>
      <c r="J38" s="13"/>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ht="16" customHeight="1" x14ac:dyDescent="0.2">
      <c r="A39" s="130" t="s">
        <v>20</v>
      </c>
      <c r="B39" s="367" t="s">
        <v>289</v>
      </c>
      <c r="C39" s="367"/>
      <c r="D39" s="367"/>
      <c r="E39" s="367"/>
      <c r="F39" s="367"/>
      <c r="G39" s="367"/>
      <c r="H39" s="367"/>
      <c r="I39" s="367"/>
      <c r="J39" s="13"/>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ht="17" thickBot="1" x14ac:dyDescent="0.25">
      <c r="A40" s="4"/>
      <c r="B40" s="19"/>
      <c r="C40" s="20"/>
      <c r="D40" s="20"/>
      <c r="E40" s="20"/>
      <c r="F40" s="19"/>
      <c r="G40" s="19"/>
      <c r="H40" s="19"/>
      <c r="I40" s="19"/>
      <c r="J40" s="21"/>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49" x14ac:dyDescent="0.2">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ht="19" x14ac:dyDescent="0.25">
      <c r="A42" s="22" t="s">
        <v>8</v>
      </c>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ht="16" customHeight="1" x14ac:dyDescent="0.2">
      <c r="A43" s="23" t="s">
        <v>296</v>
      </c>
      <c r="B43" s="24"/>
      <c r="C43" s="24"/>
      <c r="D43" s="24"/>
      <c r="E43" s="24"/>
      <c r="F43" s="24"/>
      <c r="G43" s="24"/>
      <c r="H43" s="24"/>
      <c r="I43" s="2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ht="19" customHeight="1" x14ac:dyDescent="0.2">
      <c r="A44" s="1" t="s">
        <v>7</v>
      </c>
      <c r="B44" s="364" t="s">
        <v>297</v>
      </c>
      <c r="C44" s="364"/>
      <c r="D44" s="364"/>
      <c r="E44" s="364"/>
      <c r="F44" s="364"/>
      <c r="G44" s="364"/>
      <c r="H44" s="364"/>
      <c r="I44" s="36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ht="16" customHeight="1" x14ac:dyDescent="0.2">
      <c r="A45" s="1"/>
      <c r="B45" s="364"/>
      <c r="C45" s="364"/>
      <c r="D45" s="364"/>
      <c r="E45" s="364"/>
      <c r="F45" s="364"/>
      <c r="G45" s="364"/>
      <c r="H45" s="364"/>
      <c r="I45" s="36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ht="16" customHeight="1" x14ac:dyDescent="0.2">
      <c r="A46" s="1"/>
      <c r="B46" s="364"/>
      <c r="C46" s="364"/>
      <c r="D46" s="364"/>
      <c r="E46" s="364"/>
      <c r="F46" s="364"/>
      <c r="G46" s="364"/>
      <c r="H46" s="364"/>
      <c r="I46" s="36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ht="16" customHeight="1" thickBot="1" x14ac:dyDescent="0.25">
      <c r="A47" s="23"/>
      <c r="B47" s="24"/>
      <c r="C47" s="24"/>
      <c r="D47" s="24"/>
      <c r="E47" s="24"/>
      <c r="F47" s="24"/>
      <c r="G47" s="24"/>
      <c r="H47" s="24"/>
      <c r="I47" s="2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ht="16" customHeight="1" x14ac:dyDescent="0.2">
      <c r="A48" s="23"/>
      <c r="B48" s="24"/>
      <c r="C48" s="24"/>
      <c r="D48" s="24"/>
      <c r="E48" s="24"/>
      <c r="G48" s="203" t="s">
        <v>300</v>
      </c>
      <c r="H48" s="204">
        <f>AVERAGE(C9:G28)</f>
        <v>3912.87</v>
      </c>
      <c r="I48" s="2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49" ht="16" customHeight="1" x14ac:dyDescent="0.2">
      <c r="A49" s="23"/>
      <c r="B49" s="24"/>
      <c r="C49" s="24"/>
      <c r="D49" s="24"/>
      <c r="E49" s="24"/>
      <c r="G49" s="205" t="s">
        <v>301</v>
      </c>
      <c r="H49" s="206">
        <f>STDEV(C9:G28)</f>
        <v>269.23485504614212</v>
      </c>
      <c r="I49" s="2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49" ht="16" customHeight="1" thickBot="1" x14ac:dyDescent="0.25">
      <c r="A50" s="23"/>
      <c r="B50" s="24"/>
      <c r="C50" s="24"/>
      <c r="D50" s="24"/>
      <c r="E50" s="24"/>
      <c r="G50" s="207" t="s">
        <v>302</v>
      </c>
      <c r="H50" s="208">
        <f>H49/H48</f>
        <v>6.8807513422664723E-2</v>
      </c>
      <c r="I50" s="2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row>
    <row r="51" spans="1:49" ht="16" customHeight="1" x14ac:dyDescent="0.2">
      <c r="A51" s="23"/>
      <c r="B51" s="24"/>
      <c r="C51" s="24"/>
      <c r="D51" s="24"/>
      <c r="E51" s="24"/>
      <c r="F51" s="24"/>
      <c r="G51" s="24"/>
      <c r="H51" s="24"/>
      <c r="I51" s="2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49" ht="16" customHeight="1" x14ac:dyDescent="0.2">
      <c r="A52" s="23"/>
      <c r="B52" s="24"/>
      <c r="C52" s="24"/>
      <c r="D52" s="24"/>
      <c r="E52" s="24"/>
      <c r="F52" s="24"/>
      <c r="G52" s="24"/>
      <c r="H52" s="24"/>
      <c r="I52" s="2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49" ht="16" customHeight="1" x14ac:dyDescent="0.2">
      <c r="A53" s="23"/>
      <c r="B53" s="24"/>
      <c r="C53" s="24"/>
      <c r="D53" s="24"/>
      <c r="E53" s="24"/>
      <c r="F53" s="24"/>
      <c r="G53" s="24"/>
      <c r="H53" s="24"/>
      <c r="I53" s="2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49" ht="16" customHeight="1" x14ac:dyDescent="0.2">
      <c r="A54" s="23"/>
      <c r="B54" s="24"/>
      <c r="C54" s="24"/>
      <c r="D54" s="24"/>
      <c r="E54" s="24"/>
      <c r="F54" s="24"/>
      <c r="G54" s="24"/>
      <c r="H54" s="24"/>
      <c r="I54" s="2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ht="16" customHeight="1" x14ac:dyDescent="0.2">
      <c r="A55" s="23"/>
      <c r="B55" s="24"/>
      <c r="C55" s="24"/>
      <c r="D55" s="24"/>
      <c r="E55" s="24"/>
      <c r="F55" s="24"/>
      <c r="G55" s="24"/>
      <c r="H55" s="24"/>
      <c r="I55" s="2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ht="16" customHeight="1" x14ac:dyDescent="0.2">
      <c r="A56" s="23"/>
      <c r="B56" s="120" t="s">
        <v>149</v>
      </c>
      <c r="C56" s="24"/>
      <c r="D56" s="24"/>
      <c r="E56" s="100"/>
      <c r="F56" s="100"/>
      <c r="G56" s="24"/>
      <c r="H56" s="24"/>
      <c r="I56" s="2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49" ht="16" customHeight="1" x14ac:dyDescent="0.2">
      <c r="A57" s="23"/>
      <c r="B57" s="305" t="s">
        <v>461</v>
      </c>
      <c r="C57" s="24"/>
      <c r="D57" s="24"/>
      <c r="E57" s="24"/>
      <c r="F57" s="24"/>
      <c r="G57" s="24"/>
      <c r="H57" s="24"/>
      <c r="I57" s="2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49" ht="16" customHeight="1" x14ac:dyDescent="0.2">
      <c r="A58" s="23"/>
      <c r="B58" s="305" t="s">
        <v>298</v>
      </c>
      <c r="C58" s="24"/>
      <c r="D58" s="24"/>
      <c r="E58" s="24"/>
      <c r="F58" s="24"/>
      <c r="G58" s="24"/>
      <c r="H58" s="24"/>
      <c r="I58" s="2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49" ht="16" customHeight="1" x14ac:dyDescent="0.2">
      <c r="A59" s="23"/>
      <c r="B59" s="305" t="s">
        <v>299</v>
      </c>
      <c r="C59" s="24"/>
      <c r="D59" s="24"/>
      <c r="E59" s="24"/>
      <c r="F59" s="24"/>
      <c r="G59" s="24"/>
      <c r="H59" s="24"/>
      <c r="I59" s="2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49" ht="16" customHeight="1" x14ac:dyDescent="0.2">
      <c r="A60" s="23"/>
      <c r="B60" s="24"/>
      <c r="C60" s="24"/>
      <c r="D60" s="24"/>
      <c r="E60" s="24"/>
      <c r="F60" s="24"/>
      <c r="G60" s="24"/>
      <c r="H60" s="24"/>
      <c r="I60" s="2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row>
    <row r="61" spans="1:49" ht="16" customHeight="1" x14ac:dyDescent="0.2">
      <c r="A61" s="23" t="s">
        <v>295</v>
      </c>
      <c r="B61" s="24"/>
      <c r="C61" s="24"/>
      <c r="D61" s="24"/>
      <c r="E61" s="24"/>
      <c r="F61" s="24"/>
      <c r="G61" s="24"/>
      <c r="H61" s="24"/>
      <c r="I61" s="2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49" ht="16" customHeight="1" x14ac:dyDescent="0.2">
      <c r="A62" s="1" t="s">
        <v>6</v>
      </c>
      <c r="B62" s="364" t="s">
        <v>283</v>
      </c>
      <c r="C62" s="364"/>
      <c r="D62" s="364"/>
      <c r="E62" s="364"/>
      <c r="F62" s="364"/>
      <c r="G62" s="364"/>
      <c r="H62" s="364"/>
      <c r="I62" s="36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49" ht="16" customHeight="1" x14ac:dyDescent="0.2">
      <c r="A63" s="1"/>
      <c r="B63" s="364"/>
      <c r="C63" s="364"/>
      <c r="D63" s="364"/>
      <c r="E63" s="364"/>
      <c r="F63" s="364"/>
      <c r="G63" s="364"/>
      <c r="H63" s="364"/>
      <c r="I63" s="36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row>
    <row r="64" spans="1:49" ht="16" customHeight="1" x14ac:dyDescent="0.2">
      <c r="A64" s="1"/>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49" ht="16" customHeight="1" x14ac:dyDescent="0.2">
      <c r="A65" s="1"/>
      <c r="B65" s="14"/>
      <c r="C65" s="14"/>
      <c r="D65" s="14"/>
      <c r="E65" s="14"/>
      <c r="F65" s="3"/>
      <c r="G65" s="3"/>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ht="16" customHeight="1" x14ac:dyDescent="0.2">
      <c r="A66" s="1"/>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49" ht="16" customHeight="1" thickBot="1" x14ac:dyDescent="0.25">
      <c r="A67" s="1"/>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row>
    <row r="68" spans="1:49" ht="16" customHeight="1" thickBot="1" x14ac:dyDescent="0.25">
      <c r="A68" s="1"/>
      <c r="B68" s="14"/>
      <c r="C68" s="14"/>
      <c r="D68" s="14"/>
      <c r="E68" s="399" t="s">
        <v>285</v>
      </c>
      <c r="F68" s="400"/>
      <c r="G68" s="331">
        <f>COUNTIF(C9:G28,"&lt;="&amp;D30)/COUNT(C9:G28)</f>
        <v>0.42</v>
      </c>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row>
    <row r="69" spans="1:49" ht="16" customHeight="1" x14ac:dyDescent="0.2">
      <c r="A69" s="1"/>
      <c r="B69" s="14"/>
      <c r="C69" s="14"/>
      <c r="D69" s="14"/>
      <c r="E69" s="14"/>
      <c r="F69" s="3"/>
      <c r="G69" s="200"/>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row>
    <row r="70" spans="1:49" ht="16" customHeight="1" x14ac:dyDescent="0.2">
      <c r="A70" s="1"/>
      <c r="B70" s="120" t="s">
        <v>149</v>
      </c>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row>
    <row r="71" spans="1:49" ht="16" customHeight="1" x14ac:dyDescent="0.25">
      <c r="A71" s="1"/>
      <c r="B71" s="305" t="s">
        <v>287</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row>
    <row r="72" spans="1:49" ht="16" customHeight="1" x14ac:dyDescent="0.2">
      <c r="A72" s="1"/>
      <c r="B72" s="100"/>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row>
    <row r="73" spans="1:49" ht="16" customHeight="1" x14ac:dyDescent="0.2">
      <c r="A73" s="23" t="s">
        <v>303</v>
      </c>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row>
    <row r="74" spans="1:49" ht="16" customHeight="1" x14ac:dyDescent="0.2">
      <c r="A74" s="1"/>
      <c r="B74" s="346" t="s">
        <v>462</v>
      </c>
      <c r="C74" s="348"/>
      <c r="D74" s="348"/>
      <c r="E74" s="348"/>
      <c r="F74" s="348"/>
      <c r="G74" s="348"/>
      <c r="H74" s="348"/>
      <c r="I74" s="348"/>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row>
    <row r="75" spans="1:49" ht="16" customHeight="1" x14ac:dyDescent="0.2">
      <c r="A75" s="1"/>
      <c r="B75" s="348"/>
      <c r="C75" s="348"/>
      <c r="D75" s="348"/>
      <c r="E75" s="348"/>
      <c r="F75" s="348"/>
      <c r="G75" s="348"/>
      <c r="H75" s="348"/>
      <c r="I75" s="348"/>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row>
    <row r="76" spans="1:49" ht="16" customHeight="1" x14ac:dyDescent="0.2">
      <c r="A76" s="1"/>
      <c r="B76" s="348"/>
      <c r="C76" s="348"/>
      <c r="D76" s="348"/>
      <c r="E76" s="348"/>
      <c r="F76" s="348"/>
      <c r="G76" s="348"/>
      <c r="H76" s="348"/>
      <c r="I76" s="348"/>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row>
    <row r="77" spans="1:49" ht="16" customHeight="1" x14ac:dyDescent="0.2">
      <c r="A77" s="1"/>
      <c r="B77" s="348"/>
      <c r="C77" s="348"/>
      <c r="D77" s="348"/>
      <c r="E77" s="348"/>
      <c r="F77" s="348"/>
      <c r="G77" s="348"/>
      <c r="H77" s="348"/>
      <c r="I77" s="348"/>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49" ht="16" customHeight="1" x14ac:dyDescent="0.2">
      <c r="A78" s="1"/>
      <c r="B78" s="348"/>
      <c r="C78" s="348"/>
      <c r="D78" s="348"/>
      <c r="E78" s="348"/>
      <c r="F78" s="348"/>
      <c r="G78" s="348"/>
      <c r="H78" s="348"/>
      <c r="I78" s="348"/>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49" ht="16" customHeight="1" x14ac:dyDescent="0.2">
      <c r="A79" s="1"/>
      <c r="B79" s="348"/>
      <c r="C79" s="348"/>
      <c r="D79" s="348"/>
      <c r="E79" s="348"/>
      <c r="F79" s="348"/>
      <c r="G79" s="348"/>
      <c r="H79" s="348"/>
      <c r="I79" s="348"/>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spans="1:49" ht="16" customHeight="1" x14ac:dyDescent="0.2">
      <c r="A80" s="1"/>
      <c r="B80" s="348"/>
      <c r="C80" s="348"/>
      <c r="D80" s="348"/>
      <c r="E80" s="348"/>
      <c r="F80" s="348"/>
      <c r="G80" s="348"/>
      <c r="H80" s="348"/>
      <c r="I80" s="348"/>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row>
    <row r="81" spans="1:49" ht="16" customHeight="1" x14ac:dyDescent="0.2">
      <c r="A81" s="1"/>
      <c r="B81" s="348"/>
      <c r="C81" s="348"/>
      <c r="D81" s="348"/>
      <c r="E81" s="348"/>
      <c r="F81" s="348"/>
      <c r="G81" s="348"/>
      <c r="H81" s="348"/>
      <c r="I81" s="348"/>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row>
    <row r="82" spans="1:49" ht="16" customHeight="1" x14ac:dyDescent="0.2">
      <c r="A82" s="1"/>
      <c r="B82" s="348"/>
      <c r="C82" s="348"/>
      <c r="D82" s="348"/>
      <c r="E82" s="348"/>
      <c r="F82" s="348"/>
      <c r="G82" s="348"/>
      <c r="H82" s="348"/>
      <c r="I82" s="348"/>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row>
    <row r="83" spans="1:49" ht="16" customHeight="1" x14ac:dyDescent="0.2">
      <c r="A83" s="1"/>
      <c r="B83" s="348"/>
      <c r="C83" s="348"/>
      <c r="D83" s="348"/>
      <c r="E83" s="348"/>
      <c r="F83" s="348"/>
      <c r="G83" s="348"/>
      <c r="H83" s="348"/>
      <c r="I83" s="348"/>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row>
    <row r="84" spans="1:49" ht="16" customHeight="1" x14ac:dyDescent="0.2">
      <c r="A84" s="1"/>
      <c r="B84" s="348"/>
      <c r="C84" s="348"/>
      <c r="D84" s="348"/>
      <c r="E84" s="348"/>
      <c r="F84" s="348"/>
      <c r="G84" s="348"/>
      <c r="H84" s="348"/>
      <c r="I84" s="348"/>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row r="85" spans="1:49" ht="16" customHeight="1" x14ac:dyDescent="0.2">
      <c r="A85" s="1"/>
      <c r="B85" s="348"/>
      <c r="C85" s="348"/>
      <c r="D85" s="348"/>
      <c r="E85" s="348"/>
      <c r="F85" s="348"/>
      <c r="G85" s="348"/>
      <c r="H85" s="348"/>
      <c r="I85" s="348"/>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6" spans="1:49" ht="16" customHeight="1" x14ac:dyDescent="0.2">
      <c r="A86" s="1"/>
      <c r="B86" s="348"/>
      <c r="C86" s="348"/>
      <c r="D86" s="348"/>
      <c r="E86" s="348"/>
      <c r="F86" s="348"/>
      <c r="G86" s="348"/>
      <c r="H86" s="348"/>
      <c r="I86" s="348"/>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row>
    <row r="87" spans="1:49" ht="16" customHeight="1" x14ac:dyDescent="0.2">
      <c r="A87" s="1"/>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row>
    <row r="88" spans="1:49" ht="19" x14ac:dyDescent="0.25">
      <c r="A88" s="22" t="s">
        <v>2</v>
      </c>
      <c r="B88" s="14"/>
      <c r="C88" s="14"/>
      <c r="D88" s="14"/>
      <c r="E88" s="14"/>
      <c r="F88" s="14"/>
      <c r="G88" s="14"/>
      <c r="H88" s="14"/>
      <c r="I88" s="14"/>
      <c r="J88" s="14"/>
      <c r="K88" s="14"/>
      <c r="L88" s="25"/>
      <c r="M88" s="25"/>
      <c r="N88" s="25"/>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row>
    <row r="89" spans="1:49" ht="16" customHeight="1" x14ac:dyDescent="0.25">
      <c r="A89" s="22"/>
      <c r="B89" s="346" t="s">
        <v>288</v>
      </c>
      <c r="C89" s="348"/>
      <c r="D89" s="348"/>
      <c r="E89" s="348"/>
      <c r="F89" s="348"/>
      <c r="G89" s="348"/>
      <c r="H89" s="348"/>
      <c r="I89" s="348"/>
      <c r="J89" s="14"/>
      <c r="K89" s="14"/>
      <c r="L89" s="25"/>
      <c r="M89" s="25"/>
      <c r="N89" s="25"/>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row>
    <row r="90" spans="1:49" ht="16" customHeight="1" x14ac:dyDescent="0.25">
      <c r="A90" s="22"/>
      <c r="B90" s="348"/>
      <c r="C90" s="348"/>
      <c r="D90" s="348"/>
      <c r="E90" s="348"/>
      <c r="F90" s="348"/>
      <c r="G90" s="348"/>
      <c r="H90" s="348"/>
      <c r="I90" s="348"/>
      <c r="J90" s="14"/>
      <c r="K90" s="14"/>
      <c r="L90" s="25"/>
      <c r="M90" s="25"/>
      <c r="N90" s="25"/>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row>
    <row r="91" spans="1:49" ht="16" customHeight="1" x14ac:dyDescent="0.25">
      <c r="A91" s="22"/>
      <c r="B91" s="348"/>
      <c r="C91" s="348"/>
      <c r="D91" s="348"/>
      <c r="E91" s="348"/>
      <c r="F91" s="348"/>
      <c r="G91" s="348"/>
      <c r="H91" s="348"/>
      <c r="I91" s="348"/>
      <c r="J91" s="14"/>
      <c r="K91" s="14"/>
      <c r="L91" s="25"/>
      <c r="M91" s="25"/>
      <c r="N91" s="25"/>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row>
    <row r="92" spans="1:49" ht="16" customHeight="1" x14ac:dyDescent="0.25">
      <c r="A92" s="22"/>
      <c r="B92" s="348"/>
      <c r="C92" s="348"/>
      <c r="D92" s="348"/>
      <c r="E92" s="348"/>
      <c r="F92" s="348"/>
      <c r="G92" s="348"/>
      <c r="H92" s="348"/>
      <c r="I92" s="348"/>
      <c r="J92" s="14"/>
      <c r="K92" s="14"/>
      <c r="L92" s="25"/>
      <c r="M92" s="25"/>
      <c r="N92" s="25"/>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row>
    <row r="93" spans="1:49" ht="16" customHeight="1" x14ac:dyDescent="0.25">
      <c r="A93" s="22"/>
      <c r="B93" s="348"/>
      <c r="C93" s="348"/>
      <c r="D93" s="348"/>
      <c r="E93" s="348"/>
      <c r="F93" s="348"/>
      <c r="G93" s="348"/>
      <c r="H93" s="348"/>
      <c r="I93" s="348"/>
      <c r="J93" s="14"/>
      <c r="K93" s="14"/>
      <c r="L93" s="25"/>
      <c r="M93" s="25"/>
      <c r="N93" s="25"/>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row>
    <row r="94" spans="1:49" ht="16" customHeight="1" x14ac:dyDescent="0.25">
      <c r="A94" s="22"/>
      <c r="B94" s="14"/>
      <c r="C94" s="14"/>
      <c r="D94" s="14"/>
      <c r="E94" s="14"/>
      <c r="F94" s="14"/>
      <c r="G94" s="14"/>
      <c r="H94" s="14"/>
      <c r="I94" s="14"/>
      <c r="J94" s="14"/>
      <c r="K94" s="14"/>
      <c r="L94" s="25"/>
      <c r="M94" s="25"/>
      <c r="N94" s="25"/>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row>
    <row r="95" spans="1:49" s="27" customFormat="1" ht="19" x14ac:dyDescent="0.25">
      <c r="A95" s="22" t="s">
        <v>12</v>
      </c>
      <c r="B95" s="26"/>
    </row>
    <row r="96" spans="1:49" s="27" customFormat="1" ht="16" customHeight="1" x14ac:dyDescent="0.2">
      <c r="A96" s="25"/>
      <c r="B96" s="346" t="s">
        <v>290</v>
      </c>
      <c r="C96" s="377"/>
      <c r="D96" s="378" t="s">
        <v>419</v>
      </c>
      <c r="E96" s="391"/>
      <c r="F96" s="391"/>
      <c r="G96" s="391"/>
      <c r="H96" s="391"/>
      <c r="I96" s="391"/>
      <c r="J96" s="391"/>
      <c r="K96" s="28"/>
    </row>
    <row r="97" spans="1:65" s="27" customFormat="1" x14ac:dyDescent="0.2">
      <c r="A97" s="25"/>
      <c r="B97" s="377"/>
      <c r="C97" s="377"/>
      <c r="D97" s="391"/>
      <c r="E97" s="391"/>
      <c r="F97" s="391"/>
      <c r="G97" s="391"/>
      <c r="H97" s="391"/>
      <c r="I97" s="391"/>
      <c r="J97" s="391"/>
      <c r="K97" s="28"/>
    </row>
    <row r="98" spans="1:65" s="27" customFormat="1" x14ac:dyDescent="0.2">
      <c r="A98" s="25"/>
      <c r="B98" s="377"/>
      <c r="C98" s="377"/>
      <c r="D98" s="391"/>
      <c r="E98" s="391"/>
      <c r="F98" s="391"/>
      <c r="G98" s="391"/>
      <c r="H98" s="391"/>
      <c r="I98" s="391"/>
      <c r="J98" s="391"/>
      <c r="K98" s="28"/>
    </row>
    <row r="99" spans="1:65" s="27" customFormat="1" x14ac:dyDescent="0.2">
      <c r="A99" s="25"/>
      <c r="B99" s="377"/>
      <c r="C99" s="377"/>
      <c r="D99" s="391"/>
      <c r="E99" s="391"/>
      <c r="F99" s="391"/>
      <c r="G99" s="391"/>
      <c r="H99" s="391"/>
      <c r="I99" s="391"/>
      <c r="J99" s="391"/>
      <c r="K99" s="28"/>
    </row>
    <row r="100" spans="1:65" x14ac:dyDescent="0.2">
      <c r="A100" s="25"/>
      <c r="B100" s="10"/>
      <c r="C100" s="10"/>
      <c r="D100" s="10"/>
      <c r="E100" s="10"/>
      <c r="F100" s="10"/>
      <c r="G100" s="10"/>
      <c r="H100" s="10"/>
      <c r="I100" s="10"/>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row>
    <row r="101" spans="1:65" ht="19" x14ac:dyDescent="0.25">
      <c r="A101" s="22" t="s">
        <v>13</v>
      </c>
      <c r="B101" s="14"/>
      <c r="C101" s="14"/>
      <c r="D101" s="14"/>
      <c r="E101" s="14"/>
      <c r="F101" s="14"/>
      <c r="G101" s="14"/>
      <c r="H101" s="14"/>
      <c r="I101" s="14"/>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row>
    <row r="102" spans="1:65" x14ac:dyDescent="0.2">
      <c r="A102" s="25"/>
      <c r="B102" s="346" t="s">
        <v>463</v>
      </c>
      <c r="C102" s="380"/>
      <c r="D102" s="380"/>
      <c r="E102" s="380"/>
      <c r="F102" s="380"/>
      <c r="G102" s="380"/>
      <c r="H102" s="380"/>
      <c r="I102" s="380"/>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row>
    <row r="103" spans="1:65" x14ac:dyDescent="0.2">
      <c r="A103" s="25"/>
      <c r="B103" s="380"/>
      <c r="C103" s="380"/>
      <c r="D103" s="380"/>
      <c r="E103" s="380"/>
      <c r="F103" s="380"/>
      <c r="G103" s="380"/>
      <c r="H103" s="380"/>
      <c r="I103" s="380"/>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row>
    <row r="104" spans="1:65" x14ac:dyDescent="0.2">
      <c r="A104" s="25"/>
      <c r="B104" s="380"/>
      <c r="C104" s="380"/>
      <c r="D104" s="380"/>
      <c r="E104" s="380"/>
      <c r="F104" s="380"/>
      <c r="G104" s="380"/>
      <c r="H104" s="380"/>
      <c r="I104" s="380"/>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row>
    <row r="105" spans="1:65" x14ac:dyDescent="0.2">
      <c r="A105" s="25"/>
      <c r="B105" s="380"/>
      <c r="C105" s="380"/>
      <c r="D105" s="380"/>
      <c r="E105" s="380"/>
      <c r="F105" s="380"/>
      <c r="G105" s="380"/>
      <c r="H105" s="380"/>
      <c r="I105" s="380"/>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row>
    <row r="106" spans="1:65" x14ac:dyDescent="0.2">
      <c r="A106" s="25"/>
      <c r="B106" s="380"/>
      <c r="C106" s="380"/>
      <c r="D106" s="380"/>
      <c r="E106" s="380"/>
      <c r="F106" s="380"/>
      <c r="G106" s="380"/>
      <c r="H106" s="380"/>
      <c r="I106" s="380"/>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row>
    <row r="107" spans="1:65" x14ac:dyDescent="0.2">
      <c r="A107" s="25"/>
      <c r="B107" s="380"/>
      <c r="C107" s="380"/>
      <c r="D107" s="380"/>
      <c r="E107" s="380"/>
      <c r="F107" s="380"/>
      <c r="G107" s="380"/>
      <c r="H107" s="380"/>
      <c r="I107" s="380"/>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row>
    <row r="108" spans="1:65" x14ac:dyDescent="0.2">
      <c r="A108" s="25"/>
      <c r="B108" s="14"/>
      <c r="C108" s="14"/>
      <c r="D108" s="14"/>
      <c r="E108" s="14"/>
      <c r="F108" s="14"/>
      <c r="G108" s="14"/>
      <c r="H108" s="14"/>
      <c r="I108" s="14"/>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row>
    <row r="109" spans="1:65" ht="19" x14ac:dyDescent="0.25">
      <c r="A109" s="22" t="s">
        <v>1</v>
      </c>
      <c r="B109" s="14"/>
      <c r="C109" s="14"/>
      <c r="D109" s="14"/>
      <c r="E109" s="14"/>
      <c r="F109" s="14"/>
      <c r="G109" s="14"/>
      <c r="H109" s="14"/>
      <c r="I109" s="14"/>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row>
    <row r="110" spans="1:65" x14ac:dyDescent="0.2">
      <c r="A110" s="25"/>
      <c r="B110" s="304" t="s">
        <v>420</v>
      </c>
      <c r="C110" s="14"/>
      <c r="D110" s="14"/>
      <c r="E110" s="14"/>
      <c r="F110" s="14"/>
      <c r="G110" s="14"/>
      <c r="H110" s="14"/>
      <c r="I110" s="14"/>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row>
    <row r="111" spans="1:65" x14ac:dyDescent="0.2">
      <c r="A111" s="25"/>
      <c r="B111" s="14"/>
      <c r="C111" s="14"/>
      <c r="D111" s="14"/>
      <c r="E111" s="14"/>
      <c r="F111" s="14"/>
      <c r="G111" s="14"/>
      <c r="H111" s="14"/>
      <c r="I111" s="14"/>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row>
    <row r="112" spans="1:65" x14ac:dyDescent="0.2">
      <c r="A112" s="25"/>
      <c r="B112"/>
      <c r="C112" s="14"/>
      <c r="D112" s="14"/>
      <c r="E112" s="14"/>
      <c r="F112" s="14"/>
      <c r="G112" s="14"/>
      <c r="H112" s="14"/>
      <c r="I112" s="14"/>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row>
    <row r="113" spans="1:65" x14ac:dyDescent="0.2">
      <c r="A113" s="25"/>
      <c r="B113" s="14"/>
      <c r="C113" s="14"/>
      <c r="D113" s="14"/>
      <c r="E113" s="14"/>
      <c r="F113" s="14"/>
      <c r="G113" s="14"/>
      <c r="H113" s="14"/>
      <c r="I113" s="14"/>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row>
    <row r="114" spans="1:65" x14ac:dyDescent="0.2">
      <c r="A114" s="25"/>
      <c r="B114" s="14"/>
      <c r="C114" s="14"/>
      <c r="D114" s="14"/>
      <c r="E114" s="14"/>
      <c r="F114" s="14"/>
      <c r="G114" s="14"/>
      <c r="H114" s="14"/>
      <c r="I114" s="14"/>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row>
    <row r="115" spans="1:65" x14ac:dyDescent="0.2">
      <c r="A115" s="25"/>
      <c r="B115" s="14"/>
      <c r="C115" s="14"/>
      <c r="D115" s="14"/>
      <c r="E115" s="14"/>
      <c r="F115" s="14"/>
      <c r="G115" s="14"/>
      <c r="H115" s="14"/>
      <c r="I115" s="14"/>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row>
    <row r="116" spans="1:65" x14ac:dyDescent="0.2">
      <c r="A116" s="25"/>
      <c r="B116" s="14"/>
      <c r="C116" s="14"/>
      <c r="D116" s="14"/>
      <c r="E116" s="14"/>
      <c r="F116" s="14"/>
      <c r="G116" s="14"/>
      <c r="H116" s="14"/>
      <c r="I116" s="14"/>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row>
    <row r="117" spans="1:65" x14ac:dyDescent="0.2">
      <c r="A117" s="25"/>
      <c r="B117" s="14"/>
      <c r="C117" s="14"/>
      <c r="D117" s="14"/>
      <c r="E117" s="14"/>
      <c r="F117" s="14"/>
      <c r="G117" s="14"/>
      <c r="H117" s="14"/>
      <c r="I117" s="14"/>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row>
    <row r="118" spans="1:65" x14ac:dyDescent="0.2">
      <c r="A118" s="25"/>
      <c r="B118" s="14"/>
      <c r="C118" s="14"/>
      <c r="D118" s="14"/>
      <c r="E118" s="14"/>
      <c r="F118" s="14"/>
      <c r="G118" s="14"/>
      <c r="H118" s="14"/>
      <c r="I118" s="14"/>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row>
  </sheetData>
  <mergeCells count="12">
    <mergeCell ref="B102:I107"/>
    <mergeCell ref="C8:G8"/>
    <mergeCell ref="B89:I93"/>
    <mergeCell ref="B37:I37"/>
    <mergeCell ref="B39:I39"/>
    <mergeCell ref="B62:I63"/>
    <mergeCell ref="B74:I86"/>
    <mergeCell ref="B4:I6"/>
    <mergeCell ref="E68:F68"/>
    <mergeCell ref="B44:I46"/>
    <mergeCell ref="B96:C99"/>
    <mergeCell ref="D96:J99"/>
  </mergeCells>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DE89-17C8-484E-BCEC-1757C8975F7F}">
  <dimension ref="A1:BM162"/>
  <sheetViews>
    <sheetView showGridLines="0" zoomScale="120" zoomScaleNormal="120" workbookViewId="0"/>
  </sheetViews>
  <sheetFormatPr baseColWidth="10" defaultColWidth="10.83203125" defaultRowHeight="16" x14ac:dyDescent="0.2"/>
  <cols>
    <col min="1" max="1" width="10.83203125" style="100"/>
    <col min="2" max="3" width="10.83203125" style="100" customWidth="1"/>
    <col min="4" max="5" width="10.83203125" style="100"/>
    <col min="6" max="7" width="10.83203125" style="100" customWidth="1"/>
    <col min="8" max="8" width="11.6640625" style="100" customWidth="1"/>
    <col min="9" max="9" width="10.83203125" style="100"/>
    <col min="10" max="10" width="10.83203125" style="100" customWidth="1"/>
    <col min="11" max="16384" width="10.83203125" style="100"/>
  </cols>
  <sheetData>
    <row r="1" spans="1:10" ht="19" x14ac:dyDescent="0.25">
      <c r="A1" s="11" t="s">
        <v>472</v>
      </c>
      <c r="B1" s="79"/>
      <c r="C1" s="79"/>
      <c r="D1" s="79"/>
      <c r="E1" s="79"/>
      <c r="F1" s="79"/>
      <c r="G1" s="79"/>
      <c r="H1" s="79"/>
      <c r="I1" s="79"/>
      <c r="J1" s="128"/>
    </row>
    <row r="2" spans="1:10" x14ac:dyDescent="0.2">
      <c r="A2" s="129"/>
      <c r="B2" s="79"/>
      <c r="C2" s="79"/>
      <c r="D2" s="79"/>
      <c r="E2" s="79"/>
      <c r="F2" s="79"/>
      <c r="G2" s="79"/>
      <c r="H2" s="79"/>
      <c r="I2" s="79"/>
      <c r="J2" s="128"/>
    </row>
    <row r="3" spans="1:10" x14ac:dyDescent="0.2">
      <c r="A3" s="130"/>
      <c r="B3" s="16" t="s">
        <v>11</v>
      </c>
      <c r="C3" s="79"/>
      <c r="D3" s="79"/>
      <c r="E3" s="79"/>
      <c r="F3" s="79"/>
      <c r="G3" s="79"/>
      <c r="H3" s="79"/>
      <c r="I3" s="79"/>
      <c r="J3" s="128"/>
    </row>
    <row r="4" spans="1:10" x14ac:dyDescent="0.2">
      <c r="A4" s="130"/>
      <c r="B4" s="362" t="s">
        <v>321</v>
      </c>
      <c r="C4" s="363"/>
      <c r="D4" s="363"/>
      <c r="E4" s="363"/>
      <c r="F4" s="363"/>
      <c r="G4" s="363"/>
      <c r="H4" s="363"/>
      <c r="I4" s="363"/>
      <c r="J4" s="128"/>
    </row>
    <row r="5" spans="1:10" x14ac:dyDescent="0.2">
      <c r="A5" s="130"/>
      <c r="B5" s="363"/>
      <c r="C5" s="363"/>
      <c r="D5" s="363"/>
      <c r="E5" s="363"/>
      <c r="F5" s="363"/>
      <c r="G5" s="363"/>
      <c r="H5" s="363"/>
      <c r="I5" s="363"/>
      <c r="J5" s="128"/>
    </row>
    <row r="6" spans="1:10" ht="16" customHeight="1" x14ac:dyDescent="0.2">
      <c r="A6" s="130"/>
      <c r="B6" s="132"/>
      <c r="C6" s="79"/>
      <c r="D6" s="161"/>
      <c r="E6" s="161"/>
      <c r="F6" s="161"/>
      <c r="G6" s="161"/>
      <c r="H6" s="161"/>
      <c r="I6" s="161"/>
      <c r="J6" s="128"/>
    </row>
    <row r="7" spans="1:10" x14ac:dyDescent="0.2">
      <c r="A7" s="130"/>
      <c r="B7" s="132"/>
      <c r="C7" s="385" t="s">
        <v>140</v>
      </c>
      <c r="D7" s="387" t="s">
        <v>307</v>
      </c>
      <c r="E7" s="388"/>
      <c r="F7" s="388"/>
      <c r="G7" s="388"/>
      <c r="H7" s="389"/>
      <c r="I7" s="161"/>
      <c r="J7" s="128"/>
    </row>
    <row r="8" spans="1:10" ht="16" customHeight="1" x14ac:dyDescent="0.2">
      <c r="A8" s="130"/>
      <c r="B8" s="132"/>
      <c r="C8" s="386"/>
      <c r="D8" s="97">
        <v>12</v>
      </c>
      <c r="E8" s="173">
        <v>24</v>
      </c>
      <c r="F8" s="173">
        <v>36</v>
      </c>
      <c r="G8" s="173">
        <v>48</v>
      </c>
      <c r="H8" s="98">
        <v>60</v>
      </c>
      <c r="I8" s="161"/>
      <c r="J8" s="128"/>
    </row>
    <row r="9" spans="1:10" x14ac:dyDescent="0.2">
      <c r="A9" s="130"/>
      <c r="B9" s="132"/>
      <c r="C9" s="111">
        <v>2021</v>
      </c>
      <c r="D9" s="163">
        <v>9586</v>
      </c>
      <c r="E9" s="164">
        <v>18297</v>
      </c>
      <c r="F9" s="164">
        <v>25998</v>
      </c>
      <c r="G9" s="164">
        <v>31635</v>
      </c>
      <c r="H9" s="165">
        <v>33760</v>
      </c>
      <c r="I9" s="161"/>
      <c r="J9" s="128"/>
    </row>
    <row r="10" spans="1:10" x14ac:dyDescent="0.2">
      <c r="A10" s="130"/>
      <c r="B10" s="132"/>
      <c r="C10" s="156">
        <v>2022</v>
      </c>
      <c r="D10" s="166">
        <v>11618</v>
      </c>
      <c r="E10" s="80">
        <v>22293</v>
      </c>
      <c r="F10" s="80">
        <v>33535</v>
      </c>
      <c r="G10" s="80">
        <v>39252</v>
      </c>
      <c r="H10" s="174"/>
      <c r="I10" s="161"/>
      <c r="J10" s="128"/>
    </row>
    <row r="11" spans="1:10" x14ac:dyDescent="0.2">
      <c r="A11" s="130"/>
      <c r="B11" s="132"/>
      <c r="C11" s="156">
        <v>2023</v>
      </c>
      <c r="D11" s="166">
        <v>12402</v>
      </c>
      <c r="E11" s="80">
        <v>27913</v>
      </c>
      <c r="F11" s="80">
        <v>39139</v>
      </c>
      <c r="G11" s="81"/>
      <c r="H11" s="174"/>
      <c r="I11" s="161"/>
      <c r="J11" s="128"/>
    </row>
    <row r="12" spans="1:10" x14ac:dyDescent="0.2">
      <c r="A12" s="130"/>
      <c r="B12" s="132"/>
      <c r="C12" s="156">
        <v>2024</v>
      </c>
      <c r="D12" s="166">
        <v>15095</v>
      </c>
      <c r="E12" s="80">
        <v>27810</v>
      </c>
      <c r="F12" s="81"/>
      <c r="G12" s="81"/>
      <c r="H12" s="174"/>
      <c r="I12" s="161"/>
      <c r="J12" s="128"/>
    </row>
    <row r="13" spans="1:10" x14ac:dyDescent="0.2">
      <c r="A13" s="130"/>
      <c r="B13" s="132"/>
      <c r="C13" s="131">
        <v>2025</v>
      </c>
      <c r="D13" s="167">
        <v>16361</v>
      </c>
      <c r="E13" s="176"/>
      <c r="F13" s="176"/>
      <c r="G13" s="176"/>
      <c r="H13" s="112"/>
      <c r="I13" s="161"/>
      <c r="J13" s="128"/>
    </row>
    <row r="14" spans="1:10" x14ac:dyDescent="0.2">
      <c r="A14" s="130"/>
      <c r="B14" s="132"/>
      <c r="C14" s="81"/>
      <c r="D14" s="80"/>
      <c r="E14" s="81"/>
      <c r="F14" s="81"/>
      <c r="G14" s="81"/>
      <c r="H14" s="81"/>
      <c r="I14" s="79"/>
      <c r="J14" s="128"/>
    </row>
    <row r="15" spans="1:10" x14ac:dyDescent="0.2">
      <c r="A15" s="130"/>
      <c r="B15" s="306" t="s">
        <v>310</v>
      </c>
      <c r="C15" s="79"/>
      <c r="D15" s="79"/>
      <c r="E15" s="79"/>
      <c r="F15" s="79"/>
      <c r="G15" s="79"/>
      <c r="H15" s="79"/>
      <c r="I15" s="79"/>
      <c r="J15" s="128"/>
    </row>
    <row r="16" spans="1:10" x14ac:dyDescent="0.2">
      <c r="A16" s="130"/>
      <c r="B16" s="79"/>
      <c r="C16" s="187"/>
      <c r="D16" s="79"/>
      <c r="E16" s="79"/>
      <c r="F16" s="79"/>
      <c r="G16" s="79"/>
      <c r="H16" s="79"/>
      <c r="I16" s="79"/>
      <c r="J16" s="128"/>
    </row>
    <row r="17" spans="1:10" ht="16" customHeight="1" x14ac:dyDescent="0.2">
      <c r="A17" s="130"/>
      <c r="B17" s="79"/>
      <c r="C17" s="111"/>
      <c r="D17" s="403" t="s">
        <v>308</v>
      </c>
      <c r="E17" s="404"/>
      <c r="F17" s="404"/>
      <c r="G17" s="404"/>
      <c r="H17" s="405"/>
      <c r="I17" s="79"/>
      <c r="J17" s="128"/>
    </row>
    <row r="18" spans="1:10" x14ac:dyDescent="0.2">
      <c r="A18" s="130"/>
      <c r="B18" s="79"/>
      <c r="C18" s="131" t="s">
        <v>167</v>
      </c>
      <c r="D18" s="133" t="s">
        <v>247</v>
      </c>
      <c r="E18" s="186" t="s">
        <v>248</v>
      </c>
      <c r="F18" s="186" t="s">
        <v>249</v>
      </c>
      <c r="G18" s="186" t="s">
        <v>183</v>
      </c>
      <c r="H18" s="134" t="s">
        <v>306</v>
      </c>
      <c r="I18" s="79"/>
      <c r="J18" s="128"/>
    </row>
    <row r="19" spans="1:10" x14ac:dyDescent="0.2">
      <c r="A19" s="130"/>
      <c r="B19" s="79"/>
      <c r="C19" s="111">
        <v>1</v>
      </c>
      <c r="D19" s="218">
        <v>9.0969999999999995</v>
      </c>
      <c r="E19" s="219">
        <v>9.8000000000000007</v>
      </c>
      <c r="F19" s="219">
        <v>10.086</v>
      </c>
      <c r="G19" s="220">
        <v>10.266999999999999</v>
      </c>
      <c r="H19" s="221">
        <v>10.331</v>
      </c>
      <c r="I19" s="79"/>
      <c r="J19" s="128"/>
    </row>
    <row r="20" spans="1:10" x14ac:dyDescent="0.2">
      <c r="A20" s="130"/>
      <c r="B20" s="79"/>
      <c r="C20" s="156">
        <v>2</v>
      </c>
      <c r="D20" s="222">
        <v>9.3629999999999995</v>
      </c>
      <c r="E20" s="223">
        <v>9.8770000000000007</v>
      </c>
      <c r="F20" s="223">
        <v>10.204000000000001</v>
      </c>
      <c r="G20" s="224">
        <v>10.425000000000001</v>
      </c>
      <c r="H20" s="225">
        <v>10.475</v>
      </c>
      <c r="I20" s="79"/>
      <c r="J20" s="128"/>
    </row>
    <row r="21" spans="1:10" x14ac:dyDescent="0.2">
      <c r="A21" s="130"/>
      <c r="B21" s="79"/>
      <c r="C21" s="156">
        <v>3</v>
      </c>
      <c r="D21" s="222">
        <v>9.31</v>
      </c>
      <c r="E21" s="223">
        <v>9.843</v>
      </c>
      <c r="F21" s="223">
        <v>10.153</v>
      </c>
      <c r="G21" s="224">
        <v>10.335000000000001</v>
      </c>
      <c r="H21" s="225">
        <v>10.414</v>
      </c>
      <c r="I21" s="79"/>
      <c r="J21" s="128"/>
    </row>
    <row r="22" spans="1:10" x14ac:dyDescent="0.2">
      <c r="A22" s="130"/>
      <c r="B22" s="79"/>
      <c r="C22" s="131">
        <v>4</v>
      </c>
      <c r="D22" s="226">
        <v>9.218</v>
      </c>
      <c r="E22" s="227">
        <v>9.8829999999999991</v>
      </c>
      <c r="F22" s="228">
        <v>10.166</v>
      </c>
      <c r="G22" s="228">
        <v>10.339</v>
      </c>
      <c r="H22" s="229">
        <v>10.401</v>
      </c>
      <c r="I22" s="79"/>
      <c r="J22" s="128"/>
    </row>
    <row r="23" spans="1:10" x14ac:dyDescent="0.2">
      <c r="A23" s="130"/>
      <c r="B23" s="79"/>
      <c r="C23" s="81"/>
      <c r="D23" s="79"/>
      <c r="E23" s="79"/>
      <c r="F23" s="79"/>
      <c r="G23" s="79"/>
      <c r="H23" s="79"/>
      <c r="I23" s="79"/>
      <c r="J23" s="128"/>
    </row>
    <row r="24" spans="1:10" ht="18" x14ac:dyDescent="0.2">
      <c r="A24" s="130"/>
      <c r="B24" s="79"/>
      <c r="C24" s="111"/>
      <c r="D24" s="403" t="s">
        <v>309</v>
      </c>
      <c r="E24" s="404"/>
      <c r="F24" s="404"/>
      <c r="G24" s="404"/>
      <c r="H24" s="405"/>
      <c r="I24" s="79"/>
      <c r="J24" s="128"/>
    </row>
    <row r="25" spans="1:10" x14ac:dyDescent="0.2">
      <c r="A25" s="130"/>
      <c r="B25" s="79"/>
      <c r="C25" s="131" t="s">
        <v>167</v>
      </c>
      <c r="D25" s="133" t="s">
        <v>247</v>
      </c>
      <c r="E25" s="186" t="s">
        <v>248</v>
      </c>
      <c r="F25" s="186" t="s">
        <v>249</v>
      </c>
      <c r="G25" s="186" t="s">
        <v>183</v>
      </c>
      <c r="H25" s="134" t="s">
        <v>306</v>
      </c>
      <c r="I25" s="79"/>
      <c r="J25" s="128"/>
    </row>
    <row r="26" spans="1:10" x14ac:dyDescent="0.2">
      <c r="A26" s="130"/>
      <c r="B26" s="79"/>
      <c r="C26" s="111">
        <v>1</v>
      </c>
      <c r="D26" s="218">
        <v>0.13900000000000001</v>
      </c>
      <c r="E26" s="219">
        <v>0.121</v>
      </c>
      <c r="F26" s="219">
        <v>0.1</v>
      </c>
      <c r="G26" s="220">
        <v>7.5999999999999998E-2</v>
      </c>
      <c r="H26" s="221">
        <v>7.2999999999999995E-2</v>
      </c>
      <c r="I26" s="79"/>
      <c r="J26" s="128"/>
    </row>
    <row r="27" spans="1:10" x14ac:dyDescent="0.2">
      <c r="A27" s="130"/>
      <c r="B27" s="79"/>
      <c r="C27" s="156">
        <v>2</v>
      </c>
      <c r="D27" s="222">
        <v>0.316</v>
      </c>
      <c r="E27" s="223">
        <v>8.5000000000000006E-2</v>
      </c>
      <c r="F27" s="223">
        <v>7.0000000000000007E-2</v>
      </c>
      <c r="G27" s="224">
        <v>6.4000000000000001E-2</v>
      </c>
      <c r="H27" s="225">
        <v>2.1999999999999999E-2</v>
      </c>
      <c r="I27" s="79"/>
      <c r="J27" s="128"/>
    </row>
    <row r="28" spans="1:10" x14ac:dyDescent="0.2">
      <c r="A28" s="130"/>
      <c r="B28" s="79"/>
      <c r="C28" s="156">
        <v>3</v>
      </c>
      <c r="D28" s="222">
        <v>0.30299999999999999</v>
      </c>
      <c r="E28" s="223">
        <v>8.1000000000000003E-2</v>
      </c>
      <c r="F28" s="223">
        <v>6.2E-2</v>
      </c>
      <c r="G28" s="224">
        <v>5.7000000000000002E-2</v>
      </c>
      <c r="H28" s="225">
        <v>2.9000000000000001E-2</v>
      </c>
      <c r="I28" s="79"/>
      <c r="J28" s="128"/>
    </row>
    <row r="29" spans="1:10" x14ac:dyDescent="0.2">
      <c r="A29" s="130"/>
      <c r="B29" s="79"/>
      <c r="C29" s="131">
        <v>4</v>
      </c>
      <c r="D29" s="226">
        <v>0.13</v>
      </c>
      <c r="E29" s="227">
        <v>0.11</v>
      </c>
      <c r="F29" s="228">
        <v>0.108</v>
      </c>
      <c r="G29" s="228">
        <v>6.5000000000000002E-2</v>
      </c>
      <c r="H29" s="229">
        <v>2.3E-2</v>
      </c>
      <c r="I29" s="79"/>
      <c r="J29" s="128"/>
    </row>
    <row r="30" spans="1:10" x14ac:dyDescent="0.2">
      <c r="A30" s="130"/>
      <c r="B30" s="79"/>
      <c r="C30" s="80"/>
      <c r="D30" s="80"/>
      <c r="E30" s="80"/>
      <c r="F30" s="79"/>
      <c r="G30" s="79"/>
      <c r="H30" s="79"/>
      <c r="I30" s="79"/>
      <c r="J30" s="128"/>
    </row>
    <row r="31" spans="1:10" x14ac:dyDescent="0.2">
      <c r="A31" s="130"/>
      <c r="B31" s="79" t="s">
        <v>322</v>
      </c>
      <c r="C31" s="80"/>
      <c r="D31" s="80"/>
      <c r="E31" s="80"/>
      <c r="F31" s="79"/>
      <c r="G31" s="79"/>
      <c r="H31" s="79"/>
      <c r="I31" s="79"/>
      <c r="J31" s="128"/>
    </row>
    <row r="32" spans="1:10" x14ac:dyDescent="0.2">
      <c r="A32" s="130"/>
      <c r="B32" s="79"/>
      <c r="C32" s="80"/>
      <c r="D32" s="80"/>
      <c r="E32" s="80"/>
      <c r="F32" s="79"/>
      <c r="G32" s="79"/>
      <c r="H32" s="79"/>
      <c r="I32" s="79"/>
      <c r="J32" s="128"/>
    </row>
    <row r="33" spans="1:10" x14ac:dyDescent="0.2">
      <c r="A33" s="130"/>
      <c r="B33" s="79"/>
      <c r="C33" s="188"/>
      <c r="D33" s="133" t="s">
        <v>340</v>
      </c>
      <c r="E33" s="134" t="s">
        <v>305</v>
      </c>
      <c r="F33" s="79"/>
      <c r="G33" s="79"/>
      <c r="H33" s="79"/>
      <c r="I33" s="79"/>
      <c r="J33" s="128"/>
    </row>
    <row r="34" spans="1:10" x14ac:dyDescent="0.2">
      <c r="A34" s="130"/>
      <c r="B34" s="79"/>
      <c r="C34" s="111" t="s">
        <v>311</v>
      </c>
      <c r="D34" s="210">
        <v>78.349999999999994</v>
      </c>
      <c r="E34" s="211">
        <v>-156.69999999999999</v>
      </c>
      <c r="F34" s="79"/>
      <c r="G34" s="79"/>
      <c r="H34" s="79"/>
      <c r="I34" s="79"/>
      <c r="J34" s="128"/>
    </row>
    <row r="35" spans="1:10" x14ac:dyDescent="0.2">
      <c r="A35" s="130"/>
      <c r="B35" s="79"/>
      <c r="C35" s="131" t="s">
        <v>313</v>
      </c>
      <c r="D35" s="212">
        <v>63.5</v>
      </c>
      <c r="E35" s="213">
        <v>-127</v>
      </c>
      <c r="F35" s="79"/>
      <c r="G35" s="79"/>
      <c r="H35" s="79"/>
      <c r="I35" s="79"/>
      <c r="J35" s="128"/>
    </row>
    <row r="36" spans="1:10" x14ac:dyDescent="0.2">
      <c r="A36" s="130"/>
      <c r="B36" s="79"/>
      <c r="C36" s="80"/>
      <c r="D36" s="177"/>
      <c r="E36" s="80"/>
      <c r="F36" s="79"/>
      <c r="G36" s="79"/>
      <c r="H36" s="79"/>
      <c r="I36" s="79"/>
      <c r="J36" s="128"/>
    </row>
    <row r="37" spans="1:10" x14ac:dyDescent="0.2">
      <c r="A37" s="130"/>
      <c r="B37" s="306" t="s">
        <v>332</v>
      </c>
      <c r="C37" s="80"/>
      <c r="D37" s="177"/>
      <c r="E37" s="80"/>
      <c r="F37" s="79"/>
      <c r="G37" s="79"/>
      <c r="H37" s="79"/>
      <c r="I37" s="79"/>
      <c r="J37" s="128"/>
    </row>
    <row r="38" spans="1:10" x14ac:dyDescent="0.2">
      <c r="A38" s="130"/>
      <c r="B38" s="79"/>
      <c r="C38" s="80"/>
      <c r="D38" s="177"/>
      <c r="E38" s="80"/>
      <c r="F38" s="79"/>
      <c r="G38" s="79"/>
      <c r="H38" s="79"/>
      <c r="I38" s="79"/>
      <c r="J38" s="128"/>
    </row>
    <row r="39" spans="1:10" x14ac:dyDescent="0.2">
      <c r="A39" s="130"/>
      <c r="B39" s="79"/>
      <c r="C39" s="332" t="s">
        <v>333</v>
      </c>
      <c r="D39" s="177"/>
      <c r="E39" s="80"/>
      <c r="F39" s="79"/>
      <c r="G39" s="79"/>
      <c r="H39" s="79"/>
      <c r="I39" s="79"/>
      <c r="J39" s="128"/>
    </row>
    <row r="40" spans="1:10" x14ac:dyDescent="0.2">
      <c r="A40" s="130"/>
      <c r="B40" s="79"/>
      <c r="C40" s="80"/>
      <c r="D40" s="177"/>
      <c r="E40" s="80"/>
      <c r="F40" s="79"/>
      <c r="G40" s="79"/>
      <c r="H40" s="79"/>
      <c r="I40" s="79"/>
      <c r="J40" s="128"/>
    </row>
    <row r="41" spans="1:10" x14ac:dyDescent="0.2">
      <c r="A41" s="130"/>
      <c r="B41" s="79"/>
      <c r="C41" s="80"/>
      <c r="D41" s="177"/>
      <c r="E41" s="80"/>
      <c r="F41" s="79"/>
      <c r="G41" s="79"/>
      <c r="H41" s="79"/>
      <c r="I41" s="79"/>
      <c r="J41" s="128"/>
    </row>
    <row r="42" spans="1:10" ht="16" customHeight="1" x14ac:dyDescent="0.2">
      <c r="A42" s="130" t="s">
        <v>10</v>
      </c>
      <c r="B42" s="362" t="s">
        <v>424</v>
      </c>
      <c r="C42" s="363"/>
      <c r="D42" s="363"/>
      <c r="E42" s="363"/>
      <c r="F42" s="363"/>
      <c r="G42" s="363"/>
      <c r="H42" s="363"/>
      <c r="I42" s="363"/>
      <c r="J42" s="128"/>
    </row>
    <row r="43" spans="1:10" ht="16" customHeight="1" x14ac:dyDescent="0.2">
      <c r="A43" s="130"/>
      <c r="B43" s="363"/>
      <c r="C43" s="363"/>
      <c r="D43" s="363"/>
      <c r="E43" s="363"/>
      <c r="F43" s="363"/>
      <c r="G43" s="363"/>
      <c r="H43" s="363"/>
      <c r="I43" s="363"/>
      <c r="J43" s="128"/>
    </row>
    <row r="44" spans="1:10" ht="16" customHeight="1" x14ac:dyDescent="0.2">
      <c r="A44" s="130"/>
      <c r="B44" s="79"/>
      <c r="C44" s="187"/>
      <c r="D44" s="187"/>
      <c r="E44" s="187"/>
      <c r="F44" s="187"/>
      <c r="G44" s="187"/>
      <c r="H44" s="187"/>
      <c r="I44" s="187"/>
      <c r="J44" s="128"/>
    </row>
    <row r="45" spans="1:10" ht="19" customHeight="1" x14ac:dyDescent="0.2">
      <c r="A45" s="130" t="s">
        <v>9</v>
      </c>
      <c r="B45" s="362" t="s">
        <v>343</v>
      </c>
      <c r="C45" s="363"/>
      <c r="D45" s="363"/>
      <c r="E45" s="363"/>
      <c r="F45" s="363"/>
      <c r="G45" s="363"/>
      <c r="H45" s="363"/>
      <c r="I45" s="363"/>
      <c r="J45" s="128"/>
    </row>
    <row r="46" spans="1:10" ht="17" thickBot="1" x14ac:dyDescent="0.25">
      <c r="A46" s="141"/>
      <c r="B46" s="142"/>
      <c r="C46" s="143"/>
      <c r="D46" s="143"/>
      <c r="E46" s="143"/>
      <c r="F46" s="142"/>
      <c r="G46" s="142"/>
      <c r="H46" s="142"/>
      <c r="I46" s="142"/>
      <c r="J46" s="144"/>
    </row>
    <row r="48" spans="1:10" ht="19" x14ac:dyDescent="0.25">
      <c r="A48" s="22" t="s">
        <v>8</v>
      </c>
    </row>
    <row r="49" spans="1:9" ht="16" customHeight="1" x14ac:dyDescent="0.2">
      <c r="A49" s="23" t="s">
        <v>304</v>
      </c>
      <c r="B49" s="24"/>
      <c r="C49" s="24"/>
      <c r="D49" s="24"/>
      <c r="E49" s="24"/>
      <c r="F49" s="24"/>
      <c r="G49" s="24"/>
      <c r="H49" s="24"/>
      <c r="I49" s="24"/>
    </row>
    <row r="50" spans="1:9" ht="16" customHeight="1" x14ac:dyDescent="0.2">
      <c r="A50" s="1" t="s">
        <v>7</v>
      </c>
      <c r="B50" s="364" t="s">
        <v>312</v>
      </c>
      <c r="C50" s="364"/>
      <c r="D50" s="364"/>
      <c r="E50" s="364"/>
      <c r="F50" s="364"/>
      <c r="G50" s="364"/>
      <c r="H50" s="364"/>
      <c r="I50" s="364"/>
    </row>
    <row r="51" spans="1:9" ht="16" customHeight="1" x14ac:dyDescent="0.2">
      <c r="A51" s="1"/>
      <c r="B51" s="364"/>
      <c r="C51" s="364"/>
      <c r="D51" s="364"/>
      <c r="E51" s="364"/>
      <c r="F51" s="364"/>
      <c r="G51" s="364"/>
      <c r="H51" s="364"/>
      <c r="I51" s="364"/>
    </row>
    <row r="52" spans="1:9" ht="19" customHeight="1" x14ac:dyDescent="0.2">
      <c r="A52" s="1"/>
      <c r="B52" s="364"/>
      <c r="C52" s="364"/>
      <c r="D52" s="364"/>
      <c r="E52" s="364"/>
      <c r="F52" s="364"/>
      <c r="G52" s="364"/>
      <c r="H52" s="364"/>
      <c r="I52" s="364"/>
    </row>
    <row r="53" spans="1:9" ht="16" customHeight="1" x14ac:dyDescent="0.2">
      <c r="A53" s="1"/>
    </row>
    <row r="54" spans="1:9" ht="16" customHeight="1" x14ac:dyDescent="0.2">
      <c r="A54" s="1"/>
      <c r="F54" s="115"/>
      <c r="G54" s="115"/>
    </row>
    <row r="55" spans="1:9" ht="16" customHeight="1" x14ac:dyDescent="0.2">
      <c r="A55" s="1"/>
    </row>
    <row r="56" spans="1:9" ht="16" customHeight="1" x14ac:dyDescent="0.2">
      <c r="A56" s="1"/>
    </row>
    <row r="57" spans="1:9" ht="16" customHeight="1" x14ac:dyDescent="0.2">
      <c r="A57" s="1"/>
    </row>
    <row r="58" spans="1:9" ht="16" customHeight="1" x14ac:dyDescent="0.2">
      <c r="A58" s="1"/>
      <c r="B58" s="1"/>
      <c r="C58" s="333" t="s">
        <v>167</v>
      </c>
      <c r="D58" s="406" t="s">
        <v>314</v>
      </c>
      <c r="E58" s="407"/>
      <c r="F58" s="407"/>
      <c r="G58" s="407"/>
      <c r="H58" s="408"/>
    </row>
    <row r="59" spans="1:9" ht="16" customHeight="1" x14ac:dyDescent="0.2">
      <c r="A59" s="1"/>
      <c r="B59" s="1"/>
      <c r="C59" s="253">
        <v>1</v>
      </c>
      <c r="D59" s="244">
        <f>(LN(D$9)-D19)/D26</f>
        <v>0.51121568143580798</v>
      </c>
      <c r="E59" s="230">
        <f>(LN(E$9)-E19)/E26</f>
        <v>0.11977182615342521</v>
      </c>
      <c r="F59" s="230">
        <f>(LN(F$9)-F19)/F26</f>
        <v>0.79774890967964751</v>
      </c>
      <c r="G59" s="231">
        <f>(LN(G$9)-G19)/G26</f>
        <v>1.2502550208024255</v>
      </c>
      <c r="H59" s="232">
        <f>(LN(H$9)-H19)/H26</f>
        <v>1.3155061467108853</v>
      </c>
    </row>
    <row r="60" spans="1:9" ht="16" customHeight="1" x14ac:dyDescent="0.2">
      <c r="A60" s="1"/>
      <c r="B60" s="1"/>
      <c r="C60" s="257">
        <v>2</v>
      </c>
      <c r="D60" s="233">
        <f>(LN(D$9)-D20)/D27</f>
        <v>-0.61690196291273003</v>
      </c>
      <c r="E60" s="217">
        <f t="shared" ref="E60:H60" si="0">(LN(E$9)-E20)/E27</f>
        <v>-0.73538363571100596</v>
      </c>
      <c r="F60" s="217">
        <f t="shared" si="0"/>
        <v>-0.54607298617193678</v>
      </c>
      <c r="G60" s="171">
        <f t="shared" si="0"/>
        <v>-0.98407216279713938</v>
      </c>
      <c r="H60" s="199">
        <f t="shared" si="0"/>
        <v>-2.1803659677320688</v>
      </c>
    </row>
    <row r="61" spans="1:9" ht="16" customHeight="1" x14ac:dyDescent="0.2">
      <c r="A61" s="1"/>
      <c r="B61" s="1"/>
      <c r="C61" s="257">
        <v>3</v>
      </c>
      <c r="D61" s="233">
        <f>(LN(D$9)-D21)/D28</f>
        <v>-0.46845221214661276</v>
      </c>
      <c r="E61" s="217">
        <f t="shared" ref="E61:H62" si="1">(LN(E$9)-E21)/E28</f>
        <v>-0.35194579056092357</v>
      </c>
      <c r="F61" s="217">
        <f t="shared" si="1"/>
        <v>0.20604662851555774</v>
      </c>
      <c r="G61" s="171">
        <f t="shared" si="1"/>
        <v>0.47402423826285855</v>
      </c>
      <c r="H61" s="199">
        <f t="shared" si="1"/>
        <v>0.44937754172049776</v>
      </c>
    </row>
    <row r="62" spans="1:9" ht="16" customHeight="1" x14ac:dyDescent="0.2">
      <c r="A62" s="1"/>
      <c r="B62" s="1"/>
      <c r="C62" s="334">
        <v>4</v>
      </c>
      <c r="D62" s="234">
        <f>(LN(D$9)-D22)/D29</f>
        <v>-0.38416169446479331</v>
      </c>
      <c r="E62" s="235">
        <f t="shared" si="1"/>
        <v>-0.62279644577667237</v>
      </c>
      <c r="F62" s="236">
        <f t="shared" si="1"/>
        <v>-2.0843428892159256E-3</v>
      </c>
      <c r="G62" s="236">
        <f t="shared" si="1"/>
        <v>0.3541443320151289</v>
      </c>
      <c r="H62" s="237">
        <f t="shared" si="1"/>
        <v>1.1318238569519277</v>
      </c>
    </row>
    <row r="63" spans="1:9" ht="16" customHeight="1" x14ac:dyDescent="0.2">
      <c r="A63" s="1"/>
    </row>
    <row r="64" spans="1:9" ht="16" customHeight="1" x14ac:dyDescent="0.2">
      <c r="A64" s="1" t="s">
        <v>6</v>
      </c>
      <c r="B64" s="364" t="s">
        <v>467</v>
      </c>
      <c r="C64" s="364"/>
      <c r="D64" s="364"/>
      <c r="E64" s="364"/>
      <c r="F64" s="364"/>
      <c r="G64" s="364"/>
      <c r="H64" s="364"/>
      <c r="I64" s="364"/>
    </row>
    <row r="65" spans="1:10" ht="16" customHeight="1" x14ac:dyDescent="0.2">
      <c r="A65" s="1"/>
      <c r="B65" s="364"/>
      <c r="C65" s="364"/>
      <c r="D65" s="364"/>
      <c r="E65" s="364"/>
      <c r="F65" s="364"/>
      <c r="G65" s="364"/>
      <c r="H65" s="364"/>
      <c r="I65" s="364"/>
    </row>
    <row r="66" spans="1:10" ht="16" customHeight="1" x14ac:dyDescent="0.2">
      <c r="A66" s="1"/>
    </row>
    <row r="67" spans="1:10" ht="16" customHeight="1" x14ac:dyDescent="0.2">
      <c r="A67" s="1"/>
      <c r="B67" s="402" t="s">
        <v>466</v>
      </c>
      <c r="C67" s="348"/>
      <c r="D67" s="348"/>
      <c r="E67" s="348"/>
      <c r="F67" s="348"/>
      <c r="G67" s="348"/>
      <c r="H67" s="348"/>
      <c r="I67" s="348"/>
    </row>
    <row r="68" spans="1:10" ht="16" customHeight="1" x14ac:dyDescent="0.2">
      <c r="A68" s="1"/>
      <c r="B68" s="348"/>
      <c r="C68" s="348"/>
      <c r="D68" s="348"/>
      <c r="E68" s="348"/>
      <c r="F68" s="348"/>
      <c r="G68" s="348"/>
      <c r="H68" s="348"/>
      <c r="I68" s="348"/>
    </row>
    <row r="69" spans="1:10" ht="16" customHeight="1" x14ac:dyDescent="0.2">
      <c r="A69" s="1"/>
      <c r="B69" s="348"/>
      <c r="C69" s="348"/>
      <c r="D69" s="348"/>
      <c r="E69" s="348"/>
      <c r="F69" s="348"/>
      <c r="G69" s="348"/>
      <c r="H69" s="348"/>
      <c r="I69" s="348"/>
      <c r="J69" s="24"/>
    </row>
    <row r="70" spans="1:10" ht="16" customHeight="1" x14ac:dyDescent="0.2">
      <c r="A70" s="1"/>
      <c r="B70" s="348"/>
      <c r="C70" s="348"/>
      <c r="D70" s="348"/>
      <c r="E70" s="348"/>
      <c r="F70" s="348"/>
      <c r="G70" s="348"/>
      <c r="H70" s="348"/>
      <c r="I70" s="348"/>
      <c r="J70" s="24"/>
    </row>
    <row r="71" spans="1:10" ht="16" customHeight="1" x14ac:dyDescent="0.2">
      <c r="A71" s="1"/>
      <c r="B71" s="76"/>
      <c r="C71" s="76"/>
      <c r="D71" s="76"/>
      <c r="E71" s="76"/>
      <c r="F71" s="76"/>
      <c r="G71" s="76"/>
      <c r="H71" s="76"/>
      <c r="I71" s="76"/>
      <c r="J71" s="24"/>
    </row>
    <row r="72" spans="1:10" ht="16" customHeight="1" x14ac:dyDescent="0.2">
      <c r="A72" s="1"/>
      <c r="B72" s="76"/>
      <c r="C72" s="76"/>
      <c r="D72" s="76"/>
      <c r="E72" s="76"/>
      <c r="F72" s="76"/>
      <c r="G72" s="76"/>
      <c r="H72" s="76"/>
      <c r="I72" s="76"/>
      <c r="J72" s="24"/>
    </row>
    <row r="73" spans="1:10" ht="16" customHeight="1" x14ac:dyDescent="0.2">
      <c r="A73" s="1"/>
      <c r="B73" s="76"/>
      <c r="C73" s="76"/>
      <c r="D73" s="76"/>
      <c r="E73" s="76"/>
      <c r="F73" s="76"/>
      <c r="G73" s="76"/>
      <c r="H73" s="76"/>
      <c r="I73" s="76"/>
      <c r="J73" s="24"/>
    </row>
    <row r="74" spans="1:10" ht="16" customHeight="1" x14ac:dyDescent="0.2">
      <c r="A74" s="1"/>
      <c r="B74" s="76"/>
      <c r="C74" s="76"/>
      <c r="D74" s="76"/>
      <c r="E74" s="76"/>
      <c r="F74" s="76"/>
      <c r="G74" s="76"/>
      <c r="H74" s="76"/>
      <c r="I74" s="76"/>
      <c r="J74" s="24"/>
    </row>
    <row r="75" spans="1:10" ht="16" customHeight="1" x14ac:dyDescent="0.2">
      <c r="A75" s="1"/>
      <c r="B75" s="76"/>
      <c r="C75" s="76"/>
      <c r="D75" s="76"/>
      <c r="E75" s="76"/>
      <c r="F75" s="76"/>
      <c r="G75" s="76"/>
      <c r="H75" s="76"/>
      <c r="I75" s="76"/>
      <c r="J75" s="24"/>
    </row>
    <row r="76" spans="1:10" ht="16" customHeight="1" x14ac:dyDescent="0.2">
      <c r="A76" s="1"/>
      <c r="B76" s="76"/>
      <c r="C76" s="76"/>
      <c r="D76" s="76"/>
      <c r="E76" s="76"/>
      <c r="F76" s="76"/>
      <c r="G76" s="76"/>
      <c r="H76" s="76"/>
      <c r="I76" s="76"/>
      <c r="J76" s="24"/>
    </row>
    <row r="77" spans="1:10" ht="16" customHeight="1" x14ac:dyDescent="0.2">
      <c r="A77" s="1"/>
      <c r="B77" s="76"/>
      <c r="C77" s="76"/>
      <c r="D77" s="76"/>
      <c r="E77" s="76"/>
      <c r="F77" s="76"/>
      <c r="G77" s="76"/>
      <c r="H77" s="76"/>
      <c r="I77" s="76"/>
      <c r="J77" s="24"/>
    </row>
    <row r="78" spans="1:10" ht="16" customHeight="1" x14ac:dyDescent="0.2">
      <c r="A78" s="1"/>
      <c r="B78" s="76"/>
      <c r="C78" s="76"/>
      <c r="D78" s="76"/>
      <c r="E78" s="76"/>
      <c r="F78" s="76"/>
      <c r="G78" s="76"/>
      <c r="H78" s="76"/>
      <c r="I78" s="76"/>
      <c r="J78" s="24"/>
    </row>
    <row r="79" spans="1:10" ht="16" customHeight="1" x14ac:dyDescent="0.2">
      <c r="A79" s="1"/>
      <c r="B79" s="241" t="s">
        <v>149</v>
      </c>
      <c r="C79" s="76"/>
      <c r="D79" s="76"/>
      <c r="E79" s="76"/>
      <c r="F79" s="76"/>
      <c r="G79" s="76"/>
      <c r="H79" s="76"/>
      <c r="I79" s="76"/>
      <c r="J79" s="24"/>
    </row>
    <row r="80" spans="1:10" ht="16" customHeight="1" x14ac:dyDescent="0.2">
      <c r="A80" s="1"/>
      <c r="B80" s="335" t="s">
        <v>333</v>
      </c>
      <c r="C80" s="76"/>
      <c r="D80" s="76"/>
      <c r="E80" s="76"/>
      <c r="F80" s="76"/>
      <c r="G80" s="76"/>
      <c r="H80" s="76"/>
      <c r="I80" s="76"/>
      <c r="J80" s="24"/>
    </row>
    <row r="81" spans="1:10" ht="16" customHeight="1" x14ac:dyDescent="0.2">
      <c r="A81" s="1"/>
      <c r="B81" s="76"/>
      <c r="C81" s="76"/>
      <c r="D81" s="76"/>
      <c r="E81" s="76"/>
      <c r="F81" s="76"/>
      <c r="G81" s="76"/>
      <c r="H81" s="76"/>
      <c r="I81" s="76"/>
      <c r="J81" s="24"/>
    </row>
    <row r="82" spans="1:10" ht="16" customHeight="1" x14ac:dyDescent="0.2">
      <c r="A82" s="1"/>
      <c r="B82" s="76"/>
      <c r="C82" s="121" t="s">
        <v>328</v>
      </c>
      <c r="D82" s="171">
        <f>D85-D86</f>
        <v>1.0471023294132311</v>
      </c>
      <c r="F82" s="100" t="s">
        <v>329</v>
      </c>
      <c r="H82" s="76"/>
      <c r="I82" s="76"/>
      <c r="J82" s="24"/>
    </row>
    <row r="83" spans="1:10" ht="16" customHeight="1" thickBot="1" x14ac:dyDescent="0.25">
      <c r="A83" s="1"/>
      <c r="B83" s="76"/>
      <c r="H83" s="76"/>
      <c r="I83" s="76"/>
      <c r="J83" s="24"/>
    </row>
    <row r="84" spans="1:10" ht="16" customHeight="1" x14ac:dyDescent="0.25">
      <c r="A84" s="1"/>
      <c r="B84" s="76"/>
      <c r="C84" s="203" t="s">
        <v>325</v>
      </c>
      <c r="D84" s="238">
        <f>D85+1.5*D82</f>
        <v>2.0539755931759425</v>
      </c>
      <c r="F84" s="203" t="s">
        <v>330</v>
      </c>
      <c r="G84" s="238">
        <f>_xlfn.NORM.S.INV(0.75)</f>
        <v>0.67448975019608193</v>
      </c>
      <c r="H84" s="76"/>
      <c r="I84" s="76"/>
      <c r="J84" s="24"/>
    </row>
    <row r="85" spans="1:10" ht="16" customHeight="1" thickBot="1" x14ac:dyDescent="0.3">
      <c r="A85" s="1"/>
      <c r="C85" s="205" t="s">
        <v>326</v>
      </c>
      <c r="D85" s="239">
        <f>_xlfn.PERCENTILE.INC(D59:H62,0.75)</f>
        <v>0.48332209905609591</v>
      </c>
      <c r="F85" s="207" t="s">
        <v>331</v>
      </c>
      <c r="G85" s="208">
        <f>_xlfn.NORM.S.INV(0.25)</f>
        <v>-0.67448975019608193</v>
      </c>
      <c r="J85" s="24"/>
    </row>
    <row r="86" spans="1:10" ht="16" customHeight="1" x14ac:dyDescent="0.25">
      <c r="A86" s="1"/>
      <c r="C86" s="205" t="s">
        <v>327</v>
      </c>
      <c r="D86" s="239">
        <f>_xlfn.PERCENTILE.INC(D59:H62,0.25)</f>
        <v>-0.56378023035713509</v>
      </c>
      <c r="J86" s="24"/>
    </row>
    <row r="87" spans="1:10" ht="16" customHeight="1" x14ac:dyDescent="0.25">
      <c r="A87" s="1"/>
      <c r="C87" s="242" t="s">
        <v>324</v>
      </c>
      <c r="D87" s="243">
        <f>D86-1.5*D82</f>
        <v>-2.134433724476982</v>
      </c>
      <c r="J87" s="24"/>
    </row>
    <row r="88" spans="1:10" ht="16" customHeight="1" thickBot="1" x14ac:dyDescent="0.25">
      <c r="A88" s="1"/>
      <c r="C88" s="207" t="s">
        <v>323</v>
      </c>
      <c r="D88" s="208">
        <f>H60</f>
        <v>-2.1803659677320688</v>
      </c>
    </row>
    <row r="89" spans="1:10" ht="16" customHeight="1" x14ac:dyDescent="0.2">
      <c r="A89" s="1"/>
    </row>
    <row r="90" spans="1:10" ht="16" customHeight="1" x14ac:dyDescent="0.2">
      <c r="A90" s="1"/>
      <c r="B90" s="24" t="s">
        <v>53</v>
      </c>
    </row>
    <row r="91" spans="1:10" ht="16" customHeight="1" x14ac:dyDescent="0.2">
      <c r="A91" s="1"/>
      <c r="B91" s="346" t="s">
        <v>334</v>
      </c>
      <c r="C91" s="348"/>
      <c r="D91" s="348"/>
      <c r="E91" s="348"/>
      <c r="F91" s="348"/>
      <c r="G91" s="348"/>
      <c r="H91" s="348"/>
      <c r="I91" s="348"/>
    </row>
    <row r="92" spans="1:10" ht="16" customHeight="1" x14ac:dyDescent="0.2">
      <c r="A92" s="1"/>
      <c r="B92" s="348"/>
      <c r="C92" s="348"/>
      <c r="D92" s="348"/>
      <c r="E92" s="348"/>
      <c r="F92" s="348"/>
      <c r="G92" s="348"/>
      <c r="H92" s="348"/>
      <c r="I92" s="348"/>
    </row>
    <row r="93" spans="1:10" ht="16" customHeight="1" x14ac:dyDescent="0.2">
      <c r="A93" s="1"/>
      <c r="B93" s="348"/>
      <c r="C93" s="348"/>
      <c r="D93" s="348"/>
      <c r="E93" s="348"/>
      <c r="F93" s="348"/>
      <c r="G93" s="348"/>
      <c r="H93" s="348"/>
      <c r="I93" s="348"/>
    </row>
    <row r="94" spans="1:10" ht="16" customHeight="1" x14ac:dyDescent="0.2">
      <c r="A94" s="1"/>
    </row>
    <row r="95" spans="1:10" ht="18" customHeight="1" x14ac:dyDescent="0.25">
      <c r="A95" s="23" t="s">
        <v>337</v>
      </c>
    </row>
    <row r="96" spans="1:10" ht="18" customHeight="1" x14ac:dyDescent="0.2">
      <c r="A96" s="1" t="s">
        <v>5</v>
      </c>
      <c r="B96" s="364" t="s">
        <v>342</v>
      </c>
      <c r="C96" s="364"/>
      <c r="D96" s="364"/>
      <c r="E96" s="364"/>
      <c r="F96" s="364"/>
      <c r="G96" s="364"/>
      <c r="H96" s="364"/>
      <c r="I96" s="364"/>
    </row>
    <row r="97" spans="1:65" ht="16" customHeight="1" x14ac:dyDescent="0.2">
      <c r="A97" s="1"/>
      <c r="B97" s="364"/>
      <c r="C97" s="364"/>
      <c r="D97" s="364"/>
      <c r="E97" s="364"/>
      <c r="F97" s="364"/>
      <c r="G97" s="364"/>
      <c r="H97" s="364"/>
      <c r="I97" s="364"/>
    </row>
    <row r="98" spans="1:65" ht="16" customHeight="1" x14ac:dyDescent="0.2">
      <c r="A98" s="1"/>
    </row>
    <row r="99" spans="1:65" ht="19" customHeight="1" x14ac:dyDescent="0.2">
      <c r="A99" s="1"/>
      <c r="B99" s="346" t="s">
        <v>344</v>
      </c>
      <c r="C99" s="348"/>
      <c r="D99" s="348"/>
      <c r="E99" s="348"/>
      <c r="F99" s="348"/>
      <c r="G99" s="348"/>
      <c r="H99" s="348"/>
      <c r="I99" s="348"/>
    </row>
    <row r="100" spans="1:65" ht="16" customHeight="1" x14ac:dyDescent="0.2">
      <c r="A100" s="1"/>
      <c r="B100" s="348"/>
      <c r="C100" s="348"/>
      <c r="D100" s="348"/>
      <c r="E100" s="348"/>
      <c r="F100" s="348"/>
      <c r="G100" s="348"/>
      <c r="H100" s="348"/>
      <c r="I100" s="348"/>
    </row>
    <row r="101" spans="1:65" ht="16" customHeight="1" x14ac:dyDescent="0.2">
      <c r="A101" s="1"/>
      <c r="B101" s="348"/>
      <c r="C101" s="348"/>
      <c r="D101" s="348"/>
      <c r="E101" s="348"/>
      <c r="F101" s="348"/>
      <c r="G101" s="348"/>
      <c r="H101" s="348"/>
      <c r="I101" s="348"/>
    </row>
    <row r="102" spans="1:65" ht="16" customHeight="1" x14ac:dyDescent="0.2">
      <c r="A102" s="1"/>
      <c r="B102" s="348"/>
      <c r="C102" s="348"/>
      <c r="D102" s="348"/>
      <c r="E102" s="348"/>
      <c r="F102" s="348"/>
      <c r="G102" s="348"/>
      <c r="H102" s="348"/>
      <c r="I102" s="348"/>
    </row>
    <row r="103" spans="1:65" ht="16" customHeight="1" x14ac:dyDescent="0.2">
      <c r="A103" s="1"/>
      <c r="B103" s="348"/>
      <c r="C103" s="348"/>
      <c r="D103" s="348"/>
      <c r="E103" s="348"/>
      <c r="F103" s="348"/>
      <c r="G103" s="348"/>
      <c r="H103" s="348"/>
      <c r="I103" s="348"/>
    </row>
    <row r="104" spans="1:65" ht="16" customHeight="1" x14ac:dyDescent="0.2">
      <c r="A104" s="1"/>
      <c r="B104" s="348"/>
      <c r="C104" s="348"/>
      <c r="D104" s="348"/>
      <c r="E104" s="348"/>
      <c r="F104" s="348"/>
      <c r="G104" s="348"/>
      <c r="H104" s="348"/>
      <c r="I104" s="348"/>
    </row>
    <row r="105" spans="1:65" ht="16" customHeight="1" x14ac:dyDescent="0.2">
      <c r="A105" s="1"/>
      <c r="B105" s="348"/>
      <c r="C105" s="348"/>
      <c r="D105" s="348"/>
      <c r="E105" s="348"/>
      <c r="F105" s="348"/>
      <c r="G105" s="348"/>
      <c r="H105" s="348"/>
      <c r="I105" s="348"/>
    </row>
    <row r="106" spans="1:65" ht="16" customHeight="1" x14ac:dyDescent="0.2">
      <c r="A106" s="1"/>
    </row>
    <row r="107" spans="1:65" ht="19" customHeight="1" x14ac:dyDescent="0.25">
      <c r="A107" s="22" t="s">
        <v>2</v>
      </c>
      <c r="L107" s="25"/>
      <c r="M107" s="25"/>
      <c r="N107" s="25"/>
    </row>
    <row r="108" spans="1:65" x14ac:dyDescent="0.2">
      <c r="A108" s="25"/>
      <c r="B108" s="402" t="s">
        <v>469</v>
      </c>
      <c r="C108" s="348"/>
      <c r="D108" s="348"/>
      <c r="E108" s="348"/>
      <c r="F108" s="348"/>
      <c r="G108" s="348"/>
      <c r="H108" s="348"/>
      <c r="I108" s="348"/>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row>
    <row r="109" spans="1:65" x14ac:dyDescent="0.2">
      <c r="A109" s="25"/>
      <c r="B109" s="348"/>
      <c r="C109" s="348"/>
      <c r="D109" s="348"/>
      <c r="E109" s="348"/>
      <c r="F109" s="348"/>
      <c r="G109" s="348"/>
      <c r="H109" s="348"/>
      <c r="I109" s="348"/>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row>
    <row r="110" spans="1:65" x14ac:dyDescent="0.2">
      <c r="A110" s="25"/>
      <c r="B110" s="348"/>
      <c r="C110" s="348"/>
      <c r="D110" s="348"/>
      <c r="E110" s="348"/>
      <c r="F110" s="348"/>
      <c r="G110" s="348"/>
      <c r="H110" s="348"/>
      <c r="I110" s="348"/>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row>
    <row r="111" spans="1:65" x14ac:dyDescent="0.2">
      <c r="A111" s="25"/>
      <c r="B111" s="348"/>
      <c r="C111" s="348"/>
      <c r="D111" s="348"/>
      <c r="E111" s="348"/>
      <c r="F111" s="348"/>
      <c r="G111" s="348"/>
      <c r="H111" s="348"/>
      <c r="I111" s="348"/>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row>
    <row r="112" spans="1:65" x14ac:dyDescent="0.2">
      <c r="A112" s="25"/>
      <c r="B112" s="348"/>
      <c r="C112" s="348"/>
      <c r="D112" s="348"/>
      <c r="E112" s="348"/>
      <c r="F112" s="348"/>
      <c r="G112" s="348"/>
      <c r="H112" s="348"/>
      <c r="I112" s="348"/>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row>
    <row r="113" spans="1:65" x14ac:dyDescent="0.2">
      <c r="A113" s="25"/>
      <c r="B113" s="348"/>
      <c r="C113" s="348"/>
      <c r="D113" s="348"/>
      <c r="E113" s="348"/>
      <c r="F113" s="348"/>
      <c r="G113" s="348"/>
      <c r="H113" s="348"/>
      <c r="I113" s="348"/>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row>
    <row r="114" spans="1:65" x14ac:dyDescent="0.2">
      <c r="A114" s="25"/>
      <c r="B114" s="348"/>
      <c r="C114" s="348"/>
      <c r="D114" s="348"/>
      <c r="E114" s="348"/>
      <c r="F114" s="348"/>
      <c r="G114" s="348"/>
      <c r="H114" s="348"/>
      <c r="I114" s="348"/>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row>
    <row r="115" spans="1:65" x14ac:dyDescent="0.2">
      <c r="A115" s="25"/>
      <c r="B115" s="348"/>
      <c r="C115" s="348"/>
      <c r="D115" s="348"/>
      <c r="E115" s="348"/>
      <c r="F115" s="348"/>
      <c r="G115" s="348"/>
      <c r="H115" s="348"/>
      <c r="I115" s="348"/>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row>
    <row r="116" spans="1:65" x14ac:dyDescent="0.2">
      <c r="A116" s="25"/>
      <c r="B116" s="348"/>
      <c r="C116" s="348"/>
      <c r="D116" s="348"/>
      <c r="E116" s="348"/>
      <c r="F116" s="348"/>
      <c r="G116" s="348"/>
      <c r="H116" s="348"/>
      <c r="I116" s="348"/>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row>
    <row r="117" spans="1:65" x14ac:dyDescent="0.2">
      <c r="A117" s="25"/>
      <c r="B117" s="348"/>
      <c r="C117" s="348"/>
      <c r="D117" s="348"/>
      <c r="E117" s="348"/>
      <c r="F117" s="348"/>
      <c r="G117" s="348"/>
      <c r="H117" s="348"/>
      <c r="I117" s="348"/>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row>
    <row r="118" spans="1:65" x14ac:dyDescent="0.2">
      <c r="A118" s="25"/>
      <c r="B118" s="348"/>
      <c r="C118" s="348"/>
      <c r="D118" s="348"/>
      <c r="E118" s="348"/>
      <c r="F118" s="348"/>
      <c r="G118" s="348"/>
      <c r="H118" s="348"/>
      <c r="I118" s="348"/>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row>
    <row r="119" spans="1:65" x14ac:dyDescent="0.2">
      <c r="A119" s="25"/>
      <c r="B119" s="348"/>
      <c r="C119" s="348"/>
      <c r="D119" s="348"/>
      <c r="E119" s="348"/>
      <c r="F119" s="348"/>
      <c r="G119" s="348"/>
      <c r="H119" s="348"/>
      <c r="I119" s="348"/>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row>
    <row r="120" spans="1:65" ht="16" customHeight="1" x14ac:dyDescent="0.25">
      <c r="A120" s="22"/>
      <c r="B120" s="122"/>
      <c r="C120" s="122"/>
      <c r="D120" s="122"/>
      <c r="E120" s="122"/>
      <c r="F120" s="122"/>
      <c r="G120" s="122"/>
      <c r="H120" s="122"/>
      <c r="I120" s="122"/>
      <c r="L120" s="25"/>
      <c r="M120" s="25"/>
      <c r="N120" s="25"/>
    </row>
    <row r="121" spans="1:65" ht="16" customHeight="1" x14ac:dyDescent="0.25">
      <c r="A121" s="22"/>
      <c r="B121" s="26" t="s">
        <v>336</v>
      </c>
      <c r="C121" s="122"/>
      <c r="D121" s="122"/>
      <c r="E121" s="122"/>
      <c r="F121" s="122"/>
      <c r="G121" s="122"/>
      <c r="H121" s="122"/>
      <c r="I121" s="122"/>
      <c r="L121" s="25"/>
      <c r="M121" s="25"/>
      <c r="N121" s="25"/>
    </row>
    <row r="122" spans="1:65" ht="16" customHeight="1" x14ac:dyDescent="0.25">
      <c r="A122" s="22"/>
      <c r="B122" s="402" t="s">
        <v>468</v>
      </c>
      <c r="C122" s="348"/>
      <c r="D122" s="348"/>
      <c r="E122" s="348"/>
      <c r="F122" s="348"/>
      <c r="G122" s="348"/>
      <c r="H122" s="348"/>
      <c r="I122" s="348"/>
      <c r="L122" s="25"/>
      <c r="M122" s="25"/>
      <c r="N122" s="25"/>
    </row>
    <row r="123" spans="1:65" ht="16" customHeight="1" x14ac:dyDescent="0.25">
      <c r="A123" s="22"/>
      <c r="B123" s="348"/>
      <c r="C123" s="348"/>
      <c r="D123" s="348"/>
      <c r="E123" s="348"/>
      <c r="F123" s="348"/>
      <c r="G123" s="348"/>
      <c r="H123" s="348"/>
      <c r="I123" s="348"/>
      <c r="L123" s="25"/>
      <c r="M123" s="25"/>
      <c r="N123" s="25"/>
    </row>
    <row r="124" spans="1:65" ht="16" customHeight="1" x14ac:dyDescent="0.25">
      <c r="A124" s="22"/>
      <c r="B124" s="348"/>
      <c r="C124" s="348"/>
      <c r="D124" s="348"/>
      <c r="E124" s="348"/>
      <c r="F124" s="348"/>
      <c r="G124" s="348"/>
      <c r="H124" s="348"/>
      <c r="I124" s="348"/>
      <c r="L124" s="25"/>
      <c r="M124" s="25"/>
      <c r="N124" s="25"/>
    </row>
    <row r="125" spans="1:65" ht="16" customHeight="1" x14ac:dyDescent="0.25">
      <c r="A125" s="22"/>
      <c r="B125" s="348"/>
      <c r="C125" s="348"/>
      <c r="D125" s="348"/>
      <c r="E125" s="348"/>
      <c r="F125" s="348"/>
      <c r="G125" s="348"/>
      <c r="H125" s="348"/>
      <c r="I125" s="348"/>
      <c r="L125" s="25"/>
      <c r="M125" s="25"/>
      <c r="N125" s="25"/>
    </row>
    <row r="126" spans="1:65" ht="16" customHeight="1" x14ac:dyDescent="0.25">
      <c r="A126" s="22"/>
      <c r="B126" s="348"/>
      <c r="C126" s="348"/>
      <c r="D126" s="348"/>
      <c r="E126" s="348"/>
      <c r="F126" s="348"/>
      <c r="G126" s="348"/>
      <c r="H126" s="348"/>
      <c r="I126" s="348"/>
      <c r="L126" s="25"/>
      <c r="M126" s="25"/>
      <c r="N126" s="25"/>
    </row>
    <row r="127" spans="1:65" ht="16" customHeight="1" x14ac:dyDescent="0.25">
      <c r="A127" s="22"/>
      <c r="B127" s="348"/>
      <c r="C127" s="348"/>
      <c r="D127" s="348"/>
      <c r="E127" s="348"/>
      <c r="F127" s="348"/>
      <c r="G127" s="348"/>
      <c r="H127" s="348"/>
      <c r="I127" s="348"/>
      <c r="L127" s="25"/>
      <c r="M127" s="25"/>
      <c r="N127" s="25"/>
    </row>
    <row r="128" spans="1:65" ht="16" customHeight="1" x14ac:dyDescent="0.25">
      <c r="A128" s="22"/>
      <c r="B128" s="348"/>
      <c r="C128" s="348"/>
      <c r="D128" s="348"/>
      <c r="E128" s="348"/>
      <c r="F128" s="348"/>
      <c r="G128" s="348"/>
      <c r="H128" s="348"/>
      <c r="I128" s="348"/>
      <c r="L128" s="25"/>
      <c r="M128" s="25"/>
      <c r="N128" s="25"/>
    </row>
    <row r="129" spans="1:65" ht="16" customHeight="1" x14ac:dyDescent="0.25">
      <c r="A129" s="22"/>
      <c r="B129" s="348"/>
      <c r="C129" s="348"/>
      <c r="D129" s="348"/>
      <c r="E129" s="348"/>
      <c r="F129" s="348"/>
      <c r="G129" s="348"/>
      <c r="H129" s="348"/>
      <c r="I129" s="348"/>
      <c r="L129" s="25"/>
      <c r="M129" s="25"/>
      <c r="N129" s="25"/>
    </row>
    <row r="130" spans="1:65" ht="16" customHeight="1" x14ac:dyDescent="0.25">
      <c r="A130" s="22"/>
      <c r="B130" s="348"/>
      <c r="C130" s="348"/>
      <c r="D130" s="348"/>
      <c r="E130" s="348"/>
      <c r="F130" s="348"/>
      <c r="G130" s="348"/>
      <c r="H130" s="348"/>
      <c r="I130" s="348"/>
      <c r="L130" s="25"/>
      <c r="M130" s="25"/>
      <c r="N130" s="25"/>
    </row>
    <row r="131" spans="1:65" ht="16" customHeight="1" x14ac:dyDescent="0.25">
      <c r="A131" s="22"/>
      <c r="B131" s="348"/>
      <c r="C131" s="348"/>
      <c r="D131" s="348"/>
      <c r="E131" s="348"/>
      <c r="F131" s="348"/>
      <c r="G131" s="348"/>
      <c r="H131" s="348"/>
      <c r="I131" s="348"/>
      <c r="L131" s="25"/>
      <c r="M131" s="25"/>
      <c r="N131" s="25"/>
    </row>
    <row r="132" spans="1:65" ht="16" customHeight="1" x14ac:dyDescent="0.25">
      <c r="A132" s="22"/>
      <c r="B132" s="348"/>
      <c r="C132" s="348"/>
      <c r="D132" s="348"/>
      <c r="E132" s="348"/>
      <c r="F132" s="348"/>
      <c r="G132" s="348"/>
      <c r="H132" s="348"/>
      <c r="I132" s="348"/>
      <c r="L132" s="25"/>
      <c r="M132" s="25"/>
      <c r="N132" s="25"/>
    </row>
    <row r="133" spans="1:65" ht="16" customHeight="1" x14ac:dyDescent="0.25">
      <c r="A133" s="22"/>
      <c r="B133" s="348"/>
      <c r="C133" s="348"/>
      <c r="D133" s="348"/>
      <c r="E133" s="348"/>
      <c r="F133" s="348"/>
      <c r="G133" s="348"/>
      <c r="H133" s="348"/>
      <c r="I133" s="348"/>
      <c r="L133" s="25"/>
      <c r="M133" s="25"/>
      <c r="N133" s="25"/>
    </row>
    <row r="134" spans="1:65" ht="16" customHeight="1" x14ac:dyDescent="0.25">
      <c r="A134" s="22"/>
      <c r="B134" s="348"/>
      <c r="C134" s="348"/>
      <c r="D134" s="348"/>
      <c r="E134" s="348"/>
      <c r="F134" s="348"/>
      <c r="G134" s="348"/>
      <c r="H134" s="348"/>
      <c r="I134" s="348"/>
      <c r="L134" s="25"/>
      <c r="M134" s="25"/>
      <c r="N134" s="25"/>
    </row>
    <row r="135" spans="1:65" ht="16" customHeight="1" x14ac:dyDescent="0.25">
      <c r="A135" s="22"/>
      <c r="B135" s="348"/>
      <c r="C135" s="348"/>
      <c r="D135" s="348"/>
      <c r="E135" s="348"/>
      <c r="F135" s="348"/>
      <c r="G135" s="348"/>
      <c r="H135" s="348"/>
      <c r="I135" s="348"/>
      <c r="L135" s="25"/>
      <c r="M135" s="25"/>
      <c r="N135" s="25"/>
    </row>
    <row r="136" spans="1:65" ht="16" customHeight="1" x14ac:dyDescent="0.25">
      <c r="A136" s="22"/>
      <c r="L136" s="25"/>
      <c r="M136" s="25"/>
      <c r="N136" s="25"/>
    </row>
    <row r="137" spans="1:65" ht="16" customHeight="1" x14ac:dyDescent="0.25">
      <c r="A137" s="22"/>
      <c r="L137" s="25"/>
      <c r="M137" s="25"/>
      <c r="N137" s="25"/>
    </row>
    <row r="138" spans="1:65" ht="16" customHeight="1" x14ac:dyDescent="0.25">
      <c r="A138" s="22"/>
      <c r="L138" s="25"/>
      <c r="M138" s="25"/>
      <c r="N138" s="25"/>
    </row>
    <row r="139" spans="1:65" x14ac:dyDescent="0.2">
      <c r="A139" s="25"/>
      <c r="B139" s="412" t="s">
        <v>316</v>
      </c>
      <c r="C139" s="413"/>
      <c r="D139" s="413"/>
      <c r="E139" s="413"/>
      <c r="F139" s="414" t="s">
        <v>317</v>
      </c>
      <c r="G139" s="415"/>
      <c r="H139" s="415"/>
      <c r="I139" s="41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row>
    <row r="140" spans="1:65" ht="18" x14ac:dyDescent="0.2">
      <c r="A140" s="25"/>
      <c r="B140" s="410" t="s">
        <v>338</v>
      </c>
      <c r="C140" s="411"/>
      <c r="D140" s="411"/>
      <c r="E140" s="411"/>
      <c r="F140" s="337" t="s">
        <v>339</v>
      </c>
      <c r="G140" s="172"/>
      <c r="H140" s="172"/>
      <c r="I140" s="172"/>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row>
    <row r="141" spans="1:65" ht="16" customHeight="1" x14ac:dyDescent="0.2">
      <c r="A141" s="25"/>
      <c r="B141" s="410" t="s">
        <v>319</v>
      </c>
      <c r="C141" s="411"/>
      <c r="D141" s="411"/>
      <c r="E141" s="411"/>
      <c r="F141" s="410" t="s">
        <v>318</v>
      </c>
      <c r="G141" s="411"/>
      <c r="H141" s="411"/>
      <c r="I141" s="411"/>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row>
    <row r="142" spans="1:65" ht="16" customHeight="1" x14ac:dyDescent="0.2">
      <c r="A142" s="25"/>
      <c r="B142" s="402"/>
      <c r="C142" s="348"/>
      <c r="D142" s="348"/>
      <c r="E142" s="348"/>
      <c r="F142" s="402" t="s">
        <v>320</v>
      </c>
      <c r="G142" s="348"/>
      <c r="H142" s="348"/>
      <c r="I142" s="348"/>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row>
    <row r="143" spans="1:65" x14ac:dyDescent="0.2">
      <c r="A143" s="25"/>
      <c r="B143" s="348"/>
      <c r="C143" s="348"/>
      <c r="D143" s="348"/>
      <c r="E143" s="348"/>
      <c r="F143" s="348"/>
      <c r="G143" s="348"/>
      <c r="H143" s="348"/>
      <c r="I143" s="348"/>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row>
    <row r="144" spans="1:65" x14ac:dyDescent="0.2">
      <c r="A144" s="25"/>
      <c r="B144" s="123"/>
      <c r="C144" s="123"/>
      <c r="D144" s="123"/>
      <c r="E144" s="123"/>
      <c r="F144" s="123"/>
      <c r="G144" s="123"/>
      <c r="H144" s="123"/>
      <c r="I144" s="123"/>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row>
    <row r="145" spans="1:65" ht="19" x14ac:dyDescent="0.25">
      <c r="A145" s="22" t="s">
        <v>12</v>
      </c>
      <c r="B145" s="26"/>
    </row>
    <row r="146" spans="1:65" ht="16" customHeight="1" x14ac:dyDescent="0.2">
      <c r="A146" s="25"/>
      <c r="B146" s="402" t="s">
        <v>471</v>
      </c>
      <c r="C146" s="348"/>
      <c r="D146" s="409" t="s">
        <v>470</v>
      </c>
      <c r="E146" s="379"/>
      <c r="F146" s="379"/>
      <c r="G146" s="379"/>
      <c r="H146" s="379"/>
      <c r="I146" s="379"/>
      <c r="J146" s="379"/>
      <c r="K146" s="155"/>
    </row>
    <row r="147" spans="1:65" x14ac:dyDescent="0.2">
      <c r="A147" s="25"/>
      <c r="B147" s="348"/>
      <c r="C147" s="348"/>
      <c r="D147" s="379"/>
      <c r="E147" s="379"/>
      <c r="F147" s="379"/>
      <c r="G147" s="379"/>
      <c r="H147" s="379"/>
      <c r="I147" s="379"/>
      <c r="J147" s="379"/>
      <c r="K147" s="155"/>
    </row>
    <row r="148" spans="1:65" x14ac:dyDescent="0.2">
      <c r="A148" s="25"/>
      <c r="B148" s="348"/>
      <c r="C148" s="348"/>
      <c r="D148" s="379"/>
      <c r="E148" s="379"/>
      <c r="F148" s="379"/>
      <c r="G148" s="379"/>
      <c r="H148" s="379"/>
      <c r="I148" s="379"/>
      <c r="J148" s="379"/>
      <c r="K148" s="155"/>
    </row>
    <row r="149" spans="1:65" x14ac:dyDescent="0.2">
      <c r="A149" s="25"/>
      <c r="B149" s="123"/>
      <c r="C149" s="123"/>
      <c r="D149" s="123"/>
      <c r="E149" s="123"/>
      <c r="F149" s="123"/>
      <c r="G149" s="123"/>
      <c r="H149" s="123"/>
      <c r="I149" s="123"/>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row>
    <row r="150" spans="1:65" ht="19" x14ac:dyDescent="0.25">
      <c r="A150" s="22" t="s">
        <v>13</v>
      </c>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row>
    <row r="151" spans="1:65" x14ac:dyDescent="0.2">
      <c r="A151" s="25"/>
      <c r="B151" s="402" t="s">
        <v>335</v>
      </c>
      <c r="C151" s="348"/>
      <c r="D151" s="348"/>
      <c r="E151" s="348"/>
      <c r="F151" s="348"/>
      <c r="G151" s="348"/>
      <c r="H151" s="348"/>
      <c r="I151" s="348"/>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row>
    <row r="152" spans="1:65" x14ac:dyDescent="0.2">
      <c r="A152" s="25"/>
      <c r="B152" s="348"/>
      <c r="C152" s="348"/>
      <c r="D152" s="348"/>
      <c r="E152" s="348"/>
      <c r="F152" s="348"/>
      <c r="G152" s="348"/>
      <c r="H152" s="348"/>
      <c r="I152" s="348"/>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row>
    <row r="153" spans="1:65" x14ac:dyDescent="0.2">
      <c r="A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row>
    <row r="154" spans="1:65" ht="19" x14ac:dyDescent="0.25">
      <c r="A154" s="22" t="s">
        <v>1</v>
      </c>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row>
    <row r="155" spans="1:65" x14ac:dyDescent="0.2">
      <c r="A155" s="25"/>
      <c r="B155" s="100" t="s">
        <v>315</v>
      </c>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row>
    <row r="156" spans="1:65" x14ac:dyDescent="0.2">
      <c r="A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row>
    <row r="157" spans="1:65" x14ac:dyDescent="0.2">
      <c r="A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row>
    <row r="158" spans="1:65" x14ac:dyDescent="0.2">
      <c r="A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row>
    <row r="159" spans="1:65" x14ac:dyDescent="0.2">
      <c r="A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row>
    <row r="160" spans="1:65" x14ac:dyDescent="0.2">
      <c r="A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row>
    <row r="161" spans="1:65" x14ac:dyDescent="0.2">
      <c r="A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row>
    <row r="162" spans="1:65" x14ac:dyDescent="0.2">
      <c r="A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row>
  </sheetData>
  <mergeCells count="26">
    <mergeCell ref="B4:I5"/>
    <mergeCell ref="D58:H58"/>
    <mergeCell ref="B146:C148"/>
    <mergeCell ref="D146:J148"/>
    <mergeCell ref="B108:I119"/>
    <mergeCell ref="F141:I141"/>
    <mergeCell ref="F142:I143"/>
    <mergeCell ref="B142:E143"/>
    <mergeCell ref="B122:I135"/>
    <mergeCell ref="B139:E139"/>
    <mergeCell ref="F139:I139"/>
    <mergeCell ref="B140:E140"/>
    <mergeCell ref="B141:E141"/>
    <mergeCell ref="B42:I43"/>
    <mergeCell ref="B67:I70"/>
    <mergeCell ref="B45:I45"/>
    <mergeCell ref="B99:I105"/>
    <mergeCell ref="B151:I152"/>
    <mergeCell ref="C7:C8"/>
    <mergeCell ref="D7:H7"/>
    <mergeCell ref="B50:I52"/>
    <mergeCell ref="D17:H17"/>
    <mergeCell ref="D24:H24"/>
    <mergeCell ref="B64:I65"/>
    <mergeCell ref="B91:I93"/>
    <mergeCell ref="B96:I97"/>
  </mergeCell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D6D2-2750-B64D-900C-3B987502E4D6}">
  <dimension ref="A1:BM95"/>
  <sheetViews>
    <sheetView showGridLines="0" zoomScale="120" zoomScaleNormal="120" workbookViewId="0"/>
  </sheetViews>
  <sheetFormatPr baseColWidth="10" defaultColWidth="10.83203125" defaultRowHeight="16" x14ac:dyDescent="0.2"/>
  <cols>
    <col min="1" max="1" width="10.83203125" style="15"/>
    <col min="2" max="2" width="12.33203125" style="15" customWidth="1"/>
    <col min="3" max="3" width="10.83203125" style="15" customWidth="1"/>
    <col min="4" max="5" width="10.83203125" style="15"/>
    <col min="6" max="7" width="10.83203125" style="15" customWidth="1"/>
    <col min="8" max="9" width="10.83203125" style="15"/>
    <col min="10" max="10" width="10.83203125" style="15" customWidth="1"/>
    <col min="11" max="16384" width="10.83203125" style="15"/>
  </cols>
  <sheetData>
    <row r="1" spans="1:49" ht="19" x14ac:dyDescent="0.25">
      <c r="A1" s="11" t="s">
        <v>473</v>
      </c>
      <c r="B1" s="12"/>
      <c r="C1" s="12"/>
      <c r="D1" s="12"/>
      <c r="E1" s="12"/>
      <c r="F1" s="12"/>
      <c r="G1" s="12"/>
      <c r="H1" s="12"/>
      <c r="I1" s="12"/>
      <c r="J1" s="13"/>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2">
      <c r="A2" s="9"/>
      <c r="B2" s="12"/>
      <c r="C2" s="12"/>
      <c r="D2" s="12"/>
      <c r="E2" s="12"/>
      <c r="F2" s="12"/>
      <c r="G2" s="12"/>
      <c r="H2" s="12"/>
      <c r="I2" s="12"/>
      <c r="J2" s="13"/>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2">
      <c r="A3" s="5"/>
      <c r="B3" s="16" t="s">
        <v>11</v>
      </c>
      <c r="C3" s="12"/>
      <c r="D3" s="12"/>
      <c r="E3" s="12"/>
      <c r="F3" s="12"/>
      <c r="G3" s="12"/>
      <c r="H3" s="12"/>
      <c r="I3" s="12"/>
      <c r="J3" s="1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ht="16" customHeight="1" x14ac:dyDescent="0.2">
      <c r="A4" s="5"/>
      <c r="B4" s="416" t="s">
        <v>370</v>
      </c>
      <c r="C4" s="363"/>
      <c r="D4" s="363"/>
      <c r="E4" s="363"/>
      <c r="F4" s="363"/>
      <c r="G4" s="363"/>
      <c r="H4" s="363"/>
      <c r="I4" s="363"/>
      <c r="J4" s="13"/>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x14ac:dyDescent="0.2">
      <c r="A5" s="5"/>
      <c r="B5" s="363"/>
      <c r="C5" s="363"/>
      <c r="D5" s="363"/>
      <c r="E5" s="363"/>
      <c r="F5" s="363"/>
      <c r="G5" s="363"/>
      <c r="H5" s="363"/>
      <c r="I5" s="363"/>
      <c r="J5" s="13"/>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49" x14ac:dyDescent="0.2">
      <c r="A6" s="5"/>
      <c r="B6" s="12"/>
      <c r="C6" s="12"/>
      <c r="D6" s="12"/>
      <c r="E6" s="12"/>
      <c r="F6" s="12"/>
      <c r="G6" s="12"/>
      <c r="H6" s="17"/>
      <c r="I6" s="12"/>
      <c r="J6" s="13"/>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1:49" s="100" customFormat="1" x14ac:dyDescent="0.2">
      <c r="A7" s="130"/>
      <c r="B7" s="132"/>
      <c r="C7" s="365" t="s">
        <v>349</v>
      </c>
      <c r="D7" s="387" t="s">
        <v>348</v>
      </c>
      <c r="E7" s="388"/>
      <c r="F7" s="388"/>
      <c r="G7" s="388"/>
      <c r="H7" s="389"/>
      <c r="I7" s="161"/>
      <c r="J7" s="128"/>
    </row>
    <row r="8" spans="1:49" s="100" customFormat="1" ht="16" customHeight="1" x14ac:dyDescent="0.2">
      <c r="A8" s="130"/>
      <c r="B8" s="132"/>
      <c r="C8" s="366"/>
      <c r="D8" s="97">
        <v>12</v>
      </c>
      <c r="E8" s="173">
        <v>24</v>
      </c>
      <c r="F8" s="173">
        <v>36</v>
      </c>
      <c r="G8" s="173">
        <v>48</v>
      </c>
      <c r="H8" s="98">
        <v>60</v>
      </c>
      <c r="I8" s="161"/>
      <c r="J8" s="128"/>
    </row>
    <row r="9" spans="1:49" s="100" customFormat="1" x14ac:dyDescent="0.2">
      <c r="A9" s="130"/>
      <c r="B9" s="132"/>
      <c r="C9" s="111">
        <v>2021</v>
      </c>
      <c r="D9" s="321">
        <v>9590</v>
      </c>
      <c r="E9" s="322">
        <v>18300</v>
      </c>
      <c r="F9" s="322">
        <v>26000</v>
      </c>
      <c r="G9" s="322">
        <v>31640</v>
      </c>
      <c r="H9" s="323">
        <v>33760</v>
      </c>
      <c r="I9" s="161"/>
      <c r="J9" s="128"/>
    </row>
    <row r="10" spans="1:49" s="100" customFormat="1" x14ac:dyDescent="0.2">
      <c r="A10" s="130"/>
      <c r="B10" s="132"/>
      <c r="C10" s="156">
        <v>2022</v>
      </c>
      <c r="D10" s="324">
        <v>11620</v>
      </c>
      <c r="E10" s="325">
        <v>22290</v>
      </c>
      <c r="F10" s="325">
        <v>33540</v>
      </c>
      <c r="G10" s="325">
        <v>39250</v>
      </c>
      <c r="H10" s="326">
        <v>39360</v>
      </c>
      <c r="I10" s="161"/>
      <c r="J10" s="128"/>
    </row>
    <row r="11" spans="1:49" s="100" customFormat="1" x14ac:dyDescent="0.2">
      <c r="A11" s="130"/>
      <c r="B11" s="132"/>
      <c r="C11" s="156">
        <v>2023</v>
      </c>
      <c r="D11" s="324">
        <v>12400</v>
      </c>
      <c r="E11" s="325">
        <v>27910</v>
      </c>
      <c r="F11" s="325">
        <v>39140</v>
      </c>
      <c r="G11" s="327">
        <v>37590</v>
      </c>
      <c r="H11" s="326">
        <v>40460</v>
      </c>
      <c r="I11" s="161"/>
      <c r="J11" s="128"/>
    </row>
    <row r="12" spans="1:49" s="100" customFormat="1" x14ac:dyDescent="0.2">
      <c r="A12" s="130"/>
      <c r="B12" s="132"/>
      <c r="C12" s="156">
        <v>2024</v>
      </c>
      <c r="D12" s="324">
        <v>15100</v>
      </c>
      <c r="E12" s="325">
        <v>27810</v>
      </c>
      <c r="F12" s="327">
        <v>32860</v>
      </c>
      <c r="G12" s="327">
        <v>40080</v>
      </c>
      <c r="H12" s="326">
        <v>42980</v>
      </c>
      <c r="I12" s="161"/>
      <c r="J12" s="128"/>
    </row>
    <row r="13" spans="1:49" s="100" customFormat="1" x14ac:dyDescent="0.2">
      <c r="A13" s="130"/>
      <c r="B13" s="12"/>
      <c r="C13" s="131">
        <v>2025</v>
      </c>
      <c r="D13" s="328">
        <v>16360</v>
      </c>
      <c r="E13" s="329">
        <v>22240</v>
      </c>
      <c r="F13" s="329">
        <v>29970</v>
      </c>
      <c r="G13" s="329">
        <v>36190</v>
      </c>
      <c r="H13" s="330">
        <v>38670</v>
      </c>
      <c r="I13" s="161"/>
      <c r="J13" s="128"/>
    </row>
    <row r="14" spans="1:49" x14ac:dyDescent="0.2">
      <c r="A14" s="5"/>
      <c r="B14" s="12"/>
      <c r="C14" s="6"/>
      <c r="D14" s="6"/>
      <c r="E14" s="6"/>
      <c r="F14" s="12"/>
      <c r="G14" s="12"/>
      <c r="H14" s="12"/>
      <c r="I14" s="12"/>
      <c r="J14" s="13"/>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49" x14ac:dyDescent="0.2">
      <c r="A15" s="5"/>
      <c r="B15" s="12"/>
      <c r="C15" s="6"/>
      <c r="D15" s="6"/>
      <c r="E15" s="6"/>
      <c r="F15" s="12"/>
      <c r="G15" s="249" t="s">
        <v>357</v>
      </c>
      <c r="H15" s="267"/>
      <c r="I15" s="12"/>
      <c r="J15" s="13"/>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49" x14ac:dyDescent="0.2">
      <c r="A16" s="5"/>
      <c r="B16" s="79" t="s">
        <v>345</v>
      </c>
      <c r="C16" s="125">
        <v>0.04</v>
      </c>
      <c r="D16" s="6"/>
      <c r="E16" s="6"/>
      <c r="F16" s="6"/>
      <c r="G16" s="6"/>
      <c r="H16" s="12"/>
      <c r="I16" s="12"/>
      <c r="J16" s="13"/>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x14ac:dyDescent="0.2">
      <c r="A17" s="5"/>
      <c r="B17" s="79" t="s">
        <v>347</v>
      </c>
      <c r="C17" s="125"/>
      <c r="D17" s="7"/>
      <c r="E17" s="6"/>
      <c r="F17" s="12"/>
      <c r="G17" s="12"/>
      <c r="H17" s="17"/>
      <c r="I17" s="12"/>
      <c r="J17" s="13"/>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x14ac:dyDescent="0.2">
      <c r="A18" s="5"/>
      <c r="B18" s="338" t="s">
        <v>353</v>
      </c>
      <c r="C18" s="125"/>
      <c r="D18" s="7"/>
      <c r="E18" s="6"/>
      <c r="F18" s="12"/>
      <c r="G18" s="12"/>
      <c r="H18" s="17"/>
      <c r="I18" s="12"/>
      <c r="J18" s="13"/>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49" x14ac:dyDescent="0.2">
      <c r="A19" s="5"/>
      <c r="B19" s="12"/>
      <c r="C19" s="6"/>
      <c r="D19" s="7"/>
      <c r="E19" s="6"/>
      <c r="F19" s="12"/>
      <c r="G19" s="12"/>
      <c r="H19" s="17"/>
      <c r="I19" s="12"/>
      <c r="J19" s="13"/>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49" x14ac:dyDescent="0.2">
      <c r="A20" s="5"/>
      <c r="B20" s="7"/>
      <c r="C20" s="7"/>
      <c r="D20" s="7"/>
      <c r="E20" s="6"/>
      <c r="F20" s="12"/>
      <c r="G20" s="12"/>
      <c r="H20" s="17"/>
      <c r="I20" s="12"/>
      <c r="J20" s="13"/>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49" ht="16" customHeight="1" x14ac:dyDescent="0.2">
      <c r="A21" s="5" t="s">
        <v>10</v>
      </c>
      <c r="B21" s="99" t="s">
        <v>425</v>
      </c>
      <c r="C21" s="99"/>
      <c r="D21" s="99"/>
      <c r="E21" s="99"/>
      <c r="F21" s="99"/>
      <c r="G21" s="99"/>
      <c r="H21" s="17"/>
      <c r="I21" s="99"/>
      <c r="J21" s="13"/>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ht="16" customHeight="1" x14ac:dyDescent="0.2">
      <c r="A22" s="5"/>
      <c r="B22" s="99"/>
      <c r="C22" s="99"/>
      <c r="D22" s="99"/>
      <c r="E22" s="99"/>
      <c r="F22" s="99"/>
      <c r="G22" s="99"/>
      <c r="H22" s="17"/>
      <c r="I22" s="99"/>
      <c r="J22" s="13"/>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ht="16" customHeight="1" x14ac:dyDescent="0.2">
      <c r="A23" s="5" t="s">
        <v>9</v>
      </c>
      <c r="B23" s="99" t="s">
        <v>356</v>
      </c>
      <c r="C23" s="99"/>
      <c r="D23" s="99"/>
      <c r="E23" s="99"/>
      <c r="F23" s="99"/>
      <c r="G23" s="99"/>
      <c r="H23" s="17"/>
      <c r="I23" s="99"/>
      <c r="J23" s="13"/>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ht="17" thickBot="1" x14ac:dyDescent="0.25">
      <c r="A24" s="4"/>
      <c r="B24" s="19"/>
      <c r="C24" s="20"/>
      <c r="D24" s="20"/>
      <c r="E24" s="20"/>
      <c r="F24" s="19"/>
      <c r="G24" s="19"/>
      <c r="H24" s="19"/>
      <c r="I24" s="19"/>
      <c r="J24" s="21"/>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49" x14ac:dyDescent="0.2">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ht="19" x14ac:dyDescent="0.25">
      <c r="A26" s="22" t="s">
        <v>8</v>
      </c>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ht="16" customHeight="1" x14ac:dyDescent="0.2">
      <c r="A27" s="23" t="s">
        <v>360</v>
      </c>
      <c r="B27" s="24"/>
      <c r="C27" s="24"/>
      <c r="D27" s="24"/>
      <c r="E27" s="24"/>
      <c r="F27" s="24"/>
      <c r="G27" s="24"/>
      <c r="H27" s="24"/>
      <c r="I27" s="2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ht="16" customHeight="1" x14ac:dyDescent="0.2">
      <c r="A28" s="1" t="s">
        <v>7</v>
      </c>
      <c r="B28" s="364" t="s">
        <v>361</v>
      </c>
      <c r="C28" s="364"/>
      <c r="D28" s="364"/>
      <c r="E28" s="364"/>
      <c r="F28" s="364"/>
      <c r="G28" s="364"/>
      <c r="H28" s="364"/>
      <c r="I28" s="36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ht="16" customHeight="1" x14ac:dyDescent="0.2">
      <c r="A29" s="1"/>
      <c r="B29" s="76"/>
      <c r="C29" s="76"/>
      <c r="D29" s="76"/>
      <c r="E29" s="76"/>
      <c r="F29" s="76"/>
      <c r="G29" s="76"/>
      <c r="H29" s="76"/>
      <c r="I29" s="76"/>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ht="16" customHeight="1" x14ac:dyDescent="0.2">
      <c r="A30" s="1"/>
      <c r="B30" s="76"/>
      <c r="C30" s="76"/>
      <c r="D30" s="76"/>
      <c r="E30" s="122" t="s">
        <v>350</v>
      </c>
      <c r="F30" s="76"/>
      <c r="G30" s="76"/>
      <c r="H30" s="76"/>
      <c r="I30" s="76"/>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1:49" ht="16" customHeight="1" x14ac:dyDescent="0.2">
      <c r="A31" s="1"/>
      <c r="B31" s="76"/>
      <c r="C31" s="76"/>
      <c r="D31" s="76"/>
      <c r="E31" s="76"/>
      <c r="F31" s="76"/>
      <c r="G31" s="76"/>
      <c r="H31" s="76"/>
      <c r="I31" s="76"/>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ht="16" customHeight="1" x14ac:dyDescent="0.2">
      <c r="A32" s="1"/>
      <c r="B32" s="76"/>
      <c r="C32" s="76"/>
      <c r="D32" s="76"/>
      <c r="E32" s="76"/>
      <c r="F32" s="76"/>
      <c r="G32" s="76"/>
      <c r="H32" s="76"/>
      <c r="I32" s="76"/>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ht="16" customHeight="1" x14ac:dyDescent="0.2">
      <c r="A33" s="1"/>
      <c r="B33" s="76"/>
      <c r="C33" s="76"/>
      <c r="D33" s="76"/>
      <c r="E33" s="76"/>
      <c r="F33" s="76"/>
      <c r="G33" s="76"/>
      <c r="H33" s="76"/>
      <c r="I33" s="76"/>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ht="16" customHeight="1" x14ac:dyDescent="0.2">
      <c r="A34" s="1"/>
      <c r="B34" s="76"/>
      <c r="C34" s="76"/>
      <c r="D34" s="76"/>
      <c r="E34" s="76"/>
      <c r="F34" s="76"/>
      <c r="G34" s="76"/>
      <c r="H34" s="76"/>
      <c r="I34" s="76"/>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row>
    <row r="35" spans="1:49" ht="16" customHeight="1" x14ac:dyDescent="0.25">
      <c r="A35" s="1"/>
      <c r="B35" s="76"/>
      <c r="C35" s="417" t="s">
        <v>349</v>
      </c>
      <c r="D35" s="419" t="s">
        <v>352</v>
      </c>
      <c r="E35" s="420"/>
      <c r="F35" s="420"/>
      <c r="G35" s="420"/>
      <c r="H35" s="421"/>
      <c r="I35" s="76"/>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ht="16" customHeight="1" x14ac:dyDescent="0.2">
      <c r="A36" s="1"/>
      <c r="B36" s="76"/>
      <c r="C36" s="418"/>
      <c r="D36" s="250">
        <v>12</v>
      </c>
      <c r="E36" s="251">
        <v>24</v>
      </c>
      <c r="F36" s="251">
        <v>36</v>
      </c>
      <c r="G36" s="251">
        <v>48</v>
      </c>
      <c r="H36" s="252">
        <v>60</v>
      </c>
      <c r="I36" s="76"/>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ht="16" customHeight="1" x14ac:dyDescent="0.2">
      <c r="A37" s="1"/>
      <c r="B37" s="76"/>
      <c r="C37" s="253">
        <v>2021</v>
      </c>
      <c r="D37" s="254"/>
      <c r="E37" s="255"/>
      <c r="F37" s="255"/>
      <c r="G37" s="255"/>
      <c r="H37" s="256"/>
      <c r="I37" s="76"/>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49" ht="16" customHeight="1" x14ac:dyDescent="0.2">
      <c r="A38" s="1"/>
      <c r="B38" s="76"/>
      <c r="C38" s="257">
        <v>2022</v>
      </c>
      <c r="D38" s="258"/>
      <c r="E38" s="259"/>
      <c r="F38" s="259"/>
      <c r="G38" s="259"/>
      <c r="H38" s="263">
        <f>H10-G10</f>
        <v>110</v>
      </c>
      <c r="I38" s="76"/>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ht="16" customHeight="1" x14ac:dyDescent="0.2">
      <c r="A39" s="1"/>
      <c r="B39" s="76"/>
      <c r="C39" s="257">
        <v>2023</v>
      </c>
      <c r="D39" s="258"/>
      <c r="E39" s="259"/>
      <c r="F39" s="259"/>
      <c r="G39" s="262">
        <f>G11-F11</f>
        <v>-1550</v>
      </c>
      <c r="H39" s="246">
        <f>H11-G11</f>
        <v>2870</v>
      </c>
      <c r="I39" s="76"/>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ht="16" customHeight="1" x14ac:dyDescent="0.2">
      <c r="A40" s="1"/>
      <c r="B40" s="76"/>
      <c r="C40" s="257">
        <v>2024</v>
      </c>
      <c r="D40" s="258"/>
      <c r="E40" s="259"/>
      <c r="F40" s="262">
        <f>F12-E12</f>
        <v>5050</v>
      </c>
      <c r="G40" s="247">
        <f>G12-F12</f>
        <v>7220</v>
      </c>
      <c r="H40" s="264">
        <f>H12-G12</f>
        <v>2900</v>
      </c>
      <c r="I40" s="76"/>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49" ht="16" customHeight="1" x14ac:dyDescent="0.2">
      <c r="A41" s="1"/>
      <c r="B41" s="76"/>
      <c r="C41" s="145">
        <v>2025</v>
      </c>
      <c r="D41" s="260"/>
      <c r="E41" s="261">
        <f>E13-D13</f>
        <v>5880</v>
      </c>
      <c r="F41" s="248">
        <f>F13-E13</f>
        <v>7730</v>
      </c>
      <c r="G41" s="265">
        <f>G13-F13</f>
        <v>6220</v>
      </c>
      <c r="H41" s="266">
        <f>H13-G13</f>
        <v>2480</v>
      </c>
      <c r="I41" s="76"/>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ht="16" customHeight="1" x14ac:dyDescent="0.2">
      <c r="A42" s="1"/>
      <c r="B42" s="76"/>
      <c r="C42" s="76"/>
      <c r="D42" s="76"/>
      <c r="E42" s="76"/>
      <c r="F42" s="76"/>
      <c r="G42" s="76"/>
      <c r="H42" s="76"/>
      <c r="I42" s="76"/>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ht="16" customHeight="1" x14ac:dyDescent="0.2">
      <c r="A43" s="1"/>
      <c r="B43" s="76" t="s">
        <v>53</v>
      </c>
      <c r="C43" s="76"/>
      <c r="D43" s="76"/>
      <c r="E43" s="76"/>
      <c r="F43" s="76"/>
      <c r="G43" s="76"/>
      <c r="H43" s="76"/>
      <c r="I43" s="76"/>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ht="16" customHeight="1" x14ac:dyDescent="0.2">
      <c r="A44" s="1"/>
      <c r="B44" s="336" t="s">
        <v>422</v>
      </c>
      <c r="C44" s="76"/>
      <c r="D44" s="76"/>
      <c r="E44" s="76"/>
      <c r="F44" s="76"/>
      <c r="G44" s="76"/>
      <c r="H44" s="76"/>
      <c r="I44" s="76"/>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ht="16" customHeight="1" x14ac:dyDescent="0.2">
      <c r="A45" s="1"/>
      <c r="B45" s="76"/>
      <c r="C45" s="76"/>
      <c r="D45" s="76"/>
      <c r="E45" s="76"/>
      <c r="F45" s="76"/>
      <c r="G45" s="76"/>
      <c r="H45" s="76"/>
      <c r="I45" s="76"/>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ht="18" customHeight="1" x14ac:dyDescent="0.2">
      <c r="A46" s="1" t="s">
        <v>6</v>
      </c>
      <c r="B46" s="364" t="s">
        <v>362</v>
      </c>
      <c r="C46" s="364"/>
      <c r="D46" s="364"/>
      <c r="E46" s="364"/>
      <c r="F46" s="364"/>
      <c r="G46" s="364"/>
      <c r="H46" s="364"/>
      <c r="I46" s="36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ht="16" customHeight="1" x14ac:dyDescent="0.2">
      <c r="A47" s="1"/>
      <c r="B47" s="364"/>
      <c r="C47" s="364"/>
      <c r="D47" s="364"/>
      <c r="E47" s="364"/>
      <c r="F47" s="364"/>
      <c r="G47" s="364"/>
      <c r="H47" s="364"/>
      <c r="I47" s="36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ht="16" customHeight="1" x14ac:dyDescent="0.2">
      <c r="A48" s="1"/>
      <c r="B48" s="76"/>
      <c r="C48" s="76"/>
      <c r="D48" s="76"/>
      <c r="E48" s="76"/>
      <c r="F48" s="76"/>
      <c r="G48" s="76"/>
      <c r="H48" s="76"/>
      <c r="I48" s="76"/>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49" ht="16" customHeight="1" x14ac:dyDescent="0.2">
      <c r="A49" s="1"/>
      <c r="B49" s="76"/>
      <c r="C49" s="76"/>
      <c r="D49" s="76"/>
      <c r="E49" s="76"/>
      <c r="F49" s="76"/>
      <c r="G49" s="76"/>
      <c r="H49" s="76"/>
      <c r="I49" s="76"/>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49" ht="16" customHeight="1" x14ac:dyDescent="0.2">
      <c r="A50" s="1"/>
      <c r="B50" s="76"/>
      <c r="C50" s="76"/>
      <c r="D50" s="76"/>
      <c r="E50" s="76"/>
      <c r="F50" s="76"/>
      <c r="G50" s="76"/>
      <c r="H50" s="76"/>
      <c r="I50" s="76"/>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row>
    <row r="51" spans="1:49" ht="16" customHeight="1" x14ac:dyDescent="0.2">
      <c r="A51" s="1"/>
      <c r="B51" s="76"/>
      <c r="C51" s="76"/>
      <c r="D51" s="76"/>
      <c r="E51" s="76"/>
      <c r="F51" s="76"/>
      <c r="G51" s="76"/>
      <c r="H51" s="76"/>
      <c r="I51" s="76"/>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49" ht="16" customHeight="1" x14ac:dyDescent="0.2">
      <c r="A52" s="1"/>
      <c r="B52" s="76"/>
      <c r="C52" s="76"/>
      <c r="D52" s="76"/>
      <c r="E52" s="76"/>
      <c r="F52" s="76"/>
      <c r="G52" s="76"/>
      <c r="H52" s="76"/>
      <c r="I52" s="76"/>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49" ht="16" customHeight="1" x14ac:dyDescent="0.2">
      <c r="A53" s="1"/>
      <c r="B53" s="76"/>
      <c r="C53" s="76"/>
      <c r="D53" s="76"/>
      <c r="E53" s="76"/>
      <c r="F53" s="76"/>
      <c r="G53" s="76"/>
      <c r="H53" s="76"/>
      <c r="I53" s="76"/>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49" ht="16" customHeight="1" x14ac:dyDescent="0.2">
      <c r="A54" s="1"/>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ht="16" customHeight="1" x14ac:dyDescent="0.2">
      <c r="A55" s="1"/>
      <c r="B55" s="14"/>
      <c r="C55" s="14"/>
      <c r="D55" s="14"/>
      <c r="E55" s="14"/>
      <c r="F55" s="3"/>
      <c r="G55" s="3"/>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ht="16" customHeight="1" x14ac:dyDescent="0.2">
      <c r="A56" s="1"/>
      <c r="B56" s="14"/>
      <c r="C56" s="268" t="s">
        <v>351</v>
      </c>
      <c r="D56" s="269">
        <v>1</v>
      </c>
      <c r="E56" s="270">
        <v>2</v>
      </c>
      <c r="F56" s="270">
        <v>3</v>
      </c>
      <c r="G56" s="271">
        <v>4</v>
      </c>
      <c r="H56" s="100"/>
      <c r="I56" s="100"/>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49" ht="16" customHeight="1" x14ac:dyDescent="0.2">
      <c r="A57" s="1"/>
      <c r="B57" s="14"/>
      <c r="C57" s="272" t="s">
        <v>364</v>
      </c>
      <c r="D57" s="273">
        <f>SUM(E41,F40,G39,H38)</f>
        <v>9490</v>
      </c>
      <c r="E57" s="274">
        <f>SUM(F41,G40,H39)</f>
        <v>17820</v>
      </c>
      <c r="F57" s="274">
        <f>SUM(G41,H40)</f>
        <v>9120</v>
      </c>
      <c r="G57" s="275">
        <f>H41</f>
        <v>2480</v>
      </c>
      <c r="H57" s="100"/>
      <c r="I57" s="100"/>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49" ht="16" customHeight="1" x14ac:dyDescent="0.2">
      <c r="A58" s="1"/>
      <c r="B58" s="14"/>
      <c r="C58" s="276" t="s">
        <v>365</v>
      </c>
      <c r="D58" s="277">
        <f>D57/(1+$C$16)^(D56-0.5)</f>
        <v>9305.7106123068315</v>
      </c>
      <c r="E58" s="278">
        <f t="shared" ref="E58:F58" si="0">E57/(1+$C$16)^(E56-0.5)</f>
        <v>16801.872731550189</v>
      </c>
      <c r="F58" s="278">
        <f t="shared" si="0"/>
        <v>8268.2098394056866</v>
      </c>
      <c r="G58" s="279">
        <f>G57/(1+$C$16)^(G56-0.5)</f>
        <v>2161.8969721792873</v>
      </c>
      <c r="H58" s="100"/>
      <c r="I58" s="100"/>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49" ht="16" customHeight="1" thickBot="1" x14ac:dyDescent="0.25">
      <c r="A59" s="1"/>
      <c r="B59" s="14"/>
      <c r="C59" s="100"/>
      <c r="D59" s="100"/>
      <c r="E59" s="100"/>
      <c r="F59" s="115"/>
      <c r="G59" s="115"/>
      <c r="H59" s="100"/>
      <c r="I59" s="100"/>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49" ht="18" customHeight="1" thickBot="1" x14ac:dyDescent="0.3">
      <c r="A60" s="1"/>
      <c r="B60" s="14"/>
      <c r="C60" s="14"/>
      <c r="D60" s="14"/>
      <c r="E60" s="14"/>
      <c r="F60" s="124" t="s">
        <v>354</v>
      </c>
      <c r="G60" s="2">
        <f>SUM(D58:G58)</f>
        <v>36537.690155441996</v>
      </c>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row>
    <row r="61" spans="1:49" ht="18" customHeight="1" x14ac:dyDescent="0.2">
      <c r="A61" s="1"/>
      <c r="B61" s="14"/>
      <c r="C61" s="14"/>
      <c r="D61" s="14"/>
      <c r="E61" s="14"/>
      <c r="F61" s="115"/>
      <c r="G61" s="200"/>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49" ht="18" customHeight="1" x14ac:dyDescent="0.2">
      <c r="A62" s="1"/>
      <c r="B62" s="24" t="s">
        <v>53</v>
      </c>
      <c r="C62" s="14"/>
      <c r="D62" s="14"/>
      <c r="E62" s="14"/>
      <c r="F62" s="115"/>
      <c r="G62" s="200"/>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49" ht="16" customHeight="1" x14ac:dyDescent="0.2">
      <c r="A63" s="1"/>
      <c r="B63" s="339" t="s">
        <v>363</v>
      </c>
      <c r="C63" s="14"/>
      <c r="D63" s="14"/>
      <c r="E63" s="14"/>
      <c r="F63" s="3"/>
      <c r="G63" s="3"/>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row>
    <row r="64" spans="1:49" ht="16" customHeight="1" x14ac:dyDescent="0.2">
      <c r="A64" s="1"/>
      <c r="B64" s="100"/>
      <c r="C64" s="14"/>
      <c r="D64" s="14"/>
      <c r="E64" s="14"/>
      <c r="F64" s="3"/>
      <c r="G64" s="3"/>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49" ht="16" customHeight="1" x14ac:dyDescent="0.2">
      <c r="A65" s="23" t="s">
        <v>474</v>
      </c>
      <c r="B65" s="14"/>
      <c r="C65" s="14"/>
      <c r="D65" s="14"/>
      <c r="E65" s="14"/>
      <c r="F65" s="3"/>
      <c r="G65" s="3"/>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ht="16" customHeight="1" x14ac:dyDescent="0.2">
      <c r="A66" s="1"/>
      <c r="B66" s="402" t="s">
        <v>366</v>
      </c>
      <c r="C66" s="348"/>
      <c r="D66" s="348"/>
      <c r="E66" s="348"/>
      <c r="F66" s="348"/>
      <c r="G66" s="348"/>
      <c r="H66" s="348"/>
      <c r="I66" s="348"/>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49" ht="16" customHeight="1" x14ac:dyDescent="0.2">
      <c r="A67" s="1"/>
      <c r="B67" s="348"/>
      <c r="C67" s="348"/>
      <c r="D67" s="348"/>
      <c r="E67" s="348"/>
      <c r="F67" s="348"/>
      <c r="G67" s="348"/>
      <c r="H67" s="348"/>
      <c r="I67" s="348"/>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row>
    <row r="68" spans="1:49" ht="16" customHeight="1" x14ac:dyDescent="0.2">
      <c r="A68" s="1"/>
      <c r="B68" s="348"/>
      <c r="C68" s="348"/>
      <c r="D68" s="348"/>
      <c r="E68" s="348"/>
      <c r="F68" s="348"/>
      <c r="G68" s="348"/>
      <c r="H68" s="348"/>
      <c r="I68" s="348"/>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row>
    <row r="69" spans="1:49" ht="16" customHeight="1" x14ac:dyDescent="0.2">
      <c r="A69" s="1"/>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row>
    <row r="70" spans="1:49" ht="16" customHeight="1" x14ac:dyDescent="0.2">
      <c r="A70" s="1"/>
      <c r="B70" s="14"/>
      <c r="C70" s="14"/>
      <c r="D70" s="14"/>
      <c r="E70" s="14"/>
      <c r="F70" s="3"/>
      <c r="G70" s="3"/>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row>
    <row r="71" spans="1:49" ht="16" customHeight="1" x14ac:dyDescent="0.2">
      <c r="A71" s="1"/>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row>
    <row r="72" spans="1:49" ht="16" customHeight="1" x14ac:dyDescent="0.2">
      <c r="A72" s="1"/>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row>
    <row r="73" spans="1:49" ht="19" x14ac:dyDescent="0.25">
      <c r="A73" s="22" t="s">
        <v>2</v>
      </c>
      <c r="B73" s="14"/>
      <c r="C73" s="14"/>
      <c r="D73" s="14"/>
      <c r="E73" s="14"/>
      <c r="F73" s="14"/>
      <c r="G73" s="14"/>
      <c r="H73" s="14"/>
      <c r="I73" s="14"/>
      <c r="J73" s="14"/>
      <c r="K73" s="14"/>
      <c r="L73" s="25"/>
      <c r="M73" s="25"/>
      <c r="N73" s="25"/>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row>
    <row r="74" spans="1:49" ht="16" customHeight="1" x14ac:dyDescent="0.25">
      <c r="A74" s="22"/>
      <c r="B74" s="402" t="s">
        <v>355</v>
      </c>
      <c r="C74" s="380"/>
      <c r="D74" s="380"/>
      <c r="E74" s="380"/>
      <c r="F74" s="380"/>
      <c r="G74" s="380"/>
      <c r="H74" s="380"/>
      <c r="I74" s="380"/>
      <c r="J74" s="14"/>
      <c r="K74" s="14"/>
      <c r="L74" s="25"/>
      <c r="M74" s="25"/>
      <c r="N74" s="25"/>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row>
    <row r="75" spans="1:49" ht="16" customHeight="1" x14ac:dyDescent="0.25">
      <c r="A75" s="22"/>
      <c r="B75" s="380"/>
      <c r="C75" s="380"/>
      <c r="D75" s="380"/>
      <c r="E75" s="380"/>
      <c r="F75" s="380"/>
      <c r="G75" s="380"/>
      <c r="H75" s="380"/>
      <c r="I75" s="380"/>
      <c r="J75" s="14"/>
      <c r="K75" s="14"/>
      <c r="L75" s="25"/>
      <c r="M75" s="25"/>
      <c r="N75" s="25"/>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row>
    <row r="76" spans="1:49" ht="16" customHeight="1" x14ac:dyDescent="0.25">
      <c r="A76" s="22"/>
      <c r="B76" s="14"/>
      <c r="C76" s="14"/>
      <c r="D76" s="14"/>
      <c r="E76" s="14"/>
      <c r="F76" s="14"/>
      <c r="G76" s="14"/>
      <c r="H76" s="14"/>
      <c r="I76" s="14"/>
      <c r="J76" s="14"/>
      <c r="K76" s="14"/>
      <c r="L76" s="25"/>
      <c r="M76" s="25"/>
      <c r="N76" s="25"/>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row>
    <row r="77" spans="1:49" ht="16" customHeight="1" x14ac:dyDescent="0.25">
      <c r="A77" s="22"/>
      <c r="B77" s="14"/>
      <c r="C77" s="415" t="s">
        <v>358</v>
      </c>
      <c r="D77" s="415"/>
      <c r="E77" s="415"/>
      <c r="F77" s="415"/>
      <c r="G77" s="415"/>
      <c r="H77" s="14"/>
      <c r="I77" s="14"/>
      <c r="J77" s="14"/>
      <c r="K77" s="14"/>
      <c r="L77" s="25"/>
      <c r="M77" s="25"/>
      <c r="N77" s="25"/>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49" ht="16" customHeight="1" x14ac:dyDescent="0.25">
      <c r="A78" s="22"/>
      <c r="B78" s="14"/>
      <c r="C78" s="14"/>
      <c r="D78" s="14"/>
      <c r="E78" s="14"/>
      <c r="F78" s="14"/>
      <c r="G78" s="14"/>
      <c r="H78" s="14"/>
      <c r="I78" s="14"/>
      <c r="J78" s="14"/>
      <c r="K78" s="14"/>
      <c r="L78" s="25"/>
      <c r="M78" s="25"/>
      <c r="N78" s="25"/>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49" ht="16" customHeight="1" x14ac:dyDescent="0.25">
      <c r="A79" s="22"/>
      <c r="B79" s="402" t="s">
        <v>412</v>
      </c>
      <c r="C79" s="348"/>
      <c r="D79" s="348"/>
      <c r="E79" s="348"/>
      <c r="F79" s="348"/>
      <c r="G79" s="348"/>
      <c r="H79" s="348"/>
      <c r="I79" s="348"/>
      <c r="J79" s="14"/>
      <c r="K79" s="14"/>
      <c r="L79" s="25"/>
      <c r="M79" s="25"/>
      <c r="N79" s="25"/>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spans="1:49" ht="16" customHeight="1" x14ac:dyDescent="0.25">
      <c r="A80" s="22"/>
      <c r="B80" s="348"/>
      <c r="C80" s="348"/>
      <c r="D80" s="348"/>
      <c r="E80" s="348"/>
      <c r="F80" s="348"/>
      <c r="G80" s="348"/>
      <c r="H80" s="348"/>
      <c r="I80" s="348"/>
      <c r="J80" s="14"/>
      <c r="K80" s="14"/>
      <c r="L80" s="25"/>
      <c r="M80" s="25"/>
      <c r="N80" s="25"/>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row>
    <row r="81" spans="1:65" ht="16" customHeight="1" x14ac:dyDescent="0.25">
      <c r="A81" s="22"/>
      <c r="B81" s="348"/>
      <c r="C81" s="348"/>
      <c r="D81" s="348"/>
      <c r="E81" s="348"/>
      <c r="F81" s="348"/>
      <c r="G81" s="348"/>
      <c r="H81" s="348"/>
      <c r="I81" s="348"/>
      <c r="J81" s="14"/>
      <c r="K81" s="14"/>
      <c r="L81" s="25"/>
      <c r="M81" s="25"/>
      <c r="N81" s="25"/>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row>
    <row r="82" spans="1:65" ht="16" customHeight="1" x14ac:dyDescent="0.25">
      <c r="A82" s="22"/>
      <c r="B82" s="348"/>
      <c r="C82" s="348"/>
      <c r="D82" s="348"/>
      <c r="E82" s="348"/>
      <c r="F82" s="348"/>
      <c r="G82" s="348"/>
      <c r="H82" s="348"/>
      <c r="I82" s="348"/>
      <c r="J82" s="14"/>
      <c r="K82" s="14"/>
      <c r="L82" s="25"/>
      <c r="M82" s="25"/>
      <c r="N82" s="25"/>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row>
    <row r="83" spans="1:65" ht="16" customHeight="1" x14ac:dyDescent="0.25">
      <c r="A83" s="22"/>
      <c r="B83" s="348"/>
      <c r="C83" s="348"/>
      <c r="D83" s="348"/>
      <c r="E83" s="348"/>
      <c r="F83" s="348"/>
      <c r="G83" s="348"/>
      <c r="H83" s="348"/>
      <c r="I83" s="348"/>
      <c r="J83" s="14"/>
      <c r="K83" s="14"/>
      <c r="L83" s="25"/>
      <c r="M83" s="25"/>
      <c r="N83" s="25"/>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row>
    <row r="84" spans="1:65" ht="16" customHeight="1" x14ac:dyDescent="0.25">
      <c r="A84" s="22"/>
      <c r="B84" s="348"/>
      <c r="C84" s="348"/>
      <c r="D84" s="348"/>
      <c r="E84" s="348"/>
      <c r="F84" s="348"/>
      <c r="G84" s="348"/>
      <c r="H84" s="348"/>
      <c r="I84" s="348"/>
      <c r="J84" s="14"/>
      <c r="K84" s="14"/>
      <c r="L84" s="25"/>
      <c r="M84" s="25"/>
      <c r="N84" s="25"/>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row r="85" spans="1:65" ht="16" customHeight="1" x14ac:dyDescent="0.25">
      <c r="A85" s="22"/>
      <c r="B85" s="348"/>
      <c r="C85" s="348"/>
      <c r="D85" s="348"/>
      <c r="E85" s="348"/>
      <c r="F85" s="348"/>
      <c r="G85" s="348"/>
      <c r="H85" s="348"/>
      <c r="I85" s="348"/>
      <c r="J85" s="14"/>
      <c r="K85" s="14"/>
      <c r="L85" s="25"/>
      <c r="M85" s="25"/>
      <c r="N85" s="25"/>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7" spans="1:65" s="27" customFormat="1" ht="19" x14ac:dyDescent="0.25">
      <c r="A87" s="22" t="s">
        <v>12</v>
      </c>
      <c r="B87" s="26"/>
    </row>
    <row r="88" spans="1:65" s="27" customFormat="1" ht="16" customHeight="1" x14ac:dyDescent="0.2">
      <c r="A88" s="25"/>
      <c r="B88" s="402" t="s">
        <v>367</v>
      </c>
      <c r="C88" s="377"/>
      <c r="D88" s="409" t="s">
        <v>423</v>
      </c>
      <c r="E88" s="391"/>
      <c r="F88" s="391"/>
      <c r="G88" s="391"/>
      <c r="H88" s="391"/>
      <c r="I88" s="391"/>
      <c r="J88" s="391"/>
      <c r="K88" s="28"/>
    </row>
    <row r="89" spans="1:65" s="27" customFormat="1" x14ac:dyDescent="0.2">
      <c r="A89" s="25"/>
      <c r="B89" s="377"/>
      <c r="C89" s="377"/>
      <c r="D89" s="391"/>
      <c r="E89" s="391"/>
      <c r="F89" s="391"/>
      <c r="G89" s="391"/>
      <c r="H89" s="391"/>
      <c r="I89" s="391"/>
      <c r="J89" s="391"/>
      <c r="K89" s="28"/>
    </row>
    <row r="90" spans="1:65" s="27" customFormat="1" x14ac:dyDescent="0.2">
      <c r="A90" s="25"/>
      <c r="B90" s="377"/>
      <c r="C90" s="377"/>
      <c r="D90" s="391"/>
      <c r="E90" s="391"/>
      <c r="F90" s="391"/>
      <c r="G90" s="391"/>
      <c r="H90" s="391"/>
      <c r="I90" s="391"/>
      <c r="J90" s="391"/>
      <c r="K90" s="28"/>
    </row>
    <row r="91" spans="1:65" x14ac:dyDescent="0.2">
      <c r="A91" s="25"/>
      <c r="B91" s="10"/>
      <c r="C91" s="10"/>
      <c r="D91" s="10"/>
      <c r="E91" s="10"/>
      <c r="F91" s="10"/>
      <c r="G91" s="10"/>
      <c r="H91" s="10"/>
      <c r="I91" s="10"/>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row>
    <row r="92" spans="1:65" ht="19" x14ac:dyDescent="0.25">
      <c r="A92" s="22" t="s">
        <v>1</v>
      </c>
      <c r="B92" s="14"/>
      <c r="C92" s="14"/>
      <c r="D92" s="14"/>
      <c r="E92" s="14"/>
      <c r="F92" s="14"/>
      <c r="G92" s="14"/>
      <c r="H92" s="14"/>
      <c r="I92" s="14"/>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row>
    <row r="93" spans="1:65" x14ac:dyDescent="0.2">
      <c r="A93" s="25"/>
      <c r="B93" s="100" t="s">
        <v>368</v>
      </c>
      <c r="C93" s="14"/>
      <c r="D93" s="14"/>
      <c r="E93" s="14"/>
      <c r="F93" s="14"/>
      <c r="G93" s="14"/>
      <c r="H93" s="14"/>
      <c r="I93" s="14"/>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row>
    <row r="94" spans="1:65" x14ac:dyDescent="0.2">
      <c r="A94" s="25"/>
      <c r="B94" s="14"/>
      <c r="C94" s="14"/>
      <c r="D94" s="14"/>
      <c r="E94" s="14"/>
      <c r="F94" s="14"/>
      <c r="G94" s="14"/>
      <c r="H94" s="14"/>
      <c r="I94" s="14"/>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row>
    <row r="95" spans="1:65" x14ac:dyDescent="0.2">
      <c r="A95" s="25"/>
      <c r="B95" s="14"/>
      <c r="C95" s="14"/>
      <c r="D95" s="14"/>
      <c r="E95" s="14"/>
      <c r="F95" s="14"/>
      <c r="G95" s="14"/>
      <c r="H95" s="14"/>
      <c r="I95" s="14"/>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row>
  </sheetData>
  <mergeCells count="13">
    <mergeCell ref="B88:C90"/>
    <mergeCell ref="D88:J90"/>
    <mergeCell ref="B46:I47"/>
    <mergeCell ref="C77:G77"/>
    <mergeCell ref="B79:I85"/>
    <mergeCell ref="B74:I75"/>
    <mergeCell ref="B28:I28"/>
    <mergeCell ref="B66:I68"/>
    <mergeCell ref="C7:C8"/>
    <mergeCell ref="B4:I5"/>
    <mergeCell ref="D7:H7"/>
    <mergeCell ref="C35:C36"/>
    <mergeCell ref="D35:H35"/>
  </mergeCells>
  <pageMargins left="0.7" right="0.7" top="0.75" bottom="0.75" header="0.3" footer="0.3"/>
  <pageSetup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D9C71-3C65-0749-B30F-BD9D7506589B}">
  <dimension ref="A1:BM98"/>
  <sheetViews>
    <sheetView showGridLines="0" topLeftCell="A9" zoomScale="120" zoomScaleNormal="120" workbookViewId="0"/>
  </sheetViews>
  <sheetFormatPr baseColWidth="10" defaultColWidth="10.83203125" defaultRowHeight="16" x14ac:dyDescent="0.2"/>
  <cols>
    <col min="1" max="1" width="10.83203125" style="100"/>
    <col min="2" max="2" width="12.33203125" style="100" customWidth="1"/>
    <col min="3" max="3" width="10.83203125" style="100" customWidth="1"/>
    <col min="4" max="5" width="10.83203125" style="100"/>
    <col min="6" max="7" width="10.83203125" style="100" customWidth="1"/>
    <col min="8" max="9" width="10.83203125" style="100"/>
    <col min="10" max="10" width="10.83203125" style="100" customWidth="1"/>
    <col min="11" max="16384" width="10.83203125" style="100"/>
  </cols>
  <sheetData>
    <row r="1" spans="1:10" ht="19" x14ac:dyDescent="0.25">
      <c r="A1" s="11" t="s">
        <v>359</v>
      </c>
      <c r="B1" s="79"/>
      <c r="C1" s="79"/>
      <c r="D1" s="79"/>
      <c r="E1" s="79"/>
      <c r="F1" s="79"/>
      <c r="G1" s="79"/>
      <c r="H1" s="79"/>
      <c r="I1" s="79"/>
      <c r="J1" s="128"/>
    </row>
    <row r="2" spans="1:10" x14ac:dyDescent="0.2">
      <c r="A2" s="129"/>
      <c r="B2" s="79"/>
      <c r="C2" s="79"/>
      <c r="D2" s="79"/>
      <c r="E2" s="79"/>
      <c r="F2" s="79"/>
      <c r="G2" s="79"/>
      <c r="H2" s="79"/>
      <c r="I2" s="79"/>
      <c r="J2" s="128"/>
    </row>
    <row r="3" spans="1:10" x14ac:dyDescent="0.2">
      <c r="A3" s="130"/>
      <c r="B3" s="16" t="s">
        <v>11</v>
      </c>
      <c r="C3" s="79"/>
      <c r="D3" s="79"/>
      <c r="E3" s="79"/>
      <c r="F3" s="79"/>
      <c r="G3" s="79"/>
      <c r="H3" s="79"/>
      <c r="I3" s="79"/>
      <c r="J3" s="128"/>
    </row>
    <row r="4" spans="1:10" ht="16" customHeight="1" x14ac:dyDescent="0.2">
      <c r="A4" s="130"/>
      <c r="B4" s="416" t="s">
        <v>475</v>
      </c>
      <c r="C4" s="363"/>
      <c r="D4" s="363"/>
      <c r="E4" s="363"/>
      <c r="F4" s="363"/>
      <c r="G4" s="363"/>
      <c r="H4" s="363"/>
      <c r="I4" s="363"/>
      <c r="J4" s="128"/>
    </row>
    <row r="5" spans="1:10" ht="16" customHeight="1" x14ac:dyDescent="0.2">
      <c r="A5" s="130"/>
      <c r="B5" s="363"/>
      <c r="C5" s="363"/>
      <c r="D5" s="363"/>
      <c r="E5" s="363"/>
      <c r="F5" s="363"/>
      <c r="G5" s="363"/>
      <c r="H5" s="363"/>
      <c r="I5" s="363"/>
      <c r="J5" s="128"/>
    </row>
    <row r="6" spans="1:10" ht="16" customHeight="1" x14ac:dyDescent="0.2">
      <c r="A6" s="130"/>
      <c r="B6" s="363"/>
      <c r="C6" s="363"/>
      <c r="D6" s="363"/>
      <c r="E6" s="363"/>
      <c r="F6" s="363"/>
      <c r="G6" s="363"/>
      <c r="H6" s="363"/>
      <c r="I6" s="363"/>
      <c r="J6" s="128"/>
    </row>
    <row r="7" spans="1:10" x14ac:dyDescent="0.2">
      <c r="A7" s="130"/>
      <c r="B7" s="79"/>
      <c r="C7" s="245"/>
      <c r="D7" s="286"/>
      <c r="E7" s="286"/>
      <c r="F7" s="286"/>
      <c r="G7" s="286"/>
      <c r="H7" s="79"/>
      <c r="I7" s="79"/>
      <c r="J7" s="128"/>
    </row>
    <row r="8" spans="1:10" x14ac:dyDescent="0.2">
      <c r="A8" s="130"/>
      <c r="B8" s="424" t="s">
        <v>376</v>
      </c>
      <c r="C8" s="425"/>
      <c r="D8" s="280">
        <v>0</v>
      </c>
      <c r="E8" s="281">
        <v>1</v>
      </c>
      <c r="F8" s="281">
        <v>2</v>
      </c>
      <c r="G8" s="281">
        <v>3</v>
      </c>
      <c r="H8" s="282">
        <v>4</v>
      </c>
      <c r="I8" s="79"/>
      <c r="J8" s="128"/>
    </row>
    <row r="9" spans="1:10" ht="18" x14ac:dyDescent="0.2">
      <c r="A9" s="130"/>
      <c r="B9" s="426" t="s">
        <v>375</v>
      </c>
      <c r="C9" s="427"/>
      <c r="D9" s="163">
        <v>144916</v>
      </c>
      <c r="E9" s="164">
        <v>134459</v>
      </c>
      <c r="F9" s="164">
        <v>132026</v>
      </c>
      <c r="G9" s="164">
        <v>130604</v>
      </c>
      <c r="H9" s="165">
        <v>130604</v>
      </c>
      <c r="I9" s="79"/>
      <c r="J9" s="128"/>
    </row>
    <row r="10" spans="1:10" x14ac:dyDescent="0.2">
      <c r="A10" s="130"/>
      <c r="B10" s="422" t="s">
        <v>374</v>
      </c>
      <c r="C10" s="423"/>
      <c r="D10" s="167">
        <v>197203</v>
      </c>
      <c r="E10" s="283">
        <v>150458</v>
      </c>
      <c r="F10" s="283">
        <v>140263</v>
      </c>
      <c r="G10" s="283">
        <v>130626</v>
      </c>
      <c r="H10" s="209">
        <v>130604</v>
      </c>
      <c r="I10" s="79"/>
      <c r="J10" s="128"/>
    </row>
    <row r="11" spans="1:10" x14ac:dyDescent="0.2">
      <c r="A11" s="130"/>
      <c r="B11" s="79"/>
      <c r="C11" s="80"/>
      <c r="D11" s="79"/>
      <c r="E11" s="79"/>
      <c r="F11" s="79"/>
      <c r="G11" s="79"/>
      <c r="H11" s="79"/>
      <c r="I11" s="79"/>
      <c r="J11" s="128"/>
    </row>
    <row r="12" spans="1:10" x14ac:dyDescent="0.2">
      <c r="A12" s="130"/>
      <c r="B12" s="79" t="s">
        <v>345</v>
      </c>
      <c r="C12" s="287">
        <v>0.04</v>
      </c>
      <c r="D12" s="79"/>
      <c r="E12" s="79"/>
      <c r="F12" s="79"/>
      <c r="G12" s="79"/>
      <c r="H12" s="79"/>
      <c r="I12" s="79"/>
      <c r="J12" s="128"/>
    </row>
    <row r="13" spans="1:10" x14ac:dyDescent="0.2">
      <c r="A13" s="130"/>
      <c r="B13" s="79" t="s">
        <v>346</v>
      </c>
      <c r="C13" s="287">
        <v>0.1</v>
      </c>
      <c r="D13" s="177"/>
      <c r="E13" s="177"/>
      <c r="F13" s="177"/>
      <c r="G13" s="177"/>
      <c r="H13" s="177"/>
      <c r="I13" s="177"/>
      <c r="J13" s="128"/>
    </row>
    <row r="14" spans="1:10" x14ac:dyDescent="0.2">
      <c r="A14" s="130"/>
      <c r="B14" s="338" t="s">
        <v>377</v>
      </c>
      <c r="C14" s="287"/>
      <c r="D14" s="177"/>
      <c r="E14" s="161"/>
      <c r="F14" s="161"/>
      <c r="G14" s="79"/>
      <c r="H14" s="161"/>
      <c r="I14" s="79"/>
      <c r="J14" s="128"/>
    </row>
    <row r="15" spans="1:10" x14ac:dyDescent="0.2">
      <c r="A15" s="130"/>
      <c r="B15" s="79"/>
      <c r="C15" s="80"/>
      <c r="D15" s="177"/>
      <c r="E15" s="161"/>
      <c r="F15" s="161"/>
      <c r="G15" s="79"/>
      <c r="H15" s="161"/>
      <c r="I15" s="79"/>
      <c r="J15" s="128"/>
    </row>
    <row r="16" spans="1:10" x14ac:dyDescent="0.2">
      <c r="A16" s="130"/>
      <c r="B16" s="80"/>
      <c r="C16" s="80"/>
      <c r="D16" s="177"/>
      <c r="E16" s="161"/>
      <c r="F16" s="161"/>
      <c r="G16" s="79"/>
      <c r="H16" s="161"/>
      <c r="I16" s="79"/>
      <c r="J16" s="128"/>
    </row>
    <row r="17" spans="1:10" ht="16" customHeight="1" x14ac:dyDescent="0.2">
      <c r="A17" s="130" t="s">
        <v>10</v>
      </c>
      <c r="B17" s="340" t="s">
        <v>459</v>
      </c>
      <c r="C17" s="161"/>
      <c r="D17" s="161"/>
      <c r="E17" s="161"/>
      <c r="F17" s="161"/>
      <c r="G17" s="79"/>
      <c r="H17" s="161"/>
      <c r="I17" s="161"/>
      <c r="J17" s="128"/>
    </row>
    <row r="18" spans="1:10" ht="16" customHeight="1" x14ac:dyDescent="0.2">
      <c r="A18" s="130"/>
      <c r="B18" s="161"/>
      <c r="C18" s="161"/>
      <c r="D18" s="161"/>
      <c r="E18" s="161"/>
      <c r="F18" s="161"/>
      <c r="G18" s="79"/>
      <c r="H18" s="161"/>
      <c r="I18" s="161"/>
      <c r="J18" s="128"/>
    </row>
    <row r="19" spans="1:10" ht="16" customHeight="1" x14ac:dyDescent="0.2">
      <c r="A19" s="130" t="s">
        <v>9</v>
      </c>
      <c r="B19" s="340" t="s">
        <v>413</v>
      </c>
      <c r="C19" s="161"/>
      <c r="D19" s="161"/>
      <c r="E19" s="161"/>
      <c r="F19" s="161"/>
      <c r="G19" s="79"/>
      <c r="H19" s="161"/>
      <c r="I19" s="161"/>
      <c r="J19" s="128"/>
    </row>
    <row r="20" spans="1:10" ht="17" thickBot="1" x14ac:dyDescent="0.25">
      <c r="A20" s="141"/>
      <c r="B20" s="142"/>
      <c r="C20" s="143"/>
      <c r="D20" s="143"/>
      <c r="E20" s="143"/>
      <c r="F20" s="142"/>
      <c r="G20" s="142"/>
      <c r="H20" s="142"/>
      <c r="I20" s="142"/>
      <c r="J20" s="144"/>
    </row>
    <row r="22" spans="1:10" ht="19" x14ac:dyDescent="0.25">
      <c r="A22" s="22" t="s">
        <v>8</v>
      </c>
    </row>
    <row r="23" spans="1:10" ht="16" customHeight="1" x14ac:dyDescent="0.2">
      <c r="A23" s="23" t="s">
        <v>378</v>
      </c>
      <c r="B23" s="24"/>
      <c r="C23" s="24"/>
      <c r="D23" s="24"/>
      <c r="E23" s="24"/>
      <c r="F23" s="24"/>
      <c r="G23" s="24"/>
      <c r="H23" s="24"/>
      <c r="I23" s="24"/>
    </row>
    <row r="24" spans="1:10" ht="16" customHeight="1" x14ac:dyDescent="0.2">
      <c r="A24" s="1" t="s">
        <v>7</v>
      </c>
      <c r="B24" s="364" t="s">
        <v>379</v>
      </c>
      <c r="C24" s="364"/>
      <c r="D24" s="364"/>
      <c r="E24" s="364"/>
      <c r="F24" s="364"/>
      <c r="G24" s="364"/>
      <c r="H24" s="364"/>
      <c r="I24" s="364"/>
    </row>
    <row r="25" spans="1:10" ht="16" customHeight="1" x14ac:dyDescent="0.2">
      <c r="A25" s="1"/>
      <c r="B25" s="364"/>
      <c r="C25" s="364"/>
      <c r="D25" s="364"/>
      <c r="E25" s="364"/>
      <c r="F25" s="364"/>
      <c r="G25" s="364"/>
      <c r="H25" s="364"/>
      <c r="I25" s="364"/>
    </row>
    <row r="26" spans="1:10" ht="16" customHeight="1" x14ac:dyDescent="0.2">
      <c r="A26" s="1"/>
    </row>
    <row r="27" spans="1:10" ht="16" customHeight="1" x14ac:dyDescent="0.2">
      <c r="A27" s="1"/>
      <c r="G27" s="115"/>
    </row>
    <row r="28" spans="1:10" ht="16" customHeight="1" x14ac:dyDescent="0.2">
      <c r="A28" s="1"/>
    </row>
    <row r="29" spans="1:10" ht="16" customHeight="1" x14ac:dyDescent="0.2">
      <c r="A29" s="1"/>
    </row>
    <row r="30" spans="1:10" ht="18" customHeight="1" x14ac:dyDescent="0.2">
      <c r="A30" s="1" t="s">
        <v>6</v>
      </c>
      <c r="B30" s="364" t="s">
        <v>476</v>
      </c>
      <c r="C30" s="364"/>
      <c r="D30" s="364"/>
      <c r="E30" s="364"/>
      <c r="F30" s="364"/>
      <c r="G30" s="364"/>
      <c r="H30" s="364"/>
      <c r="I30" s="364"/>
    </row>
    <row r="31" spans="1:10" ht="16" customHeight="1" x14ac:dyDescent="0.2">
      <c r="A31" s="1"/>
      <c r="B31" s="364"/>
      <c r="C31" s="364"/>
      <c r="D31" s="364"/>
      <c r="E31" s="364"/>
      <c r="F31" s="364"/>
      <c r="G31" s="364"/>
      <c r="H31" s="364"/>
      <c r="I31" s="364"/>
    </row>
    <row r="32" spans="1:10" ht="16" customHeight="1" x14ac:dyDescent="0.2">
      <c r="A32" s="1"/>
      <c r="B32" s="364"/>
      <c r="C32" s="364"/>
      <c r="D32" s="364"/>
      <c r="E32" s="364"/>
      <c r="F32" s="364"/>
      <c r="G32" s="364"/>
      <c r="H32" s="364"/>
      <c r="I32" s="364"/>
    </row>
    <row r="33" spans="1:9" ht="16" customHeight="1" x14ac:dyDescent="0.2">
      <c r="A33" s="1"/>
      <c r="B33" s="364"/>
      <c r="C33" s="364"/>
      <c r="D33" s="364"/>
      <c r="E33" s="364"/>
      <c r="F33" s="364"/>
      <c r="G33" s="364"/>
      <c r="H33" s="364"/>
      <c r="I33" s="364"/>
    </row>
    <row r="34" spans="1:9" ht="16" customHeight="1" x14ac:dyDescent="0.2">
      <c r="A34" s="1"/>
    </row>
    <row r="35" spans="1:9" ht="16" customHeight="1" x14ac:dyDescent="0.2">
      <c r="A35" s="1"/>
      <c r="F35" s="115"/>
      <c r="G35" s="115"/>
    </row>
    <row r="36" spans="1:9" ht="16" customHeight="1" x14ac:dyDescent="0.2">
      <c r="A36" s="1"/>
    </row>
    <row r="37" spans="1:9" ht="16" customHeight="1" x14ac:dyDescent="0.2">
      <c r="A37" s="1"/>
    </row>
    <row r="38" spans="1:9" ht="16" customHeight="1" x14ac:dyDescent="0.2">
      <c r="A38" s="1"/>
    </row>
    <row r="39" spans="1:9" ht="16" customHeight="1" x14ac:dyDescent="0.2">
      <c r="A39" s="1"/>
      <c r="C39" s="268" t="s">
        <v>351</v>
      </c>
      <c r="D39" s="269">
        <v>0</v>
      </c>
      <c r="E39" s="270">
        <v>1</v>
      </c>
      <c r="F39" s="270">
        <v>2</v>
      </c>
      <c r="G39" s="270">
        <v>3</v>
      </c>
      <c r="H39" s="271">
        <v>4</v>
      </c>
    </row>
    <row r="40" spans="1:9" ht="16" customHeight="1" x14ac:dyDescent="0.2">
      <c r="A40" s="1"/>
      <c r="C40" s="285" t="s">
        <v>371</v>
      </c>
      <c r="D40" s="214">
        <f>D10-D9</f>
        <v>52287</v>
      </c>
      <c r="E40" s="215">
        <f>E10-E9</f>
        <v>15999</v>
      </c>
      <c r="F40" s="215">
        <f>F10-F9</f>
        <v>8237</v>
      </c>
      <c r="G40" s="215">
        <f>G10-G9</f>
        <v>22</v>
      </c>
      <c r="H40" s="216">
        <f>H10-H9</f>
        <v>0</v>
      </c>
    </row>
    <row r="41" spans="1:9" ht="16" customHeight="1" x14ac:dyDescent="0.2">
      <c r="A41" s="1"/>
      <c r="C41" s="272" t="s">
        <v>380</v>
      </c>
      <c r="D41" s="273"/>
      <c r="E41" s="274">
        <f>D40*(1+$C$12)-E40</f>
        <v>38379.480000000003</v>
      </c>
      <c r="F41" s="274">
        <f>E40*(1+$C$12)-F40</f>
        <v>8401.9599999999991</v>
      </c>
      <c r="G41" s="274">
        <f>F40*(1+$C$12)-G40</f>
        <v>8544.48</v>
      </c>
      <c r="H41" s="275">
        <f>G40*(1+$C$12)-H40</f>
        <v>22.880000000000003</v>
      </c>
    </row>
    <row r="42" spans="1:9" ht="16" customHeight="1" x14ac:dyDescent="0.2">
      <c r="A42" s="1"/>
      <c r="C42" s="145" t="s">
        <v>372</v>
      </c>
      <c r="D42" s="277"/>
      <c r="E42" s="278">
        <f>E41/(1+$C$13)^E39</f>
        <v>34890.436363636363</v>
      </c>
      <c r="F42" s="278">
        <f>F41/(1+$C$13)^F39</f>
        <v>6943.7685950413206</v>
      </c>
      <c r="G42" s="278">
        <f>G41/(1+$C$13)^G39</f>
        <v>6419.5942900075106</v>
      </c>
      <c r="H42" s="279">
        <f>H41/(1+$C$13)^H39</f>
        <v>15.627347858752815</v>
      </c>
    </row>
    <row r="43" spans="1:9" ht="16" customHeight="1" thickBot="1" x14ac:dyDescent="0.25">
      <c r="A43" s="1"/>
    </row>
    <row r="44" spans="1:9" ht="16" customHeight="1" thickBot="1" x14ac:dyDescent="0.25">
      <c r="A44" s="1"/>
      <c r="E44" s="202"/>
      <c r="F44" s="124" t="s">
        <v>373</v>
      </c>
      <c r="G44" s="240">
        <f>D40-SUM(E42:H42)</f>
        <v>4017.5734034560519</v>
      </c>
    </row>
    <row r="45" spans="1:9" ht="16" customHeight="1" x14ac:dyDescent="0.2">
      <c r="A45" s="1"/>
    </row>
    <row r="46" spans="1:9" ht="16" customHeight="1" x14ac:dyDescent="0.25">
      <c r="A46" s="1"/>
      <c r="B46" s="26" t="s">
        <v>381</v>
      </c>
    </row>
    <row r="47" spans="1:9" ht="18" customHeight="1" x14ac:dyDescent="0.2">
      <c r="A47" s="1" t="s">
        <v>5</v>
      </c>
      <c r="B47" s="364" t="s">
        <v>382</v>
      </c>
      <c r="C47" s="364"/>
      <c r="D47" s="364"/>
      <c r="E47" s="364"/>
      <c r="F47" s="364"/>
      <c r="G47" s="364"/>
      <c r="H47" s="364"/>
      <c r="I47" s="364"/>
    </row>
    <row r="48" spans="1:9" ht="16" customHeight="1" x14ac:dyDescent="0.2">
      <c r="A48" s="1"/>
      <c r="B48" s="364"/>
      <c r="C48" s="364"/>
      <c r="D48" s="364"/>
      <c r="E48" s="364"/>
      <c r="F48" s="364"/>
      <c r="G48" s="364"/>
      <c r="H48" s="364"/>
      <c r="I48" s="364"/>
    </row>
    <row r="49" spans="1:12" ht="16" customHeight="1" x14ac:dyDescent="0.2">
      <c r="A49" s="1"/>
      <c r="I49" s="24"/>
    </row>
    <row r="50" spans="1:12" ht="16" customHeight="1" x14ac:dyDescent="0.2">
      <c r="A50" s="1"/>
      <c r="F50" s="115"/>
      <c r="G50" s="115"/>
    </row>
    <row r="51" spans="1:12" ht="16" customHeight="1" x14ac:dyDescent="0.2">
      <c r="A51" s="1"/>
    </row>
    <row r="52" spans="1:12" ht="16" customHeight="1" x14ac:dyDescent="0.2">
      <c r="A52" s="1"/>
    </row>
    <row r="53" spans="1:12" ht="16" customHeight="1" x14ac:dyDescent="0.2">
      <c r="A53" s="1"/>
    </row>
    <row r="54" spans="1:12" ht="16" customHeight="1" x14ac:dyDescent="0.2">
      <c r="A54" s="1"/>
      <c r="C54" s="268" t="s">
        <v>351</v>
      </c>
      <c r="D54" s="269">
        <v>0</v>
      </c>
      <c r="E54" s="270">
        <v>1</v>
      </c>
      <c r="F54" s="270">
        <v>2</v>
      </c>
      <c r="G54" s="270">
        <v>3</v>
      </c>
      <c r="H54" s="271">
        <v>4</v>
      </c>
    </row>
    <row r="55" spans="1:12" ht="16" customHeight="1" x14ac:dyDescent="0.2">
      <c r="A55" s="1"/>
      <c r="C55" s="272" t="s">
        <v>371</v>
      </c>
      <c r="D55" s="273">
        <f>D40</f>
        <v>52287</v>
      </c>
      <c r="E55" s="274">
        <f t="shared" ref="E55:H55" si="0">E40</f>
        <v>15999</v>
      </c>
      <c r="F55" s="274">
        <f t="shared" si="0"/>
        <v>8237</v>
      </c>
      <c r="G55" s="274">
        <f t="shared" si="0"/>
        <v>22</v>
      </c>
      <c r="H55" s="275">
        <f t="shared" si="0"/>
        <v>0</v>
      </c>
    </row>
    <row r="56" spans="1:12" ht="16" customHeight="1" x14ac:dyDescent="0.2">
      <c r="A56" s="1"/>
      <c r="C56" s="145" t="s">
        <v>372</v>
      </c>
      <c r="D56" s="277">
        <f>($C$13-$C$12)*D55/(1+$C$13)^(D54+1)</f>
        <v>2852.0181818181818</v>
      </c>
      <c r="E56" s="278">
        <f>($C$13-$C$12)*E55/(1+$C$13)^(E54+1)</f>
        <v>793.33884297520649</v>
      </c>
      <c r="F56" s="278">
        <f t="shared" ref="F56:H56" si="1">($C$13-$C$12)*F55/(1+$C$13)^(F54+1)</f>
        <v>371.31480090157766</v>
      </c>
      <c r="G56" s="278">
        <f>($C$13-$C$12)*G55/(1+$C$13)^(G54+1)</f>
        <v>0.90157776108189314</v>
      </c>
      <c r="H56" s="279">
        <f t="shared" si="1"/>
        <v>0</v>
      </c>
    </row>
    <row r="57" spans="1:12" ht="16" customHeight="1" thickBot="1" x14ac:dyDescent="0.25">
      <c r="A57" s="1"/>
    </row>
    <row r="58" spans="1:12" ht="16" customHeight="1" thickBot="1" x14ac:dyDescent="0.25">
      <c r="A58" s="1"/>
      <c r="F58" s="124" t="s">
        <v>373</v>
      </c>
      <c r="G58" s="240">
        <f>SUM(D56:H56)</f>
        <v>4017.5734034560483</v>
      </c>
    </row>
    <row r="59" spans="1:12" ht="16" customHeight="1" x14ac:dyDescent="0.2">
      <c r="A59" s="1"/>
    </row>
    <row r="60" spans="1:12" ht="16" customHeight="1" x14ac:dyDescent="0.2">
      <c r="A60" s="23" t="s">
        <v>369</v>
      </c>
      <c r="L60" s="25"/>
    </row>
    <row r="61" spans="1:12" ht="16" customHeight="1" x14ac:dyDescent="0.2">
      <c r="A61" s="1"/>
      <c r="B61" s="402" t="s">
        <v>477</v>
      </c>
      <c r="C61" s="348"/>
      <c r="D61" s="348"/>
      <c r="E61" s="348"/>
      <c r="F61" s="348"/>
      <c r="G61" s="348"/>
      <c r="H61" s="348"/>
      <c r="I61" s="348"/>
      <c r="L61" s="25"/>
    </row>
    <row r="62" spans="1:12" ht="16" customHeight="1" x14ac:dyDescent="0.2">
      <c r="A62" s="1"/>
      <c r="B62" s="348"/>
      <c r="C62" s="348"/>
      <c r="D62" s="348"/>
      <c r="E62" s="348"/>
      <c r="F62" s="348"/>
      <c r="G62" s="348"/>
      <c r="H62" s="348"/>
      <c r="I62" s="348"/>
      <c r="L62" s="25"/>
    </row>
    <row r="63" spans="1:12" ht="16" customHeight="1" x14ac:dyDescent="0.2">
      <c r="A63" s="1"/>
      <c r="L63" s="25"/>
    </row>
    <row r="64" spans="1:12" ht="16" customHeight="1" x14ac:dyDescent="0.2">
      <c r="A64" s="1"/>
      <c r="L64" s="25"/>
    </row>
    <row r="65" spans="1:65" ht="16" customHeight="1" x14ac:dyDescent="0.2">
      <c r="A65" s="1"/>
      <c r="F65" s="115"/>
      <c r="G65" s="115"/>
      <c r="L65" s="25"/>
    </row>
    <row r="66" spans="1:65" ht="19" x14ac:dyDescent="0.25">
      <c r="A66" s="22" t="s">
        <v>2</v>
      </c>
      <c r="L66" s="25"/>
      <c r="M66" s="25"/>
      <c r="N66" s="25"/>
    </row>
    <row r="67" spans="1:65" ht="16" customHeight="1" x14ac:dyDescent="0.25">
      <c r="A67" s="22"/>
      <c r="B67" s="402" t="s">
        <v>479</v>
      </c>
      <c r="C67" s="348"/>
      <c r="D67" s="348"/>
      <c r="E67" s="348"/>
      <c r="F67" s="348"/>
      <c r="G67" s="348"/>
      <c r="H67" s="348"/>
      <c r="I67" s="348"/>
      <c r="L67" s="25"/>
      <c r="M67" s="25"/>
      <c r="N67" s="25"/>
    </row>
    <row r="68" spans="1:65" ht="16" customHeight="1" x14ac:dyDescent="0.25">
      <c r="A68" s="22"/>
      <c r="B68" s="14"/>
      <c r="C68" s="14"/>
      <c r="D68" s="14"/>
      <c r="E68" s="14"/>
      <c r="F68" s="14"/>
      <c r="G68" s="14"/>
      <c r="H68" s="14"/>
      <c r="I68" s="14"/>
      <c r="L68" s="25"/>
      <c r="M68" s="25"/>
      <c r="N68" s="25"/>
    </row>
    <row r="69" spans="1:65" ht="16" customHeight="1" x14ac:dyDescent="0.25">
      <c r="A69" s="22"/>
      <c r="B69" s="14"/>
      <c r="C69" s="415" t="s">
        <v>358</v>
      </c>
      <c r="D69" s="415"/>
      <c r="E69" s="415"/>
      <c r="F69" s="415"/>
      <c r="G69" s="415"/>
      <c r="H69" s="14"/>
      <c r="I69" s="14"/>
      <c r="L69" s="25"/>
      <c r="M69" s="25"/>
      <c r="N69" s="25"/>
    </row>
    <row r="70" spans="1:65" ht="16" customHeight="1" x14ac:dyDescent="0.25">
      <c r="A70" s="22"/>
      <c r="B70" s="14"/>
      <c r="C70" s="14"/>
      <c r="D70" s="14"/>
      <c r="E70" s="14"/>
      <c r="F70" s="14"/>
      <c r="G70" s="14"/>
      <c r="H70" s="14"/>
      <c r="I70" s="14"/>
      <c r="L70" s="25"/>
      <c r="M70" s="25"/>
      <c r="N70" s="25"/>
    </row>
    <row r="71" spans="1:65" ht="16" customHeight="1" x14ac:dyDescent="0.25">
      <c r="A71" s="22"/>
      <c r="B71" s="339" t="s">
        <v>478</v>
      </c>
      <c r="L71" s="25"/>
      <c r="M71" s="25"/>
      <c r="N71" s="25"/>
    </row>
    <row r="72" spans="1:65" ht="16" customHeight="1" x14ac:dyDescent="0.25">
      <c r="A72" s="22"/>
      <c r="L72" s="25"/>
      <c r="M72" s="25"/>
      <c r="N72" s="25"/>
    </row>
    <row r="73" spans="1:65" ht="19" x14ac:dyDescent="0.25">
      <c r="B73" s="26" t="s">
        <v>414</v>
      </c>
      <c r="L73" s="25"/>
      <c r="M73" s="25"/>
      <c r="N73" s="25"/>
    </row>
    <row r="74" spans="1:65" ht="16" customHeight="1" x14ac:dyDescent="0.2">
      <c r="A74" s="25"/>
      <c r="B74" s="402" t="s">
        <v>481</v>
      </c>
      <c r="C74" s="348"/>
      <c r="D74" s="348"/>
      <c r="E74" s="348"/>
      <c r="F74" s="348"/>
      <c r="G74" s="348"/>
      <c r="H74" s="348"/>
      <c r="I74" s="348"/>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row>
    <row r="75" spans="1:65" ht="16" customHeight="1" x14ac:dyDescent="0.2">
      <c r="A75" s="25"/>
      <c r="B75" s="348"/>
      <c r="C75" s="348"/>
      <c r="D75" s="348"/>
      <c r="E75" s="348"/>
      <c r="F75" s="348"/>
      <c r="G75" s="348"/>
      <c r="H75" s="348"/>
      <c r="I75" s="348"/>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row>
    <row r="76" spans="1:65" ht="16" customHeight="1" x14ac:dyDescent="0.2">
      <c r="A76" s="25"/>
      <c r="B76" s="348"/>
      <c r="C76" s="348"/>
      <c r="D76" s="348"/>
      <c r="E76" s="348"/>
      <c r="F76" s="348"/>
      <c r="G76" s="348"/>
      <c r="H76" s="348"/>
      <c r="I76" s="348"/>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row>
    <row r="77" spans="1:65" ht="16" customHeight="1" x14ac:dyDescent="0.2">
      <c r="A77" s="25"/>
      <c r="B77" s="348"/>
      <c r="C77" s="348"/>
      <c r="D77" s="348"/>
      <c r="E77" s="348"/>
      <c r="F77" s="348"/>
      <c r="G77" s="348"/>
      <c r="H77" s="348"/>
      <c r="I77" s="348"/>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row>
    <row r="78" spans="1:65" ht="16" customHeight="1" x14ac:dyDescent="0.2">
      <c r="A78" s="25"/>
      <c r="B78" s="348"/>
      <c r="C78" s="348"/>
      <c r="D78" s="348"/>
      <c r="E78" s="348"/>
      <c r="F78" s="348"/>
      <c r="G78" s="348"/>
      <c r="H78" s="348"/>
      <c r="I78" s="348"/>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row>
    <row r="79" spans="1:65" ht="16" customHeight="1" x14ac:dyDescent="0.2">
      <c r="A79" s="25"/>
      <c r="B79" s="348"/>
      <c r="C79" s="348"/>
      <c r="D79" s="348"/>
      <c r="E79" s="348"/>
      <c r="F79" s="348"/>
      <c r="G79" s="348"/>
      <c r="H79" s="348"/>
      <c r="I79" s="348"/>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row>
    <row r="80" spans="1:65" ht="16" customHeight="1" x14ac:dyDescent="0.2">
      <c r="A80" s="25"/>
      <c r="B80" s="348"/>
      <c r="C80" s="348"/>
      <c r="D80" s="348"/>
      <c r="E80" s="348"/>
      <c r="F80" s="348"/>
      <c r="G80" s="348"/>
      <c r="H80" s="348"/>
      <c r="I80" s="348"/>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row>
    <row r="81" spans="1:65" ht="16" customHeight="1" x14ac:dyDescent="0.2">
      <c r="A81" s="25"/>
      <c r="B81" s="348"/>
      <c r="C81" s="348"/>
      <c r="D81" s="348"/>
      <c r="E81" s="348"/>
      <c r="F81" s="348"/>
      <c r="G81" s="348"/>
      <c r="H81" s="348"/>
      <c r="I81" s="348"/>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row>
    <row r="82" spans="1:65" ht="16" customHeight="1" x14ac:dyDescent="0.2">
      <c r="A82" s="25"/>
      <c r="B82" s="348"/>
      <c r="C82" s="348"/>
      <c r="D82" s="348"/>
      <c r="E82" s="348"/>
      <c r="F82" s="348"/>
      <c r="G82" s="348"/>
      <c r="H82" s="348"/>
      <c r="I82" s="348"/>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row>
    <row r="83" spans="1:65" ht="16" customHeight="1" x14ac:dyDescent="0.2">
      <c r="A83" s="25"/>
      <c r="B83" s="348"/>
      <c r="C83" s="348"/>
      <c r="D83" s="348"/>
      <c r="E83" s="348"/>
      <c r="F83" s="348"/>
      <c r="G83" s="348"/>
      <c r="H83" s="348"/>
      <c r="I83" s="348"/>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row>
    <row r="84" spans="1:65" x14ac:dyDescent="0.2">
      <c r="A84" s="25"/>
      <c r="B84" s="122"/>
      <c r="C84" s="122"/>
      <c r="D84" s="122"/>
      <c r="E84" s="122"/>
      <c r="F84" s="122"/>
      <c r="G84" s="122"/>
      <c r="H84" s="122"/>
      <c r="I84" s="122"/>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row>
    <row r="85" spans="1:65" ht="19" x14ac:dyDescent="0.25">
      <c r="B85" s="26" t="s">
        <v>383</v>
      </c>
      <c r="L85" s="25"/>
      <c r="M85" s="25"/>
      <c r="N85" s="25"/>
    </row>
    <row r="86" spans="1:65" ht="16" customHeight="1" x14ac:dyDescent="0.2">
      <c r="A86" s="25"/>
      <c r="B86" s="402" t="s">
        <v>480</v>
      </c>
      <c r="C86" s="348"/>
      <c r="D86" s="348"/>
      <c r="E86" s="348"/>
      <c r="F86" s="348"/>
      <c r="G86" s="348"/>
      <c r="H86" s="348"/>
      <c r="I86" s="348"/>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row>
    <row r="87" spans="1:65" x14ac:dyDescent="0.2">
      <c r="A87" s="25"/>
      <c r="B87" s="348"/>
      <c r="C87" s="348"/>
      <c r="D87" s="348"/>
      <c r="E87" s="348"/>
      <c r="F87" s="348"/>
      <c r="G87" s="348"/>
      <c r="H87" s="348"/>
      <c r="I87" s="348"/>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row>
    <row r="88" spans="1:65" x14ac:dyDescent="0.2">
      <c r="A88" s="25"/>
      <c r="B88" s="348"/>
      <c r="C88" s="348"/>
      <c r="D88" s="348"/>
      <c r="E88" s="348"/>
      <c r="F88" s="348"/>
      <c r="G88" s="348"/>
      <c r="H88" s="348"/>
      <c r="I88" s="348"/>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row>
    <row r="90" spans="1:65" ht="19" x14ac:dyDescent="0.25">
      <c r="A90" s="22" t="s">
        <v>12</v>
      </c>
      <c r="B90" s="26"/>
    </row>
    <row r="91" spans="1:65" ht="18" customHeight="1" x14ac:dyDescent="0.2">
      <c r="A91" s="25"/>
      <c r="B91" s="402" t="s">
        <v>417</v>
      </c>
      <c r="C91" s="348"/>
      <c r="D91" s="409" t="s">
        <v>482</v>
      </c>
      <c r="E91" s="379"/>
      <c r="F91" s="379"/>
      <c r="G91" s="379"/>
      <c r="H91" s="379"/>
      <c r="I91" s="379"/>
      <c r="J91" s="379"/>
      <c r="K91" s="155"/>
    </row>
    <row r="92" spans="1:65" x14ac:dyDescent="0.2">
      <c r="A92" s="25"/>
      <c r="B92" s="348"/>
      <c r="C92" s="348"/>
      <c r="D92" s="379"/>
      <c r="E92" s="379"/>
      <c r="F92" s="379"/>
      <c r="G92" s="379"/>
      <c r="H92" s="379"/>
      <c r="I92" s="379"/>
      <c r="J92" s="379"/>
      <c r="K92" s="155"/>
    </row>
    <row r="93" spans="1:65" x14ac:dyDescent="0.2">
      <c r="A93" s="25"/>
      <c r="B93" s="348"/>
      <c r="C93" s="348"/>
      <c r="D93" s="379"/>
      <c r="E93" s="379"/>
      <c r="F93" s="379"/>
      <c r="G93" s="379"/>
      <c r="H93" s="379"/>
      <c r="I93" s="379"/>
      <c r="J93" s="379"/>
      <c r="K93" s="155"/>
    </row>
    <row r="94" spans="1:65" x14ac:dyDescent="0.2">
      <c r="A94" s="25"/>
      <c r="B94" s="348"/>
      <c r="C94" s="348"/>
      <c r="D94" s="379"/>
      <c r="E94" s="379"/>
      <c r="F94" s="379"/>
      <c r="G94" s="379"/>
      <c r="H94" s="379"/>
      <c r="I94" s="379"/>
      <c r="J94" s="379"/>
      <c r="K94" s="155"/>
    </row>
    <row r="95" spans="1:65" x14ac:dyDescent="0.2">
      <c r="A95" s="25"/>
      <c r="B95" s="123"/>
      <c r="C95" s="123"/>
      <c r="D95" s="123"/>
      <c r="E95" s="123"/>
      <c r="F95" s="123"/>
      <c r="G95" s="123"/>
      <c r="H95" s="123"/>
      <c r="I95" s="123"/>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row>
    <row r="96" spans="1:65" ht="19" x14ac:dyDescent="0.25">
      <c r="A96" s="22" t="s">
        <v>1</v>
      </c>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row>
    <row r="97" spans="1:65" x14ac:dyDescent="0.2">
      <c r="A97" s="25"/>
      <c r="B97" s="100" t="s">
        <v>415</v>
      </c>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row>
    <row r="98" spans="1:65" x14ac:dyDescent="0.2">
      <c r="A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row>
  </sheetData>
  <mergeCells count="14">
    <mergeCell ref="B91:C94"/>
    <mergeCell ref="D91:J94"/>
    <mergeCell ref="B4:I6"/>
    <mergeCell ref="B10:C10"/>
    <mergeCell ref="B8:C8"/>
    <mergeCell ref="B9:C9"/>
    <mergeCell ref="B67:I67"/>
    <mergeCell ref="B61:I62"/>
    <mergeCell ref="B74:I83"/>
    <mergeCell ref="B86:I88"/>
    <mergeCell ref="B24:I25"/>
    <mergeCell ref="B30:I33"/>
    <mergeCell ref="B47:I48"/>
    <mergeCell ref="C69:G69"/>
  </mergeCells>
  <pageMargins left="0.7" right="0.7" top="0.75" bottom="0.75" header="0.3" footer="0.3"/>
  <pageSetup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88B1-3357-DC4C-A62A-E0AD10E4BCE3}">
  <dimension ref="A1:BM86"/>
  <sheetViews>
    <sheetView showGridLines="0" zoomScale="120" zoomScaleNormal="120" workbookViewId="0"/>
  </sheetViews>
  <sheetFormatPr baseColWidth="10" defaultColWidth="10.83203125" defaultRowHeight="16" x14ac:dyDescent="0.2"/>
  <cols>
    <col min="1" max="1" width="10.83203125" style="15"/>
    <col min="2" max="4" width="10.83203125" style="15" customWidth="1"/>
    <col min="5" max="5" width="10.83203125" style="15"/>
    <col min="6" max="7" width="10.83203125" style="15" customWidth="1"/>
    <col min="8" max="9" width="10.83203125" style="15"/>
    <col min="10" max="10" width="10.83203125" style="15" customWidth="1"/>
    <col min="11" max="16384" width="10.83203125" style="15"/>
  </cols>
  <sheetData>
    <row r="1" spans="1:49" ht="19" x14ac:dyDescent="0.25">
      <c r="A1" s="11" t="s">
        <v>402</v>
      </c>
      <c r="B1" s="12"/>
      <c r="C1" s="12"/>
      <c r="D1" s="12"/>
      <c r="E1" s="12"/>
      <c r="F1" s="12"/>
      <c r="G1" s="12"/>
      <c r="H1" s="12"/>
      <c r="I1" s="12"/>
      <c r="J1" s="13"/>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2">
      <c r="A2" s="9"/>
      <c r="B2" s="12"/>
      <c r="C2" s="12"/>
      <c r="D2" s="12"/>
      <c r="E2" s="12"/>
      <c r="F2" s="12"/>
      <c r="G2" s="12"/>
      <c r="H2" s="12"/>
      <c r="I2" s="12"/>
      <c r="J2" s="13"/>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2">
      <c r="A3" s="5"/>
      <c r="B3" s="16" t="s">
        <v>11</v>
      </c>
      <c r="C3" s="12"/>
      <c r="D3" s="12"/>
      <c r="E3" s="12"/>
      <c r="F3" s="12"/>
      <c r="G3" s="12"/>
      <c r="H3" s="12"/>
      <c r="I3" s="12"/>
      <c r="J3" s="1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ht="16" customHeight="1" x14ac:dyDescent="0.2">
      <c r="A4" s="5"/>
      <c r="B4" s="416" t="s">
        <v>483</v>
      </c>
      <c r="C4" s="363"/>
      <c r="D4" s="363"/>
      <c r="E4" s="363"/>
      <c r="F4" s="363"/>
      <c r="G4" s="363"/>
      <c r="H4" s="363"/>
      <c r="I4" s="363"/>
      <c r="J4" s="13"/>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ht="16" customHeight="1" x14ac:dyDescent="0.2">
      <c r="A5" s="5"/>
      <c r="B5" s="363"/>
      <c r="C5" s="363"/>
      <c r="D5" s="363"/>
      <c r="E5" s="363"/>
      <c r="F5" s="363"/>
      <c r="G5" s="363"/>
      <c r="H5" s="363"/>
      <c r="I5" s="363"/>
      <c r="J5" s="13"/>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49" ht="16" customHeight="1" x14ac:dyDescent="0.2">
      <c r="A6" s="5"/>
      <c r="B6" s="363"/>
      <c r="C6" s="363"/>
      <c r="D6" s="363"/>
      <c r="E6" s="363"/>
      <c r="F6" s="363"/>
      <c r="G6" s="363"/>
      <c r="H6" s="363"/>
      <c r="I6" s="363"/>
      <c r="J6" s="13"/>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1:49" x14ac:dyDescent="0.2">
      <c r="A7" s="5"/>
      <c r="B7" s="12"/>
      <c r="C7" s="12"/>
      <c r="D7" s="12"/>
      <c r="E7" s="12"/>
      <c r="F7" s="12"/>
      <c r="G7" s="12"/>
      <c r="H7" s="12"/>
      <c r="I7" s="12"/>
      <c r="J7" s="13"/>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row>
    <row r="8" spans="1:49" x14ac:dyDescent="0.2">
      <c r="A8" s="5"/>
      <c r="B8" s="12"/>
      <c r="C8" s="298" t="s">
        <v>401</v>
      </c>
      <c r="D8" s="341" t="s">
        <v>386</v>
      </c>
      <c r="E8" s="12"/>
      <c r="F8" s="428" t="s">
        <v>411</v>
      </c>
      <c r="G8" s="430" t="s">
        <v>409</v>
      </c>
      <c r="H8" s="303"/>
      <c r="I8" s="12"/>
      <c r="J8" s="13"/>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row>
    <row r="9" spans="1:49" ht="16" customHeight="1" x14ac:dyDescent="0.2">
      <c r="A9" s="5"/>
      <c r="B9" s="12"/>
      <c r="C9" s="127" t="s">
        <v>393</v>
      </c>
      <c r="D9" s="284" t="s">
        <v>387</v>
      </c>
      <c r="E9" s="12"/>
      <c r="F9" s="429"/>
      <c r="G9" s="431"/>
      <c r="H9" s="303"/>
      <c r="I9" s="12"/>
      <c r="J9" s="13"/>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row>
    <row r="10" spans="1:49" x14ac:dyDescent="0.2">
      <c r="A10" s="5"/>
      <c r="B10" s="12"/>
      <c r="C10" s="126" t="s">
        <v>388</v>
      </c>
      <c r="D10" s="182">
        <v>18500</v>
      </c>
      <c r="E10" s="12"/>
      <c r="F10" s="299" t="s">
        <v>394</v>
      </c>
      <c r="G10" s="300">
        <v>211731</v>
      </c>
      <c r="H10" s="157"/>
      <c r="I10" s="12"/>
      <c r="J10" s="13"/>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row>
    <row r="11" spans="1:49" x14ac:dyDescent="0.2">
      <c r="A11" s="5"/>
      <c r="B11" s="12"/>
      <c r="C11" s="126" t="s">
        <v>390</v>
      </c>
      <c r="D11" s="182">
        <v>42000</v>
      </c>
      <c r="E11" s="12"/>
      <c r="F11" s="299" t="s">
        <v>395</v>
      </c>
      <c r="G11" s="300">
        <v>208346</v>
      </c>
      <c r="H11" s="157"/>
      <c r="I11" s="12"/>
      <c r="J11" s="13"/>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row>
    <row r="12" spans="1:49" x14ac:dyDescent="0.2">
      <c r="A12" s="5"/>
      <c r="B12" s="12"/>
      <c r="C12" s="126" t="s">
        <v>389</v>
      </c>
      <c r="D12" s="182">
        <v>195000</v>
      </c>
      <c r="E12" s="12"/>
      <c r="F12" s="299" t="s">
        <v>396</v>
      </c>
      <c r="G12" s="300">
        <v>84541</v>
      </c>
      <c r="H12" s="157"/>
      <c r="I12" s="12"/>
      <c r="J12" s="13"/>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row>
    <row r="13" spans="1:49" x14ac:dyDescent="0.2">
      <c r="A13" s="5"/>
      <c r="B13" s="12"/>
      <c r="C13" s="127" t="s">
        <v>391</v>
      </c>
      <c r="D13" s="185">
        <v>71000</v>
      </c>
      <c r="E13" s="12"/>
      <c r="F13" s="301" t="s">
        <v>397</v>
      </c>
      <c r="G13" s="302">
        <v>200328</v>
      </c>
      <c r="H13" s="157"/>
      <c r="I13" s="12"/>
      <c r="J13" s="13"/>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row>
    <row r="14" spans="1:49" x14ac:dyDescent="0.2">
      <c r="A14" s="5"/>
      <c r="B14" s="12"/>
      <c r="C14" s="127" t="s">
        <v>133</v>
      </c>
      <c r="D14" s="209">
        <f t="shared" ref="D14" si="0">SUM(D10:D13)</f>
        <v>326500</v>
      </c>
      <c r="E14" s="12"/>
      <c r="F14" s="301" t="s">
        <v>398</v>
      </c>
      <c r="G14" s="185">
        <v>212538</v>
      </c>
      <c r="H14" s="6"/>
      <c r="I14" s="12"/>
      <c r="J14" s="13"/>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49" x14ac:dyDescent="0.2">
      <c r="A15" s="5"/>
      <c r="B15" s="12"/>
      <c r="C15" s="6"/>
      <c r="D15" s="6"/>
      <c r="E15" s="6"/>
      <c r="F15" s="288"/>
      <c r="G15" s="79"/>
      <c r="H15" s="12"/>
      <c r="I15" s="12"/>
      <c r="J15" s="13"/>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49" x14ac:dyDescent="0.2">
      <c r="A16" s="5"/>
      <c r="B16" s="12"/>
      <c r="C16" s="6"/>
      <c r="D16" s="7"/>
      <c r="E16" s="6"/>
      <c r="F16" s="12"/>
      <c r="G16" s="12"/>
      <c r="H16" s="12"/>
      <c r="I16" s="12"/>
      <c r="J16" s="13"/>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ht="16" customHeight="1" x14ac:dyDescent="0.2">
      <c r="A17" s="5"/>
      <c r="B17" s="367" t="s">
        <v>392</v>
      </c>
      <c r="C17" s="367"/>
      <c r="D17" s="367"/>
      <c r="E17" s="367"/>
      <c r="F17" s="367"/>
      <c r="G17" s="367"/>
      <c r="H17" s="367"/>
      <c r="I17" s="367"/>
      <c r="J17" s="13"/>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ht="17" thickBot="1" x14ac:dyDescent="0.25">
      <c r="A18" s="4"/>
      <c r="B18" s="19"/>
      <c r="C18" s="20"/>
      <c r="D18" s="20"/>
      <c r="E18" s="20"/>
      <c r="F18" s="19"/>
      <c r="G18" s="19"/>
      <c r="H18" s="19"/>
      <c r="I18" s="19"/>
      <c r="J18" s="21"/>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49" x14ac:dyDescent="0.2">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49" ht="19" x14ac:dyDescent="0.25">
      <c r="A20" s="22" t="s">
        <v>8</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49" ht="16" customHeight="1" x14ac:dyDescent="0.2">
      <c r="A21" s="1" t="s">
        <v>7</v>
      </c>
      <c r="B21" s="364" t="s">
        <v>410</v>
      </c>
      <c r="C21" s="364"/>
      <c r="D21" s="364"/>
      <c r="E21" s="364"/>
      <c r="F21" s="364"/>
      <c r="G21" s="364"/>
      <c r="H21" s="364"/>
      <c r="I21" s="36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ht="16" customHeight="1" x14ac:dyDescent="0.2">
      <c r="A22" s="1"/>
      <c r="B22" s="364"/>
      <c r="C22" s="364"/>
      <c r="D22" s="364"/>
      <c r="E22" s="364"/>
      <c r="F22" s="364"/>
      <c r="G22" s="364"/>
      <c r="H22" s="364"/>
      <c r="I22" s="36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ht="16" customHeight="1" x14ac:dyDescent="0.2">
      <c r="A23" s="1"/>
      <c r="B23" s="364"/>
      <c r="C23" s="364"/>
      <c r="D23" s="364"/>
      <c r="E23" s="364"/>
      <c r="F23" s="364"/>
      <c r="G23" s="364"/>
      <c r="H23" s="364"/>
      <c r="I23" s="36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ht="16" customHeight="1" x14ac:dyDescent="0.2">
      <c r="A24" s="1"/>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49" ht="16" customHeight="1" x14ac:dyDescent="0.2">
      <c r="A25" s="1"/>
      <c r="B25" s="14"/>
      <c r="C25" s="14"/>
      <c r="D25" s="14"/>
      <c r="E25" s="14"/>
      <c r="F25" s="3"/>
      <c r="G25" s="3"/>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ht="16" customHeight="1" x14ac:dyDescent="0.2">
      <c r="A26" s="1"/>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ht="16" customHeight="1" x14ac:dyDescent="0.2">
      <c r="A27" s="1"/>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ht="16" customHeight="1" x14ac:dyDescent="0.2">
      <c r="A28" s="1" t="s">
        <v>6</v>
      </c>
      <c r="B28" s="364" t="s">
        <v>403</v>
      </c>
      <c r="C28" s="364"/>
      <c r="D28" s="364"/>
      <c r="E28" s="364"/>
      <c r="F28" s="364"/>
      <c r="G28" s="364"/>
      <c r="H28" s="364"/>
      <c r="I28" s="36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ht="16" customHeight="1" x14ac:dyDescent="0.2">
      <c r="A29" s="1"/>
      <c r="B29" s="364"/>
      <c r="C29" s="364"/>
      <c r="D29" s="364"/>
      <c r="E29" s="364"/>
      <c r="F29" s="364"/>
      <c r="G29" s="364"/>
      <c r="H29" s="364"/>
      <c r="I29" s="36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ht="16" customHeight="1" x14ac:dyDescent="0.2">
      <c r="A30" s="1"/>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1:49" ht="16" customHeight="1" x14ac:dyDescent="0.2">
      <c r="A31" s="1"/>
      <c r="B31" s="14"/>
      <c r="C31" s="14"/>
      <c r="D31" s="14"/>
      <c r="E31" s="14"/>
      <c r="F31" s="3"/>
      <c r="G31" s="3"/>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ht="16" customHeight="1" x14ac:dyDescent="0.2">
      <c r="A32" s="1"/>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ht="16" customHeight="1" x14ac:dyDescent="0.2">
      <c r="A33" s="1"/>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ht="16" customHeight="1" x14ac:dyDescent="0.2">
      <c r="A34" s="1"/>
      <c r="B34" s="14"/>
      <c r="C34" s="162"/>
      <c r="D34" s="115" t="s">
        <v>406</v>
      </c>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row>
    <row r="35" spans="1:49" ht="16" customHeight="1" x14ac:dyDescent="0.2">
      <c r="A35" s="1"/>
      <c r="B35" s="14"/>
      <c r="C35" s="279" t="s">
        <v>405</v>
      </c>
      <c r="D35" s="342" t="s">
        <v>407</v>
      </c>
      <c r="E35" s="278" t="s">
        <v>385</v>
      </c>
      <c r="F35" s="278" t="s">
        <v>399</v>
      </c>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ht="16" customHeight="1" x14ac:dyDescent="0.2">
      <c r="A36" s="1"/>
      <c r="B36" s="14"/>
      <c r="C36" s="289" t="s">
        <v>388</v>
      </c>
      <c r="D36" s="296">
        <f>G10</f>
        <v>211731</v>
      </c>
      <c r="E36" s="290">
        <f>$D$40-D36</f>
        <v>807</v>
      </c>
      <c r="F36" s="290">
        <f>$D$40*E36/$E$40</f>
        <v>1181.2057766208009</v>
      </c>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ht="16" customHeight="1" x14ac:dyDescent="0.2">
      <c r="A37" s="1"/>
      <c r="B37" s="14"/>
      <c r="C37" s="289" t="s">
        <v>390</v>
      </c>
      <c r="D37" s="296">
        <f>G11</f>
        <v>208346</v>
      </c>
      <c r="E37" s="290">
        <f>$D$40-D37</f>
        <v>4192</v>
      </c>
      <c r="F37" s="290">
        <f>$D$40*E37/$E$40</f>
        <v>6135.8297591008632</v>
      </c>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49" ht="16" customHeight="1" x14ac:dyDescent="0.2">
      <c r="A38" s="1"/>
      <c r="B38" s="14"/>
      <c r="C38" s="289" t="s">
        <v>389</v>
      </c>
      <c r="D38" s="296">
        <f>G12</f>
        <v>84541</v>
      </c>
      <c r="E38" s="290">
        <f>$D$40-D38</f>
        <v>127997</v>
      </c>
      <c r="F38" s="290">
        <f>$D$40*E38/$E$40</f>
        <v>187349.18933101938</v>
      </c>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ht="16" customHeight="1" x14ac:dyDescent="0.2">
      <c r="A39" s="1"/>
      <c r="B39" s="14"/>
      <c r="C39" s="279" t="s">
        <v>391</v>
      </c>
      <c r="D39" s="278">
        <f>G13</f>
        <v>200328</v>
      </c>
      <c r="E39" s="291">
        <f>$D$40-D39</f>
        <v>12210</v>
      </c>
      <c r="F39" s="291">
        <f t="shared" ref="F39:F40" si="1">$D$40*E39/$E$40</f>
        <v>17871.775133258958</v>
      </c>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ht="16" customHeight="1" x14ac:dyDescent="0.2">
      <c r="A40" s="1"/>
      <c r="B40" s="14"/>
      <c r="C40" s="289" t="s">
        <v>133</v>
      </c>
      <c r="D40" s="296">
        <f>G14</f>
        <v>212538</v>
      </c>
      <c r="E40" s="296">
        <f>SUM(E36:E39)</f>
        <v>145206</v>
      </c>
      <c r="F40" s="290">
        <f t="shared" si="1"/>
        <v>212538</v>
      </c>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49" ht="16" customHeight="1" x14ac:dyDescent="0.2">
      <c r="A41" s="1"/>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ht="16" customHeight="1" x14ac:dyDescent="0.2">
      <c r="A42" s="1" t="s">
        <v>5</v>
      </c>
      <c r="B42" s="364" t="s">
        <v>404</v>
      </c>
      <c r="C42" s="364"/>
      <c r="D42" s="364"/>
      <c r="E42" s="364"/>
      <c r="F42" s="364"/>
      <c r="G42" s="364"/>
      <c r="H42" s="364"/>
      <c r="I42" s="36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ht="16" customHeight="1" x14ac:dyDescent="0.2">
      <c r="A43" s="1"/>
      <c r="B43" s="364"/>
      <c r="C43" s="364"/>
      <c r="D43" s="364"/>
      <c r="E43" s="364"/>
      <c r="F43" s="364"/>
      <c r="G43" s="364"/>
      <c r="H43" s="364"/>
      <c r="I43" s="36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ht="16" customHeight="1" x14ac:dyDescent="0.2">
      <c r="A44" s="1"/>
      <c r="B44" s="76"/>
      <c r="C44" s="76"/>
      <c r="D44" s="76"/>
      <c r="E44" s="76"/>
      <c r="F44" s="76"/>
      <c r="G44" s="76"/>
      <c r="H44" s="76"/>
      <c r="I44" s="76"/>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ht="16" customHeight="1" x14ac:dyDescent="0.2">
      <c r="A45" s="1"/>
      <c r="B45" s="14"/>
      <c r="C45" s="14"/>
      <c r="D45" s="14"/>
      <c r="E45" s="14"/>
      <c r="F45" s="14"/>
      <c r="G45" s="14"/>
      <c r="H45" s="14"/>
      <c r="I45" s="2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ht="16" customHeight="1" x14ac:dyDescent="0.2">
      <c r="A46" s="1"/>
      <c r="B46" s="14"/>
      <c r="C46" s="14"/>
      <c r="D46" s="14"/>
      <c r="E46" s="14"/>
      <c r="F46" s="3"/>
      <c r="G46" s="3"/>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ht="16" customHeight="1" x14ac:dyDescent="0.2">
      <c r="A47" s="1"/>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ht="16" customHeight="1" x14ac:dyDescent="0.2">
      <c r="A48" s="1"/>
      <c r="B48" s="14"/>
      <c r="C48" s="279" t="s">
        <v>384</v>
      </c>
      <c r="D48" s="278" t="s">
        <v>399</v>
      </c>
      <c r="E48" s="279" t="s">
        <v>386</v>
      </c>
      <c r="F48" s="278" t="s">
        <v>400</v>
      </c>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row>
    <row r="49" spans="1:49" ht="16" customHeight="1" x14ac:dyDescent="0.2">
      <c r="A49" s="1"/>
      <c r="B49" s="14"/>
      <c r="C49" s="289" t="s">
        <v>388</v>
      </c>
      <c r="D49" s="290">
        <f>F36</f>
        <v>1181.2057766208009</v>
      </c>
      <c r="E49" s="294">
        <f>D10</f>
        <v>18500</v>
      </c>
      <c r="F49" s="292">
        <f>1-D49/E49</f>
        <v>0.93615103910157837</v>
      </c>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row>
    <row r="50" spans="1:49" ht="16" customHeight="1" x14ac:dyDescent="0.2">
      <c r="A50" s="1"/>
      <c r="B50" s="14"/>
      <c r="C50" s="289" t="s">
        <v>390</v>
      </c>
      <c r="D50" s="290">
        <f>F37</f>
        <v>6135.8297591008632</v>
      </c>
      <c r="E50" s="294">
        <f>D11</f>
        <v>42000</v>
      </c>
      <c r="F50" s="292">
        <f t="shared" ref="F50:F53" si="2">1-D50/E50</f>
        <v>0.85390881525950324</v>
      </c>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row>
    <row r="51" spans="1:49" ht="16" customHeight="1" x14ac:dyDescent="0.2">
      <c r="A51" s="1"/>
      <c r="B51" s="14"/>
      <c r="C51" s="289" t="s">
        <v>389</v>
      </c>
      <c r="D51" s="290">
        <f>F38</f>
        <v>187349.18933101938</v>
      </c>
      <c r="E51" s="294">
        <f>D12</f>
        <v>195000</v>
      </c>
      <c r="F51" s="292">
        <f>1-D51/E51</f>
        <v>3.923492650759286E-2</v>
      </c>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row>
    <row r="52" spans="1:49" ht="16" customHeight="1" x14ac:dyDescent="0.2">
      <c r="A52" s="1"/>
      <c r="B52" s="14"/>
      <c r="C52" s="279" t="s">
        <v>391</v>
      </c>
      <c r="D52" s="291">
        <f>F39</f>
        <v>17871.775133258958</v>
      </c>
      <c r="E52" s="295">
        <f>D13</f>
        <v>71000</v>
      </c>
      <c r="F52" s="293">
        <f t="shared" si="2"/>
        <v>0.74828485727804284</v>
      </c>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row>
    <row r="53" spans="1:49" ht="16" customHeight="1" x14ac:dyDescent="0.2">
      <c r="A53" s="1"/>
      <c r="B53" s="14"/>
      <c r="C53" s="289" t="s">
        <v>133</v>
      </c>
      <c r="D53" s="296">
        <f>F40</f>
        <v>212538</v>
      </c>
      <c r="E53" s="289">
        <f>D14</f>
        <v>326500</v>
      </c>
      <c r="F53" s="297">
        <f t="shared" si="2"/>
        <v>0.34904134762633998</v>
      </c>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row>
    <row r="54" spans="1:49" ht="16" customHeight="1" x14ac:dyDescent="0.2">
      <c r="A54" s="1"/>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ht="16" customHeight="1" x14ac:dyDescent="0.2">
      <c r="A55" s="1"/>
      <c r="B55" s="24" t="s">
        <v>53</v>
      </c>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ht="16" customHeight="1" x14ac:dyDescent="0.2">
      <c r="A56" s="1"/>
      <c r="B56" s="402" t="s">
        <v>465</v>
      </c>
      <c r="C56" s="348"/>
      <c r="D56" s="348"/>
      <c r="E56" s="348"/>
      <c r="F56" s="348"/>
      <c r="G56" s="348"/>
      <c r="H56" s="348"/>
      <c r="I56" s="348"/>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49" ht="16" customHeight="1" x14ac:dyDescent="0.2">
      <c r="A57" s="1"/>
      <c r="B57" s="348"/>
      <c r="C57" s="348"/>
      <c r="D57" s="348"/>
      <c r="E57" s="348"/>
      <c r="F57" s="348"/>
      <c r="G57" s="348"/>
      <c r="H57" s="348"/>
      <c r="I57" s="348"/>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49" ht="16" customHeight="1" x14ac:dyDescent="0.2">
      <c r="A58" s="1"/>
      <c r="B58" s="100"/>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49" ht="19" x14ac:dyDescent="0.25">
      <c r="A59" s="22" t="s">
        <v>2</v>
      </c>
      <c r="B59" s="14"/>
      <c r="C59" s="14"/>
      <c r="D59" s="14"/>
      <c r="E59" s="14"/>
      <c r="F59" s="14"/>
      <c r="G59" s="14"/>
      <c r="H59" s="14"/>
      <c r="I59" s="14"/>
      <c r="J59" s="14"/>
      <c r="K59" s="14"/>
      <c r="L59" s="25"/>
      <c r="M59" s="25"/>
      <c r="N59" s="25"/>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49" ht="16" customHeight="1" x14ac:dyDescent="0.25">
      <c r="A60" s="22"/>
      <c r="B60" s="432" t="s">
        <v>488</v>
      </c>
      <c r="C60" s="380"/>
      <c r="D60" s="380"/>
      <c r="E60" s="380"/>
      <c r="F60" s="380"/>
      <c r="G60" s="380"/>
      <c r="H60" s="380"/>
      <c r="I60" s="380"/>
      <c r="J60" s="14"/>
      <c r="K60" s="14"/>
      <c r="L60" s="25"/>
      <c r="M60" s="25"/>
      <c r="N60" s="25"/>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row>
    <row r="61" spans="1:49" ht="16" customHeight="1" x14ac:dyDescent="0.25">
      <c r="A61" s="22"/>
      <c r="B61" s="380"/>
      <c r="C61" s="380"/>
      <c r="D61" s="380"/>
      <c r="E61" s="380"/>
      <c r="F61" s="380"/>
      <c r="G61" s="380"/>
      <c r="H61" s="380"/>
      <c r="I61" s="380"/>
      <c r="J61" s="14"/>
      <c r="K61" s="14"/>
      <c r="L61" s="25"/>
      <c r="M61" s="25"/>
      <c r="N61" s="25"/>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49" ht="16" customHeight="1" x14ac:dyDescent="0.25">
      <c r="A62" s="22"/>
      <c r="B62" s="380"/>
      <c r="C62" s="380"/>
      <c r="D62" s="380"/>
      <c r="E62" s="380"/>
      <c r="F62" s="380"/>
      <c r="G62" s="380"/>
      <c r="H62" s="380"/>
      <c r="I62" s="380"/>
      <c r="J62" s="14"/>
      <c r="K62" s="14"/>
      <c r="L62" s="25"/>
      <c r="M62" s="25"/>
      <c r="N62" s="25"/>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49" ht="16" customHeight="1" x14ac:dyDescent="0.25">
      <c r="A63" s="22"/>
      <c r="B63" s="380"/>
      <c r="C63" s="380"/>
      <c r="D63" s="380"/>
      <c r="E63" s="380"/>
      <c r="F63" s="380"/>
      <c r="G63" s="380"/>
      <c r="H63" s="380"/>
      <c r="I63" s="380"/>
      <c r="J63" s="14"/>
      <c r="K63" s="14"/>
      <c r="L63" s="25"/>
      <c r="M63" s="25"/>
      <c r="N63" s="25"/>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row>
    <row r="64" spans="1:49" ht="16" customHeight="1" x14ac:dyDescent="0.25">
      <c r="A64" s="22"/>
      <c r="B64" s="380"/>
      <c r="C64" s="380"/>
      <c r="D64" s="380"/>
      <c r="E64" s="380"/>
      <c r="F64" s="380"/>
      <c r="G64" s="380"/>
      <c r="H64" s="380"/>
      <c r="I64" s="380"/>
      <c r="J64" s="14"/>
      <c r="K64" s="14"/>
      <c r="L64" s="25"/>
      <c r="M64" s="25"/>
      <c r="N64" s="25"/>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65" ht="16" customHeight="1" x14ac:dyDescent="0.25">
      <c r="A65" s="22"/>
      <c r="B65" s="380"/>
      <c r="C65" s="380"/>
      <c r="D65" s="380"/>
      <c r="E65" s="380"/>
      <c r="F65" s="380"/>
      <c r="G65" s="380"/>
      <c r="H65" s="380"/>
      <c r="I65" s="380"/>
      <c r="J65" s="14"/>
      <c r="K65" s="14"/>
      <c r="L65" s="25"/>
      <c r="M65" s="25"/>
      <c r="N65" s="25"/>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65" ht="16" customHeight="1" x14ac:dyDescent="0.25">
      <c r="A66" s="22"/>
      <c r="B66" s="380"/>
      <c r="C66" s="380"/>
      <c r="D66" s="380"/>
      <c r="E66" s="380"/>
      <c r="F66" s="380"/>
      <c r="G66" s="380"/>
      <c r="H66" s="380"/>
      <c r="I66" s="380"/>
      <c r="J66" s="14"/>
      <c r="K66" s="14"/>
      <c r="L66" s="25"/>
      <c r="M66" s="25"/>
      <c r="N66" s="25"/>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65" ht="16" customHeight="1" x14ac:dyDescent="0.25">
      <c r="A67" s="22"/>
      <c r="B67" s="380"/>
      <c r="C67" s="380"/>
      <c r="D67" s="380"/>
      <c r="E67" s="380"/>
      <c r="F67" s="380"/>
      <c r="G67" s="380"/>
      <c r="H67" s="380"/>
      <c r="I67" s="380"/>
      <c r="J67" s="14"/>
      <c r="K67" s="14"/>
      <c r="L67" s="25"/>
      <c r="M67" s="25"/>
      <c r="N67" s="25"/>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row>
    <row r="68" spans="1:65" ht="16" customHeight="1" x14ac:dyDescent="0.25">
      <c r="A68" s="22"/>
      <c r="B68" s="380"/>
      <c r="C68" s="380"/>
      <c r="D68" s="380"/>
      <c r="E68" s="380"/>
      <c r="F68" s="380"/>
      <c r="G68" s="380"/>
      <c r="H68" s="380"/>
      <c r="I68" s="380"/>
      <c r="J68" s="14"/>
      <c r="K68" s="14"/>
      <c r="L68" s="25"/>
      <c r="M68" s="25"/>
      <c r="N68" s="25"/>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row>
    <row r="69" spans="1:65" ht="16" customHeight="1" x14ac:dyDescent="0.25">
      <c r="A69" s="22"/>
      <c r="B69" s="380"/>
      <c r="C69" s="380"/>
      <c r="D69" s="380"/>
      <c r="E69" s="380"/>
      <c r="F69" s="380"/>
      <c r="G69" s="380"/>
      <c r="H69" s="380"/>
      <c r="I69" s="380"/>
      <c r="J69" s="14"/>
      <c r="K69" s="14"/>
      <c r="L69" s="25"/>
      <c r="M69" s="25"/>
      <c r="N69" s="25"/>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row>
    <row r="70" spans="1:65" ht="16" customHeight="1" x14ac:dyDescent="0.25">
      <c r="A70" s="22"/>
      <c r="B70" s="380"/>
      <c r="C70" s="380"/>
      <c r="D70" s="380"/>
      <c r="E70" s="380"/>
      <c r="F70" s="380"/>
      <c r="G70" s="380"/>
      <c r="H70" s="380"/>
      <c r="I70" s="380"/>
      <c r="J70" s="14"/>
      <c r="K70" s="14"/>
      <c r="L70" s="25"/>
      <c r="M70" s="25"/>
      <c r="N70" s="25"/>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row>
    <row r="71" spans="1:65" x14ac:dyDescent="0.2">
      <c r="A71" s="25"/>
      <c r="B71" s="10"/>
      <c r="C71" s="10"/>
      <c r="D71" s="10"/>
      <c r="E71" s="10"/>
      <c r="F71" s="10"/>
      <c r="G71" s="10"/>
      <c r="H71" s="10"/>
      <c r="I71" s="10"/>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row>
    <row r="72" spans="1:65" s="27" customFormat="1" ht="19" x14ac:dyDescent="0.25">
      <c r="A72" s="22" t="s">
        <v>12</v>
      </c>
      <c r="B72" s="26"/>
    </row>
    <row r="73" spans="1:65" s="27" customFormat="1" ht="16" customHeight="1" x14ac:dyDescent="0.2">
      <c r="A73" s="25"/>
      <c r="B73" s="348" t="s">
        <v>408</v>
      </c>
      <c r="C73" s="377"/>
      <c r="D73" s="409" t="s">
        <v>484</v>
      </c>
      <c r="E73" s="391"/>
      <c r="F73" s="391"/>
      <c r="G73" s="391"/>
      <c r="H73" s="391"/>
      <c r="I73" s="391"/>
      <c r="J73" s="391"/>
      <c r="K73" s="28"/>
    </row>
    <row r="74" spans="1:65" s="27" customFormat="1" x14ac:dyDescent="0.2">
      <c r="A74" s="25"/>
      <c r="B74" s="377"/>
      <c r="C74" s="377"/>
      <c r="D74" s="391"/>
      <c r="E74" s="391"/>
      <c r="F74" s="391"/>
      <c r="G74" s="391"/>
      <c r="H74" s="391"/>
      <c r="I74" s="391"/>
      <c r="J74" s="391"/>
      <c r="K74" s="28"/>
    </row>
    <row r="75" spans="1:65" s="27" customFormat="1" x14ac:dyDescent="0.2">
      <c r="A75" s="25"/>
      <c r="B75" s="377"/>
      <c r="C75" s="377"/>
      <c r="D75" s="391"/>
      <c r="E75" s="391"/>
      <c r="F75" s="391"/>
      <c r="G75" s="391"/>
      <c r="H75" s="391"/>
      <c r="I75" s="391"/>
      <c r="J75" s="391"/>
      <c r="K75" s="28"/>
    </row>
    <row r="76" spans="1:65" s="27" customFormat="1" x14ac:dyDescent="0.2">
      <c r="A76" s="25"/>
      <c r="B76" s="377"/>
      <c r="C76" s="377"/>
      <c r="D76" s="391"/>
      <c r="E76" s="391"/>
      <c r="F76" s="391"/>
      <c r="G76" s="391"/>
      <c r="H76" s="391"/>
      <c r="I76" s="391"/>
      <c r="J76" s="391"/>
      <c r="K76" s="28"/>
    </row>
    <row r="77" spans="1:65" x14ac:dyDescent="0.2">
      <c r="A77" s="25"/>
      <c r="B77" s="10"/>
      <c r="C77" s="10"/>
      <c r="D77" s="10"/>
      <c r="E77" s="10"/>
      <c r="F77" s="10"/>
      <c r="G77" s="10"/>
      <c r="H77" s="10"/>
      <c r="I77" s="10"/>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row>
    <row r="78" spans="1:65" ht="19" x14ac:dyDescent="0.25">
      <c r="A78" s="22" t="s">
        <v>1</v>
      </c>
      <c r="B78" s="14"/>
      <c r="C78" s="14"/>
      <c r="D78" s="14"/>
      <c r="E78" s="14"/>
      <c r="F78" s="14"/>
      <c r="G78" s="14"/>
      <c r="H78" s="14"/>
      <c r="I78" s="14"/>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row>
    <row r="79" spans="1:65" x14ac:dyDescent="0.2">
      <c r="A79" s="25"/>
      <c r="B79" s="339" t="s">
        <v>464</v>
      </c>
      <c r="C79" s="14"/>
      <c r="D79" s="14"/>
      <c r="E79" s="14"/>
      <c r="F79" s="14"/>
      <c r="G79" s="14"/>
      <c r="H79" s="14"/>
      <c r="I79" s="14"/>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row>
    <row r="80" spans="1:65" x14ac:dyDescent="0.2">
      <c r="A80" s="25"/>
      <c r="B80" s="14"/>
      <c r="C80" s="14"/>
      <c r="D80" s="14"/>
      <c r="E80" s="14"/>
      <c r="F80" s="14"/>
      <c r="G80" s="14"/>
      <c r="H80" s="14"/>
      <c r="I80" s="14"/>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row>
    <row r="81" spans="1:65" x14ac:dyDescent="0.2">
      <c r="A81" s="25"/>
      <c r="B81" s="14"/>
      <c r="C81" s="14"/>
      <c r="D81" s="14"/>
      <c r="E81" s="14"/>
      <c r="F81" s="14"/>
      <c r="G81" s="14"/>
      <c r="H81" s="14"/>
      <c r="I81" s="14"/>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row>
    <row r="82" spans="1:65" x14ac:dyDescent="0.2">
      <c r="A82" s="25"/>
      <c r="B82" s="14"/>
      <c r="C82" s="14"/>
      <c r="D82" s="14"/>
      <c r="E82" s="14"/>
      <c r="F82" s="14"/>
      <c r="G82" s="14"/>
      <c r="H82" s="14"/>
      <c r="I82" s="14"/>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row>
    <row r="83" spans="1:65" x14ac:dyDescent="0.2">
      <c r="A83" s="25"/>
      <c r="B83" s="14"/>
      <c r="C83" s="14"/>
      <c r="D83" s="14"/>
      <c r="E83" s="14"/>
      <c r="F83" s="14"/>
      <c r="G83" s="14"/>
      <c r="H83" s="14"/>
      <c r="I83" s="14"/>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row>
    <row r="84" spans="1:65" x14ac:dyDescent="0.2">
      <c r="A84" s="25"/>
      <c r="B84" s="14"/>
      <c r="C84" s="14"/>
      <c r="D84" s="14"/>
      <c r="E84" s="14"/>
      <c r="F84" s="14"/>
      <c r="G84" s="14"/>
      <c r="H84" s="14"/>
      <c r="I84" s="14"/>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row>
    <row r="85" spans="1:65" x14ac:dyDescent="0.2">
      <c r="A85" s="25"/>
      <c r="B85" s="14"/>
      <c r="C85" s="14"/>
      <c r="D85" s="14"/>
      <c r="E85" s="14"/>
      <c r="F85" s="14"/>
      <c r="G85" s="14"/>
      <c r="H85" s="14"/>
      <c r="I85" s="14"/>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row>
    <row r="86" spans="1:65" x14ac:dyDescent="0.2">
      <c r="A86" s="25"/>
      <c r="B86" s="14"/>
      <c r="C86" s="14"/>
      <c r="D86" s="14"/>
      <c r="E86" s="14"/>
      <c r="F86" s="14"/>
      <c r="G86" s="14"/>
      <c r="H86" s="14"/>
      <c r="I86" s="14"/>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row>
  </sheetData>
  <mergeCells count="11">
    <mergeCell ref="B4:I6"/>
    <mergeCell ref="F8:F9"/>
    <mergeCell ref="G8:G9"/>
    <mergeCell ref="B56:I57"/>
    <mergeCell ref="B73:C76"/>
    <mergeCell ref="D73:J76"/>
    <mergeCell ref="B17:I17"/>
    <mergeCell ref="B21:I23"/>
    <mergeCell ref="B28:I29"/>
    <mergeCell ref="B42:I43"/>
    <mergeCell ref="B60:I70"/>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p-p and Histogram</vt:lpstr>
      <vt:lpstr>Interpret p-p Plots</vt:lpstr>
      <vt:lpstr>K-S Test</vt:lpstr>
      <vt:lpstr>CRC Model</vt:lpstr>
      <vt:lpstr>SCC Model</vt:lpstr>
      <vt:lpstr>CSR Model &amp; Residuals</vt:lpstr>
      <vt:lpstr>CAY Model</vt:lpstr>
      <vt:lpstr>IPI Model</vt:lpstr>
      <vt:lpstr>Predicted Percentile</vt:lpstr>
      <vt:lpstr>Prospective Diagnostics</vt:lpstr>
      <vt:lpstr>Best Estimate</vt:lpstr>
      <vt:lpstr>Risk Margin</vt:lpstr>
      <vt:lpstr>Diversification Credit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Rising Fellow</dc:creator>
  <cp:lastModifiedBy>Michael McPhail</cp:lastModifiedBy>
  <cp:lastPrinted>2026-05-27T21:36:39Z</cp:lastPrinted>
  <dcterms:created xsi:type="dcterms:W3CDTF">2023-09-08T15:25:02Z</dcterms:created>
  <dcterms:modified xsi:type="dcterms:W3CDTF">2026-09-03T13:25:57Z</dcterms:modified>
</cp:coreProperties>
</file>