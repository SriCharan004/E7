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mc:Choice>
  </mc:AlternateContent>
  <xr:revisionPtr revIDLastSave="0" documentId="13_ncr:1_{4034655E-7662-CD4F-BD47-6231752F78B5}" xr6:coauthVersionLast="47" xr6:coauthVersionMax="47" xr10:uidLastSave="{00000000-0000-0000-0000-000000000000}"/>
  <bookViews>
    <workbookView xWindow="460" yWindow="700" windowWidth="17900" windowHeight="20900" xr2:uid="{610E8BDB-7FE4-D648-8AAE-E00C0404A8B9}"/>
  </bookViews>
  <sheets>
    <sheet name="Proportional Reinsurance" sheetId="2" r:id="rId1"/>
    <sheet name="Excess Per Risk" sheetId="3" r:id="rId2"/>
    <sheet name="Excess Per Occurrence" sheetId="4" r:id="rId3"/>
    <sheet name="Aggregate Excess of Loss" sheetId="5" r:id="rId4"/>
    <sheet name="Ultimate Loss with CAT Adjust" sheetId="6" r:id="rId5"/>
    <sheet name="Projecting Ultimate Loss" sheetId="7" r:id="rId6"/>
    <sheet name="Currency Exchange Rate Changes"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0" i="6" l="1"/>
  <c r="F59" i="6"/>
  <c r="D58" i="6" l="1"/>
  <c r="G18" i="6"/>
  <c r="D59" i="6" s="1"/>
  <c r="F18" i="6"/>
  <c r="E18" i="6"/>
  <c r="D18" i="6"/>
  <c r="C18" i="6"/>
  <c r="D44" i="8" l="1"/>
  <c r="E40" i="8"/>
  <c r="G52" i="2" l="1"/>
  <c r="D93" i="8"/>
  <c r="D27" i="8"/>
  <c r="E93" i="8" s="1"/>
  <c r="D43" i="6"/>
  <c r="I62" i="5"/>
  <c r="I53" i="5"/>
  <c r="I63" i="5" s="1"/>
  <c r="H67" i="4"/>
  <c r="H65" i="4"/>
  <c r="H50" i="3"/>
  <c r="H58" i="3" s="1"/>
  <c r="H51" i="3"/>
  <c r="D83" i="4" l="1"/>
  <c r="D95" i="4" s="1"/>
  <c r="H63" i="5"/>
  <c r="D95" i="8"/>
  <c r="D94" i="8"/>
  <c r="D92" i="8"/>
  <c r="D91" i="8"/>
  <c r="D77" i="8"/>
  <c r="E76" i="8"/>
  <c r="D76" i="8"/>
  <c r="F75" i="8"/>
  <c r="E75" i="8"/>
  <c r="D75" i="8"/>
  <c r="G74" i="8"/>
  <c r="F74" i="8"/>
  <c r="E74" i="8"/>
  <c r="D74" i="8"/>
  <c r="G45" i="8" l="1"/>
  <c r="E46" i="8"/>
  <c r="E56" i="8" s="1"/>
  <c r="E47" i="8"/>
  <c r="D48" i="8"/>
  <c r="D58" i="8" s="1"/>
  <c r="D47" i="8"/>
  <c r="D57" i="8" s="1"/>
  <c r="G44" i="8"/>
  <c r="F44" i="8"/>
  <c r="H44" i="8"/>
  <c r="D45" i="8"/>
  <c r="D55" i="8" s="1"/>
  <c r="E45" i="8"/>
  <c r="D46" i="8"/>
  <c r="D56" i="8" s="1"/>
  <c r="E44" i="8"/>
  <c r="F46" i="8"/>
  <c r="F45" i="8"/>
  <c r="D54" i="8"/>
  <c r="F54" i="8" l="1"/>
  <c r="E81" i="8"/>
  <c r="G54" i="8"/>
  <c r="F81" i="8"/>
  <c r="H54" i="8"/>
  <c r="G81" i="8"/>
  <c r="F55" i="8"/>
  <c r="E82" i="8"/>
  <c r="F56" i="8"/>
  <c r="E83" i="8"/>
  <c r="E54" i="8"/>
  <c r="D81" i="8"/>
  <c r="E57" i="8"/>
  <c r="D84" i="8"/>
  <c r="E55" i="8"/>
  <c r="D82" i="8"/>
  <c r="D83" i="8"/>
  <c r="G55" i="8"/>
  <c r="F82" i="8"/>
  <c r="D26" i="8"/>
  <c r="E25" i="8" s="1"/>
  <c r="D28" i="8"/>
  <c r="D25" i="8"/>
  <c r="E91" i="8" s="1"/>
  <c r="D99" i="8" s="1"/>
  <c r="E27" i="8" l="1"/>
  <c r="E94" i="8"/>
  <c r="D102" i="8" s="1"/>
  <c r="E26" i="8"/>
  <c r="D101" i="8"/>
  <c r="F91" i="8"/>
  <c r="E99" i="8" s="1"/>
  <c r="E92" i="8"/>
  <c r="D100" i="8" s="1"/>
  <c r="E93" i="3"/>
  <c r="F93" i="3" s="1"/>
  <c r="D93" i="3"/>
  <c r="E86" i="7"/>
  <c r="C22" i="7"/>
  <c r="D21" i="7"/>
  <c r="C21" i="7"/>
  <c r="E20" i="7"/>
  <c r="D20" i="7"/>
  <c r="C20" i="7"/>
  <c r="F19" i="7"/>
  <c r="E19" i="7"/>
  <c r="D19" i="7"/>
  <c r="C19" i="7"/>
  <c r="G18" i="7"/>
  <c r="F18" i="7"/>
  <c r="E18" i="7"/>
  <c r="D18" i="7"/>
  <c r="C18" i="7"/>
  <c r="H50" i="7"/>
  <c r="F89" i="7" s="1"/>
  <c r="H49" i="7"/>
  <c r="F88" i="7" s="1"/>
  <c r="H48" i="7"/>
  <c r="F87" i="7" s="1"/>
  <c r="H47" i="7"/>
  <c r="F86" i="7" s="1"/>
  <c r="H46" i="7"/>
  <c r="F85" i="7" s="1"/>
  <c r="H45" i="7"/>
  <c r="F84" i="7" s="1"/>
  <c r="E89" i="7"/>
  <c r="E88" i="7"/>
  <c r="E87" i="7"/>
  <c r="E85" i="7"/>
  <c r="E84" i="7"/>
  <c r="E67" i="7"/>
  <c r="F67" i="7" s="1"/>
  <c r="E66" i="7"/>
  <c r="F66" i="7" s="1"/>
  <c r="E65" i="7"/>
  <c r="F65" i="7" s="1"/>
  <c r="E64" i="7"/>
  <c r="F64" i="7" s="1"/>
  <c r="E63" i="7"/>
  <c r="F63" i="7" s="1"/>
  <c r="E62" i="7"/>
  <c r="G45" i="7"/>
  <c r="D84" i="7" s="1"/>
  <c r="G50" i="7"/>
  <c r="D89" i="7" s="1"/>
  <c r="G49" i="7"/>
  <c r="D66" i="7" s="1"/>
  <c r="G48" i="7"/>
  <c r="D87" i="7" s="1"/>
  <c r="G47" i="7"/>
  <c r="D86" i="7" s="1"/>
  <c r="G46" i="7"/>
  <c r="D85" i="7" s="1"/>
  <c r="E62" i="6"/>
  <c r="E60" i="6"/>
  <c r="E58" i="6"/>
  <c r="E47" i="6"/>
  <c r="E45" i="6"/>
  <c r="E43" i="6"/>
  <c r="F43" i="6" s="1"/>
  <c r="D63" i="6"/>
  <c r="D62" i="6"/>
  <c r="D61" i="6"/>
  <c r="D60" i="6"/>
  <c r="D48" i="6"/>
  <c r="F48" i="6" s="1"/>
  <c r="D47" i="6"/>
  <c r="F47" i="6" s="1"/>
  <c r="D46" i="6"/>
  <c r="F46" i="6" s="1"/>
  <c r="D45" i="6"/>
  <c r="F45" i="6" s="1"/>
  <c r="D44" i="6"/>
  <c r="F44" i="6" s="1"/>
  <c r="C104" i="4"/>
  <c r="H64" i="4"/>
  <c r="I65" i="4"/>
  <c r="I67" i="4"/>
  <c r="I66" i="4"/>
  <c r="I64" i="4"/>
  <c r="H66" i="4"/>
  <c r="I69" i="4" l="1"/>
  <c r="H69" i="4"/>
  <c r="E106" i="4" s="1"/>
  <c r="E64" i="6"/>
  <c r="F61" i="6"/>
  <c r="F62" i="7"/>
  <c r="E68" i="7"/>
  <c r="F25" i="8"/>
  <c r="G91" i="8" s="1"/>
  <c r="F99" i="8" s="1"/>
  <c r="F92" i="8"/>
  <c r="E100" i="8" s="1"/>
  <c r="F26" i="8"/>
  <c r="F93" i="8"/>
  <c r="E101" i="8" s="1"/>
  <c r="F58" i="6"/>
  <c r="G84" i="7"/>
  <c r="H84" i="7" s="1"/>
  <c r="D67" i="7"/>
  <c r="G67" i="7" s="1"/>
  <c r="D63" i="7"/>
  <c r="G63" i="7" s="1"/>
  <c r="G89" i="7"/>
  <c r="H89" i="7" s="1"/>
  <c r="G87" i="7"/>
  <c r="H87" i="7" s="1"/>
  <c r="G86" i="7"/>
  <c r="H86" i="7" s="1"/>
  <c r="G85" i="7"/>
  <c r="H85" i="7" s="1"/>
  <c r="D62" i="7"/>
  <c r="E90" i="7"/>
  <c r="D88" i="7"/>
  <c r="G88" i="7" s="1"/>
  <c r="I49" i="7"/>
  <c r="J49" i="7" s="1"/>
  <c r="I50" i="7"/>
  <c r="J50" i="7" s="1"/>
  <c r="D64" i="7"/>
  <c r="G64" i="7" s="1"/>
  <c r="D65" i="7"/>
  <c r="G66" i="7"/>
  <c r="I46" i="7"/>
  <c r="J46" i="7" s="1"/>
  <c r="G51" i="7"/>
  <c r="I45" i="7"/>
  <c r="I47" i="7"/>
  <c r="J47" i="7" s="1"/>
  <c r="I48" i="7"/>
  <c r="J48" i="7" s="1"/>
  <c r="F63" i="6"/>
  <c r="F62" i="6"/>
  <c r="E83" i="4"/>
  <c r="E95" i="4" s="1"/>
  <c r="G65" i="2"/>
  <c r="H54" i="5"/>
  <c r="H55" i="5"/>
  <c r="H53" i="5"/>
  <c r="J64" i="5"/>
  <c r="J76" i="5" s="1"/>
  <c r="I64" i="5"/>
  <c r="I76" i="5" s="1"/>
  <c r="H64" i="5"/>
  <c r="H76" i="5" s="1"/>
  <c r="J62" i="5"/>
  <c r="J74" i="5" s="1"/>
  <c r="I74" i="5"/>
  <c r="H62" i="5"/>
  <c r="H74" i="5" s="1"/>
  <c r="J55" i="5"/>
  <c r="J66" i="5" s="1"/>
  <c r="J78" i="5" s="1"/>
  <c r="J54" i="5"/>
  <c r="J65" i="5" s="1"/>
  <c r="J77" i="5" s="1"/>
  <c r="J53" i="5"/>
  <c r="J63" i="5" s="1"/>
  <c r="J75" i="5" s="1"/>
  <c r="I55" i="5"/>
  <c r="I66" i="5" s="1"/>
  <c r="I78" i="5" s="1"/>
  <c r="I54" i="5"/>
  <c r="H65" i="5" s="1"/>
  <c r="H77" i="5" s="1"/>
  <c r="E104" i="4" l="1"/>
  <c r="D104" i="4"/>
  <c r="F64" i="6"/>
  <c r="G62" i="7"/>
  <c r="D116" i="5"/>
  <c r="D107" i="5"/>
  <c r="G25" i="8"/>
  <c r="H91" i="8" s="1"/>
  <c r="G99" i="8" s="1"/>
  <c r="G92" i="8"/>
  <c r="F100" i="8" s="1"/>
  <c r="D68" i="7"/>
  <c r="G90" i="7"/>
  <c r="D90" i="7"/>
  <c r="H88" i="7"/>
  <c r="H90" i="7" s="1"/>
  <c r="I51" i="7"/>
  <c r="G65" i="7"/>
  <c r="J45" i="7"/>
  <c r="J51" i="7" s="1"/>
  <c r="F68" i="7"/>
  <c r="E118" i="5"/>
  <c r="E109" i="5"/>
  <c r="F116" i="5"/>
  <c r="F107" i="5"/>
  <c r="D117" i="5"/>
  <c r="D108" i="5"/>
  <c r="F118" i="5"/>
  <c r="F109" i="5"/>
  <c r="E105" i="5"/>
  <c r="E114" i="5"/>
  <c r="F105" i="5"/>
  <c r="F114" i="5"/>
  <c r="E116" i="5"/>
  <c r="E107" i="5"/>
  <c r="G107" i="5" s="1"/>
  <c r="F117" i="5"/>
  <c r="F108" i="5"/>
  <c r="D105" i="5"/>
  <c r="D114" i="5"/>
  <c r="F115" i="5"/>
  <c r="F106" i="5"/>
  <c r="I75" i="5"/>
  <c r="H75" i="5"/>
  <c r="I65" i="5"/>
  <c r="I77" i="5" s="1"/>
  <c r="H66" i="5"/>
  <c r="H78" i="5" s="1"/>
  <c r="D95" i="3"/>
  <c r="D94" i="3"/>
  <c r="E94" i="3"/>
  <c r="F94" i="3" s="1"/>
  <c r="E95" i="3"/>
  <c r="F95" i="3" s="1"/>
  <c r="G94" i="3"/>
  <c r="G95" i="3"/>
  <c r="G93" i="3"/>
  <c r="G68" i="7" l="1"/>
  <c r="G116" i="5"/>
  <c r="H107" i="5"/>
  <c r="H116" i="5"/>
  <c r="G118" i="5"/>
  <c r="H105" i="5"/>
  <c r="H114" i="5"/>
  <c r="G114" i="5"/>
  <c r="G109" i="5"/>
  <c r="F119" i="5"/>
  <c r="D118" i="5"/>
  <c r="H118" i="5" s="1"/>
  <c r="D109" i="5"/>
  <c r="H109" i="5" s="1"/>
  <c r="E117" i="5"/>
  <c r="G117" i="5" s="1"/>
  <c r="E108" i="5"/>
  <c r="G108" i="5" s="1"/>
  <c r="F110" i="5"/>
  <c r="G105" i="5"/>
  <c r="E115" i="5"/>
  <c r="G115" i="5" s="1"/>
  <c r="E106" i="5"/>
  <c r="D115" i="5"/>
  <c r="D106" i="5"/>
  <c r="H52" i="3"/>
  <c r="H117" i="5" l="1"/>
  <c r="G119" i="5"/>
  <c r="H108" i="5"/>
  <c r="H115" i="5"/>
  <c r="G106" i="5"/>
  <c r="G110" i="5" s="1"/>
  <c r="E110" i="5"/>
  <c r="E119" i="5"/>
  <c r="H106" i="5"/>
  <c r="D110" i="5"/>
  <c r="D119" i="5"/>
  <c r="H59" i="3"/>
  <c r="H60" i="3"/>
  <c r="H62" i="3" s="1"/>
  <c r="H119" i="5" l="1"/>
  <c r="H110" i="5"/>
  <c r="G42" i="2"/>
  <c r="G54" i="2" s="1"/>
  <c r="G67" i="2"/>
  <c r="H81" i="2" s="1"/>
  <c r="H92" i="2" s="1"/>
  <c r="G66" i="2"/>
  <c r="H80" i="2" s="1"/>
  <c r="H79" i="2"/>
  <c r="G64" i="2"/>
  <c r="H78" i="2" s="1"/>
  <c r="H89" i="2" s="1"/>
  <c r="G63" i="2"/>
  <c r="G77" i="2" s="1"/>
  <c r="G88" i="2" s="1"/>
  <c r="G81" i="2" l="1"/>
  <c r="G92" i="2" s="1"/>
  <c r="G78" i="2"/>
  <c r="G89" i="2" s="1"/>
  <c r="G79" i="2"/>
  <c r="G90" i="2" s="1"/>
  <c r="G80" i="2"/>
  <c r="G91" i="2" s="1"/>
  <c r="H77" i="2"/>
  <c r="H88" i="2" s="1"/>
  <c r="H90" i="2"/>
  <c r="H91" i="2"/>
  <c r="H42" i="2" l="1"/>
  <c r="H54" i="2" s="1"/>
  <c r="H41" i="2"/>
  <c r="H53" i="2" s="1"/>
  <c r="G41" i="2"/>
  <c r="G53" i="2" s="1"/>
  <c r="H40" i="2"/>
  <c r="H52" i="2" s="1"/>
  <c r="G40" i="2"/>
  <c r="H39" i="2"/>
  <c r="H51" i="2" s="1"/>
  <c r="G39" i="2"/>
  <c r="G51" i="2" s="1"/>
  <c r="H38" i="2"/>
  <c r="H50" i="2" s="1"/>
  <c r="G38" i="2"/>
  <c r="G50" i="2" s="1"/>
</calcChain>
</file>

<file path=xl/sharedStrings.xml><?xml version="1.0" encoding="utf-8"?>
<sst xmlns="http://schemas.openxmlformats.org/spreadsheetml/2006/main" count="583" uniqueCount="324">
  <si>
    <t>Problem</t>
  </si>
  <si>
    <t>Solution</t>
  </si>
  <si>
    <t>Discussion</t>
  </si>
  <si>
    <t>Source</t>
  </si>
  <si>
    <t>More Practice</t>
  </si>
  <si>
    <t>Option 1: Quota Share Treaty</t>
  </si>
  <si>
    <t>Friedland - Proportional Reinsurance</t>
  </si>
  <si>
    <t>Policy Limit</t>
  </si>
  <si>
    <t>Option 2: Surplus Share Treaty</t>
  </si>
  <si>
    <t xml:space="preserve">• Excess of Loss reinsurance inures to the </t>
  </si>
  <si>
    <t>benefit of the Quota Share</t>
  </si>
  <si>
    <t xml:space="preserve">• Retained Line = </t>
  </si>
  <si>
    <t xml:space="preserve">• Number of Lines = </t>
  </si>
  <si>
    <t>Below are two possible proportional reinsurance treaties for the line of business. Assume only one proportional reinsurance option would apply, not both at the same time.</t>
  </si>
  <si>
    <t>Earned Premium</t>
  </si>
  <si>
    <t>Ultimate Loss</t>
  </si>
  <si>
    <t>For a primary insurer, assume the following loss experience both gross of reinsurance and net retained after excess of loss reinsurance for a single line of business:</t>
  </si>
  <si>
    <t>Gross ($000)</t>
  </si>
  <si>
    <t>Net Retained ($000)</t>
  </si>
  <si>
    <t xml:space="preserve">• Ceded Percentage = </t>
  </si>
  <si>
    <t xml:space="preserve">1) </t>
  </si>
  <si>
    <t>Ceded</t>
  </si>
  <si>
    <t xml:space="preserve">2) </t>
  </si>
  <si>
    <t>Retained</t>
  </si>
  <si>
    <t xml:space="preserve">5) </t>
  </si>
  <si>
    <t xml:space="preserve">4) </t>
  </si>
  <si>
    <t xml:space="preserve">3) </t>
  </si>
  <si>
    <t>% Ceded</t>
  </si>
  <si>
    <t>In Excel</t>
  </si>
  <si>
    <t>Reinsured Portion (numerator) = MAX( MIN( Policy Limit - Retained Line, #Lines * Retained Line) , 0 )</t>
  </si>
  <si>
    <t xml:space="preserve">Apply the ceded percentage to gross premium and losses (or net retained premium and losses if other reinsurances are deducted first) to calculate the amounts ceded. </t>
  </si>
  <si>
    <t>Calculate the retained amount as the gross premium and losses (or net retained premium and losses if other reinsurances are deducted first) minus the amounts ceded to the reinsurance treaty.</t>
  </si>
  <si>
    <t>benefit of the Surplus Share</t>
  </si>
  <si>
    <t>Friedland – pg. 10-13</t>
  </si>
  <si>
    <t>Possible Problem Twists</t>
  </si>
  <si>
    <t>Calculate the ceded earned premium and ultimate loss for each proportional reinsurance treaty option and the amount retained after both the excess of loss reinsurance and proportional treaty option are applied.</t>
  </si>
  <si>
    <t>Calculate the ceded percentage for each policy limit, based on the Retained Line (RL) and the number of lines reinsured. The maximum reinsured portion is: Retained Line x #Lines</t>
  </si>
  <si>
    <t>Use a nested MAX( MIN( ) ) formula to calculate the portion of a surplus share ceded correctly to cap it between 0 and #Lines x Retained Line.</t>
  </si>
  <si>
    <r>
      <rPr>
        <b/>
        <sz val="12"/>
        <color theme="1"/>
        <rFont val="Calibri"/>
        <family val="2"/>
      </rPr>
      <t xml:space="preserve">Note: </t>
    </r>
    <r>
      <rPr>
        <sz val="12"/>
        <color theme="1"/>
        <rFont val="Calibri"/>
        <family val="2"/>
      </rPr>
      <t xml:space="preserve">Here the retained is after </t>
    </r>
    <r>
      <rPr>
        <i/>
        <u/>
        <sz val="12"/>
        <color theme="1"/>
        <rFont val="Calibri"/>
        <family val="2"/>
      </rPr>
      <t>both</t>
    </r>
    <r>
      <rPr>
        <sz val="12"/>
        <color theme="1"/>
        <rFont val="Calibri"/>
        <family val="2"/>
      </rPr>
      <t xml:space="preserve"> the excess of loss and proportional reinsurance is subtracted.</t>
    </r>
  </si>
  <si>
    <t>A ceding company writes property policies with policy limits between 1M and 15M. The ceding company has the following excess per risk reinsurance treaty to cover property policies:</t>
  </si>
  <si>
    <t>• Retention</t>
  </si>
  <si>
    <t>• Reinsurance Limit</t>
  </si>
  <si>
    <t>• Effective Date</t>
  </si>
  <si>
    <t>• Expiration Date</t>
  </si>
  <si>
    <t>• ALAE included pro-rata</t>
  </si>
  <si>
    <t>• Risks-attaching basis</t>
  </si>
  <si>
    <t>Insured Risk</t>
  </si>
  <si>
    <t>Policy Inception</t>
  </si>
  <si>
    <t>Loss Occurrence</t>
  </si>
  <si>
    <t>5M</t>
  </si>
  <si>
    <t>2.5M</t>
  </si>
  <si>
    <t>Reported Loss</t>
  </si>
  <si>
    <t>Reported Loss (000)</t>
  </si>
  <si>
    <t>Reported ALAE (000)</t>
  </si>
  <si>
    <t>Loss Bordereau</t>
  </si>
  <si>
    <t>15M</t>
  </si>
  <si>
    <t>10M</t>
  </si>
  <si>
    <t>Risks-Attaching Basis</t>
  </si>
  <si>
    <r>
      <t xml:space="preserve">Determine which losses are covered by the reinsurance treaty based on the </t>
    </r>
    <r>
      <rPr>
        <b/>
        <i/>
        <u/>
        <sz val="12"/>
        <color theme="1"/>
        <rFont val="Calibri"/>
        <family val="2"/>
      </rPr>
      <t>business covered clause</t>
    </r>
    <r>
      <rPr>
        <b/>
        <sz val="12"/>
        <color theme="1"/>
        <rFont val="Calibri"/>
        <family val="2"/>
      </rPr>
      <t xml:space="preserve"> and whether it's a risks-attaching contract or a losses-occurring-during contract.</t>
    </r>
  </si>
  <si>
    <t>Underlying policies with an inception date during the reinsurance contract effective period are covered.</t>
  </si>
  <si>
    <t>Losses-Occurring-During Basis</t>
  </si>
  <si>
    <t>All losses that occur during the reinsurance effective period are covered regardless of inception date.</t>
  </si>
  <si>
    <t>This contract is risks-attaching:</t>
  </si>
  <si>
    <t>Covered?</t>
  </si>
  <si>
    <t>No</t>
  </si>
  <si>
    <t>Yes</t>
  </si>
  <si>
    <t>Calculate the ceded loss as the portion of the gross loss excess the retention, limited to the reinsurance limit. If ALAE is included with loss: Apply the retention/limit to the combined Loss &amp; ALAE.</t>
  </si>
  <si>
    <t>If ALAE is included pro-rata, calculate ceded ALAE using the proportion of ceded loss to gross loss.</t>
  </si>
  <si>
    <t>Ceded Loss</t>
  </si>
  <si>
    <t>Ceded Loss = MAX( MIN( Gross Loss - Retention, Reinsurance Limit) , 0)</t>
  </si>
  <si>
    <t>Ceded ALAE</t>
  </si>
  <si>
    <t xml:space="preserve">Total Ceded Loss &amp; ALAE = </t>
  </si>
  <si>
    <t>Calculate the total ceded reported loss &amp; ALAE for the reinsurance treaty.</t>
  </si>
  <si>
    <t>Losses-Occurring-During vs. Risks-Attaching</t>
  </si>
  <si>
    <t>1)</t>
  </si>
  <si>
    <t>5)</t>
  </si>
  <si>
    <t>4)</t>
  </si>
  <si>
    <t>3)</t>
  </si>
  <si>
    <t>2)</t>
  </si>
  <si>
    <t>LAE Treatment</t>
  </si>
  <si>
    <t xml:space="preserve">Friedland – pg. 13-14 </t>
  </si>
  <si>
    <t xml:space="preserve">Friedland – pg. 14-16 </t>
  </si>
  <si>
    <t>Recoveries</t>
  </si>
  <si>
    <t>Friedland - Excess per Occurrence and Catastrophe Reinsurance</t>
  </si>
  <si>
    <t>A ceding company writes personal Homeowners insurance and has the following reinsurance structure for 2020:</t>
  </si>
  <si>
    <t>Catastrophe Reinsurance Treaty</t>
  </si>
  <si>
    <t>• Inures to the benefit of the Catastrophe treaty</t>
  </si>
  <si>
    <t>• Losses-Occurring-During basis</t>
  </si>
  <si>
    <t>• Subscription percentage placed</t>
  </si>
  <si>
    <t>The insurer has the following loss experience for accident year 2020 as of 12/31/2022:</t>
  </si>
  <si>
    <t>Ceded Loss &amp; ALAE</t>
  </si>
  <si>
    <t>Included with Loss</t>
  </si>
  <si>
    <t>Included Pro-Rata</t>
  </si>
  <si>
    <t>Not Included</t>
  </si>
  <si>
    <t>Reported Loss ($000)</t>
  </si>
  <si>
    <t>Paid Loss ($000)</t>
  </si>
  <si>
    <t>AY</t>
  </si>
  <si>
    <t>Loss Date</t>
  </si>
  <si>
    <t>Cause</t>
  </si>
  <si>
    <t>Paid Loss</t>
  </si>
  <si>
    <t>Large Losses by Insured Risk ( &gt; $1M)</t>
  </si>
  <si>
    <t>Wildfire #3</t>
  </si>
  <si>
    <t>Swimming Pool accident (Liability)</t>
  </si>
  <si>
    <t>Wildfire #1</t>
  </si>
  <si>
    <t>• Covers Property loss exposures</t>
  </si>
  <si>
    <t>Catastrophe</t>
  </si>
  <si>
    <t>a. Calculate the reported and paid loss ceded to each reinsurance treaty.</t>
  </si>
  <si>
    <t>b. Calculate the net reported and paid loss for the ceding company for accident year 2020.</t>
  </si>
  <si>
    <t>Part a cont. – Apply the Catastrophe (Excess per Occurrence) Treaty</t>
  </si>
  <si>
    <t>Friedland - Annual Aggregate Excess of Loss (Stop Loss)</t>
  </si>
  <si>
    <t>Accident Year</t>
  </si>
  <si>
    <t>Selected Ultimate Loss</t>
  </si>
  <si>
    <t>A ceding company writes a book of General Liability insurance and has the following gross loss experience as of 12/31/22 with all figures in ($000):</t>
  </si>
  <si>
    <t>Occurrence Date</t>
  </si>
  <si>
    <t>Case Outstanding</t>
  </si>
  <si>
    <t>Excess per Occurrence Treaty</t>
  </si>
  <si>
    <t>Quota Share Treaty</t>
  </si>
  <si>
    <t>The ceding company has the following reinsurance treaties over the experience period that cover General Liability:</t>
  </si>
  <si>
    <t>• Effective between 2018 and 2022</t>
  </si>
  <si>
    <t>• Inures to the benefit of the Quota Share treaty</t>
  </si>
  <si>
    <t>Accident Years</t>
  </si>
  <si>
    <t>2018-2020</t>
  </si>
  <si>
    <t>Cession Percentage</t>
  </si>
  <si>
    <t>2021-2022</t>
  </si>
  <si>
    <t>Annual Stop-Loss Treaty</t>
  </si>
  <si>
    <t>Retention ($000)</t>
  </si>
  <si>
    <t>Reinsurance Limit ($000)</t>
  </si>
  <si>
    <t>• Applies after all other reinsurances</t>
  </si>
  <si>
    <t>Part a – Apply the Excess per Occurrence and Quota Share Treaties</t>
  </si>
  <si>
    <t>Calculate the ceded loss to the excess per occurrence as the portion of the gross loss excess the retention, limited to the reinsurance limit. The subject loss is the gross loss for the loss occurrence.</t>
  </si>
  <si>
    <t>Ceded to Excess per Occurrence</t>
  </si>
  <si>
    <t>Calculate the net retained loss for the book after the excess per occurrence treaty. This is the subject loss for the quota share treaty since the excess per occurrence inures to the benefit of the quota share.</t>
  </si>
  <si>
    <t>Net Retained after Excess per Occurrence</t>
  </si>
  <si>
    <t>• The large losses aren't expected to develop further</t>
  </si>
  <si>
    <t>Ultimate</t>
  </si>
  <si>
    <t>Note:</t>
  </si>
  <si>
    <t>In the problem, we're told the large occurrences aren't expected to develop further, so subtract the ceded reported loss from gross ultimate to get the net ultimate loss.</t>
  </si>
  <si>
    <t>• All treaties are written on a Losses-Occurring-During basis</t>
  </si>
  <si>
    <t>Net Retained after Excess per Occurrence and Q/S</t>
  </si>
  <si>
    <t>OR:</t>
  </si>
  <si>
    <t>Part b – Apply the Stop Loss Reinsurance</t>
  </si>
  <si>
    <t>Net Retained after All Reinsurance</t>
  </si>
  <si>
    <t>Case O/S</t>
  </si>
  <si>
    <t>IBNR</t>
  </si>
  <si>
    <t>Total</t>
  </si>
  <si>
    <t>Without a stop-loss reinsurance limit</t>
  </si>
  <si>
    <t>With a stop-loss reinsurance limit</t>
  </si>
  <si>
    <t/>
  </si>
  <si>
    <t>Net Reported Losses as of (months)</t>
  </si>
  <si>
    <t>Treaty Year</t>
  </si>
  <si>
    <t>Estimated Ultimate Loss</t>
  </si>
  <si>
    <t>Large Catastrophes</t>
  </si>
  <si>
    <t>CDF</t>
  </si>
  <si>
    <t>72-Ult</t>
  </si>
  <si>
    <t>Calculate projected ultimate losses for the reinsurer based on the development method with a catastrophe loss adjustment.</t>
  </si>
  <si>
    <t>Selected Net Reported Loss Development Factors</t>
  </si>
  <si>
    <t>Premium</t>
  </si>
  <si>
    <t>• Expected Loss Ratio</t>
  </si>
  <si>
    <t>Friedland - Projecting Ultimate Loss</t>
  </si>
  <si>
    <t>A reinsurer has the following net reported losses after retrocessions for a large book of general liability proportional reinsurance treaties as of 12/31/2022:</t>
  </si>
  <si>
    <t>• Expected Loss Method</t>
  </si>
  <si>
    <t>• Development Method</t>
  </si>
  <si>
    <t>House Fire</t>
  </si>
  <si>
    <t>Large Loss</t>
  </si>
  <si>
    <t>Reported</t>
  </si>
  <si>
    <t>Paid</t>
  </si>
  <si>
    <t>Ceded Loss = MAX(MIN(Gross Loss - Retention, Reinsurance Limit), 0)</t>
  </si>
  <si>
    <r>
      <t xml:space="preserve">Calculate the subject loss for the Catastrophe treaty as the sum of </t>
    </r>
    <r>
      <rPr>
        <b/>
        <i/>
        <u/>
        <sz val="12"/>
        <color theme="1"/>
        <rFont val="Calibri"/>
        <family val="2"/>
      </rPr>
      <t>all losses</t>
    </r>
    <r>
      <rPr>
        <b/>
        <sz val="12"/>
        <color theme="1"/>
        <rFont val="Calibri"/>
        <family val="2"/>
      </rPr>
      <t xml:space="preserve"> in the catastrophic event (loss occurrence), using the net retained losses after inuring reinsurance.</t>
    </r>
  </si>
  <si>
    <t>Net Retained after Inuring</t>
  </si>
  <si>
    <r>
      <t>Note:</t>
    </r>
    <r>
      <rPr>
        <sz val="12"/>
        <color theme="1"/>
        <rFont val="Calibri"/>
        <family val="2"/>
      </rPr>
      <t xml:space="preserve"> Only large losses #2 and #4 are part of the Wildfire #3 loss occurrence.</t>
    </r>
  </si>
  <si>
    <t>• ALAE not included</t>
  </si>
  <si>
    <t>Calculate the ceded loss as the portion of the subject loss excess the retention, limited to the reinsurance limit. Make sure to apply the subscription percentage if there is one and the reinsurer covers less than 100% of the limit.</t>
  </si>
  <si>
    <t>Part b – Calculate the Net Loss after Reinsurance</t>
  </si>
  <si>
    <t>Calculate the total net loss for the ceding company as gross loss minus all ceded losses.</t>
  </si>
  <si>
    <t>Net Loss</t>
  </si>
  <si>
    <t>Subscription Percentage</t>
  </si>
  <si>
    <t>Below is a breakout of large loss occurrences (&gt;$3M Reported) between 2018 and 2022, figures in ($000):</t>
  </si>
  <si>
    <t>Ceded Loss to the Stop-Loss Treaty</t>
  </si>
  <si>
    <t>You can calculate the net retained losses directly without first calculating the ceded loss, but it can be helpful as a reasonability check to see how losses are ceded to the stop-loss reinsurance or any other reinsurance contract.</t>
  </si>
  <si>
    <t>Development Method</t>
  </si>
  <si>
    <t>Losses</t>
  </si>
  <si>
    <t>Reported Losses to-date</t>
  </si>
  <si>
    <t>Ultimate Reported Loss</t>
  </si>
  <si>
    <t>24-36</t>
  </si>
  <si>
    <t>36-48</t>
  </si>
  <si>
    <t>48-60</t>
  </si>
  <si>
    <t>60-72</t>
  </si>
  <si>
    <t>LDF</t>
  </si>
  <si>
    <t>Cumulative Dev Factor</t>
  </si>
  <si>
    <t>CAT Loss</t>
  </si>
  <si>
    <t>Friedland – pg. 55-59</t>
  </si>
  <si>
    <t>12-24</t>
  </si>
  <si>
    <t>Calculate the ultimate net loss and indicated IBNR for the book of business using the following methods:</t>
  </si>
  <si>
    <t>Loss</t>
  </si>
  <si>
    <t>Expected</t>
  </si>
  <si>
    <t>%Unreported</t>
  </si>
  <si>
    <t>• Tail Factor (72-Ult)</t>
  </si>
  <si>
    <t>Age-to-Age Factors</t>
  </si>
  <si>
    <t>Select development factors for each age-to-age interval and a tail factor. Then, calculate the cumulative development factors (CDFs) and project ultimate loss and IBNR.</t>
  </si>
  <si>
    <t>Expected Method</t>
  </si>
  <si>
    <t>Calculate the expected loss (ultimate loss) for each year as the earned premium times a selected expected loss ratio.</t>
  </si>
  <si>
    <t>Bornhuetter-Ferguson Method</t>
  </si>
  <si>
    <t>• Bornhuetter-Ferguson Method</t>
  </si>
  <si>
    <t>Calculate the % Unreported (or % Unpaid for paid loss data) based on the CDFs.</t>
  </si>
  <si>
    <t xml:space="preserve">Calculate the projected ultimate losses as the actual reported (or paid) losses plus expected unreported (or unpaid) losses. </t>
  </si>
  <si>
    <t>Considerations in Selecting Age-to-Age Factors</t>
  </si>
  <si>
    <t>All losses that occur during the reinsurance effective period are covered regardless of the underlying policy's inception date.</t>
  </si>
  <si>
    <t>Excess Per Risk vs. Excess Per Occurrence Reinsurance</t>
  </si>
  <si>
    <t>Reinstatement for Catastrophe Reinsurance</t>
  </si>
  <si>
    <t>Friedland – pg. 16, 62-64</t>
  </si>
  <si>
    <t>Friedland – pg. 41-45</t>
  </si>
  <si>
    <t xml:space="preserve">Aggregate the loss experience without distorting age-to-age factors due to fluctuating exchange rates. </t>
  </si>
  <si>
    <t>A global reinsurer is aggregating global loss experience to select development patterns for its reinsurance book of business. It aggregates global losses into US dollars (USD) as of December 31, 2022.</t>
  </si>
  <si>
    <t xml:space="preserve">Prevailing exchange rate = </t>
  </si>
  <si>
    <t>$/€</t>
  </si>
  <si>
    <t xml:space="preserve">Aggregate the loss triangles in the common currency. </t>
  </si>
  <si>
    <r>
      <t xml:space="preserve">Convert the global loss triangle into the common currency using the </t>
    </r>
    <r>
      <rPr>
        <b/>
        <i/>
        <u/>
        <sz val="12"/>
        <color theme="1"/>
        <rFont val="Calibri"/>
        <family val="2"/>
      </rPr>
      <t>prevailing exchange rate</t>
    </r>
    <r>
      <rPr>
        <b/>
        <sz val="12"/>
        <color theme="1"/>
        <rFont val="Calibri"/>
        <family val="2"/>
      </rPr>
      <t xml:space="preserve"> (the latest exchange rate) to avoid distorting the age-to-age factors of the loss triangle.</t>
    </r>
  </si>
  <si>
    <t>Friedland – pg. 45-47</t>
  </si>
  <si>
    <t>Europe Business Unit - Age-to-Age Factors (Euros)</t>
  </si>
  <si>
    <t>Europe Business Unit - Age-to-Age Factors (USD)</t>
  </si>
  <si>
    <t>The other option is to apply the year-end exchange rates for each year in the loss triangle. Using year-end exchange rates, you can see that the age-to-age factors are distorted compared to the original loss triangle:</t>
  </si>
  <si>
    <t>RF Friedland - 4</t>
  </si>
  <si>
    <t>RF Friedland - 5</t>
  </si>
  <si>
    <t>RF Friedland - 8</t>
  </si>
  <si>
    <t>RF Friedland - 9</t>
  </si>
  <si>
    <t>RF Friedland - 11</t>
  </si>
  <si>
    <t>RF Friedland - 12</t>
  </si>
  <si>
    <t>Friedland - Currency Exchange Rate Changes</t>
  </si>
  <si>
    <t>Friedland - Excess Per Risk Reinsurance</t>
  </si>
  <si>
    <t>Excess Per Policy Treaty</t>
  </si>
  <si>
    <t>• Losses-occurring-during basis</t>
  </si>
  <si>
    <t>• Covers property loss exposures</t>
  </si>
  <si>
    <t>There was one major catastrophe in 2020, identified as Wildfire #3, which occurred between 7/13/20 and 7/29/20 with the following total losses:</t>
  </si>
  <si>
    <t>Friedland - Projected Ultimate Loss with Catastrophe Adjustment</t>
  </si>
  <si>
    <t>USD-Euro Exchange Rate at year-end</t>
  </si>
  <si>
    <t>Europe Business Unit - Euro Losses as of xx months (000)</t>
  </si>
  <si>
    <t>US Business Unit - USD Losses as of xx months (000)</t>
  </si>
  <si>
    <r>
      <t xml:space="preserve">Excess per risk (or excess per policy) reinsurance applies to each risk and each loss separately. A "risk" could be coverage on one building or a group of buildings for property losses or coverage for a single policy. It's generally (but not always) used for property exposures and it </t>
    </r>
    <r>
      <rPr>
        <i/>
        <u/>
        <sz val="12"/>
        <color theme="1"/>
        <rFont val="Calibri"/>
        <family val="2"/>
      </rPr>
      <t>increases capacity</t>
    </r>
    <r>
      <rPr>
        <sz val="12"/>
        <color theme="1"/>
        <rFont val="Calibri"/>
        <family val="2"/>
      </rPr>
      <t>, allowing the primary insurer to write larger risks.</t>
    </r>
  </si>
  <si>
    <t>Calculate the net returned loss after the stop loss. Apply the stop loss limit to ultimate, reported, and paid losses separately by year. Then back out case outstanding and IBNR. If the stop loss has a reinsurance limit ($5M here), make sure the max ceded to the stop loss is the reinsurance limit.</t>
  </si>
  <si>
    <t>a. Calculate the net retained ultimate loss, reported loss, and paid loss after the excess per occurrence and quota share treaties.</t>
  </si>
  <si>
    <t>b. Calculate the total net retained ultimate loss, reported loss, paid loss, case outstanding, and IBNR after all reinsurances.</t>
  </si>
  <si>
    <t>Aggregated Losses in USD</t>
  </si>
  <si>
    <t>Euro Losses in USD (Year-End Exchange Rates)</t>
  </si>
  <si>
    <t>Apply the ceded percentage to subject premium and losses (gross or net retained premium and losses if other reinsurances inures to the benefit of the treaty) to calculate the amounts ceded. Pay attention if it is a variable quota share or only applies to certain lines or segments.</t>
  </si>
  <si>
    <t xml:space="preserve">The ceding company submitted the following loss bordereau to the reinsurer for all claims with a loss amount (net of recoveries) over 50% retention: </t>
  </si>
  <si>
    <r>
      <t xml:space="preserve">This contract is losses-occuring-during, covering </t>
    </r>
    <r>
      <rPr>
        <i/>
        <u/>
        <sz val="12"/>
        <color theme="1"/>
        <rFont val="Calibri"/>
        <family val="2"/>
      </rPr>
      <t>property claims</t>
    </r>
    <r>
      <rPr>
        <sz val="12"/>
        <color theme="1"/>
        <rFont val="Calibri"/>
        <family val="2"/>
      </rPr>
      <t>:</t>
    </r>
  </si>
  <si>
    <t>Part a – Apply the Excess Per Policy (Risk) Treaty</t>
  </si>
  <si>
    <t>Ceded Loss = subscription % * MAX(MIN(Subject Loss - Retention, Reinsurance Limit), 0)</t>
  </si>
  <si>
    <t>Ceded Loss = MAX( MIN( Subject Loss - Retention, Reinsurance Limit) , 0)</t>
  </si>
  <si>
    <r>
      <t xml:space="preserve">Because the Excess Per Occurrence treaty inures to the benefit of the Quota Share, Subject Loss is the net retained loss </t>
    </r>
    <r>
      <rPr>
        <i/>
        <u/>
        <sz val="12"/>
        <color theme="1"/>
        <rFont val="Calibri"/>
        <family val="2"/>
      </rPr>
      <t>after</t>
    </r>
    <r>
      <rPr>
        <sz val="12"/>
        <color theme="1"/>
        <rFont val="Calibri"/>
        <family val="2"/>
      </rPr>
      <t xml:space="preserve"> the ceded loss to the Excess Per Occurrence.</t>
    </r>
  </si>
  <si>
    <t xml:space="preserve">Calculate the net retained loss after the stop loss. Apply the stop loss limit (retention) to ultimate, reported, and paid losses separately by year. Then back out Case O/S and IBNR. If the stop loss has a reinsurance limit ($5M here), make sure the max ceded is the reinsurance limit. </t>
  </si>
  <si>
    <t>Europe Business Unit - Losses in USD</t>
  </si>
  <si>
    <r>
      <t xml:space="preserve">The important thing to remember is that loss triangles aggregated to a common currency should be converted using the </t>
    </r>
    <r>
      <rPr>
        <i/>
        <u/>
        <sz val="12"/>
        <color theme="1"/>
        <rFont val="Calibri"/>
        <family val="2"/>
      </rPr>
      <t>single, prevailing exchange rate</t>
    </r>
    <r>
      <rPr>
        <sz val="12"/>
        <color theme="1"/>
        <rFont val="Calibri"/>
        <family val="2"/>
      </rPr>
      <t xml:space="preserve"> if we want to avoid distorting the development patterns.</t>
    </r>
  </si>
  <si>
    <t>This does mean that the values within the loss triangle will change from one year's analysis to the next as the prevailing exchange rate changes over time, but the age-to-age development factors won't be distorted for an analysis.</t>
  </si>
  <si>
    <t>Below we can see that this approach doesn't distort the underlying age-to-age factors for the Europe Business Unit after applying the prevailing exchange rate to convert the losses to USD:</t>
  </si>
  <si>
    <t>• Assumes future loss development is similar to prior years' loss development</t>
  </si>
  <si>
    <t>• Losses observed to-date are predictive (tell the actuary something about) of future loss development</t>
  </si>
  <si>
    <t>• Assumes consistency in mix of business, policy limits, reinsurance coverage across the experience period</t>
  </si>
  <si>
    <t>• Smooth progression of individual age-to-age factors and average factors across development periods</t>
  </si>
  <si>
    <t>• Stability of age-to-age factors for the same development period</t>
  </si>
  <si>
    <t>• Credibility of the experience</t>
  </si>
  <si>
    <t>• Changes in patterns and applicability of the historical experience</t>
  </si>
  <si>
    <r>
      <t xml:space="preserve">Assumes that reported losses provide little information about ultimate losses compared with an </t>
    </r>
    <r>
      <rPr>
        <i/>
        <sz val="12"/>
        <color theme="1"/>
        <rFont val="Calibri"/>
        <family val="2"/>
      </rPr>
      <t xml:space="preserve">a priori </t>
    </r>
    <r>
      <rPr>
        <sz val="12"/>
        <color theme="1"/>
        <rFont val="Calibri"/>
        <family val="2"/>
      </rPr>
      <t>loss estimate.</t>
    </r>
  </si>
  <si>
    <t>The expected method is often used when:</t>
  </si>
  <si>
    <t>• Entering a new line of business or region</t>
  </si>
  <si>
    <t>• Changes in operations or environment mean historical loss data isn't predictive of future loss development</t>
  </si>
  <si>
    <t xml:space="preserve">• Development factors are too highly leveraged for immature periods </t>
  </si>
  <si>
    <t>• Data are unavailable for other methods</t>
  </si>
  <si>
    <t>• Assumes unreported (or unpaid) losses develop based on expected losses</t>
  </si>
  <si>
    <t>The BF method is a blend of the development method and expected method. The ultimate loss estimate is a combination of loss-to-date and expected unreported (or unpaid) loss.</t>
  </si>
  <si>
    <t>The timing within a year of large loss events can also distort loss triangles. An example of this is a catastrophe in January, which has almost a full year to develop by year-end compared to a catastrophe in December, less than a month before year-end.</t>
  </si>
  <si>
    <r>
      <rPr>
        <b/>
        <sz val="12"/>
        <color theme="1"/>
        <rFont val="Calibri"/>
        <family val="2"/>
      </rPr>
      <t xml:space="preserve">Annual Aggregate Excess of Loss </t>
    </r>
    <r>
      <rPr>
        <sz val="12"/>
        <color theme="1"/>
        <rFont val="Calibri"/>
        <family val="2"/>
      </rPr>
      <t xml:space="preserve">reinsurance (aggregate stop-loss) indemnifies a ceding company for aggregate losses that exceed a pre-determined threshold (given as a percent of subject premium or fixed dollar amount) up to a reinsurance limit. </t>
    </r>
  </si>
  <si>
    <r>
      <t xml:space="preserve">The </t>
    </r>
    <r>
      <rPr>
        <b/>
        <sz val="12"/>
        <color theme="1"/>
        <rFont val="Calibri"/>
        <family val="2"/>
      </rPr>
      <t>Subject Loss</t>
    </r>
    <r>
      <rPr>
        <sz val="12"/>
        <color theme="1"/>
        <rFont val="Calibri"/>
        <family val="2"/>
      </rPr>
      <t xml:space="preserve"> is the annual aggregate net loss after all other reinsurance.</t>
    </r>
  </si>
  <si>
    <t>Aggregate excess of loss reinsurance protects net results, so all other reinsurance inures to the benefit of the aggregate excess of loss. This type of reinsurance can help a ceding company to protect its capital.</t>
  </si>
  <si>
    <r>
      <rPr>
        <b/>
        <sz val="12"/>
        <color theme="1"/>
        <rFont val="Calibri"/>
        <family val="2"/>
      </rPr>
      <t>Large Loss #5</t>
    </r>
    <r>
      <rPr>
        <sz val="12"/>
        <color theme="1"/>
        <rFont val="Calibri"/>
        <family val="2"/>
      </rPr>
      <t>: This is a</t>
    </r>
    <r>
      <rPr>
        <i/>
        <u/>
        <sz val="12"/>
        <color theme="1"/>
        <rFont val="Calibri"/>
        <family val="2"/>
      </rPr>
      <t xml:space="preserve"> liability claim</t>
    </r>
    <r>
      <rPr>
        <sz val="12"/>
        <color theme="1"/>
        <rFont val="Calibri"/>
        <family val="2"/>
      </rPr>
      <t>, not property.</t>
    </r>
  </si>
  <si>
    <t>Ceded Reported</t>
  </si>
  <si>
    <t>Ceded Paid</t>
  </si>
  <si>
    <t>A few important things to note on this problem:</t>
  </si>
  <si>
    <t xml:space="preserve">• Make sure to pay attention to the business covered information. 
        --&gt;The reinsurance treaties here only cover property loss exposures, so liability losses aren't covered. </t>
  </si>
  <si>
    <r>
      <t xml:space="preserve">• The catastrophe treaty applies </t>
    </r>
    <r>
      <rPr>
        <i/>
        <u/>
        <sz val="12"/>
        <color theme="1"/>
        <rFont val="Calibri"/>
        <family val="2"/>
      </rPr>
      <t>after</t>
    </r>
    <r>
      <rPr>
        <sz val="12"/>
        <color theme="1"/>
        <rFont val="Calibri"/>
        <family val="2"/>
      </rPr>
      <t xml:space="preserve"> netting out the ceded losses to the Excess Per Policy treaty</t>
    </r>
  </si>
  <si>
    <r>
      <rPr>
        <b/>
        <sz val="12"/>
        <color theme="1"/>
        <rFont val="Calibri"/>
        <family val="2"/>
      </rPr>
      <t>Excess Per Risk</t>
    </r>
    <r>
      <rPr>
        <sz val="12"/>
        <color theme="1"/>
        <rFont val="Calibri"/>
        <family val="2"/>
      </rPr>
      <t xml:space="preserve"> reinsurance applies to each risk (or policy) and loss </t>
    </r>
    <r>
      <rPr>
        <i/>
        <u/>
        <sz val="12"/>
        <color theme="1"/>
        <rFont val="Calibri"/>
        <family val="2"/>
      </rPr>
      <t>separately</t>
    </r>
    <r>
      <rPr>
        <sz val="12"/>
        <color theme="1"/>
        <rFont val="Calibri"/>
        <family val="2"/>
      </rPr>
      <t>.</t>
    </r>
  </si>
  <si>
    <r>
      <rPr>
        <b/>
        <sz val="12"/>
        <color theme="1"/>
        <rFont val="Calibri"/>
        <family val="2"/>
      </rPr>
      <t>Excess Per Occurrence</t>
    </r>
    <r>
      <rPr>
        <sz val="12"/>
        <color theme="1"/>
        <rFont val="Calibri"/>
        <family val="2"/>
      </rPr>
      <t xml:space="preserve"> reinsurance applies to the </t>
    </r>
    <r>
      <rPr>
        <i/>
        <u/>
        <sz val="12"/>
        <color theme="1"/>
        <rFont val="Calibri"/>
        <family val="2"/>
      </rPr>
      <t>sum of losses from a single loss occurrence</t>
    </r>
    <r>
      <rPr>
        <sz val="12"/>
        <color theme="1"/>
        <rFont val="Calibri"/>
        <family val="2"/>
      </rPr>
      <t xml:space="preserve"> or event for all subject policies covered by the reinsurance. </t>
    </r>
  </si>
  <si>
    <r>
      <rPr>
        <b/>
        <sz val="12"/>
        <color theme="1"/>
        <rFont val="Calibri"/>
        <family val="2"/>
      </rPr>
      <t>Catastrophe Reinsurance</t>
    </r>
    <r>
      <rPr>
        <sz val="12"/>
        <color theme="1"/>
        <rFont val="Calibri"/>
        <family val="2"/>
      </rPr>
      <t xml:space="preserve"> is a form of excess per occurrence covering the accumulation of losses from a catastrophic event or series of events. The catastrophe could be a type of natural event (hurricane, earthquake, ...) or a man-made event (terrorism, ...).</t>
    </r>
  </si>
  <si>
    <r>
      <t xml:space="preserve">Catastrophe reinsurance often allows for a </t>
    </r>
    <r>
      <rPr>
        <b/>
        <sz val="12"/>
        <color theme="1"/>
        <rFont val="Calibri"/>
        <family val="2"/>
      </rPr>
      <t>reinstatement</t>
    </r>
    <r>
      <rPr>
        <sz val="12"/>
        <color theme="1"/>
        <rFont val="Calibri"/>
        <family val="2"/>
      </rPr>
      <t xml:space="preserve"> of the policy limit after a loss event hits the treaty. From Friedland, a reinstatement is "</t>
    </r>
    <r>
      <rPr>
        <i/>
        <u/>
        <sz val="12"/>
        <color theme="1"/>
        <rFont val="Calibri"/>
        <family val="2"/>
      </rPr>
      <t>the restoration of the policy limit following the payment of a full limit loss.</t>
    </r>
    <r>
      <rPr>
        <sz val="12"/>
        <color theme="1"/>
        <rFont val="Calibri"/>
        <family val="2"/>
      </rPr>
      <t xml:space="preserve">" Depending on the contract terms, the ceding company may need to pay an additional </t>
    </r>
    <r>
      <rPr>
        <b/>
        <sz val="12"/>
        <color theme="1"/>
        <rFont val="Calibri"/>
        <family val="2"/>
      </rPr>
      <t>reinstatement premium</t>
    </r>
    <r>
      <rPr>
        <sz val="12"/>
        <color theme="1"/>
        <rFont val="Calibri"/>
        <family val="2"/>
      </rPr>
      <t xml:space="preserve"> for the reinstatement and it may be possible to do a reinstatement for a partial loss (e.g. 50% of the reinsurance limit.</t>
    </r>
  </si>
  <si>
    <t>A few points about reinstatement premiums:</t>
  </si>
  <si>
    <t xml:space="preserve">• The reinstatement premium is immediately earned premium by the reinsurer. </t>
  </si>
  <si>
    <t>• Reinstatement premium can distort the historical premium and loss data and should be recognized when the actuary calculates expected loss ratios for the catastrophe reinsurance.</t>
  </si>
  <si>
    <t>Example:</t>
  </si>
  <si>
    <t xml:space="preserve">Suppose the ceding company above paid $3M premium for the catastrophe reinsurance treaty with terms that allowed for a reinstatement after a full limit loss for a reinstatement premium of 100% of the premium. </t>
  </si>
  <si>
    <t>If Wildfire #3 instead had a total insured loss of $110M after the excess per policy treaty, the ceding company would ceded $75M to the reinsurer and retain $35M ($25M retention plus $10M over the top of the reinsurance limit). The ceding company could pay a reinstatement premium of $3M to reset the catastrophe treaty and be protected if there is another catastrophe event during 2020.</t>
  </si>
  <si>
    <r>
      <t xml:space="preserve">A </t>
    </r>
    <r>
      <rPr>
        <b/>
        <sz val="12"/>
        <color theme="1"/>
        <rFont val="Calibri"/>
        <family val="2"/>
      </rPr>
      <t>subscription policy</t>
    </r>
    <r>
      <rPr>
        <sz val="12"/>
        <color theme="1"/>
        <rFont val="Calibri"/>
        <family val="2"/>
      </rPr>
      <t xml:space="preserve"> is a reinsurance contract where the risk is shared between multiple reinsurers. This approach can be used if one reinsurer is not willing to assume the full coverage and when a ceding company wants to diversify credit risk between reinsurers.</t>
    </r>
  </si>
  <si>
    <t>It's not necessarily the case that 100% of the reinsurance coverage is placed. In this problem, only 80% of the 75M excess 25M catastrophe layer is placed to reinsurers, so the ceding company retains the remaining 20% of the layer.</t>
  </si>
  <si>
    <r>
      <rPr>
        <b/>
        <sz val="12"/>
        <color theme="1"/>
        <rFont val="Calibri"/>
        <family val="2"/>
      </rPr>
      <t>Insured Risk #1:</t>
    </r>
    <r>
      <rPr>
        <sz val="12"/>
        <color theme="1"/>
        <rFont val="Calibri"/>
        <family val="2"/>
      </rPr>
      <t xml:space="preserve"> The policy inception (10/15/19) is before the reinsurance effective date (1/1/20).</t>
    </r>
  </si>
  <si>
    <r>
      <t xml:space="preserve">It's critical that you pay attention to whether a reinsurance contract is written on a </t>
    </r>
    <r>
      <rPr>
        <b/>
        <sz val="12"/>
        <color theme="1"/>
        <rFont val="Calibri"/>
        <family val="2"/>
      </rPr>
      <t>losses-occurring-during</t>
    </r>
    <r>
      <rPr>
        <sz val="12"/>
        <color theme="1"/>
        <rFont val="Calibri"/>
        <family val="2"/>
      </rPr>
      <t xml:space="preserve"> or a </t>
    </r>
    <r>
      <rPr>
        <b/>
        <sz val="12"/>
        <color theme="1"/>
        <rFont val="Calibri"/>
        <family val="2"/>
      </rPr>
      <t>risks-attaching</t>
    </r>
    <r>
      <rPr>
        <sz val="12"/>
        <color theme="1"/>
        <rFont val="Calibri"/>
        <family val="2"/>
      </rPr>
      <t xml:space="preserve"> basis since this impacts which policies and losses are covered.</t>
    </r>
  </si>
  <si>
    <r>
      <rPr>
        <b/>
        <sz val="12"/>
        <color theme="1"/>
        <rFont val="Calibri"/>
        <family val="2"/>
      </rPr>
      <t>Losses-occurring-during</t>
    </r>
    <r>
      <rPr>
        <sz val="12"/>
        <color theme="1"/>
        <rFont val="Calibri"/>
        <family val="2"/>
      </rPr>
      <t xml:space="preserve"> - All losses that occur during the reinsurance effective period are covered regardless of underlying policy's inception date.</t>
    </r>
  </si>
  <si>
    <t>• Usually, ULAE is excluded from reinsurance</t>
  </si>
  <si>
    <t>ALAE is generally handled in one of three ways:</t>
  </si>
  <si>
    <t>• ALAE included with loss before calculating excess of loss coverage</t>
  </si>
  <si>
    <t xml:space="preserve">• ALAE included pro-rata </t>
  </si>
  <si>
    <t>• ALAE not included in the coverage</t>
  </si>
  <si>
    <t>Below are the calculations for the problem above using the three different ways of handling ALAE:</t>
  </si>
  <si>
    <r>
      <rPr>
        <b/>
        <sz val="12"/>
        <color theme="1"/>
        <rFont val="Calibri"/>
        <family val="2"/>
      </rPr>
      <t>Salvage</t>
    </r>
    <r>
      <rPr>
        <sz val="12"/>
        <color theme="1"/>
        <rFont val="Calibri"/>
        <family val="2"/>
      </rPr>
      <t xml:space="preserve"> - The sale of damaged property by the insurer after indemnifying the insured for a loss (e.g. You get in a car crash totaling your car. The insurer pays you the original value of the car to make you whole and then sells the totaled car for scrap to partially offset the loss)</t>
    </r>
  </si>
  <si>
    <r>
      <rPr>
        <b/>
        <sz val="12"/>
        <color theme="1"/>
        <rFont val="Calibri"/>
        <family val="2"/>
      </rPr>
      <t>Reinsurance</t>
    </r>
    <r>
      <rPr>
        <sz val="12"/>
        <color theme="1"/>
        <rFont val="Calibri"/>
        <family val="2"/>
      </rPr>
      <t xml:space="preserve"> is generally applied to a subject loss </t>
    </r>
    <r>
      <rPr>
        <i/>
        <u/>
        <sz val="12"/>
        <color theme="1"/>
        <rFont val="Calibri"/>
        <family val="2"/>
      </rPr>
      <t>after</t>
    </r>
    <r>
      <rPr>
        <sz val="12"/>
        <color theme="1"/>
        <rFont val="Calibri"/>
        <family val="2"/>
      </rPr>
      <t xml:space="preserve"> recoveries (deductibles, salvage, and subrogation).</t>
    </r>
  </si>
  <si>
    <r>
      <rPr>
        <b/>
        <sz val="12"/>
        <color theme="1"/>
        <rFont val="Calibri"/>
        <family val="2"/>
      </rPr>
      <t>Subrogation</t>
    </r>
    <r>
      <rPr>
        <sz val="12"/>
        <color theme="1"/>
        <rFont val="Calibri"/>
        <family val="2"/>
      </rPr>
      <t xml:space="preserve"> - After a primary insurer indemnifies an insured for an insurable loss caused by a third party, the insurer can sue the third party and collect damages to offset the loss.</t>
    </r>
  </si>
  <si>
    <r>
      <rPr>
        <b/>
        <sz val="12"/>
        <color theme="1"/>
        <rFont val="Calibri"/>
        <family val="2"/>
      </rPr>
      <t xml:space="preserve">Note: </t>
    </r>
    <r>
      <rPr>
        <sz val="12"/>
        <color theme="1"/>
        <rFont val="Calibri"/>
        <family val="2"/>
      </rPr>
      <t xml:space="preserve">The excess of loss reinsurance inures to the benefit of the Quota Share, so the Quota Share applies </t>
    </r>
    <r>
      <rPr>
        <i/>
        <u/>
        <sz val="12"/>
        <color theme="1"/>
        <rFont val="Calibri"/>
        <family val="2"/>
      </rPr>
      <t>after</t>
    </r>
    <r>
      <rPr>
        <sz val="12"/>
        <color theme="1"/>
        <rFont val="Calibri"/>
        <family val="2"/>
      </rPr>
      <t xml:space="preserve"> subtracting out the impact of the Excess of Loss.</t>
    </r>
  </si>
  <si>
    <t>The main functions of proportional reinsurance are to manage capital &amp; solvency margin (capital/surplus relief) and to increase capacity. Surplus share reinsurance increases capacity more effectively because it allows the ceding company to cede a smaller portion of smaller risks and a larger portion of larger risks.</t>
  </si>
  <si>
    <r>
      <rPr>
        <b/>
        <sz val="12"/>
        <color theme="1"/>
        <rFont val="Calibri"/>
        <family val="2"/>
      </rPr>
      <t>Ceding Commission</t>
    </r>
    <r>
      <rPr>
        <sz val="12"/>
        <color theme="1"/>
        <rFont val="Calibri"/>
        <family val="2"/>
      </rPr>
      <t xml:space="preserve"> - Usually paid by the reinsurer to the ceding company to reimburse for expenses related to issuing the underlying policies (acquisition &amp; underwriting expenses).</t>
    </r>
  </si>
  <si>
    <t>• You could be given a % retained as opposed to % ceded for a quota share</t>
  </si>
  <si>
    <t>• Pay attention to whether other reinsurance applies first. If so, use the Net Retained numbers after the first reinsurance applies.</t>
  </si>
  <si>
    <r>
      <rPr>
        <b/>
        <sz val="12"/>
        <color theme="1"/>
        <rFont val="Calibri"/>
        <family val="2"/>
      </rPr>
      <t>Risks-attaching</t>
    </r>
    <r>
      <rPr>
        <sz val="12"/>
        <color theme="1"/>
        <rFont val="Calibri"/>
        <family val="2"/>
      </rPr>
      <t xml:space="preserve"> - Underlying policies with an inception date during the reinsurance contract effective period are covered. This means losses that occur after the reinsurance expiration date can still be covered if the risk (policy) had an inception date during the reinsurance effective period and attached to the reinsurance contract.</t>
    </r>
  </si>
  <si>
    <r>
      <rPr>
        <b/>
        <sz val="12"/>
        <color theme="1"/>
        <rFont val="Calibri"/>
        <family val="2"/>
      </rPr>
      <t xml:space="preserve">Note: </t>
    </r>
    <r>
      <rPr>
        <sz val="12"/>
        <color theme="1"/>
        <rFont val="Calibri"/>
        <family val="2"/>
      </rPr>
      <t xml:space="preserve">Here the retained is after </t>
    </r>
    <r>
      <rPr>
        <i/>
        <u/>
        <sz val="12"/>
        <color theme="1"/>
        <rFont val="Calibri"/>
        <family val="2"/>
      </rPr>
      <t>both</t>
    </r>
    <r>
      <rPr>
        <sz val="12"/>
        <color theme="1"/>
        <rFont val="Calibri"/>
        <family val="2"/>
      </rPr>
      <t xml:space="preserve"> the excess of loss and proportional reinsurance are subtracted.</t>
    </r>
  </si>
  <si>
    <t xml:space="preserve">Net Reported Loss = </t>
  </si>
  <si>
    <t>Development</t>
  </si>
  <si>
    <t>A reinsurer has the following net reported losses after retrocessions for losses associated with catastrophe events for property catastrophe reinsurance as of 12/31/2022:</t>
  </si>
  <si>
    <t>Property Reinsurance Catastrophe - Net Reported Losses as of (months)</t>
  </si>
  <si>
    <t>Wtd LDF</t>
  </si>
  <si>
    <t>The reinsurance actuary identified the following specific, large catastrophes in the experience period and selected an estimated ultimate loss based on discussions with the claims team and a review of indications from catastrophe models.</t>
  </si>
  <si>
    <t>Calculate the net loss to date excluding the specific, large catastrophes. Make sure to subtract out the reported (or paid) loss to date for the large catastrophes, not the ultimate loss of the catastrophes.</t>
  </si>
  <si>
    <t>Losses ex Large CAT</t>
  </si>
  <si>
    <t>Because of the significant volatility in property reinsurance catastrophe age-to-age factors, methods using development factors are often not appropriate. In the approach above, we develop catastrophe losses excluding specifically large CAT losses using the development method and then add an estimated ultimate loss amount for large CAT losses. The actuary can get estimates of ultimate losses for large catastrophes from the claims team and from catastrophe models.</t>
  </si>
  <si>
    <r>
      <t xml:space="preserve">Unusually large losses and catastrophe losses can significantly distort development factors and patterns. For a reinsurer covering catastrophe losses, the large catastrophe losses </t>
    </r>
    <r>
      <rPr>
        <i/>
        <u/>
        <sz val="12"/>
        <color theme="1"/>
        <rFont val="Calibri"/>
        <family val="2"/>
      </rPr>
      <t>are included</t>
    </r>
    <r>
      <rPr>
        <sz val="12"/>
        <color theme="1"/>
        <rFont val="Calibri"/>
        <family val="2"/>
      </rPr>
      <t xml:space="preserve"> in the development triangle for property catastrophe losses when calculating LDFs. </t>
    </r>
  </si>
  <si>
    <t>Ultimate Large CAT Loss</t>
  </si>
  <si>
    <r>
      <t xml:space="preserve">Calculate the projected ultimate catastrophe loss by developing the catastrophe losses excluding the large catastrophes to ultimate and adding in a selected ultimate loss for the large catastrophes. Use CDFs calculated from the catastrophe loss triangle that includes </t>
    </r>
    <r>
      <rPr>
        <b/>
        <i/>
        <u/>
        <sz val="12"/>
        <color theme="1"/>
        <rFont val="Calibri"/>
        <family val="2"/>
      </rPr>
      <t>all catastrophe losses</t>
    </r>
    <r>
      <rPr>
        <b/>
        <sz val="12"/>
        <color theme="1"/>
        <rFont val="Calibri"/>
        <family val="2"/>
      </rPr>
      <t>.</t>
    </r>
  </si>
  <si>
    <t>Exam Spreadsheet Tips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</si>
</sst>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1" formatCode="_(* #,##0_);_(* \(#,##0\);_(* &quot;-&quot;_);_(@_)"/>
    <numFmt numFmtId="44" formatCode="_(&quot;$&quot;* #,##0.00_);_(&quot;$&quot;* \(#,##0.00\);_(&quot;$&quot;* &quot;-&quot;??_);_(@_)"/>
    <numFmt numFmtId="164" formatCode="_(&quot;$&quot;* #,##0_);_(&quot;$&quot;* \(#,##0\);_(&quot;$&quot;* &quot;-&quot;??_);_(@_)"/>
    <numFmt numFmtId="165" formatCode="0.000"/>
    <numFmt numFmtId="166" formatCode="&quot;$&quot;#,##0"/>
    <numFmt numFmtId="167" formatCode="_-* #,##0_-;\-* #,##0_-;_-* &quot;-&quot;??_-;_-@_-"/>
    <numFmt numFmtId="168" formatCode="_-* #,##0.000_-;\-* #,##0.000_-;_-* &quot;-&quot;??_-;_-@_-"/>
    <numFmt numFmtId="169" formatCode="0.0%"/>
    <numFmt numFmtId="170" formatCode="#,##0.000"/>
  </numFmts>
  <fonts count="18"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b/>
      <sz val="12"/>
      <color theme="1"/>
      <name val="Calibri"/>
      <family val="2"/>
    </font>
    <font>
      <sz val="12"/>
      <color theme="1"/>
      <name val="Calibri"/>
      <family val="2"/>
      <scheme val="minor"/>
    </font>
    <font>
      <b/>
      <sz val="14"/>
      <color theme="1"/>
      <name val="Calibri"/>
      <family val="2"/>
    </font>
    <font>
      <u/>
      <sz val="12"/>
      <color theme="1"/>
      <name val="Calibri"/>
      <family val="2"/>
    </font>
    <font>
      <sz val="14"/>
      <color theme="1"/>
      <name val="Calibri"/>
      <family val="2"/>
    </font>
    <font>
      <sz val="11"/>
      <color theme="1"/>
      <name val="Calibri"/>
      <family val="2"/>
    </font>
    <font>
      <u/>
      <sz val="14"/>
      <color theme="1"/>
      <name val="Calibri"/>
      <family val="2"/>
    </font>
    <font>
      <b/>
      <u/>
      <sz val="12"/>
      <color theme="1"/>
      <name val="Calibri"/>
      <family val="2"/>
    </font>
    <font>
      <i/>
      <u/>
      <sz val="12"/>
      <color theme="1"/>
      <name val="Calibri"/>
      <family val="2"/>
    </font>
    <font>
      <b/>
      <i/>
      <u/>
      <sz val="12"/>
      <color theme="1"/>
      <name val="Calibri"/>
      <family val="2"/>
    </font>
    <font>
      <i/>
      <sz val="12"/>
      <color theme="1"/>
      <name val="Calibri"/>
      <family val="2"/>
    </font>
    <font>
      <sz val="12"/>
      <color rgb="FF000000"/>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4">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209">
    <xf numFmtId="0" fontId="0" fillId="0" borderId="0" xfId="0"/>
    <xf numFmtId="0" fontId="8" fillId="2" borderId="1" xfId="0" applyFont="1" applyFill="1" applyBorder="1"/>
    <xf numFmtId="0" fontId="6" fillId="2" borderId="0" xfId="0" applyFont="1" applyFill="1"/>
    <xf numFmtId="0" fontId="8" fillId="0" borderId="0" xfId="0" applyFont="1"/>
    <xf numFmtId="0" fontId="6"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9" fillId="0" borderId="0" xfId="0" applyFont="1"/>
    <xf numFmtId="0" fontId="9" fillId="2" borderId="0" xfId="0" applyFont="1" applyFill="1"/>
    <xf numFmtId="0" fontId="6" fillId="0" borderId="0" xfId="0" applyFont="1" applyAlignment="1">
      <alignment wrapText="1"/>
    </xf>
    <xf numFmtId="0" fontId="6" fillId="0" borderId="0" xfId="0" applyFont="1" applyAlignment="1">
      <alignment horizontal="right"/>
    </xf>
    <xf numFmtId="0" fontId="9" fillId="0" borderId="0" xfId="0" applyFont="1" applyAlignment="1">
      <alignment horizontal="center" wrapText="1"/>
    </xf>
    <xf numFmtId="0" fontId="9" fillId="2" borderId="16" xfId="0" applyFont="1" applyFill="1" applyBorder="1"/>
    <xf numFmtId="0" fontId="9" fillId="2" borderId="18" xfId="0" applyFont="1" applyFill="1" applyBorder="1"/>
    <xf numFmtId="0" fontId="6" fillId="0" borderId="0" xfId="0" applyFont="1" applyAlignment="1">
      <alignment horizontal="left" wrapText="1"/>
    </xf>
    <xf numFmtId="0" fontId="5" fillId="2" borderId="0" xfId="0" applyFont="1" applyFill="1"/>
    <xf numFmtId="0" fontId="5" fillId="2" borderId="2" xfId="0" applyFont="1" applyFill="1" applyBorder="1"/>
    <xf numFmtId="0" fontId="5" fillId="0" borderId="0" xfId="0" applyFont="1"/>
    <xf numFmtId="2" fontId="5" fillId="2" borderId="1" xfId="0" applyNumberFormat="1" applyFont="1" applyFill="1" applyBorder="1" applyAlignment="1">
      <alignment horizontal="left"/>
    </xf>
    <xf numFmtId="0" fontId="5" fillId="2" borderId="0" xfId="0" applyFont="1" applyFill="1" applyAlignment="1">
      <alignment horizontal="left" vertical="top" wrapText="1"/>
    </xf>
    <xf numFmtId="0" fontId="5" fillId="2" borderId="22" xfId="0" applyFont="1" applyFill="1" applyBorder="1" applyAlignment="1">
      <alignment horizontal="center"/>
    </xf>
    <xf numFmtId="0" fontId="5" fillId="2" borderId="17" xfId="0" applyFont="1" applyFill="1" applyBorder="1" applyAlignment="1">
      <alignment horizontal="center" wrapText="1"/>
    </xf>
    <xf numFmtId="3" fontId="5" fillId="2" borderId="16" xfId="0" applyNumberFormat="1" applyFont="1" applyFill="1" applyBorder="1" applyAlignment="1">
      <alignment horizontal="center" vertical="center"/>
    </xf>
    <xf numFmtId="3" fontId="5" fillId="2" borderId="19" xfId="0" applyNumberFormat="1" applyFont="1" applyFill="1" applyBorder="1" applyAlignment="1">
      <alignment horizontal="center" vertical="center"/>
    </xf>
    <xf numFmtId="3" fontId="5" fillId="2" borderId="11" xfId="0" applyNumberFormat="1" applyFont="1" applyFill="1" applyBorder="1" applyAlignment="1">
      <alignment horizontal="center" vertical="center"/>
    </xf>
    <xf numFmtId="3" fontId="5" fillId="2" borderId="18" xfId="0" applyNumberFormat="1" applyFont="1" applyFill="1" applyBorder="1" applyAlignment="1">
      <alignment horizontal="center" vertical="center"/>
    </xf>
    <xf numFmtId="3" fontId="5" fillId="2" borderId="20" xfId="0" applyNumberFormat="1" applyFont="1" applyFill="1" applyBorder="1" applyAlignment="1">
      <alignment horizontal="center" vertical="center"/>
    </xf>
    <xf numFmtId="3" fontId="5" fillId="2" borderId="5" xfId="0" applyNumberFormat="1" applyFont="1" applyFill="1" applyBorder="1" applyAlignment="1">
      <alignment horizontal="center" vertical="center"/>
    </xf>
    <xf numFmtId="3" fontId="5" fillId="2" borderId="17" xfId="0" applyNumberFormat="1" applyFont="1" applyFill="1" applyBorder="1" applyAlignment="1">
      <alignment horizontal="center" vertical="center"/>
    </xf>
    <xf numFmtId="3" fontId="5" fillId="2" borderId="13" xfId="0" applyNumberFormat="1" applyFont="1" applyFill="1" applyBorder="1" applyAlignment="1">
      <alignment horizontal="center" vertical="center"/>
    </xf>
    <xf numFmtId="3" fontId="5" fillId="2" borderId="4" xfId="0" applyNumberFormat="1" applyFont="1" applyFill="1" applyBorder="1" applyAlignment="1">
      <alignment horizontal="center" vertical="center"/>
    </xf>
    <xf numFmtId="3" fontId="5" fillId="2" borderId="0" xfId="0" applyNumberFormat="1" applyFont="1" applyFill="1" applyAlignment="1">
      <alignment horizontal="center" vertical="center"/>
    </xf>
    <xf numFmtId="0" fontId="5" fillId="2" borderId="0" xfId="0" applyFont="1" applyFill="1" applyAlignment="1">
      <alignment vertical="top"/>
    </xf>
    <xf numFmtId="9" fontId="5" fillId="2" borderId="0" xfId="2" applyFont="1" applyFill="1" applyAlignment="1">
      <alignment horizontal="center" vertical="center"/>
    </xf>
    <xf numFmtId="6"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left" vertical="top" indent="1"/>
    </xf>
    <xf numFmtId="0" fontId="5" fillId="2" borderId="6" xfId="0" applyFont="1" applyFill="1" applyBorder="1"/>
    <xf numFmtId="0" fontId="5" fillId="2" borderId="7" xfId="0" applyFont="1" applyFill="1" applyBorder="1"/>
    <xf numFmtId="164" fontId="5" fillId="2" borderId="7" xfId="1" applyNumberFormat="1" applyFont="1" applyFill="1" applyBorder="1"/>
    <xf numFmtId="0" fontId="5" fillId="2" borderId="8" xfId="0" applyFont="1" applyFill="1" applyBorder="1"/>
    <xf numFmtId="165" fontId="5" fillId="0" borderId="0" xfId="0" applyNumberFormat="1" applyFont="1"/>
    <xf numFmtId="0" fontId="5" fillId="0" borderId="4" xfId="0" applyFont="1" applyBorder="1" applyAlignment="1">
      <alignment horizontal="center" wrapText="1"/>
    </xf>
    <xf numFmtId="0" fontId="5" fillId="0" borderId="3" xfId="0" applyFont="1" applyBorder="1" applyAlignment="1">
      <alignment horizontal="center" wrapText="1"/>
    </xf>
    <xf numFmtId="3" fontId="5" fillId="0" borderId="5" xfId="0" applyNumberFormat="1" applyFont="1" applyBorder="1" applyAlignment="1">
      <alignment horizontal="center" vertical="center"/>
    </xf>
    <xf numFmtId="3" fontId="5" fillId="0" borderId="0" xfId="0" applyNumberFormat="1" applyFont="1" applyAlignment="1">
      <alignment horizontal="center" vertical="center"/>
    </xf>
    <xf numFmtId="0" fontId="5" fillId="0" borderId="0" xfId="0" applyFont="1" applyAlignment="1">
      <alignment horizontal="left" vertical="top" wrapText="1"/>
    </xf>
    <xf numFmtId="0" fontId="5" fillId="0" borderId="0" xfId="0" applyFont="1" applyAlignment="1">
      <alignment horizontal="center"/>
    </xf>
    <xf numFmtId="3" fontId="5" fillId="0" borderId="0" xfId="0" applyNumberFormat="1" applyFont="1" applyAlignment="1">
      <alignment horizontal="center"/>
    </xf>
    <xf numFmtId="9" fontId="5" fillId="0" borderId="0" xfId="2" applyFont="1" applyFill="1" applyBorder="1" applyAlignment="1">
      <alignment horizontal="center" vertical="center"/>
    </xf>
    <xf numFmtId="0" fontId="5" fillId="0" borderId="0" xfId="0" applyFont="1" applyAlignment="1">
      <alignment horizontal="left" vertical="center"/>
    </xf>
    <xf numFmtId="0" fontId="5" fillId="0" borderId="0" xfId="0" applyFont="1" applyAlignment="1">
      <alignment vertical="top" wrapText="1"/>
    </xf>
    <xf numFmtId="0" fontId="5" fillId="2" borderId="14" xfId="0" applyFont="1" applyFill="1" applyBorder="1" applyAlignment="1">
      <alignment horizontal="center"/>
    </xf>
    <xf numFmtId="0" fontId="5" fillId="2" borderId="23" xfId="0" applyFont="1" applyFill="1" applyBorder="1" applyAlignment="1">
      <alignment horizontal="center"/>
    </xf>
    <xf numFmtId="0" fontId="5" fillId="2" borderId="16" xfId="0" applyFont="1" applyFill="1" applyBorder="1" applyAlignment="1">
      <alignment horizontal="center"/>
    </xf>
    <xf numFmtId="3" fontId="5" fillId="2" borderId="0" xfId="0" applyNumberFormat="1" applyFont="1" applyFill="1" applyAlignment="1">
      <alignment horizontal="center"/>
    </xf>
    <xf numFmtId="3" fontId="5" fillId="2" borderId="5" xfId="0" applyNumberFormat="1" applyFont="1" applyFill="1" applyBorder="1" applyAlignment="1">
      <alignment horizontal="center"/>
    </xf>
    <xf numFmtId="0" fontId="5" fillId="2" borderId="18" xfId="0" applyFont="1" applyFill="1" applyBorder="1" applyAlignment="1">
      <alignment horizontal="center"/>
    </xf>
    <xf numFmtId="0" fontId="5" fillId="2" borderId="17" xfId="0" applyFont="1" applyFill="1" applyBorder="1" applyAlignment="1">
      <alignment horizontal="center"/>
    </xf>
    <xf numFmtId="3" fontId="5" fillId="2" borderId="3" xfId="0" applyNumberFormat="1" applyFont="1" applyFill="1" applyBorder="1" applyAlignment="1">
      <alignment horizontal="center"/>
    </xf>
    <xf numFmtId="3" fontId="5" fillId="2" borderId="4" xfId="0" applyNumberFormat="1" applyFont="1" applyFill="1" applyBorder="1" applyAlignment="1">
      <alignment horizontal="center"/>
    </xf>
    <xf numFmtId="8" fontId="5" fillId="2" borderId="0" xfId="0" applyNumberFormat="1" applyFont="1" applyFill="1" applyAlignment="1">
      <alignment horizontal="left"/>
    </xf>
    <xf numFmtId="2" fontId="5" fillId="2" borderId="0" xfId="0" applyNumberFormat="1" applyFont="1" applyFill="1" applyAlignment="1">
      <alignment horizontal="center"/>
    </xf>
    <xf numFmtId="2" fontId="5" fillId="2" borderId="5" xfId="0" applyNumberFormat="1" applyFont="1" applyFill="1" applyBorder="1" applyAlignment="1">
      <alignment horizontal="center"/>
    </xf>
    <xf numFmtId="2" fontId="5" fillId="2" borderId="3" xfId="0" applyNumberFormat="1" applyFont="1" applyFill="1" applyBorder="1" applyAlignment="1">
      <alignment horizontal="center"/>
    </xf>
    <xf numFmtId="2" fontId="5" fillId="2" borderId="4" xfId="0" applyNumberFormat="1" applyFont="1" applyFill="1" applyBorder="1" applyAlignment="1">
      <alignment horizontal="center"/>
    </xf>
    <xf numFmtId="0" fontId="5" fillId="0" borderId="4" xfId="0" applyFont="1" applyBorder="1" applyAlignment="1">
      <alignment horizontal="center"/>
    </xf>
    <xf numFmtId="0" fontId="5" fillId="0" borderId="3" xfId="0" applyFont="1" applyBorder="1" applyAlignment="1">
      <alignment horizontal="center"/>
    </xf>
    <xf numFmtId="0" fontId="5" fillId="0" borderId="11" xfId="0" applyFont="1" applyBorder="1" applyAlignment="1">
      <alignment horizontal="center"/>
    </xf>
    <xf numFmtId="0" fontId="5" fillId="0" borderId="5" xfId="0" applyFont="1" applyBorder="1" applyAlignment="1">
      <alignment horizontal="center"/>
    </xf>
    <xf numFmtId="49" fontId="5" fillId="0" borderId="3" xfId="0" applyNumberFormat="1" applyFont="1" applyBorder="1" applyAlignment="1">
      <alignment horizontal="center"/>
    </xf>
    <xf numFmtId="4" fontId="5" fillId="0" borderId="0" xfId="0" applyNumberFormat="1" applyFont="1" applyAlignment="1">
      <alignment horizontal="center"/>
    </xf>
    <xf numFmtId="0" fontId="5" fillId="2" borderId="14" xfId="0" applyFont="1" applyFill="1" applyBorder="1" applyAlignment="1">
      <alignment horizontal="center" wrapText="1"/>
    </xf>
    <xf numFmtId="3" fontId="5" fillId="2" borderId="5" xfId="0" applyNumberFormat="1" applyFont="1" applyFill="1" applyBorder="1" applyAlignment="1">
      <alignment horizontal="center" vertical="top" wrapText="1"/>
    </xf>
    <xf numFmtId="3" fontId="5" fillId="2" borderId="4" xfId="0" applyNumberFormat="1" applyFont="1" applyFill="1" applyBorder="1" applyAlignment="1">
      <alignment horizontal="center" vertical="top" wrapText="1"/>
    </xf>
    <xf numFmtId="0" fontId="5" fillId="2" borderId="0" xfId="0" applyFont="1" applyFill="1" applyAlignment="1">
      <alignment vertical="top" wrapText="1"/>
    </xf>
    <xf numFmtId="49" fontId="5" fillId="2" borderId="23" xfId="0" applyNumberFormat="1" applyFont="1" applyFill="1" applyBorder="1" applyAlignment="1">
      <alignment horizontal="center"/>
    </xf>
    <xf numFmtId="170" fontId="5" fillId="2" borderId="0" xfId="0" applyNumberFormat="1" applyFont="1" applyFill="1" applyAlignment="1">
      <alignment horizontal="center"/>
    </xf>
    <xf numFmtId="170" fontId="5" fillId="2" borderId="5" xfId="0" applyNumberFormat="1" applyFont="1" applyFill="1" applyBorder="1" applyAlignment="1">
      <alignment horizontal="center"/>
    </xf>
    <xf numFmtId="170" fontId="5" fillId="2" borderId="3" xfId="0" applyNumberFormat="1" applyFont="1" applyFill="1" applyBorder="1" applyAlignment="1">
      <alignment horizontal="center"/>
    </xf>
    <xf numFmtId="170" fontId="5" fillId="2" borderId="4" xfId="0" applyNumberFormat="1" applyFont="1" applyFill="1" applyBorder="1" applyAlignment="1">
      <alignment horizontal="center"/>
    </xf>
    <xf numFmtId="168" fontId="5" fillId="2" borderId="0" xfId="0" applyNumberFormat="1" applyFont="1" applyFill="1" applyAlignment="1">
      <alignment horizontal="center"/>
    </xf>
    <xf numFmtId="165" fontId="5" fillId="2" borderId="3" xfId="0" applyNumberFormat="1" applyFont="1" applyFill="1" applyBorder="1" applyAlignment="1">
      <alignment horizontal="center"/>
    </xf>
    <xf numFmtId="165" fontId="5" fillId="2" borderId="4" xfId="0" applyNumberFormat="1" applyFont="1" applyFill="1" applyBorder="1" applyAlignment="1">
      <alignment horizontal="center"/>
    </xf>
    <xf numFmtId="0" fontId="5" fillId="2" borderId="0" xfId="0" applyFont="1" applyFill="1" applyAlignment="1">
      <alignment horizontal="left" indent="1"/>
    </xf>
    <xf numFmtId="9" fontId="5" fillId="2" borderId="0" xfId="2" applyFont="1" applyFill="1" applyAlignment="1">
      <alignment horizontal="center"/>
    </xf>
    <xf numFmtId="165" fontId="5" fillId="2" borderId="0" xfId="0" applyNumberFormat="1" applyFont="1" applyFill="1" applyAlignment="1">
      <alignment horizontal="center"/>
    </xf>
    <xf numFmtId="0" fontId="5" fillId="2" borderId="0" xfId="0" applyFont="1" applyFill="1" applyAlignment="1">
      <alignment horizontal="left" vertical="center" indent="1"/>
    </xf>
    <xf numFmtId="0" fontId="5" fillId="2" borderId="0" xfId="0" applyFont="1" applyFill="1" applyAlignment="1">
      <alignment vertical="center"/>
    </xf>
    <xf numFmtId="0" fontId="5" fillId="0" borderId="5" xfId="0" applyFont="1" applyBorder="1"/>
    <xf numFmtId="165" fontId="5" fillId="0" borderId="0" xfId="0" applyNumberFormat="1" applyFont="1" applyAlignment="1">
      <alignment horizontal="center"/>
    </xf>
    <xf numFmtId="3" fontId="5" fillId="0" borderId="3" xfId="0" applyNumberFormat="1" applyFont="1" applyBorder="1" applyAlignment="1">
      <alignment horizontal="center"/>
    </xf>
    <xf numFmtId="165" fontId="5" fillId="0" borderId="3" xfId="0" applyNumberFormat="1" applyFont="1" applyBorder="1" applyAlignment="1">
      <alignment horizontal="center"/>
    </xf>
    <xf numFmtId="10" fontId="5" fillId="0" borderId="0" xfId="2" applyNumberFormat="1" applyFont="1" applyFill="1" applyAlignment="1">
      <alignment horizontal="center"/>
    </xf>
    <xf numFmtId="169" fontId="5" fillId="0" borderId="0" xfId="2" applyNumberFormat="1" applyFont="1" applyFill="1" applyAlignment="1">
      <alignment horizontal="center"/>
    </xf>
    <xf numFmtId="169" fontId="5" fillId="0" borderId="3" xfId="2" applyNumberFormat="1" applyFont="1" applyFill="1" applyBorder="1" applyAlignment="1">
      <alignment horizontal="center"/>
    </xf>
    <xf numFmtId="167" fontId="5" fillId="2" borderId="0" xfId="0" applyNumberFormat="1" applyFont="1" applyFill="1"/>
    <xf numFmtId="167" fontId="5" fillId="2" borderId="5" xfId="0" applyNumberFormat="1" applyFont="1" applyFill="1" applyBorder="1"/>
    <xf numFmtId="167" fontId="5" fillId="2" borderId="3" xfId="0" applyNumberFormat="1" applyFont="1" applyFill="1" applyBorder="1"/>
    <xf numFmtId="167" fontId="5" fillId="2" borderId="4" xfId="0" applyNumberFormat="1" applyFont="1" applyFill="1" applyBorder="1"/>
    <xf numFmtId="168" fontId="5" fillId="2" borderId="3" xfId="0" applyNumberFormat="1" applyFont="1" applyFill="1" applyBorder="1" applyAlignment="1">
      <alignment horizontal="center"/>
    </xf>
    <xf numFmtId="168" fontId="5" fillId="2" borderId="4" xfId="0" applyNumberFormat="1" applyFont="1" applyFill="1" applyBorder="1" applyAlignment="1">
      <alignment horizontal="center"/>
    </xf>
    <xf numFmtId="0" fontId="5" fillId="2" borderId="23" xfId="0" applyFont="1" applyFill="1" applyBorder="1" applyAlignment="1">
      <alignment horizontal="center" wrapText="1"/>
    </xf>
    <xf numFmtId="0" fontId="5" fillId="2" borderId="22" xfId="0" applyFont="1" applyFill="1" applyBorder="1" applyAlignment="1">
      <alignment horizontal="center" wrapText="1"/>
    </xf>
    <xf numFmtId="3" fontId="5" fillId="2" borderId="3" xfId="0" applyNumberFormat="1" applyFont="1" applyFill="1" applyBorder="1" applyAlignment="1">
      <alignment horizontal="center" vertical="center"/>
    </xf>
    <xf numFmtId="41" fontId="5" fillId="0" borderId="0" xfId="0" applyNumberFormat="1" applyFont="1" applyAlignment="1">
      <alignment horizontal="center"/>
    </xf>
    <xf numFmtId="167" fontId="5" fillId="0" borderId="0" xfId="0" applyNumberFormat="1" applyFont="1"/>
    <xf numFmtId="167" fontId="5" fillId="0" borderId="3" xfId="0" applyNumberFormat="1" applyFont="1" applyBorder="1"/>
    <xf numFmtId="0" fontId="5" fillId="2" borderId="18"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0" xfId="0" applyFont="1" applyFill="1" applyAlignment="1">
      <alignment horizontal="left"/>
    </xf>
    <xf numFmtId="14" fontId="5" fillId="2" borderId="0" xfId="0" applyNumberFormat="1" applyFont="1" applyFill="1" applyAlignment="1">
      <alignment horizontal="center"/>
    </xf>
    <xf numFmtId="14" fontId="5" fillId="2" borderId="3" xfId="0" applyNumberFormat="1" applyFont="1" applyFill="1" applyBorder="1" applyAlignment="1">
      <alignment horizontal="center"/>
    </xf>
    <xf numFmtId="9" fontId="5" fillId="2" borderId="5" xfId="0" applyNumberFormat="1" applyFont="1" applyFill="1" applyBorder="1" applyAlignment="1">
      <alignment horizontal="center"/>
    </xf>
    <xf numFmtId="9" fontId="5" fillId="2" borderId="4" xfId="0" applyNumberFormat="1" applyFont="1" applyFill="1" applyBorder="1" applyAlignment="1">
      <alignment horizontal="center"/>
    </xf>
    <xf numFmtId="0" fontId="5" fillId="0" borderId="5" xfId="0" applyFont="1" applyBorder="1" applyAlignment="1">
      <alignment horizontal="center" vertical="center"/>
    </xf>
    <xf numFmtId="14" fontId="5" fillId="0" borderId="0" xfId="0" applyNumberFormat="1" applyFont="1" applyAlignment="1">
      <alignment horizontal="center"/>
    </xf>
    <xf numFmtId="0" fontId="5" fillId="0" borderId="0" xfId="0" applyFont="1" applyAlignment="1">
      <alignment horizontal="left" wrapText="1"/>
    </xf>
    <xf numFmtId="0" fontId="5" fillId="0" borderId="0" xfId="0" applyFont="1" applyAlignment="1">
      <alignment wrapText="1"/>
    </xf>
    <xf numFmtId="0" fontId="5" fillId="0" borderId="0" xfId="0" applyFont="1" applyAlignment="1">
      <alignment horizontal="center" vertical="center"/>
    </xf>
    <xf numFmtId="0" fontId="5" fillId="0" borderId="4" xfId="0" applyFont="1" applyBorder="1" applyAlignment="1">
      <alignment horizontal="center" vertical="center"/>
    </xf>
    <xf numFmtId="3" fontId="5" fillId="0" borderId="3" xfId="0" applyNumberFormat="1" applyFont="1" applyBorder="1" applyAlignment="1">
      <alignment horizontal="center" vertical="center"/>
    </xf>
    <xf numFmtId="3" fontId="5" fillId="0" borderId="4" xfId="0" applyNumberFormat="1" applyFont="1" applyBorder="1" applyAlignment="1">
      <alignment horizontal="center" vertical="center"/>
    </xf>
    <xf numFmtId="9" fontId="5" fillId="2" borderId="0" xfId="0" applyNumberFormat="1" applyFont="1" applyFill="1"/>
    <xf numFmtId="9" fontId="5" fillId="2" borderId="0" xfId="0" applyNumberFormat="1" applyFont="1" applyFill="1" applyAlignment="1">
      <alignment horizontal="center"/>
    </xf>
    <xf numFmtId="3" fontId="5" fillId="2" borderId="0" xfId="0" applyNumberFormat="1" applyFont="1" applyFill="1" applyAlignment="1">
      <alignment horizontal="left" vertical="center"/>
    </xf>
    <xf numFmtId="0" fontId="5" fillId="2" borderId="5" xfId="0" applyFont="1" applyFill="1" applyBorder="1"/>
    <xf numFmtId="3" fontId="5" fillId="2" borderId="3" xfId="0" applyNumberFormat="1" applyFont="1" applyFill="1" applyBorder="1" applyAlignment="1">
      <alignment horizontal="left" vertical="center"/>
    </xf>
    <xf numFmtId="0" fontId="5" fillId="2" borderId="4" xfId="0" applyFont="1" applyFill="1" applyBorder="1"/>
    <xf numFmtId="14" fontId="5" fillId="2" borderId="5" xfId="0" applyNumberFormat="1" applyFont="1" applyFill="1" applyBorder="1" applyAlignment="1">
      <alignment horizontal="center"/>
    </xf>
    <xf numFmtId="0" fontId="5" fillId="2" borderId="3" xfId="0" applyFont="1" applyFill="1" applyBorder="1" applyAlignment="1">
      <alignment horizontal="center"/>
    </xf>
    <xf numFmtId="14" fontId="5" fillId="2" borderId="4" xfId="0" applyNumberFormat="1" applyFont="1" applyFill="1" applyBorder="1" applyAlignment="1">
      <alignment horizontal="center"/>
    </xf>
    <xf numFmtId="0" fontId="5" fillId="0" borderId="13" xfId="0" applyFont="1" applyBorder="1" applyAlignment="1">
      <alignment horizontal="left" wrapText="1"/>
    </xf>
    <xf numFmtId="0" fontId="5" fillId="0" borderId="4" xfId="0" applyFont="1" applyBorder="1" applyAlignment="1">
      <alignment horizontal="left" wrapText="1"/>
    </xf>
    <xf numFmtId="0" fontId="5" fillId="0" borderId="3" xfId="0" applyFont="1" applyBorder="1" applyAlignment="1">
      <alignment horizontal="left" wrapText="1"/>
    </xf>
    <xf numFmtId="3" fontId="5" fillId="0" borderId="0" xfId="0" applyNumberFormat="1" applyFont="1" applyAlignment="1">
      <alignment horizontal="center" vertical="top" wrapText="1"/>
    </xf>
    <xf numFmtId="3" fontId="5" fillId="0" borderId="5" xfId="0" applyNumberFormat="1" applyFont="1" applyBorder="1" applyAlignment="1">
      <alignment horizontal="center" vertical="top" wrapText="1"/>
    </xf>
    <xf numFmtId="0" fontId="17" fillId="0" borderId="0" xfId="0" applyFont="1"/>
    <xf numFmtId="0" fontId="5" fillId="0" borderId="0" xfId="0" applyFont="1" applyAlignment="1">
      <alignment vertical="top"/>
    </xf>
    <xf numFmtId="0" fontId="5" fillId="0" borderId="0" xfId="0" applyFont="1" applyAlignment="1">
      <alignment horizontal="left" vertical="top"/>
    </xf>
    <xf numFmtId="0" fontId="5" fillId="0" borderId="13" xfId="0" applyFont="1" applyBorder="1" applyAlignment="1">
      <alignment horizontal="center" wrapText="1"/>
    </xf>
    <xf numFmtId="165" fontId="5" fillId="0" borderId="13" xfId="0" applyNumberFormat="1" applyFont="1" applyBorder="1" applyAlignment="1">
      <alignment horizontal="center"/>
    </xf>
    <xf numFmtId="3" fontId="5" fillId="0" borderId="0" xfId="0" applyNumberFormat="1" applyFont="1" applyAlignment="1">
      <alignment horizontal="left" vertical="center" wrapText="1"/>
    </xf>
    <xf numFmtId="3" fontId="5" fillId="0" borderId="10" xfId="0" applyNumberFormat="1" applyFont="1" applyBorder="1" applyAlignment="1">
      <alignment horizontal="center"/>
    </xf>
    <xf numFmtId="0" fontId="6" fillId="0" borderId="0" xfId="0" applyFont="1" applyAlignment="1">
      <alignment vertical="top" wrapText="1"/>
    </xf>
    <xf numFmtId="0" fontId="4" fillId="0" borderId="0" xfId="0" applyFont="1"/>
    <xf numFmtId="0" fontId="5" fillId="0" borderId="9" xfId="0" applyFont="1" applyBorder="1"/>
    <xf numFmtId="0" fontId="5" fillId="0" borderId="12" xfId="0" applyFont="1" applyBorder="1"/>
    <xf numFmtId="166" fontId="5" fillId="0" borderId="10" xfId="1" applyNumberFormat="1" applyFont="1" applyFill="1" applyBorder="1"/>
    <xf numFmtId="0" fontId="5" fillId="0" borderId="0" xfId="0" applyFont="1" applyAlignment="1">
      <alignment horizontal="left" vertical="top" indent="2"/>
    </xf>
    <xf numFmtId="0" fontId="5" fillId="3" borderId="5" xfId="0" applyFont="1" applyFill="1" applyBorder="1" applyAlignment="1">
      <alignment horizontal="center" vertical="center"/>
    </xf>
    <xf numFmtId="3" fontId="5" fillId="3" borderId="0" xfId="0" applyNumberFormat="1" applyFont="1" applyFill="1" applyAlignment="1">
      <alignment horizontal="center" vertical="center"/>
    </xf>
    <xf numFmtId="167" fontId="5" fillId="0" borderId="5" xfId="0" applyNumberFormat="1" applyFont="1" applyBorder="1"/>
    <xf numFmtId="167" fontId="5" fillId="0" borderId="4" xfId="0" applyNumberFormat="1" applyFont="1" applyBorder="1"/>
    <xf numFmtId="0" fontId="4" fillId="0" borderId="0" xfId="0" applyFont="1" applyAlignment="1">
      <alignment horizontal="center"/>
    </xf>
    <xf numFmtId="2" fontId="5" fillId="0" borderId="0" xfId="0" applyNumberFormat="1" applyFont="1"/>
    <xf numFmtId="0" fontId="9" fillId="0" borderId="0" xfId="0" applyFont="1" applyAlignment="1">
      <alignment horizontal="center"/>
    </xf>
    <xf numFmtId="0" fontId="3" fillId="2" borderId="17" xfId="0" applyFont="1" applyFill="1" applyBorder="1" applyAlignment="1">
      <alignment horizontal="center"/>
    </xf>
    <xf numFmtId="0" fontId="2" fillId="0" borderId="0" xfId="0" applyFont="1" applyAlignment="1">
      <alignment vertical="top" wrapText="1"/>
    </xf>
    <xf numFmtId="0" fontId="2" fillId="2" borderId="0" xfId="0" applyFont="1" applyFill="1" applyAlignment="1">
      <alignment horizontal="left" vertical="top" wrapText="1"/>
    </xf>
    <xf numFmtId="0" fontId="2" fillId="0" borderId="4" xfId="0" applyFont="1" applyBorder="1" applyAlignment="1">
      <alignment horizontal="center" wrapText="1"/>
    </xf>
    <xf numFmtId="0" fontId="5" fillId="0" borderId="0" xfId="0" applyFont="1" applyAlignment="1">
      <alignment horizontal="left" vertical="top" wrapText="1"/>
    </xf>
    <xf numFmtId="0" fontId="6" fillId="0" borderId="0" xfId="0" applyFont="1" applyAlignment="1">
      <alignment horizontal="left" wrapText="1"/>
    </xf>
    <xf numFmtId="0" fontId="9" fillId="0" borderId="0" xfId="0" applyFont="1" applyAlignment="1">
      <alignment horizontal="center"/>
    </xf>
    <xf numFmtId="0" fontId="5" fillId="2" borderId="0" xfId="0" applyFont="1" applyFill="1" applyAlignment="1">
      <alignment horizontal="left" vertical="top" wrapText="1"/>
    </xf>
    <xf numFmtId="0" fontId="5" fillId="2" borderId="21" xfId="0" applyFont="1" applyFill="1" applyBorder="1" applyAlignment="1">
      <alignment horizontal="center"/>
    </xf>
    <xf numFmtId="0" fontId="5" fillId="2" borderId="22" xfId="0" applyFont="1" applyFill="1" applyBorder="1" applyAlignment="1">
      <alignment horizontal="center"/>
    </xf>
    <xf numFmtId="0" fontId="5" fillId="2" borderId="11" xfId="0" applyFont="1" applyFill="1" applyBorder="1" applyAlignment="1">
      <alignment horizontal="center" wrapText="1"/>
    </xf>
    <xf numFmtId="0" fontId="5" fillId="2" borderId="4" xfId="0" applyFont="1" applyFill="1" applyBorder="1" applyAlignment="1">
      <alignment horizontal="center" wrapText="1"/>
    </xf>
    <xf numFmtId="0" fontId="5" fillId="2" borderId="19" xfId="0" applyFont="1" applyFill="1" applyBorder="1" applyAlignment="1">
      <alignment horizontal="center" wrapText="1"/>
    </xf>
    <xf numFmtId="0" fontId="5" fillId="2" borderId="13" xfId="0" applyFont="1" applyFill="1" applyBorder="1" applyAlignment="1">
      <alignment horizontal="center" wrapText="1"/>
    </xf>
    <xf numFmtId="0" fontId="5" fillId="2" borderId="15" xfId="0" applyFont="1" applyFill="1" applyBorder="1" applyAlignment="1">
      <alignment horizontal="center" wrapText="1"/>
    </xf>
    <xf numFmtId="0" fontId="5" fillId="2" borderId="3" xfId="0" applyFont="1" applyFill="1" applyBorder="1" applyAlignment="1">
      <alignment horizontal="center" wrapText="1"/>
    </xf>
    <xf numFmtId="0" fontId="5" fillId="2" borderId="23" xfId="0" applyFont="1" applyFill="1" applyBorder="1" applyAlignment="1">
      <alignment horizontal="center"/>
    </xf>
    <xf numFmtId="0" fontId="5" fillId="0" borderId="0" xfId="0" applyFont="1" applyAlignment="1">
      <alignment horizontal="left" wrapText="1"/>
    </xf>
    <xf numFmtId="0" fontId="9" fillId="0" borderId="0" xfId="0" applyFont="1" applyAlignment="1">
      <alignment horizontal="center" wrapText="1"/>
    </xf>
    <xf numFmtId="0" fontId="5" fillId="0" borderId="20" xfId="0" applyFont="1" applyBorder="1" applyAlignment="1">
      <alignment horizontal="center" wrapText="1"/>
    </xf>
    <xf numFmtId="0" fontId="5" fillId="0" borderId="13" xfId="0" applyFont="1" applyBorder="1" applyAlignment="1">
      <alignment horizontal="center" wrapText="1"/>
    </xf>
    <xf numFmtId="0" fontId="5" fillId="0" borderId="0" xfId="0" applyFont="1" applyAlignment="1">
      <alignment horizontal="center" wrapText="1"/>
    </xf>
    <xf numFmtId="0" fontId="5" fillId="0" borderId="3" xfId="0" applyFont="1" applyBorder="1" applyAlignment="1">
      <alignment horizontal="center" wrapText="1"/>
    </xf>
    <xf numFmtId="0" fontId="4" fillId="0" borderId="9" xfId="0" applyFont="1" applyBorder="1" applyAlignment="1">
      <alignment horizontal="center"/>
    </xf>
    <xf numFmtId="0" fontId="5" fillId="0" borderId="12" xfId="0" applyFont="1" applyBorder="1" applyAlignment="1">
      <alignment horizontal="center"/>
    </xf>
    <xf numFmtId="0" fontId="5" fillId="2" borderId="23" xfId="0" applyFont="1" applyFill="1" applyBorder="1" applyAlignment="1">
      <alignment horizontal="center" wrapText="1"/>
    </xf>
    <xf numFmtId="0" fontId="5" fillId="2" borderId="22" xfId="0" applyFont="1" applyFill="1" applyBorder="1" applyAlignment="1">
      <alignment horizontal="center" wrapText="1"/>
    </xf>
    <xf numFmtId="3" fontId="5" fillId="0" borderId="0" xfId="0" applyNumberFormat="1" applyFont="1" applyAlignment="1">
      <alignment horizontal="left" vertical="center" wrapText="1"/>
    </xf>
    <xf numFmtId="0" fontId="5" fillId="2" borderId="0" xfId="0" applyFont="1" applyFill="1" applyAlignment="1">
      <alignment horizontal="left" vertical="center" wrapText="1"/>
    </xf>
    <xf numFmtId="0" fontId="5" fillId="0" borderId="0" xfId="0" applyFont="1" applyAlignment="1">
      <alignment horizontal="left" vertical="center" wrapText="1"/>
    </xf>
    <xf numFmtId="0" fontId="2" fillId="2" borderId="0" xfId="0" applyFont="1" applyFill="1" applyAlignment="1">
      <alignment horizontal="left" vertical="top" wrapText="1"/>
    </xf>
    <xf numFmtId="0" fontId="2" fillId="2" borderId="21" xfId="0" applyFont="1" applyFill="1" applyBorder="1" applyAlignment="1">
      <alignment horizontal="center" vertical="top" wrapText="1"/>
    </xf>
    <xf numFmtId="0" fontId="2" fillId="2" borderId="23" xfId="0" applyFont="1" applyFill="1" applyBorder="1" applyAlignment="1">
      <alignment horizontal="center" vertical="top" wrapText="1"/>
    </xf>
    <xf numFmtId="0" fontId="2" fillId="2" borderId="22" xfId="0" applyFont="1" applyFill="1" applyBorder="1" applyAlignment="1">
      <alignment horizontal="center" vertical="top" wrapText="1"/>
    </xf>
    <xf numFmtId="0" fontId="2" fillId="2" borderId="0" xfId="0" applyFont="1" applyFill="1" applyAlignment="1">
      <alignment horizontal="left" wrapText="1"/>
    </xf>
    <xf numFmtId="0" fontId="5" fillId="2" borderId="0" xfId="0" applyFont="1" applyFill="1" applyAlignment="1">
      <alignment horizontal="left" wrapText="1"/>
    </xf>
    <xf numFmtId="0" fontId="2" fillId="0" borderId="0" xfId="0" applyFont="1" applyAlignment="1">
      <alignment horizontal="left" vertical="top" wrapText="1"/>
    </xf>
    <xf numFmtId="0" fontId="5" fillId="0" borderId="5" xfId="0" applyFont="1" applyBorder="1" applyAlignment="1">
      <alignment horizontal="center" wrapText="1"/>
    </xf>
    <xf numFmtId="0" fontId="5" fillId="0" borderId="4" xfId="0" applyFont="1" applyBorder="1" applyAlignment="1">
      <alignment horizontal="center" wrapText="1"/>
    </xf>
    <xf numFmtId="0" fontId="3" fillId="0" borderId="0" xfId="0" applyFont="1" applyAlignment="1">
      <alignment horizontal="center" wrapText="1"/>
    </xf>
    <xf numFmtId="0" fontId="3" fillId="0" borderId="3" xfId="0" applyFont="1" applyBorder="1" applyAlignment="1">
      <alignment horizontal="center" wrapText="1"/>
    </xf>
    <xf numFmtId="0" fontId="5" fillId="2" borderId="21" xfId="0" applyFont="1" applyFill="1" applyBorder="1" applyAlignment="1">
      <alignment horizontal="center" vertical="top" wrapText="1"/>
    </xf>
    <xf numFmtId="0" fontId="5" fillId="2" borderId="23" xfId="0" applyFont="1" applyFill="1" applyBorder="1" applyAlignment="1">
      <alignment horizontal="center" vertical="top" wrapText="1"/>
    </xf>
    <xf numFmtId="0" fontId="5" fillId="2" borderId="22" xfId="0" applyFont="1" applyFill="1" applyBorder="1" applyAlignment="1">
      <alignment horizontal="center" vertical="top" wrapText="1"/>
    </xf>
    <xf numFmtId="0" fontId="5" fillId="2" borderId="16" xfId="0" applyFont="1" applyFill="1" applyBorder="1" applyAlignment="1">
      <alignment horizontal="center" wrapText="1"/>
    </xf>
    <xf numFmtId="0" fontId="5" fillId="2" borderId="17" xfId="0" applyFont="1" applyFill="1" applyBorder="1" applyAlignment="1">
      <alignment horizontal="center" wrapText="1"/>
    </xf>
    <xf numFmtId="6" fontId="9" fillId="0" borderId="0" xfId="0" applyNumberFormat="1" applyFont="1" applyAlignment="1">
      <alignment horizontal="center"/>
    </xf>
    <xf numFmtId="6" fontId="5" fillId="2" borderId="21" xfId="0" applyNumberFormat="1" applyFont="1" applyFill="1" applyBorder="1" applyAlignment="1">
      <alignment horizontal="center"/>
    </xf>
    <xf numFmtId="6" fontId="5" fillId="2" borderId="23" xfId="0" applyNumberFormat="1" applyFont="1" applyFill="1" applyBorder="1" applyAlignment="1">
      <alignment horizontal="center"/>
    </xf>
    <xf numFmtId="6" fontId="5" fillId="2" borderId="22" xfId="0" applyNumberFormat="1" applyFont="1" applyFill="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666750</xdr:colOff>
      <xdr:row>60</xdr:row>
      <xdr:rowOff>105837</xdr:rowOff>
    </xdr:from>
    <xdr:ext cx="1898084" cy="172098"/>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C3DF510-8134-EE4E-8C14-8A3D8B2C7E49}"/>
                </a:ext>
              </a:extLst>
            </xdr:cNvPr>
            <xdr:cNvSpPr txBox="1"/>
          </xdr:nvSpPr>
          <xdr:spPr>
            <a:xfrm>
              <a:off x="1492250" y="11726337"/>
              <a:ext cx="189808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latin typeface="Cambria Math" panose="02040503050406030204" pitchFamily="18" charset="0"/>
                      </a:rPr>
                      <m:t>Cap</m:t>
                    </m:r>
                    <m:r>
                      <a:rPr lang="en-US" sz="1100" b="0" i="0">
                        <a:latin typeface="Cambria Math" panose="02040503050406030204" pitchFamily="18" charset="0"/>
                      </a:rPr>
                      <m:t> </m:t>
                    </m:r>
                    <m:r>
                      <m:rPr>
                        <m:sty m:val="p"/>
                      </m:rPr>
                      <a:rPr lang="en-US" sz="1100" b="0" i="0">
                        <a:latin typeface="Cambria Math" panose="02040503050406030204" pitchFamily="18" charset="0"/>
                      </a:rPr>
                      <m:t>at</m:t>
                    </m:r>
                    <m:r>
                      <a:rPr lang="en-US" sz="1100" b="0" i="1">
                        <a:latin typeface="Cambria Math" panose="02040503050406030204" pitchFamily="18" charset="0"/>
                      </a:rPr>
                      <m:t> </m:t>
                    </m:r>
                    <m:r>
                      <a:rPr lang="en-US" sz="1100" b="0" i="1">
                        <a:latin typeface="Cambria Math" panose="02040503050406030204" pitchFamily="18" charset="0"/>
                      </a:rPr>
                      <m:t>𝑅𝑒𝑡𝑎𝑖𝑛𝑒𝑑</m:t>
                    </m:r>
                    <m:r>
                      <a:rPr lang="en-US" sz="1100" b="0" i="1">
                        <a:latin typeface="Cambria Math" panose="02040503050406030204" pitchFamily="18" charset="0"/>
                      </a:rPr>
                      <m:t> </m:t>
                    </m:r>
                    <m:r>
                      <a:rPr lang="en-US" sz="1100" b="0" i="1">
                        <a:latin typeface="Cambria Math" panose="02040503050406030204" pitchFamily="18" charset="0"/>
                      </a:rPr>
                      <m:t>𝐿𝑖𝑛𝑒</m:t>
                    </m:r>
                    <m:r>
                      <a:rPr lang="en-US" sz="1100" b="0" i="1">
                        <a:latin typeface="Cambria Math" panose="02040503050406030204" pitchFamily="18" charset="0"/>
                        <a:ea typeface="Cambria Math" panose="02040503050406030204" pitchFamily="18" charset="0"/>
                      </a:rPr>
                      <m:t>∙</m:t>
                    </m:r>
                    <m:r>
                      <m:rPr>
                        <m:nor/>
                      </m:rPr>
                      <a:rPr lang="en-US" sz="1100" b="0" i="0">
                        <a:solidFill>
                          <a:schemeClr val="tx1"/>
                        </a:solidFill>
                        <a:effectLst/>
                        <a:latin typeface="+mn-lt"/>
                        <a:ea typeface="+mn-ea"/>
                        <a:cs typeface="+mn-cs"/>
                      </a:rPr>
                      <m:t>#</m:t>
                    </m:r>
                    <m:r>
                      <a:rPr lang="en-US" sz="1100" b="0" i="1">
                        <a:solidFill>
                          <a:schemeClr val="tx1"/>
                        </a:solidFill>
                        <a:effectLst/>
                        <a:latin typeface="Cambria Math" panose="02040503050406030204" pitchFamily="18" charset="0"/>
                        <a:ea typeface="+mn-ea"/>
                        <a:cs typeface="+mn-cs"/>
                      </a:rPr>
                      <m:t>𝐿𝑖𝑛𝑒𝑠</m:t>
                    </m:r>
                    <m:r>
                      <a:rPr lang="en-US" sz="1100" b="0" i="1">
                        <a:solidFill>
                          <a:schemeClr val="tx1"/>
                        </a:solidFill>
                        <a:effectLst/>
                        <a:latin typeface="Cambria Math" panose="02040503050406030204" pitchFamily="18" charset="0"/>
                        <a:ea typeface="+mn-ea"/>
                        <a:cs typeface="+mn-cs"/>
                      </a:rPr>
                      <m:t> </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5C3DF510-8134-EE4E-8C14-8A3D8B2C7E49}"/>
                </a:ext>
              </a:extLst>
            </xdr:cNvPr>
            <xdr:cNvSpPr txBox="1"/>
          </xdr:nvSpPr>
          <xdr:spPr>
            <a:xfrm>
              <a:off x="1492250" y="11726337"/>
              <a:ext cx="189808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Cap at 𝑅𝑒𝑡𝑎𝑖𝑛𝑒𝑑 𝐿𝑖𝑛𝑒</a:t>
              </a:r>
              <a:r>
                <a:rPr lang="en-US" sz="1100" b="0" i="0">
                  <a:latin typeface="Cambria Math" panose="02040503050406030204" pitchFamily="18" charset="0"/>
                  <a:ea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 𝐿𝑖𝑛𝑒𝑠 </a:t>
              </a:r>
              <a:endParaRPr lang="en-US" sz="1100"/>
            </a:p>
          </xdr:txBody>
        </xdr:sp>
      </mc:Fallback>
    </mc:AlternateContent>
    <xdr:clientData/>
  </xdr:oneCellAnchor>
  <xdr:twoCellAnchor>
    <xdr:from>
      <xdr:col>1</xdr:col>
      <xdr:colOff>724957</xdr:colOff>
      <xdr:row>61</xdr:row>
      <xdr:rowOff>137584</xdr:rowOff>
    </xdr:from>
    <xdr:to>
      <xdr:col>4</xdr:col>
      <xdr:colOff>52916</xdr:colOff>
      <xdr:row>62</xdr:row>
      <xdr:rowOff>84665</xdr:rowOff>
    </xdr:to>
    <xdr:sp macro="" textlink="">
      <xdr:nvSpPr>
        <xdr:cNvPr id="17" name="Left Brace 16">
          <a:extLst>
            <a:ext uri="{FF2B5EF4-FFF2-40B4-BE49-F238E27FC236}">
              <a16:creationId xmlns:a16="http://schemas.microsoft.com/office/drawing/2014/main" id="{95464DC2-12FD-D06B-CD07-63A3E6CBCC7D}"/>
            </a:ext>
          </a:extLst>
        </xdr:cNvPr>
        <xdr:cNvSpPr/>
      </xdr:nvSpPr>
      <xdr:spPr>
        <a:xfrm rot="5400000">
          <a:off x="2378604" y="11131020"/>
          <a:ext cx="148165" cy="1804459"/>
        </a:xfrm>
        <a:prstGeom prst="leftBrac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0</xdr:colOff>
      <xdr:row>35</xdr:row>
      <xdr:rowOff>0</xdr:rowOff>
    </xdr:from>
    <xdr:to>
      <xdr:col>4</xdr:col>
      <xdr:colOff>120265</xdr:colOff>
      <xdr:row>36</xdr:row>
      <xdr:rowOff>62514</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1EC4844-F49B-4634-B412-EE8FC93145BC}"/>
                </a:ext>
              </a:extLst>
            </xdr:cNvPr>
            <xdr:cNvSpPr txBox="1"/>
          </xdr:nvSpPr>
          <xdr:spPr>
            <a:xfrm>
              <a:off x="822614" y="7134129"/>
              <a:ext cx="2602538"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𝐶𝑒𝑑𝑒𝑑</m:t>
                    </m:r>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21EC4844-F49B-4634-B412-EE8FC93145BC}"/>
                </a:ext>
              </a:extLst>
            </xdr:cNvPr>
            <xdr:cNvSpPr txBox="1"/>
          </xdr:nvSpPr>
          <xdr:spPr>
            <a:xfrm>
              <a:off x="822614" y="7134129"/>
              <a:ext cx="2602538"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𝐿𝑜𝑠𝑠=𝑆𝑢𝑏𝑗𝑒𝑐𝑡 𝐿𝑜𝑠𝑠×%𝐶𝑒𝑑𝑒𝑑</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36</xdr:row>
      <xdr:rowOff>211666</xdr:rowOff>
    </xdr:from>
    <xdr:to>
      <xdr:col>4</xdr:col>
      <xdr:colOff>182803</xdr:colOff>
      <xdr:row>37</xdr:row>
      <xdr:rowOff>76946</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5D4E8353-8B79-4915-A77D-D64F7E4DB3BF}"/>
                </a:ext>
              </a:extLst>
            </xdr:cNvPr>
            <xdr:cNvSpPr txBox="1"/>
          </xdr:nvSpPr>
          <xdr:spPr>
            <a:xfrm>
              <a:off x="822614" y="7547841"/>
              <a:ext cx="266507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𝐶𝑒𝑑𝑒𝑑</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5D4E8353-8B79-4915-A77D-D64F7E4DB3BF}"/>
                </a:ext>
              </a:extLst>
            </xdr:cNvPr>
            <xdr:cNvSpPr txBox="1"/>
          </xdr:nvSpPr>
          <xdr:spPr>
            <a:xfrm>
              <a:off x="822614" y="7547841"/>
              <a:ext cx="266507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𝑃𝑟𝑒𝑚=𝑆𝑢𝑏𝑗𝑒𝑐𝑡 𝑃𝑟𝑒𝑚×%𝐶𝑒𝑑𝑒𝑑</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47</xdr:row>
      <xdr:rowOff>0</xdr:rowOff>
    </xdr:from>
    <xdr:ext cx="2458686"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B3E98D5-4C71-48DA-A046-E61B5D7181EA}"/>
                </a:ext>
              </a:extLst>
            </xdr:cNvPr>
            <xdr:cNvSpPr txBox="1"/>
          </xdr:nvSpPr>
          <xdr:spPr>
            <a:xfrm>
              <a:off x="822614" y="9755909"/>
              <a:ext cx="2458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4B3E98D5-4C71-48DA-A046-E61B5D7181EA}"/>
                </a:ext>
              </a:extLst>
            </xdr:cNvPr>
            <xdr:cNvSpPr txBox="1"/>
          </xdr:nvSpPr>
          <xdr:spPr>
            <a:xfrm>
              <a:off x="822614" y="9755909"/>
              <a:ext cx="2458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𝑁𝑒𝑡 𝐿𝑜𝑠𝑠=𝑆𝑢𝑏𝑗𝑒𝑐𝑡 𝐿𝑜𝑠𝑠 −𝐶𝑒𝑑𝑒𝑑 𝐿𝑜𝑠𝑠</a:t>
              </a:r>
              <a:endParaRPr lang="en-PH" sz="1100">
                <a:solidFill>
                  <a:schemeClr val="tx1"/>
                </a:solidFill>
                <a:effectLst/>
                <a:latin typeface="+mn-lt"/>
                <a:ea typeface="+mn-ea"/>
                <a:cs typeface="+mn-cs"/>
              </a:endParaRPr>
            </a:p>
          </xdr:txBody>
        </xdr:sp>
      </mc:Fallback>
    </mc:AlternateContent>
    <xdr:clientData/>
  </xdr:oneCellAnchor>
  <xdr:oneCellAnchor>
    <xdr:from>
      <xdr:col>0</xdr:col>
      <xdr:colOff>812993</xdr:colOff>
      <xdr:row>48</xdr:row>
      <xdr:rowOff>76969</xdr:rowOff>
    </xdr:from>
    <xdr:ext cx="2644122"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1932AE6-A540-4394-AAFF-F5884F8783FD}"/>
                </a:ext>
              </a:extLst>
            </xdr:cNvPr>
            <xdr:cNvSpPr txBox="1"/>
          </xdr:nvSpPr>
          <xdr:spPr>
            <a:xfrm>
              <a:off x="812993" y="10034924"/>
              <a:ext cx="26441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11932AE6-A540-4394-AAFF-F5884F8783FD}"/>
                </a:ext>
              </a:extLst>
            </xdr:cNvPr>
            <xdr:cNvSpPr txBox="1"/>
          </xdr:nvSpPr>
          <xdr:spPr>
            <a:xfrm>
              <a:off x="812993" y="10034924"/>
              <a:ext cx="26441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𝑁𝑒𝑡 𝑃𝑟𝑒𝑚=𝑆𝑢𝑏𝑗𝑒𝑐𝑡 𝑃𝑟𝑒𝑚 −𝐶𝑒𝑑𝑒𝑑 𝑃𝑟𝑒𝑚</a:t>
              </a:r>
              <a:endParaRPr lang="en-PH" sz="1100">
                <a:solidFill>
                  <a:schemeClr val="tx1"/>
                </a:solidFill>
                <a:effectLst/>
                <a:latin typeface="+mn-lt"/>
                <a:ea typeface="+mn-ea"/>
                <a:cs typeface="+mn-cs"/>
              </a:endParaRPr>
            </a:p>
          </xdr:txBody>
        </xdr:sp>
      </mc:Fallback>
    </mc:AlternateContent>
    <xdr:clientData/>
  </xdr:oneCellAnchor>
  <xdr:oneCellAnchor>
    <xdr:from>
      <xdr:col>1</xdr:col>
      <xdr:colOff>19243</xdr:colOff>
      <xdr:row>62</xdr:row>
      <xdr:rowOff>115455</xdr:rowOff>
    </xdr:from>
    <xdr:ext cx="2583912" cy="35035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BE964A4A-6D0F-4BBD-88AB-13EFD187DCE9}"/>
                </a:ext>
              </a:extLst>
            </xdr:cNvPr>
            <xdr:cNvSpPr txBox="1"/>
          </xdr:nvSpPr>
          <xdr:spPr>
            <a:xfrm>
              <a:off x="841857" y="12902046"/>
              <a:ext cx="2583912"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𝐶𝑒𝑑𝑒𝑑</m:t>
                    </m:r>
                    <m:r>
                      <a:rPr lang="en-US" sz="1100" b="0" i="1">
                        <a:solidFill>
                          <a:schemeClr val="tx1"/>
                        </a:solidFill>
                        <a:effectLst/>
                        <a:latin typeface="Cambria Math" panose="02040503050406030204" pitchFamily="18" charset="0"/>
                        <a:ea typeface="+mn-ea"/>
                        <a:cs typeface="+mn-cs"/>
                      </a:rPr>
                      <m:t>=</m:t>
                    </m:r>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𝑃𝑜𝑙𝑖𝑐𝑦</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𝐿𝑖𝑚𝑖𝑡</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𝑅𝑒𝑡𝑎𝑖𝑛𝑒𝑑</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𝐿𝑖𝑛𝑒</m:t>
                        </m:r>
                      </m:num>
                      <m:den>
                        <m:r>
                          <a:rPr lang="en-US" sz="1100" b="0" i="1">
                            <a:solidFill>
                              <a:schemeClr val="tx1"/>
                            </a:solidFill>
                            <a:effectLst/>
                            <a:latin typeface="Cambria Math" panose="02040503050406030204" pitchFamily="18" charset="0"/>
                            <a:ea typeface="+mn-ea"/>
                            <a:cs typeface="+mn-cs"/>
                          </a:rPr>
                          <m:t>𝑃𝑜𝑙𝑖𝑐𝑦</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𝐿𝑖𝑚𝑖𝑡</m:t>
                        </m:r>
                      </m:den>
                    </m:f>
                  </m:oMath>
                </m:oMathPara>
              </a14:m>
              <a:endParaRPr lang="en-PH">
                <a:effectLst/>
              </a:endParaRPr>
            </a:p>
          </xdr:txBody>
        </xdr:sp>
      </mc:Choice>
      <mc:Fallback xmlns="">
        <xdr:sp macro="" textlink="">
          <xdr:nvSpPr>
            <xdr:cNvPr id="9" name="TextBox 8">
              <a:extLst>
                <a:ext uri="{FF2B5EF4-FFF2-40B4-BE49-F238E27FC236}">
                  <a16:creationId xmlns:a16="http://schemas.microsoft.com/office/drawing/2014/main" id="{BE964A4A-6D0F-4BBD-88AB-13EFD187DCE9}"/>
                </a:ext>
              </a:extLst>
            </xdr:cNvPr>
            <xdr:cNvSpPr txBox="1"/>
          </xdr:nvSpPr>
          <xdr:spPr>
            <a:xfrm>
              <a:off x="841857" y="12902046"/>
              <a:ext cx="2583912"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tx1"/>
                  </a:solidFill>
                  <a:effectLst/>
                  <a:latin typeface="+mn-lt"/>
                  <a:ea typeface="+mn-ea"/>
                  <a:cs typeface="+mn-cs"/>
                </a:rPr>
                <a:t>%𝐶𝑒𝑑𝑒𝑑=(𝑃𝑜𝑙𝑖𝑐𝑦 𝐿𝑖𝑚𝑖𝑡 −𝑅𝑒𝑡𝑎𝑖𝑛𝑒𝑑 𝐿𝑖𝑛𝑒)/(𝑃𝑜𝑙𝑖𝑐𝑦 𝐿𝑖𝑚𝑖𝑡)</a:t>
              </a:r>
              <a:endParaRPr lang="en-PH">
                <a:effectLst/>
              </a:endParaRPr>
            </a:p>
          </xdr:txBody>
        </xdr:sp>
      </mc:Fallback>
    </mc:AlternateContent>
    <xdr:clientData/>
  </xdr:oneCellAnchor>
  <xdr:twoCellAnchor>
    <xdr:from>
      <xdr:col>0</xdr:col>
      <xdr:colOff>817803</xdr:colOff>
      <xdr:row>74</xdr:row>
      <xdr:rowOff>0</xdr:rowOff>
    </xdr:from>
    <xdr:to>
      <xdr:col>3</xdr:col>
      <xdr:colOff>832234</xdr:colOff>
      <xdr:row>75</xdr:row>
      <xdr:rowOff>62514</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3CF3D5DA-6779-4CD8-A4D2-0F37477EF087}"/>
                </a:ext>
              </a:extLst>
            </xdr:cNvPr>
            <xdr:cNvSpPr txBox="1"/>
          </xdr:nvSpPr>
          <xdr:spPr>
            <a:xfrm>
              <a:off x="817803" y="15211136"/>
              <a:ext cx="2482272"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𝐶𝑒𝑑𝑒𝑑</m:t>
                    </m:r>
                  </m:oMath>
                </m:oMathPara>
              </a14:m>
              <a:endParaRPr lang="en-PH"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3CF3D5DA-6779-4CD8-A4D2-0F37477EF087}"/>
                </a:ext>
              </a:extLst>
            </xdr:cNvPr>
            <xdr:cNvSpPr txBox="1"/>
          </xdr:nvSpPr>
          <xdr:spPr>
            <a:xfrm>
              <a:off x="817803" y="15211136"/>
              <a:ext cx="2482272"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𝐿𝑜𝑠𝑠=𝑆𝑢𝑏𝑗𝑒𝑐𝑡 𝐿𝑜𝑠𝑠×%𝐶𝑒𝑑𝑒𝑑</a:t>
              </a:r>
              <a:endParaRPr lang="en-PH" sz="1100">
                <a:solidFill>
                  <a:schemeClr val="tx1"/>
                </a:solidFill>
                <a:effectLst/>
                <a:latin typeface="+mn-lt"/>
                <a:ea typeface="+mn-ea"/>
                <a:cs typeface="+mn-cs"/>
              </a:endParaRPr>
            </a:p>
          </xdr:txBody>
        </xdr:sp>
      </mc:Fallback>
    </mc:AlternateContent>
    <xdr:clientData/>
  </xdr:twoCellAnchor>
  <xdr:twoCellAnchor>
    <xdr:from>
      <xdr:col>0</xdr:col>
      <xdr:colOff>817803</xdr:colOff>
      <xdr:row>75</xdr:row>
      <xdr:rowOff>240531</xdr:rowOff>
    </xdr:from>
    <xdr:to>
      <xdr:col>4</xdr:col>
      <xdr:colOff>182802</xdr:colOff>
      <xdr:row>76</xdr:row>
      <xdr:rowOff>105810</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F46000F3-6CD2-4ABF-A129-1D537F0B7809}"/>
                </a:ext>
              </a:extLst>
            </xdr:cNvPr>
            <xdr:cNvSpPr txBox="1"/>
          </xdr:nvSpPr>
          <xdr:spPr>
            <a:xfrm>
              <a:off x="817803" y="15653713"/>
              <a:ext cx="266988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𝐶𝑒𝑑𝑒𝑑</m:t>
                    </m:r>
                  </m:oMath>
                </m:oMathPara>
              </a14:m>
              <a:endParaRPr lang="en-PH"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F46000F3-6CD2-4ABF-A129-1D537F0B7809}"/>
                </a:ext>
              </a:extLst>
            </xdr:cNvPr>
            <xdr:cNvSpPr txBox="1"/>
          </xdr:nvSpPr>
          <xdr:spPr>
            <a:xfrm>
              <a:off x="817803" y="15653713"/>
              <a:ext cx="266988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𝑃𝑟𝑒𝑚=𝑆𝑢𝑏𝑗𝑒𝑐𝑡 𝑃𝑟𝑒𝑚×%𝐶𝑒𝑑𝑒𝑑</a:t>
              </a:r>
              <a:endParaRPr lang="en-PH" sz="1100">
                <a:solidFill>
                  <a:schemeClr val="tx1"/>
                </a:solidFill>
                <a:effectLst/>
                <a:latin typeface="+mn-lt"/>
                <a:ea typeface="+mn-ea"/>
                <a:cs typeface="+mn-cs"/>
              </a:endParaRPr>
            </a:p>
          </xdr:txBody>
        </xdr:sp>
      </mc:Fallback>
    </mc:AlternateContent>
    <xdr:clientData/>
  </xdr:twoCellAnchor>
  <xdr:oneCellAnchor>
    <xdr:from>
      <xdr:col>0</xdr:col>
      <xdr:colOff>788940</xdr:colOff>
      <xdr:row>85</xdr:row>
      <xdr:rowOff>24052</xdr:rowOff>
    </xdr:from>
    <xdr:ext cx="2458686" cy="172227"/>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87D4D3E-2C40-4C67-8681-4D2802FF1480}"/>
                </a:ext>
              </a:extLst>
            </xdr:cNvPr>
            <xdr:cNvSpPr txBox="1"/>
          </xdr:nvSpPr>
          <xdr:spPr>
            <a:xfrm>
              <a:off x="788940" y="17654924"/>
              <a:ext cx="2458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187D4D3E-2C40-4C67-8681-4D2802FF1480}"/>
                </a:ext>
              </a:extLst>
            </xdr:cNvPr>
            <xdr:cNvSpPr txBox="1"/>
          </xdr:nvSpPr>
          <xdr:spPr>
            <a:xfrm>
              <a:off x="788940" y="17654924"/>
              <a:ext cx="2458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𝑁𝑒𝑡 𝐿𝑜𝑠𝑠=𝑆𝑢𝑏𝑗𝑒𝑐𝑡 𝐿𝑜𝑠𝑠 −𝐶𝑒𝑑𝑒𝑑 𝐿𝑜𝑠𝑠</a:t>
              </a:r>
              <a:endParaRPr lang="en-PH" sz="1100">
                <a:solidFill>
                  <a:schemeClr val="tx1"/>
                </a:solidFill>
                <a:effectLst/>
                <a:latin typeface="+mn-lt"/>
                <a:ea typeface="+mn-ea"/>
                <a:cs typeface="+mn-cs"/>
              </a:endParaRPr>
            </a:p>
          </xdr:txBody>
        </xdr:sp>
      </mc:Fallback>
    </mc:AlternateContent>
    <xdr:clientData/>
  </xdr:oneCellAnchor>
  <xdr:oneCellAnchor>
    <xdr:from>
      <xdr:col>0</xdr:col>
      <xdr:colOff>788940</xdr:colOff>
      <xdr:row>86</xdr:row>
      <xdr:rowOff>153939</xdr:rowOff>
    </xdr:from>
    <xdr:ext cx="2644122" cy="17222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076ADB77-5A48-4F42-AB9E-F73D33012930}"/>
                </a:ext>
              </a:extLst>
            </xdr:cNvPr>
            <xdr:cNvSpPr txBox="1"/>
          </xdr:nvSpPr>
          <xdr:spPr>
            <a:xfrm>
              <a:off x="788940" y="17986856"/>
              <a:ext cx="26441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m:t>
                    </m:r>
                  </m:oMath>
                </m:oMathPara>
              </a14:m>
              <a:endParaRPr lang="en-PH" sz="1100">
                <a:solidFill>
                  <a:schemeClr val="tx1"/>
                </a:solidFill>
                <a:effectLst/>
                <a:latin typeface="+mn-lt"/>
                <a:ea typeface="+mn-ea"/>
                <a:cs typeface="+mn-cs"/>
              </a:endParaRPr>
            </a:p>
          </xdr:txBody>
        </xdr:sp>
      </mc:Choice>
      <mc:Fallback xmlns="">
        <xdr:sp macro="" textlink="">
          <xdr:nvSpPr>
            <xdr:cNvPr id="19" name="TextBox 18">
              <a:extLst>
                <a:ext uri="{FF2B5EF4-FFF2-40B4-BE49-F238E27FC236}">
                  <a16:creationId xmlns:a16="http://schemas.microsoft.com/office/drawing/2014/main" id="{076ADB77-5A48-4F42-AB9E-F73D33012930}"/>
                </a:ext>
              </a:extLst>
            </xdr:cNvPr>
            <xdr:cNvSpPr txBox="1"/>
          </xdr:nvSpPr>
          <xdr:spPr>
            <a:xfrm>
              <a:off x="788940" y="17986856"/>
              <a:ext cx="264412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𝑁𝑒𝑡 𝑃𝑟𝑒𝑚=𝑆𝑢𝑏𝑗𝑒𝑐𝑡 𝑃𝑟𝑒𝑚 −𝐶𝑒𝑑𝑒𝑑 𝑃𝑟𝑒𝑚</a:t>
              </a:r>
              <a:endParaRPr lang="en-PH" sz="1100">
                <a:solidFill>
                  <a:schemeClr val="tx1"/>
                </a:solidFill>
                <a:effectLst/>
                <a:latin typeface="+mn-lt"/>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47</xdr:row>
      <xdr:rowOff>0</xdr:rowOff>
    </xdr:from>
    <xdr:to>
      <xdr:col>5</xdr:col>
      <xdr:colOff>765736</xdr:colOff>
      <xdr:row>48</xdr:row>
      <xdr:rowOff>63789</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E8F7B52D-4267-4965-8C77-0B4AE2FEEF5E}"/>
                </a:ext>
              </a:extLst>
            </xdr:cNvPr>
            <xdr:cNvSpPr txBox="1"/>
          </xdr:nvSpPr>
          <xdr:spPr>
            <a:xfrm>
              <a:off x="821765" y="9697758"/>
              <a:ext cx="4127500"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𝑀𝑖𝑛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𝐺𝑟𝑜𝑠𝑠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𝑅𝑒𝑡𝑒𝑛𝑡𝑖𝑜𝑛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𝑅𝑒𝑖𝑛𝑠𝑢𝑟𝑎𝑛𝑐𝑒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r>
                      <a:rPr lang="en-US"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E8F7B52D-4267-4965-8C77-0B4AE2FEEF5E}"/>
                </a:ext>
              </a:extLst>
            </xdr:cNvPr>
            <xdr:cNvSpPr txBox="1"/>
          </xdr:nvSpPr>
          <xdr:spPr>
            <a:xfrm>
              <a:off x="821765" y="9697758"/>
              <a:ext cx="4127500"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𝐿𝑜𝑠𝑠=𝑀𝑖𝑛(𝐺𝑟𝑜𝑠𝑠 𝐿𝑜𝑠𝑠 −𝑅𝑒𝑡𝑒𝑛𝑡𝑖𝑜𝑛, 𝑅𝑒𝑖𝑛𝑠𝑢𝑟𝑎𝑛𝑐𝑒 𝐿𝑖𝑚𝑖𝑡)</a:t>
              </a:r>
              <a:endParaRPr lang="en-PH" sz="1100">
                <a:solidFill>
                  <a:schemeClr val="tx1"/>
                </a:solidFill>
                <a:effectLst/>
                <a:latin typeface="+mn-lt"/>
                <a:ea typeface="+mn-ea"/>
                <a:cs typeface="+mn-cs"/>
              </a:endParaRPr>
            </a:p>
          </xdr:txBody>
        </xdr:sp>
      </mc:Fallback>
    </mc:AlternateContent>
    <xdr:clientData/>
  </xdr:twoCellAnchor>
  <xdr:oneCellAnchor>
    <xdr:from>
      <xdr:col>2</xdr:col>
      <xdr:colOff>350184</xdr:colOff>
      <xdr:row>48</xdr:row>
      <xdr:rowOff>130737</xdr:rowOff>
    </xdr:from>
    <xdr:ext cx="1482201"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7F0F649-B327-4B97-9C6D-9D94A8348242}"/>
                </a:ext>
              </a:extLst>
            </xdr:cNvPr>
            <xdr:cNvSpPr txBox="1"/>
          </xdr:nvSpPr>
          <xdr:spPr>
            <a:xfrm>
              <a:off x="2012390" y="10029266"/>
              <a:ext cx="14822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100">
                        <a:solidFill>
                          <a:schemeClr val="tx1"/>
                        </a:solidFill>
                        <a:effectLst/>
                        <a:latin typeface="+mn-lt"/>
                        <a:ea typeface="+mn-ea"/>
                        <a:cs typeface="+mn-cs"/>
                      </a:rPr>
                      <m:t>(</m:t>
                    </m:r>
                    <m:r>
                      <m:rPr>
                        <m:nor/>
                      </m:rPr>
                      <a:rPr lang="en-US" sz="1100">
                        <a:solidFill>
                          <a:schemeClr val="tx1"/>
                        </a:solidFill>
                        <a:effectLst/>
                        <a:latin typeface="+mn-lt"/>
                        <a:ea typeface="+mn-ea"/>
                        <a:cs typeface="+mn-cs"/>
                      </a:rPr>
                      <m:t>capped</m:t>
                    </m:r>
                    <m:r>
                      <m:rPr>
                        <m:nor/>
                      </m:rPr>
                      <a:rPr lang="en-US" sz="1100">
                        <a:solidFill>
                          <a:schemeClr val="tx1"/>
                        </a:solidFill>
                        <a:effectLst/>
                        <a:latin typeface="+mn-lt"/>
                        <a:ea typeface="+mn-ea"/>
                        <a:cs typeface="+mn-cs"/>
                      </a:rPr>
                      <m:t> </m:t>
                    </m:r>
                    <m:r>
                      <m:rPr>
                        <m:nor/>
                      </m:rPr>
                      <a:rPr lang="en-US" sz="1100">
                        <a:solidFill>
                          <a:schemeClr val="tx1"/>
                        </a:solidFill>
                        <a:effectLst/>
                        <a:latin typeface="+mn-lt"/>
                        <a:ea typeface="+mn-ea"/>
                        <a:cs typeface="+mn-cs"/>
                      </a:rPr>
                      <m:t>from</m:t>
                    </m:r>
                    <m:r>
                      <m:rPr>
                        <m:nor/>
                      </m:rPr>
                      <a:rPr lang="en-US" sz="1100">
                        <a:solidFill>
                          <a:schemeClr val="tx1"/>
                        </a:solidFill>
                        <a:effectLst/>
                        <a:latin typeface="+mn-lt"/>
                        <a:ea typeface="+mn-ea"/>
                        <a:cs typeface="+mn-cs"/>
                      </a:rPr>
                      <m:t> </m:t>
                    </m:r>
                    <m:r>
                      <m:rPr>
                        <m:nor/>
                      </m:rPr>
                      <a:rPr lang="en-US" sz="1100">
                        <a:solidFill>
                          <a:schemeClr val="tx1"/>
                        </a:solidFill>
                        <a:effectLst/>
                        <a:latin typeface="+mn-lt"/>
                        <a:ea typeface="+mn-ea"/>
                        <a:cs typeface="+mn-cs"/>
                      </a:rPr>
                      <m:t>below</m:t>
                    </m:r>
                    <m:r>
                      <m:rPr>
                        <m:nor/>
                      </m:rPr>
                      <a:rPr lang="en-US" sz="1100">
                        <a:solidFill>
                          <a:schemeClr val="tx1"/>
                        </a:solidFill>
                        <a:effectLst/>
                        <a:latin typeface="+mn-lt"/>
                        <a:ea typeface="+mn-ea"/>
                        <a:cs typeface="+mn-cs"/>
                      </a:rPr>
                      <m:t> </m:t>
                    </m:r>
                    <m:r>
                      <m:rPr>
                        <m:nor/>
                      </m:rPr>
                      <a:rPr lang="en-US" sz="1100">
                        <a:solidFill>
                          <a:schemeClr val="tx1"/>
                        </a:solidFill>
                        <a:effectLst/>
                        <a:latin typeface="+mn-lt"/>
                        <a:ea typeface="+mn-ea"/>
                        <a:cs typeface="+mn-cs"/>
                      </a:rPr>
                      <m:t>at</m:t>
                    </m:r>
                    <m:r>
                      <m:rPr>
                        <m:nor/>
                      </m:rPr>
                      <a:rPr lang="en-US" sz="1100">
                        <a:solidFill>
                          <a:schemeClr val="tx1"/>
                        </a:solidFill>
                        <a:effectLst/>
                        <a:latin typeface="+mn-lt"/>
                        <a:ea typeface="+mn-ea"/>
                        <a:cs typeface="+mn-cs"/>
                      </a:rPr>
                      <m:t> 0)</m:t>
                    </m:r>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97F0F649-B327-4B97-9C6D-9D94A8348242}"/>
                </a:ext>
              </a:extLst>
            </xdr:cNvPr>
            <xdr:cNvSpPr txBox="1"/>
          </xdr:nvSpPr>
          <xdr:spPr>
            <a:xfrm>
              <a:off x="2012390" y="10029266"/>
              <a:ext cx="14822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"(capped from below at 0)</a:t>
              </a:r>
              <a:r>
                <a:rPr lang="en-PH" sz="1100" i="0">
                  <a:solidFill>
                    <a:schemeClr val="tx1"/>
                  </a:solidFill>
                  <a:effectLst/>
                  <a:latin typeface="+mn-lt"/>
                  <a:ea typeface="+mn-ea"/>
                  <a:cs typeface="+mn-cs"/>
                </a:rPr>
                <a:t>"</a:t>
              </a:r>
              <a:endParaRPr lang="en-US" sz="1100">
                <a:solidFill>
                  <a:schemeClr val="tx1"/>
                </a:solidFill>
              </a:endParaRPr>
            </a:p>
          </xdr:txBody>
        </xdr:sp>
      </mc:Fallback>
    </mc:AlternateContent>
    <xdr:clientData/>
  </xdr:oneCellAnchor>
  <xdr:twoCellAnchor>
    <xdr:from>
      <xdr:col>1</xdr:col>
      <xdr:colOff>0</xdr:colOff>
      <xdr:row>56</xdr:row>
      <xdr:rowOff>0</xdr:rowOff>
    </xdr:from>
    <xdr:to>
      <xdr:col>4</xdr:col>
      <xdr:colOff>247463</xdr:colOff>
      <xdr:row>58</xdr:row>
      <xdr:rowOff>12287</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8CEFE4CF-5EB8-4F59-BCAE-31D1B475CB39}"/>
                </a:ext>
              </a:extLst>
            </xdr:cNvPr>
            <xdr:cNvSpPr txBox="1"/>
          </xdr:nvSpPr>
          <xdr:spPr>
            <a:xfrm>
              <a:off x="821765" y="11504706"/>
              <a:ext cx="2768786" cy="4138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𝐶𝑒𝑑𝑒𝑑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𝐴𝐿𝐴𝐸</m:t>
                    </m:r>
                    <m:r>
                      <a:rPr lang="en-PH" sz="1100" i="1">
                        <a:solidFill>
                          <a:schemeClr val="tx1"/>
                        </a:solidFill>
                        <a:effectLst/>
                        <a:latin typeface="Cambria Math" panose="02040503050406030204" pitchFamily="18" charset="0"/>
                        <a:ea typeface="+mn-ea"/>
                        <a:cs typeface="+mn-cs"/>
                      </a:rPr>
                      <m:t>= </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𝐶𝑒𝑑𝑒𝑑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num>
                      <m:den>
                        <m:r>
                          <a:rPr lang="en-PH" sz="1100" i="1">
                            <a:solidFill>
                              <a:schemeClr val="tx1"/>
                            </a:solidFill>
                            <a:effectLst/>
                            <a:latin typeface="Cambria Math" panose="02040503050406030204" pitchFamily="18" charset="0"/>
                            <a:ea typeface="+mn-ea"/>
                            <a:cs typeface="+mn-cs"/>
                          </a:rPr>
                          <m:t>𝐺𝑟𝑜𝑠𝑠</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den>
                    </m:f>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𝐺𝑟𝑜𝑠𝑠</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𝐴𝐿𝐴𝐸</m:t>
                    </m:r>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8CEFE4CF-5EB8-4F59-BCAE-31D1B475CB39}"/>
                </a:ext>
              </a:extLst>
            </xdr:cNvPr>
            <xdr:cNvSpPr txBox="1"/>
          </xdr:nvSpPr>
          <xdr:spPr>
            <a:xfrm>
              <a:off x="821765" y="11504706"/>
              <a:ext cx="2768786" cy="4138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𝐶𝑒𝑑𝑒𝑑 𝐴𝐿𝐴𝐸=  (𝐶𝑒𝑑𝑒𝑑 𝐿𝑜𝑠𝑠)/(𝐺𝑟𝑜𝑠𝑠 𝐿𝑜𝑠𝑠)×𝐺𝑟𝑜𝑠𝑠 𝐴𝐿𝐴𝐸</a:t>
              </a:r>
              <a:endParaRPr lang="en-PH"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61</xdr:row>
      <xdr:rowOff>0</xdr:rowOff>
    </xdr:from>
    <xdr:to>
      <xdr:col>5</xdr:col>
      <xdr:colOff>686685</xdr:colOff>
      <xdr:row>62</xdr:row>
      <xdr:rowOff>65199</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0D67E806-32C9-40E1-BE5D-F4DE5E4C4779}"/>
                </a:ext>
              </a:extLst>
            </xdr:cNvPr>
            <xdr:cNvSpPr txBox="1"/>
          </xdr:nvSpPr>
          <xdr:spPr>
            <a:xfrm>
              <a:off x="825131" y="12615087"/>
              <a:ext cx="4086889"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𝑀𝑖𝑛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𝐺𝑟𝑜𝑠𝑠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𝑅𝑒𝑡𝑒𝑛𝑡𝑖𝑜𝑛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𝑅𝑒𝑖𝑛𝑠𝑢𝑟𝑎𝑛𝑐𝑒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r>
                      <a:rPr lang="en-US"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0D67E806-32C9-40E1-BE5D-F4DE5E4C4779}"/>
                </a:ext>
              </a:extLst>
            </xdr:cNvPr>
            <xdr:cNvSpPr txBox="1"/>
          </xdr:nvSpPr>
          <xdr:spPr>
            <a:xfrm>
              <a:off x="825131" y="12615087"/>
              <a:ext cx="4086889"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𝐿𝑜𝑠𝑠=𝑀𝑖𝑛(𝐺𝑟𝑜𝑠𝑠 𝐿𝑜𝑠𝑠 −𝑅𝑒𝑡𝑒𝑛𝑡𝑖𝑜𝑛, 𝑅𝑒𝑖𝑛𝑠𝑢𝑟𝑎𝑛𝑐𝑒 𝐿𝑖𝑚𝑖𝑡)</a:t>
              </a:r>
              <a:endParaRPr lang="en-PH" sz="1100">
                <a:solidFill>
                  <a:schemeClr val="tx1"/>
                </a:solidFill>
                <a:effectLst/>
                <a:latin typeface="+mn-lt"/>
                <a:ea typeface="+mn-ea"/>
                <a:cs typeface="+mn-cs"/>
              </a:endParaRPr>
            </a:p>
          </xdr:txBody>
        </xdr:sp>
      </mc:Fallback>
    </mc:AlternateContent>
    <xdr:clientData/>
  </xdr:twoCellAnchor>
  <xdr:oneCellAnchor>
    <xdr:from>
      <xdr:col>2</xdr:col>
      <xdr:colOff>238125</xdr:colOff>
      <xdr:row>62</xdr:row>
      <xdr:rowOff>88604</xdr:rowOff>
    </xdr:from>
    <xdr:ext cx="1617174" cy="18780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3C90CC1-5D42-4FD1-AB61-DEF21E726CDF}"/>
                </a:ext>
              </a:extLst>
            </xdr:cNvPr>
            <xdr:cNvSpPr txBox="1"/>
          </xdr:nvSpPr>
          <xdr:spPr>
            <a:xfrm>
              <a:off x="1889125" y="13106104"/>
              <a:ext cx="1617174" cy="187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200">
                        <a:solidFill>
                          <a:schemeClr val="tx1"/>
                        </a:solidFill>
                        <a:effectLst/>
                        <a:latin typeface="+mn-lt"/>
                        <a:ea typeface="+mn-ea"/>
                        <a:cs typeface="+mn-cs"/>
                      </a:rPr>
                      <m:t>(</m:t>
                    </m:r>
                    <m:r>
                      <m:rPr>
                        <m:nor/>
                      </m:rPr>
                      <a:rPr lang="en-US" sz="1200">
                        <a:solidFill>
                          <a:schemeClr val="tx1"/>
                        </a:solidFill>
                        <a:effectLst/>
                        <a:latin typeface="+mn-lt"/>
                        <a:ea typeface="+mn-ea"/>
                        <a:cs typeface="+mn-cs"/>
                      </a:rPr>
                      <m:t>capped</m:t>
                    </m:r>
                    <m:r>
                      <m:rPr>
                        <m:nor/>
                      </m:rPr>
                      <a:rPr lang="en-US" sz="1200">
                        <a:solidFill>
                          <a:schemeClr val="tx1"/>
                        </a:solidFill>
                        <a:effectLst/>
                        <a:latin typeface="+mn-lt"/>
                        <a:ea typeface="+mn-ea"/>
                        <a:cs typeface="+mn-cs"/>
                      </a:rPr>
                      <m:t> </m:t>
                    </m:r>
                    <m:r>
                      <m:rPr>
                        <m:nor/>
                      </m:rPr>
                      <a:rPr lang="en-US" sz="1200">
                        <a:solidFill>
                          <a:schemeClr val="tx1"/>
                        </a:solidFill>
                        <a:effectLst/>
                        <a:latin typeface="+mn-lt"/>
                        <a:ea typeface="+mn-ea"/>
                        <a:cs typeface="+mn-cs"/>
                      </a:rPr>
                      <m:t>from</m:t>
                    </m:r>
                    <m:r>
                      <m:rPr>
                        <m:nor/>
                      </m:rPr>
                      <a:rPr lang="en-US" sz="1200">
                        <a:solidFill>
                          <a:schemeClr val="tx1"/>
                        </a:solidFill>
                        <a:effectLst/>
                        <a:latin typeface="+mn-lt"/>
                        <a:ea typeface="+mn-ea"/>
                        <a:cs typeface="+mn-cs"/>
                      </a:rPr>
                      <m:t> </m:t>
                    </m:r>
                    <m:r>
                      <m:rPr>
                        <m:nor/>
                      </m:rPr>
                      <a:rPr lang="en-US" sz="1200">
                        <a:solidFill>
                          <a:schemeClr val="tx1"/>
                        </a:solidFill>
                        <a:effectLst/>
                        <a:latin typeface="+mn-lt"/>
                        <a:ea typeface="+mn-ea"/>
                        <a:cs typeface="+mn-cs"/>
                      </a:rPr>
                      <m:t>below</m:t>
                    </m:r>
                    <m:r>
                      <m:rPr>
                        <m:nor/>
                      </m:rPr>
                      <a:rPr lang="en-US" sz="1200">
                        <a:solidFill>
                          <a:schemeClr val="tx1"/>
                        </a:solidFill>
                        <a:effectLst/>
                        <a:latin typeface="+mn-lt"/>
                        <a:ea typeface="+mn-ea"/>
                        <a:cs typeface="+mn-cs"/>
                      </a:rPr>
                      <m:t> </m:t>
                    </m:r>
                    <m:r>
                      <m:rPr>
                        <m:nor/>
                      </m:rPr>
                      <a:rPr lang="en-US" sz="1200">
                        <a:solidFill>
                          <a:schemeClr val="tx1"/>
                        </a:solidFill>
                        <a:effectLst/>
                        <a:latin typeface="+mn-lt"/>
                        <a:ea typeface="+mn-ea"/>
                        <a:cs typeface="+mn-cs"/>
                      </a:rPr>
                      <m:t>at</m:t>
                    </m:r>
                    <m:r>
                      <m:rPr>
                        <m:nor/>
                      </m:rPr>
                      <a:rPr lang="en-US" sz="1200">
                        <a:solidFill>
                          <a:schemeClr val="tx1"/>
                        </a:solidFill>
                        <a:effectLst/>
                        <a:latin typeface="+mn-lt"/>
                        <a:ea typeface="+mn-ea"/>
                        <a:cs typeface="+mn-cs"/>
                      </a:rPr>
                      <m:t> 0)</m:t>
                    </m:r>
                  </m:oMath>
                </m:oMathPara>
              </a14:m>
              <a:endParaRPr lang="en-PH" sz="12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F3C90CC1-5D42-4FD1-AB61-DEF21E726CDF}"/>
                </a:ext>
              </a:extLst>
            </xdr:cNvPr>
            <xdr:cNvSpPr txBox="1"/>
          </xdr:nvSpPr>
          <xdr:spPr>
            <a:xfrm>
              <a:off x="1889125" y="13106104"/>
              <a:ext cx="1617174" cy="1878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i="0">
                  <a:solidFill>
                    <a:schemeClr val="tx1"/>
                  </a:solidFill>
                  <a:effectLst/>
                  <a:latin typeface="Cambria Math" panose="02040503050406030204" pitchFamily="18" charset="0"/>
                  <a:ea typeface="+mn-ea"/>
                  <a:cs typeface="+mn-cs"/>
                </a:rPr>
                <a:t>"(capped from below at 0)</a:t>
              </a:r>
              <a:r>
                <a:rPr lang="en-US" sz="1200" i="0">
                  <a:solidFill>
                    <a:schemeClr val="tx1"/>
                  </a:solidFill>
                  <a:effectLst/>
                  <a:latin typeface="+mn-lt"/>
                  <a:ea typeface="+mn-ea"/>
                  <a:cs typeface="+mn-cs"/>
                </a:rPr>
                <a:t>"</a:t>
              </a:r>
              <a:endParaRPr lang="en-PH" sz="1200">
                <a:solidFill>
                  <a:schemeClr val="tx1"/>
                </a:solidFill>
                <a:effectLst/>
                <a:latin typeface="+mn-lt"/>
                <a:ea typeface="+mn-ea"/>
                <a:cs typeface="+mn-cs"/>
              </a:endParaRPr>
            </a:p>
          </xdr:txBody>
        </xdr:sp>
      </mc:Fallback>
    </mc:AlternateContent>
    <xdr:clientData/>
  </xdr:oneCellAnchor>
  <xdr:twoCellAnchor>
    <xdr:from>
      <xdr:col>0</xdr:col>
      <xdr:colOff>758678</xdr:colOff>
      <xdr:row>74</xdr:row>
      <xdr:rowOff>16614</xdr:rowOff>
    </xdr:from>
    <xdr:to>
      <xdr:col>5</xdr:col>
      <xdr:colOff>730988</xdr:colOff>
      <xdr:row>77</xdr:row>
      <xdr:rowOff>50756</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B28CDD3B-C489-4631-8770-3E47E9B34A1E}"/>
                </a:ext>
              </a:extLst>
            </xdr:cNvPr>
            <xdr:cNvSpPr txBox="1"/>
          </xdr:nvSpPr>
          <xdr:spPr>
            <a:xfrm>
              <a:off x="758678" y="15223387"/>
              <a:ext cx="4197645" cy="6322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nary>
                      <m:naryPr>
                        <m:chr m:val="∑"/>
                        <m:limLoc m:val="undOvr"/>
                        <m:subHide m:val="on"/>
                        <m:ctrlPr>
                          <a:rPr lang="en-PH" sz="1100" i="1">
                            <a:solidFill>
                              <a:schemeClr val="tx1"/>
                            </a:solidFill>
                            <a:effectLst/>
                            <a:latin typeface="Cambria Math" panose="02040503050406030204" pitchFamily="18" charset="0"/>
                            <a:ea typeface="+mn-ea"/>
                            <a:cs typeface="+mn-cs"/>
                          </a:rPr>
                        </m:ctrlPr>
                      </m:naryPr>
                      <m:sub/>
                      <m:sup>
                        <m:eqArr>
                          <m:eqArrPr>
                            <m:ctrlPr>
                              <a:rPr lang="en-PH" sz="1100" i="1">
                                <a:solidFill>
                                  <a:schemeClr val="tx1"/>
                                </a:solidFill>
                                <a:effectLst/>
                                <a:latin typeface="Cambria Math" panose="02040503050406030204" pitchFamily="18" charset="0"/>
                                <a:ea typeface="+mn-ea"/>
                                <a:cs typeface="+mn-cs"/>
                              </a:rPr>
                            </m:ctrlPr>
                          </m:eqArrPr>
                          <m:e>
                            <m:r>
                              <a:rPr lang="en-US" sz="1100" i="1">
                                <a:solidFill>
                                  <a:schemeClr val="tx1"/>
                                </a:solidFill>
                                <a:effectLst/>
                                <a:latin typeface="Cambria Math" panose="02040503050406030204" pitchFamily="18" charset="0"/>
                                <a:ea typeface="+mn-ea"/>
                                <a:cs typeface="+mn-cs"/>
                              </a:rPr>
                              <m:t>𝑙𝑜𝑠𝑠</m:t>
                            </m:r>
                            <m:r>
                              <a:rPr lang="en-US" sz="1100" i="1">
                                <a:solidFill>
                                  <a:schemeClr val="tx1"/>
                                </a:solidFill>
                                <a:effectLst/>
                                <a:latin typeface="Cambria Math" panose="02040503050406030204" pitchFamily="18" charset="0"/>
                                <a:ea typeface="+mn-ea"/>
                                <a:cs typeface="+mn-cs"/>
                              </a:rPr>
                              <m:t> </m:t>
                            </m:r>
                          </m:e>
                          <m:e>
                            <m:r>
                              <a:rPr lang="en-US" sz="1100" i="1">
                                <a:solidFill>
                                  <a:schemeClr val="tx1"/>
                                </a:solidFill>
                                <a:effectLst/>
                                <a:latin typeface="Cambria Math" panose="02040503050406030204" pitchFamily="18" charset="0"/>
                                <a:ea typeface="+mn-ea"/>
                                <a:cs typeface="+mn-cs"/>
                              </a:rPr>
                              <m:t>𝑜𝑐𝑐𝑢𝑟𝑟𝑒𝑛𝑐𝑒</m:t>
                            </m:r>
                          </m:e>
                        </m:eqArr>
                      </m:sup>
                      <m:e>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𝐺𝑟𝑜𝑠𝑠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𝐼𝑛𝑢𝑟𝑖𝑛𝑔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m:t>
                        </m:r>
                        <m:r>
                          <a:rPr lang="en-US" sz="1100" i="1">
                            <a:solidFill>
                              <a:schemeClr val="tx1"/>
                            </a:solidFill>
                            <a:effectLst/>
                            <a:latin typeface="Cambria Math" panose="02040503050406030204" pitchFamily="18" charset="0"/>
                            <a:ea typeface="+mn-ea"/>
                            <a:cs typeface="+mn-cs"/>
                          </a:rPr>
                          <m:t>)</m:t>
                        </m:r>
                      </m:e>
                    </m:nary>
                  </m:oMath>
                </m:oMathPara>
              </a14:m>
              <a:endParaRPr lang="en-PH"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B28CDD3B-C489-4631-8770-3E47E9B34A1E}"/>
                </a:ext>
              </a:extLst>
            </xdr:cNvPr>
            <xdr:cNvSpPr txBox="1"/>
          </xdr:nvSpPr>
          <xdr:spPr>
            <a:xfrm>
              <a:off x="758678" y="15223387"/>
              <a:ext cx="4197645" cy="63222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𝑆𝑢𝑏𝑗𝑒𝑐𝑡 𝐿𝑜𝑠𝑠=</a:t>
              </a:r>
              <a:r>
                <a:rPr lang="en-PH" sz="1100" i="0">
                  <a:solidFill>
                    <a:schemeClr val="tx1"/>
                  </a:solidFill>
                  <a:effectLst/>
                  <a:latin typeface="+mn-lt"/>
                  <a:ea typeface="+mn-ea"/>
                  <a:cs typeface="+mn-cs"/>
                </a:rPr>
                <a:t>∑1</a:t>
              </a:r>
              <a:r>
                <a:rPr lang="en-US" sz="1100" i="0">
                  <a:solidFill>
                    <a:schemeClr val="tx1"/>
                  </a:solidFill>
                  <a:effectLst/>
                  <a:latin typeface="+mn-lt"/>
                  <a:ea typeface="+mn-ea"/>
                  <a:cs typeface="+mn-cs"/>
                </a:rPr>
                <a:t>^</a:t>
              </a:r>
              <a:r>
                <a:rPr lang="en-PH" sz="1100" i="0">
                  <a:solidFill>
                    <a:schemeClr val="tx1"/>
                  </a:solidFill>
                  <a:effectLst/>
                  <a:latin typeface="+mn-lt"/>
                  <a:ea typeface="+mn-ea"/>
                  <a:cs typeface="+mn-cs"/>
                </a:rPr>
                <a:t>█(</a:t>
              </a:r>
              <a:r>
                <a:rPr lang="en-US" sz="1100" i="0">
                  <a:solidFill>
                    <a:schemeClr val="tx1"/>
                  </a:solidFill>
                  <a:effectLst/>
                  <a:latin typeface="+mn-lt"/>
                  <a:ea typeface="+mn-ea"/>
                  <a:cs typeface="+mn-cs"/>
                </a:rPr>
                <a:t>𝑙𝑜𝑠𝑠 @𝑜𝑐𝑐𝑢𝑟𝑟𝑒𝑛𝑐𝑒)▒〖(𝐺𝑟𝑜𝑠𝑠 𝐿𝑜𝑠𝑠 −𝐶𝑒𝑑𝑒𝑑 𝐿𝑜𝑠𝑠 𝑡𝑜 𝐼𝑛𝑢𝑟𝑖𝑛𝑔 𝑅𝑒)〗</a:t>
              </a:r>
              <a:endParaRPr lang="en-PH" sz="1100">
                <a:solidFill>
                  <a:schemeClr val="tx1"/>
                </a:solidFill>
                <a:effectLst/>
                <a:latin typeface="+mn-lt"/>
                <a:ea typeface="+mn-ea"/>
                <a:cs typeface="+mn-cs"/>
              </a:endParaRPr>
            </a:p>
          </xdr:txBody>
        </xdr:sp>
      </mc:Fallback>
    </mc:AlternateContent>
    <xdr:clientData/>
  </xdr:twoCellAnchor>
  <xdr:twoCellAnchor>
    <xdr:from>
      <xdr:col>1</xdr:col>
      <xdr:colOff>11076</xdr:colOff>
      <xdr:row>87</xdr:row>
      <xdr:rowOff>116295</xdr:rowOff>
    </xdr:from>
    <xdr:to>
      <xdr:col>7</xdr:col>
      <xdr:colOff>387645</xdr:colOff>
      <xdr:row>88</xdr:row>
      <xdr:rowOff>181494</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65169C96-7BBC-4597-BCF9-7D978C682B8D}"/>
                </a:ext>
              </a:extLst>
            </xdr:cNvPr>
            <xdr:cNvSpPr txBox="1"/>
          </xdr:nvSpPr>
          <xdr:spPr>
            <a:xfrm>
              <a:off x="836207" y="17117312"/>
              <a:ext cx="5427035"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𝑠𝑢𝑏𝑠𝑐𝑟𝑖𝑝𝑡𝑖𝑜𝑛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𝑀𝑖𝑛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𝑆𝑢𝑏𝑒𝑗𝑐𝑡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𝑅𝑒𝑛𝑒𝑡𝑖𝑜𝑛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𝑅𝑒𝑖𝑛𝑠𝑢𝑟𝑎𝑛𝑐𝑒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r>
                      <a:rPr lang="en-US"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65169C96-7BBC-4597-BCF9-7D978C682B8D}"/>
                </a:ext>
              </a:extLst>
            </xdr:cNvPr>
            <xdr:cNvSpPr txBox="1"/>
          </xdr:nvSpPr>
          <xdr:spPr>
            <a:xfrm>
              <a:off x="836207" y="17117312"/>
              <a:ext cx="5427035"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𝐿𝑜𝑠𝑠=𝑠𝑢𝑏𝑠𝑐𝑟𝑖𝑝𝑡𝑖𝑜𝑛% ×𝑀𝑖𝑛(𝑆𝑢𝑏𝑒𝑗𝑐𝑡 𝐿𝑜𝑠𝑠 − 𝑅𝑒𝑛𝑒𝑡𝑖𝑜𝑛, 𝑅𝑒𝑖𝑛𝑠𝑢𝑟𝑎𝑛𝑐𝑒 𝐿𝑖𝑚𝑖𝑡)</a:t>
              </a:r>
              <a:endParaRPr lang="en-PH" sz="1100">
                <a:solidFill>
                  <a:schemeClr val="tx1"/>
                </a:solidFill>
                <a:effectLst/>
                <a:latin typeface="+mn-lt"/>
                <a:ea typeface="+mn-ea"/>
                <a:cs typeface="+mn-cs"/>
              </a:endParaRPr>
            </a:p>
          </xdr:txBody>
        </xdr:sp>
      </mc:Fallback>
    </mc:AlternateContent>
    <xdr:clientData/>
  </xdr:twoCellAnchor>
  <xdr:twoCellAnchor>
    <xdr:from>
      <xdr:col>1</xdr:col>
      <xdr:colOff>105835</xdr:colOff>
      <xdr:row>98</xdr:row>
      <xdr:rowOff>153705</xdr:rowOff>
    </xdr:from>
    <xdr:to>
      <xdr:col>4</xdr:col>
      <xdr:colOff>116910</xdr:colOff>
      <xdr:row>100</xdr:row>
      <xdr:rowOff>7237</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27179F65-AC34-4773-B78E-C3A15133AF90}"/>
                </a:ext>
              </a:extLst>
            </xdr:cNvPr>
            <xdr:cNvSpPr txBox="1"/>
          </xdr:nvSpPr>
          <xdr:spPr>
            <a:xfrm>
              <a:off x="931335" y="20611288"/>
              <a:ext cx="2572242" cy="27686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𝐺𝑟𝑜𝑠𝑠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27179F65-AC34-4773-B78E-C3A15133AF90}"/>
                </a:ext>
              </a:extLst>
            </xdr:cNvPr>
            <xdr:cNvSpPr txBox="1"/>
          </xdr:nvSpPr>
          <xdr:spPr>
            <a:xfrm>
              <a:off x="931335" y="20611288"/>
              <a:ext cx="2572242" cy="27686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𝑁𝑒𝑡 𝐿𝑜𝑠𝑠=𝐺𝑟𝑜𝑠𝑠 𝐿𝑜𝑠𝑠 −𝐶𝑒𝑑𝑒𝑑 𝐿𝑜𝑠𝑠</a:t>
              </a:r>
              <a:endParaRPr lang="en-PH" sz="1100">
                <a:solidFill>
                  <a:schemeClr val="tx1"/>
                </a:solidFill>
                <a:effectLst/>
                <a:latin typeface="+mn-lt"/>
                <a:ea typeface="+mn-ea"/>
                <a:cs typeface="+mn-cs"/>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50</xdr:row>
      <xdr:rowOff>0</xdr:rowOff>
    </xdr:from>
    <xdr:to>
      <xdr:col>6</xdr:col>
      <xdr:colOff>77755</xdr:colOff>
      <xdr:row>51</xdr:row>
      <xdr:rowOff>65313</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1FC2F588-8844-46E9-95F3-4526F6910C0C}"/>
                </a:ext>
              </a:extLst>
            </xdr:cNvPr>
            <xdr:cNvSpPr txBox="1"/>
          </xdr:nvSpPr>
          <xdr:spPr>
            <a:xfrm>
              <a:off x="826148" y="10866276"/>
              <a:ext cx="4242513"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Min</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𝑅𝑒𝑡𝑒𝑛𝑡𝑖𝑜𝑛</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𝑅𝑒𝑖𝑛𝑠𝑢𝑟𝑎𝑛𝑐𝑒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r>
                      <a:rPr lang="en-US"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1FC2F588-8844-46E9-95F3-4526F6910C0C}"/>
                </a:ext>
              </a:extLst>
            </xdr:cNvPr>
            <xdr:cNvSpPr txBox="1"/>
          </xdr:nvSpPr>
          <xdr:spPr>
            <a:xfrm>
              <a:off x="826148" y="10866276"/>
              <a:ext cx="4242513"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𝐶𝑒𝑑𝑒𝑑 𝐿𝑜𝑠𝑠=Min(𝑆𝑢𝑏𝑗𝑒𝑐𝑡 𝐿𝑜𝑠𝑠−𝑅𝑒𝑡𝑒𝑛𝑡𝑖𝑜𝑛,𝑅𝑒𝑖𝑛𝑠𝑢𝑟𝑎𝑛𝑐𝑒 𝐿𝑖𝑚𝑖𝑡)</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59</xdr:row>
      <xdr:rowOff>0</xdr:rowOff>
    </xdr:from>
    <xdr:to>
      <xdr:col>4</xdr:col>
      <xdr:colOff>9719</xdr:colOff>
      <xdr:row>60</xdr:row>
      <xdr:rowOff>65312</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B4D7435E-E009-41E9-9721-D649BE730F32}"/>
                </a:ext>
              </a:extLst>
            </xdr:cNvPr>
            <xdr:cNvSpPr txBox="1"/>
          </xdr:nvSpPr>
          <xdr:spPr>
            <a:xfrm>
              <a:off x="826148" y="12858750"/>
              <a:ext cx="2522181"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𝐺𝑟𝑜𝑠𝑠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B4D7435E-E009-41E9-9721-D649BE730F32}"/>
                </a:ext>
              </a:extLst>
            </xdr:cNvPr>
            <xdr:cNvSpPr txBox="1"/>
          </xdr:nvSpPr>
          <xdr:spPr>
            <a:xfrm>
              <a:off x="826148" y="12858750"/>
              <a:ext cx="2522181"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𝑁𝑒𝑡 𝐿𝑜𝑠𝑠 =𝐺𝑟𝑜𝑠𝑠 𝐿𝑜𝑠𝑠 −𝐶𝑒𝑑𝑒𝑑 𝐿𝑜𝑠𝑠</a:t>
              </a:r>
              <a:endParaRPr lang="en-PH" sz="1100">
                <a:solidFill>
                  <a:schemeClr val="tx1"/>
                </a:solidFill>
                <a:effectLst/>
                <a:latin typeface="+mn-lt"/>
                <a:ea typeface="+mn-ea"/>
                <a:cs typeface="+mn-cs"/>
              </a:endParaRPr>
            </a:p>
          </xdr:txBody>
        </xdr:sp>
      </mc:Fallback>
    </mc:AlternateContent>
    <xdr:clientData/>
  </xdr:twoCellAnchor>
  <xdr:twoCellAnchor>
    <xdr:from>
      <xdr:col>1</xdr:col>
      <xdr:colOff>4860</xdr:colOff>
      <xdr:row>71</xdr:row>
      <xdr:rowOff>77755</xdr:rowOff>
    </xdr:from>
    <xdr:to>
      <xdr:col>4</xdr:col>
      <xdr:colOff>126352</xdr:colOff>
      <xdr:row>74</xdr:row>
      <xdr:rowOff>89025</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04E68221-B766-4B59-A1C6-35A3AC5F08D9}"/>
                </a:ext>
              </a:extLst>
            </xdr:cNvPr>
            <xdr:cNvSpPr txBox="1"/>
          </xdr:nvSpPr>
          <xdr:spPr>
            <a:xfrm>
              <a:off x="831008" y="15327474"/>
              <a:ext cx="2633954"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𝐶𝑒𝑑𝑒𝑑</m:t>
                    </m:r>
                  </m:oMath>
                </m:oMathPara>
              </a14:m>
              <a:br>
                <a:rPr lang="en-PH" sz="1100">
                  <a:solidFill>
                    <a:schemeClr val="tx1"/>
                  </a:solidFill>
                  <a:effectLst/>
                  <a:latin typeface="+mn-lt"/>
                  <a:ea typeface="+mn-ea"/>
                  <a:cs typeface="+mn-cs"/>
                </a:rPr>
              </a:br>
              <a:br>
                <a:rPr lang="en-PH" sz="1100">
                  <a:solidFill>
                    <a:schemeClr val="tx1"/>
                  </a:solidFill>
                  <a:effectLst/>
                  <a:latin typeface="+mn-lt"/>
                  <a:ea typeface="+mn-ea"/>
                  <a:cs typeface="+mn-cs"/>
                </a:rPr>
              </a:b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04E68221-B766-4B59-A1C6-35A3AC5F08D9}"/>
                </a:ext>
              </a:extLst>
            </xdr:cNvPr>
            <xdr:cNvSpPr txBox="1"/>
          </xdr:nvSpPr>
          <xdr:spPr>
            <a:xfrm>
              <a:off x="831008" y="15327474"/>
              <a:ext cx="2633954" cy="60901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𝐶𝑒𝑑𝑒𝑑 𝐿𝑜𝑠𝑠 = 𝑆𝑢𝑏𝑗𝑒𝑐𝑡 𝐿𝑜𝑠𝑠 ×%𝐶𝑒𝑑𝑒𝑑</a:t>
              </a:r>
              <a:br>
                <a:rPr lang="en-PH" sz="1100">
                  <a:solidFill>
                    <a:schemeClr val="tx1"/>
                  </a:solidFill>
                  <a:effectLst/>
                  <a:latin typeface="+mn-lt"/>
                  <a:ea typeface="+mn-ea"/>
                  <a:cs typeface="+mn-cs"/>
                </a:rPr>
              </a:br>
              <a:br>
                <a:rPr lang="en-PH" sz="1100">
                  <a:solidFill>
                    <a:schemeClr val="tx1"/>
                  </a:solidFill>
                  <a:effectLst/>
                  <a:latin typeface="+mn-lt"/>
                  <a:ea typeface="+mn-ea"/>
                  <a:cs typeface="+mn-cs"/>
                </a:rPr>
              </a:br>
              <a:r>
                <a:rPr lang="en-US" sz="1100" i="0">
                  <a:solidFill>
                    <a:schemeClr val="tx1"/>
                  </a:solidFill>
                  <a:effectLst/>
                  <a:latin typeface="+mn-lt"/>
                  <a:ea typeface="+mn-ea"/>
                  <a:cs typeface="+mn-cs"/>
                </a:rPr>
                <a:t>𝑁𝑒𝑡 𝐿𝑜𝑠𝑠 = 𝑆𝑢𝑏𝑗𝑒𝑐𝑡 𝐿𝑜𝑠𝑠 − 𝐶𝑒𝑑𝑒𝑑 𝐿𝑜𝑠𝑠</a:t>
              </a:r>
              <a:endParaRPr lang="en-PH" sz="1100">
                <a:solidFill>
                  <a:schemeClr val="tx1"/>
                </a:solidFill>
                <a:effectLst/>
                <a:latin typeface="+mn-lt"/>
                <a:ea typeface="+mn-ea"/>
                <a:cs typeface="+mn-cs"/>
              </a:endParaRPr>
            </a:p>
          </xdr:txBody>
        </xdr:sp>
      </mc:Fallback>
    </mc:AlternateContent>
    <xdr:clientData/>
  </xdr:twoCellAnchor>
  <xdr:twoCellAnchor>
    <xdr:from>
      <xdr:col>1</xdr:col>
      <xdr:colOff>4860</xdr:colOff>
      <xdr:row>76</xdr:row>
      <xdr:rowOff>72896</xdr:rowOff>
    </xdr:from>
    <xdr:to>
      <xdr:col>4</xdr:col>
      <xdr:colOff>383916</xdr:colOff>
      <xdr:row>77</xdr:row>
      <xdr:rowOff>138209</xdr:rowOff>
    </xdr:to>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839145EB-D7CD-415A-BC03-7107A68F117C}"/>
                </a:ext>
              </a:extLst>
            </xdr:cNvPr>
            <xdr:cNvSpPr txBox="1"/>
          </xdr:nvSpPr>
          <xdr:spPr>
            <a:xfrm>
              <a:off x="831008" y="16318853"/>
              <a:ext cx="2891518"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m:t>
                    </m:r>
                  </m:oMath>
                </m:oMathPara>
              </a14:m>
              <a:endParaRPr lang="en-PH" sz="1100">
                <a:solidFill>
                  <a:schemeClr val="tx1"/>
                </a:solidFill>
                <a:effectLst/>
                <a:latin typeface="+mn-lt"/>
                <a:ea typeface="+mn-ea"/>
                <a:cs typeface="+mn-cs"/>
              </a:endParaRPr>
            </a:p>
          </xdr:txBody>
        </xdr:sp>
      </mc:Choice>
      <mc:Fallback xmlns="">
        <xdr:sp macro="" textlink="">
          <xdr:nvSpPr>
            <xdr:cNvPr id="18" name="TextBox 2">
              <a:extLst>
                <a:ext uri="{FF2B5EF4-FFF2-40B4-BE49-F238E27FC236}">
                  <a16:creationId xmlns:a16="http://schemas.microsoft.com/office/drawing/2014/main" id="{839145EB-D7CD-415A-BC03-7107A68F117C}"/>
                </a:ext>
              </a:extLst>
            </xdr:cNvPr>
            <xdr:cNvSpPr txBox="1"/>
          </xdr:nvSpPr>
          <xdr:spPr>
            <a:xfrm>
              <a:off x="831008" y="16318853"/>
              <a:ext cx="2891518"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𝑁𝑒𝑡 𝐿𝑜𝑠𝑠 = 𝑆𝑢𝑏𝑗𝑒𝑐𝑡 𝐿𝑜𝑠𝑠×(1−%𝐶𝑒𝑑𝑒𝑑)</a:t>
              </a:r>
              <a:endParaRPr lang="en-PH" sz="1100">
                <a:solidFill>
                  <a:schemeClr val="tx1"/>
                </a:solidFill>
                <a:effectLst/>
                <a:latin typeface="+mn-lt"/>
                <a:ea typeface="+mn-ea"/>
                <a:cs typeface="+mn-cs"/>
              </a:endParaRPr>
            </a:p>
          </xdr:txBody>
        </xdr:sp>
      </mc:Fallback>
    </mc:AlternateContent>
    <xdr:clientData/>
  </xdr:twoCellAnchor>
  <xdr:oneCellAnchor>
    <xdr:from>
      <xdr:col>1</xdr:col>
      <xdr:colOff>72895</xdr:colOff>
      <xdr:row>89</xdr:row>
      <xdr:rowOff>102053</xdr:rowOff>
    </xdr:from>
    <xdr:ext cx="2930802" cy="17222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B9A0F54A-66B8-4048-A5F4-118300EDD635}"/>
                </a:ext>
              </a:extLst>
            </xdr:cNvPr>
            <xdr:cNvSpPr txBox="1"/>
          </xdr:nvSpPr>
          <xdr:spPr>
            <a:xfrm>
              <a:off x="899043" y="18938226"/>
              <a:ext cx="29308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Min</m:t>
                    </m:r>
                    <m:d>
                      <m:dPr>
                        <m:ctrlPr>
                          <a:rPr lang="en-PH"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𝑠𝑡𝑜𝑝</m:t>
                        </m:r>
                        <m:r>
                          <m:rPr>
                            <m:nor/>
                          </m:rPr>
                          <a:rPr lang="en-US" sz="1100" i="1">
                            <a:solidFill>
                              <a:schemeClr val="tx1"/>
                            </a:solidFill>
                            <a:effectLst/>
                            <a:latin typeface="+mn-lt"/>
                            <a:ea typeface="+mn-ea"/>
                            <a:cs typeface="+mn-cs"/>
                          </a:rPr>
                          <m:t>−</m:t>
                        </m:r>
                        <m:r>
                          <a:rPr lang="en-US" sz="1100" i="1">
                            <a:solidFill>
                              <a:schemeClr val="tx1"/>
                            </a:solidFill>
                            <a:effectLst/>
                            <a:latin typeface="Cambria Math" panose="02040503050406030204" pitchFamily="18" charset="0"/>
                            <a:ea typeface="+mn-ea"/>
                            <a:cs typeface="+mn-cs"/>
                          </a:rPr>
                          <m:t>𝑙𝑜𝑠𝑠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e>
                    </m:d>
                  </m:oMath>
                </m:oMathPara>
              </a14:m>
              <a:endParaRPr lang="en-US" sz="1100">
                <a:solidFill>
                  <a:schemeClr val="tx1"/>
                </a:solidFill>
              </a:endParaRPr>
            </a:p>
          </xdr:txBody>
        </xdr:sp>
      </mc:Choice>
      <mc:Fallback xmlns="">
        <xdr:sp macro="" textlink="">
          <xdr:nvSpPr>
            <xdr:cNvPr id="19" name="TextBox 18">
              <a:extLst>
                <a:ext uri="{FF2B5EF4-FFF2-40B4-BE49-F238E27FC236}">
                  <a16:creationId xmlns:a16="http://schemas.microsoft.com/office/drawing/2014/main" id="{B9A0F54A-66B8-4048-A5F4-118300EDD635}"/>
                </a:ext>
              </a:extLst>
            </xdr:cNvPr>
            <xdr:cNvSpPr txBox="1"/>
          </xdr:nvSpPr>
          <xdr:spPr>
            <a:xfrm>
              <a:off x="899043" y="18938226"/>
              <a:ext cx="293080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𝑁𝑒𝑡 𝐿𝑜𝑠𝑠=Min</a:t>
              </a:r>
              <a:r>
                <a:rPr lang="en-PH" sz="1100" i="0">
                  <a:solidFill>
                    <a:schemeClr val="tx1"/>
                  </a:solidFill>
                  <a:effectLst/>
                  <a:latin typeface="+mn-lt"/>
                  <a:ea typeface="+mn-ea"/>
                  <a:cs typeface="+mn-cs"/>
                </a:rPr>
                <a:t>(</a:t>
              </a:r>
              <a:r>
                <a:rPr lang="en-US" sz="1100" i="0">
                  <a:solidFill>
                    <a:schemeClr val="tx1"/>
                  </a:solidFill>
                  <a:effectLst/>
                  <a:latin typeface="+mn-lt"/>
                  <a:ea typeface="+mn-ea"/>
                  <a:cs typeface="+mn-cs"/>
                </a:rPr>
                <a:t>𝑆𝑢𝑏𝑗𝑒𝑐𝑡 𝐿𝑜𝑠𝑠, 𝑠𝑡𝑜𝑝"−" 𝑙𝑜𝑠𝑠 𝑙𝑖𝑚𝑖𝑡)</a:t>
              </a:r>
              <a:endParaRPr lang="en-US" sz="1100">
                <a:solidFill>
                  <a:schemeClr val="tx1"/>
                </a:solidFill>
              </a:endParaRPr>
            </a:p>
          </xdr:txBody>
        </xdr:sp>
      </mc:Fallback>
    </mc:AlternateContent>
    <xdr:clientData/>
  </xdr:oneCellAnchor>
  <xdr:oneCellAnchor>
    <xdr:from>
      <xdr:col>1</xdr:col>
      <xdr:colOff>72895</xdr:colOff>
      <xdr:row>90</xdr:row>
      <xdr:rowOff>170089</xdr:rowOff>
    </xdr:from>
    <xdr:ext cx="2979149" cy="172227"/>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CBBD793-E6B0-421F-BB6D-4721B8175E40}"/>
                </a:ext>
              </a:extLst>
            </xdr:cNvPr>
            <xdr:cNvSpPr txBox="1"/>
          </xdr:nvSpPr>
          <xdr:spPr>
            <a:xfrm>
              <a:off x="899043" y="19205510"/>
              <a:ext cx="29791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effectLst/>
                        <a:latin typeface="Cambria Math" panose="02040503050406030204" pitchFamily="18" charset="0"/>
                        <a:ea typeface="+mn-ea"/>
                        <a:cs typeface="+mn-cs"/>
                      </a:rPr>
                      <m:t>𝑆</m:t>
                    </m:r>
                    <m:r>
                      <a:rPr lang="en-US" sz="1100" i="1">
                        <a:solidFill>
                          <a:schemeClr val="tx1"/>
                        </a:solidFill>
                        <a:effectLst/>
                        <a:latin typeface="Cambria Math" panose="02040503050406030204" pitchFamily="18" charset="0"/>
                        <a:ea typeface="+mn-ea"/>
                        <a:cs typeface="+mn-cs"/>
                      </a:rPr>
                      <m:t>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𝑅𝑒𝑡𝑎𝑖𝑛𝑒𝑑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𝑎𝑓𝑡𝑒𝑟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𝐼𝑛𝑢𝑟𝑖𝑛𝑔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m:t>
                    </m:r>
                    <m:r>
                      <m:rPr>
                        <m:nor/>
                      </m:rPr>
                      <a:rPr lang="en-US" sz="1100" i="1">
                        <a:solidFill>
                          <a:schemeClr val="tx1"/>
                        </a:solidFill>
                        <a:effectLst/>
                        <a:latin typeface="+mn-lt"/>
                        <a:ea typeface="+mn-ea"/>
                        <a:cs typeface="+mn-cs"/>
                      </a:rPr>
                      <m:t> </m:t>
                    </m:r>
                  </m:oMath>
                </m:oMathPara>
              </a14:m>
              <a:endParaRPr lang="en-PH">
                <a:effectLst/>
              </a:endParaRPr>
            </a:p>
          </xdr:txBody>
        </xdr:sp>
      </mc:Choice>
      <mc:Fallback xmlns="">
        <xdr:sp macro="" textlink="">
          <xdr:nvSpPr>
            <xdr:cNvPr id="20" name="TextBox 19">
              <a:extLst>
                <a:ext uri="{FF2B5EF4-FFF2-40B4-BE49-F238E27FC236}">
                  <a16:creationId xmlns:a16="http://schemas.microsoft.com/office/drawing/2014/main" id="{4CBBD793-E6B0-421F-BB6D-4721B8175E40}"/>
                </a:ext>
              </a:extLst>
            </xdr:cNvPr>
            <xdr:cNvSpPr txBox="1"/>
          </xdr:nvSpPr>
          <xdr:spPr>
            <a:xfrm>
              <a:off x="899043" y="19205510"/>
              <a:ext cx="297914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tx1"/>
                  </a:solidFill>
                  <a:effectLst/>
                  <a:latin typeface="+mn-lt"/>
                  <a:ea typeface="+mn-ea"/>
                  <a:cs typeface="+mn-cs"/>
                </a:rPr>
                <a:t>𝑆</a:t>
              </a:r>
              <a:r>
                <a:rPr lang="en-US" sz="1100" i="0">
                  <a:solidFill>
                    <a:schemeClr val="tx1"/>
                  </a:solidFill>
                  <a:effectLst/>
                  <a:latin typeface="+mn-lt"/>
                  <a:ea typeface="+mn-ea"/>
                  <a:cs typeface="+mn-cs"/>
                </a:rPr>
                <a:t>𝑢𝑏𝑗𝑒𝑐𝑡 𝐿𝑜𝑠𝑠=𝑁𝑒𝑡 𝑅𝑒𝑡𝑎𝑖𝑛𝑒𝑑 𝑎𝑓𝑡𝑒𝑟 𝐼𝑛𝑢𝑟𝑖𝑛𝑔 𝑅𝑒</a:t>
              </a:r>
              <a:r>
                <a:rPr lang="en-US" sz="1100" i="0">
                  <a:solidFill>
                    <a:schemeClr val="tx1"/>
                  </a:solidFill>
                  <a:effectLst/>
                  <a:latin typeface="Cambria Math" panose="02040503050406030204" pitchFamily="18" charset="0"/>
                  <a:ea typeface="+mn-ea"/>
                  <a:cs typeface="+mn-cs"/>
                </a:rPr>
                <a:t>" </a:t>
              </a:r>
              <a:r>
                <a:rPr lang="en-PH" sz="1100" i="0">
                  <a:solidFill>
                    <a:schemeClr val="tx1"/>
                  </a:solidFill>
                  <a:effectLst/>
                  <a:latin typeface="+mn-lt"/>
                  <a:ea typeface="+mn-ea"/>
                  <a:cs typeface="+mn-cs"/>
                </a:rPr>
                <a:t>"</a:t>
              </a:r>
              <a:endParaRPr lang="en-PH">
                <a:effectLst/>
              </a:endParaRPr>
            </a:p>
          </xdr:txBody>
        </xdr:sp>
      </mc:Fallback>
    </mc:AlternateContent>
    <xdr:clientData/>
  </xdr:oneCellAnchor>
  <xdr:oneCellAnchor>
    <xdr:from>
      <xdr:col>1</xdr:col>
      <xdr:colOff>0</xdr:colOff>
      <xdr:row>95</xdr:row>
      <xdr:rowOff>0</xdr:rowOff>
    </xdr:from>
    <xdr:ext cx="4392356" cy="172227"/>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C7A3273A-9F12-4C46-A66B-797AF581DFB5}"/>
                </a:ext>
              </a:extLst>
            </xdr:cNvPr>
            <xdr:cNvSpPr txBox="1"/>
          </xdr:nvSpPr>
          <xdr:spPr>
            <a:xfrm>
              <a:off x="826148" y="20031658"/>
              <a:ext cx="439235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Min</m:t>
                    </m:r>
                    <m:d>
                      <m:dPr>
                        <m:ctrlPr>
                          <a:rPr lang="en-PH"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𝑠𝑡𝑜𝑝</m:t>
                        </m:r>
                        <m:r>
                          <m:rPr>
                            <m:nor/>
                          </m:rPr>
                          <a:rPr lang="en-US" sz="1100" i="1">
                            <a:solidFill>
                              <a:schemeClr val="tx1"/>
                            </a:solidFill>
                            <a:effectLst/>
                            <a:latin typeface="+mn-lt"/>
                            <a:ea typeface="+mn-ea"/>
                            <a:cs typeface="+mn-cs"/>
                          </a:rPr>
                          <m:t>−</m:t>
                        </m:r>
                        <m:r>
                          <a:rPr lang="en-US" sz="1100" i="1">
                            <a:solidFill>
                              <a:schemeClr val="tx1"/>
                            </a:solidFill>
                            <a:effectLst/>
                            <a:latin typeface="Cambria Math" panose="02040503050406030204" pitchFamily="18" charset="0"/>
                            <a:ea typeface="+mn-ea"/>
                            <a:cs typeface="+mn-cs"/>
                          </a:rPr>
                          <m:t>𝑙𝑜𝑠𝑠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𝑅𝑒𝑖𝑛𝑠𝑢𝑟𝑎𝑛𝑐𝑒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e>
                    </m:d>
                  </m:oMath>
                </m:oMathPara>
              </a14:m>
              <a:endParaRPr lang="en-PH" sz="1100">
                <a:solidFill>
                  <a:schemeClr val="tx1"/>
                </a:solidFill>
                <a:effectLst/>
                <a:latin typeface="+mn-lt"/>
                <a:ea typeface="+mn-ea"/>
                <a:cs typeface="+mn-cs"/>
              </a:endParaRPr>
            </a:p>
          </xdr:txBody>
        </xdr:sp>
      </mc:Choice>
      <mc:Fallback xmlns="">
        <xdr:sp macro="" textlink="">
          <xdr:nvSpPr>
            <xdr:cNvPr id="21" name="TextBox 20">
              <a:extLst>
                <a:ext uri="{FF2B5EF4-FFF2-40B4-BE49-F238E27FC236}">
                  <a16:creationId xmlns:a16="http://schemas.microsoft.com/office/drawing/2014/main" id="{C7A3273A-9F12-4C46-A66B-797AF581DFB5}"/>
                </a:ext>
              </a:extLst>
            </xdr:cNvPr>
            <xdr:cNvSpPr txBox="1"/>
          </xdr:nvSpPr>
          <xdr:spPr>
            <a:xfrm>
              <a:off x="826148" y="20031658"/>
              <a:ext cx="439235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𝐶𝑒𝑑𝑒𝑑 𝐿𝑜𝑠𝑠=Min</a:t>
              </a:r>
              <a:r>
                <a:rPr lang="en-PH" sz="1100" i="0">
                  <a:solidFill>
                    <a:schemeClr val="tx1"/>
                  </a:solidFill>
                  <a:effectLst/>
                  <a:latin typeface="+mn-lt"/>
                  <a:ea typeface="+mn-ea"/>
                  <a:cs typeface="+mn-cs"/>
                </a:rPr>
                <a:t>(</a:t>
              </a:r>
              <a:r>
                <a:rPr lang="en-US" sz="1100" i="0">
                  <a:solidFill>
                    <a:schemeClr val="tx1"/>
                  </a:solidFill>
                  <a:effectLst/>
                  <a:latin typeface="+mn-lt"/>
                  <a:ea typeface="+mn-ea"/>
                  <a:cs typeface="+mn-cs"/>
                </a:rPr>
                <a:t>𝑆𝑢𝑏𝑗𝑒𝑐𝑡 𝐿𝑜𝑠𝑠−𝑠𝑡𝑜𝑝"−" 𝑙𝑜𝑠𝑠 𝑙𝑖𝑚𝑖𝑡, 𝑅𝑒𝑖𝑛𝑠𝑢𝑟𝑎𝑛𝑐𝑒 𝐿𝑖𝑚𝑖𝑡)</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96</xdr:row>
      <xdr:rowOff>68036</xdr:rowOff>
    </xdr:from>
    <xdr:ext cx="2427652" cy="172227"/>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62E32C11-CC70-4915-8A74-8F8E5EB29B43}"/>
                </a:ext>
              </a:extLst>
            </xdr:cNvPr>
            <xdr:cNvSpPr txBox="1"/>
          </xdr:nvSpPr>
          <xdr:spPr>
            <a:xfrm>
              <a:off x="826148" y="20298942"/>
              <a:ext cx="24276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𝑆𝑢𝑏𝑗𝑒𝑐𝑡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𝐶𝑒𝑑𝑒𝑑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22" name="TextBox 21">
              <a:extLst>
                <a:ext uri="{FF2B5EF4-FFF2-40B4-BE49-F238E27FC236}">
                  <a16:creationId xmlns:a16="http://schemas.microsoft.com/office/drawing/2014/main" id="{62E32C11-CC70-4915-8A74-8F8E5EB29B43}"/>
                </a:ext>
              </a:extLst>
            </xdr:cNvPr>
            <xdr:cNvSpPr txBox="1"/>
          </xdr:nvSpPr>
          <xdr:spPr>
            <a:xfrm>
              <a:off x="826148" y="20298942"/>
              <a:ext cx="24276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solidFill>
                    <a:schemeClr val="tx1"/>
                  </a:solidFill>
                  <a:effectLst/>
                  <a:latin typeface="+mn-lt"/>
                  <a:ea typeface="+mn-ea"/>
                  <a:cs typeface="+mn-cs"/>
                </a:rPr>
                <a:t>𝑁𝑒𝑡 𝐿𝑜𝑠𝑠=𝑆𝑢𝑏𝑗𝑒𝑐𝑡 𝐿𝑜𝑠𝑠−𝐶𝑒𝑑𝑒𝑑 𝐿𝑜𝑠𝑠</a:t>
              </a:r>
              <a:endParaRPr lang="en-PH" sz="1100">
                <a:solidFill>
                  <a:schemeClr val="tx1"/>
                </a:solidFill>
                <a:effectLst/>
                <a:latin typeface="+mn-lt"/>
                <a:ea typeface="+mn-ea"/>
                <a:cs typeface="+mn-cs"/>
              </a:endParaRPr>
            </a:p>
          </xdr:txBody>
        </xdr:sp>
      </mc:Fallback>
    </mc:AlternateContent>
    <xdr:clientData/>
  </xdr:oneCellAnchor>
  <xdr:twoCellAnchor>
    <xdr:from>
      <xdr:col>1</xdr:col>
      <xdr:colOff>0</xdr:colOff>
      <xdr:row>98</xdr:row>
      <xdr:rowOff>0</xdr:rowOff>
    </xdr:from>
    <xdr:to>
      <xdr:col>4</xdr:col>
      <xdr:colOff>758112</xdr:colOff>
      <xdr:row>99</xdr:row>
      <xdr:rowOff>65313</xdr:rowOff>
    </xdr:to>
    <mc:AlternateContent xmlns:mc="http://schemas.openxmlformats.org/markup-compatibility/2006" xmlns:a14="http://schemas.microsoft.com/office/drawing/2010/main">
      <mc:Choice Requires="a14">
        <xdr:sp macro="" textlink="">
          <xdr:nvSpPr>
            <xdr:cNvPr id="23" name="TextBox 2">
              <a:extLst>
                <a:ext uri="{FF2B5EF4-FFF2-40B4-BE49-F238E27FC236}">
                  <a16:creationId xmlns:a16="http://schemas.microsoft.com/office/drawing/2014/main" id="{5269B5EB-EB19-4F03-B844-8A1E2229CCAA}"/>
                </a:ext>
              </a:extLst>
            </xdr:cNvPr>
            <xdr:cNvSpPr txBox="1"/>
          </xdr:nvSpPr>
          <xdr:spPr>
            <a:xfrm>
              <a:off x="826148" y="20629401"/>
              <a:ext cx="3270574"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𝐶𝑎𝑠𝑒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𝑂𝑢𝑡𝑠𝑡𝑎𝑛𝑑𝑖𝑛𝑔</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𝑅𝑒𝑝𝑜𝑟𝑡𝑒𝑑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𝑃𝑎𝑖𝑑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23" name="TextBox 2">
              <a:extLst>
                <a:ext uri="{FF2B5EF4-FFF2-40B4-BE49-F238E27FC236}">
                  <a16:creationId xmlns:a16="http://schemas.microsoft.com/office/drawing/2014/main" id="{5269B5EB-EB19-4F03-B844-8A1E2229CCAA}"/>
                </a:ext>
              </a:extLst>
            </xdr:cNvPr>
            <xdr:cNvSpPr txBox="1"/>
          </xdr:nvSpPr>
          <xdr:spPr>
            <a:xfrm>
              <a:off x="826148" y="20629401"/>
              <a:ext cx="3270574"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𝐶𝑎𝑠𝑒 𝑂𝑢𝑡𝑠𝑡𝑎𝑛𝑑𝑖𝑛𝑔 = 𝑅𝑒𝑝𝑜𝑟𝑡𝑒𝑑 𝐿𝑜𝑠𝑠 − 𝑃𝑎𝑖𝑑 𝐿𝑜𝑠𝑠</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100</xdr:row>
      <xdr:rowOff>0</xdr:rowOff>
    </xdr:from>
    <xdr:to>
      <xdr:col>4</xdr:col>
      <xdr:colOff>233265</xdr:colOff>
      <xdr:row>101</xdr:row>
      <xdr:rowOff>65313</xdr:rowOff>
    </xdr:to>
    <mc:AlternateContent xmlns:mc="http://schemas.openxmlformats.org/markup-compatibility/2006" xmlns:a14="http://schemas.microsoft.com/office/drawing/2010/main">
      <mc:Choice Requires="a14">
        <xdr:sp macro="" textlink="">
          <xdr:nvSpPr>
            <xdr:cNvPr id="25" name="TextBox 2">
              <a:extLst>
                <a:ext uri="{FF2B5EF4-FFF2-40B4-BE49-F238E27FC236}">
                  <a16:creationId xmlns:a16="http://schemas.microsoft.com/office/drawing/2014/main" id="{E29DED33-BD74-4062-97BF-EF76513EE93A}"/>
                </a:ext>
              </a:extLst>
            </xdr:cNvPr>
            <xdr:cNvSpPr txBox="1"/>
          </xdr:nvSpPr>
          <xdr:spPr>
            <a:xfrm>
              <a:off x="826148" y="21027896"/>
              <a:ext cx="2745727"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𝐼𝐵𝑁𝑅</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𝑅𝑒𝑝𝑜𝑟𝑡𝑒𝑑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25" name="TextBox 2">
              <a:extLst>
                <a:ext uri="{FF2B5EF4-FFF2-40B4-BE49-F238E27FC236}">
                  <a16:creationId xmlns:a16="http://schemas.microsoft.com/office/drawing/2014/main" id="{E29DED33-BD74-4062-97BF-EF76513EE93A}"/>
                </a:ext>
              </a:extLst>
            </xdr:cNvPr>
            <xdr:cNvSpPr txBox="1"/>
          </xdr:nvSpPr>
          <xdr:spPr>
            <a:xfrm>
              <a:off x="826148" y="21027896"/>
              <a:ext cx="2745727"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𝐼𝐵𝑁𝑅 = 𝑈𝑙𝑡𝑖𝑚𝑎𝑡𝑒 𝐿𝑜𝑠𝑠 − 𝑅𝑒𝑝𝑜𝑟𝑡𝑒𝑑 𝐿𝑜𝑠𝑠</a:t>
              </a:r>
              <a:endParaRPr lang="en-PH"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253999</xdr:colOff>
      <xdr:row>36</xdr:row>
      <xdr:rowOff>169333</xdr:rowOff>
    </xdr:from>
    <xdr:to>
      <xdr:col>5</xdr:col>
      <xdr:colOff>560917</xdr:colOff>
      <xdr:row>38</xdr:row>
      <xdr:rowOff>31597</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122246D-5C6A-48C2-98F8-7CA0B9D521BE}"/>
                </a:ext>
              </a:extLst>
            </xdr:cNvPr>
            <xdr:cNvSpPr txBox="1"/>
          </xdr:nvSpPr>
          <xdr:spPr>
            <a:xfrm>
              <a:off x="1079499" y="7694083"/>
              <a:ext cx="36512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𝐿𝑜𝑠𝑠𝑒𝑠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𝐿𝑎𝑟𝑔𝑒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𝐿𝑎𝑟𝑔𝑒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7122246D-5C6A-48C2-98F8-7CA0B9D521BE}"/>
                </a:ext>
              </a:extLst>
            </xdr:cNvPr>
            <xdr:cNvSpPr txBox="1"/>
          </xdr:nvSpPr>
          <xdr:spPr>
            <a:xfrm>
              <a:off x="1079499" y="7694083"/>
              <a:ext cx="365125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𝐶𝐴𝑇 𝐿𝑜𝑠𝑠𝑒𝑠 𝑒𝑥 𝐿𝑎𝑟𝑔𝑒 𝐶𝐴𝑇 =𝐶𝐴𝑇 𝐿𝑜𝑠𝑠 −𝐿𝑎𝑟𝑔𝑒 𝐶𝐴𝑇 𝐿𝑜𝑠𝑠</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267716</xdr:colOff>
      <xdr:row>53</xdr:row>
      <xdr:rowOff>137797</xdr:rowOff>
    </xdr:from>
    <xdr:to>
      <xdr:col>7</xdr:col>
      <xdr:colOff>222250</xdr:colOff>
      <xdr:row>55</xdr:row>
      <xdr:rowOff>62</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537764B-8D21-401F-93F8-E83384AF0D7B}"/>
                </a:ext>
              </a:extLst>
            </xdr:cNvPr>
            <xdr:cNvSpPr txBox="1"/>
          </xdr:nvSpPr>
          <xdr:spPr>
            <a:xfrm>
              <a:off x="1093216" y="11080964"/>
              <a:ext cx="49498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𝐿𝑜𝑠𝑠𝑒𝑠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𝐿𝑎𝑟𝑔𝑒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𝐶𝐷𝐹</m:t>
                    </m:r>
                    <m:r>
                      <a:rPr lang="en-US" sz="1100" i="1">
                        <a:solidFill>
                          <a:schemeClr val="tx1"/>
                        </a:solidFill>
                        <a:effectLst/>
                        <a:latin typeface="Cambria Math" panose="02040503050406030204" pitchFamily="18" charset="0"/>
                        <a:ea typeface="+mn-ea"/>
                        <a:cs typeface="+mn-cs"/>
                      </a:rPr>
                      <m:t> + </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𝐿𝑎𝑟𝑔𝑒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𝐶𝐴𝑇</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8537764B-8D21-401F-93F8-E83384AF0D7B}"/>
                </a:ext>
              </a:extLst>
            </xdr:cNvPr>
            <xdr:cNvSpPr txBox="1"/>
          </xdr:nvSpPr>
          <xdr:spPr>
            <a:xfrm>
              <a:off x="1093216" y="11080964"/>
              <a:ext cx="494986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𝑈𝑙𝑡𝑖𝑚𝑎𝑡𝑒 𝐶𝐴𝑇 𝐿𝑜𝑠𝑠 =𝐶𝐴𝑇 𝐿𝑜𝑠𝑠𝑒𝑠 𝑒𝑥 𝐿𝑎𝑟𝑔𝑒 𝐶𝐴𝑇 × 𝐶𝐷𝐹 + 𝑈𝑙𝑡 𝐿𝑎𝑟𝑔𝑒 𝐶𝐴𝑇 𝐿𝑜𝑠𝑠</a:t>
              </a:r>
              <a:endParaRPr lang="en-US" sz="1100">
                <a:solidFill>
                  <a:schemeClr val="tx1"/>
                </a:solidFill>
                <a:effectLst/>
                <a:latin typeface="+mn-lt"/>
                <a:ea typeface="+mn-ea"/>
                <a:cs typeface="+mn-cs"/>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41</xdr:row>
      <xdr:rowOff>0</xdr:rowOff>
    </xdr:from>
    <xdr:to>
      <xdr:col>3</xdr:col>
      <xdr:colOff>545106</xdr:colOff>
      <xdr:row>42</xdr:row>
      <xdr:rowOff>63731</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A776A318-442D-49F0-9F23-3BA566009BCC}"/>
                </a:ext>
              </a:extLst>
            </xdr:cNvPr>
            <xdr:cNvSpPr txBox="1"/>
          </xdr:nvSpPr>
          <xdr:spPr>
            <a:xfrm>
              <a:off x="826265" y="8698735"/>
              <a:ext cx="219763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m:t>
                    </m:r>
                    <m:sSup>
                      <m:sSupPr>
                        <m:ctrlPr>
                          <a:rPr lang="en-PH"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𝑠</m:t>
                        </m:r>
                      </m:e>
                      <m:sup>
                        <m:argPr>
                          <m:argSz m:val="-1"/>
                        </m:argPr>
                        <m:r>
                          <a:rPr lang="en-US" sz="1100" i="1">
                            <a:solidFill>
                              <a:schemeClr val="tx1"/>
                            </a:solidFill>
                            <a:effectLst/>
                            <a:latin typeface="Cambria Math" panose="02040503050406030204" pitchFamily="18" charset="0"/>
                            <a:ea typeface="+mn-ea"/>
                            <a:cs typeface="+mn-cs"/>
                          </a:rPr>
                          <m:t>𝐷𝑒𝑣</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𝐶𝐷𝐹</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A776A318-442D-49F0-9F23-3BA566009BCC}"/>
                </a:ext>
              </a:extLst>
            </xdr:cNvPr>
            <xdr:cNvSpPr txBox="1"/>
          </xdr:nvSpPr>
          <xdr:spPr>
            <a:xfrm>
              <a:off x="826265" y="8698735"/>
              <a:ext cx="2197636"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𝑈𝑙𝑡𝑖𝑚𝑎𝑡𝑒 𝐿𝑜𝑠𝑠</a:t>
              </a:r>
              <a:r>
                <a:rPr lang="en-PH" sz="1100" i="0">
                  <a:solidFill>
                    <a:schemeClr val="tx1"/>
                  </a:solidFill>
                  <a:effectLst/>
                  <a:latin typeface="+mn-lt"/>
                  <a:ea typeface="+mn-ea"/>
                  <a:cs typeface="+mn-cs"/>
                </a:rPr>
                <a:t>^</a:t>
              </a:r>
              <a:r>
                <a:rPr lang="en-US" sz="1100" i="0">
                  <a:solidFill>
                    <a:schemeClr val="tx1"/>
                  </a:solidFill>
                  <a:effectLst/>
                  <a:latin typeface="+mn-lt"/>
                  <a:ea typeface="+mn-ea"/>
                  <a:cs typeface="+mn-cs"/>
                </a:rPr>
                <a:t>𝐷𝑒𝑣=𝐿𝑜𝑠𝑠×𝐶𝐷𝐹</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43</xdr:row>
      <xdr:rowOff>0</xdr:rowOff>
    </xdr:from>
    <xdr:to>
      <xdr:col>4</xdr:col>
      <xdr:colOff>218042</xdr:colOff>
      <xdr:row>44</xdr:row>
      <xdr:rowOff>63732</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D3A6A0B9-DCFB-40B0-8D02-8CB4955D5EBF}"/>
                </a:ext>
              </a:extLst>
            </xdr:cNvPr>
            <xdr:cNvSpPr txBox="1"/>
          </xdr:nvSpPr>
          <xdr:spPr>
            <a:xfrm>
              <a:off x="826265" y="9100392"/>
              <a:ext cx="2696837"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𝐼𝐵𝑁𝑅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𝑅𝑒𝑝𝑜𝑟𝑡𝑒𝑑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D3A6A0B9-DCFB-40B0-8D02-8CB4955D5EBF}"/>
                </a:ext>
              </a:extLst>
            </xdr:cNvPr>
            <xdr:cNvSpPr txBox="1"/>
          </xdr:nvSpPr>
          <xdr:spPr>
            <a:xfrm>
              <a:off x="826265" y="9100392"/>
              <a:ext cx="2696837"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𝐼𝐵𝑁𝑅=𝑈𝑙𝑡𝑖𝑚𝑎𝑡𝑒 𝐿𝑜𝑠𝑠−𝑅𝑒𝑝𝑜𝑟𝑡𝑒𝑑 𝐿𝑜𝑠𝑠</a:t>
              </a:r>
              <a:endParaRPr lang="en-PH" sz="1100">
                <a:solidFill>
                  <a:schemeClr val="tx1"/>
                </a:solidFill>
                <a:effectLst/>
                <a:latin typeface="+mn-lt"/>
                <a:ea typeface="+mn-ea"/>
                <a:cs typeface="+mn-cs"/>
              </a:endParaRPr>
            </a:p>
          </xdr:txBody>
        </xdr:sp>
      </mc:Fallback>
    </mc:AlternateContent>
    <xdr:clientData/>
  </xdr:twoCellAnchor>
  <xdr:twoCellAnchor>
    <xdr:from>
      <xdr:col>1</xdr:col>
      <xdr:colOff>0</xdr:colOff>
      <xdr:row>45</xdr:row>
      <xdr:rowOff>0</xdr:rowOff>
    </xdr:from>
    <xdr:to>
      <xdr:col>4</xdr:col>
      <xdr:colOff>286898</xdr:colOff>
      <xdr:row>46</xdr:row>
      <xdr:rowOff>63731</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63A79FFB-8BCF-47E7-8597-3163C5D9C53D}"/>
                </a:ext>
              </a:extLst>
            </xdr:cNvPr>
            <xdr:cNvSpPr txBox="1"/>
          </xdr:nvSpPr>
          <xdr:spPr>
            <a:xfrm>
              <a:off x="826265" y="9502048"/>
              <a:ext cx="2765693"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𝑃𝑎𝑖𝑑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PH"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63A79FFB-8BCF-47E7-8597-3163C5D9C53D}"/>
                </a:ext>
              </a:extLst>
            </xdr:cNvPr>
            <xdr:cNvSpPr txBox="1"/>
          </xdr:nvSpPr>
          <xdr:spPr>
            <a:xfrm>
              <a:off x="826265" y="9502048"/>
              <a:ext cx="2765693" cy="26456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𝑈𝑛𝑝𝑎𝑖𝑑 𝐿𝑜𝑠𝑠=𝑈𝑙𝑡𝑖𝑚𝑎𝑡𝑒 𝐿𝑜𝑠𝑠−𝑃𝑎𝑖𝑑 𝐿𝑜𝑠𝑠</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222250</xdr:colOff>
      <xdr:row>55</xdr:row>
      <xdr:rowOff>148167</xdr:rowOff>
    </xdr:from>
    <xdr:to>
      <xdr:col>4</xdr:col>
      <xdr:colOff>509148</xdr:colOff>
      <xdr:row>57</xdr:row>
      <xdr:rowOff>10814</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015FA200-13FF-4BAD-9FFD-1FEF2C0FA031}"/>
                </a:ext>
              </a:extLst>
            </xdr:cNvPr>
            <xdr:cNvSpPr txBox="1"/>
          </xdr:nvSpPr>
          <xdr:spPr>
            <a:xfrm>
              <a:off x="1047750" y="11768667"/>
              <a:ext cx="2763398" cy="26481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𝐸𝑎𝑟𝑛𝑒𝑑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𝑃𝑟𝑒𝑚𝑖𝑢𝑚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oMath>
                </m:oMathPara>
              </a14:m>
              <a:endParaRPr lang="en-PH"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015FA200-13FF-4BAD-9FFD-1FEF2C0FA031}"/>
                </a:ext>
              </a:extLst>
            </xdr:cNvPr>
            <xdr:cNvSpPr txBox="1"/>
          </xdr:nvSpPr>
          <xdr:spPr>
            <a:xfrm>
              <a:off x="1047750" y="11768667"/>
              <a:ext cx="2763398" cy="26481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𝐸𝑥𝑝𝑒𝑐𝑡𝑒𝑑 𝐿𝑜𝑠𝑠=𝐸𝑎𝑟𝑛𝑒𝑑 𝑃𝑟𝑒𝑚𝑖𝑢𝑚×𝐸𝐿𝑅</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275166</xdr:colOff>
      <xdr:row>72</xdr:row>
      <xdr:rowOff>0</xdr:rowOff>
    </xdr:from>
    <xdr:to>
      <xdr:col>3</xdr:col>
      <xdr:colOff>470257</xdr:colOff>
      <xdr:row>74</xdr:row>
      <xdr:rowOff>8713</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51727087-5F9D-41D6-919D-3F0A5E1159D4}"/>
                </a:ext>
              </a:extLst>
            </xdr:cNvPr>
            <xdr:cNvSpPr txBox="1"/>
          </xdr:nvSpPr>
          <xdr:spPr>
            <a:xfrm>
              <a:off x="1100666" y="14837833"/>
              <a:ext cx="1846091" cy="410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𝑈𝑛𝑟𝑒𝑝𝑜𝑟𝑡𝑒𝑑</m:t>
                    </m:r>
                    <m:r>
                      <a:rPr lang="en-US" sz="1100" i="1">
                        <a:solidFill>
                          <a:schemeClr val="tx1"/>
                        </a:solidFill>
                        <a:effectLst/>
                        <a:latin typeface="Cambria Math" panose="02040503050406030204" pitchFamily="18" charset="0"/>
                        <a:ea typeface="+mn-ea"/>
                        <a:cs typeface="+mn-cs"/>
                      </a:rPr>
                      <m:t>=1−</m:t>
                    </m:r>
                    <m:f>
                      <m:fPr>
                        <m:ctrlPr>
                          <a:rPr lang="en-PH"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𝐶𝐷𝐹</m:t>
                        </m:r>
                      </m:den>
                    </m:f>
                  </m:oMath>
                </m:oMathPara>
              </a14:m>
              <a:endParaRPr lang="en-PH"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51727087-5F9D-41D6-919D-3F0A5E1159D4}"/>
                </a:ext>
              </a:extLst>
            </xdr:cNvPr>
            <xdr:cNvSpPr txBox="1"/>
          </xdr:nvSpPr>
          <xdr:spPr>
            <a:xfrm>
              <a:off x="1100666" y="14837833"/>
              <a:ext cx="1846091" cy="41088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%𝑈𝑛𝑟𝑒𝑝𝑜𝑟𝑡𝑒𝑑=1−1</a:t>
              </a: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𝐶𝐷𝐹</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275166</xdr:colOff>
      <xdr:row>77</xdr:row>
      <xdr:rowOff>158750</xdr:rowOff>
    </xdr:from>
    <xdr:to>
      <xdr:col>6</xdr:col>
      <xdr:colOff>745677</xdr:colOff>
      <xdr:row>79</xdr:row>
      <xdr:rowOff>21398</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77849A67-03F7-4F44-AB7C-42C034A195E5}"/>
                </a:ext>
              </a:extLst>
            </xdr:cNvPr>
            <xdr:cNvSpPr txBox="1"/>
          </xdr:nvSpPr>
          <xdr:spPr>
            <a:xfrm>
              <a:off x="1100666" y="16002000"/>
              <a:ext cx="4650928" cy="2648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PH"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𝑈𝑙𝑡𝑖𝑚𝑎𝑡𝑒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𝐵𝐹</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𝑅𝑒𝑝𝑜𝑟𝑡𝑒𝑑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𝐿𝑜𝑠𝑠𝑒𝑠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𝑈𝑛𝑟𝑒𝑝𝑜𝑟𝑡𝑒𝑑</m:t>
                    </m:r>
                  </m:oMath>
                </m:oMathPara>
              </a14:m>
              <a:endParaRPr lang="en-PH"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77849A67-03F7-4F44-AB7C-42C034A195E5}"/>
                </a:ext>
              </a:extLst>
            </xdr:cNvPr>
            <xdr:cNvSpPr txBox="1"/>
          </xdr:nvSpPr>
          <xdr:spPr>
            <a:xfrm>
              <a:off x="1100666" y="16002000"/>
              <a:ext cx="4650928" cy="2648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𝑈𝑙𝑡𝑖𝑚𝑎𝑡𝑒 𝐿𝑜𝑠𝑠</a:t>
              </a: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𝐵𝐹=𝑅𝑒𝑝𝑜𝑟𝑡𝑒𝑑 𝐿𝑜𝑠𝑠𝑒𝑠+𝐸𝑥𝑝𝑒𝑐𝑡𝑒𝑑 𝐿𝑜𝑠𝑠×% 𝑈𝑛𝑟𝑒𝑝𝑜𝑟𝑡𝑒𝑑</a:t>
              </a:r>
              <a:endParaRPr lang="en-PH" sz="1100">
                <a:solidFill>
                  <a:schemeClr val="tx1"/>
                </a:solidFill>
                <a:effectLst/>
                <a:latin typeface="+mn-lt"/>
                <a:ea typeface="+mn-ea"/>
                <a:cs typeface="+mn-cs"/>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232834</xdr:colOff>
      <xdr:row>36</xdr:row>
      <xdr:rowOff>105833</xdr:rowOff>
    </xdr:from>
    <xdr:to>
      <xdr:col>4</xdr:col>
      <xdr:colOff>673237</xdr:colOff>
      <xdr:row>37</xdr:row>
      <xdr:rowOff>170676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DD3005D-DBE1-43DE-BCEC-731785C92638}"/>
                </a:ext>
              </a:extLst>
            </xdr:cNvPr>
            <xdr:cNvSpPr txBox="1"/>
          </xdr:nvSpPr>
          <xdr:spPr>
            <a:xfrm>
              <a:off x="1058334" y="7440083"/>
              <a:ext cx="2916903" cy="2659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𝐿𝑜𝑠𝑠</m:t>
                    </m:r>
                    <m:d>
                      <m:dPr>
                        <m:ctrlPr>
                          <a:rPr lang="en-PH"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m:rPr>
                        <m:nor/>
                      </m:rPr>
                      <a:rPr lang="en-US" sz="1100">
                        <a:solidFill>
                          <a:schemeClr val="tx1"/>
                        </a:solidFill>
                        <a:effectLst/>
                        <a:latin typeface="+mn-lt"/>
                        <a:ea typeface="+mn-ea"/>
                        <a:cs typeface="+mn-cs"/>
                      </a:rPr>
                      <m:t>€)</m:t>
                    </m:r>
                    <m:r>
                      <m:rPr>
                        <m:nor/>
                      </m:rPr>
                      <a:rPr lang="en-US" sz="1100">
                        <a:solidFill>
                          <a:schemeClr val="tx1"/>
                        </a:solidFill>
                        <a:effectLst/>
                        <a:latin typeface="+mn-lt"/>
                        <a:ea typeface="+mn-ea"/>
                        <a:cs typeface="+mn-cs"/>
                      </a:rPr>
                      <m:t>×</m:t>
                    </m:r>
                    <m:r>
                      <a:rPr lang="en-US" sz="1100" i="1">
                        <a:solidFill>
                          <a:schemeClr val="tx1"/>
                        </a:solidFill>
                        <a:effectLst/>
                        <a:latin typeface="Cambria Math" panose="02040503050406030204" pitchFamily="18" charset="0"/>
                        <a:ea typeface="+mn-ea"/>
                        <a:cs typeface="+mn-cs"/>
                      </a:rPr>
                      <m:t>𝑒𝑥𝑐h𝑎𝑛𝑔𝑒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𝑟𝑎𝑡</m:t>
                    </m:r>
                    <m:sSub>
                      <m:sSubPr>
                        <m:ctrlPr>
                          <a:rPr lang="en-PH"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𝑒</m:t>
                        </m:r>
                      </m:e>
                      <m:sub>
                        <m:r>
                          <a:rPr lang="en-US" sz="1100" i="1">
                            <a:solidFill>
                              <a:schemeClr val="tx1"/>
                            </a:solidFill>
                            <a:effectLst/>
                            <a:latin typeface="Cambria Math" panose="02040503050406030204" pitchFamily="18" charset="0"/>
                            <a:ea typeface="+mn-ea"/>
                            <a:cs typeface="+mn-cs"/>
                          </a:rPr>
                          <m:t>𝑙𝑎𝑡𝑒𝑠𝑡</m:t>
                        </m:r>
                      </m:sub>
                    </m:sSub>
                    <m:d>
                      <m:dPr>
                        <m:ctrlPr>
                          <a:rPr lang="en-PH" sz="1100" i="1">
                            <a:solidFill>
                              <a:schemeClr val="tx1"/>
                            </a:solidFill>
                            <a:effectLst/>
                            <a:latin typeface="Cambria Math" panose="02040503050406030204" pitchFamily="18" charset="0"/>
                            <a:ea typeface="+mn-ea"/>
                            <a:cs typeface="+mn-cs"/>
                          </a:rPr>
                        </m:ctrlPr>
                      </m:dPr>
                      <m:e>
                        <m:f>
                          <m:fPr>
                            <m:type m:val="lin"/>
                            <m:ctrlPr>
                              <a:rPr lang="en-PH" sz="1100" i="1">
                                <a:solidFill>
                                  <a:schemeClr val="tx1"/>
                                </a:solidFill>
                                <a:effectLst/>
                                <a:latin typeface="Cambria Math" panose="02040503050406030204" pitchFamily="18" charset="0"/>
                                <a:ea typeface="+mn-ea"/>
                                <a:cs typeface="+mn-cs"/>
                              </a:rPr>
                            </m:ctrlPr>
                          </m:fPr>
                          <m:num>
                            <m:r>
                              <m:rPr>
                                <m:nor/>
                              </m:rPr>
                              <a:rPr lang="en-US" sz="1100">
                                <a:solidFill>
                                  <a:schemeClr val="tx1"/>
                                </a:solidFill>
                                <a:effectLst/>
                                <a:latin typeface="+mn-lt"/>
                                <a:ea typeface="+mn-ea"/>
                                <a:cs typeface="+mn-cs"/>
                              </a:rPr>
                              <m:t>$</m:t>
                            </m:r>
                          </m:num>
                          <m:den>
                            <m:r>
                              <m:rPr>
                                <m:nor/>
                              </m:rPr>
                              <a:rPr lang="en-US" sz="1100">
                                <a:solidFill>
                                  <a:schemeClr val="tx1"/>
                                </a:solidFill>
                                <a:effectLst/>
                                <a:latin typeface="+mn-lt"/>
                                <a:ea typeface="+mn-ea"/>
                                <a:cs typeface="+mn-cs"/>
                              </a:rPr>
                              <m:t>€</m:t>
                            </m:r>
                            <m:r>
                              <a:rPr lang="en-US" sz="1100" i="1">
                                <a:solidFill>
                                  <a:schemeClr val="tx1"/>
                                </a:solidFill>
                                <a:effectLst/>
                                <a:latin typeface="Cambria Math" panose="02040503050406030204" pitchFamily="18" charset="0"/>
                                <a:ea typeface="+mn-ea"/>
                                <a:cs typeface="+mn-cs"/>
                              </a:rPr>
                              <m:t> </m:t>
                            </m:r>
                          </m:den>
                        </m:f>
                      </m:e>
                    </m:d>
                    <m:r>
                      <m:rPr>
                        <m:nor/>
                      </m:rPr>
                      <a:rPr lang="en-US" sz="1100">
                        <a:solidFill>
                          <a:schemeClr val="tx1"/>
                        </a:solidFill>
                        <a:effectLst/>
                        <a:latin typeface="+mn-lt"/>
                        <a:ea typeface="+mn-ea"/>
                        <a:cs typeface="+mn-cs"/>
                      </a:rPr>
                      <m:t> </m:t>
                    </m:r>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EDD3005D-DBE1-43DE-BCEC-731785C92638}"/>
                </a:ext>
              </a:extLst>
            </xdr:cNvPr>
            <xdr:cNvSpPr txBox="1"/>
          </xdr:nvSpPr>
          <xdr:spPr>
            <a:xfrm>
              <a:off x="1058334" y="7440083"/>
              <a:ext cx="2916903" cy="26592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𝐿𝑜𝑠𝑠</a:t>
              </a: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$)=𝐿𝑜𝑠𝑠("€)×" 𝑒𝑥𝑐ℎ𝑎𝑛𝑔𝑒 𝑟𝑎𝑡𝑒</a:t>
              </a:r>
              <a:r>
                <a:rPr lang="en-PH" sz="1100" i="0">
                  <a:solidFill>
                    <a:schemeClr val="tx1"/>
                  </a:solidFill>
                  <a:effectLst/>
                  <a:latin typeface="Cambria Math" panose="02040503050406030204" pitchFamily="18" charset="0"/>
                  <a:ea typeface="+mn-ea"/>
                  <a:cs typeface="+mn-cs"/>
                </a:rPr>
                <a:t>_</a:t>
              </a:r>
              <a:r>
                <a:rPr lang="en-US" sz="1100" i="0">
                  <a:solidFill>
                    <a:schemeClr val="tx1"/>
                  </a:solidFill>
                  <a:effectLst/>
                  <a:latin typeface="Cambria Math" panose="02040503050406030204" pitchFamily="18" charset="0"/>
                  <a:ea typeface="+mn-ea"/>
                  <a:cs typeface="+mn-cs"/>
                </a:rPr>
                <a:t>𝑙𝑎𝑡𝑒𝑠𝑡</a:t>
              </a:r>
              <a:r>
                <a:rPr lang="en-PH"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a:t>
              </a:r>
              <a:r>
                <a:rPr lang="en-US" sz="110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mn-lt"/>
                  <a:ea typeface="+mn-ea"/>
                  <a:cs typeface="+mn-cs"/>
                </a:rPr>
                <a:t>"€</a:t>
              </a:r>
              <a:r>
                <a:rPr lang="en-US" sz="110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a:t>
              </a:r>
              <a:endParaRPr lang="en-PH"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6B9F-4222-7249-965B-89B2709A54F3}">
  <dimension ref="A1:BM123"/>
  <sheetViews>
    <sheetView showGridLines="0" tabSelected="1" zoomScale="120" zoomScaleNormal="120" workbookViewId="0"/>
  </sheetViews>
  <sheetFormatPr baseColWidth="10" defaultColWidth="10.83203125" defaultRowHeight="16" x14ac:dyDescent="0.2"/>
  <cols>
    <col min="1" max="1" width="10.83203125" style="19"/>
    <col min="2" max="3" width="10.83203125" style="19" customWidth="1"/>
    <col min="4" max="5" width="11" style="19" bestFit="1" customWidth="1"/>
    <col min="6" max="6" width="10.83203125" style="19" customWidth="1"/>
    <col min="7" max="7" width="11" style="19" bestFit="1" customWidth="1"/>
    <col min="8" max="8" width="12" style="19" bestFit="1" customWidth="1"/>
    <col min="9" max="9" width="10.83203125" style="19"/>
    <col min="10" max="10" width="10.83203125" style="19" customWidth="1"/>
    <col min="11" max="16384" width="10.83203125" style="19"/>
  </cols>
  <sheetData>
    <row r="1" spans="1:10" ht="19" x14ac:dyDescent="0.25">
      <c r="A1" s="1" t="s">
        <v>6</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66" t="s">
        <v>16</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17"/>
      <c r="C6" s="17"/>
      <c r="D6" s="17"/>
      <c r="E6" s="17"/>
      <c r="F6" s="17"/>
      <c r="G6" s="17"/>
      <c r="H6" s="17"/>
      <c r="I6" s="17"/>
      <c r="J6" s="18"/>
    </row>
    <row r="7" spans="1:10" x14ac:dyDescent="0.2">
      <c r="A7" s="20"/>
      <c r="B7" s="17"/>
      <c r="C7" s="14"/>
      <c r="D7" s="167" t="s">
        <v>17</v>
      </c>
      <c r="E7" s="168"/>
      <c r="F7" s="167" t="s">
        <v>18</v>
      </c>
      <c r="G7" s="168"/>
      <c r="H7" s="17"/>
      <c r="I7" s="17"/>
      <c r="J7" s="18"/>
    </row>
    <row r="8" spans="1:10" x14ac:dyDescent="0.2">
      <c r="A8" s="20"/>
      <c r="B8" s="17"/>
      <c r="C8" s="15"/>
      <c r="D8" s="173" t="s">
        <v>14</v>
      </c>
      <c r="E8" s="169" t="s">
        <v>15</v>
      </c>
      <c r="F8" s="171" t="s">
        <v>14</v>
      </c>
      <c r="G8" s="169" t="s">
        <v>15</v>
      </c>
      <c r="H8" s="17"/>
      <c r="I8" s="17"/>
      <c r="J8" s="18"/>
    </row>
    <row r="9" spans="1:10" ht="17" x14ac:dyDescent="0.2">
      <c r="A9" s="20"/>
      <c r="B9" s="17"/>
      <c r="C9" s="23" t="s">
        <v>7</v>
      </c>
      <c r="D9" s="174"/>
      <c r="E9" s="170"/>
      <c r="F9" s="172"/>
      <c r="G9" s="170"/>
      <c r="H9" s="17"/>
      <c r="I9" s="17"/>
      <c r="J9" s="18"/>
    </row>
    <row r="10" spans="1:10" x14ac:dyDescent="0.2">
      <c r="A10" s="20"/>
      <c r="B10" s="17"/>
      <c r="C10" s="24">
        <v>500000</v>
      </c>
      <c r="D10" s="25">
        <v>5860</v>
      </c>
      <c r="E10" s="26">
        <v>4100</v>
      </c>
      <c r="F10" s="25">
        <v>5630</v>
      </c>
      <c r="G10" s="26">
        <v>4100</v>
      </c>
      <c r="H10" s="17"/>
      <c r="I10" s="17"/>
      <c r="J10" s="18"/>
    </row>
    <row r="11" spans="1:10" x14ac:dyDescent="0.2">
      <c r="A11" s="20"/>
      <c r="B11" s="17"/>
      <c r="C11" s="27">
        <v>1000000</v>
      </c>
      <c r="D11" s="28">
        <v>9470</v>
      </c>
      <c r="E11" s="29">
        <v>7800</v>
      </c>
      <c r="F11" s="28">
        <v>8740</v>
      </c>
      <c r="G11" s="29">
        <v>7800</v>
      </c>
      <c r="H11" s="17"/>
      <c r="I11" s="17"/>
      <c r="J11" s="18"/>
    </row>
    <row r="12" spans="1:10" x14ac:dyDescent="0.2">
      <c r="A12" s="20"/>
      <c r="B12" s="17"/>
      <c r="C12" s="27">
        <v>2000000</v>
      </c>
      <c r="D12" s="28">
        <v>6320</v>
      </c>
      <c r="E12" s="29">
        <v>4100</v>
      </c>
      <c r="F12" s="28">
        <v>6010</v>
      </c>
      <c r="G12" s="29">
        <v>4100</v>
      </c>
      <c r="H12" s="17"/>
      <c r="I12" s="17"/>
      <c r="J12" s="18"/>
    </row>
    <row r="13" spans="1:10" x14ac:dyDescent="0.2">
      <c r="A13" s="20"/>
      <c r="B13" s="17"/>
      <c r="C13" s="27">
        <v>5000000</v>
      </c>
      <c r="D13" s="28">
        <v>4800</v>
      </c>
      <c r="E13" s="29">
        <v>8140</v>
      </c>
      <c r="F13" s="28">
        <v>4550</v>
      </c>
      <c r="G13" s="29">
        <v>3830</v>
      </c>
      <c r="H13" s="17"/>
      <c r="I13" s="17"/>
      <c r="J13" s="18"/>
    </row>
    <row r="14" spans="1:10" x14ac:dyDescent="0.2">
      <c r="A14" s="20"/>
      <c r="B14" s="17"/>
      <c r="C14" s="30">
        <v>10000000</v>
      </c>
      <c r="D14" s="31">
        <v>2010</v>
      </c>
      <c r="E14" s="32">
        <v>1500</v>
      </c>
      <c r="F14" s="31">
        <v>1800</v>
      </c>
      <c r="G14" s="32">
        <v>1500</v>
      </c>
      <c r="H14" s="17"/>
      <c r="I14" s="17"/>
      <c r="J14" s="18"/>
    </row>
    <row r="15" spans="1:10" x14ac:dyDescent="0.2">
      <c r="A15" s="20"/>
      <c r="B15" s="17"/>
      <c r="C15" s="33"/>
      <c r="D15" s="33"/>
      <c r="E15" s="33"/>
      <c r="F15" s="17"/>
      <c r="G15" s="17"/>
      <c r="H15" s="17"/>
      <c r="I15" s="17"/>
      <c r="J15" s="18"/>
    </row>
    <row r="16" spans="1:10" ht="16" customHeight="1" x14ac:dyDescent="0.2">
      <c r="A16" s="20"/>
      <c r="B16" s="166" t="s">
        <v>13</v>
      </c>
      <c r="C16" s="166"/>
      <c r="D16" s="166"/>
      <c r="E16" s="166"/>
      <c r="F16" s="166"/>
      <c r="G16" s="166"/>
      <c r="H16" s="166"/>
      <c r="I16" s="166"/>
      <c r="J16" s="18"/>
    </row>
    <row r="17" spans="1:10" ht="16" customHeight="1" x14ac:dyDescent="0.2">
      <c r="A17" s="20"/>
      <c r="B17" s="166"/>
      <c r="C17" s="166"/>
      <c r="D17" s="166"/>
      <c r="E17" s="166"/>
      <c r="F17" s="166"/>
      <c r="G17" s="166"/>
      <c r="H17" s="166"/>
      <c r="I17" s="166"/>
      <c r="J17" s="18"/>
    </row>
    <row r="18" spans="1:10" x14ac:dyDescent="0.2">
      <c r="A18" s="20"/>
      <c r="B18" s="34"/>
      <c r="C18" s="34"/>
      <c r="D18" s="34"/>
      <c r="E18" s="34"/>
      <c r="F18" s="34"/>
      <c r="G18" s="34"/>
      <c r="H18" s="34"/>
      <c r="I18" s="34"/>
      <c r="J18" s="18"/>
    </row>
    <row r="19" spans="1:10" x14ac:dyDescent="0.2">
      <c r="A19" s="20"/>
      <c r="B19" s="10" t="s">
        <v>5</v>
      </c>
      <c r="C19" s="33"/>
      <c r="D19" s="33"/>
      <c r="E19" s="33"/>
      <c r="F19" s="10" t="s">
        <v>8</v>
      </c>
      <c r="G19" s="17"/>
      <c r="H19" s="17"/>
      <c r="I19" s="17"/>
      <c r="J19" s="18"/>
    </row>
    <row r="20" spans="1:10" x14ac:dyDescent="0.2">
      <c r="A20" s="20"/>
      <c r="B20" s="17" t="s">
        <v>19</v>
      </c>
      <c r="C20" s="33"/>
      <c r="D20" s="35">
        <v>0.45</v>
      </c>
      <c r="E20" s="33"/>
      <c r="F20" s="17" t="s">
        <v>11</v>
      </c>
      <c r="G20" s="17"/>
      <c r="H20" s="36">
        <v>1000000</v>
      </c>
      <c r="I20" s="17"/>
      <c r="J20" s="18"/>
    </row>
    <row r="21" spans="1:10" x14ac:dyDescent="0.2">
      <c r="A21" s="20"/>
      <c r="B21" s="34" t="s">
        <v>9</v>
      </c>
      <c r="C21" s="34"/>
      <c r="D21" s="34"/>
      <c r="E21" s="33"/>
      <c r="F21" s="17" t="s">
        <v>12</v>
      </c>
      <c r="G21" s="17"/>
      <c r="H21" s="37">
        <v>4</v>
      </c>
      <c r="I21" s="17"/>
      <c r="J21" s="18"/>
    </row>
    <row r="22" spans="1:10" x14ac:dyDescent="0.2">
      <c r="A22" s="20"/>
      <c r="B22" s="38" t="s">
        <v>10</v>
      </c>
      <c r="C22" s="34"/>
      <c r="D22" s="34"/>
      <c r="E22" s="33"/>
      <c r="F22" s="34" t="s">
        <v>9</v>
      </c>
      <c r="G22" s="17"/>
      <c r="H22" s="17"/>
      <c r="I22" s="17"/>
      <c r="J22" s="18"/>
    </row>
    <row r="23" spans="1:10" x14ac:dyDescent="0.2">
      <c r="A23" s="20"/>
      <c r="B23" s="17"/>
      <c r="C23" s="33"/>
      <c r="D23" s="33"/>
      <c r="E23" s="33"/>
      <c r="F23" s="38" t="s">
        <v>32</v>
      </c>
      <c r="G23" s="17"/>
      <c r="H23" s="17"/>
      <c r="I23" s="17"/>
      <c r="J23" s="18"/>
    </row>
    <row r="24" spans="1:10" x14ac:dyDescent="0.2">
      <c r="A24" s="20"/>
      <c r="B24" s="17"/>
      <c r="C24" s="33"/>
      <c r="D24" s="33"/>
      <c r="E24" s="33"/>
      <c r="F24" s="17"/>
      <c r="G24" s="17"/>
      <c r="H24" s="17"/>
      <c r="I24" s="17"/>
      <c r="J24" s="18"/>
    </row>
    <row r="25" spans="1:10" x14ac:dyDescent="0.2">
      <c r="A25" s="20"/>
      <c r="B25" s="17"/>
      <c r="C25" s="33"/>
      <c r="D25" s="33"/>
      <c r="E25" s="33"/>
      <c r="F25" s="17"/>
      <c r="G25" s="17"/>
      <c r="H25" s="17"/>
      <c r="I25" s="17"/>
      <c r="J25" s="18"/>
    </row>
    <row r="26" spans="1:10" x14ac:dyDescent="0.2">
      <c r="A26" s="20"/>
      <c r="B26" s="166" t="s">
        <v>35</v>
      </c>
      <c r="C26" s="166"/>
      <c r="D26" s="166"/>
      <c r="E26" s="166"/>
      <c r="F26" s="166"/>
      <c r="G26" s="166"/>
      <c r="H26" s="166"/>
      <c r="I26" s="166"/>
      <c r="J26" s="18"/>
    </row>
    <row r="27" spans="1:10" x14ac:dyDescent="0.2">
      <c r="A27" s="20"/>
      <c r="B27" s="166"/>
      <c r="C27" s="166"/>
      <c r="D27" s="166"/>
      <c r="E27" s="166"/>
      <c r="F27" s="166"/>
      <c r="G27" s="166"/>
      <c r="H27" s="166"/>
      <c r="I27" s="166"/>
      <c r="J27" s="18"/>
    </row>
    <row r="28" spans="1:10" ht="17" thickBot="1" x14ac:dyDescent="0.25">
      <c r="A28" s="39"/>
      <c r="B28" s="40"/>
      <c r="C28" s="41"/>
      <c r="D28" s="41"/>
      <c r="E28" s="41"/>
      <c r="F28" s="40"/>
      <c r="G28" s="40"/>
      <c r="H28" s="40"/>
      <c r="I28" s="40"/>
      <c r="J28" s="42"/>
    </row>
    <row r="30" spans="1:10" ht="19" x14ac:dyDescent="0.25">
      <c r="A30" s="3" t="s">
        <v>1</v>
      </c>
    </row>
    <row r="31" spans="1:10" x14ac:dyDescent="0.2">
      <c r="A31" s="9" t="s">
        <v>5</v>
      </c>
      <c r="C31" s="43"/>
    </row>
    <row r="32" spans="1:10" ht="16" customHeight="1" x14ac:dyDescent="0.2">
      <c r="A32" s="12" t="s">
        <v>20</v>
      </c>
      <c r="B32" s="164" t="s">
        <v>243</v>
      </c>
      <c r="C32" s="164"/>
      <c r="D32" s="164"/>
      <c r="E32" s="164"/>
      <c r="F32" s="164"/>
      <c r="G32" s="164"/>
      <c r="H32" s="164"/>
      <c r="I32" s="164"/>
    </row>
    <row r="33" spans="1:12" ht="16" customHeight="1" x14ac:dyDescent="0.2">
      <c r="A33" s="4"/>
      <c r="B33" s="164"/>
      <c r="C33" s="164"/>
      <c r="D33" s="164"/>
      <c r="E33" s="164"/>
      <c r="F33" s="164"/>
      <c r="G33" s="164"/>
      <c r="H33" s="164"/>
      <c r="I33" s="164"/>
    </row>
    <row r="34" spans="1:12" ht="16" customHeight="1" x14ac:dyDescent="0.2">
      <c r="A34" s="4"/>
      <c r="B34" s="164"/>
      <c r="C34" s="164"/>
      <c r="D34" s="164"/>
      <c r="E34" s="164"/>
      <c r="F34" s="164"/>
      <c r="G34" s="164"/>
      <c r="H34" s="164"/>
      <c r="I34" s="164"/>
    </row>
    <row r="35" spans="1:12" ht="16" customHeight="1" x14ac:dyDescent="0.2">
      <c r="A35" s="4"/>
    </row>
    <row r="36" spans="1:12" ht="16" customHeight="1" x14ac:dyDescent="0.2">
      <c r="A36" s="4"/>
      <c r="F36" s="165" t="s">
        <v>21</v>
      </c>
      <c r="G36" s="165"/>
      <c r="H36" s="165"/>
    </row>
    <row r="37" spans="1:12" ht="34" x14ac:dyDescent="0.2">
      <c r="A37" s="4"/>
      <c r="F37" s="44" t="s">
        <v>7</v>
      </c>
      <c r="G37" s="45" t="s">
        <v>14</v>
      </c>
      <c r="H37" s="45" t="s">
        <v>15</v>
      </c>
    </row>
    <row r="38" spans="1:12" ht="16" customHeight="1" x14ac:dyDescent="0.2">
      <c r="A38" s="4"/>
      <c r="F38" s="46">
        <v>500000</v>
      </c>
      <c r="G38" s="47">
        <f t="shared" ref="G38:H42" si="0">$D$20*F10</f>
        <v>2533.5</v>
      </c>
      <c r="H38" s="47">
        <f t="shared" si="0"/>
        <v>1845</v>
      </c>
    </row>
    <row r="39" spans="1:12" ht="16" customHeight="1" x14ac:dyDescent="0.2">
      <c r="A39" s="4"/>
      <c r="F39" s="46">
        <v>1000000</v>
      </c>
      <c r="G39" s="47">
        <f t="shared" si="0"/>
        <v>3933</v>
      </c>
      <c r="H39" s="47">
        <f t="shared" si="0"/>
        <v>3510</v>
      </c>
    </row>
    <row r="40" spans="1:12" ht="16" customHeight="1" x14ac:dyDescent="0.2">
      <c r="A40" s="4"/>
      <c r="B40" s="163" t="s">
        <v>304</v>
      </c>
      <c r="C40" s="163"/>
      <c r="D40" s="163"/>
      <c r="E40" s="163"/>
      <c r="F40" s="46">
        <v>2000000</v>
      </c>
      <c r="G40" s="47">
        <f t="shared" si="0"/>
        <v>2704.5</v>
      </c>
      <c r="H40" s="47">
        <f t="shared" si="0"/>
        <v>1845</v>
      </c>
      <c r="L40" s="6"/>
    </row>
    <row r="41" spans="1:12" ht="16" customHeight="1" x14ac:dyDescent="0.2">
      <c r="A41" s="4"/>
      <c r="B41" s="163"/>
      <c r="C41" s="163"/>
      <c r="D41" s="163"/>
      <c r="E41" s="163"/>
      <c r="F41" s="46">
        <v>5000000</v>
      </c>
      <c r="G41" s="47">
        <f t="shared" si="0"/>
        <v>2047.5</v>
      </c>
      <c r="H41" s="47">
        <f t="shared" si="0"/>
        <v>1723.5</v>
      </c>
      <c r="L41" s="6"/>
    </row>
    <row r="42" spans="1:12" ht="16" customHeight="1" x14ac:dyDescent="0.2">
      <c r="A42" s="4"/>
      <c r="B42" s="163"/>
      <c r="C42" s="163"/>
      <c r="D42" s="163"/>
      <c r="E42" s="163"/>
      <c r="F42" s="46">
        <v>10000000</v>
      </c>
      <c r="G42" s="47">
        <f t="shared" si="0"/>
        <v>810</v>
      </c>
      <c r="H42" s="47">
        <f t="shared" si="0"/>
        <v>675</v>
      </c>
      <c r="L42" s="6"/>
    </row>
    <row r="43" spans="1:12" ht="16" customHeight="1" x14ac:dyDescent="0.2">
      <c r="A43" s="4"/>
      <c r="B43" s="163"/>
      <c r="C43" s="163"/>
      <c r="D43" s="163"/>
      <c r="E43" s="163"/>
      <c r="F43" s="47"/>
      <c r="G43" s="47"/>
      <c r="H43" s="47"/>
      <c r="L43" s="6"/>
    </row>
    <row r="44" spans="1:12" ht="16" customHeight="1" x14ac:dyDescent="0.2">
      <c r="A44" s="4"/>
      <c r="F44" s="47"/>
      <c r="G44" s="47"/>
      <c r="H44" s="47"/>
      <c r="L44" s="6"/>
    </row>
    <row r="45" spans="1:12" ht="16" customHeight="1" x14ac:dyDescent="0.2">
      <c r="A45" s="12" t="s">
        <v>22</v>
      </c>
      <c r="B45" s="164" t="s">
        <v>31</v>
      </c>
      <c r="C45" s="164"/>
      <c r="D45" s="164"/>
      <c r="E45" s="164"/>
      <c r="F45" s="164"/>
      <c r="G45" s="164"/>
      <c r="H45" s="164"/>
      <c r="I45" s="164"/>
    </row>
    <row r="46" spans="1:12" ht="16" customHeight="1" x14ac:dyDescent="0.25">
      <c r="A46" s="5"/>
      <c r="B46" s="164"/>
      <c r="C46" s="164"/>
      <c r="D46" s="164"/>
      <c r="E46" s="164"/>
      <c r="F46" s="164"/>
      <c r="G46" s="164"/>
      <c r="H46" s="164"/>
      <c r="I46" s="164"/>
    </row>
    <row r="47" spans="1:12" ht="16" customHeight="1" x14ac:dyDescent="0.25">
      <c r="A47" s="5"/>
      <c r="B47" s="11"/>
      <c r="C47" s="11"/>
      <c r="D47" s="11"/>
      <c r="E47" s="11"/>
      <c r="F47" s="11"/>
      <c r="G47" s="11"/>
      <c r="H47" s="11"/>
      <c r="I47" s="11"/>
    </row>
    <row r="48" spans="1:12" ht="16" customHeight="1" x14ac:dyDescent="0.25">
      <c r="A48" s="5"/>
      <c r="F48" s="9"/>
      <c r="G48" s="165" t="s">
        <v>23</v>
      </c>
      <c r="H48" s="165"/>
    </row>
    <row r="49" spans="1:12" ht="16" customHeight="1" x14ac:dyDescent="0.25">
      <c r="A49" s="5"/>
      <c r="F49" s="44" t="s">
        <v>7</v>
      </c>
      <c r="G49" s="45" t="s">
        <v>14</v>
      </c>
      <c r="H49" s="45" t="s">
        <v>15</v>
      </c>
      <c r="L49" s="6"/>
    </row>
    <row r="50" spans="1:12" ht="16" customHeight="1" x14ac:dyDescent="0.25">
      <c r="A50" s="5"/>
      <c r="F50" s="46">
        <v>500000</v>
      </c>
      <c r="G50" s="47">
        <f t="shared" ref="G50:H54" si="1">F10-G38</f>
        <v>3096.5</v>
      </c>
      <c r="H50" s="47">
        <f t="shared" si="1"/>
        <v>2255</v>
      </c>
      <c r="L50" s="6"/>
    </row>
    <row r="51" spans="1:12" ht="16" customHeight="1" x14ac:dyDescent="0.25">
      <c r="A51" s="5"/>
      <c r="F51" s="46">
        <v>1000000</v>
      </c>
      <c r="G51" s="47">
        <f t="shared" si="1"/>
        <v>4807</v>
      </c>
      <c r="H51" s="47">
        <f t="shared" si="1"/>
        <v>4290</v>
      </c>
      <c r="L51" s="6"/>
    </row>
    <row r="52" spans="1:12" ht="16" customHeight="1" x14ac:dyDescent="0.25">
      <c r="A52" s="5"/>
      <c r="F52" s="46">
        <v>2000000</v>
      </c>
      <c r="G52" s="47">
        <f>F12-G40</f>
        <v>3305.5</v>
      </c>
      <c r="H52" s="47">
        <f t="shared" si="1"/>
        <v>2255</v>
      </c>
      <c r="L52" s="6"/>
    </row>
    <row r="53" spans="1:12" ht="16" customHeight="1" x14ac:dyDescent="0.25">
      <c r="A53" s="5"/>
      <c r="F53" s="46">
        <v>5000000</v>
      </c>
      <c r="G53" s="47">
        <f t="shared" si="1"/>
        <v>2502.5</v>
      </c>
      <c r="H53" s="47">
        <f t="shared" si="1"/>
        <v>2106.5</v>
      </c>
      <c r="L53" s="6"/>
    </row>
    <row r="54" spans="1:12" ht="16" customHeight="1" x14ac:dyDescent="0.25">
      <c r="A54" s="5"/>
      <c r="F54" s="46">
        <v>10000000</v>
      </c>
      <c r="G54" s="47">
        <f t="shared" si="1"/>
        <v>990</v>
      </c>
      <c r="H54" s="47">
        <f t="shared" si="1"/>
        <v>825</v>
      </c>
      <c r="L54" s="6"/>
    </row>
    <row r="55" spans="1:12" ht="16" customHeight="1" x14ac:dyDescent="0.25">
      <c r="A55" s="5"/>
      <c r="F55" s="47"/>
      <c r="G55" s="47"/>
      <c r="H55" s="47"/>
      <c r="L55" s="6"/>
    </row>
    <row r="56" spans="1:12" ht="16" customHeight="1" x14ac:dyDescent="0.25">
      <c r="A56" s="5"/>
      <c r="B56" s="147" t="s">
        <v>310</v>
      </c>
      <c r="F56" s="47"/>
      <c r="G56" s="47"/>
      <c r="H56" s="47"/>
      <c r="L56" s="6"/>
    </row>
    <row r="57" spans="1:12" ht="16" customHeight="1" x14ac:dyDescent="0.25">
      <c r="A57" s="5"/>
      <c r="C57" s="49"/>
      <c r="D57" s="50"/>
      <c r="L57" s="6"/>
    </row>
    <row r="58" spans="1:12" ht="16" customHeight="1" x14ac:dyDescent="0.2">
      <c r="A58" s="9" t="s">
        <v>8</v>
      </c>
      <c r="L58" s="6"/>
    </row>
    <row r="59" spans="1:12" ht="16" customHeight="1" x14ac:dyDescent="0.2">
      <c r="A59" s="12" t="s">
        <v>26</v>
      </c>
      <c r="B59" s="164" t="s">
        <v>36</v>
      </c>
      <c r="C59" s="164"/>
      <c r="D59" s="164"/>
      <c r="E59" s="164"/>
      <c r="F59" s="164"/>
      <c r="G59" s="164"/>
      <c r="H59" s="164"/>
      <c r="I59" s="164"/>
    </row>
    <row r="60" spans="1:12" ht="16" customHeight="1" x14ac:dyDescent="0.2">
      <c r="A60" s="12"/>
      <c r="B60" s="164"/>
      <c r="C60" s="164"/>
      <c r="D60" s="164"/>
      <c r="E60" s="164"/>
      <c r="F60" s="164"/>
      <c r="G60" s="164"/>
      <c r="H60" s="164"/>
      <c r="I60" s="164"/>
    </row>
    <row r="61" spans="1:12" ht="16" customHeight="1" x14ac:dyDescent="0.25">
      <c r="A61" s="5"/>
    </row>
    <row r="62" spans="1:12" ht="16" customHeight="1" x14ac:dyDescent="0.25">
      <c r="A62" s="5"/>
      <c r="F62" s="44" t="s">
        <v>7</v>
      </c>
      <c r="G62" s="45" t="s">
        <v>27</v>
      </c>
    </row>
    <row r="63" spans="1:12" ht="16" customHeight="1" x14ac:dyDescent="0.25">
      <c r="A63" s="5"/>
      <c r="F63" s="46">
        <v>500000</v>
      </c>
      <c r="G63" s="51">
        <f>MAX( MIN(F63 - $H$20, $H$21 * $H$20), 0 )/F63</f>
        <v>0</v>
      </c>
    </row>
    <row r="64" spans="1:12" ht="16" customHeight="1" x14ac:dyDescent="0.25">
      <c r="A64" s="5"/>
      <c r="F64" s="46">
        <v>1000000</v>
      </c>
      <c r="G64" s="51">
        <f t="shared" ref="G64:G67" si="2">MAX( MIN(F64 - $H$20, $H$21 * $H$20), 0 )/F64</f>
        <v>0</v>
      </c>
    </row>
    <row r="65" spans="1:12" ht="16" customHeight="1" x14ac:dyDescent="0.25">
      <c r="A65" s="5"/>
      <c r="F65" s="46">
        <v>2000000</v>
      </c>
      <c r="G65" s="51">
        <f>MAX( MIN(F65 - $H$20, $H$21 * $H$20), 0 )/F65</f>
        <v>0.5</v>
      </c>
      <c r="L65" s="6"/>
    </row>
    <row r="66" spans="1:12" ht="16" customHeight="1" x14ac:dyDescent="0.25">
      <c r="A66" s="5"/>
      <c r="F66" s="46">
        <v>5000000</v>
      </c>
      <c r="G66" s="51">
        <f t="shared" si="2"/>
        <v>0.8</v>
      </c>
      <c r="L66" s="6"/>
    </row>
    <row r="67" spans="1:12" ht="16" customHeight="1" x14ac:dyDescent="0.25">
      <c r="A67" s="5"/>
      <c r="F67" s="46">
        <v>10000000</v>
      </c>
      <c r="G67" s="51">
        <f t="shared" si="2"/>
        <v>0.4</v>
      </c>
      <c r="L67" s="6"/>
    </row>
    <row r="68" spans="1:12" ht="16" customHeight="1" x14ac:dyDescent="0.25">
      <c r="A68" s="5"/>
      <c r="F68" s="47"/>
      <c r="G68" s="47"/>
      <c r="L68" s="6"/>
    </row>
    <row r="69" spans="1:12" ht="16" customHeight="1" x14ac:dyDescent="0.25">
      <c r="A69" s="5"/>
      <c r="B69" s="9" t="s">
        <v>28</v>
      </c>
      <c r="F69" s="47"/>
      <c r="G69" s="47"/>
      <c r="L69" s="6"/>
    </row>
    <row r="70" spans="1:12" ht="16" customHeight="1" x14ac:dyDescent="0.25">
      <c r="A70" s="5"/>
      <c r="B70" s="52" t="s">
        <v>29</v>
      </c>
      <c r="F70" s="47"/>
      <c r="G70" s="47"/>
      <c r="L70" s="6"/>
    </row>
    <row r="71" spans="1:12" ht="16" customHeight="1" x14ac:dyDescent="0.25">
      <c r="A71" s="5"/>
      <c r="F71" s="47"/>
      <c r="G71" s="47"/>
      <c r="L71" s="6"/>
    </row>
    <row r="72" spans="1:12" ht="16" customHeight="1" x14ac:dyDescent="0.2">
      <c r="A72" s="12" t="s">
        <v>25</v>
      </c>
      <c r="B72" s="164" t="s">
        <v>30</v>
      </c>
      <c r="C72" s="164"/>
      <c r="D72" s="164"/>
      <c r="E72" s="164"/>
      <c r="F72" s="164"/>
      <c r="G72" s="164"/>
      <c r="H72" s="164"/>
      <c r="I72" s="164"/>
    </row>
    <row r="73" spans="1:12" ht="16" customHeight="1" x14ac:dyDescent="0.2">
      <c r="A73" s="4"/>
      <c r="B73" s="164"/>
      <c r="C73" s="164"/>
      <c r="D73" s="164"/>
      <c r="E73" s="164"/>
      <c r="F73" s="164"/>
      <c r="G73" s="164"/>
      <c r="H73" s="164"/>
      <c r="I73" s="164"/>
    </row>
    <row r="74" spans="1:12" ht="16" customHeight="1" x14ac:dyDescent="0.2">
      <c r="A74" s="4"/>
      <c r="B74" s="16"/>
      <c r="C74" s="16"/>
      <c r="D74" s="16"/>
      <c r="E74" s="16"/>
      <c r="F74" s="16"/>
      <c r="G74" s="16"/>
      <c r="H74" s="16"/>
      <c r="I74" s="16"/>
    </row>
    <row r="75" spans="1:12" ht="16" customHeight="1" x14ac:dyDescent="0.2">
      <c r="A75" s="4"/>
      <c r="F75" s="165" t="s">
        <v>21</v>
      </c>
      <c r="G75" s="165"/>
      <c r="H75" s="165"/>
    </row>
    <row r="76" spans="1:12" ht="34" x14ac:dyDescent="0.2">
      <c r="A76" s="4"/>
      <c r="F76" s="44" t="s">
        <v>7</v>
      </c>
      <c r="G76" s="45" t="s">
        <v>14</v>
      </c>
      <c r="H76" s="45" t="s">
        <v>15</v>
      </c>
    </row>
    <row r="77" spans="1:12" ht="16" customHeight="1" x14ac:dyDescent="0.2">
      <c r="A77" s="4"/>
      <c r="F77" s="46">
        <v>500000</v>
      </c>
      <c r="G77" s="47">
        <f>F10*G63</f>
        <v>0</v>
      </c>
      <c r="H77" s="47">
        <f>G10*G63</f>
        <v>0</v>
      </c>
    </row>
    <row r="78" spans="1:12" ht="16" customHeight="1" x14ac:dyDescent="0.2">
      <c r="A78" s="4"/>
      <c r="F78" s="46">
        <v>1000000</v>
      </c>
      <c r="G78" s="47">
        <f>F11*G64</f>
        <v>0</v>
      </c>
      <c r="H78" s="47">
        <f>G11*G64</f>
        <v>0</v>
      </c>
    </row>
    <row r="79" spans="1:12" ht="16" customHeight="1" x14ac:dyDescent="0.2">
      <c r="A79" s="4"/>
      <c r="F79" s="46">
        <v>2000000</v>
      </c>
      <c r="G79" s="47">
        <f>F12*G65</f>
        <v>3005</v>
      </c>
      <c r="H79" s="47">
        <f>G12*G65</f>
        <v>2050</v>
      </c>
      <c r="L79" s="6"/>
    </row>
    <row r="80" spans="1:12" ht="16" customHeight="1" x14ac:dyDescent="0.2">
      <c r="A80" s="4"/>
      <c r="F80" s="46">
        <v>5000000</v>
      </c>
      <c r="G80" s="47">
        <f>F13*G66</f>
        <v>3640</v>
      </c>
      <c r="H80" s="47">
        <f>G13*G66</f>
        <v>3064</v>
      </c>
      <c r="L80" s="6"/>
    </row>
    <row r="81" spans="1:14" ht="16" customHeight="1" x14ac:dyDescent="0.2">
      <c r="A81" s="4"/>
      <c r="F81" s="46">
        <v>10000000</v>
      </c>
      <c r="G81" s="47">
        <f>F14*G67</f>
        <v>720</v>
      </c>
      <c r="H81" s="47">
        <f>G14*G67</f>
        <v>600</v>
      </c>
      <c r="L81" s="6"/>
    </row>
    <row r="82" spans="1:14" ht="16" customHeight="1" x14ac:dyDescent="0.2">
      <c r="A82" s="4"/>
      <c r="F82" s="47"/>
      <c r="G82" s="47"/>
      <c r="H82" s="47"/>
      <c r="L82" s="6"/>
    </row>
    <row r="83" spans="1:14" ht="16" customHeight="1" x14ac:dyDescent="0.2">
      <c r="A83" s="12" t="s">
        <v>24</v>
      </c>
      <c r="B83" s="164" t="s">
        <v>31</v>
      </c>
      <c r="C83" s="164"/>
      <c r="D83" s="164"/>
      <c r="E83" s="164"/>
      <c r="F83" s="164"/>
      <c r="G83" s="164"/>
      <c r="H83" s="164"/>
      <c r="I83" s="164"/>
    </row>
    <row r="84" spans="1:14" ht="16" customHeight="1" x14ac:dyDescent="0.25">
      <c r="A84" s="5"/>
      <c r="B84" s="164"/>
      <c r="C84" s="164"/>
      <c r="D84" s="164"/>
      <c r="E84" s="164"/>
      <c r="F84" s="164"/>
      <c r="G84" s="164"/>
      <c r="H84" s="164"/>
      <c r="I84" s="164"/>
    </row>
    <row r="85" spans="1:14" ht="16" customHeight="1" x14ac:dyDescent="0.25">
      <c r="A85" s="5"/>
    </row>
    <row r="86" spans="1:14" ht="16" customHeight="1" x14ac:dyDescent="0.25">
      <c r="A86" s="5"/>
      <c r="F86" s="165" t="s">
        <v>23</v>
      </c>
      <c r="G86" s="165"/>
      <c r="H86" s="165"/>
    </row>
    <row r="87" spans="1:14" ht="35" x14ac:dyDescent="0.25">
      <c r="A87" s="5"/>
      <c r="F87" s="44" t="s">
        <v>7</v>
      </c>
      <c r="G87" s="45" t="s">
        <v>14</v>
      </c>
      <c r="H87" s="45" t="s">
        <v>15</v>
      </c>
      <c r="L87" s="6"/>
    </row>
    <row r="88" spans="1:14" ht="16" customHeight="1" x14ac:dyDescent="0.25">
      <c r="A88" s="5"/>
      <c r="F88" s="46">
        <v>500000</v>
      </c>
      <c r="G88" s="47">
        <f t="shared" ref="G88:H92" si="3">F10-G77</f>
        <v>5630</v>
      </c>
      <c r="H88" s="47">
        <f t="shared" si="3"/>
        <v>4100</v>
      </c>
      <c r="L88" s="6"/>
    </row>
    <row r="89" spans="1:14" ht="16" customHeight="1" x14ac:dyDescent="0.25">
      <c r="A89" s="5"/>
      <c r="F89" s="46">
        <v>1000000</v>
      </c>
      <c r="G89" s="47">
        <f t="shared" si="3"/>
        <v>8740</v>
      </c>
      <c r="H89" s="47">
        <f t="shared" si="3"/>
        <v>7800</v>
      </c>
      <c r="L89" s="6"/>
    </row>
    <row r="90" spans="1:14" ht="16" customHeight="1" x14ac:dyDescent="0.25">
      <c r="A90" s="5"/>
      <c r="F90" s="46">
        <v>2000000</v>
      </c>
      <c r="G90" s="47">
        <f t="shared" si="3"/>
        <v>3005</v>
      </c>
      <c r="H90" s="47">
        <f t="shared" si="3"/>
        <v>2050</v>
      </c>
      <c r="L90" s="6"/>
    </row>
    <row r="91" spans="1:14" ht="16" customHeight="1" x14ac:dyDescent="0.25">
      <c r="A91" s="5"/>
      <c r="F91" s="46">
        <v>5000000</v>
      </c>
      <c r="G91" s="47">
        <f t="shared" si="3"/>
        <v>910</v>
      </c>
      <c r="H91" s="47">
        <f t="shared" si="3"/>
        <v>766</v>
      </c>
      <c r="L91" s="6"/>
    </row>
    <row r="92" spans="1:14" ht="16" customHeight="1" x14ac:dyDescent="0.25">
      <c r="A92" s="5"/>
      <c r="F92" s="46">
        <v>10000000</v>
      </c>
      <c r="G92" s="47">
        <f t="shared" si="3"/>
        <v>1080</v>
      </c>
      <c r="H92" s="47">
        <f t="shared" si="3"/>
        <v>900</v>
      </c>
      <c r="L92" s="6"/>
    </row>
    <row r="93" spans="1:14" ht="16" customHeight="1" x14ac:dyDescent="0.25">
      <c r="A93" s="5"/>
      <c r="L93" s="6"/>
    </row>
    <row r="94" spans="1:14" ht="16" customHeight="1" x14ac:dyDescent="0.25">
      <c r="A94" s="5"/>
      <c r="B94" s="19" t="s">
        <v>38</v>
      </c>
      <c r="L94" s="6"/>
    </row>
    <row r="96" spans="1:14" ht="19" x14ac:dyDescent="0.25">
      <c r="A96" s="3" t="s">
        <v>2</v>
      </c>
      <c r="L96" s="6"/>
      <c r="M96" s="6"/>
      <c r="N96" s="6"/>
    </row>
    <row r="97" spans="1:65" ht="16" customHeight="1" x14ac:dyDescent="0.2">
      <c r="A97" s="6"/>
      <c r="B97" s="163" t="s">
        <v>305</v>
      </c>
      <c r="C97" s="163"/>
      <c r="D97" s="163"/>
      <c r="E97" s="163"/>
      <c r="F97" s="163"/>
      <c r="G97" s="163"/>
      <c r="H97" s="163"/>
      <c r="I97" s="163"/>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x14ac:dyDescent="0.2">
      <c r="A98" s="6"/>
      <c r="B98" s="163"/>
      <c r="C98" s="163"/>
      <c r="D98" s="163"/>
      <c r="E98" s="163"/>
      <c r="F98" s="163"/>
      <c r="G98" s="163"/>
      <c r="H98" s="163"/>
      <c r="I98" s="163"/>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x14ac:dyDescent="0.2">
      <c r="A99" s="6"/>
      <c r="B99" s="163"/>
      <c r="C99" s="163"/>
      <c r="D99" s="163"/>
      <c r="E99" s="163"/>
      <c r="F99" s="163"/>
      <c r="G99" s="163"/>
      <c r="H99" s="163"/>
      <c r="I99" s="163"/>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x14ac:dyDescent="0.2">
      <c r="A100" s="6"/>
      <c r="B100" s="53"/>
      <c r="C100" s="53"/>
      <c r="D100" s="53"/>
      <c r="E100" s="53"/>
      <c r="F100" s="53"/>
      <c r="G100" s="53"/>
      <c r="H100" s="53"/>
      <c r="I100" s="53"/>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x14ac:dyDescent="0.2">
      <c r="A101" s="6"/>
      <c r="B101" s="163" t="s">
        <v>306</v>
      </c>
      <c r="C101" s="163"/>
      <c r="D101" s="163"/>
      <c r="E101" s="163"/>
      <c r="F101" s="163"/>
      <c r="G101" s="163"/>
      <c r="H101" s="163"/>
      <c r="I101" s="163"/>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x14ac:dyDescent="0.2">
      <c r="A102" s="6"/>
      <c r="B102" s="163"/>
      <c r="C102" s="163"/>
      <c r="D102" s="163"/>
      <c r="E102" s="163"/>
      <c r="F102" s="163"/>
      <c r="G102" s="163"/>
      <c r="H102" s="163"/>
      <c r="I102" s="163"/>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x14ac:dyDescent="0.2">
      <c r="A103" s="6"/>
      <c r="B103" s="53"/>
      <c r="C103" s="53"/>
      <c r="D103" s="53"/>
      <c r="E103" s="53"/>
      <c r="F103" s="53"/>
      <c r="G103" s="53"/>
      <c r="H103" s="53"/>
      <c r="I103" s="53"/>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9" x14ac:dyDescent="0.25">
      <c r="A104" s="6"/>
      <c r="B104" s="7" t="s">
        <v>34</v>
      </c>
      <c r="C104" s="53"/>
      <c r="D104" s="53"/>
      <c r="E104" s="53"/>
      <c r="F104" s="53"/>
      <c r="G104" s="53"/>
      <c r="H104" s="53"/>
      <c r="I104" s="53"/>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 customHeight="1" x14ac:dyDescent="0.2">
      <c r="A105" s="6"/>
      <c r="B105" s="163" t="s">
        <v>307</v>
      </c>
      <c r="C105" s="163"/>
      <c r="D105" s="163"/>
      <c r="E105" s="163"/>
      <c r="F105" s="163"/>
      <c r="G105" s="163"/>
      <c r="H105" s="163"/>
      <c r="I105" s="163"/>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x14ac:dyDescent="0.2">
      <c r="A106" s="6"/>
      <c r="B106" s="163" t="s">
        <v>308</v>
      </c>
      <c r="C106" s="163"/>
      <c r="D106" s="163"/>
      <c r="E106" s="163"/>
      <c r="F106" s="163"/>
      <c r="G106" s="163"/>
      <c r="H106" s="163"/>
      <c r="I106" s="163"/>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x14ac:dyDescent="0.2">
      <c r="A107" s="6"/>
      <c r="B107" s="163"/>
      <c r="C107" s="163"/>
      <c r="D107" s="163"/>
      <c r="E107" s="163"/>
      <c r="F107" s="163"/>
      <c r="G107" s="163"/>
      <c r="H107" s="163"/>
      <c r="I107" s="163"/>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x14ac:dyDescent="0.2">
      <c r="A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9" x14ac:dyDescent="0.25">
      <c r="A109" s="3" t="s">
        <v>323</v>
      </c>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6" customHeight="1" x14ac:dyDescent="0.2">
      <c r="A110" s="6"/>
      <c r="B110" s="163" t="s">
        <v>37</v>
      </c>
      <c r="C110" s="163"/>
      <c r="D110" s="163"/>
      <c r="E110" s="163"/>
      <c r="F110" s="163"/>
      <c r="G110" s="163"/>
      <c r="H110" s="163"/>
      <c r="I110" s="163"/>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x14ac:dyDescent="0.2">
      <c r="A111" s="6"/>
      <c r="B111" s="163"/>
      <c r="C111" s="163"/>
      <c r="D111" s="163"/>
      <c r="E111" s="163"/>
      <c r="F111" s="163"/>
      <c r="G111" s="163"/>
      <c r="H111" s="163"/>
      <c r="I111" s="163"/>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x14ac:dyDescent="0.2">
      <c r="A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9" x14ac:dyDescent="0.25">
      <c r="A113" s="3" t="s">
        <v>3</v>
      </c>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x14ac:dyDescent="0.2">
      <c r="A114" s="6"/>
      <c r="B114" s="19" t="s">
        <v>33</v>
      </c>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x14ac:dyDescent="0.2">
      <c r="A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9" x14ac:dyDescent="0.25">
      <c r="A116" s="3" t="s">
        <v>4</v>
      </c>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x14ac:dyDescent="0.2">
      <c r="A117" s="6"/>
      <c r="B117" s="19" t="s">
        <v>221</v>
      </c>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x14ac:dyDescent="0.2">
      <c r="A118" s="6"/>
      <c r="B118" s="19" t="s">
        <v>223</v>
      </c>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x14ac:dyDescent="0.2">
      <c r="A119" s="6"/>
      <c r="B119" s="19" t="s">
        <v>224</v>
      </c>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x14ac:dyDescent="0.2">
      <c r="A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x14ac:dyDescent="0.2">
      <c r="A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x14ac:dyDescent="0.2">
      <c r="A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x14ac:dyDescent="0.2">
      <c r="A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sheetData>
  <mergeCells count="24">
    <mergeCell ref="B26:I27"/>
    <mergeCell ref="B59:I60"/>
    <mergeCell ref="B4:I5"/>
    <mergeCell ref="D7:E7"/>
    <mergeCell ref="F7:G7"/>
    <mergeCell ref="B16:I17"/>
    <mergeCell ref="G8:G9"/>
    <mergeCell ref="F8:F9"/>
    <mergeCell ref="E8:E9"/>
    <mergeCell ref="D8:D9"/>
    <mergeCell ref="B110:I111"/>
    <mergeCell ref="B72:I73"/>
    <mergeCell ref="B45:I46"/>
    <mergeCell ref="B83:I84"/>
    <mergeCell ref="B32:I34"/>
    <mergeCell ref="G48:H48"/>
    <mergeCell ref="B40:E43"/>
    <mergeCell ref="F36:H36"/>
    <mergeCell ref="F75:H75"/>
    <mergeCell ref="F86:H86"/>
    <mergeCell ref="B97:I99"/>
    <mergeCell ref="B101:I102"/>
    <mergeCell ref="B106:I107"/>
    <mergeCell ref="B105:I10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4264-DF5C-0B43-A8AB-A5C133943C15}">
  <dimension ref="A1:BM117"/>
  <sheetViews>
    <sheetView showGridLines="0" zoomScale="120" zoomScaleNormal="120" workbookViewId="0"/>
  </sheetViews>
  <sheetFormatPr baseColWidth="10" defaultColWidth="10.83203125" defaultRowHeight="16" x14ac:dyDescent="0.2"/>
  <cols>
    <col min="1" max="1" width="10.83203125" style="19"/>
    <col min="2" max="6" width="11" style="19" customWidth="1"/>
    <col min="7" max="7" width="10.83203125" style="19"/>
    <col min="8" max="8" width="11.1640625" style="19" bestFit="1" customWidth="1"/>
    <col min="9" max="9" width="11.33203125" style="19" customWidth="1"/>
    <col min="10" max="10" width="10.83203125" style="19" customWidth="1"/>
    <col min="11" max="16384" width="10.83203125" style="19"/>
  </cols>
  <sheetData>
    <row r="1" spans="1:10" ht="19" x14ac:dyDescent="0.25">
      <c r="A1" s="1" t="s">
        <v>228</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66" t="s">
        <v>39</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17"/>
      <c r="C6" s="17"/>
      <c r="D6" s="17"/>
      <c r="E6" s="17"/>
      <c r="F6" s="17"/>
      <c r="G6" s="17"/>
      <c r="H6" s="17"/>
      <c r="I6" s="17"/>
      <c r="J6" s="18"/>
    </row>
    <row r="7" spans="1:10" x14ac:dyDescent="0.2">
      <c r="A7" s="20"/>
      <c r="B7" s="17" t="s">
        <v>42</v>
      </c>
      <c r="C7" s="17"/>
      <c r="D7" s="113">
        <v>43831</v>
      </c>
      <c r="E7" s="17"/>
      <c r="F7" s="17"/>
      <c r="G7" s="17"/>
      <c r="H7" s="17"/>
      <c r="I7" s="17"/>
      <c r="J7" s="18"/>
    </row>
    <row r="8" spans="1:10" x14ac:dyDescent="0.2">
      <c r="A8" s="20"/>
      <c r="B8" s="17" t="s">
        <v>43</v>
      </c>
      <c r="C8" s="17"/>
      <c r="D8" s="113">
        <v>44196</v>
      </c>
      <c r="E8" s="17"/>
      <c r="F8" s="17"/>
      <c r="G8" s="17"/>
      <c r="H8" s="17"/>
      <c r="I8" s="17"/>
      <c r="J8" s="18"/>
    </row>
    <row r="9" spans="1:10" x14ac:dyDescent="0.2">
      <c r="A9" s="20"/>
      <c r="B9" s="17" t="s">
        <v>40</v>
      </c>
      <c r="C9" s="17"/>
      <c r="D9" s="36">
        <v>2000000</v>
      </c>
      <c r="E9" s="17"/>
      <c r="F9" s="17"/>
      <c r="G9" s="17"/>
      <c r="H9" s="17"/>
      <c r="I9" s="17"/>
      <c r="J9" s="18"/>
    </row>
    <row r="10" spans="1:10" x14ac:dyDescent="0.2">
      <c r="A10" s="20"/>
      <c r="B10" s="17" t="s">
        <v>41</v>
      </c>
      <c r="C10" s="17"/>
      <c r="D10" s="36">
        <v>8000000</v>
      </c>
      <c r="E10" s="17"/>
      <c r="F10" s="17"/>
      <c r="G10" s="17"/>
      <c r="H10" s="17"/>
      <c r="I10" s="17"/>
      <c r="J10" s="18"/>
    </row>
    <row r="11" spans="1:10" x14ac:dyDescent="0.2">
      <c r="A11" s="20"/>
      <c r="B11" s="17" t="s">
        <v>44</v>
      </c>
      <c r="C11" s="17"/>
      <c r="D11" s="17"/>
      <c r="E11" s="17"/>
      <c r="F11" s="17"/>
      <c r="G11" s="17"/>
      <c r="H11" s="17"/>
      <c r="I11" s="17"/>
      <c r="J11" s="18"/>
    </row>
    <row r="12" spans="1:10" x14ac:dyDescent="0.2">
      <c r="A12" s="20"/>
      <c r="B12" s="17" t="s">
        <v>45</v>
      </c>
      <c r="C12" s="17"/>
      <c r="D12" s="17"/>
      <c r="E12" s="17"/>
      <c r="F12" s="17"/>
      <c r="G12" s="17"/>
      <c r="H12" s="17"/>
      <c r="I12" s="17"/>
      <c r="J12" s="18"/>
    </row>
    <row r="13" spans="1:10" x14ac:dyDescent="0.2">
      <c r="A13" s="20"/>
      <c r="B13" s="17"/>
      <c r="C13" s="17"/>
      <c r="D13" s="17"/>
      <c r="E13" s="17"/>
      <c r="F13" s="17"/>
      <c r="G13" s="17"/>
      <c r="H13" s="17"/>
      <c r="I13" s="17"/>
      <c r="J13" s="18"/>
    </row>
    <row r="14" spans="1:10" x14ac:dyDescent="0.2">
      <c r="A14" s="20"/>
      <c r="B14" s="166" t="s">
        <v>244</v>
      </c>
      <c r="C14" s="166"/>
      <c r="D14" s="166"/>
      <c r="E14" s="166"/>
      <c r="F14" s="166"/>
      <c r="G14" s="166"/>
      <c r="H14" s="166"/>
      <c r="I14" s="166"/>
      <c r="J14" s="18"/>
    </row>
    <row r="15" spans="1:10" x14ac:dyDescent="0.2">
      <c r="A15" s="20"/>
      <c r="B15" s="166"/>
      <c r="C15" s="166"/>
      <c r="D15" s="166"/>
      <c r="E15" s="166"/>
      <c r="F15" s="166"/>
      <c r="G15" s="166"/>
      <c r="H15" s="166"/>
      <c r="I15" s="166"/>
      <c r="J15" s="18"/>
    </row>
    <row r="16" spans="1:10" x14ac:dyDescent="0.2">
      <c r="A16" s="20"/>
      <c r="B16" s="17"/>
      <c r="C16" s="17"/>
      <c r="D16" s="17"/>
      <c r="E16" s="17"/>
      <c r="F16" s="17"/>
      <c r="G16" s="17"/>
      <c r="H16" s="17"/>
      <c r="I16" s="17"/>
      <c r="J16" s="18"/>
    </row>
    <row r="17" spans="1:10" x14ac:dyDescent="0.2">
      <c r="A17" s="20"/>
      <c r="B17" s="17"/>
      <c r="C17" s="167" t="s">
        <v>54</v>
      </c>
      <c r="D17" s="175"/>
      <c r="E17" s="175"/>
      <c r="F17" s="175"/>
      <c r="G17" s="175"/>
      <c r="H17" s="168"/>
      <c r="I17" s="17"/>
      <c r="J17" s="18"/>
    </row>
    <row r="18" spans="1:10" ht="34" x14ac:dyDescent="0.2">
      <c r="A18" s="20"/>
      <c r="B18" s="17"/>
      <c r="C18" s="74" t="s">
        <v>46</v>
      </c>
      <c r="D18" s="104" t="s">
        <v>52</v>
      </c>
      <c r="E18" s="104" t="s">
        <v>53</v>
      </c>
      <c r="F18" s="104" t="s">
        <v>7</v>
      </c>
      <c r="G18" s="104" t="s">
        <v>47</v>
      </c>
      <c r="H18" s="105" t="s">
        <v>48</v>
      </c>
      <c r="I18" s="17"/>
      <c r="J18" s="18"/>
    </row>
    <row r="19" spans="1:10" x14ac:dyDescent="0.2">
      <c r="A19" s="20"/>
      <c r="B19" s="17"/>
      <c r="C19" s="27">
        <v>1</v>
      </c>
      <c r="D19" s="33">
        <v>1400</v>
      </c>
      <c r="E19" s="33">
        <v>100</v>
      </c>
      <c r="F19" s="37" t="s">
        <v>49</v>
      </c>
      <c r="G19" s="113">
        <v>43753</v>
      </c>
      <c r="H19" s="131">
        <v>44017</v>
      </c>
      <c r="I19" s="17"/>
      <c r="J19" s="18"/>
    </row>
    <row r="20" spans="1:10" x14ac:dyDescent="0.2">
      <c r="A20" s="20"/>
      <c r="B20" s="17"/>
      <c r="C20" s="27">
        <v>2</v>
      </c>
      <c r="D20" s="33">
        <v>3760</v>
      </c>
      <c r="E20" s="33">
        <v>840</v>
      </c>
      <c r="F20" s="37" t="s">
        <v>49</v>
      </c>
      <c r="G20" s="113">
        <v>43884</v>
      </c>
      <c r="H20" s="131">
        <v>43924</v>
      </c>
      <c r="I20" s="17"/>
      <c r="J20" s="18"/>
    </row>
    <row r="21" spans="1:10" x14ac:dyDescent="0.2">
      <c r="A21" s="20"/>
      <c r="B21" s="17"/>
      <c r="C21" s="27">
        <v>3</v>
      </c>
      <c r="D21" s="33">
        <v>1020</v>
      </c>
      <c r="E21" s="33">
        <v>2450</v>
      </c>
      <c r="F21" s="37" t="s">
        <v>50</v>
      </c>
      <c r="G21" s="113">
        <v>43921</v>
      </c>
      <c r="H21" s="131">
        <v>44228</v>
      </c>
      <c r="I21" s="17"/>
      <c r="J21" s="18"/>
    </row>
    <row r="22" spans="1:10" x14ac:dyDescent="0.2">
      <c r="A22" s="20"/>
      <c r="B22" s="17"/>
      <c r="C22" s="27">
        <v>4</v>
      </c>
      <c r="D22" s="33">
        <v>12110</v>
      </c>
      <c r="E22" s="33">
        <v>570</v>
      </c>
      <c r="F22" s="37" t="s">
        <v>55</v>
      </c>
      <c r="G22" s="113">
        <v>44048</v>
      </c>
      <c r="H22" s="131">
        <v>44104</v>
      </c>
      <c r="I22" s="17"/>
      <c r="J22" s="18"/>
    </row>
    <row r="23" spans="1:10" x14ac:dyDescent="0.2">
      <c r="A23" s="20"/>
      <c r="B23" s="17"/>
      <c r="C23" s="30">
        <v>5</v>
      </c>
      <c r="D23" s="106">
        <v>4280</v>
      </c>
      <c r="E23" s="106">
        <v>390</v>
      </c>
      <c r="F23" s="132" t="s">
        <v>56</v>
      </c>
      <c r="G23" s="114">
        <v>44288</v>
      </c>
      <c r="H23" s="133">
        <v>44409</v>
      </c>
      <c r="I23" s="17"/>
      <c r="J23" s="18"/>
    </row>
    <row r="24" spans="1:10" x14ac:dyDescent="0.2">
      <c r="A24" s="20"/>
      <c r="B24" s="17"/>
      <c r="C24" s="33"/>
      <c r="D24" s="33"/>
      <c r="E24" s="33"/>
      <c r="F24" s="17"/>
      <c r="G24" s="17"/>
      <c r="H24" s="17"/>
      <c r="I24" s="17"/>
      <c r="J24" s="18"/>
    </row>
    <row r="25" spans="1:10" x14ac:dyDescent="0.2">
      <c r="A25" s="20"/>
      <c r="B25" s="17"/>
      <c r="C25" s="33"/>
      <c r="D25" s="33"/>
      <c r="E25" s="33"/>
      <c r="F25" s="17"/>
      <c r="G25" s="17"/>
      <c r="H25" s="17"/>
      <c r="I25" s="17"/>
      <c r="J25" s="18"/>
    </row>
    <row r="26" spans="1:10" x14ac:dyDescent="0.2">
      <c r="A26" s="20"/>
      <c r="B26" s="17" t="s">
        <v>72</v>
      </c>
      <c r="C26" s="17"/>
      <c r="D26" s="17"/>
      <c r="E26" s="17"/>
      <c r="F26" s="17"/>
      <c r="G26" s="17"/>
      <c r="H26" s="17"/>
      <c r="I26" s="17"/>
      <c r="J26" s="18"/>
    </row>
    <row r="27" spans="1:10" ht="17" thickBot="1" x14ac:dyDescent="0.25">
      <c r="A27" s="39"/>
      <c r="B27" s="40"/>
      <c r="C27" s="41"/>
      <c r="D27" s="41"/>
      <c r="E27" s="41"/>
      <c r="F27" s="40"/>
      <c r="G27" s="40"/>
      <c r="H27" s="40"/>
      <c r="I27" s="40"/>
      <c r="J27" s="42"/>
    </row>
    <row r="29" spans="1:10" ht="19" x14ac:dyDescent="0.25">
      <c r="A29" s="3" t="s">
        <v>1</v>
      </c>
    </row>
    <row r="30" spans="1:10" ht="16" customHeight="1" x14ac:dyDescent="0.2">
      <c r="A30" s="12" t="s">
        <v>20</v>
      </c>
      <c r="B30" s="164" t="s">
        <v>58</v>
      </c>
      <c r="C30" s="164"/>
      <c r="D30" s="164"/>
      <c r="E30" s="164"/>
      <c r="F30" s="164"/>
      <c r="G30" s="164"/>
      <c r="H30" s="164"/>
      <c r="I30" s="164"/>
    </row>
    <row r="31" spans="1:10" ht="16" customHeight="1" x14ac:dyDescent="0.25">
      <c r="A31" s="5"/>
      <c r="B31" s="164"/>
      <c r="C31" s="164"/>
      <c r="D31" s="164"/>
      <c r="E31" s="164"/>
      <c r="F31" s="164"/>
      <c r="G31" s="164"/>
      <c r="H31" s="164"/>
      <c r="I31" s="164"/>
    </row>
    <row r="32" spans="1:10" ht="16" customHeight="1" x14ac:dyDescent="0.25">
      <c r="A32" s="5"/>
    </row>
    <row r="33" spans="1:12" ht="16" customHeight="1" x14ac:dyDescent="0.25">
      <c r="A33" s="5"/>
      <c r="B33" s="9" t="s">
        <v>60</v>
      </c>
      <c r="G33" s="19" t="s">
        <v>62</v>
      </c>
    </row>
    <row r="34" spans="1:12" ht="16" customHeight="1" x14ac:dyDescent="0.25">
      <c r="A34" s="5"/>
      <c r="B34" s="176" t="s">
        <v>206</v>
      </c>
      <c r="C34" s="176"/>
      <c r="D34" s="176"/>
      <c r="E34" s="176"/>
    </row>
    <row r="35" spans="1:12" ht="16" customHeight="1" x14ac:dyDescent="0.25">
      <c r="A35" s="5"/>
      <c r="B35" s="176"/>
      <c r="C35" s="176"/>
      <c r="D35" s="176"/>
      <c r="E35" s="176"/>
      <c r="G35" s="44" t="s">
        <v>46</v>
      </c>
      <c r="H35" s="45" t="s">
        <v>63</v>
      </c>
      <c r="L35" s="6"/>
    </row>
    <row r="36" spans="1:12" ht="16" customHeight="1" x14ac:dyDescent="0.25">
      <c r="A36" s="5"/>
      <c r="B36" s="176"/>
      <c r="C36" s="176"/>
      <c r="D36" s="176"/>
      <c r="E36" s="176"/>
      <c r="G36" s="46">
        <v>1</v>
      </c>
      <c r="H36" s="47" t="s">
        <v>64</v>
      </c>
      <c r="L36" s="6"/>
    </row>
    <row r="37" spans="1:12" ht="16" customHeight="1" x14ac:dyDescent="0.25">
      <c r="A37" s="5"/>
      <c r="G37" s="46">
        <v>2</v>
      </c>
      <c r="H37" s="47" t="s">
        <v>65</v>
      </c>
      <c r="L37" s="6"/>
    </row>
    <row r="38" spans="1:12" ht="16" customHeight="1" x14ac:dyDescent="0.25">
      <c r="A38" s="5"/>
      <c r="B38" s="9" t="s">
        <v>57</v>
      </c>
      <c r="G38" s="46">
        <v>3</v>
      </c>
      <c r="H38" s="47" t="s">
        <v>65</v>
      </c>
      <c r="L38" s="6"/>
    </row>
    <row r="39" spans="1:12" ht="16" customHeight="1" x14ac:dyDescent="0.25">
      <c r="A39" s="5"/>
      <c r="B39" s="176" t="s">
        <v>59</v>
      </c>
      <c r="C39" s="176"/>
      <c r="D39" s="176"/>
      <c r="E39" s="176"/>
      <c r="G39" s="46">
        <v>4</v>
      </c>
      <c r="H39" s="47" t="s">
        <v>65</v>
      </c>
      <c r="L39" s="6"/>
    </row>
    <row r="40" spans="1:12" ht="16" customHeight="1" x14ac:dyDescent="0.25">
      <c r="A40" s="5"/>
      <c r="B40" s="176"/>
      <c r="C40" s="176"/>
      <c r="D40" s="176"/>
      <c r="E40" s="176"/>
      <c r="G40" s="46">
        <v>5</v>
      </c>
      <c r="H40" s="47" t="s">
        <v>64</v>
      </c>
      <c r="L40" s="6"/>
    </row>
    <row r="41" spans="1:12" ht="16" customHeight="1" x14ac:dyDescent="0.25">
      <c r="A41" s="5"/>
      <c r="B41" s="119"/>
      <c r="C41" s="119"/>
      <c r="D41" s="119"/>
      <c r="E41" s="119"/>
      <c r="G41" s="47"/>
      <c r="H41" s="47"/>
      <c r="L41" s="6"/>
    </row>
    <row r="42" spans="1:12" ht="16" customHeight="1" x14ac:dyDescent="0.25">
      <c r="A42" s="5"/>
      <c r="B42" s="119"/>
      <c r="C42" s="119"/>
      <c r="D42" s="119"/>
      <c r="E42" s="119"/>
      <c r="F42" s="176" t="s">
        <v>292</v>
      </c>
      <c r="G42" s="176"/>
      <c r="H42" s="176"/>
      <c r="I42" s="176"/>
      <c r="L42" s="6"/>
    </row>
    <row r="43" spans="1:12" ht="16" customHeight="1" x14ac:dyDescent="0.25">
      <c r="A43" s="5"/>
      <c r="B43" s="119"/>
      <c r="C43" s="119"/>
      <c r="D43" s="119"/>
      <c r="E43" s="119"/>
      <c r="F43" s="176"/>
      <c r="G43" s="176"/>
      <c r="H43" s="176"/>
      <c r="I43" s="176"/>
      <c r="L43" s="6"/>
    </row>
    <row r="44" spans="1:12" ht="16" customHeight="1" x14ac:dyDescent="0.25">
      <c r="A44" s="5"/>
      <c r="L44" s="6"/>
    </row>
    <row r="45" spans="1:12" ht="16" customHeight="1" x14ac:dyDescent="0.2">
      <c r="A45" s="12" t="s">
        <v>22</v>
      </c>
      <c r="B45" s="164" t="s">
        <v>66</v>
      </c>
      <c r="C45" s="164"/>
      <c r="D45" s="164"/>
      <c r="E45" s="164"/>
      <c r="F45" s="164"/>
      <c r="G45" s="164"/>
      <c r="H45" s="164"/>
      <c r="I45" s="164"/>
    </row>
    <row r="46" spans="1:12" ht="16" customHeight="1" x14ac:dyDescent="0.25">
      <c r="A46" s="5"/>
      <c r="B46" s="164"/>
      <c r="C46" s="164"/>
      <c r="D46" s="164"/>
      <c r="E46" s="164"/>
      <c r="F46" s="164"/>
      <c r="G46" s="164"/>
      <c r="H46" s="164"/>
      <c r="I46" s="164"/>
    </row>
    <row r="47" spans="1:12" ht="16" customHeight="1" x14ac:dyDescent="0.25">
      <c r="A47" s="5"/>
    </row>
    <row r="48" spans="1:12" ht="16" customHeight="1" x14ac:dyDescent="0.25">
      <c r="A48" s="5"/>
    </row>
    <row r="49" spans="1:14" ht="16" customHeight="1" x14ac:dyDescent="0.25">
      <c r="A49" s="5"/>
      <c r="G49" s="44" t="s">
        <v>46</v>
      </c>
      <c r="H49" s="45" t="s">
        <v>68</v>
      </c>
      <c r="J49" s="9"/>
    </row>
    <row r="50" spans="1:14" ht="16" customHeight="1" x14ac:dyDescent="0.25">
      <c r="A50" s="5"/>
      <c r="G50" s="46">
        <v>2</v>
      </c>
      <c r="H50" s="47">
        <f>MAX(MIN(D20-D$9/1000,D$10/1000),0)</f>
        <v>1760</v>
      </c>
      <c r="J50" s="120"/>
      <c r="K50" s="120"/>
      <c r="L50" s="120"/>
      <c r="M50" s="120"/>
    </row>
    <row r="51" spans="1:14" ht="16" customHeight="1" x14ac:dyDescent="0.25">
      <c r="A51" s="5"/>
      <c r="G51" s="46">
        <v>3</v>
      </c>
      <c r="H51" s="47">
        <f>MAX(MIN(D21-D$9/1000,D$10/1000),0)</f>
        <v>0</v>
      </c>
      <c r="J51" s="120"/>
      <c r="K51" s="120"/>
      <c r="L51" s="120"/>
      <c r="M51" s="120"/>
    </row>
    <row r="52" spans="1:14" ht="16" customHeight="1" x14ac:dyDescent="0.25">
      <c r="A52" s="5"/>
      <c r="B52" s="9" t="s">
        <v>28</v>
      </c>
      <c r="G52" s="46">
        <v>4</v>
      </c>
      <c r="H52" s="47">
        <f>MAX(MIN(D22-D$9/1000,D$10/1000),0)</f>
        <v>8000</v>
      </c>
      <c r="L52" s="6"/>
    </row>
    <row r="53" spans="1:14" ht="16" customHeight="1" x14ac:dyDescent="0.25">
      <c r="A53" s="5"/>
      <c r="B53" s="52" t="s">
        <v>69</v>
      </c>
      <c r="L53" s="6"/>
    </row>
    <row r="54" spans="1:14" ht="16" customHeight="1" x14ac:dyDescent="0.25">
      <c r="A54" s="5"/>
      <c r="B54" s="52"/>
      <c r="L54" s="6"/>
    </row>
    <row r="55" spans="1:14" ht="16" customHeight="1" x14ac:dyDescent="0.2">
      <c r="A55" s="12" t="s">
        <v>26</v>
      </c>
      <c r="B55" s="4" t="s">
        <v>67</v>
      </c>
      <c r="C55" s="43"/>
    </row>
    <row r="56" spans="1:14" ht="16" customHeight="1" x14ac:dyDescent="0.25">
      <c r="A56" s="5"/>
    </row>
    <row r="57" spans="1:14" ht="16" customHeight="1" x14ac:dyDescent="0.25">
      <c r="A57" s="5"/>
      <c r="G57" s="44" t="s">
        <v>46</v>
      </c>
      <c r="H57" s="45" t="s">
        <v>70</v>
      </c>
    </row>
    <row r="58" spans="1:14" ht="16" customHeight="1" x14ac:dyDescent="0.25">
      <c r="A58" s="5"/>
      <c r="G58" s="46">
        <v>2</v>
      </c>
      <c r="H58" s="47">
        <f>(H50/D20)*E20</f>
        <v>393.19148936170211</v>
      </c>
    </row>
    <row r="59" spans="1:14" ht="16" customHeight="1" x14ac:dyDescent="0.25">
      <c r="A59" s="5"/>
      <c r="G59" s="46">
        <v>3</v>
      </c>
      <c r="H59" s="47">
        <f>(H51/D21)*E21</f>
        <v>0</v>
      </c>
    </row>
    <row r="60" spans="1:14" ht="16" customHeight="1" x14ac:dyDescent="0.25">
      <c r="A60" s="5"/>
      <c r="G60" s="46">
        <v>4</v>
      </c>
      <c r="H60" s="47">
        <f>(H52/D22)*E22</f>
        <v>376.54830718414536</v>
      </c>
      <c r="L60" s="6"/>
    </row>
    <row r="61" spans="1:14" ht="16" customHeight="1" thickBot="1" x14ac:dyDescent="0.3">
      <c r="A61" s="5"/>
      <c r="L61" s="6"/>
    </row>
    <row r="62" spans="1:14" ht="16" customHeight="1" thickBot="1" x14ac:dyDescent="0.3">
      <c r="A62" s="5"/>
      <c r="F62" s="148" t="s">
        <v>71</v>
      </c>
      <c r="G62" s="149"/>
      <c r="H62" s="150">
        <f>SUM(H50:H52,H58:H60)*1000</f>
        <v>10529739.796545846</v>
      </c>
      <c r="L62" s="6"/>
    </row>
    <row r="64" spans="1:14" ht="19" x14ac:dyDescent="0.25">
      <c r="A64" s="3" t="s">
        <v>2</v>
      </c>
      <c r="L64" s="6"/>
      <c r="M64" s="6"/>
      <c r="N64" s="6"/>
    </row>
    <row r="65" spans="1:65" ht="16" customHeight="1" x14ac:dyDescent="0.25">
      <c r="A65" s="3"/>
      <c r="B65" s="176" t="s">
        <v>237</v>
      </c>
      <c r="C65" s="176"/>
      <c r="D65" s="176"/>
      <c r="E65" s="176"/>
      <c r="F65" s="176"/>
      <c r="G65" s="176"/>
      <c r="H65" s="176"/>
      <c r="I65" s="176"/>
      <c r="L65" s="6"/>
      <c r="M65" s="6"/>
      <c r="N65" s="6"/>
    </row>
    <row r="66" spans="1:65" ht="16" customHeight="1" x14ac:dyDescent="0.25">
      <c r="A66" s="3"/>
      <c r="B66" s="176"/>
      <c r="C66" s="176"/>
      <c r="D66" s="176"/>
      <c r="E66" s="176"/>
      <c r="F66" s="176"/>
      <c r="G66" s="176"/>
      <c r="H66" s="176"/>
      <c r="I66" s="176"/>
      <c r="L66" s="6"/>
      <c r="M66" s="6"/>
      <c r="N66" s="6"/>
    </row>
    <row r="67" spans="1:65" ht="16" customHeight="1" x14ac:dyDescent="0.25">
      <c r="A67" s="3"/>
      <c r="B67" s="176"/>
      <c r="C67" s="176"/>
      <c r="D67" s="176"/>
      <c r="E67" s="176"/>
      <c r="F67" s="176"/>
      <c r="G67" s="176"/>
      <c r="H67" s="176"/>
      <c r="I67" s="176"/>
      <c r="L67" s="6"/>
      <c r="M67" s="6"/>
      <c r="N67" s="6"/>
    </row>
    <row r="68" spans="1:65" ht="16" customHeight="1" x14ac:dyDescent="0.25">
      <c r="A68" s="3"/>
      <c r="B68" s="176"/>
      <c r="C68" s="176"/>
      <c r="D68" s="176"/>
      <c r="E68" s="176"/>
      <c r="F68" s="176"/>
      <c r="G68" s="176"/>
      <c r="H68" s="176"/>
      <c r="I68" s="176"/>
      <c r="L68" s="6"/>
      <c r="M68" s="6"/>
      <c r="N68" s="6"/>
    </row>
    <row r="69" spans="1:65" ht="16" customHeight="1" x14ac:dyDescent="0.25">
      <c r="A69" s="3"/>
      <c r="L69" s="6"/>
      <c r="M69" s="6"/>
      <c r="N69" s="6"/>
    </row>
    <row r="70" spans="1:65" ht="19" x14ac:dyDescent="0.25">
      <c r="B70" s="7" t="s">
        <v>73</v>
      </c>
      <c r="L70" s="6"/>
      <c r="M70" s="6"/>
      <c r="N70" s="6"/>
    </row>
    <row r="71" spans="1:65" ht="16" customHeight="1" x14ac:dyDescent="0.2">
      <c r="A71" s="6"/>
      <c r="B71" s="163" t="s">
        <v>293</v>
      </c>
      <c r="C71" s="163"/>
      <c r="D71" s="163"/>
      <c r="E71" s="163"/>
      <c r="F71" s="163"/>
      <c r="G71" s="163"/>
      <c r="H71" s="163"/>
      <c r="I71" s="163"/>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x14ac:dyDescent="0.2">
      <c r="A72" s="6"/>
      <c r="B72" s="163"/>
      <c r="C72" s="163"/>
      <c r="D72" s="163"/>
      <c r="E72" s="163"/>
      <c r="F72" s="163"/>
      <c r="G72" s="163"/>
      <c r="H72" s="163"/>
      <c r="I72" s="163"/>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x14ac:dyDescent="0.2">
      <c r="A73" s="6"/>
      <c r="B73" s="53"/>
      <c r="C73" s="53"/>
      <c r="D73" s="53"/>
      <c r="E73" s="53"/>
      <c r="F73" s="53"/>
      <c r="G73" s="53"/>
      <c r="H73" s="53"/>
      <c r="I73" s="53"/>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x14ac:dyDescent="0.2">
      <c r="A74" s="6"/>
      <c r="B74" s="163" t="s">
        <v>294</v>
      </c>
      <c r="C74" s="163"/>
      <c r="D74" s="163"/>
      <c r="E74" s="163"/>
      <c r="F74" s="163"/>
      <c r="G74" s="163"/>
      <c r="H74" s="163"/>
      <c r="I74" s="163"/>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x14ac:dyDescent="0.2">
      <c r="A75" s="6"/>
      <c r="B75" s="163"/>
      <c r="C75" s="163"/>
      <c r="D75" s="163"/>
      <c r="E75" s="163"/>
      <c r="F75" s="163"/>
      <c r="G75" s="163"/>
      <c r="H75" s="163"/>
      <c r="I75" s="163"/>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x14ac:dyDescent="0.2">
      <c r="A76" s="6"/>
      <c r="B76" s="53"/>
      <c r="C76" s="53"/>
      <c r="D76" s="53"/>
      <c r="E76" s="53"/>
      <c r="F76" s="53"/>
      <c r="G76" s="53"/>
      <c r="H76" s="53"/>
      <c r="I76" s="53"/>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5.75" customHeight="1" x14ac:dyDescent="0.2">
      <c r="A77" s="6"/>
      <c r="B77" s="163" t="s">
        <v>309</v>
      </c>
      <c r="C77" s="163"/>
      <c r="D77" s="163"/>
      <c r="E77" s="163"/>
      <c r="F77" s="163"/>
      <c r="G77" s="163"/>
      <c r="H77" s="163"/>
      <c r="I77" s="163"/>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x14ac:dyDescent="0.2">
      <c r="A78" s="6"/>
      <c r="B78" s="163"/>
      <c r="C78" s="163"/>
      <c r="D78" s="163"/>
      <c r="E78" s="163"/>
      <c r="F78" s="163"/>
      <c r="G78" s="163"/>
      <c r="H78" s="163"/>
      <c r="I78" s="163"/>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x14ac:dyDescent="0.2">
      <c r="A79" s="6"/>
      <c r="B79" s="163"/>
      <c r="C79" s="163"/>
      <c r="D79" s="163"/>
      <c r="E79" s="163"/>
      <c r="F79" s="163"/>
      <c r="G79" s="163"/>
      <c r="H79" s="163"/>
      <c r="I79" s="163"/>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x14ac:dyDescent="0.2">
      <c r="A80" s="6"/>
      <c r="B80" s="163"/>
      <c r="C80" s="163"/>
      <c r="D80" s="163"/>
      <c r="E80" s="163"/>
      <c r="F80" s="163"/>
      <c r="G80" s="163"/>
      <c r="H80" s="163"/>
      <c r="I80" s="163"/>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 customHeight="1" x14ac:dyDescent="0.25">
      <c r="A81" s="6"/>
      <c r="B81" s="7" t="s">
        <v>79</v>
      </c>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5.75" customHeight="1" x14ac:dyDescent="0.2">
      <c r="A82" s="6"/>
      <c r="B82" s="151" t="s">
        <v>295</v>
      </c>
      <c r="C82" s="53"/>
      <c r="D82" s="53"/>
      <c r="E82" s="53"/>
      <c r="F82" s="53"/>
      <c r="G82" s="53"/>
      <c r="H82" s="53"/>
      <c r="I82" s="53"/>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x14ac:dyDescent="0.2">
      <c r="A83" s="6"/>
      <c r="B83" s="53"/>
      <c r="C83" s="53"/>
      <c r="D83" s="53"/>
      <c r="E83" s="53"/>
      <c r="F83" s="53"/>
      <c r="G83" s="53"/>
      <c r="H83" s="53"/>
      <c r="I83" s="53"/>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x14ac:dyDescent="0.2">
      <c r="A84" s="6"/>
      <c r="B84" s="140" t="s">
        <v>296</v>
      </c>
      <c r="C84" s="53"/>
      <c r="D84" s="53"/>
      <c r="E84" s="53"/>
      <c r="F84" s="53"/>
      <c r="G84" s="53"/>
      <c r="H84" s="53"/>
      <c r="I84" s="53"/>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x14ac:dyDescent="0.2">
      <c r="A85" s="6"/>
      <c r="B85" s="151" t="s">
        <v>297</v>
      </c>
      <c r="C85" s="53"/>
      <c r="D85" s="53"/>
      <c r="E85" s="53"/>
      <c r="F85" s="53"/>
      <c r="G85" s="53"/>
      <c r="H85" s="53"/>
      <c r="I85" s="53"/>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x14ac:dyDescent="0.2">
      <c r="A86" s="6"/>
      <c r="B86" s="151" t="s">
        <v>298</v>
      </c>
      <c r="C86" s="53"/>
      <c r="D86" s="53"/>
      <c r="E86" s="53"/>
      <c r="F86" s="53"/>
      <c r="G86" s="53"/>
      <c r="H86" s="53"/>
      <c r="I86" s="53"/>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x14ac:dyDescent="0.2">
      <c r="A87" s="6"/>
      <c r="B87" s="151" t="s">
        <v>299</v>
      </c>
      <c r="C87" s="53"/>
      <c r="D87" s="53"/>
      <c r="E87" s="53"/>
      <c r="F87" s="53"/>
      <c r="G87" s="53"/>
      <c r="H87" s="53"/>
      <c r="I87" s="53"/>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x14ac:dyDescent="0.2">
      <c r="A88" s="6"/>
      <c r="B88" s="53"/>
      <c r="C88" s="53"/>
      <c r="D88" s="53"/>
      <c r="E88" s="53"/>
      <c r="F88" s="53"/>
      <c r="G88" s="53"/>
      <c r="H88" s="53"/>
      <c r="I88" s="53"/>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x14ac:dyDescent="0.2">
      <c r="A89" s="6"/>
      <c r="B89" s="140" t="s">
        <v>300</v>
      </c>
      <c r="C89" s="53"/>
      <c r="D89" s="53"/>
      <c r="E89" s="53"/>
      <c r="F89" s="53"/>
      <c r="G89" s="53"/>
      <c r="H89" s="53"/>
      <c r="I89" s="53"/>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x14ac:dyDescent="0.2">
      <c r="A90" s="6"/>
      <c r="B90" s="48"/>
      <c r="C90" s="48"/>
      <c r="D90" s="48"/>
      <c r="E90" s="48"/>
      <c r="F90" s="48"/>
      <c r="G90" s="48"/>
      <c r="H90" s="48"/>
      <c r="I90" s="48"/>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34" x14ac:dyDescent="0.2">
      <c r="A91" s="6"/>
      <c r="B91" s="6"/>
      <c r="C91" s="48"/>
      <c r="D91" s="13" t="s">
        <v>91</v>
      </c>
      <c r="E91" s="177" t="s">
        <v>92</v>
      </c>
      <c r="F91" s="177"/>
      <c r="G91" s="177" t="s">
        <v>93</v>
      </c>
      <c r="H91" s="177"/>
      <c r="I91" s="48"/>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34" x14ac:dyDescent="0.2">
      <c r="A92" s="6"/>
      <c r="B92" s="6"/>
      <c r="C92" s="44" t="s">
        <v>46</v>
      </c>
      <c r="D92" s="44" t="s">
        <v>90</v>
      </c>
      <c r="E92" s="134" t="s">
        <v>68</v>
      </c>
      <c r="F92" s="135" t="s">
        <v>70</v>
      </c>
      <c r="G92" s="136" t="s">
        <v>68</v>
      </c>
      <c r="H92" s="136" t="s">
        <v>70</v>
      </c>
      <c r="I92" s="48"/>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x14ac:dyDescent="0.2">
      <c r="A93" s="6"/>
      <c r="B93" s="6"/>
      <c r="C93" s="46">
        <v>2</v>
      </c>
      <c r="D93" s="46">
        <f>MAX(MIN(SUM(D20:E20)-D$9/1000,D$10/1000),0)</f>
        <v>2600</v>
      </c>
      <c r="E93" s="137">
        <f>MAX(MIN(D20-D$9/1000,D$10/1000),0)</f>
        <v>1760</v>
      </c>
      <c r="F93" s="138">
        <f>(E93/D20)*E20</f>
        <v>393.19148936170211</v>
      </c>
      <c r="G93" s="137">
        <f>MAX(MIN(D20-D$9/1000,D$10/1000),0)</f>
        <v>1760</v>
      </c>
      <c r="H93" s="137">
        <v>0</v>
      </c>
      <c r="I93" s="48"/>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x14ac:dyDescent="0.2">
      <c r="A94" s="6"/>
      <c r="B94" s="6"/>
      <c r="C94" s="46">
        <v>3</v>
      </c>
      <c r="D94" s="46">
        <f t="shared" ref="D94" si="0">MAX(MIN(SUM(D21:E21)-D$9/1000,D$10/1000),0)</f>
        <v>1470</v>
      </c>
      <c r="E94" s="137">
        <f t="shared" ref="E94:E95" si="1">MAX(MIN(D21-D$9/1000,D$10/1000),0)</f>
        <v>0</v>
      </c>
      <c r="F94" s="138">
        <f>(E94/D21)*E21</f>
        <v>0</v>
      </c>
      <c r="G94" s="137">
        <f>MAX(MIN(D21-D$9/1000,D$10/1000),0)</f>
        <v>0</v>
      </c>
      <c r="H94" s="137">
        <v>0</v>
      </c>
      <c r="I94" s="48"/>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x14ac:dyDescent="0.2">
      <c r="A95" s="6"/>
      <c r="B95" s="6"/>
      <c r="C95" s="46">
        <v>4</v>
      </c>
      <c r="D95" s="46">
        <f>MAX(MIN(SUM(D22:E22)-D$9/1000,D$10/1000),0)</f>
        <v>8000</v>
      </c>
      <c r="E95" s="137">
        <f t="shared" si="1"/>
        <v>8000</v>
      </c>
      <c r="F95" s="138">
        <f>(E95/D22)*E22</f>
        <v>376.54830718414536</v>
      </c>
      <c r="G95" s="137">
        <f>MAX(MIN(D22-D$9/1000,D$10/1000),0)</f>
        <v>8000</v>
      </c>
      <c r="H95" s="137">
        <v>0</v>
      </c>
      <c r="I95" s="48"/>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x14ac:dyDescent="0.2">
      <c r="A96" s="6"/>
      <c r="B96" s="48"/>
      <c r="C96" s="48"/>
      <c r="D96" s="48"/>
      <c r="E96" s="48"/>
      <c r="F96" s="48"/>
      <c r="G96" s="48"/>
      <c r="H96" s="48"/>
      <c r="I96" s="48"/>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9" x14ac:dyDescent="0.25">
      <c r="A97" s="6"/>
      <c r="B97" s="7" t="s">
        <v>82</v>
      </c>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5.75" customHeight="1" x14ac:dyDescent="0.2">
      <c r="A98" s="6"/>
      <c r="B98" s="140" t="s">
        <v>302</v>
      </c>
      <c r="C98" s="53"/>
      <c r="D98" s="53"/>
      <c r="E98" s="53"/>
      <c r="F98" s="53"/>
      <c r="G98" s="53"/>
      <c r="H98" s="53"/>
      <c r="I98" s="53"/>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x14ac:dyDescent="0.2">
      <c r="A99" s="6"/>
      <c r="B99" s="53"/>
      <c r="C99" s="53"/>
      <c r="D99" s="53"/>
      <c r="E99" s="53"/>
      <c r="F99" s="53"/>
      <c r="G99" s="53"/>
      <c r="H99" s="53"/>
      <c r="I99" s="53"/>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5.75" customHeight="1" x14ac:dyDescent="0.2">
      <c r="A100" s="6"/>
      <c r="B100" s="163" t="s">
        <v>301</v>
      </c>
      <c r="C100" s="163"/>
      <c r="D100" s="163"/>
      <c r="E100" s="163"/>
      <c r="F100" s="163"/>
      <c r="G100" s="163"/>
      <c r="H100" s="163"/>
      <c r="I100" s="163"/>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x14ac:dyDescent="0.2">
      <c r="A101" s="6"/>
      <c r="B101" s="163"/>
      <c r="C101" s="163"/>
      <c r="D101" s="163"/>
      <c r="E101" s="163"/>
      <c r="F101" s="163"/>
      <c r="G101" s="163"/>
      <c r="H101" s="163"/>
      <c r="I101" s="163"/>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x14ac:dyDescent="0.2">
      <c r="A102" s="6"/>
      <c r="B102" s="163"/>
      <c r="C102" s="163"/>
      <c r="D102" s="163"/>
      <c r="E102" s="163"/>
      <c r="F102" s="163"/>
      <c r="G102" s="163"/>
      <c r="H102" s="163"/>
      <c r="I102" s="163"/>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x14ac:dyDescent="0.2">
      <c r="A103" s="6"/>
      <c r="B103" s="140"/>
      <c r="C103" s="140"/>
      <c r="D103" s="140"/>
      <c r="E103" s="140"/>
      <c r="F103" s="140"/>
      <c r="G103" s="140"/>
      <c r="H103" s="140"/>
      <c r="I103" s="140"/>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x14ac:dyDescent="0.2">
      <c r="A104" s="6"/>
      <c r="B104" s="163" t="s">
        <v>303</v>
      </c>
      <c r="C104" s="163"/>
      <c r="D104" s="163"/>
      <c r="E104" s="163"/>
      <c r="F104" s="163"/>
      <c r="G104" s="163"/>
      <c r="H104" s="163"/>
      <c r="I104" s="163"/>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x14ac:dyDescent="0.2">
      <c r="A105" s="6"/>
      <c r="B105" s="163"/>
      <c r="C105" s="163"/>
      <c r="D105" s="163"/>
      <c r="E105" s="163"/>
      <c r="F105" s="163"/>
      <c r="G105" s="163"/>
      <c r="H105" s="163"/>
      <c r="I105" s="163"/>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x14ac:dyDescent="0.2">
      <c r="A106" s="6"/>
      <c r="B106" s="48"/>
      <c r="C106" s="48"/>
      <c r="D106" s="48"/>
      <c r="E106" s="48"/>
      <c r="F106" s="48"/>
      <c r="G106" s="48"/>
      <c r="H106" s="48"/>
      <c r="I106" s="48"/>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9" x14ac:dyDescent="0.25">
      <c r="A107" s="3" t="s">
        <v>3</v>
      </c>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x14ac:dyDescent="0.2">
      <c r="A108" s="6"/>
      <c r="B108" s="19" t="s">
        <v>80</v>
      </c>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x14ac:dyDescent="0.2">
      <c r="A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9" x14ac:dyDescent="0.25">
      <c r="A110" s="3" t="s">
        <v>4</v>
      </c>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x14ac:dyDescent="0.2">
      <c r="A111" s="6"/>
      <c r="B111" s="19" t="s">
        <v>222</v>
      </c>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x14ac:dyDescent="0.2">
      <c r="A112" s="6"/>
      <c r="B112" s="19" t="s">
        <v>223</v>
      </c>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x14ac:dyDescent="0.2">
      <c r="A113" s="6"/>
      <c r="B113" s="139" t="s">
        <v>226</v>
      </c>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x14ac:dyDescent="0.2">
      <c r="A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x14ac:dyDescent="0.2">
      <c r="A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x14ac:dyDescent="0.2">
      <c r="A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x14ac:dyDescent="0.2">
      <c r="A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sheetData>
  <mergeCells count="16">
    <mergeCell ref="B100:I102"/>
    <mergeCell ref="B104:I105"/>
    <mergeCell ref="B4:I5"/>
    <mergeCell ref="B14:I15"/>
    <mergeCell ref="C17:H17"/>
    <mergeCell ref="B30:I31"/>
    <mergeCell ref="B45:I46"/>
    <mergeCell ref="B39:E40"/>
    <mergeCell ref="B34:E36"/>
    <mergeCell ref="F42:I43"/>
    <mergeCell ref="B65:I68"/>
    <mergeCell ref="E91:F91"/>
    <mergeCell ref="G91:H91"/>
    <mergeCell ref="B71:I72"/>
    <mergeCell ref="B74:I75"/>
    <mergeCell ref="B77:I80"/>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F585-645C-6546-AAE1-58AAE2CC3FD0}">
  <dimension ref="A1:BM164"/>
  <sheetViews>
    <sheetView showGridLines="0" zoomScale="120" zoomScaleNormal="120" workbookViewId="0"/>
  </sheetViews>
  <sheetFormatPr baseColWidth="10" defaultColWidth="10.83203125" defaultRowHeight="16" x14ac:dyDescent="0.2"/>
  <cols>
    <col min="1" max="1" width="10.83203125" style="19"/>
    <col min="2" max="3" width="10.83203125" style="19" customWidth="1"/>
    <col min="4" max="4" width="12" style="19" bestFit="1" customWidth="1"/>
    <col min="5" max="5" width="11" style="19" bestFit="1" customWidth="1"/>
    <col min="6" max="7" width="10.83203125" style="19" customWidth="1"/>
    <col min="8" max="8" width="9.5" style="19" customWidth="1"/>
    <col min="9" max="9" width="11.83203125" style="19" customWidth="1"/>
    <col min="10" max="10" width="10.83203125" style="19" customWidth="1"/>
    <col min="11" max="16384" width="10.83203125" style="19"/>
  </cols>
  <sheetData>
    <row r="1" spans="1:10" ht="19" x14ac:dyDescent="0.25">
      <c r="A1" s="1" t="s">
        <v>83</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66" t="s">
        <v>84</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17"/>
      <c r="C6" s="17"/>
      <c r="D6" s="17"/>
      <c r="E6" s="17"/>
      <c r="F6" s="17"/>
      <c r="G6" s="17"/>
      <c r="H6" s="17"/>
      <c r="I6" s="17"/>
      <c r="J6" s="18"/>
    </row>
    <row r="7" spans="1:10" x14ac:dyDescent="0.2">
      <c r="A7" s="20"/>
      <c r="B7" s="10" t="s">
        <v>229</v>
      </c>
      <c r="C7" s="17"/>
      <c r="D7" s="17"/>
      <c r="E7" s="17"/>
      <c r="F7" s="10" t="s">
        <v>85</v>
      </c>
      <c r="G7" s="17"/>
      <c r="H7" s="17"/>
      <c r="I7" s="17"/>
      <c r="J7" s="18"/>
    </row>
    <row r="8" spans="1:10" x14ac:dyDescent="0.2">
      <c r="A8" s="20"/>
      <c r="B8" s="17" t="s">
        <v>42</v>
      </c>
      <c r="C8" s="17"/>
      <c r="D8" s="113">
        <v>43831</v>
      </c>
      <c r="E8" s="17"/>
      <c r="F8" s="17" t="s">
        <v>42</v>
      </c>
      <c r="G8" s="17"/>
      <c r="H8" s="113"/>
      <c r="I8" s="113">
        <v>43831</v>
      </c>
      <c r="J8" s="18"/>
    </row>
    <row r="9" spans="1:10" x14ac:dyDescent="0.2">
      <c r="A9" s="20"/>
      <c r="B9" s="17" t="s">
        <v>43</v>
      </c>
      <c r="C9" s="17"/>
      <c r="D9" s="113">
        <v>44196</v>
      </c>
      <c r="E9" s="17"/>
      <c r="F9" s="17" t="s">
        <v>43</v>
      </c>
      <c r="G9" s="17"/>
      <c r="H9" s="113"/>
      <c r="I9" s="113">
        <v>44196</v>
      </c>
      <c r="J9" s="18"/>
    </row>
    <row r="10" spans="1:10" x14ac:dyDescent="0.2">
      <c r="A10" s="20"/>
      <c r="B10" s="17" t="s">
        <v>40</v>
      </c>
      <c r="C10" s="17"/>
      <c r="D10" s="36">
        <v>1000000</v>
      </c>
      <c r="E10" s="17"/>
      <c r="F10" s="17" t="s">
        <v>40</v>
      </c>
      <c r="G10" s="17"/>
      <c r="H10" s="36"/>
      <c r="I10" s="36">
        <v>25000000</v>
      </c>
      <c r="J10" s="18"/>
    </row>
    <row r="11" spans="1:10" x14ac:dyDescent="0.2">
      <c r="A11" s="20"/>
      <c r="B11" s="17" t="s">
        <v>41</v>
      </c>
      <c r="C11" s="17"/>
      <c r="D11" s="36">
        <v>2000000</v>
      </c>
      <c r="E11" s="17"/>
      <c r="F11" s="17" t="s">
        <v>41</v>
      </c>
      <c r="G11" s="17"/>
      <c r="H11" s="36"/>
      <c r="I11" s="36">
        <v>75000000</v>
      </c>
      <c r="J11" s="18"/>
    </row>
    <row r="12" spans="1:10" x14ac:dyDescent="0.2">
      <c r="A12" s="20"/>
      <c r="B12" s="17" t="s">
        <v>86</v>
      </c>
      <c r="C12" s="17"/>
      <c r="D12" s="17"/>
      <c r="E12" s="17"/>
      <c r="F12" s="17" t="s">
        <v>88</v>
      </c>
      <c r="G12" s="17"/>
      <c r="H12" s="125"/>
      <c r="I12" s="126">
        <v>0.8</v>
      </c>
      <c r="J12" s="18"/>
    </row>
    <row r="13" spans="1:10" x14ac:dyDescent="0.2">
      <c r="A13" s="20"/>
      <c r="B13" s="17" t="s">
        <v>170</v>
      </c>
      <c r="C13" s="17"/>
      <c r="D13" s="17"/>
      <c r="E13" s="17"/>
      <c r="F13" s="17" t="s">
        <v>170</v>
      </c>
      <c r="G13" s="17"/>
      <c r="H13" s="125"/>
      <c r="I13" s="126"/>
      <c r="J13" s="18"/>
    </row>
    <row r="14" spans="1:10" x14ac:dyDescent="0.2">
      <c r="A14" s="20"/>
      <c r="B14" s="17" t="s">
        <v>230</v>
      </c>
      <c r="C14" s="17"/>
      <c r="D14" s="17"/>
      <c r="E14" s="17"/>
      <c r="F14" s="17" t="s">
        <v>87</v>
      </c>
      <c r="G14" s="17"/>
      <c r="H14" s="17"/>
      <c r="I14" s="17"/>
      <c r="J14" s="18"/>
    </row>
    <row r="15" spans="1:10" x14ac:dyDescent="0.2">
      <c r="A15" s="20"/>
      <c r="B15" s="17" t="s">
        <v>231</v>
      </c>
      <c r="C15" s="17"/>
      <c r="D15" s="17"/>
      <c r="E15" s="17"/>
      <c r="F15" s="17" t="s">
        <v>104</v>
      </c>
      <c r="G15" s="17"/>
      <c r="H15" s="17"/>
      <c r="I15" s="17"/>
      <c r="J15" s="18"/>
    </row>
    <row r="16" spans="1:10" x14ac:dyDescent="0.2">
      <c r="A16" s="20"/>
      <c r="B16" s="17"/>
      <c r="C16" s="17"/>
      <c r="D16" s="17"/>
      <c r="E16" s="17"/>
      <c r="F16" s="17"/>
      <c r="G16" s="17"/>
      <c r="H16" s="17"/>
      <c r="I16" s="17"/>
      <c r="J16" s="18"/>
    </row>
    <row r="17" spans="1:10" x14ac:dyDescent="0.2">
      <c r="A17" s="20"/>
      <c r="B17" s="17" t="s">
        <v>89</v>
      </c>
      <c r="C17" s="17"/>
      <c r="D17" s="17"/>
      <c r="E17" s="17"/>
      <c r="F17" s="17"/>
      <c r="G17" s="17"/>
      <c r="H17" s="17"/>
      <c r="I17" s="17"/>
      <c r="J17" s="18"/>
    </row>
    <row r="18" spans="1:10" x14ac:dyDescent="0.2">
      <c r="A18" s="20"/>
      <c r="B18" s="17"/>
      <c r="C18" s="17"/>
      <c r="D18" s="17"/>
      <c r="E18" s="17"/>
      <c r="F18" s="17"/>
      <c r="G18" s="17"/>
      <c r="H18" s="17"/>
      <c r="I18" s="17"/>
      <c r="J18" s="18"/>
    </row>
    <row r="19" spans="1:10" ht="31" customHeight="1" x14ac:dyDescent="0.2">
      <c r="A19" s="20"/>
      <c r="B19" s="17"/>
      <c r="C19" s="74" t="s">
        <v>96</v>
      </c>
      <c r="D19" s="104" t="s">
        <v>94</v>
      </c>
      <c r="E19" s="105" t="s">
        <v>95</v>
      </c>
      <c r="F19" s="17"/>
      <c r="G19" s="17"/>
      <c r="H19" s="17"/>
      <c r="I19" s="17"/>
      <c r="J19" s="18"/>
    </row>
    <row r="20" spans="1:10" x14ac:dyDescent="0.2">
      <c r="A20" s="20"/>
      <c r="B20" s="17"/>
      <c r="C20" s="111">
        <v>2020</v>
      </c>
      <c r="D20" s="106">
        <v>380000</v>
      </c>
      <c r="E20" s="32">
        <v>340000</v>
      </c>
      <c r="F20" s="17"/>
      <c r="G20" s="17"/>
      <c r="H20" s="17"/>
      <c r="I20" s="17"/>
      <c r="J20" s="18"/>
    </row>
    <row r="21" spans="1:10" x14ac:dyDescent="0.2">
      <c r="A21" s="20"/>
      <c r="B21" s="17"/>
      <c r="C21" s="17"/>
      <c r="D21" s="17"/>
      <c r="E21" s="17"/>
      <c r="F21" s="17"/>
      <c r="G21" s="17"/>
      <c r="H21" s="17"/>
      <c r="I21" s="17"/>
      <c r="J21" s="18"/>
    </row>
    <row r="22" spans="1:10" x14ac:dyDescent="0.2">
      <c r="A22" s="20"/>
      <c r="B22" s="167" t="s">
        <v>100</v>
      </c>
      <c r="C22" s="175"/>
      <c r="D22" s="175"/>
      <c r="E22" s="175"/>
      <c r="F22" s="175"/>
      <c r="G22" s="168"/>
      <c r="H22" s="17"/>
      <c r="I22" s="17"/>
      <c r="J22" s="18"/>
    </row>
    <row r="23" spans="1:10" ht="34" x14ac:dyDescent="0.2">
      <c r="A23" s="20"/>
      <c r="B23" s="74" t="s">
        <v>163</v>
      </c>
      <c r="C23" s="104" t="s">
        <v>97</v>
      </c>
      <c r="D23" s="104" t="s">
        <v>94</v>
      </c>
      <c r="E23" s="104" t="s">
        <v>95</v>
      </c>
      <c r="F23" s="184" t="s">
        <v>98</v>
      </c>
      <c r="G23" s="185"/>
      <c r="H23" s="17"/>
      <c r="I23" s="17"/>
      <c r="J23" s="18"/>
    </row>
    <row r="24" spans="1:10" x14ac:dyDescent="0.2">
      <c r="A24" s="20"/>
      <c r="B24" s="27">
        <v>1</v>
      </c>
      <c r="C24" s="113">
        <v>43959</v>
      </c>
      <c r="D24" s="33">
        <v>1200</v>
      </c>
      <c r="E24" s="33">
        <v>1200</v>
      </c>
      <c r="F24" s="127" t="s">
        <v>103</v>
      </c>
      <c r="G24" s="128"/>
      <c r="H24" s="17"/>
      <c r="I24" s="17"/>
      <c r="J24" s="18"/>
    </row>
    <row r="25" spans="1:10" x14ac:dyDescent="0.2">
      <c r="A25" s="20"/>
      <c r="B25" s="27">
        <v>2</v>
      </c>
      <c r="C25" s="113">
        <v>44028</v>
      </c>
      <c r="D25" s="33">
        <v>3000</v>
      </c>
      <c r="E25" s="33">
        <v>2750</v>
      </c>
      <c r="F25" s="127" t="s">
        <v>101</v>
      </c>
      <c r="G25" s="128"/>
      <c r="H25" s="17"/>
      <c r="I25" s="17"/>
      <c r="J25" s="18"/>
    </row>
    <row r="26" spans="1:10" x14ac:dyDescent="0.2">
      <c r="A26" s="20"/>
      <c r="B26" s="27">
        <v>3</v>
      </c>
      <c r="C26" s="113">
        <v>44032</v>
      </c>
      <c r="D26" s="33">
        <v>1700</v>
      </c>
      <c r="E26" s="33">
        <v>1500</v>
      </c>
      <c r="F26" s="127" t="s">
        <v>162</v>
      </c>
      <c r="G26" s="128"/>
      <c r="H26" s="17"/>
      <c r="I26" s="17"/>
      <c r="J26" s="18"/>
    </row>
    <row r="27" spans="1:10" x14ac:dyDescent="0.2">
      <c r="A27" s="20"/>
      <c r="B27" s="27">
        <v>4</v>
      </c>
      <c r="C27" s="113">
        <v>44038</v>
      </c>
      <c r="D27" s="33">
        <v>4500</v>
      </c>
      <c r="E27" s="33">
        <v>4000</v>
      </c>
      <c r="F27" s="127" t="s">
        <v>101</v>
      </c>
      <c r="G27" s="128"/>
      <c r="H27" s="17"/>
      <c r="I27" s="17"/>
      <c r="J27" s="18"/>
    </row>
    <row r="28" spans="1:10" x14ac:dyDescent="0.2">
      <c r="A28" s="20"/>
      <c r="B28" s="30">
        <v>5</v>
      </c>
      <c r="C28" s="114">
        <v>44076</v>
      </c>
      <c r="D28" s="106">
        <v>1900</v>
      </c>
      <c r="E28" s="106">
        <v>1000</v>
      </c>
      <c r="F28" s="129" t="s">
        <v>102</v>
      </c>
      <c r="G28" s="130"/>
      <c r="H28" s="17"/>
      <c r="I28" s="17"/>
      <c r="J28" s="18"/>
    </row>
    <row r="29" spans="1:10" x14ac:dyDescent="0.2">
      <c r="A29" s="20"/>
      <c r="B29" s="17"/>
      <c r="C29" s="33"/>
      <c r="D29" s="33"/>
      <c r="E29" s="33"/>
      <c r="F29" s="17"/>
      <c r="G29" s="17"/>
      <c r="H29" s="17"/>
      <c r="I29" s="17"/>
      <c r="J29" s="18"/>
    </row>
    <row r="30" spans="1:10" x14ac:dyDescent="0.2">
      <c r="A30" s="20"/>
      <c r="B30" s="166" t="s">
        <v>232</v>
      </c>
      <c r="C30" s="166"/>
      <c r="D30" s="166"/>
      <c r="E30" s="166"/>
      <c r="F30" s="166"/>
      <c r="G30" s="166"/>
      <c r="H30" s="166"/>
      <c r="I30" s="166"/>
      <c r="J30" s="18"/>
    </row>
    <row r="31" spans="1:10" x14ac:dyDescent="0.2">
      <c r="A31" s="20"/>
      <c r="B31" s="166"/>
      <c r="C31" s="166"/>
      <c r="D31" s="166"/>
      <c r="E31" s="166"/>
      <c r="F31" s="166"/>
      <c r="G31" s="166"/>
      <c r="H31" s="166"/>
      <c r="I31" s="166"/>
      <c r="J31" s="18"/>
    </row>
    <row r="32" spans="1:10" x14ac:dyDescent="0.2">
      <c r="A32" s="20"/>
      <c r="B32" s="17"/>
      <c r="C32" s="33"/>
      <c r="D32" s="33"/>
      <c r="E32" s="33"/>
      <c r="F32" s="17"/>
      <c r="G32" s="17"/>
      <c r="H32" s="17"/>
      <c r="I32" s="17"/>
      <c r="J32" s="18"/>
    </row>
    <row r="33" spans="1:10" ht="34" x14ac:dyDescent="0.2">
      <c r="A33" s="20"/>
      <c r="B33" s="17"/>
      <c r="C33" s="74" t="s">
        <v>105</v>
      </c>
      <c r="D33" s="104" t="s">
        <v>94</v>
      </c>
      <c r="E33" s="105" t="s">
        <v>95</v>
      </c>
      <c r="F33" s="17"/>
      <c r="G33" s="17"/>
      <c r="H33" s="17"/>
      <c r="I33" s="17"/>
      <c r="J33" s="18"/>
    </row>
    <row r="34" spans="1:10" x14ac:dyDescent="0.2">
      <c r="A34" s="20"/>
      <c r="B34" s="17"/>
      <c r="C34" s="111" t="s">
        <v>101</v>
      </c>
      <c r="D34" s="106">
        <v>100000</v>
      </c>
      <c r="E34" s="32">
        <v>80000</v>
      </c>
      <c r="F34" s="17"/>
      <c r="G34" s="17"/>
      <c r="H34" s="17"/>
      <c r="I34" s="17"/>
      <c r="J34" s="18"/>
    </row>
    <row r="35" spans="1:10" x14ac:dyDescent="0.2">
      <c r="A35" s="20"/>
      <c r="B35" s="17"/>
      <c r="C35" s="33"/>
      <c r="D35" s="33"/>
      <c r="E35" s="33"/>
      <c r="F35" s="17"/>
      <c r="G35" s="17"/>
      <c r="H35" s="17"/>
      <c r="I35" s="17"/>
      <c r="J35" s="18"/>
    </row>
    <row r="36" spans="1:10" x14ac:dyDescent="0.2">
      <c r="A36" s="20"/>
      <c r="B36" s="17" t="s">
        <v>106</v>
      </c>
      <c r="C36" s="17"/>
      <c r="D36" s="17"/>
      <c r="E36" s="17"/>
      <c r="F36" s="17"/>
      <c r="G36" s="17"/>
      <c r="H36" s="17"/>
      <c r="I36" s="17"/>
      <c r="J36" s="18"/>
    </row>
    <row r="37" spans="1:10" x14ac:dyDescent="0.2">
      <c r="A37" s="20"/>
      <c r="B37" s="17"/>
      <c r="C37" s="17"/>
      <c r="D37" s="17"/>
      <c r="E37" s="17"/>
      <c r="F37" s="17"/>
      <c r="G37" s="17"/>
      <c r="H37" s="17"/>
      <c r="I37" s="17"/>
      <c r="J37" s="18"/>
    </row>
    <row r="38" spans="1:10" ht="16" customHeight="1" x14ac:dyDescent="0.2">
      <c r="A38" s="20"/>
      <c r="B38" s="17" t="s">
        <v>107</v>
      </c>
      <c r="C38" s="90"/>
      <c r="D38" s="90"/>
      <c r="E38" s="90"/>
      <c r="F38" s="90"/>
      <c r="G38" s="90"/>
      <c r="H38" s="90"/>
      <c r="I38" s="90"/>
      <c r="J38" s="18"/>
    </row>
    <row r="39" spans="1:10" ht="17" thickBot="1" x14ac:dyDescent="0.25">
      <c r="A39" s="39"/>
      <c r="B39" s="40"/>
      <c r="C39" s="41"/>
      <c r="D39" s="41"/>
      <c r="E39" s="41"/>
      <c r="F39" s="40"/>
      <c r="G39" s="40"/>
      <c r="H39" s="40"/>
      <c r="I39" s="40"/>
      <c r="J39" s="42"/>
    </row>
    <row r="41" spans="1:10" ht="19" x14ac:dyDescent="0.25">
      <c r="A41" s="3" t="s">
        <v>1</v>
      </c>
    </row>
    <row r="42" spans="1:10" x14ac:dyDescent="0.2">
      <c r="A42" s="8" t="s">
        <v>246</v>
      </c>
      <c r="C42" s="43"/>
    </row>
    <row r="43" spans="1:10" ht="16" customHeight="1" x14ac:dyDescent="0.2">
      <c r="A43" s="12" t="s">
        <v>20</v>
      </c>
      <c r="B43" s="164" t="s">
        <v>58</v>
      </c>
      <c r="C43" s="164"/>
      <c r="D43" s="164"/>
      <c r="E43" s="164"/>
      <c r="F43" s="164"/>
      <c r="G43" s="164"/>
      <c r="H43" s="164"/>
      <c r="I43" s="164"/>
    </row>
    <row r="44" spans="1:10" ht="16" customHeight="1" x14ac:dyDescent="0.25">
      <c r="A44" s="5"/>
      <c r="B44" s="164"/>
      <c r="C44" s="164"/>
      <c r="D44" s="164"/>
      <c r="E44" s="164"/>
      <c r="F44" s="164"/>
      <c r="G44" s="164"/>
      <c r="H44" s="164"/>
      <c r="I44" s="164"/>
    </row>
    <row r="45" spans="1:10" ht="16" customHeight="1" x14ac:dyDescent="0.25">
      <c r="A45" s="5"/>
    </row>
    <row r="46" spans="1:10" ht="16" customHeight="1" x14ac:dyDescent="0.25">
      <c r="A46" s="5"/>
      <c r="B46" s="9" t="s">
        <v>57</v>
      </c>
      <c r="G46" s="176" t="s">
        <v>245</v>
      </c>
      <c r="H46" s="176"/>
      <c r="I46" s="176"/>
    </row>
    <row r="47" spans="1:10" ht="16" customHeight="1" x14ac:dyDescent="0.25">
      <c r="A47" s="5"/>
      <c r="B47" s="176" t="s">
        <v>59</v>
      </c>
      <c r="C47" s="176"/>
      <c r="D47" s="176"/>
      <c r="E47" s="176"/>
      <c r="G47" s="176"/>
      <c r="H47" s="176"/>
      <c r="I47" s="176"/>
    </row>
    <row r="48" spans="1:10" ht="16" customHeight="1" x14ac:dyDescent="0.25">
      <c r="A48" s="5"/>
      <c r="B48" s="176"/>
      <c r="C48" s="176"/>
      <c r="D48" s="176"/>
      <c r="E48" s="176"/>
      <c r="G48" s="119"/>
      <c r="H48" s="119"/>
      <c r="I48" s="119"/>
    </row>
    <row r="49" spans="1:12" ht="16" customHeight="1" x14ac:dyDescent="0.25">
      <c r="A49" s="5"/>
      <c r="B49" s="120"/>
      <c r="C49" s="120"/>
      <c r="D49" s="120"/>
      <c r="E49" s="120"/>
      <c r="G49" s="44" t="s">
        <v>163</v>
      </c>
      <c r="H49" s="45" t="s">
        <v>63</v>
      </c>
      <c r="L49" s="6"/>
    </row>
    <row r="50" spans="1:12" ht="16" customHeight="1" x14ac:dyDescent="0.25">
      <c r="A50" s="5"/>
      <c r="G50" s="46">
        <v>1</v>
      </c>
      <c r="H50" s="47" t="s">
        <v>65</v>
      </c>
      <c r="L50" s="6"/>
    </row>
    <row r="51" spans="1:12" ht="16" customHeight="1" x14ac:dyDescent="0.25">
      <c r="A51" s="5"/>
      <c r="B51" s="9" t="s">
        <v>60</v>
      </c>
      <c r="G51" s="46">
        <v>2</v>
      </c>
      <c r="H51" s="47" t="s">
        <v>65</v>
      </c>
      <c r="L51" s="6"/>
    </row>
    <row r="52" spans="1:12" ht="16" customHeight="1" x14ac:dyDescent="0.25">
      <c r="A52" s="5"/>
      <c r="B52" s="176" t="s">
        <v>61</v>
      </c>
      <c r="C52" s="176"/>
      <c r="D52" s="176"/>
      <c r="E52" s="176"/>
      <c r="G52" s="46">
        <v>3</v>
      </c>
      <c r="H52" s="47" t="s">
        <v>65</v>
      </c>
    </row>
    <row r="53" spans="1:12" ht="16" customHeight="1" x14ac:dyDescent="0.25">
      <c r="A53" s="5"/>
      <c r="B53" s="176"/>
      <c r="C53" s="176"/>
      <c r="D53" s="176"/>
      <c r="E53" s="176"/>
      <c r="G53" s="46">
        <v>4</v>
      </c>
      <c r="H53" s="47" t="s">
        <v>65</v>
      </c>
    </row>
    <row r="54" spans="1:12" ht="16" customHeight="1" x14ac:dyDescent="0.25">
      <c r="A54" s="5"/>
      <c r="G54" s="46">
        <v>5</v>
      </c>
      <c r="H54" s="47" t="s">
        <v>64</v>
      </c>
    </row>
    <row r="55" spans="1:12" ht="16" customHeight="1" x14ac:dyDescent="0.25">
      <c r="A55" s="5"/>
      <c r="G55" s="47"/>
      <c r="H55" s="47"/>
    </row>
    <row r="56" spans="1:12" ht="16" customHeight="1" x14ac:dyDescent="0.25">
      <c r="A56" s="5"/>
      <c r="G56" s="186" t="s">
        <v>274</v>
      </c>
      <c r="H56" s="186"/>
      <c r="I56" s="186"/>
    </row>
    <row r="57" spans="1:12" ht="16" customHeight="1" x14ac:dyDescent="0.25">
      <c r="A57" s="5"/>
      <c r="G57" s="186"/>
      <c r="H57" s="186"/>
      <c r="I57" s="186"/>
    </row>
    <row r="58" spans="1:12" ht="16" customHeight="1" x14ac:dyDescent="0.25">
      <c r="A58" s="5"/>
      <c r="G58" s="144"/>
      <c r="H58" s="144"/>
      <c r="I58" s="144"/>
    </row>
    <row r="59" spans="1:12" ht="16" customHeight="1" x14ac:dyDescent="0.2">
      <c r="A59" s="12" t="s">
        <v>22</v>
      </c>
      <c r="B59" s="164" t="s">
        <v>66</v>
      </c>
      <c r="C59" s="164"/>
      <c r="D59" s="164"/>
      <c r="E59" s="164"/>
      <c r="F59" s="164"/>
      <c r="G59" s="164"/>
      <c r="H59" s="164"/>
      <c r="I59" s="164"/>
    </row>
    <row r="60" spans="1:12" ht="16" customHeight="1" x14ac:dyDescent="0.25">
      <c r="A60" s="5"/>
      <c r="B60" s="164"/>
      <c r="C60" s="164"/>
      <c r="D60" s="164"/>
      <c r="E60" s="164"/>
      <c r="F60" s="164"/>
      <c r="G60" s="164"/>
      <c r="H60" s="164"/>
      <c r="I60" s="164"/>
      <c r="L60" s="6"/>
    </row>
    <row r="61" spans="1:12" ht="16" customHeight="1" x14ac:dyDescent="0.25">
      <c r="A61" s="5"/>
      <c r="L61" s="6"/>
    </row>
    <row r="62" spans="1:12" ht="16" customHeight="1" x14ac:dyDescent="0.25">
      <c r="A62" s="5"/>
      <c r="G62" s="91"/>
      <c r="H62" s="180" t="s">
        <v>275</v>
      </c>
      <c r="I62" s="180" t="s">
        <v>276</v>
      </c>
      <c r="L62" s="6"/>
    </row>
    <row r="63" spans="1:12" ht="16" customHeight="1" x14ac:dyDescent="0.25">
      <c r="A63" s="5"/>
      <c r="G63" s="44" t="s">
        <v>163</v>
      </c>
      <c r="H63" s="181"/>
      <c r="I63" s="181"/>
    </row>
    <row r="64" spans="1:12" ht="16" customHeight="1" x14ac:dyDescent="0.25">
      <c r="A64" s="5"/>
      <c r="G64" s="46">
        <v>1</v>
      </c>
      <c r="H64" s="47">
        <f>MAX(MIN(D24-$D$10/1000,$D$11/1000),0)</f>
        <v>200</v>
      </c>
      <c r="I64" s="47">
        <f>MAX(MIN(E24-$D$10/1000,$D$11/1000),0)</f>
        <v>200</v>
      </c>
    </row>
    <row r="65" spans="1:12" ht="16" customHeight="1" x14ac:dyDescent="0.25">
      <c r="A65" s="5"/>
      <c r="B65" s="9" t="s">
        <v>28</v>
      </c>
      <c r="G65" s="46">
        <v>2</v>
      </c>
      <c r="H65" s="47">
        <f>MAX(MIN(D25-$D$10/1000,$D$11/1000),0)</f>
        <v>2000</v>
      </c>
      <c r="I65" s="47">
        <f>MAX(MIN(E25-$D$10/1000,$D$11/1000),0)</f>
        <v>1750</v>
      </c>
    </row>
    <row r="66" spans="1:12" ht="16" customHeight="1" x14ac:dyDescent="0.25">
      <c r="A66" s="5"/>
      <c r="B66" s="52" t="s">
        <v>166</v>
      </c>
      <c r="G66" s="46">
        <v>3</v>
      </c>
      <c r="H66" s="47">
        <f t="shared" ref="H66:I67" si="0">MAX(MIN(D26-$D$10/1000,$D$11/1000),0)</f>
        <v>700</v>
      </c>
      <c r="I66" s="47">
        <f t="shared" si="0"/>
        <v>500</v>
      </c>
    </row>
    <row r="67" spans="1:12" ht="16" customHeight="1" x14ac:dyDescent="0.25">
      <c r="A67" s="5"/>
      <c r="G67" s="46">
        <v>4</v>
      </c>
      <c r="H67" s="47">
        <f>MAX(MIN(D27-$D$10/1000,$D$11/1000),0)</f>
        <v>2000</v>
      </c>
      <c r="I67" s="47">
        <f t="shared" si="0"/>
        <v>2000</v>
      </c>
    </row>
    <row r="68" spans="1:12" ht="16" customHeight="1" x14ac:dyDescent="0.2">
      <c r="A68" s="4"/>
      <c r="G68" s="124">
        <v>5</v>
      </c>
      <c r="H68" s="123">
        <v>0</v>
      </c>
      <c r="I68" s="123">
        <v>0</v>
      </c>
      <c r="L68" s="6"/>
    </row>
    <row r="69" spans="1:12" ht="16" customHeight="1" x14ac:dyDescent="0.2">
      <c r="A69" s="4"/>
      <c r="G69" s="46" t="s">
        <v>144</v>
      </c>
      <c r="H69" s="47">
        <f>SUM(H64:H68)</f>
        <v>4900</v>
      </c>
      <c r="I69" s="47">
        <f>SUM(I64:I68)</f>
        <v>4450</v>
      </c>
      <c r="L69" s="6"/>
    </row>
    <row r="70" spans="1:12" ht="16" customHeight="1" x14ac:dyDescent="0.2">
      <c r="A70" s="4"/>
      <c r="L70" s="6"/>
    </row>
    <row r="71" spans="1:12" ht="16" customHeight="1" x14ac:dyDescent="0.2">
      <c r="A71" s="8" t="s">
        <v>108</v>
      </c>
      <c r="L71" s="6"/>
    </row>
    <row r="72" spans="1:12" ht="16" customHeight="1" x14ac:dyDescent="0.2">
      <c r="A72" s="12" t="s">
        <v>77</v>
      </c>
      <c r="B72" s="164" t="s">
        <v>167</v>
      </c>
      <c r="C72" s="164"/>
      <c r="D72" s="164"/>
      <c r="E72" s="164"/>
      <c r="F72" s="164"/>
      <c r="G72" s="164"/>
      <c r="H72" s="164"/>
      <c r="I72" s="164"/>
    </row>
    <row r="73" spans="1:12" ht="16" customHeight="1" x14ac:dyDescent="0.2">
      <c r="A73" s="4"/>
      <c r="B73" s="164"/>
      <c r="C73" s="164"/>
      <c r="D73" s="164"/>
      <c r="E73" s="164"/>
      <c r="F73" s="164"/>
      <c r="G73" s="164"/>
      <c r="H73" s="164"/>
      <c r="I73" s="164"/>
    </row>
    <row r="74" spans="1:12" ht="16" customHeight="1" x14ac:dyDescent="0.2">
      <c r="A74" s="4"/>
    </row>
    <row r="75" spans="1:12" ht="16" customHeight="1" x14ac:dyDescent="0.2">
      <c r="A75" s="4"/>
    </row>
    <row r="76" spans="1:12" ht="16" customHeight="1" x14ac:dyDescent="0.2">
      <c r="A76" s="4"/>
    </row>
    <row r="77" spans="1:12" ht="16" customHeight="1" x14ac:dyDescent="0.2">
      <c r="A77" s="4"/>
      <c r="L77" s="6"/>
    </row>
    <row r="78" spans="1:12" ht="16" customHeight="1" x14ac:dyDescent="0.2">
      <c r="A78" s="4"/>
      <c r="L78" s="6"/>
    </row>
    <row r="79" spans="1:12" ht="16" customHeight="1" x14ac:dyDescent="0.2">
      <c r="A79" s="4"/>
      <c r="B79" s="4" t="s">
        <v>169</v>
      </c>
      <c r="L79" s="6"/>
    </row>
    <row r="80" spans="1:12" ht="16" customHeight="1" x14ac:dyDescent="0.2">
      <c r="A80" s="4"/>
      <c r="L80" s="6"/>
    </row>
    <row r="81" spans="1:12" ht="16" customHeight="1" x14ac:dyDescent="0.2">
      <c r="A81" s="4"/>
      <c r="C81" s="165" t="s">
        <v>168</v>
      </c>
      <c r="D81" s="165"/>
      <c r="E81" s="165"/>
      <c r="L81" s="6"/>
    </row>
    <row r="82" spans="1:12" ht="16" customHeight="1" x14ac:dyDescent="0.2">
      <c r="A82" s="4"/>
      <c r="C82" s="44" t="s">
        <v>105</v>
      </c>
      <c r="D82" s="45" t="s">
        <v>164</v>
      </c>
      <c r="E82" s="45" t="s">
        <v>165</v>
      </c>
      <c r="L82" s="6"/>
    </row>
    <row r="83" spans="1:12" ht="16" customHeight="1" x14ac:dyDescent="0.2">
      <c r="A83" s="4"/>
      <c r="C83" s="46" t="s">
        <v>101</v>
      </c>
      <c r="D83" s="47">
        <f>D34-SUM(H65,H67)</f>
        <v>96000</v>
      </c>
      <c r="E83" s="47">
        <f>E34-SUM(I65,I67)</f>
        <v>76250</v>
      </c>
      <c r="L83" s="6"/>
    </row>
    <row r="84" spans="1:12" ht="16" customHeight="1" x14ac:dyDescent="0.2">
      <c r="A84" s="4"/>
      <c r="L84" s="6"/>
    </row>
    <row r="85" spans="1:12" ht="16" customHeight="1" x14ac:dyDescent="0.2">
      <c r="A85" s="12" t="s">
        <v>76</v>
      </c>
      <c r="B85" s="164" t="s">
        <v>171</v>
      </c>
      <c r="C85" s="164"/>
      <c r="D85" s="164"/>
      <c r="E85" s="164"/>
      <c r="F85" s="164"/>
      <c r="G85" s="164"/>
      <c r="H85" s="164"/>
      <c r="I85" s="164"/>
    </row>
    <row r="86" spans="1:12" ht="16" customHeight="1" x14ac:dyDescent="0.2">
      <c r="A86" s="4"/>
      <c r="B86" s="164"/>
      <c r="C86" s="164"/>
      <c r="D86" s="164"/>
      <c r="E86" s="164"/>
      <c r="F86" s="164"/>
      <c r="G86" s="164"/>
      <c r="H86" s="164"/>
      <c r="I86" s="164"/>
    </row>
    <row r="87" spans="1:12" ht="16" customHeight="1" x14ac:dyDescent="0.2">
      <c r="A87" s="4"/>
      <c r="B87" s="164"/>
      <c r="C87" s="164"/>
      <c r="D87" s="164"/>
      <c r="E87" s="164"/>
      <c r="F87" s="164"/>
      <c r="G87" s="164"/>
      <c r="H87" s="164"/>
      <c r="I87" s="164"/>
    </row>
    <row r="88" spans="1:12" ht="16" customHeight="1" x14ac:dyDescent="0.2">
      <c r="A88" s="4"/>
      <c r="G88" s="6"/>
      <c r="H88" s="6"/>
      <c r="I88" s="6"/>
      <c r="J88" s="6"/>
      <c r="K88" s="6"/>
    </row>
    <row r="89" spans="1:12" ht="16" customHeight="1" x14ac:dyDescent="0.2">
      <c r="A89" s="4"/>
      <c r="G89" s="6"/>
      <c r="H89" s="6"/>
      <c r="I89" s="6"/>
      <c r="J89" s="6"/>
      <c r="K89" s="6"/>
    </row>
    <row r="90" spans="1:12" ht="16" customHeight="1" x14ac:dyDescent="0.2">
      <c r="A90" s="4"/>
      <c r="B90" s="9" t="s">
        <v>28</v>
      </c>
      <c r="G90" s="6"/>
      <c r="H90" s="6"/>
      <c r="I90" s="6"/>
      <c r="J90" s="6"/>
      <c r="K90" s="6"/>
    </row>
    <row r="91" spans="1:12" ht="16" customHeight="1" x14ac:dyDescent="0.2">
      <c r="A91" s="4"/>
      <c r="B91" s="52" t="s">
        <v>247</v>
      </c>
      <c r="G91" s="6"/>
      <c r="H91" s="6"/>
      <c r="I91" s="6"/>
      <c r="J91" s="6"/>
      <c r="K91" s="6"/>
    </row>
    <row r="92" spans="1:12" ht="16" customHeight="1" x14ac:dyDescent="0.2">
      <c r="A92" s="4"/>
      <c r="G92" s="6"/>
      <c r="H92" s="6"/>
      <c r="I92" s="6"/>
      <c r="J92" s="6"/>
      <c r="K92" s="6"/>
      <c r="L92" s="6"/>
    </row>
    <row r="93" spans="1:12" ht="16" customHeight="1" x14ac:dyDescent="0.2">
      <c r="A93" s="4"/>
      <c r="C93" s="91"/>
      <c r="D93" s="178" t="s">
        <v>275</v>
      </c>
      <c r="E93" s="180" t="s">
        <v>276</v>
      </c>
      <c r="F93" s="6"/>
      <c r="G93" s="6"/>
      <c r="H93" s="6"/>
      <c r="I93" s="6"/>
      <c r="J93" s="6"/>
      <c r="K93" s="6"/>
    </row>
    <row r="94" spans="1:12" ht="16" customHeight="1" x14ac:dyDescent="0.2">
      <c r="A94" s="4"/>
      <c r="C94" s="44" t="s">
        <v>105</v>
      </c>
      <c r="D94" s="179"/>
      <c r="E94" s="181"/>
      <c r="F94" s="6"/>
      <c r="G94" s="6"/>
      <c r="H94" s="6"/>
      <c r="I94" s="6"/>
      <c r="J94" s="6"/>
      <c r="K94" s="6"/>
    </row>
    <row r="95" spans="1:12" ht="16" customHeight="1" x14ac:dyDescent="0.2">
      <c r="A95" s="4"/>
      <c r="C95" s="46" t="s">
        <v>101</v>
      </c>
      <c r="D95" s="47">
        <f>$I$12*MAX(MIN(D83-$I$10/1000,$I$11/1000),0)</f>
        <v>56800</v>
      </c>
      <c r="E95" s="47">
        <f>$I$12*MAX(MIN(E83-$I$10/1000,$I$11/1000),0)</f>
        <v>41000</v>
      </c>
      <c r="F95" s="6"/>
      <c r="G95" s="6"/>
      <c r="H95" s="6"/>
      <c r="I95" s="6"/>
      <c r="J95" s="6"/>
      <c r="K95" s="6"/>
    </row>
    <row r="96" spans="1:12" ht="16" customHeight="1" x14ac:dyDescent="0.2">
      <c r="A96" s="4"/>
      <c r="G96" s="6"/>
      <c r="H96" s="6"/>
      <c r="I96" s="6"/>
      <c r="J96" s="6"/>
      <c r="K96" s="6"/>
      <c r="L96" s="6"/>
    </row>
    <row r="97" spans="1:65" ht="16" customHeight="1" x14ac:dyDescent="0.2">
      <c r="A97" s="8" t="s">
        <v>172</v>
      </c>
      <c r="L97" s="6"/>
    </row>
    <row r="98" spans="1:65" x14ac:dyDescent="0.2">
      <c r="A98" s="12" t="s">
        <v>75</v>
      </c>
      <c r="B98" s="4" t="s">
        <v>173</v>
      </c>
      <c r="C98" s="43"/>
    </row>
    <row r="99" spans="1:65" x14ac:dyDescent="0.2">
      <c r="A99" s="4"/>
      <c r="L99" s="6"/>
      <c r="M99" s="6"/>
      <c r="N99" s="6"/>
    </row>
    <row r="100" spans="1:65" x14ac:dyDescent="0.2">
      <c r="A100" s="4"/>
      <c r="L100" s="6"/>
      <c r="M100" s="6"/>
      <c r="N100" s="6"/>
    </row>
    <row r="101" spans="1:65" ht="16" customHeight="1" x14ac:dyDescent="0.2">
      <c r="A101" s="4"/>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x14ac:dyDescent="0.2">
      <c r="A102" s="4"/>
      <c r="D102" s="165" t="s">
        <v>174</v>
      </c>
      <c r="E102" s="165"/>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7" x14ac:dyDescent="0.2">
      <c r="A103" s="4"/>
      <c r="C103" s="44" t="s">
        <v>96</v>
      </c>
      <c r="D103" s="45" t="s">
        <v>164</v>
      </c>
      <c r="E103" s="45" t="s">
        <v>165</v>
      </c>
      <c r="I103" s="47"/>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x14ac:dyDescent="0.2">
      <c r="A104" s="4"/>
      <c r="C104" s="117">
        <f>C20</f>
        <v>2020</v>
      </c>
      <c r="D104" s="47">
        <f>D20-H69-D95</f>
        <v>318300</v>
      </c>
      <c r="E104" s="47">
        <f>E20-I69-E95</f>
        <v>294550</v>
      </c>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7" thickBot="1" x14ac:dyDescent="0.25">
      <c r="A105" s="4"/>
      <c r="F105" s="121"/>
      <c r="G105" s="47"/>
      <c r="H105" s="47"/>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7" thickBot="1" x14ac:dyDescent="0.25">
      <c r="A106" s="4"/>
      <c r="C106" s="182" t="s">
        <v>311</v>
      </c>
      <c r="D106" s="183"/>
      <c r="E106" s="145">
        <f>D20-H69-D95</f>
        <v>318300</v>
      </c>
      <c r="F106" s="121"/>
      <c r="G106" s="47"/>
      <c r="H106" s="47"/>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x14ac:dyDescent="0.2">
      <c r="A107" s="4"/>
      <c r="F107" s="121"/>
      <c r="G107" s="47"/>
      <c r="H107" s="47"/>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9" x14ac:dyDescent="0.25">
      <c r="A108" s="3" t="s">
        <v>2</v>
      </c>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6" customHeight="1" x14ac:dyDescent="0.25">
      <c r="A109" s="3"/>
      <c r="B109" s="19" t="s">
        <v>277</v>
      </c>
      <c r="C109" s="120"/>
      <c r="D109" s="120"/>
      <c r="E109" s="120"/>
      <c r="F109" s="120"/>
      <c r="G109" s="120"/>
      <c r="H109" s="120"/>
      <c r="I109" s="120"/>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6" customHeight="1" x14ac:dyDescent="0.25">
      <c r="A110" s="3"/>
      <c r="B110" s="176" t="s">
        <v>278</v>
      </c>
      <c r="C110" s="176"/>
      <c r="D110" s="176"/>
      <c r="E110" s="176"/>
      <c r="F110" s="176"/>
      <c r="G110" s="176"/>
      <c r="H110" s="176"/>
      <c r="I110" s="17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6" customHeight="1" x14ac:dyDescent="0.25">
      <c r="A111" s="3"/>
      <c r="B111" s="176"/>
      <c r="C111" s="176"/>
      <c r="D111" s="176"/>
      <c r="E111" s="176"/>
      <c r="F111" s="176"/>
      <c r="G111" s="176"/>
      <c r="H111" s="176"/>
      <c r="I111" s="17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6" customHeight="1" x14ac:dyDescent="0.25">
      <c r="A112" s="3"/>
      <c r="B112" s="19" t="s">
        <v>279</v>
      </c>
      <c r="C112" s="120"/>
      <c r="D112" s="120"/>
      <c r="E112" s="120"/>
      <c r="F112" s="120"/>
      <c r="G112" s="120"/>
      <c r="H112" s="120"/>
      <c r="I112" s="120"/>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6" customHeight="1" x14ac:dyDescent="0.25">
      <c r="A113" s="3"/>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9" x14ac:dyDescent="0.25">
      <c r="B114" s="7" t="s">
        <v>207</v>
      </c>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5.75" customHeight="1" x14ac:dyDescent="0.2">
      <c r="A115" s="6"/>
      <c r="B115" s="140" t="s">
        <v>280</v>
      </c>
      <c r="C115" s="53"/>
      <c r="D115" s="53"/>
      <c r="E115" s="53"/>
      <c r="F115" s="53"/>
      <c r="G115" s="53"/>
      <c r="H115" s="53"/>
      <c r="I115" s="53"/>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x14ac:dyDescent="0.2">
      <c r="A116" s="6"/>
      <c r="B116" s="53"/>
      <c r="C116" s="53"/>
      <c r="D116" s="53"/>
      <c r="E116" s="53"/>
      <c r="F116" s="53"/>
      <c r="G116" s="53"/>
      <c r="H116" s="53"/>
      <c r="I116" s="53"/>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x14ac:dyDescent="0.2">
      <c r="A117" s="6"/>
      <c r="B117" s="163" t="s">
        <v>281</v>
      </c>
      <c r="C117" s="163"/>
      <c r="D117" s="163"/>
      <c r="E117" s="163"/>
      <c r="F117" s="163"/>
      <c r="G117" s="163"/>
      <c r="H117" s="163"/>
      <c r="I117" s="163"/>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x14ac:dyDescent="0.2">
      <c r="A118" s="6"/>
      <c r="B118" s="163"/>
      <c r="C118" s="163"/>
      <c r="D118" s="163"/>
      <c r="E118" s="163"/>
      <c r="F118" s="163"/>
      <c r="G118" s="163"/>
      <c r="H118" s="163"/>
      <c r="I118" s="163"/>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x14ac:dyDescent="0.2">
      <c r="A119" s="6"/>
      <c r="B119" s="53"/>
      <c r="C119" s="53"/>
      <c r="D119" s="53"/>
      <c r="E119" s="53"/>
      <c r="F119" s="53"/>
      <c r="G119" s="53"/>
      <c r="H119" s="53"/>
      <c r="I119" s="53"/>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x14ac:dyDescent="0.2">
      <c r="A120" s="6"/>
      <c r="B120" s="163" t="s">
        <v>282</v>
      </c>
      <c r="C120" s="163"/>
      <c r="D120" s="163"/>
      <c r="E120" s="163"/>
      <c r="F120" s="163"/>
      <c r="G120" s="163"/>
      <c r="H120" s="163"/>
      <c r="I120" s="163"/>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x14ac:dyDescent="0.2">
      <c r="A121" s="6"/>
      <c r="B121" s="163"/>
      <c r="C121" s="163"/>
      <c r="D121" s="163"/>
      <c r="E121" s="163"/>
      <c r="F121" s="163"/>
      <c r="G121" s="163"/>
      <c r="H121" s="163"/>
      <c r="I121" s="163"/>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x14ac:dyDescent="0.2">
      <c r="A122" s="6"/>
      <c r="B122" s="163"/>
      <c r="C122" s="163"/>
      <c r="D122" s="163"/>
      <c r="E122" s="163"/>
      <c r="F122" s="163"/>
      <c r="G122" s="163"/>
      <c r="H122" s="163"/>
      <c r="I122" s="163"/>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x14ac:dyDescent="0.2">
      <c r="A123" s="6"/>
      <c r="B123" s="48"/>
      <c r="C123" s="48"/>
      <c r="D123" s="48"/>
      <c r="E123" s="48"/>
      <c r="F123" s="48"/>
      <c r="G123" s="48"/>
      <c r="H123" s="48"/>
      <c r="I123" s="48"/>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9" x14ac:dyDescent="0.25">
      <c r="A124" s="6"/>
      <c r="B124" s="7" t="s">
        <v>208</v>
      </c>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6" customHeight="1" x14ac:dyDescent="0.2">
      <c r="A125" s="6"/>
      <c r="B125" s="163" t="s">
        <v>283</v>
      </c>
      <c r="C125" s="163"/>
      <c r="D125" s="163"/>
      <c r="E125" s="163"/>
      <c r="F125" s="163"/>
      <c r="G125" s="163"/>
      <c r="H125" s="163"/>
      <c r="I125" s="163"/>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x14ac:dyDescent="0.2">
      <c r="A126" s="6"/>
      <c r="B126" s="163"/>
      <c r="C126" s="163"/>
      <c r="D126" s="163"/>
      <c r="E126" s="163"/>
      <c r="F126" s="163"/>
      <c r="G126" s="163"/>
      <c r="H126" s="163"/>
      <c r="I126" s="163"/>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x14ac:dyDescent="0.2">
      <c r="A127" s="6"/>
      <c r="B127" s="163"/>
      <c r="C127" s="163"/>
      <c r="D127" s="163"/>
      <c r="E127" s="163"/>
      <c r="F127" s="163"/>
      <c r="G127" s="163"/>
      <c r="H127" s="163"/>
      <c r="I127" s="163"/>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x14ac:dyDescent="0.2">
      <c r="A128" s="6"/>
      <c r="B128" s="163"/>
      <c r="C128" s="163"/>
      <c r="D128" s="163"/>
      <c r="E128" s="163"/>
      <c r="F128" s="163"/>
      <c r="G128" s="163"/>
      <c r="H128" s="163"/>
      <c r="I128" s="163"/>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x14ac:dyDescent="0.2">
      <c r="A129" s="6"/>
      <c r="B129" s="163"/>
      <c r="C129" s="163"/>
      <c r="D129" s="163"/>
      <c r="E129" s="163"/>
      <c r="F129" s="163"/>
      <c r="G129" s="163"/>
      <c r="H129" s="163"/>
      <c r="I129" s="163"/>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x14ac:dyDescent="0.2">
      <c r="A130" s="6"/>
      <c r="B130" s="53"/>
      <c r="C130" s="53"/>
      <c r="D130" s="53"/>
      <c r="E130" s="53"/>
      <c r="F130" s="53"/>
      <c r="G130" s="53"/>
      <c r="H130" s="53"/>
      <c r="I130" s="53"/>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x14ac:dyDescent="0.2">
      <c r="A131" s="6"/>
      <c r="B131" s="140" t="s">
        <v>284</v>
      </c>
      <c r="C131" s="53"/>
      <c r="D131" s="53"/>
      <c r="E131" s="53"/>
      <c r="F131" s="53"/>
      <c r="G131" s="53"/>
      <c r="H131" s="53"/>
      <c r="I131" s="53"/>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x14ac:dyDescent="0.2">
      <c r="A132" s="6"/>
      <c r="B132" s="140" t="s">
        <v>285</v>
      </c>
      <c r="C132" s="53"/>
      <c r="D132" s="53"/>
      <c r="E132" s="53"/>
      <c r="F132" s="53"/>
      <c r="G132" s="53"/>
      <c r="H132" s="53"/>
      <c r="I132" s="53"/>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x14ac:dyDescent="0.2">
      <c r="A133" s="6"/>
      <c r="B133" s="163" t="s">
        <v>286</v>
      </c>
      <c r="C133" s="163"/>
      <c r="D133" s="163"/>
      <c r="E133" s="163"/>
      <c r="F133" s="163"/>
      <c r="G133" s="163"/>
      <c r="H133" s="163"/>
      <c r="I133" s="163"/>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x14ac:dyDescent="0.2">
      <c r="A134" s="6"/>
      <c r="B134" s="163"/>
      <c r="C134" s="163"/>
      <c r="D134" s="163"/>
      <c r="E134" s="163"/>
      <c r="F134" s="163"/>
      <c r="G134" s="163"/>
      <c r="H134" s="163"/>
      <c r="I134" s="163"/>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x14ac:dyDescent="0.2">
      <c r="A135" s="6"/>
      <c r="B135" s="53"/>
      <c r="C135" s="53"/>
      <c r="D135" s="53"/>
      <c r="E135" s="53"/>
      <c r="F135" s="53"/>
      <c r="G135" s="53"/>
      <c r="H135" s="53"/>
      <c r="I135" s="53"/>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7" x14ac:dyDescent="0.2">
      <c r="A136" s="6"/>
      <c r="B136" s="146" t="s">
        <v>287</v>
      </c>
      <c r="C136" s="53"/>
      <c r="D136" s="53"/>
      <c r="E136" s="53"/>
      <c r="F136" s="53"/>
      <c r="G136" s="53"/>
      <c r="H136" s="53"/>
      <c r="I136" s="53"/>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x14ac:dyDescent="0.2">
      <c r="A137" s="6"/>
      <c r="B137" s="163" t="s">
        <v>288</v>
      </c>
      <c r="C137" s="163"/>
      <c r="D137" s="163"/>
      <c r="E137" s="163"/>
      <c r="F137" s="163"/>
      <c r="G137" s="163"/>
      <c r="H137" s="163"/>
      <c r="I137" s="163"/>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x14ac:dyDescent="0.2">
      <c r="A138" s="6"/>
      <c r="B138" s="163"/>
      <c r="C138" s="163"/>
      <c r="D138" s="163"/>
      <c r="E138" s="163"/>
      <c r="F138" s="163"/>
      <c r="G138" s="163"/>
      <c r="H138" s="163"/>
      <c r="I138" s="163"/>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x14ac:dyDescent="0.2">
      <c r="A139" s="6"/>
      <c r="B139" s="53"/>
      <c r="C139" s="53"/>
      <c r="D139" s="53"/>
      <c r="E139" s="53"/>
      <c r="F139" s="53"/>
      <c r="G139" s="53"/>
      <c r="H139" s="53"/>
      <c r="I139" s="53"/>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x14ac:dyDescent="0.2">
      <c r="A140" s="6"/>
      <c r="B140" s="163" t="s">
        <v>289</v>
      </c>
      <c r="C140" s="163"/>
      <c r="D140" s="163"/>
      <c r="E140" s="163"/>
      <c r="F140" s="163"/>
      <c r="G140" s="163"/>
      <c r="H140" s="163"/>
      <c r="I140" s="163"/>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x14ac:dyDescent="0.2">
      <c r="A141" s="6"/>
      <c r="B141" s="163"/>
      <c r="C141" s="163"/>
      <c r="D141" s="163"/>
      <c r="E141" s="163"/>
      <c r="F141" s="163"/>
      <c r="G141" s="163"/>
      <c r="H141" s="163"/>
      <c r="I141" s="163"/>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x14ac:dyDescent="0.2">
      <c r="A142" s="6"/>
      <c r="B142" s="163"/>
      <c r="C142" s="163"/>
      <c r="D142" s="163"/>
      <c r="E142" s="163"/>
      <c r="F142" s="163"/>
      <c r="G142" s="163"/>
      <c r="H142" s="163"/>
      <c r="I142" s="163"/>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x14ac:dyDescent="0.2">
      <c r="A143" s="6"/>
      <c r="B143" s="163"/>
      <c r="C143" s="163"/>
      <c r="D143" s="163"/>
      <c r="E143" s="163"/>
      <c r="F143" s="163"/>
      <c r="G143" s="163"/>
      <c r="H143" s="163"/>
      <c r="I143" s="163"/>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x14ac:dyDescent="0.2">
      <c r="A144" s="6"/>
      <c r="B144" s="48"/>
      <c r="C144" s="48"/>
      <c r="D144" s="48"/>
      <c r="E144" s="48"/>
      <c r="F144" s="48"/>
      <c r="G144" s="48"/>
      <c r="H144" s="48"/>
      <c r="I144" s="48"/>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9" x14ac:dyDescent="0.25">
      <c r="A145" s="6"/>
      <c r="B145" s="7" t="s">
        <v>175</v>
      </c>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6" customHeight="1" x14ac:dyDescent="0.2">
      <c r="A146" s="6"/>
      <c r="B146" s="163" t="s">
        <v>290</v>
      </c>
      <c r="C146" s="163"/>
      <c r="D146" s="163"/>
      <c r="E146" s="163"/>
      <c r="F146" s="163"/>
      <c r="G146" s="163"/>
      <c r="H146" s="163"/>
      <c r="I146" s="163"/>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x14ac:dyDescent="0.2">
      <c r="A147" s="6"/>
      <c r="B147" s="163"/>
      <c r="C147" s="163"/>
      <c r="D147" s="163"/>
      <c r="E147" s="163"/>
      <c r="F147" s="163"/>
      <c r="G147" s="163"/>
      <c r="H147" s="163"/>
      <c r="I147" s="163"/>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x14ac:dyDescent="0.2">
      <c r="A148" s="6"/>
      <c r="B148" s="163"/>
      <c r="C148" s="163"/>
      <c r="D148" s="163"/>
      <c r="E148" s="163"/>
      <c r="F148" s="163"/>
      <c r="G148" s="163"/>
      <c r="H148" s="163"/>
      <c r="I148" s="163"/>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x14ac:dyDescent="0.2">
      <c r="A149" s="6"/>
      <c r="B149" s="53"/>
      <c r="C149" s="53"/>
      <c r="D149" s="53"/>
      <c r="E149" s="53"/>
      <c r="F149" s="53"/>
      <c r="G149" s="53"/>
      <c r="H149" s="53"/>
      <c r="I149" s="53"/>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x14ac:dyDescent="0.2">
      <c r="A150" s="6"/>
      <c r="B150" s="163" t="s">
        <v>291</v>
      </c>
      <c r="C150" s="163"/>
      <c r="D150" s="163"/>
      <c r="E150" s="163"/>
      <c r="F150" s="163"/>
      <c r="G150" s="163"/>
      <c r="H150" s="163"/>
      <c r="I150" s="163"/>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x14ac:dyDescent="0.2">
      <c r="A151" s="6"/>
      <c r="B151" s="163"/>
      <c r="C151" s="163"/>
      <c r="D151" s="163"/>
      <c r="E151" s="163"/>
      <c r="F151" s="163"/>
      <c r="G151" s="163"/>
      <c r="H151" s="163"/>
      <c r="I151" s="163"/>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x14ac:dyDescent="0.2">
      <c r="A152" s="6"/>
      <c r="B152" s="163"/>
      <c r="C152" s="163"/>
      <c r="D152" s="163"/>
      <c r="E152" s="163"/>
      <c r="F152" s="163"/>
      <c r="G152" s="163"/>
      <c r="H152" s="163"/>
      <c r="I152" s="163"/>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row>
    <row r="153" spans="1:65" x14ac:dyDescent="0.2">
      <c r="A153" s="6"/>
      <c r="B153" s="53"/>
      <c r="C153" s="53"/>
      <c r="D153" s="53"/>
      <c r="E153" s="53"/>
      <c r="F153" s="53"/>
      <c r="G153" s="53"/>
      <c r="H153" s="53"/>
      <c r="I153" s="53"/>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row>
    <row r="154" spans="1:65" ht="19" x14ac:dyDescent="0.25">
      <c r="A154" s="3" t="s">
        <v>3</v>
      </c>
      <c r="J154" s="6"/>
    </row>
    <row r="155" spans="1:65" x14ac:dyDescent="0.2">
      <c r="A155" s="6"/>
      <c r="B155" s="19" t="s">
        <v>81</v>
      </c>
      <c r="J155" s="6"/>
    </row>
    <row r="156" spans="1:65" x14ac:dyDescent="0.2">
      <c r="A156" s="6"/>
      <c r="J156" s="6"/>
    </row>
    <row r="157" spans="1:65" ht="19" x14ac:dyDescent="0.25">
      <c r="A157" s="3" t="s">
        <v>4</v>
      </c>
      <c r="J157" s="6"/>
    </row>
    <row r="158" spans="1:65" x14ac:dyDescent="0.2">
      <c r="A158" s="6"/>
      <c r="B158" s="19" t="s">
        <v>222</v>
      </c>
      <c r="J158" s="6"/>
    </row>
    <row r="159" spans="1:65" x14ac:dyDescent="0.2">
      <c r="A159" s="6"/>
      <c r="B159" s="19" t="s">
        <v>224</v>
      </c>
      <c r="J159" s="6"/>
    </row>
    <row r="160" spans="1:65" x14ac:dyDescent="0.2">
      <c r="A160" s="6"/>
      <c r="J160" s="6"/>
    </row>
    <row r="161" spans="1:10" x14ac:dyDescent="0.2">
      <c r="A161" s="6"/>
      <c r="J161" s="6"/>
    </row>
    <row r="162" spans="1:10" x14ac:dyDescent="0.2">
      <c r="A162" s="6"/>
      <c r="J162" s="6"/>
    </row>
    <row r="163" spans="1:10" x14ac:dyDescent="0.2">
      <c r="A163" s="6"/>
      <c r="J163" s="6"/>
    </row>
    <row r="164" spans="1:10" x14ac:dyDescent="0.2">
      <c r="A164" s="6"/>
      <c r="J164" s="6"/>
    </row>
  </sheetData>
  <mergeCells count="28">
    <mergeCell ref="B85:I87"/>
    <mergeCell ref="B22:G22"/>
    <mergeCell ref="B52:E53"/>
    <mergeCell ref="B59:I60"/>
    <mergeCell ref="B4:I5"/>
    <mergeCell ref="B30:I31"/>
    <mergeCell ref="F23:G23"/>
    <mergeCell ref="B43:I44"/>
    <mergeCell ref="C81:E81"/>
    <mergeCell ref="G46:I47"/>
    <mergeCell ref="G56:I57"/>
    <mergeCell ref="H62:H63"/>
    <mergeCell ref="I62:I63"/>
    <mergeCell ref="B72:I73"/>
    <mergeCell ref="B47:E48"/>
    <mergeCell ref="D93:D94"/>
    <mergeCell ref="E93:E94"/>
    <mergeCell ref="D102:E102"/>
    <mergeCell ref="C106:D106"/>
    <mergeCell ref="B110:I111"/>
    <mergeCell ref="B140:I143"/>
    <mergeCell ref="B146:I148"/>
    <mergeCell ref="B150:I152"/>
    <mergeCell ref="B117:I118"/>
    <mergeCell ref="B120:I122"/>
    <mergeCell ref="B125:I129"/>
    <mergeCell ref="B133:I134"/>
    <mergeCell ref="B137:I13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68C4-808B-5543-BB80-A7EC5427125D}">
  <dimension ref="A1:BM145"/>
  <sheetViews>
    <sheetView showGridLines="0" zoomScale="120" zoomScaleNormal="120" workbookViewId="0"/>
  </sheetViews>
  <sheetFormatPr baseColWidth="10" defaultColWidth="10.83203125" defaultRowHeight="16" x14ac:dyDescent="0.2"/>
  <cols>
    <col min="1" max="1" width="10.83203125" style="19"/>
    <col min="2" max="3" width="10.83203125" style="19" customWidth="1"/>
    <col min="4" max="4" width="11.33203125" style="19" customWidth="1"/>
    <col min="5" max="5" width="10.83203125" style="19"/>
    <col min="6" max="6" width="10.83203125" style="19" customWidth="1"/>
    <col min="7" max="7" width="10.83203125" style="19"/>
    <col min="8" max="8" width="10.83203125" style="19" customWidth="1"/>
    <col min="9" max="9" width="11.6640625" style="19" customWidth="1"/>
    <col min="10" max="10" width="10.83203125" style="19" customWidth="1"/>
    <col min="11" max="16384" width="10.83203125" style="19"/>
  </cols>
  <sheetData>
    <row r="1" spans="1:10" ht="19" x14ac:dyDescent="0.25">
      <c r="A1" s="1" t="s">
        <v>109</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66" t="s">
        <v>112</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21"/>
      <c r="C6" s="21"/>
      <c r="D6" s="21"/>
      <c r="E6" s="21"/>
      <c r="F6" s="21"/>
      <c r="G6" s="21"/>
      <c r="H6" s="21"/>
      <c r="I6" s="21"/>
      <c r="J6" s="18"/>
    </row>
    <row r="7" spans="1:10" ht="30" customHeight="1" x14ac:dyDescent="0.2">
      <c r="A7" s="20"/>
      <c r="B7" s="21"/>
      <c r="C7" s="74" t="s">
        <v>110</v>
      </c>
      <c r="D7" s="104" t="s">
        <v>111</v>
      </c>
      <c r="E7" s="104" t="s">
        <v>51</v>
      </c>
      <c r="F7" s="105" t="s">
        <v>99</v>
      </c>
      <c r="G7" s="21"/>
      <c r="H7" s="21"/>
      <c r="I7" s="21"/>
      <c r="J7" s="18"/>
    </row>
    <row r="8" spans="1:10" x14ac:dyDescent="0.2">
      <c r="A8" s="20"/>
      <c r="B8" s="21"/>
      <c r="C8" s="110">
        <v>2018</v>
      </c>
      <c r="D8" s="33">
        <v>13060</v>
      </c>
      <c r="E8" s="33">
        <v>12490</v>
      </c>
      <c r="F8" s="29">
        <v>11241</v>
      </c>
      <c r="G8" s="21"/>
      <c r="H8" s="21"/>
      <c r="I8" s="21"/>
      <c r="J8" s="18"/>
    </row>
    <row r="9" spans="1:10" x14ac:dyDescent="0.2">
      <c r="A9" s="20"/>
      <c r="B9" s="21"/>
      <c r="C9" s="110">
        <v>2019</v>
      </c>
      <c r="D9" s="33">
        <v>14670</v>
      </c>
      <c r="E9" s="33">
        <v>13260</v>
      </c>
      <c r="F9" s="29">
        <v>11271</v>
      </c>
      <c r="G9" s="21"/>
      <c r="H9" s="21"/>
      <c r="I9" s="21"/>
      <c r="J9" s="18"/>
    </row>
    <row r="10" spans="1:10" x14ac:dyDescent="0.2">
      <c r="A10" s="20"/>
      <c r="B10" s="21"/>
      <c r="C10" s="110">
        <v>2020</v>
      </c>
      <c r="D10" s="33">
        <v>21950</v>
      </c>
      <c r="E10" s="33">
        <v>17260</v>
      </c>
      <c r="F10" s="29">
        <v>13808</v>
      </c>
      <c r="G10" s="21"/>
      <c r="H10" s="21"/>
      <c r="I10" s="21"/>
      <c r="J10" s="18"/>
    </row>
    <row r="11" spans="1:10" x14ac:dyDescent="0.2">
      <c r="A11" s="20"/>
      <c r="B11" s="21"/>
      <c r="C11" s="110">
        <v>2021</v>
      </c>
      <c r="D11" s="33">
        <v>22880</v>
      </c>
      <c r="E11" s="33">
        <v>15010</v>
      </c>
      <c r="F11" s="29">
        <v>11258</v>
      </c>
      <c r="G11" s="21"/>
      <c r="H11" s="21"/>
      <c r="I11" s="21"/>
      <c r="J11" s="18"/>
    </row>
    <row r="12" spans="1:10" x14ac:dyDescent="0.2">
      <c r="A12" s="20"/>
      <c r="B12" s="21"/>
      <c r="C12" s="111">
        <v>2022</v>
      </c>
      <c r="D12" s="106">
        <v>19800</v>
      </c>
      <c r="E12" s="106">
        <v>8140</v>
      </c>
      <c r="F12" s="32">
        <v>3256</v>
      </c>
      <c r="G12" s="21"/>
      <c r="H12" s="21"/>
      <c r="I12" s="21"/>
      <c r="J12" s="18"/>
    </row>
    <row r="13" spans="1:10" x14ac:dyDescent="0.2">
      <c r="A13" s="20"/>
      <c r="B13" s="21"/>
      <c r="C13" s="21"/>
      <c r="D13" s="21"/>
      <c r="E13" s="21"/>
      <c r="F13" s="21"/>
      <c r="G13" s="21"/>
      <c r="H13" s="21"/>
      <c r="I13" s="21"/>
      <c r="J13" s="18"/>
    </row>
    <row r="14" spans="1:10" x14ac:dyDescent="0.2">
      <c r="A14" s="20"/>
      <c r="B14" s="112" t="s">
        <v>176</v>
      </c>
      <c r="C14" s="21"/>
      <c r="D14" s="21"/>
      <c r="E14" s="21"/>
      <c r="F14" s="21"/>
      <c r="G14" s="21"/>
      <c r="H14" s="21"/>
      <c r="I14" s="21"/>
      <c r="J14" s="18"/>
    </row>
    <row r="15" spans="1:10" x14ac:dyDescent="0.2">
      <c r="A15" s="20"/>
      <c r="B15" s="17"/>
      <c r="C15" s="17"/>
      <c r="D15" s="17"/>
      <c r="E15" s="17"/>
      <c r="F15" s="17"/>
      <c r="G15" s="17"/>
      <c r="H15" s="17"/>
      <c r="I15" s="17"/>
      <c r="J15" s="18"/>
    </row>
    <row r="16" spans="1:10" ht="32" customHeight="1" x14ac:dyDescent="0.2">
      <c r="A16" s="20"/>
      <c r="B16" s="17"/>
      <c r="C16" s="74" t="s">
        <v>48</v>
      </c>
      <c r="D16" s="104" t="s">
        <v>113</v>
      </c>
      <c r="E16" s="104" t="s">
        <v>99</v>
      </c>
      <c r="F16" s="105" t="s">
        <v>114</v>
      </c>
      <c r="G16" s="17"/>
      <c r="H16" s="17"/>
      <c r="I16" s="17"/>
      <c r="J16" s="18"/>
    </row>
    <row r="17" spans="1:10" x14ac:dyDescent="0.2">
      <c r="A17" s="20"/>
      <c r="B17" s="17"/>
      <c r="C17" s="110">
        <v>1</v>
      </c>
      <c r="D17" s="113">
        <v>43573</v>
      </c>
      <c r="E17" s="33">
        <v>4500</v>
      </c>
      <c r="F17" s="29">
        <v>1000</v>
      </c>
      <c r="G17" s="17"/>
      <c r="H17" s="17"/>
      <c r="I17" s="17"/>
      <c r="J17" s="18"/>
    </row>
    <row r="18" spans="1:10" x14ac:dyDescent="0.2">
      <c r="A18" s="20"/>
      <c r="B18" s="17"/>
      <c r="C18" s="110">
        <v>2</v>
      </c>
      <c r="D18" s="113">
        <v>44409</v>
      </c>
      <c r="E18" s="33">
        <v>3600</v>
      </c>
      <c r="F18" s="29">
        <v>800</v>
      </c>
      <c r="G18" s="17"/>
      <c r="H18" s="17"/>
      <c r="I18" s="17"/>
      <c r="J18" s="18"/>
    </row>
    <row r="19" spans="1:10" x14ac:dyDescent="0.2">
      <c r="A19" s="20"/>
      <c r="B19" s="17"/>
      <c r="C19" s="111">
        <v>3</v>
      </c>
      <c r="D19" s="114">
        <v>44629</v>
      </c>
      <c r="E19" s="106">
        <v>2800</v>
      </c>
      <c r="F19" s="32">
        <v>740</v>
      </c>
      <c r="G19" s="17"/>
      <c r="H19" s="17"/>
      <c r="I19" s="17"/>
      <c r="J19" s="18"/>
    </row>
    <row r="20" spans="1:10" x14ac:dyDescent="0.2">
      <c r="A20" s="20"/>
      <c r="B20" s="17"/>
      <c r="C20" s="17"/>
      <c r="D20" s="17"/>
      <c r="E20" s="17"/>
      <c r="F20" s="17"/>
      <c r="G20" s="17"/>
      <c r="H20" s="17"/>
      <c r="I20" s="17"/>
      <c r="J20" s="18"/>
    </row>
    <row r="21" spans="1:10" x14ac:dyDescent="0.2">
      <c r="A21" s="20"/>
      <c r="B21" s="17" t="s">
        <v>133</v>
      </c>
      <c r="C21" s="17"/>
      <c r="D21" s="17"/>
      <c r="E21" s="17"/>
      <c r="F21" s="17"/>
      <c r="G21" s="17"/>
      <c r="H21" s="17"/>
      <c r="I21" s="17"/>
      <c r="J21" s="18"/>
    </row>
    <row r="22" spans="1:10" x14ac:dyDescent="0.2">
      <c r="A22" s="20"/>
      <c r="B22" s="17"/>
      <c r="C22" s="17"/>
      <c r="D22" s="17"/>
      <c r="E22" s="17"/>
      <c r="F22" s="17"/>
      <c r="G22" s="17"/>
      <c r="H22" s="17"/>
      <c r="I22" s="17"/>
      <c r="J22" s="18"/>
    </row>
    <row r="23" spans="1:10" x14ac:dyDescent="0.2">
      <c r="A23" s="20"/>
      <c r="B23" s="17" t="s">
        <v>117</v>
      </c>
      <c r="C23" s="17"/>
      <c r="D23" s="17"/>
      <c r="E23" s="17"/>
      <c r="F23" s="17"/>
      <c r="G23" s="17"/>
      <c r="H23" s="17"/>
      <c r="I23" s="17"/>
      <c r="J23" s="18"/>
    </row>
    <row r="24" spans="1:10" x14ac:dyDescent="0.2">
      <c r="A24" s="20"/>
      <c r="B24" s="17"/>
      <c r="C24" s="17"/>
      <c r="D24" s="17"/>
      <c r="E24" s="17"/>
      <c r="F24" s="17"/>
      <c r="G24" s="17"/>
      <c r="H24" s="17"/>
      <c r="I24" s="17"/>
      <c r="J24" s="18"/>
    </row>
    <row r="25" spans="1:10" x14ac:dyDescent="0.2">
      <c r="A25" s="20"/>
      <c r="B25" s="10" t="s">
        <v>115</v>
      </c>
      <c r="C25" s="17"/>
      <c r="D25" s="17"/>
      <c r="E25" s="17"/>
      <c r="F25" s="167" t="s">
        <v>124</v>
      </c>
      <c r="G25" s="175"/>
      <c r="H25" s="168"/>
      <c r="I25" s="10"/>
      <c r="J25" s="18"/>
    </row>
    <row r="26" spans="1:10" ht="36" customHeight="1" x14ac:dyDescent="0.2">
      <c r="A26" s="20"/>
      <c r="B26" s="17" t="s">
        <v>118</v>
      </c>
      <c r="C26" s="17"/>
      <c r="D26" s="113"/>
      <c r="E26" s="17"/>
      <c r="F26" s="74" t="s">
        <v>110</v>
      </c>
      <c r="G26" s="104" t="s">
        <v>125</v>
      </c>
      <c r="H26" s="105" t="s">
        <v>126</v>
      </c>
      <c r="I26" s="17"/>
      <c r="J26" s="18"/>
    </row>
    <row r="27" spans="1:10" x14ac:dyDescent="0.2">
      <c r="A27" s="20"/>
      <c r="B27" s="17" t="s">
        <v>40</v>
      </c>
      <c r="C27" s="17"/>
      <c r="D27" s="36">
        <v>4000000</v>
      </c>
      <c r="E27" s="17"/>
      <c r="F27" s="110">
        <v>2018</v>
      </c>
      <c r="G27" s="33">
        <v>8000</v>
      </c>
      <c r="H27" s="29">
        <v>4000</v>
      </c>
      <c r="I27" s="17"/>
      <c r="J27" s="18"/>
    </row>
    <row r="28" spans="1:10" x14ac:dyDescent="0.2">
      <c r="A28" s="20"/>
      <c r="B28" s="17" t="s">
        <v>41</v>
      </c>
      <c r="C28" s="17"/>
      <c r="D28" s="36">
        <v>6000000</v>
      </c>
      <c r="E28" s="17"/>
      <c r="F28" s="110">
        <v>2019</v>
      </c>
      <c r="G28" s="33">
        <v>8000</v>
      </c>
      <c r="H28" s="29">
        <v>4000</v>
      </c>
      <c r="I28" s="17"/>
      <c r="J28" s="18"/>
    </row>
    <row r="29" spans="1:10" x14ac:dyDescent="0.2">
      <c r="A29" s="20"/>
      <c r="B29" s="17" t="s">
        <v>119</v>
      </c>
      <c r="C29" s="17"/>
      <c r="D29" s="36"/>
      <c r="E29" s="17"/>
      <c r="F29" s="110">
        <v>2020</v>
      </c>
      <c r="G29" s="33">
        <v>8000</v>
      </c>
      <c r="H29" s="29">
        <v>4000</v>
      </c>
      <c r="I29" s="17"/>
      <c r="J29" s="18"/>
    </row>
    <row r="30" spans="1:10" x14ac:dyDescent="0.2">
      <c r="A30" s="20"/>
      <c r="B30" s="17"/>
      <c r="C30" s="17"/>
      <c r="D30" s="17"/>
      <c r="E30" s="17"/>
      <c r="F30" s="110">
        <v>2021</v>
      </c>
      <c r="G30" s="33">
        <v>10000</v>
      </c>
      <c r="H30" s="29">
        <v>6000</v>
      </c>
      <c r="I30" s="17"/>
      <c r="J30" s="18"/>
    </row>
    <row r="31" spans="1:10" x14ac:dyDescent="0.2">
      <c r="A31" s="20"/>
      <c r="B31" s="167" t="s">
        <v>116</v>
      </c>
      <c r="C31" s="168"/>
      <c r="D31" s="17"/>
      <c r="E31" s="17"/>
      <c r="F31" s="111">
        <v>2022</v>
      </c>
      <c r="G31" s="106">
        <v>15000</v>
      </c>
      <c r="H31" s="32">
        <v>6000</v>
      </c>
      <c r="I31" s="17"/>
      <c r="J31" s="18"/>
    </row>
    <row r="32" spans="1:10" ht="34" x14ac:dyDescent="0.2">
      <c r="A32" s="20"/>
      <c r="B32" s="74" t="s">
        <v>120</v>
      </c>
      <c r="C32" s="105" t="s">
        <v>122</v>
      </c>
      <c r="D32" s="17"/>
      <c r="E32" s="17"/>
      <c r="F32" s="90" t="s">
        <v>127</v>
      </c>
      <c r="G32" s="17"/>
      <c r="H32" s="17"/>
      <c r="I32" s="17"/>
      <c r="J32" s="18"/>
    </row>
    <row r="33" spans="1:10" x14ac:dyDescent="0.2">
      <c r="A33" s="20"/>
      <c r="B33" s="110" t="s">
        <v>121</v>
      </c>
      <c r="C33" s="115">
        <v>0.4</v>
      </c>
      <c r="D33" s="17"/>
      <c r="E33" s="17"/>
      <c r="F33" s="17"/>
      <c r="G33" s="17"/>
      <c r="H33" s="17"/>
      <c r="I33" s="17"/>
      <c r="J33" s="18"/>
    </row>
    <row r="34" spans="1:10" x14ac:dyDescent="0.2">
      <c r="A34" s="20"/>
      <c r="B34" s="111" t="s">
        <v>123</v>
      </c>
      <c r="C34" s="116">
        <v>0.3</v>
      </c>
      <c r="D34" s="17"/>
      <c r="E34" s="17"/>
      <c r="F34" s="17"/>
      <c r="G34" s="17"/>
      <c r="H34" s="17"/>
      <c r="I34" s="17"/>
      <c r="J34" s="18"/>
    </row>
    <row r="35" spans="1:10" x14ac:dyDescent="0.2">
      <c r="A35" s="20"/>
      <c r="B35" s="17"/>
      <c r="C35" s="17"/>
      <c r="D35" s="17"/>
      <c r="E35" s="17"/>
      <c r="F35" s="17"/>
      <c r="G35" s="17"/>
      <c r="H35" s="17"/>
      <c r="I35" s="17"/>
      <c r="J35" s="18"/>
    </row>
    <row r="36" spans="1:10" x14ac:dyDescent="0.2">
      <c r="A36" s="20"/>
      <c r="B36" s="17" t="s">
        <v>137</v>
      </c>
      <c r="C36" s="33"/>
      <c r="D36" s="33"/>
      <c r="E36" s="33"/>
      <c r="F36" s="17"/>
      <c r="G36" s="17"/>
      <c r="H36" s="17"/>
      <c r="I36" s="17"/>
      <c r="J36" s="18"/>
    </row>
    <row r="37" spans="1:10" x14ac:dyDescent="0.2">
      <c r="A37" s="20"/>
      <c r="B37" s="17"/>
      <c r="C37" s="33"/>
      <c r="D37" s="33"/>
      <c r="E37" s="33"/>
      <c r="F37" s="17"/>
      <c r="G37" s="17"/>
      <c r="H37" s="17"/>
      <c r="I37" s="17"/>
      <c r="J37" s="18"/>
    </row>
    <row r="38" spans="1:10" x14ac:dyDescent="0.2">
      <c r="A38" s="20"/>
      <c r="B38" s="17"/>
      <c r="C38" s="33"/>
      <c r="D38" s="33"/>
      <c r="E38" s="33"/>
      <c r="F38" s="17"/>
      <c r="G38" s="17"/>
      <c r="H38" s="17"/>
      <c r="I38" s="17"/>
      <c r="J38" s="18"/>
    </row>
    <row r="39" spans="1:10" x14ac:dyDescent="0.2">
      <c r="A39" s="20"/>
      <c r="B39" s="187" t="s">
        <v>239</v>
      </c>
      <c r="C39" s="187"/>
      <c r="D39" s="187"/>
      <c r="E39" s="187"/>
      <c r="F39" s="187"/>
      <c r="G39" s="187"/>
      <c r="H39" s="187"/>
      <c r="I39" s="187"/>
      <c r="J39" s="18"/>
    </row>
    <row r="40" spans="1:10" x14ac:dyDescent="0.2">
      <c r="A40" s="20"/>
      <c r="B40" s="187"/>
      <c r="C40" s="187"/>
      <c r="D40" s="187"/>
      <c r="E40" s="187"/>
      <c r="F40" s="187"/>
      <c r="G40" s="187"/>
      <c r="H40" s="187"/>
      <c r="I40" s="187"/>
      <c r="J40" s="18"/>
    </row>
    <row r="41" spans="1:10" x14ac:dyDescent="0.2">
      <c r="A41" s="20"/>
      <c r="B41" s="17"/>
      <c r="C41" s="17"/>
      <c r="D41" s="17"/>
      <c r="E41" s="17"/>
      <c r="F41" s="17"/>
      <c r="G41" s="17"/>
      <c r="H41" s="17"/>
      <c r="I41" s="17"/>
      <c r="J41" s="18"/>
    </row>
    <row r="42" spans="1:10" x14ac:dyDescent="0.2">
      <c r="A42" s="20"/>
      <c r="B42" s="187" t="s">
        <v>240</v>
      </c>
      <c r="C42" s="187"/>
      <c r="D42" s="187"/>
      <c r="E42" s="187"/>
      <c r="F42" s="187"/>
      <c r="G42" s="187"/>
      <c r="H42" s="187"/>
      <c r="I42" s="187"/>
      <c r="J42" s="18"/>
    </row>
    <row r="43" spans="1:10" ht="16" customHeight="1" x14ac:dyDescent="0.2">
      <c r="A43" s="20"/>
      <c r="B43" s="187"/>
      <c r="C43" s="187"/>
      <c r="D43" s="187"/>
      <c r="E43" s="187"/>
      <c r="F43" s="187"/>
      <c r="G43" s="187"/>
      <c r="H43" s="187"/>
      <c r="I43" s="187"/>
      <c r="J43" s="18"/>
    </row>
    <row r="44" spans="1:10" ht="17" thickBot="1" x14ac:dyDescent="0.25">
      <c r="A44" s="39"/>
      <c r="B44" s="40"/>
      <c r="C44" s="41"/>
      <c r="D44" s="41"/>
      <c r="E44" s="41"/>
      <c r="F44" s="40"/>
      <c r="G44" s="40"/>
      <c r="H44" s="40"/>
      <c r="I44" s="40"/>
      <c r="J44" s="42"/>
    </row>
    <row r="46" spans="1:10" ht="19" x14ac:dyDescent="0.25">
      <c r="A46" s="3" t="s">
        <v>1</v>
      </c>
    </row>
    <row r="47" spans="1:10" x14ac:dyDescent="0.2">
      <c r="A47" s="8" t="s">
        <v>128</v>
      </c>
      <c r="C47" s="43"/>
    </row>
    <row r="48" spans="1:10" ht="16" customHeight="1" x14ac:dyDescent="0.2">
      <c r="A48" s="12" t="s">
        <v>74</v>
      </c>
      <c r="B48" s="164" t="s">
        <v>129</v>
      </c>
      <c r="C48" s="164"/>
      <c r="D48" s="164"/>
      <c r="E48" s="164"/>
      <c r="F48" s="164"/>
      <c r="G48" s="164"/>
      <c r="H48" s="164"/>
      <c r="I48" s="164"/>
    </row>
    <row r="49" spans="1:12" ht="16" customHeight="1" x14ac:dyDescent="0.2">
      <c r="A49" s="4"/>
      <c r="B49" s="164"/>
      <c r="C49" s="164"/>
      <c r="D49" s="164"/>
      <c r="E49" s="164"/>
      <c r="F49" s="164"/>
      <c r="G49" s="164"/>
      <c r="H49" s="164"/>
      <c r="I49" s="164"/>
    </row>
    <row r="50" spans="1:12" ht="16" customHeight="1" x14ac:dyDescent="0.2">
      <c r="A50" s="4"/>
    </row>
    <row r="51" spans="1:12" ht="16" customHeight="1" x14ac:dyDescent="0.2">
      <c r="A51" s="4"/>
      <c r="G51" s="165" t="s">
        <v>130</v>
      </c>
      <c r="H51" s="165"/>
      <c r="I51" s="165"/>
      <c r="J51" s="165"/>
    </row>
    <row r="52" spans="1:12" ht="34" x14ac:dyDescent="0.2">
      <c r="A52" s="4"/>
      <c r="G52" s="44" t="s">
        <v>48</v>
      </c>
      <c r="H52" s="45" t="s">
        <v>97</v>
      </c>
      <c r="I52" s="45" t="s">
        <v>51</v>
      </c>
      <c r="J52" s="69" t="s">
        <v>99</v>
      </c>
    </row>
    <row r="53" spans="1:12" ht="16" customHeight="1" x14ac:dyDescent="0.2">
      <c r="A53" s="4"/>
      <c r="B53" s="9" t="s">
        <v>28</v>
      </c>
      <c r="G53" s="117">
        <v>1</v>
      </c>
      <c r="H53" s="118">
        <f>D17</f>
        <v>43573</v>
      </c>
      <c r="I53" s="47">
        <f>MAX(MIN(SUM(E17:F17)-D$27/1000,D$28/1000),0)</f>
        <v>1500</v>
      </c>
      <c r="J53" s="47">
        <f>MAX(MIN(E17-D$27/1000,D$28/1000),0)</f>
        <v>500</v>
      </c>
    </row>
    <row r="54" spans="1:12" ht="16" customHeight="1" x14ac:dyDescent="0.2">
      <c r="A54" s="4"/>
      <c r="B54" s="188" t="s">
        <v>248</v>
      </c>
      <c r="C54" s="188"/>
      <c r="D54" s="188"/>
      <c r="E54" s="188"/>
      <c r="F54" s="188"/>
      <c r="G54" s="117">
        <v>2</v>
      </c>
      <c r="H54" s="118">
        <f t="shared" ref="H54:H55" si="0">D18</f>
        <v>44409</v>
      </c>
      <c r="I54" s="47">
        <f>MAX(MIN(SUM(E18:F18)-D$27/1000,D$28/1000),0)</f>
        <v>400</v>
      </c>
      <c r="J54" s="47">
        <f>MAX(MIN(E18-D$27/1000,D$28/1000),0)</f>
        <v>0</v>
      </c>
      <c r="L54" s="6"/>
    </row>
    <row r="55" spans="1:12" ht="16" customHeight="1" x14ac:dyDescent="0.2">
      <c r="A55" s="4"/>
      <c r="B55" s="188"/>
      <c r="C55" s="188"/>
      <c r="D55" s="188"/>
      <c r="E55" s="188"/>
      <c r="F55" s="188"/>
      <c r="G55" s="117">
        <v>3</v>
      </c>
      <c r="H55" s="118">
        <f t="shared" si="0"/>
        <v>44629</v>
      </c>
      <c r="I55" s="47">
        <f>MAX(MIN(SUM(E19:F19)-D$27/1000,D$28/1000),0)</f>
        <v>0</v>
      </c>
      <c r="J55" s="47">
        <f>MAX(MIN(E19-D$27/1000,D$28/1000),0)</f>
        <v>0</v>
      </c>
      <c r="L55" s="6"/>
    </row>
    <row r="56" spans="1:12" ht="16" customHeight="1" x14ac:dyDescent="0.2">
      <c r="A56" s="4"/>
      <c r="G56" s="47"/>
      <c r="H56" s="47"/>
      <c r="L56" s="6"/>
    </row>
    <row r="57" spans="1:12" ht="16" customHeight="1" x14ac:dyDescent="0.2">
      <c r="A57" s="12" t="s">
        <v>78</v>
      </c>
      <c r="B57" s="164" t="s">
        <v>131</v>
      </c>
      <c r="C57" s="164"/>
      <c r="D57" s="164"/>
      <c r="E57" s="164"/>
      <c r="F57" s="164"/>
      <c r="G57" s="164"/>
      <c r="H57" s="164"/>
      <c r="I57" s="164"/>
    </row>
    <row r="58" spans="1:12" ht="16" customHeight="1" x14ac:dyDescent="0.2">
      <c r="A58" s="4"/>
      <c r="B58" s="164"/>
      <c r="C58" s="164"/>
      <c r="D58" s="164"/>
      <c r="E58" s="164"/>
      <c r="F58" s="164"/>
      <c r="G58" s="164"/>
      <c r="H58" s="164"/>
      <c r="I58" s="164"/>
    </row>
    <row r="59" spans="1:12" ht="16" customHeight="1" x14ac:dyDescent="0.2">
      <c r="A59" s="4"/>
    </row>
    <row r="60" spans="1:12" ht="16" customHeight="1" x14ac:dyDescent="0.2">
      <c r="A60" s="4"/>
      <c r="G60" s="165" t="s">
        <v>132</v>
      </c>
      <c r="H60" s="165"/>
      <c r="I60" s="165"/>
      <c r="J60" s="165"/>
    </row>
    <row r="61" spans="1:12" ht="16" customHeight="1" x14ac:dyDescent="0.2">
      <c r="A61" s="4"/>
      <c r="G61" s="44" t="s">
        <v>96</v>
      </c>
      <c r="H61" s="45" t="s">
        <v>134</v>
      </c>
      <c r="I61" s="45" t="s">
        <v>51</v>
      </c>
      <c r="J61" s="45" t="s">
        <v>99</v>
      </c>
    </row>
    <row r="62" spans="1:12" ht="16" customHeight="1" x14ac:dyDescent="0.2">
      <c r="A62" s="4"/>
      <c r="B62" s="4" t="s">
        <v>135</v>
      </c>
      <c r="G62" s="117">
        <v>2018</v>
      </c>
      <c r="H62" s="47">
        <f>D8</f>
        <v>13060</v>
      </c>
      <c r="I62" s="47">
        <f>E8</f>
        <v>12490</v>
      </c>
      <c r="J62" s="47">
        <f>F8</f>
        <v>11241</v>
      </c>
      <c r="L62" s="6"/>
    </row>
    <row r="63" spans="1:12" ht="16" customHeight="1" x14ac:dyDescent="0.2">
      <c r="A63" s="4"/>
      <c r="B63" s="176" t="s">
        <v>136</v>
      </c>
      <c r="C63" s="176"/>
      <c r="D63" s="176"/>
      <c r="E63" s="176"/>
      <c r="F63" s="176"/>
      <c r="G63" s="152">
        <v>2019</v>
      </c>
      <c r="H63" s="153">
        <f>D9-I53</f>
        <v>13170</v>
      </c>
      <c r="I63" s="153">
        <f>E9-I53</f>
        <v>11760</v>
      </c>
      <c r="J63" s="153">
        <f>F9-J53</f>
        <v>10771</v>
      </c>
      <c r="L63" s="6"/>
    </row>
    <row r="64" spans="1:12" ht="16" customHeight="1" x14ac:dyDescent="0.2">
      <c r="A64" s="4"/>
      <c r="B64" s="176"/>
      <c r="C64" s="176"/>
      <c r="D64" s="176"/>
      <c r="E64" s="176"/>
      <c r="F64" s="176"/>
      <c r="G64" s="117">
        <v>2020</v>
      </c>
      <c r="H64" s="47">
        <f>D10</f>
        <v>21950</v>
      </c>
      <c r="I64" s="47">
        <f>E10</f>
        <v>17260</v>
      </c>
      <c r="J64" s="47">
        <f>F10</f>
        <v>13808</v>
      </c>
      <c r="L64" s="6"/>
    </row>
    <row r="65" spans="1:12" ht="16" customHeight="1" x14ac:dyDescent="0.2">
      <c r="A65" s="4"/>
      <c r="B65" s="176"/>
      <c r="C65" s="176"/>
      <c r="D65" s="176"/>
      <c r="E65" s="176"/>
      <c r="F65" s="176"/>
      <c r="G65" s="152">
        <v>2021</v>
      </c>
      <c r="H65" s="153">
        <f>D11-I54</f>
        <v>22480</v>
      </c>
      <c r="I65" s="153">
        <f>E11-I54</f>
        <v>14610</v>
      </c>
      <c r="J65" s="153">
        <f>F11-J54</f>
        <v>11258</v>
      </c>
      <c r="L65" s="6"/>
    </row>
    <row r="66" spans="1:12" ht="16" customHeight="1" x14ac:dyDescent="0.2">
      <c r="A66" s="4"/>
      <c r="B66" s="120"/>
      <c r="C66" s="120"/>
      <c r="D66" s="120"/>
      <c r="E66" s="120"/>
      <c r="F66" s="120"/>
      <c r="G66" s="152">
        <v>2022</v>
      </c>
      <c r="H66" s="153">
        <f>D12-I55</f>
        <v>19800</v>
      </c>
      <c r="I66" s="153">
        <f>E12-I55</f>
        <v>8140</v>
      </c>
      <c r="J66" s="153">
        <f>F12-J55</f>
        <v>3256</v>
      </c>
      <c r="L66" s="6"/>
    </row>
    <row r="68" spans="1:12" ht="16" customHeight="1" x14ac:dyDescent="0.2">
      <c r="A68" s="12" t="s">
        <v>77</v>
      </c>
      <c r="B68" s="164" t="s">
        <v>250</v>
      </c>
      <c r="C68" s="164"/>
      <c r="D68" s="164"/>
      <c r="E68" s="164"/>
      <c r="F68" s="164"/>
      <c r="G68" s="164"/>
      <c r="H68" s="164"/>
      <c r="I68" s="164"/>
    </row>
    <row r="69" spans="1:12" ht="16" customHeight="1" x14ac:dyDescent="0.2">
      <c r="A69" s="4"/>
      <c r="B69" s="164"/>
      <c r="C69" s="164"/>
      <c r="D69" s="164"/>
      <c r="E69" s="164"/>
      <c r="F69" s="164"/>
      <c r="G69" s="164"/>
      <c r="H69" s="164"/>
      <c r="I69" s="164"/>
    </row>
    <row r="70" spans="1:12" ht="16" customHeight="1" x14ac:dyDescent="0.2">
      <c r="A70" s="4"/>
      <c r="B70" s="164"/>
      <c r="C70" s="164"/>
      <c r="D70" s="164"/>
      <c r="E70" s="164"/>
      <c r="F70" s="164"/>
      <c r="G70" s="164"/>
      <c r="H70" s="164"/>
      <c r="I70" s="164"/>
    </row>
    <row r="71" spans="1:12" ht="16" customHeight="1" x14ac:dyDescent="0.2">
      <c r="A71" s="4"/>
    </row>
    <row r="72" spans="1:12" ht="16" customHeight="1" x14ac:dyDescent="0.2">
      <c r="A72" s="4"/>
      <c r="G72" s="165" t="s">
        <v>138</v>
      </c>
      <c r="H72" s="165"/>
      <c r="I72" s="165"/>
      <c r="J72" s="165"/>
    </row>
    <row r="73" spans="1:12" ht="16" customHeight="1" x14ac:dyDescent="0.2">
      <c r="A73" s="4"/>
      <c r="G73" s="44" t="s">
        <v>96</v>
      </c>
      <c r="H73" s="45" t="s">
        <v>134</v>
      </c>
      <c r="I73" s="45" t="s">
        <v>51</v>
      </c>
      <c r="J73" s="45" t="s">
        <v>99</v>
      </c>
      <c r="L73" s="6"/>
    </row>
    <row r="74" spans="1:12" ht="16" customHeight="1" x14ac:dyDescent="0.2">
      <c r="A74" s="4"/>
      <c r="G74" s="117">
        <v>2018</v>
      </c>
      <c r="H74" s="47">
        <f t="shared" ref="H74:J76" si="1">H62*(1-$C$33)</f>
        <v>7836</v>
      </c>
      <c r="I74" s="47">
        <f t="shared" si="1"/>
        <v>7494</v>
      </c>
      <c r="J74" s="47">
        <f t="shared" si="1"/>
        <v>6744.5999999999995</v>
      </c>
      <c r="L74" s="6"/>
    </row>
    <row r="75" spans="1:12" ht="16" customHeight="1" x14ac:dyDescent="0.2">
      <c r="A75" s="4"/>
      <c r="G75" s="117">
        <v>2019</v>
      </c>
      <c r="H75" s="47">
        <f t="shared" si="1"/>
        <v>7902</v>
      </c>
      <c r="I75" s="47">
        <f t="shared" si="1"/>
        <v>7056</v>
      </c>
      <c r="J75" s="47">
        <f t="shared" si="1"/>
        <v>6462.5999999999995</v>
      </c>
      <c r="L75" s="6"/>
    </row>
    <row r="76" spans="1:12" ht="16" customHeight="1" x14ac:dyDescent="0.2">
      <c r="A76" s="4"/>
      <c r="C76" s="19" t="s">
        <v>139</v>
      </c>
      <c r="G76" s="117">
        <v>2020</v>
      </c>
      <c r="H76" s="47">
        <f t="shared" si="1"/>
        <v>13170</v>
      </c>
      <c r="I76" s="47">
        <f t="shared" si="1"/>
        <v>10356</v>
      </c>
      <c r="J76" s="47">
        <f t="shared" si="1"/>
        <v>8284.7999999999993</v>
      </c>
      <c r="L76" s="6"/>
    </row>
    <row r="77" spans="1:12" ht="16" customHeight="1" x14ac:dyDescent="0.2">
      <c r="A77" s="4"/>
      <c r="G77" s="117">
        <v>2021</v>
      </c>
      <c r="H77" s="47">
        <f t="shared" ref="H77:J78" si="2">H65*(1-$C$34)</f>
        <v>15735.999999999998</v>
      </c>
      <c r="I77" s="47">
        <f t="shared" si="2"/>
        <v>10227</v>
      </c>
      <c r="J77" s="47">
        <f t="shared" si="2"/>
        <v>7880.5999999999995</v>
      </c>
      <c r="L77" s="6"/>
    </row>
    <row r="78" spans="1:12" ht="16" customHeight="1" x14ac:dyDescent="0.2">
      <c r="A78" s="4"/>
      <c r="G78" s="117">
        <v>2022</v>
      </c>
      <c r="H78" s="47">
        <f t="shared" si="2"/>
        <v>13860</v>
      </c>
      <c r="I78" s="47">
        <f t="shared" si="2"/>
        <v>5698</v>
      </c>
      <c r="J78" s="47">
        <f t="shared" si="2"/>
        <v>2279.1999999999998</v>
      </c>
      <c r="L78" s="6"/>
    </row>
    <row r="79" spans="1:12" ht="16" customHeight="1" x14ac:dyDescent="0.2">
      <c r="A79" s="4"/>
      <c r="B79" s="4" t="s">
        <v>135</v>
      </c>
      <c r="G79" s="121"/>
      <c r="H79" s="47"/>
      <c r="I79" s="47"/>
      <c r="J79" s="47"/>
      <c r="L79" s="6"/>
    </row>
    <row r="80" spans="1:12" ht="16" customHeight="1" x14ac:dyDescent="0.2">
      <c r="A80" s="4"/>
      <c r="B80" s="176" t="s">
        <v>249</v>
      </c>
      <c r="C80" s="176"/>
      <c r="D80" s="176"/>
      <c r="E80" s="176"/>
      <c r="F80" s="176"/>
      <c r="G80" s="121"/>
      <c r="H80" s="47"/>
      <c r="I80" s="47"/>
      <c r="J80" s="47"/>
      <c r="L80" s="6"/>
    </row>
    <row r="81" spans="1:12" ht="16" customHeight="1" x14ac:dyDescent="0.2">
      <c r="A81" s="4"/>
      <c r="B81" s="176"/>
      <c r="C81" s="176"/>
      <c r="D81" s="176"/>
      <c r="E81" s="176"/>
      <c r="F81" s="176"/>
      <c r="G81" s="121"/>
      <c r="H81" s="47"/>
      <c r="I81" s="47"/>
      <c r="J81" s="47"/>
      <c r="L81" s="6"/>
    </row>
    <row r="82" spans="1:12" ht="16" customHeight="1" x14ac:dyDescent="0.2">
      <c r="A82" s="4"/>
      <c r="B82" s="176"/>
      <c r="C82" s="176"/>
      <c r="D82" s="176"/>
      <c r="E82" s="176"/>
      <c r="F82" s="176"/>
      <c r="G82" s="121"/>
      <c r="H82" s="47"/>
      <c r="I82" s="47"/>
      <c r="J82" s="47"/>
      <c r="L82" s="6"/>
    </row>
    <row r="83" spans="1:12" ht="16" customHeight="1" x14ac:dyDescent="0.2">
      <c r="A83" s="4"/>
      <c r="G83" s="121"/>
      <c r="H83" s="47"/>
      <c r="I83" s="47"/>
      <c r="J83" s="47"/>
      <c r="L83" s="6"/>
    </row>
    <row r="84" spans="1:12" ht="16" customHeight="1" x14ac:dyDescent="0.2">
      <c r="A84" s="8" t="s">
        <v>140</v>
      </c>
      <c r="L84" s="6"/>
    </row>
    <row r="85" spans="1:12" ht="16" customHeight="1" x14ac:dyDescent="0.2">
      <c r="A85" s="12" t="s">
        <v>76</v>
      </c>
      <c r="B85" s="164" t="s">
        <v>238</v>
      </c>
      <c r="C85" s="164"/>
      <c r="D85" s="164"/>
      <c r="E85" s="164"/>
      <c r="F85" s="164"/>
      <c r="G85" s="164"/>
      <c r="H85" s="164"/>
      <c r="I85" s="164"/>
    </row>
    <row r="86" spans="1:12" ht="16" customHeight="1" x14ac:dyDescent="0.2">
      <c r="A86" s="4"/>
      <c r="B86" s="164"/>
      <c r="C86" s="164"/>
      <c r="D86" s="164"/>
      <c r="E86" s="164"/>
      <c r="F86" s="164"/>
      <c r="G86" s="164"/>
      <c r="H86" s="164"/>
      <c r="I86" s="164"/>
    </row>
    <row r="87" spans="1:12" ht="16" customHeight="1" x14ac:dyDescent="0.2">
      <c r="A87" s="4"/>
      <c r="B87" s="164"/>
      <c r="C87" s="164"/>
      <c r="D87" s="164"/>
      <c r="E87" s="164"/>
      <c r="F87" s="164"/>
      <c r="G87" s="164"/>
      <c r="H87" s="164"/>
      <c r="I87" s="164"/>
    </row>
    <row r="88" spans="1:12" ht="16" customHeight="1" x14ac:dyDescent="0.2">
      <c r="A88" s="4"/>
    </row>
    <row r="89" spans="1:12" ht="16" customHeight="1" x14ac:dyDescent="0.2">
      <c r="A89" s="4"/>
      <c r="B89" s="9" t="s">
        <v>145</v>
      </c>
    </row>
    <row r="90" spans="1:12" ht="16" customHeight="1" x14ac:dyDescent="0.2">
      <c r="A90" s="4"/>
    </row>
    <row r="91" spans="1:12" ht="16" customHeight="1" x14ac:dyDescent="0.2">
      <c r="A91" s="4"/>
    </row>
    <row r="92" spans="1:12" ht="16" customHeight="1" x14ac:dyDescent="0.2">
      <c r="A92" s="4"/>
    </row>
    <row r="93" spans="1:12" ht="16" customHeight="1" x14ac:dyDescent="0.2">
      <c r="A93" s="4"/>
    </row>
    <row r="94" spans="1:12" ht="16" customHeight="1" x14ac:dyDescent="0.2">
      <c r="A94" s="4"/>
      <c r="B94" s="9" t="s">
        <v>146</v>
      </c>
    </row>
    <row r="95" spans="1:12" ht="16" customHeight="1" x14ac:dyDescent="0.2">
      <c r="A95" s="4"/>
    </row>
    <row r="96" spans="1:12" ht="16" customHeight="1" x14ac:dyDescent="0.2">
      <c r="A96" s="4"/>
    </row>
    <row r="97" spans="1:12" ht="16" customHeight="1" x14ac:dyDescent="0.2">
      <c r="A97" s="4"/>
    </row>
    <row r="98" spans="1:12" ht="16" customHeight="1" x14ac:dyDescent="0.2">
      <c r="A98" s="4"/>
    </row>
    <row r="99" spans="1:12" ht="16" customHeight="1" x14ac:dyDescent="0.2">
      <c r="A99" s="4"/>
    </row>
    <row r="100" spans="1:12" ht="16" customHeight="1" x14ac:dyDescent="0.2">
      <c r="A100" s="4"/>
    </row>
    <row r="101" spans="1:12" ht="16" customHeight="1" x14ac:dyDescent="0.2">
      <c r="A101" s="4"/>
    </row>
    <row r="102" spans="1:12" ht="16" customHeight="1" x14ac:dyDescent="0.2">
      <c r="A102" s="4"/>
    </row>
    <row r="103" spans="1:12" ht="16" customHeight="1" x14ac:dyDescent="0.2">
      <c r="A103" s="4"/>
      <c r="C103" s="165" t="s">
        <v>177</v>
      </c>
      <c r="D103" s="165"/>
      <c r="E103" s="165"/>
      <c r="F103" s="165"/>
      <c r="G103" s="165"/>
      <c r="H103" s="165"/>
      <c r="I103" s="47"/>
      <c r="J103" s="47"/>
      <c r="K103" s="47"/>
      <c r="L103" s="47"/>
    </row>
    <row r="104" spans="1:12" ht="16" customHeight="1" x14ac:dyDescent="0.2">
      <c r="A104" s="4"/>
      <c r="C104" s="44" t="s">
        <v>96</v>
      </c>
      <c r="D104" s="45" t="s">
        <v>134</v>
      </c>
      <c r="E104" s="45" t="s">
        <v>51</v>
      </c>
      <c r="F104" s="44" t="s">
        <v>99</v>
      </c>
      <c r="G104" s="45" t="s">
        <v>142</v>
      </c>
      <c r="H104" s="45" t="s">
        <v>143</v>
      </c>
      <c r="I104" s="47"/>
      <c r="J104" s="47"/>
      <c r="K104" s="47"/>
      <c r="L104" s="47"/>
    </row>
    <row r="105" spans="1:12" ht="16" customHeight="1" x14ac:dyDescent="0.2">
      <c r="A105" s="4"/>
      <c r="C105" s="117">
        <v>2018</v>
      </c>
      <c r="D105" s="47">
        <f t="shared" ref="D105:F109" si="3">MAX(MIN(H74-$G27,$H27),0)</f>
        <v>0</v>
      </c>
      <c r="E105" s="47">
        <f t="shared" si="3"/>
        <v>0</v>
      </c>
      <c r="F105" s="46">
        <f t="shared" si="3"/>
        <v>0</v>
      </c>
      <c r="G105" s="47">
        <f>E105-F105</f>
        <v>0</v>
      </c>
      <c r="H105" s="47">
        <f>D105-E105</f>
        <v>0</v>
      </c>
      <c r="I105" s="47"/>
      <c r="J105" s="47"/>
      <c r="K105" s="47"/>
      <c r="L105" s="47"/>
    </row>
    <row r="106" spans="1:12" ht="16" customHeight="1" x14ac:dyDescent="0.2">
      <c r="A106" s="4"/>
      <c r="C106" s="117">
        <v>2019</v>
      </c>
      <c r="D106" s="47">
        <f t="shared" si="3"/>
        <v>0</v>
      </c>
      <c r="E106" s="47">
        <f t="shared" si="3"/>
        <v>0</v>
      </c>
      <c r="F106" s="46">
        <f t="shared" si="3"/>
        <v>0</v>
      </c>
      <c r="G106" s="47">
        <f>E106-F106</f>
        <v>0</v>
      </c>
      <c r="H106" s="47">
        <f t="shared" ref="H106" si="4">D106-E106</f>
        <v>0</v>
      </c>
      <c r="I106" s="47"/>
      <c r="J106" s="47"/>
      <c r="K106" s="47"/>
      <c r="L106" s="47"/>
    </row>
    <row r="107" spans="1:12" ht="16" customHeight="1" x14ac:dyDescent="0.2">
      <c r="A107" s="4"/>
      <c r="C107" s="117">
        <v>2020</v>
      </c>
      <c r="D107" s="47">
        <f t="shared" si="3"/>
        <v>4000</v>
      </c>
      <c r="E107" s="47">
        <f t="shared" si="3"/>
        <v>2356</v>
      </c>
      <c r="F107" s="46">
        <f t="shared" si="3"/>
        <v>284.79999999999927</v>
      </c>
      <c r="G107" s="47">
        <f>E107-F107</f>
        <v>2071.2000000000007</v>
      </c>
      <c r="H107" s="47">
        <f>D107-E107</f>
        <v>1644</v>
      </c>
      <c r="I107" s="47"/>
      <c r="J107" s="47"/>
      <c r="K107" s="47"/>
      <c r="L107" s="47"/>
    </row>
    <row r="108" spans="1:12" ht="16" customHeight="1" x14ac:dyDescent="0.2">
      <c r="A108" s="4"/>
      <c r="C108" s="117">
        <v>2021</v>
      </c>
      <c r="D108" s="47">
        <f t="shared" si="3"/>
        <v>5735.9999999999982</v>
      </c>
      <c r="E108" s="47">
        <f t="shared" si="3"/>
        <v>227</v>
      </c>
      <c r="F108" s="46">
        <f t="shared" si="3"/>
        <v>0</v>
      </c>
      <c r="G108" s="47">
        <f t="shared" ref="G108:G109" si="5">E108-F108</f>
        <v>227</v>
      </c>
      <c r="H108" s="47">
        <f t="shared" ref="H108:H109" si="6">D108-E108</f>
        <v>5508.9999999999982</v>
      </c>
      <c r="I108" s="47"/>
      <c r="J108" s="47"/>
      <c r="K108" s="47"/>
      <c r="L108" s="47"/>
    </row>
    <row r="109" spans="1:12" ht="16" customHeight="1" x14ac:dyDescent="0.2">
      <c r="A109" s="4"/>
      <c r="C109" s="122">
        <v>2022</v>
      </c>
      <c r="D109" s="123">
        <f t="shared" si="3"/>
        <v>0</v>
      </c>
      <c r="E109" s="123">
        <f t="shared" si="3"/>
        <v>0</v>
      </c>
      <c r="F109" s="124">
        <f t="shared" si="3"/>
        <v>0</v>
      </c>
      <c r="G109" s="123">
        <f t="shared" si="5"/>
        <v>0</v>
      </c>
      <c r="H109" s="123">
        <f t="shared" si="6"/>
        <v>0</v>
      </c>
      <c r="I109" s="47"/>
      <c r="J109" s="47"/>
      <c r="K109" s="47"/>
      <c r="L109" s="47"/>
    </row>
    <row r="110" spans="1:12" x14ac:dyDescent="0.2">
      <c r="A110" s="4"/>
      <c r="C110" s="117" t="s">
        <v>144</v>
      </c>
      <c r="D110" s="47">
        <f>SUM(D105:D109)</f>
        <v>9735.9999999999982</v>
      </c>
      <c r="E110" s="47">
        <f t="shared" ref="E110:H110" si="7">SUM(E105:E109)</f>
        <v>2583</v>
      </c>
      <c r="F110" s="46">
        <f t="shared" si="7"/>
        <v>284.79999999999927</v>
      </c>
      <c r="G110" s="47">
        <f t="shared" si="7"/>
        <v>2298.2000000000007</v>
      </c>
      <c r="H110" s="47">
        <f t="shared" si="7"/>
        <v>7152.9999999999982</v>
      </c>
      <c r="I110" s="47"/>
      <c r="J110" s="47"/>
    </row>
    <row r="111" spans="1:12" ht="16" customHeight="1" x14ac:dyDescent="0.2">
      <c r="A111" s="4"/>
    </row>
    <row r="112" spans="1:12" ht="16" customHeight="1" x14ac:dyDescent="0.2">
      <c r="A112" s="4"/>
      <c r="C112" s="165" t="s">
        <v>141</v>
      </c>
      <c r="D112" s="165"/>
      <c r="E112" s="165"/>
      <c r="F112" s="165"/>
      <c r="G112" s="165"/>
      <c r="H112" s="165"/>
      <c r="I112" s="47"/>
      <c r="J112" s="47"/>
      <c r="K112" s="47"/>
      <c r="L112" s="47"/>
    </row>
    <row r="113" spans="1:65" ht="16" customHeight="1" x14ac:dyDescent="0.2">
      <c r="A113" s="4"/>
      <c r="C113" s="44" t="s">
        <v>96</v>
      </c>
      <c r="D113" s="45" t="s">
        <v>134</v>
      </c>
      <c r="E113" s="45" t="s">
        <v>51</v>
      </c>
      <c r="F113" s="44" t="s">
        <v>99</v>
      </c>
      <c r="G113" s="45" t="s">
        <v>142</v>
      </c>
      <c r="H113" s="45" t="s">
        <v>143</v>
      </c>
      <c r="I113" s="47"/>
      <c r="J113" s="47"/>
      <c r="K113" s="47"/>
      <c r="L113" s="47"/>
    </row>
    <row r="114" spans="1:65" ht="16" customHeight="1" x14ac:dyDescent="0.2">
      <c r="A114" s="4"/>
      <c r="C114" s="117">
        <v>2018</v>
      </c>
      <c r="D114" s="47">
        <f t="shared" ref="D114:F118" si="8">H74-MAX(MIN(H74-$G27,$H27),0)</f>
        <v>7836</v>
      </c>
      <c r="E114" s="47">
        <f t="shared" si="8"/>
        <v>7494</v>
      </c>
      <c r="F114" s="46">
        <f t="shared" si="8"/>
        <v>6744.5999999999995</v>
      </c>
      <c r="G114" s="47">
        <f>E114-F114</f>
        <v>749.40000000000055</v>
      </c>
      <c r="H114" s="47">
        <f>D114-E114</f>
        <v>342</v>
      </c>
      <c r="I114" s="47"/>
      <c r="J114" s="47"/>
      <c r="K114" s="47"/>
      <c r="L114" s="47"/>
    </row>
    <row r="115" spans="1:65" ht="16" customHeight="1" x14ac:dyDescent="0.2">
      <c r="A115" s="4"/>
      <c r="C115" s="117">
        <v>2019</v>
      </c>
      <c r="D115" s="47">
        <f t="shared" si="8"/>
        <v>7902</v>
      </c>
      <c r="E115" s="47">
        <f t="shared" si="8"/>
        <v>7056</v>
      </c>
      <c r="F115" s="46">
        <f t="shared" si="8"/>
        <v>6462.5999999999995</v>
      </c>
      <c r="G115" s="47">
        <f>E115-F115</f>
        <v>593.40000000000055</v>
      </c>
      <c r="H115" s="47">
        <f t="shared" ref="H115:H118" si="9">D115-E115</f>
        <v>846</v>
      </c>
      <c r="I115" s="47"/>
      <c r="J115" s="47"/>
      <c r="K115" s="47"/>
      <c r="L115" s="47"/>
    </row>
    <row r="116" spans="1:65" ht="16" customHeight="1" x14ac:dyDescent="0.2">
      <c r="A116" s="4"/>
      <c r="C116" s="117">
        <v>2020</v>
      </c>
      <c r="D116" s="47">
        <f t="shared" si="8"/>
        <v>9170</v>
      </c>
      <c r="E116" s="47">
        <f t="shared" si="8"/>
        <v>8000</v>
      </c>
      <c r="F116" s="46">
        <f t="shared" si="8"/>
        <v>8000</v>
      </c>
      <c r="G116" s="47">
        <f>E116-F116</f>
        <v>0</v>
      </c>
      <c r="H116" s="47">
        <f>D116-E116</f>
        <v>1170</v>
      </c>
      <c r="I116" s="47"/>
      <c r="J116" s="47"/>
      <c r="K116" s="47"/>
      <c r="L116" s="47"/>
    </row>
    <row r="117" spans="1:65" ht="16" customHeight="1" x14ac:dyDescent="0.2">
      <c r="A117" s="4"/>
      <c r="C117" s="117">
        <v>2021</v>
      </c>
      <c r="D117" s="47">
        <f t="shared" si="8"/>
        <v>10000</v>
      </c>
      <c r="E117" s="47">
        <f t="shared" si="8"/>
        <v>10000</v>
      </c>
      <c r="F117" s="46">
        <f t="shared" si="8"/>
        <v>7880.5999999999995</v>
      </c>
      <c r="G117" s="47">
        <f t="shared" ref="G117:G118" si="10">E117-F117</f>
        <v>2119.4000000000005</v>
      </c>
      <c r="H117" s="47">
        <f t="shared" si="9"/>
        <v>0</v>
      </c>
      <c r="I117" s="47"/>
      <c r="J117" s="47"/>
      <c r="K117" s="47"/>
      <c r="L117" s="47"/>
    </row>
    <row r="118" spans="1:65" ht="16" customHeight="1" x14ac:dyDescent="0.2">
      <c r="A118" s="4"/>
      <c r="C118" s="122">
        <v>2022</v>
      </c>
      <c r="D118" s="123">
        <f t="shared" si="8"/>
        <v>13860</v>
      </c>
      <c r="E118" s="123">
        <f t="shared" si="8"/>
        <v>5698</v>
      </c>
      <c r="F118" s="124">
        <f t="shared" si="8"/>
        <v>2279.1999999999998</v>
      </c>
      <c r="G118" s="123">
        <f t="shared" si="10"/>
        <v>3418.8</v>
      </c>
      <c r="H118" s="123">
        <f t="shared" si="9"/>
        <v>8162</v>
      </c>
      <c r="I118" s="47"/>
      <c r="J118" s="47"/>
      <c r="K118" s="47"/>
      <c r="L118" s="47"/>
    </row>
    <row r="119" spans="1:65" x14ac:dyDescent="0.2">
      <c r="A119" s="4"/>
      <c r="C119" s="117" t="s">
        <v>144</v>
      </c>
      <c r="D119" s="47">
        <f>SUM(D114:D118)</f>
        <v>48768</v>
      </c>
      <c r="E119" s="47">
        <f t="shared" ref="E119:H119" si="11">SUM(E114:E118)</f>
        <v>38248</v>
      </c>
      <c r="F119" s="46">
        <f t="shared" si="11"/>
        <v>31366.999999999996</v>
      </c>
      <c r="G119" s="47">
        <f t="shared" si="11"/>
        <v>6881.0000000000018</v>
      </c>
      <c r="H119" s="47">
        <f t="shared" si="11"/>
        <v>10520</v>
      </c>
      <c r="I119" s="47"/>
      <c r="J119" s="47"/>
    </row>
    <row r="120" spans="1:65" x14ac:dyDescent="0.2">
      <c r="A120" s="4"/>
      <c r="C120" s="121"/>
      <c r="D120" s="47"/>
      <c r="E120" s="47"/>
      <c r="F120" s="47"/>
      <c r="G120" s="47"/>
      <c r="H120" s="47"/>
      <c r="I120" s="47"/>
      <c r="J120" s="47"/>
    </row>
    <row r="121" spans="1:65" x14ac:dyDescent="0.2">
      <c r="A121" s="4"/>
      <c r="B121" s="4" t="s">
        <v>135</v>
      </c>
      <c r="C121" s="121"/>
      <c r="D121" s="47"/>
      <c r="E121" s="47"/>
      <c r="F121" s="47"/>
      <c r="G121" s="47"/>
      <c r="H121" s="47"/>
      <c r="I121" s="47"/>
      <c r="J121" s="47"/>
    </row>
    <row r="122" spans="1:65" x14ac:dyDescent="0.2">
      <c r="A122" s="4"/>
      <c r="B122" s="176" t="s">
        <v>178</v>
      </c>
      <c r="C122" s="176"/>
      <c r="D122" s="176"/>
      <c r="E122" s="176"/>
      <c r="F122" s="176"/>
      <c r="G122" s="176"/>
      <c r="H122" s="176"/>
      <c r="I122" s="176"/>
      <c r="J122" s="47"/>
    </row>
    <row r="123" spans="1:65" x14ac:dyDescent="0.2">
      <c r="A123" s="4"/>
      <c r="B123" s="176"/>
      <c r="C123" s="176"/>
      <c r="D123" s="176"/>
      <c r="E123" s="176"/>
      <c r="F123" s="176"/>
      <c r="G123" s="176"/>
      <c r="H123" s="176"/>
      <c r="I123" s="176"/>
      <c r="J123" s="47"/>
    </row>
    <row r="124" spans="1:65" x14ac:dyDescent="0.2">
      <c r="A124" s="4"/>
      <c r="C124" s="121"/>
      <c r="D124" s="47"/>
      <c r="E124" s="47"/>
      <c r="F124" s="47"/>
      <c r="G124" s="47"/>
      <c r="H124" s="47"/>
      <c r="I124" s="47"/>
      <c r="J124" s="47"/>
    </row>
    <row r="125" spans="1:65" ht="19" x14ac:dyDescent="0.25">
      <c r="A125" s="3" t="s">
        <v>2</v>
      </c>
      <c r="I125" s="47"/>
      <c r="J125" s="47"/>
      <c r="L125" s="6"/>
      <c r="M125" s="6"/>
      <c r="N125" s="6"/>
    </row>
    <row r="126" spans="1:65" ht="16" customHeight="1" x14ac:dyDescent="0.2">
      <c r="A126" s="6"/>
      <c r="B126" s="163" t="s">
        <v>271</v>
      </c>
      <c r="C126" s="163"/>
      <c r="D126" s="163"/>
      <c r="E126" s="163"/>
      <c r="F126" s="163"/>
      <c r="G126" s="163"/>
      <c r="H126" s="163"/>
      <c r="I126" s="163"/>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x14ac:dyDescent="0.2">
      <c r="A127" s="6"/>
      <c r="B127" s="163"/>
      <c r="C127" s="163"/>
      <c r="D127" s="163"/>
      <c r="E127" s="163"/>
      <c r="F127" s="163"/>
      <c r="G127" s="163"/>
      <c r="H127" s="163"/>
      <c r="I127" s="163"/>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x14ac:dyDescent="0.2">
      <c r="A128" s="6"/>
      <c r="B128" s="163"/>
      <c r="C128" s="163"/>
      <c r="D128" s="163"/>
      <c r="E128" s="163"/>
      <c r="F128" s="163"/>
      <c r="G128" s="163"/>
      <c r="H128" s="163"/>
      <c r="I128" s="163"/>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x14ac:dyDescent="0.2">
      <c r="A129" s="6"/>
      <c r="B129" s="140"/>
      <c r="C129" s="140"/>
      <c r="D129" s="140"/>
      <c r="E129" s="140"/>
      <c r="F129" s="140"/>
      <c r="G129" s="140"/>
      <c r="H129" s="140"/>
      <c r="I129" s="140"/>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x14ac:dyDescent="0.2">
      <c r="A130" s="6"/>
      <c r="B130" s="140" t="s">
        <v>272</v>
      </c>
      <c r="C130" s="140"/>
      <c r="D130" s="140"/>
      <c r="E130" s="140"/>
      <c r="F130" s="140"/>
      <c r="G130" s="140"/>
      <c r="H130" s="140"/>
      <c r="I130" s="140"/>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x14ac:dyDescent="0.2">
      <c r="A131" s="6"/>
      <c r="B131" s="140"/>
      <c r="C131" s="140"/>
      <c r="D131" s="140"/>
      <c r="E131" s="140"/>
      <c r="F131" s="140"/>
      <c r="G131" s="140"/>
      <c r="H131" s="140"/>
      <c r="I131" s="140"/>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5.75" customHeight="1" x14ac:dyDescent="0.2">
      <c r="A132" s="6"/>
      <c r="B132" s="163" t="s">
        <v>273</v>
      </c>
      <c r="C132" s="163"/>
      <c r="D132" s="163"/>
      <c r="E132" s="163"/>
      <c r="F132" s="163"/>
      <c r="G132" s="163"/>
      <c r="H132" s="163"/>
      <c r="I132" s="163"/>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x14ac:dyDescent="0.2">
      <c r="A133" s="6"/>
      <c r="B133" s="163"/>
      <c r="C133" s="163"/>
      <c r="D133" s="163"/>
      <c r="E133" s="163"/>
      <c r="F133" s="163"/>
      <c r="G133" s="163"/>
      <c r="H133" s="163"/>
      <c r="I133" s="163"/>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x14ac:dyDescent="0.2">
      <c r="A134" s="6"/>
      <c r="B134" s="48"/>
      <c r="C134" s="48"/>
      <c r="D134" s="48"/>
      <c r="E134" s="48"/>
      <c r="F134" s="48"/>
      <c r="G134" s="48"/>
      <c r="H134" s="48"/>
      <c r="I134" s="48"/>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9" x14ac:dyDescent="0.25">
      <c r="A135" s="3" t="s">
        <v>3</v>
      </c>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x14ac:dyDescent="0.2">
      <c r="A136" s="6"/>
      <c r="B136" s="19" t="s">
        <v>209</v>
      </c>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x14ac:dyDescent="0.2">
      <c r="A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9" x14ac:dyDescent="0.25">
      <c r="A138" s="3" t="s">
        <v>4</v>
      </c>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x14ac:dyDescent="0.2">
      <c r="A139" s="6"/>
      <c r="B139" s="19" t="s">
        <v>224</v>
      </c>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x14ac:dyDescent="0.2">
      <c r="A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x14ac:dyDescent="0.2">
      <c r="A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x14ac:dyDescent="0.2">
      <c r="A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x14ac:dyDescent="0.2">
      <c r="A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x14ac:dyDescent="0.2">
      <c r="A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x14ac:dyDescent="0.2">
      <c r="A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sheetData>
  <mergeCells count="20">
    <mergeCell ref="B80:F82"/>
    <mergeCell ref="B63:F65"/>
    <mergeCell ref="B54:F55"/>
    <mergeCell ref="B126:I128"/>
    <mergeCell ref="B132:I133"/>
    <mergeCell ref="B122:I123"/>
    <mergeCell ref="B4:I5"/>
    <mergeCell ref="B42:I43"/>
    <mergeCell ref="C112:H112"/>
    <mergeCell ref="B68:I70"/>
    <mergeCell ref="G72:J72"/>
    <mergeCell ref="B85:I87"/>
    <mergeCell ref="C103:H103"/>
    <mergeCell ref="F25:H25"/>
    <mergeCell ref="B39:I40"/>
    <mergeCell ref="B48:I49"/>
    <mergeCell ref="B57:I58"/>
    <mergeCell ref="G60:J60"/>
    <mergeCell ref="G51:J51"/>
    <mergeCell ref="B31:C31"/>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CB77-D4FE-9546-A6D5-524A9C3DD463}">
  <dimension ref="A1:BM91"/>
  <sheetViews>
    <sheetView showGridLines="0" zoomScale="120" zoomScaleNormal="120" workbookViewId="0"/>
  </sheetViews>
  <sheetFormatPr baseColWidth="10" defaultColWidth="10.83203125" defaultRowHeight="16" x14ac:dyDescent="0.2"/>
  <cols>
    <col min="1" max="1" width="10.83203125" style="19"/>
    <col min="2" max="3" width="10.83203125" style="19" customWidth="1"/>
    <col min="4" max="4" width="10.83203125" style="19"/>
    <col min="5" max="5" width="11.33203125" style="19" customWidth="1"/>
    <col min="6" max="6" width="10.83203125" style="19" customWidth="1"/>
    <col min="7" max="9" width="10.83203125" style="19"/>
    <col min="10" max="10" width="10.83203125" style="19" customWidth="1"/>
    <col min="11" max="16384" width="10.83203125" style="19"/>
  </cols>
  <sheetData>
    <row r="1" spans="1:10" ht="19" x14ac:dyDescent="0.25">
      <c r="A1" s="1" t="s">
        <v>233</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89" t="s">
        <v>313</v>
      </c>
      <c r="C4" s="189"/>
      <c r="D4" s="189"/>
      <c r="E4" s="189"/>
      <c r="F4" s="189"/>
      <c r="G4" s="189"/>
      <c r="H4" s="189"/>
      <c r="I4" s="189"/>
      <c r="J4" s="18"/>
    </row>
    <row r="5" spans="1:10" x14ac:dyDescent="0.2">
      <c r="A5" s="20"/>
      <c r="B5" s="189"/>
      <c r="C5" s="189"/>
      <c r="D5" s="189"/>
      <c r="E5" s="189"/>
      <c r="F5" s="189"/>
      <c r="G5" s="189"/>
      <c r="H5" s="189"/>
      <c r="I5" s="189"/>
      <c r="J5" s="18"/>
    </row>
    <row r="6" spans="1:10" x14ac:dyDescent="0.2">
      <c r="A6" s="20"/>
      <c r="B6" s="161"/>
      <c r="C6" s="161"/>
      <c r="D6" s="161"/>
      <c r="E6" s="161"/>
      <c r="F6" s="161"/>
      <c r="G6" s="161"/>
      <c r="H6" s="161"/>
      <c r="I6" s="161"/>
      <c r="J6" s="18"/>
    </row>
    <row r="7" spans="1:10" x14ac:dyDescent="0.2">
      <c r="A7" s="20"/>
      <c r="B7" s="190" t="s">
        <v>314</v>
      </c>
      <c r="C7" s="191"/>
      <c r="D7" s="191"/>
      <c r="E7" s="191"/>
      <c r="F7" s="191"/>
      <c r="G7" s="191"/>
      <c r="H7" s="192"/>
      <c r="I7" s="161"/>
      <c r="J7" s="18"/>
    </row>
    <row r="8" spans="1:10" x14ac:dyDescent="0.2">
      <c r="A8" s="20"/>
      <c r="B8" s="54" t="s">
        <v>149</v>
      </c>
      <c r="C8" s="55">
        <v>12</v>
      </c>
      <c r="D8" s="55">
        <v>24</v>
      </c>
      <c r="E8" s="55">
        <v>36</v>
      </c>
      <c r="F8" s="55">
        <v>48</v>
      </c>
      <c r="G8" s="55">
        <v>60</v>
      </c>
      <c r="H8" s="22">
        <v>72</v>
      </c>
      <c r="I8" s="21"/>
      <c r="J8" s="18"/>
    </row>
    <row r="9" spans="1:10" x14ac:dyDescent="0.2">
      <c r="A9" s="20"/>
      <c r="B9" s="59">
        <v>2017</v>
      </c>
      <c r="C9" s="98">
        <v>12620</v>
      </c>
      <c r="D9" s="98">
        <v>26400</v>
      </c>
      <c r="E9" s="98">
        <v>38660</v>
      </c>
      <c r="F9" s="98">
        <v>40980</v>
      </c>
      <c r="G9" s="98">
        <v>43120</v>
      </c>
      <c r="H9" s="99">
        <v>43790</v>
      </c>
      <c r="I9" s="21"/>
      <c r="J9" s="18"/>
    </row>
    <row r="10" spans="1:10" x14ac:dyDescent="0.2">
      <c r="A10" s="20"/>
      <c r="B10" s="59">
        <v>2018</v>
      </c>
      <c r="C10" s="98">
        <v>3800</v>
      </c>
      <c r="D10" s="98">
        <v>7920</v>
      </c>
      <c r="E10" s="98">
        <v>8290</v>
      </c>
      <c r="F10" s="98">
        <v>9330</v>
      </c>
      <c r="G10" s="98">
        <v>9380</v>
      </c>
      <c r="H10" s="99" t="s">
        <v>147</v>
      </c>
      <c r="I10" s="21"/>
      <c r="J10" s="18"/>
    </row>
    <row r="11" spans="1:10" x14ac:dyDescent="0.2">
      <c r="A11" s="20"/>
      <c r="B11" s="59">
        <v>2019</v>
      </c>
      <c r="C11" s="98">
        <v>8680</v>
      </c>
      <c r="D11" s="98">
        <v>22650</v>
      </c>
      <c r="E11" s="98">
        <v>26500</v>
      </c>
      <c r="F11" s="98">
        <v>31250</v>
      </c>
      <c r="G11" s="98" t="s">
        <v>147</v>
      </c>
      <c r="H11" s="99" t="s">
        <v>147</v>
      </c>
      <c r="I11" s="21"/>
      <c r="J11" s="18"/>
    </row>
    <row r="12" spans="1:10" x14ac:dyDescent="0.2">
      <c r="A12" s="20"/>
      <c r="B12" s="59">
        <v>2020</v>
      </c>
      <c r="C12" s="98">
        <v>4870</v>
      </c>
      <c r="D12" s="98">
        <v>5910</v>
      </c>
      <c r="E12" s="98">
        <v>6200</v>
      </c>
      <c r="F12" s="98" t="s">
        <v>147</v>
      </c>
      <c r="G12" s="98" t="s">
        <v>147</v>
      </c>
      <c r="H12" s="99" t="s">
        <v>147</v>
      </c>
      <c r="I12" s="21"/>
      <c r="J12" s="18"/>
    </row>
    <row r="13" spans="1:10" x14ac:dyDescent="0.2">
      <c r="A13" s="20"/>
      <c r="B13" s="59">
        <v>2021</v>
      </c>
      <c r="C13" s="98">
        <v>7650</v>
      </c>
      <c r="D13" s="98">
        <v>18260</v>
      </c>
      <c r="E13" s="98" t="s">
        <v>147</v>
      </c>
      <c r="F13" s="98" t="s">
        <v>147</v>
      </c>
      <c r="G13" s="98" t="s">
        <v>147</v>
      </c>
      <c r="H13" s="99" t="s">
        <v>147</v>
      </c>
      <c r="I13" s="21"/>
      <c r="J13" s="18"/>
    </row>
    <row r="14" spans="1:10" x14ac:dyDescent="0.2">
      <c r="A14" s="20"/>
      <c r="B14" s="60">
        <v>2022</v>
      </c>
      <c r="C14" s="100">
        <v>5450</v>
      </c>
      <c r="D14" s="100" t="s">
        <v>147</v>
      </c>
      <c r="E14" s="100" t="s">
        <v>147</v>
      </c>
      <c r="F14" s="100" t="s">
        <v>147</v>
      </c>
      <c r="G14" s="100" t="s">
        <v>147</v>
      </c>
      <c r="H14" s="101" t="s">
        <v>147</v>
      </c>
      <c r="I14" s="21"/>
      <c r="J14" s="18"/>
    </row>
    <row r="15" spans="1:10" x14ac:dyDescent="0.2">
      <c r="A15" s="20"/>
      <c r="B15" s="17"/>
      <c r="C15" s="17"/>
      <c r="D15" s="17"/>
      <c r="E15" s="17"/>
      <c r="F15" s="17"/>
      <c r="G15" s="17"/>
      <c r="H15" s="17"/>
      <c r="I15" s="17"/>
      <c r="J15" s="18"/>
    </row>
    <row r="16" spans="1:10" x14ac:dyDescent="0.2">
      <c r="A16" s="20"/>
      <c r="B16" s="190" t="s">
        <v>155</v>
      </c>
      <c r="C16" s="191"/>
      <c r="D16" s="191"/>
      <c r="E16" s="191"/>
      <c r="F16" s="191"/>
      <c r="G16" s="191"/>
      <c r="H16" s="192"/>
      <c r="I16" s="17"/>
      <c r="J16" s="18"/>
    </row>
    <row r="17" spans="1:10" x14ac:dyDescent="0.2">
      <c r="A17" s="20"/>
      <c r="B17" s="54"/>
      <c r="C17" s="78" t="s">
        <v>191</v>
      </c>
      <c r="D17" s="55" t="s">
        <v>183</v>
      </c>
      <c r="E17" s="55" t="s">
        <v>184</v>
      </c>
      <c r="F17" s="55" t="s">
        <v>185</v>
      </c>
      <c r="G17" s="55" t="s">
        <v>186</v>
      </c>
      <c r="H17" s="22" t="s">
        <v>153</v>
      </c>
      <c r="I17" s="17"/>
      <c r="J17" s="18"/>
    </row>
    <row r="18" spans="1:10" x14ac:dyDescent="0.2">
      <c r="A18" s="20"/>
      <c r="B18" s="159" t="s">
        <v>315</v>
      </c>
      <c r="C18" s="102">
        <f>ROUND(SUM(D9:D13)/SUM(C9:C13),3)</f>
        <v>2.157</v>
      </c>
      <c r="D18" s="102">
        <f>ROUND(SUM(E9:E12)/SUM(D9:D12),3)</f>
        <v>1.2669999999999999</v>
      </c>
      <c r="E18" s="102">
        <f>ROUND(SUM(F9:F11)/SUM(E9:E11),3)</f>
        <v>1.1100000000000001</v>
      </c>
      <c r="F18" s="102">
        <f>ROUND(SUM(G9:G10)/SUM(F9:F10),3)</f>
        <v>1.044</v>
      </c>
      <c r="G18" s="102">
        <f>ROUND(SUM(H9)/SUM(G9),3)</f>
        <v>1.016</v>
      </c>
      <c r="H18" s="103">
        <v>1</v>
      </c>
      <c r="I18" s="17"/>
      <c r="J18" s="18"/>
    </row>
    <row r="19" spans="1:10" x14ac:dyDescent="0.2">
      <c r="A19" s="20"/>
      <c r="B19" s="17"/>
      <c r="C19" s="17"/>
      <c r="D19" s="17"/>
      <c r="E19" s="17"/>
      <c r="F19" s="17"/>
      <c r="G19" s="17"/>
      <c r="H19" s="17"/>
      <c r="I19" s="17"/>
      <c r="J19" s="18"/>
    </row>
    <row r="20" spans="1:10" ht="16" customHeight="1" x14ac:dyDescent="0.2">
      <c r="A20" s="20"/>
      <c r="B20" s="193" t="s">
        <v>316</v>
      </c>
      <c r="C20" s="194"/>
      <c r="D20" s="194"/>
      <c r="E20" s="194"/>
      <c r="F20" s="194"/>
      <c r="G20" s="194"/>
      <c r="H20" s="194"/>
      <c r="I20" s="194"/>
      <c r="J20" s="18"/>
    </row>
    <row r="21" spans="1:10" x14ac:dyDescent="0.2">
      <c r="A21" s="20"/>
      <c r="B21" s="194"/>
      <c r="C21" s="194"/>
      <c r="D21" s="194"/>
      <c r="E21" s="194"/>
      <c r="F21" s="194"/>
      <c r="G21" s="194"/>
      <c r="H21" s="194"/>
      <c r="I21" s="194"/>
      <c r="J21" s="18"/>
    </row>
    <row r="22" spans="1:10" x14ac:dyDescent="0.2">
      <c r="A22" s="20"/>
      <c r="B22" s="194"/>
      <c r="C22" s="194"/>
      <c r="D22" s="194"/>
      <c r="E22" s="194"/>
      <c r="F22" s="194"/>
      <c r="G22" s="194"/>
      <c r="H22" s="194"/>
      <c r="I22" s="194"/>
      <c r="J22" s="18"/>
    </row>
    <row r="23" spans="1:10" x14ac:dyDescent="0.2">
      <c r="A23" s="20"/>
      <c r="B23" s="17"/>
      <c r="C23" s="17"/>
      <c r="D23" s="17"/>
      <c r="E23" s="17"/>
      <c r="F23" s="17"/>
      <c r="G23" s="17"/>
      <c r="H23" s="17"/>
      <c r="I23" s="17"/>
      <c r="J23" s="18"/>
    </row>
    <row r="24" spans="1:10" x14ac:dyDescent="0.2">
      <c r="A24" s="20"/>
      <c r="B24" s="17"/>
      <c r="C24" s="167" t="s">
        <v>151</v>
      </c>
      <c r="D24" s="175"/>
      <c r="E24" s="168"/>
      <c r="F24" s="17"/>
      <c r="G24" s="17"/>
      <c r="H24" s="17"/>
      <c r="I24" s="17"/>
      <c r="J24" s="18"/>
    </row>
    <row r="25" spans="1:10" ht="31" customHeight="1" x14ac:dyDescent="0.2">
      <c r="A25" s="20"/>
      <c r="B25" s="17"/>
      <c r="C25" s="74" t="s">
        <v>149</v>
      </c>
      <c r="D25" s="104" t="s">
        <v>51</v>
      </c>
      <c r="E25" s="105" t="s">
        <v>150</v>
      </c>
      <c r="F25" s="17"/>
      <c r="G25" s="17"/>
      <c r="H25" s="17"/>
      <c r="I25" s="17"/>
      <c r="J25" s="18"/>
    </row>
    <row r="26" spans="1:10" x14ac:dyDescent="0.2">
      <c r="A26" s="20"/>
      <c r="B26" s="17"/>
      <c r="C26" s="59">
        <v>2017</v>
      </c>
      <c r="D26" s="33">
        <v>29500</v>
      </c>
      <c r="E26" s="29">
        <v>30000</v>
      </c>
      <c r="F26" s="17"/>
      <c r="G26" s="17"/>
      <c r="H26" s="17"/>
      <c r="I26" s="17"/>
      <c r="J26" s="18"/>
    </row>
    <row r="27" spans="1:10" x14ac:dyDescent="0.2">
      <c r="A27" s="20"/>
      <c r="B27" s="17"/>
      <c r="C27" s="59">
        <v>2019</v>
      </c>
      <c r="D27" s="33">
        <v>20800</v>
      </c>
      <c r="E27" s="29">
        <v>24500</v>
      </c>
      <c r="F27" s="17"/>
      <c r="G27" s="17"/>
      <c r="H27" s="17"/>
      <c r="I27" s="17"/>
      <c r="J27" s="18"/>
    </row>
    <row r="28" spans="1:10" x14ac:dyDescent="0.2">
      <c r="A28" s="20"/>
      <c r="B28" s="17"/>
      <c r="C28" s="60">
        <v>2021</v>
      </c>
      <c r="D28" s="106">
        <v>14300</v>
      </c>
      <c r="E28" s="32">
        <v>42000</v>
      </c>
      <c r="F28" s="17"/>
      <c r="G28" s="17"/>
      <c r="H28" s="17"/>
      <c r="I28" s="17"/>
      <c r="J28" s="18"/>
    </row>
    <row r="29" spans="1:10" x14ac:dyDescent="0.2">
      <c r="A29" s="20"/>
      <c r="B29" s="17"/>
      <c r="C29" s="33"/>
      <c r="D29" s="33"/>
      <c r="E29" s="33"/>
      <c r="F29" s="17"/>
      <c r="G29" s="17"/>
      <c r="H29" s="17"/>
      <c r="I29" s="17"/>
      <c r="J29" s="18"/>
    </row>
    <row r="30" spans="1:10" x14ac:dyDescent="0.2">
      <c r="A30" s="20"/>
      <c r="B30" s="193" t="s">
        <v>154</v>
      </c>
      <c r="C30" s="194"/>
      <c r="D30" s="194"/>
      <c r="E30" s="194"/>
      <c r="F30" s="194"/>
      <c r="G30" s="194"/>
      <c r="H30" s="194"/>
      <c r="I30" s="194"/>
      <c r="J30" s="18"/>
    </row>
    <row r="31" spans="1:10" x14ac:dyDescent="0.2">
      <c r="A31" s="20"/>
      <c r="B31" s="194"/>
      <c r="C31" s="194"/>
      <c r="D31" s="194"/>
      <c r="E31" s="194"/>
      <c r="F31" s="194"/>
      <c r="G31" s="194"/>
      <c r="H31" s="194"/>
      <c r="I31" s="194"/>
      <c r="J31" s="18"/>
    </row>
    <row r="32" spans="1:10" ht="17" thickBot="1" x14ac:dyDescent="0.25">
      <c r="A32" s="39"/>
      <c r="B32" s="40"/>
      <c r="C32" s="41"/>
      <c r="D32" s="41"/>
      <c r="E32" s="41"/>
      <c r="F32" s="40"/>
      <c r="G32" s="40"/>
      <c r="H32" s="40"/>
      <c r="I32" s="40"/>
      <c r="J32" s="42"/>
    </row>
    <row r="34" spans="1:14" ht="19" x14ac:dyDescent="0.25">
      <c r="A34" s="3" t="s">
        <v>1</v>
      </c>
    </row>
    <row r="35" spans="1:14" ht="16" customHeight="1" x14ac:dyDescent="0.2">
      <c r="A35" s="12" t="s">
        <v>74</v>
      </c>
      <c r="B35" s="164" t="s">
        <v>317</v>
      </c>
      <c r="C35" s="164"/>
      <c r="D35" s="164"/>
      <c r="E35" s="164"/>
      <c r="F35" s="164"/>
      <c r="G35" s="164"/>
      <c r="H35" s="164"/>
      <c r="I35" s="164"/>
    </row>
    <row r="36" spans="1:14" ht="16" customHeight="1" x14ac:dyDescent="0.2">
      <c r="A36" s="12"/>
      <c r="B36" s="164"/>
      <c r="C36" s="164"/>
      <c r="D36" s="164"/>
      <c r="E36" s="164"/>
      <c r="F36" s="164"/>
      <c r="G36" s="164"/>
      <c r="H36" s="164"/>
      <c r="I36" s="164"/>
    </row>
    <row r="37" spans="1:14" ht="16" customHeight="1" x14ac:dyDescent="0.2">
      <c r="A37" s="12"/>
      <c r="B37" s="4"/>
      <c r="C37" s="43"/>
    </row>
    <row r="38" spans="1:14" ht="16" customHeight="1" x14ac:dyDescent="0.2">
      <c r="A38" s="4"/>
    </row>
    <row r="39" spans="1:14" ht="16" customHeight="1" x14ac:dyDescent="0.2">
      <c r="A39" s="4"/>
    </row>
    <row r="40" spans="1:14" ht="16" customHeight="1" x14ac:dyDescent="0.2">
      <c r="A40" s="4"/>
      <c r="C40" s="165" t="s">
        <v>181</v>
      </c>
      <c r="D40" s="165"/>
      <c r="E40" s="165"/>
      <c r="F40" s="165"/>
    </row>
    <row r="41" spans="1:14" ht="16" customHeight="1" x14ac:dyDescent="0.2">
      <c r="A41" s="4"/>
      <c r="C41" s="196" t="s">
        <v>149</v>
      </c>
      <c r="D41" s="158"/>
      <c r="E41" s="158"/>
      <c r="F41" s="198" t="s">
        <v>318</v>
      </c>
    </row>
    <row r="42" spans="1:14" ht="16" customHeight="1" x14ac:dyDescent="0.2">
      <c r="A42" s="4"/>
      <c r="C42" s="197"/>
      <c r="D42" s="69" t="s">
        <v>180</v>
      </c>
      <c r="E42" s="69" t="s">
        <v>189</v>
      </c>
      <c r="F42" s="199"/>
    </row>
    <row r="43" spans="1:14" ht="16" customHeight="1" x14ac:dyDescent="0.2">
      <c r="A43" s="4"/>
      <c r="C43" s="71">
        <v>2017</v>
      </c>
      <c r="D43" s="107">
        <f>H9</f>
        <v>43790</v>
      </c>
      <c r="E43" s="107">
        <f>D26</f>
        <v>29500</v>
      </c>
      <c r="F43" s="107">
        <f>D43-E43</f>
        <v>14290</v>
      </c>
      <c r="N43" s="6"/>
    </row>
    <row r="44" spans="1:14" ht="16" customHeight="1" x14ac:dyDescent="0.2">
      <c r="A44" s="4"/>
      <c r="C44" s="71">
        <v>2018</v>
      </c>
      <c r="D44" s="107">
        <f>G10</f>
        <v>9380</v>
      </c>
      <c r="E44" s="107">
        <v>0</v>
      </c>
      <c r="F44" s="107">
        <f t="shared" ref="F44:F48" si="0">D44-E44</f>
        <v>9380</v>
      </c>
      <c r="N44" s="6"/>
    </row>
    <row r="45" spans="1:14" ht="16" customHeight="1" x14ac:dyDescent="0.2">
      <c r="A45" s="4"/>
      <c r="C45" s="71">
        <v>2019</v>
      </c>
      <c r="D45" s="107">
        <f>F11</f>
        <v>31250</v>
      </c>
      <c r="E45" s="107">
        <f>D27</f>
        <v>20800</v>
      </c>
      <c r="F45" s="107">
        <f t="shared" si="0"/>
        <v>10450</v>
      </c>
      <c r="N45" s="6"/>
    </row>
    <row r="46" spans="1:14" ht="16" customHeight="1" x14ac:dyDescent="0.2">
      <c r="A46" s="4"/>
      <c r="C46" s="71">
        <v>2020</v>
      </c>
      <c r="D46" s="107">
        <f>E12</f>
        <v>6200</v>
      </c>
      <c r="E46" s="107">
        <v>0</v>
      </c>
      <c r="F46" s="107">
        <f t="shared" si="0"/>
        <v>6200</v>
      </c>
      <c r="N46" s="6"/>
    </row>
    <row r="47" spans="1:14" ht="16" customHeight="1" x14ac:dyDescent="0.2">
      <c r="A47" s="4"/>
      <c r="C47" s="71">
        <v>2021</v>
      </c>
      <c r="D47" s="107">
        <f>D13</f>
        <v>18260</v>
      </c>
      <c r="E47" s="107">
        <f>D28</f>
        <v>14300</v>
      </c>
      <c r="F47" s="107">
        <f t="shared" si="0"/>
        <v>3960</v>
      </c>
      <c r="G47" s="107"/>
      <c r="H47" s="107"/>
      <c r="I47" s="107"/>
      <c r="N47" s="6"/>
    </row>
    <row r="48" spans="1:14" ht="16" customHeight="1" x14ac:dyDescent="0.2">
      <c r="A48" s="4"/>
      <c r="C48" s="71">
        <v>2022</v>
      </c>
      <c r="D48" s="107">
        <f>C14</f>
        <v>5450</v>
      </c>
      <c r="E48" s="107">
        <v>0</v>
      </c>
      <c r="F48" s="107">
        <f t="shared" si="0"/>
        <v>5450</v>
      </c>
      <c r="G48" s="107"/>
      <c r="H48" s="107"/>
      <c r="I48" s="107"/>
      <c r="N48" s="6"/>
    </row>
    <row r="49" spans="1:14" ht="16" customHeight="1" x14ac:dyDescent="0.2">
      <c r="A49" s="4"/>
      <c r="F49" s="49"/>
      <c r="G49" s="107"/>
      <c r="H49" s="107"/>
      <c r="I49" s="107"/>
      <c r="N49" s="6"/>
    </row>
    <row r="50" spans="1:14" ht="16" customHeight="1" x14ac:dyDescent="0.2">
      <c r="A50" s="4"/>
      <c r="L50" s="6"/>
    </row>
    <row r="51" spans="1:14" ht="16" customHeight="1" x14ac:dyDescent="0.2">
      <c r="A51" s="12" t="s">
        <v>78</v>
      </c>
      <c r="B51" s="164" t="s">
        <v>322</v>
      </c>
      <c r="C51" s="164"/>
      <c r="D51" s="164"/>
      <c r="E51" s="164"/>
      <c r="F51" s="164"/>
      <c r="G51" s="164"/>
      <c r="H51" s="164"/>
      <c r="I51" s="164"/>
    </row>
    <row r="52" spans="1:14" ht="16" customHeight="1" x14ac:dyDescent="0.2">
      <c r="A52" s="12"/>
      <c r="B52" s="164"/>
      <c r="C52" s="164"/>
      <c r="D52" s="164"/>
      <c r="E52" s="164"/>
      <c r="F52" s="164"/>
      <c r="G52" s="164"/>
      <c r="H52" s="164"/>
      <c r="I52" s="164"/>
    </row>
    <row r="53" spans="1:14" ht="16" customHeight="1" x14ac:dyDescent="0.2">
      <c r="A53" s="4"/>
      <c r="B53" s="164"/>
      <c r="C53" s="164"/>
      <c r="D53" s="164"/>
      <c r="E53" s="164"/>
      <c r="F53" s="164"/>
      <c r="G53" s="164"/>
      <c r="H53" s="164"/>
      <c r="I53" s="164"/>
    </row>
    <row r="54" spans="1:14" ht="16" customHeight="1" x14ac:dyDescent="0.2">
      <c r="A54" s="4"/>
      <c r="H54" s="9"/>
      <c r="I54" s="9"/>
    </row>
    <row r="55" spans="1:14" x14ac:dyDescent="0.2">
      <c r="A55" s="4"/>
    </row>
    <row r="56" spans="1:14" x14ac:dyDescent="0.2">
      <c r="A56" s="4"/>
    </row>
    <row r="57" spans="1:14" ht="51" x14ac:dyDescent="0.2">
      <c r="A57" s="4"/>
      <c r="C57" s="44" t="s">
        <v>149</v>
      </c>
      <c r="D57" s="142" t="s">
        <v>188</v>
      </c>
      <c r="E57" s="162" t="s">
        <v>321</v>
      </c>
      <c r="F57" s="45" t="s">
        <v>182</v>
      </c>
    </row>
    <row r="58" spans="1:14" ht="16" customHeight="1" x14ac:dyDescent="0.2">
      <c r="A58" s="4"/>
      <c r="C58" s="71">
        <v>2017</v>
      </c>
      <c r="D58" s="92">
        <f>H18</f>
        <v>1</v>
      </c>
      <c r="E58" s="154">
        <f>E26</f>
        <v>30000</v>
      </c>
      <c r="F58" s="108">
        <f t="shared" ref="F58:F63" si="1">F43*D58+E58</f>
        <v>44290</v>
      </c>
      <c r="I58" s="6"/>
    </row>
    <row r="59" spans="1:14" ht="16" customHeight="1" x14ac:dyDescent="0.2">
      <c r="A59" s="4"/>
      <c r="C59" s="71">
        <v>2018</v>
      </c>
      <c r="D59" s="92">
        <f>PRODUCT(G18:H18)</f>
        <v>1.016</v>
      </c>
      <c r="E59" s="154">
        <v>0</v>
      </c>
      <c r="F59" s="108">
        <f>F44*D59+E59</f>
        <v>9530.08</v>
      </c>
      <c r="I59" s="6"/>
    </row>
    <row r="60" spans="1:14" ht="16" customHeight="1" x14ac:dyDescent="0.2">
      <c r="A60" s="4"/>
      <c r="C60" s="71">
        <v>2019</v>
      </c>
      <c r="D60" s="92">
        <f>PRODUCT(F18:H18)</f>
        <v>1.0607040000000001</v>
      </c>
      <c r="E60" s="154">
        <f>E27</f>
        <v>24500</v>
      </c>
      <c r="F60" s="108">
        <f>F45*D60+E60</f>
        <v>35584.356800000001</v>
      </c>
      <c r="I60" s="6"/>
    </row>
    <row r="61" spans="1:14" ht="16" customHeight="1" x14ac:dyDescent="0.2">
      <c r="A61" s="4"/>
      <c r="C61" s="71">
        <v>2020</v>
      </c>
      <c r="D61" s="92">
        <f>PRODUCT(E18:H18)</f>
        <v>1.17738144</v>
      </c>
      <c r="E61" s="154">
        <v>0</v>
      </c>
      <c r="F61" s="108">
        <f t="shared" si="1"/>
        <v>7299.7649279999996</v>
      </c>
    </row>
    <row r="62" spans="1:14" ht="16" customHeight="1" x14ac:dyDescent="0.2">
      <c r="A62" s="4"/>
      <c r="C62" s="71">
        <v>2021</v>
      </c>
      <c r="D62" s="92">
        <f>PRODUCT(D18:H18)</f>
        <v>1.4917422844800001</v>
      </c>
      <c r="E62" s="154">
        <f>E28</f>
        <v>42000</v>
      </c>
      <c r="F62" s="108">
        <f t="shared" si="1"/>
        <v>47907.299446540797</v>
      </c>
    </row>
    <row r="63" spans="1:14" ht="16" customHeight="1" x14ac:dyDescent="0.2">
      <c r="A63" s="4"/>
      <c r="C63" s="68">
        <v>2022</v>
      </c>
      <c r="D63" s="143">
        <f>PRODUCT(C18:H18)</f>
        <v>3.2176881076233603</v>
      </c>
      <c r="E63" s="155">
        <v>0</v>
      </c>
      <c r="F63" s="109">
        <f t="shared" si="1"/>
        <v>17536.400186547315</v>
      </c>
    </row>
    <row r="64" spans="1:14" ht="16" customHeight="1" x14ac:dyDescent="0.2">
      <c r="A64" s="4"/>
      <c r="C64" s="71" t="s">
        <v>144</v>
      </c>
      <c r="D64" s="92"/>
      <c r="E64" s="154">
        <f>SUM(E58:E63)</f>
        <v>96500</v>
      </c>
      <c r="F64" s="108">
        <f t="shared" ref="F64" si="2">SUM(F58:F63)</f>
        <v>162147.90136108809</v>
      </c>
      <c r="G64" s="108"/>
    </row>
    <row r="65" spans="1:65" ht="16" customHeight="1" x14ac:dyDescent="0.2">
      <c r="A65" s="4"/>
      <c r="G65" s="49"/>
      <c r="H65" s="92"/>
      <c r="I65" s="108"/>
      <c r="J65" s="108"/>
    </row>
    <row r="66" spans="1:65" ht="19" x14ac:dyDescent="0.25">
      <c r="A66" s="3" t="s">
        <v>2</v>
      </c>
      <c r="L66" s="6"/>
      <c r="M66" s="6"/>
      <c r="N66" s="6"/>
    </row>
    <row r="67" spans="1:65" ht="16" customHeight="1" x14ac:dyDescent="0.2">
      <c r="A67" s="6"/>
      <c r="B67" s="195" t="s">
        <v>320</v>
      </c>
      <c r="C67" s="195"/>
      <c r="D67" s="195"/>
      <c r="E67" s="195"/>
      <c r="F67" s="195"/>
      <c r="G67" s="195"/>
      <c r="H67" s="195"/>
      <c r="I67" s="195"/>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 customHeight="1" x14ac:dyDescent="0.2">
      <c r="A68" s="6"/>
      <c r="B68" s="195"/>
      <c r="C68" s="195"/>
      <c r="D68" s="195"/>
      <c r="E68" s="195"/>
      <c r="F68" s="195"/>
      <c r="G68" s="195"/>
      <c r="H68" s="195"/>
      <c r="I68" s="195"/>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x14ac:dyDescent="0.2">
      <c r="A69" s="6"/>
      <c r="B69" s="195"/>
      <c r="C69" s="195"/>
      <c r="D69" s="195"/>
      <c r="E69" s="195"/>
      <c r="F69" s="195"/>
      <c r="G69" s="195"/>
      <c r="H69" s="195"/>
      <c r="I69" s="195"/>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x14ac:dyDescent="0.2">
      <c r="A70" s="6"/>
      <c r="B70" s="160"/>
      <c r="C70" s="160"/>
      <c r="D70" s="160"/>
      <c r="E70" s="160"/>
      <c r="F70" s="160"/>
      <c r="G70" s="160"/>
      <c r="H70" s="160"/>
      <c r="I70" s="160"/>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x14ac:dyDescent="0.2">
      <c r="A71" s="6"/>
      <c r="B71" s="195" t="s">
        <v>270</v>
      </c>
      <c r="C71" s="195"/>
      <c r="D71" s="195"/>
      <c r="E71" s="195"/>
      <c r="F71" s="195"/>
      <c r="G71" s="195"/>
      <c r="H71" s="195"/>
      <c r="I71" s="195"/>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x14ac:dyDescent="0.2">
      <c r="A72" s="6"/>
      <c r="B72" s="195"/>
      <c r="C72" s="195"/>
      <c r="D72" s="195"/>
      <c r="E72" s="195"/>
      <c r="F72" s="195"/>
      <c r="G72" s="195"/>
      <c r="H72" s="195"/>
      <c r="I72" s="195"/>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x14ac:dyDescent="0.2">
      <c r="A73" s="6"/>
      <c r="B73" s="195"/>
      <c r="C73" s="195"/>
      <c r="D73" s="195"/>
      <c r="E73" s="195"/>
      <c r="F73" s="195"/>
      <c r="G73" s="195"/>
      <c r="H73" s="195"/>
      <c r="I73" s="195"/>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x14ac:dyDescent="0.2">
      <c r="A74" s="6"/>
      <c r="B74" s="160"/>
      <c r="C74" s="160"/>
      <c r="D74" s="160"/>
      <c r="E74" s="160"/>
      <c r="F74" s="160"/>
      <c r="G74" s="160"/>
      <c r="H74" s="160"/>
      <c r="I74" s="160"/>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5.75" customHeight="1" x14ac:dyDescent="0.2">
      <c r="A75" s="6"/>
      <c r="B75" s="195" t="s">
        <v>319</v>
      </c>
      <c r="C75" s="195"/>
      <c r="D75" s="195"/>
      <c r="E75" s="195"/>
      <c r="F75" s="195"/>
      <c r="G75" s="195"/>
      <c r="H75" s="195"/>
      <c r="I75" s="195"/>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x14ac:dyDescent="0.2">
      <c r="A76" s="6"/>
      <c r="B76" s="195"/>
      <c r="C76" s="195"/>
      <c r="D76" s="195"/>
      <c r="E76" s="195"/>
      <c r="F76" s="195"/>
      <c r="G76" s="195"/>
      <c r="H76" s="195"/>
      <c r="I76" s="195"/>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x14ac:dyDescent="0.2">
      <c r="A77" s="6"/>
      <c r="B77" s="195"/>
      <c r="C77" s="195"/>
      <c r="D77" s="195"/>
      <c r="E77" s="195"/>
      <c r="F77" s="195"/>
      <c r="G77" s="195"/>
      <c r="H77" s="195"/>
      <c r="I77" s="195"/>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x14ac:dyDescent="0.2">
      <c r="A78" s="6"/>
      <c r="B78" s="195"/>
      <c r="C78" s="195"/>
      <c r="D78" s="195"/>
      <c r="E78" s="195"/>
      <c r="F78" s="195"/>
      <c r="G78" s="195"/>
      <c r="H78" s="195"/>
      <c r="I78" s="195"/>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x14ac:dyDescent="0.2">
      <c r="A79" s="6"/>
      <c r="B79" s="195"/>
      <c r="C79" s="195"/>
      <c r="D79" s="195"/>
      <c r="E79" s="195"/>
      <c r="F79" s="195"/>
      <c r="G79" s="195"/>
      <c r="H79" s="195"/>
      <c r="I79" s="195"/>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x14ac:dyDescent="0.2">
      <c r="A80" s="6"/>
      <c r="B80" s="48"/>
      <c r="C80" s="48"/>
      <c r="D80" s="48"/>
      <c r="E80" s="48"/>
      <c r="F80" s="48"/>
      <c r="G80" s="48"/>
      <c r="H80" s="48"/>
      <c r="I80" s="48"/>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9" x14ac:dyDescent="0.25">
      <c r="A81" s="3" t="s">
        <v>3</v>
      </c>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x14ac:dyDescent="0.2">
      <c r="A82" s="6"/>
      <c r="B82" s="19" t="s">
        <v>190</v>
      </c>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x14ac:dyDescent="0.2">
      <c r="A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9" x14ac:dyDescent="0.25">
      <c r="A84" s="3" t="s">
        <v>4</v>
      </c>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x14ac:dyDescent="0.2">
      <c r="A85" s="6"/>
      <c r="B85" s="19" t="s">
        <v>225</v>
      </c>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x14ac:dyDescent="0.2">
      <c r="A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x14ac:dyDescent="0.2">
      <c r="A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x14ac:dyDescent="0.2">
      <c r="A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x14ac:dyDescent="0.2">
      <c r="A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x14ac:dyDescent="0.2">
      <c r="A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x14ac:dyDescent="0.2">
      <c r="A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sheetData>
  <mergeCells count="14">
    <mergeCell ref="B75:I79"/>
    <mergeCell ref="C40:F40"/>
    <mergeCell ref="B30:I31"/>
    <mergeCell ref="B35:I36"/>
    <mergeCell ref="B51:I53"/>
    <mergeCell ref="B67:I69"/>
    <mergeCell ref="B71:I73"/>
    <mergeCell ref="C41:C42"/>
    <mergeCell ref="F41:F42"/>
    <mergeCell ref="B4:I5"/>
    <mergeCell ref="C24:E24"/>
    <mergeCell ref="B7:H7"/>
    <mergeCell ref="B16:H16"/>
    <mergeCell ref="B20:I2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24A14-3DFC-AD45-81F8-63B5D2A27B3D}">
  <dimension ref="A1:BM133"/>
  <sheetViews>
    <sheetView showGridLines="0" zoomScale="120" zoomScaleNormal="120" workbookViewId="0"/>
  </sheetViews>
  <sheetFormatPr baseColWidth="10" defaultColWidth="10.83203125" defaultRowHeight="16" x14ac:dyDescent="0.2"/>
  <cols>
    <col min="1" max="1" width="10.83203125" style="19"/>
    <col min="2" max="3" width="10.83203125" style="19" customWidth="1"/>
    <col min="4" max="5" width="10.83203125" style="19"/>
    <col min="6" max="6" width="11.5" style="19" customWidth="1"/>
    <col min="7" max="8" width="10.83203125" style="19"/>
    <col min="9" max="9" width="11.6640625" style="19" bestFit="1" customWidth="1"/>
    <col min="10" max="10" width="10.83203125" style="19" customWidth="1"/>
    <col min="11" max="16384" width="10.83203125" style="19"/>
  </cols>
  <sheetData>
    <row r="1" spans="1:10" ht="19" x14ac:dyDescent="0.25">
      <c r="A1" s="1" t="s">
        <v>158</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ht="16" customHeight="1" x14ac:dyDescent="0.2">
      <c r="A4" s="20"/>
      <c r="B4" s="166" t="s">
        <v>159</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21"/>
      <c r="C6" s="21"/>
      <c r="D6" s="21"/>
      <c r="E6" s="21"/>
      <c r="F6" s="21"/>
      <c r="G6" s="21"/>
      <c r="H6" s="21"/>
      <c r="I6" s="21"/>
      <c r="J6" s="18"/>
    </row>
    <row r="7" spans="1:10" x14ac:dyDescent="0.2">
      <c r="A7" s="20"/>
      <c r="B7" s="200" t="s">
        <v>148</v>
      </c>
      <c r="C7" s="201"/>
      <c r="D7" s="201"/>
      <c r="E7" s="201"/>
      <c r="F7" s="201"/>
      <c r="G7" s="201"/>
      <c r="H7" s="202"/>
      <c r="I7" s="203" t="s">
        <v>156</v>
      </c>
      <c r="J7" s="18"/>
    </row>
    <row r="8" spans="1:10" ht="34" x14ac:dyDescent="0.2">
      <c r="A8" s="20"/>
      <c r="B8" s="74" t="s">
        <v>110</v>
      </c>
      <c r="C8" s="55">
        <v>12</v>
      </c>
      <c r="D8" s="55">
        <v>24</v>
      </c>
      <c r="E8" s="55">
        <v>36</v>
      </c>
      <c r="F8" s="55">
        <v>48</v>
      </c>
      <c r="G8" s="55">
        <v>60</v>
      </c>
      <c r="H8" s="22">
        <v>72</v>
      </c>
      <c r="I8" s="204"/>
      <c r="J8" s="18"/>
    </row>
    <row r="9" spans="1:10" x14ac:dyDescent="0.2">
      <c r="A9" s="20"/>
      <c r="B9" s="59">
        <v>2017</v>
      </c>
      <c r="C9" s="57">
        <v>2110</v>
      </c>
      <c r="D9" s="57">
        <v>6820</v>
      </c>
      <c r="E9" s="57">
        <v>10130</v>
      </c>
      <c r="F9" s="57">
        <v>11410</v>
      </c>
      <c r="G9" s="57">
        <v>11730</v>
      </c>
      <c r="H9" s="58">
        <v>12010</v>
      </c>
      <c r="I9" s="75">
        <v>14986</v>
      </c>
      <c r="J9" s="18"/>
    </row>
    <row r="10" spans="1:10" x14ac:dyDescent="0.2">
      <c r="A10" s="20"/>
      <c r="B10" s="59">
        <v>2018</v>
      </c>
      <c r="C10" s="57">
        <v>5340</v>
      </c>
      <c r="D10" s="57">
        <v>10730</v>
      </c>
      <c r="E10" s="57">
        <v>12670</v>
      </c>
      <c r="F10" s="57">
        <v>13370</v>
      </c>
      <c r="G10" s="57">
        <v>13650</v>
      </c>
      <c r="H10" s="58" t="s">
        <v>147</v>
      </c>
      <c r="I10" s="75">
        <v>17184</v>
      </c>
      <c r="J10" s="18"/>
    </row>
    <row r="11" spans="1:10" x14ac:dyDescent="0.2">
      <c r="A11" s="20"/>
      <c r="B11" s="59">
        <v>2019</v>
      </c>
      <c r="C11" s="57">
        <v>2430</v>
      </c>
      <c r="D11" s="57">
        <v>11070</v>
      </c>
      <c r="E11" s="57">
        <v>13690</v>
      </c>
      <c r="F11" s="57">
        <v>14110</v>
      </c>
      <c r="G11" s="57" t="s">
        <v>147</v>
      </c>
      <c r="H11" s="58" t="s">
        <v>147</v>
      </c>
      <c r="I11" s="75">
        <v>17348</v>
      </c>
      <c r="J11" s="18"/>
    </row>
    <row r="12" spans="1:10" x14ac:dyDescent="0.2">
      <c r="A12" s="20"/>
      <c r="B12" s="59">
        <v>2020</v>
      </c>
      <c r="C12" s="57">
        <v>2240</v>
      </c>
      <c r="D12" s="57">
        <v>7320</v>
      </c>
      <c r="E12" s="57">
        <v>8710</v>
      </c>
      <c r="F12" s="57" t="s">
        <v>147</v>
      </c>
      <c r="G12" s="57" t="s">
        <v>147</v>
      </c>
      <c r="H12" s="58" t="s">
        <v>147</v>
      </c>
      <c r="I12" s="75">
        <v>17650</v>
      </c>
      <c r="J12" s="18"/>
    </row>
    <row r="13" spans="1:10" x14ac:dyDescent="0.2">
      <c r="A13" s="20"/>
      <c r="B13" s="59">
        <v>2021</v>
      </c>
      <c r="C13" s="57">
        <v>3330</v>
      </c>
      <c r="D13" s="57">
        <v>10690</v>
      </c>
      <c r="E13" s="57" t="s">
        <v>147</v>
      </c>
      <c r="F13" s="57" t="s">
        <v>147</v>
      </c>
      <c r="G13" s="57" t="s">
        <v>147</v>
      </c>
      <c r="H13" s="58" t="s">
        <v>147</v>
      </c>
      <c r="I13" s="75">
        <v>16705</v>
      </c>
      <c r="J13" s="18"/>
    </row>
    <row r="14" spans="1:10" x14ac:dyDescent="0.2">
      <c r="A14" s="20"/>
      <c r="B14" s="60">
        <v>2022</v>
      </c>
      <c r="C14" s="61">
        <v>7740</v>
      </c>
      <c r="D14" s="61" t="s">
        <v>147</v>
      </c>
      <c r="E14" s="61" t="s">
        <v>147</v>
      </c>
      <c r="F14" s="61" t="s">
        <v>147</v>
      </c>
      <c r="G14" s="61" t="s">
        <v>147</v>
      </c>
      <c r="H14" s="62" t="s">
        <v>147</v>
      </c>
      <c r="I14" s="76">
        <v>17212</v>
      </c>
      <c r="J14" s="18"/>
    </row>
    <row r="15" spans="1:10" x14ac:dyDescent="0.2">
      <c r="A15" s="20"/>
      <c r="B15" s="17"/>
      <c r="C15" s="17"/>
      <c r="D15" s="17"/>
      <c r="E15" s="17"/>
      <c r="F15" s="17"/>
      <c r="G15" s="17"/>
      <c r="H15" s="17"/>
      <c r="I15" s="17"/>
      <c r="J15" s="18"/>
    </row>
    <row r="16" spans="1:10" ht="16" customHeight="1" x14ac:dyDescent="0.2">
      <c r="A16" s="20"/>
      <c r="B16" s="200" t="s">
        <v>197</v>
      </c>
      <c r="C16" s="201"/>
      <c r="D16" s="201"/>
      <c r="E16" s="201"/>
      <c r="F16" s="201"/>
      <c r="G16" s="202"/>
      <c r="H16" s="77"/>
      <c r="I16" s="17"/>
      <c r="J16" s="18"/>
    </row>
    <row r="17" spans="1:10" ht="34" x14ac:dyDescent="0.2">
      <c r="A17" s="20"/>
      <c r="B17" s="74" t="s">
        <v>110</v>
      </c>
      <c r="C17" s="78" t="s">
        <v>191</v>
      </c>
      <c r="D17" s="55" t="s">
        <v>183</v>
      </c>
      <c r="E17" s="55" t="s">
        <v>184</v>
      </c>
      <c r="F17" s="55" t="s">
        <v>185</v>
      </c>
      <c r="G17" s="22" t="s">
        <v>186</v>
      </c>
      <c r="H17" s="37"/>
      <c r="I17" s="17"/>
      <c r="J17" s="18"/>
    </row>
    <row r="18" spans="1:10" x14ac:dyDescent="0.2">
      <c r="A18" s="20"/>
      <c r="B18" s="59">
        <v>2017</v>
      </c>
      <c r="C18" s="79">
        <f>D9/C9</f>
        <v>3.2322274881516586</v>
      </c>
      <c r="D18" s="79">
        <f t="shared" ref="D18:G18" si="0">E9/D9</f>
        <v>1.4853372434017595</v>
      </c>
      <c r="E18" s="79">
        <f t="shared" si="0"/>
        <v>1.1263573543928924</v>
      </c>
      <c r="F18" s="79">
        <f t="shared" si="0"/>
        <v>1.028045574057844</v>
      </c>
      <c r="G18" s="80">
        <f t="shared" si="0"/>
        <v>1.0238704177323104</v>
      </c>
      <c r="H18" s="57"/>
      <c r="I18" s="17"/>
      <c r="J18" s="18"/>
    </row>
    <row r="19" spans="1:10" x14ac:dyDescent="0.2">
      <c r="A19" s="20"/>
      <c r="B19" s="59">
        <v>2018</v>
      </c>
      <c r="C19" s="79">
        <f t="shared" ref="C19:F19" si="1">D10/C10</f>
        <v>2.0093632958801497</v>
      </c>
      <c r="D19" s="79">
        <f t="shared" si="1"/>
        <v>1.1808014911463187</v>
      </c>
      <c r="E19" s="79">
        <f t="shared" si="1"/>
        <v>1.0552486187845305</v>
      </c>
      <c r="F19" s="79">
        <f t="shared" si="1"/>
        <v>1.0209424083769634</v>
      </c>
      <c r="G19" s="80"/>
      <c r="H19" s="57" t="s">
        <v>147</v>
      </c>
      <c r="I19" s="17"/>
      <c r="J19" s="18"/>
    </row>
    <row r="20" spans="1:10" x14ac:dyDescent="0.2">
      <c r="A20" s="20"/>
      <c r="B20" s="59">
        <v>2019</v>
      </c>
      <c r="C20" s="79">
        <f t="shared" ref="C20:E20" si="2">D11/C11</f>
        <v>4.5555555555555554</v>
      </c>
      <c r="D20" s="79">
        <f t="shared" si="2"/>
        <v>1.2366757000903343</v>
      </c>
      <c r="E20" s="79">
        <f t="shared" si="2"/>
        <v>1.0306793279766253</v>
      </c>
      <c r="F20" s="79"/>
      <c r="G20" s="80" t="s">
        <v>147</v>
      </c>
      <c r="H20" s="57" t="s">
        <v>147</v>
      </c>
      <c r="I20" s="17"/>
      <c r="J20" s="18"/>
    </row>
    <row r="21" spans="1:10" x14ac:dyDescent="0.2">
      <c r="A21" s="20"/>
      <c r="B21" s="59">
        <v>2020</v>
      </c>
      <c r="C21" s="79">
        <f t="shared" ref="C21:D21" si="3">D12/C12</f>
        <v>3.2678571428571428</v>
      </c>
      <c r="D21" s="79">
        <f t="shared" si="3"/>
        <v>1.1898907103825136</v>
      </c>
      <c r="E21" s="79"/>
      <c r="F21" s="79" t="s">
        <v>147</v>
      </c>
      <c r="G21" s="80" t="s">
        <v>147</v>
      </c>
      <c r="H21" s="57" t="s">
        <v>147</v>
      </c>
      <c r="I21" s="17"/>
      <c r="J21" s="18"/>
    </row>
    <row r="22" spans="1:10" x14ac:dyDescent="0.2">
      <c r="A22" s="20"/>
      <c r="B22" s="60">
        <v>2021</v>
      </c>
      <c r="C22" s="81">
        <f>D13/C13</f>
        <v>3.2102102102102101</v>
      </c>
      <c r="D22" s="81"/>
      <c r="E22" s="81" t="s">
        <v>147</v>
      </c>
      <c r="F22" s="81" t="s">
        <v>147</v>
      </c>
      <c r="G22" s="82" t="s">
        <v>147</v>
      </c>
      <c r="H22" s="57" t="s">
        <v>147</v>
      </c>
      <c r="I22" s="17"/>
      <c r="J22" s="18"/>
    </row>
    <row r="23" spans="1:10" x14ac:dyDescent="0.2">
      <c r="A23" s="20"/>
      <c r="B23" s="17"/>
      <c r="C23" s="17"/>
      <c r="D23" s="17"/>
      <c r="E23" s="17"/>
      <c r="F23" s="17"/>
      <c r="G23" s="17"/>
      <c r="H23" s="17"/>
      <c r="I23" s="17"/>
      <c r="J23" s="18"/>
    </row>
    <row r="24" spans="1:10" ht="16" customHeight="1" x14ac:dyDescent="0.2">
      <c r="A24" s="20"/>
      <c r="B24" s="200" t="s">
        <v>155</v>
      </c>
      <c r="C24" s="201"/>
      <c r="D24" s="201"/>
      <c r="E24" s="201"/>
      <c r="F24" s="201"/>
      <c r="G24" s="202"/>
      <c r="H24" s="77"/>
      <c r="I24" s="17"/>
      <c r="J24" s="18"/>
    </row>
    <row r="25" spans="1:10" x14ac:dyDescent="0.2">
      <c r="A25" s="20"/>
      <c r="B25" s="54"/>
      <c r="C25" s="78" t="s">
        <v>191</v>
      </c>
      <c r="D25" s="55" t="s">
        <v>183</v>
      </c>
      <c r="E25" s="55" t="s">
        <v>184</v>
      </c>
      <c r="F25" s="55" t="s">
        <v>185</v>
      </c>
      <c r="G25" s="22" t="s">
        <v>186</v>
      </c>
      <c r="H25" s="83"/>
      <c r="I25" s="17"/>
      <c r="J25" s="18"/>
    </row>
    <row r="26" spans="1:10" x14ac:dyDescent="0.2">
      <c r="A26" s="20"/>
      <c r="B26" s="60" t="s">
        <v>187</v>
      </c>
      <c r="C26" s="84">
        <v>3.0830000000000002</v>
      </c>
      <c r="D26" s="84">
        <v>1.2509999999999999</v>
      </c>
      <c r="E26" s="84">
        <v>1.0640000000000001</v>
      </c>
      <c r="F26" s="84">
        <v>1.028</v>
      </c>
      <c r="G26" s="85">
        <v>1.02</v>
      </c>
      <c r="H26" s="83"/>
      <c r="I26" s="17"/>
      <c r="J26" s="18"/>
    </row>
    <row r="27" spans="1:10" x14ac:dyDescent="0.2">
      <c r="A27" s="20"/>
      <c r="B27" s="37"/>
      <c r="C27" s="83"/>
      <c r="D27" s="83"/>
      <c r="E27" s="83"/>
      <c r="F27" s="83"/>
      <c r="G27" s="83"/>
      <c r="H27" s="83"/>
      <c r="I27" s="17"/>
      <c r="J27" s="18"/>
    </row>
    <row r="28" spans="1:10" x14ac:dyDescent="0.2">
      <c r="A28" s="20"/>
      <c r="B28" s="86" t="s">
        <v>157</v>
      </c>
      <c r="C28" s="83"/>
      <c r="D28" s="87">
        <v>0.85</v>
      </c>
      <c r="E28" s="83"/>
      <c r="F28" s="83"/>
      <c r="G28" s="83"/>
      <c r="H28" s="83"/>
      <c r="I28" s="17"/>
      <c r="J28" s="18"/>
    </row>
    <row r="29" spans="1:10" x14ac:dyDescent="0.2">
      <c r="A29" s="20"/>
      <c r="B29" s="86" t="s">
        <v>196</v>
      </c>
      <c r="C29" s="83"/>
      <c r="D29" s="88">
        <v>1.03</v>
      </c>
      <c r="E29" s="83"/>
      <c r="F29" s="83"/>
      <c r="G29" s="83"/>
      <c r="H29" s="83"/>
      <c r="I29" s="17"/>
      <c r="J29" s="18"/>
    </row>
    <row r="30" spans="1:10" x14ac:dyDescent="0.2">
      <c r="A30" s="20"/>
      <c r="B30" s="37"/>
      <c r="C30" s="83"/>
      <c r="D30" s="83"/>
      <c r="E30" s="83"/>
      <c r="F30" s="83"/>
      <c r="G30" s="83"/>
      <c r="H30" s="83"/>
      <c r="I30" s="17"/>
      <c r="J30" s="18"/>
    </row>
    <row r="31" spans="1:10" x14ac:dyDescent="0.2">
      <c r="A31" s="20"/>
      <c r="B31" s="17" t="s">
        <v>192</v>
      </c>
      <c r="C31" s="17"/>
      <c r="D31" s="17"/>
      <c r="E31" s="17"/>
      <c r="F31" s="17"/>
      <c r="G31" s="17"/>
      <c r="H31" s="17"/>
      <c r="I31" s="17"/>
      <c r="J31" s="18"/>
    </row>
    <row r="32" spans="1:10" x14ac:dyDescent="0.2">
      <c r="A32" s="20"/>
      <c r="B32" s="89" t="s">
        <v>161</v>
      </c>
      <c r="C32" s="17"/>
      <c r="D32" s="17"/>
      <c r="E32" s="17"/>
      <c r="F32" s="17"/>
      <c r="G32" s="17"/>
      <c r="H32" s="17"/>
      <c r="I32" s="17"/>
      <c r="J32" s="18"/>
    </row>
    <row r="33" spans="1:10" ht="16" customHeight="1" x14ac:dyDescent="0.2">
      <c r="A33" s="20"/>
      <c r="B33" s="86" t="s">
        <v>160</v>
      </c>
      <c r="C33" s="90"/>
      <c r="D33" s="90"/>
      <c r="E33" s="90"/>
      <c r="F33" s="90"/>
      <c r="G33" s="90"/>
      <c r="H33" s="90"/>
      <c r="I33" s="90"/>
      <c r="J33" s="18"/>
    </row>
    <row r="34" spans="1:10" ht="16" customHeight="1" x14ac:dyDescent="0.2">
      <c r="A34" s="20"/>
      <c r="B34" s="89" t="s">
        <v>202</v>
      </c>
      <c r="C34" s="90"/>
      <c r="D34" s="90"/>
      <c r="E34" s="90"/>
      <c r="F34" s="90"/>
      <c r="G34" s="90"/>
      <c r="H34" s="90"/>
      <c r="I34" s="90"/>
      <c r="J34" s="18"/>
    </row>
    <row r="35" spans="1:10" ht="17" thickBot="1" x14ac:dyDescent="0.25">
      <c r="A35" s="39"/>
      <c r="B35" s="40"/>
      <c r="C35" s="41"/>
      <c r="D35" s="41"/>
      <c r="E35" s="41"/>
      <c r="F35" s="40"/>
      <c r="G35" s="40"/>
      <c r="H35" s="40"/>
      <c r="I35" s="40"/>
      <c r="J35" s="42"/>
    </row>
    <row r="37" spans="1:10" ht="19" x14ac:dyDescent="0.25">
      <c r="A37" s="3" t="s">
        <v>1</v>
      </c>
    </row>
    <row r="38" spans="1:10" x14ac:dyDescent="0.2">
      <c r="A38" s="8" t="s">
        <v>179</v>
      </c>
      <c r="C38" s="43"/>
    </row>
    <row r="39" spans="1:10" ht="16" customHeight="1" x14ac:dyDescent="0.2">
      <c r="A39" s="12" t="s">
        <v>74</v>
      </c>
      <c r="B39" s="164" t="s">
        <v>198</v>
      </c>
      <c r="C39" s="164"/>
      <c r="D39" s="164"/>
      <c r="E39" s="164"/>
      <c r="F39" s="164"/>
      <c r="G39" s="164"/>
      <c r="H39" s="164"/>
      <c r="I39" s="164"/>
    </row>
    <row r="40" spans="1:10" ht="16" customHeight="1" x14ac:dyDescent="0.2">
      <c r="A40" s="12"/>
      <c r="B40" s="164"/>
      <c r="C40" s="164"/>
      <c r="D40" s="164"/>
      <c r="E40" s="164"/>
      <c r="F40" s="164"/>
      <c r="G40" s="164"/>
      <c r="H40" s="164"/>
      <c r="I40" s="164"/>
    </row>
    <row r="41" spans="1:10" ht="16" customHeight="1" x14ac:dyDescent="0.2">
      <c r="A41" s="12"/>
      <c r="B41" s="4"/>
      <c r="C41" s="43"/>
    </row>
    <row r="42" spans="1:10" ht="16" customHeight="1" x14ac:dyDescent="0.2">
      <c r="A42" s="12"/>
      <c r="B42" s="4"/>
      <c r="C42" s="43"/>
      <c r="I42" s="156" t="s">
        <v>312</v>
      </c>
    </row>
    <row r="43" spans="1:10" ht="16" customHeight="1" x14ac:dyDescent="0.2">
      <c r="A43" s="4"/>
      <c r="F43" s="91"/>
      <c r="G43" s="49" t="s">
        <v>164</v>
      </c>
      <c r="H43" s="49"/>
      <c r="I43" s="49" t="s">
        <v>134</v>
      </c>
      <c r="J43" s="49"/>
    </row>
    <row r="44" spans="1:10" ht="16" customHeight="1" x14ac:dyDescent="0.2">
      <c r="A44" s="4"/>
      <c r="F44" s="44" t="s">
        <v>96</v>
      </c>
      <c r="G44" s="45" t="s">
        <v>193</v>
      </c>
      <c r="H44" s="45" t="s">
        <v>152</v>
      </c>
      <c r="I44" s="45" t="s">
        <v>193</v>
      </c>
      <c r="J44" s="45" t="s">
        <v>143</v>
      </c>
    </row>
    <row r="45" spans="1:10" ht="16" customHeight="1" x14ac:dyDescent="0.2">
      <c r="A45" s="4"/>
      <c r="F45" s="71">
        <v>2017</v>
      </c>
      <c r="G45" s="50">
        <f>H9</f>
        <v>12010</v>
      </c>
      <c r="H45" s="92">
        <f>D29</f>
        <v>1.03</v>
      </c>
      <c r="I45" s="50">
        <f>H45*G45</f>
        <v>12370.300000000001</v>
      </c>
      <c r="J45" s="50">
        <f>I45-G45</f>
        <v>360.30000000000109</v>
      </c>
    </row>
    <row r="46" spans="1:10" ht="16" customHeight="1" x14ac:dyDescent="0.2">
      <c r="A46" s="4"/>
      <c r="F46" s="71">
        <v>2018</v>
      </c>
      <c r="G46" s="50">
        <f>G10</f>
        <v>13650</v>
      </c>
      <c r="H46" s="92">
        <f>PRODUCT(G26,D29)</f>
        <v>1.0506</v>
      </c>
      <c r="I46" s="50">
        <f t="shared" ref="I46:I50" si="4">H46*G46</f>
        <v>14340.69</v>
      </c>
      <c r="J46" s="50">
        <f t="shared" ref="J46:J50" si="5">I46-G46</f>
        <v>690.69000000000051</v>
      </c>
    </row>
    <row r="47" spans="1:10" ht="16" customHeight="1" x14ac:dyDescent="0.2">
      <c r="A47" s="4"/>
      <c r="F47" s="71">
        <v>2019</v>
      </c>
      <c r="G47" s="50">
        <f>F11</f>
        <v>14110</v>
      </c>
      <c r="H47" s="92">
        <f>PRODUCT(F26:G26,D29)</f>
        <v>1.0800167999999999</v>
      </c>
      <c r="I47" s="50">
        <f t="shared" si="4"/>
        <v>15239.037047999998</v>
      </c>
      <c r="J47" s="50">
        <f t="shared" si="5"/>
        <v>1129.0370479999983</v>
      </c>
    </row>
    <row r="48" spans="1:10" ht="16" customHeight="1" x14ac:dyDescent="0.2">
      <c r="A48" s="4"/>
      <c r="F48" s="71">
        <v>2020</v>
      </c>
      <c r="G48" s="50">
        <f>E12</f>
        <v>8710</v>
      </c>
      <c r="H48" s="92">
        <f>PRODUCT(E26:G26,D29)</f>
        <v>1.1491378752000003</v>
      </c>
      <c r="I48" s="50">
        <f t="shared" si="4"/>
        <v>10008.990892992002</v>
      </c>
      <c r="J48" s="50">
        <f t="shared" si="5"/>
        <v>1298.990892992002</v>
      </c>
    </row>
    <row r="49" spans="1:12" ht="16" customHeight="1" x14ac:dyDescent="0.2">
      <c r="A49" s="4"/>
      <c r="F49" s="71">
        <v>2021</v>
      </c>
      <c r="G49" s="50">
        <f>D13</f>
        <v>10690</v>
      </c>
      <c r="H49" s="92">
        <f>PRODUCT(D26:G26,D29)</f>
        <v>1.4375714818752001</v>
      </c>
      <c r="I49" s="50">
        <f t="shared" si="4"/>
        <v>15367.639141245889</v>
      </c>
      <c r="J49" s="50">
        <f t="shared" si="5"/>
        <v>4677.6391412458888</v>
      </c>
    </row>
    <row r="50" spans="1:12" ht="16" customHeight="1" x14ac:dyDescent="0.2">
      <c r="A50" s="4"/>
      <c r="F50" s="68">
        <v>2022</v>
      </c>
      <c r="G50" s="93">
        <f>C14</f>
        <v>7740</v>
      </c>
      <c r="H50" s="94">
        <f>PRODUCT(C26:G26,D29)</f>
        <v>4.432032878621242</v>
      </c>
      <c r="I50" s="93">
        <f t="shared" si="4"/>
        <v>34303.934480528413</v>
      </c>
      <c r="J50" s="93">
        <f t="shared" si="5"/>
        <v>26563.934480528413</v>
      </c>
    </row>
    <row r="51" spans="1:12" ht="16" customHeight="1" x14ac:dyDescent="0.2">
      <c r="A51" s="4"/>
      <c r="F51" s="71" t="s">
        <v>144</v>
      </c>
      <c r="G51" s="50">
        <f>SUM(G45:G50)</f>
        <v>66910</v>
      </c>
      <c r="H51" s="43"/>
      <c r="I51" s="50">
        <f t="shared" ref="I51:J51" si="6">SUM(I45:I50)</f>
        <v>101630.59156276632</v>
      </c>
      <c r="J51" s="50">
        <f t="shared" si="6"/>
        <v>34720.591562766305</v>
      </c>
    </row>
    <row r="52" spans="1:12" ht="16" customHeight="1" x14ac:dyDescent="0.2">
      <c r="A52" s="4"/>
    </row>
    <row r="53" spans="1:12" ht="16" customHeight="1" x14ac:dyDescent="0.2">
      <c r="A53" s="8" t="s">
        <v>199</v>
      </c>
      <c r="L53" s="6"/>
    </row>
    <row r="54" spans="1:12" ht="16" customHeight="1" x14ac:dyDescent="0.2">
      <c r="A54" s="12" t="s">
        <v>78</v>
      </c>
      <c r="B54" s="164" t="s">
        <v>200</v>
      </c>
      <c r="C54" s="164"/>
      <c r="D54" s="164"/>
      <c r="E54" s="164"/>
      <c r="F54" s="164"/>
      <c r="G54" s="164"/>
      <c r="H54" s="164"/>
      <c r="I54" s="164"/>
      <c r="L54" s="6"/>
    </row>
    <row r="55" spans="1:12" ht="16" customHeight="1" x14ac:dyDescent="0.2">
      <c r="A55" s="12"/>
      <c r="B55" s="164"/>
      <c r="C55" s="164"/>
      <c r="D55" s="164"/>
      <c r="E55" s="164"/>
      <c r="F55" s="164"/>
      <c r="G55" s="164"/>
      <c r="H55" s="164"/>
      <c r="I55" s="164"/>
      <c r="L55" s="6"/>
    </row>
    <row r="56" spans="1:12" ht="16" customHeight="1" x14ac:dyDescent="0.2">
      <c r="A56" s="4"/>
      <c r="L56" s="6"/>
    </row>
    <row r="57" spans="1:12" ht="16" customHeight="1" x14ac:dyDescent="0.2">
      <c r="A57" s="4"/>
    </row>
    <row r="58" spans="1:12" ht="16" customHeight="1" x14ac:dyDescent="0.2">
      <c r="A58" s="4"/>
    </row>
    <row r="59" spans="1:12" ht="16" customHeight="1" x14ac:dyDescent="0.2">
      <c r="A59" s="4"/>
      <c r="F59" s="156" t="s">
        <v>194</v>
      </c>
    </row>
    <row r="60" spans="1:12" ht="16" customHeight="1" x14ac:dyDescent="0.2">
      <c r="A60" s="4"/>
      <c r="C60" s="91"/>
      <c r="D60" s="49" t="s">
        <v>164</v>
      </c>
      <c r="E60" s="49"/>
      <c r="F60" s="49" t="s">
        <v>134</v>
      </c>
      <c r="G60" s="49"/>
    </row>
    <row r="61" spans="1:12" ht="16" customHeight="1" x14ac:dyDescent="0.2">
      <c r="C61" s="44" t="s">
        <v>96</v>
      </c>
      <c r="D61" s="45" t="s">
        <v>193</v>
      </c>
      <c r="E61" s="45" t="s">
        <v>156</v>
      </c>
      <c r="F61" s="45" t="s">
        <v>193</v>
      </c>
      <c r="G61" s="45" t="s">
        <v>143</v>
      </c>
    </row>
    <row r="62" spans="1:12" ht="16" customHeight="1" x14ac:dyDescent="0.2">
      <c r="C62" s="71">
        <v>2017</v>
      </c>
      <c r="D62" s="50">
        <f t="shared" ref="D62:D67" si="7">G45</f>
        <v>12010</v>
      </c>
      <c r="E62" s="50">
        <f t="shared" ref="E62:E67" si="8">I9</f>
        <v>14986</v>
      </c>
      <c r="F62" s="50">
        <f>E62*$D$28</f>
        <v>12738.1</v>
      </c>
      <c r="G62" s="50">
        <f>F62-D62</f>
        <v>728.10000000000036</v>
      </c>
    </row>
    <row r="63" spans="1:12" ht="16" customHeight="1" x14ac:dyDescent="0.2">
      <c r="C63" s="71">
        <v>2018</v>
      </c>
      <c r="D63" s="50">
        <f t="shared" si="7"/>
        <v>13650</v>
      </c>
      <c r="E63" s="50">
        <f t="shared" si="8"/>
        <v>17184</v>
      </c>
      <c r="F63" s="50">
        <f t="shared" ref="F63:F67" si="9">E63*$D$28</f>
        <v>14606.4</v>
      </c>
      <c r="G63" s="50">
        <f t="shared" ref="G63:G67" si="10">F63-D63</f>
        <v>956.39999999999964</v>
      </c>
      <c r="K63" s="6"/>
    </row>
    <row r="64" spans="1:12" ht="16" customHeight="1" x14ac:dyDescent="0.2">
      <c r="C64" s="71">
        <v>2019</v>
      </c>
      <c r="D64" s="50">
        <f t="shared" si="7"/>
        <v>14110</v>
      </c>
      <c r="E64" s="50">
        <f t="shared" si="8"/>
        <v>17348</v>
      </c>
      <c r="F64" s="50">
        <f>E64*$D$28</f>
        <v>14745.8</v>
      </c>
      <c r="G64" s="50">
        <f>F64-D64</f>
        <v>635.79999999999927</v>
      </c>
      <c r="K64" s="6"/>
    </row>
    <row r="65" spans="1:13" ht="16" customHeight="1" x14ac:dyDescent="0.2">
      <c r="C65" s="71">
        <v>2020</v>
      </c>
      <c r="D65" s="50">
        <f t="shared" si="7"/>
        <v>8710</v>
      </c>
      <c r="E65" s="50">
        <f t="shared" si="8"/>
        <v>17650</v>
      </c>
      <c r="F65" s="50">
        <f t="shared" si="9"/>
        <v>15002.5</v>
      </c>
      <c r="G65" s="50">
        <f t="shared" si="10"/>
        <v>6292.5</v>
      </c>
      <c r="K65" s="6"/>
    </row>
    <row r="66" spans="1:13" ht="16" customHeight="1" x14ac:dyDescent="0.2">
      <c r="C66" s="71">
        <v>2021</v>
      </c>
      <c r="D66" s="50">
        <f t="shared" si="7"/>
        <v>10690</v>
      </c>
      <c r="E66" s="50">
        <f t="shared" si="8"/>
        <v>16705</v>
      </c>
      <c r="F66" s="50">
        <f t="shared" si="9"/>
        <v>14199.25</v>
      </c>
      <c r="G66" s="50">
        <f t="shared" si="10"/>
        <v>3509.25</v>
      </c>
    </row>
    <row r="67" spans="1:13" ht="16" customHeight="1" x14ac:dyDescent="0.2">
      <c r="C67" s="68">
        <v>2022</v>
      </c>
      <c r="D67" s="93">
        <f t="shared" si="7"/>
        <v>7740</v>
      </c>
      <c r="E67" s="93">
        <f t="shared" si="8"/>
        <v>17212</v>
      </c>
      <c r="F67" s="93">
        <f t="shared" si="9"/>
        <v>14630.199999999999</v>
      </c>
      <c r="G67" s="93">
        <f t="shared" si="10"/>
        <v>6890.1999999999989</v>
      </c>
    </row>
    <row r="68" spans="1:13" ht="16" customHeight="1" x14ac:dyDescent="0.2">
      <c r="C68" s="71" t="s">
        <v>144</v>
      </c>
      <c r="D68" s="50">
        <f>SUM(D62:D67)</f>
        <v>66910</v>
      </c>
      <c r="E68" s="50">
        <f>SUM(E62:E67)</f>
        <v>101085</v>
      </c>
      <c r="F68" s="50">
        <f t="shared" ref="F68" si="11">SUM(F62:F67)</f>
        <v>85922.25</v>
      </c>
      <c r="G68" s="50">
        <f t="shared" ref="G68" si="12">SUM(G62:G67)</f>
        <v>19012.25</v>
      </c>
    </row>
    <row r="69" spans="1:13" ht="16" customHeight="1" x14ac:dyDescent="0.2"/>
    <row r="70" spans="1:13" ht="16" customHeight="1" x14ac:dyDescent="0.2">
      <c r="A70" s="8" t="s">
        <v>201</v>
      </c>
    </row>
    <row r="71" spans="1:13" ht="16" customHeight="1" x14ac:dyDescent="0.2">
      <c r="A71" s="12" t="s">
        <v>77</v>
      </c>
      <c r="B71" s="4" t="s">
        <v>203</v>
      </c>
      <c r="C71" s="4"/>
      <c r="D71" s="4"/>
      <c r="E71" s="4"/>
      <c r="F71" s="4"/>
      <c r="G71" s="4"/>
      <c r="H71" s="4"/>
      <c r="I71" s="4"/>
    </row>
    <row r="72" spans="1:13" ht="16" customHeight="1" x14ac:dyDescent="0.2">
      <c r="A72" s="12"/>
      <c r="B72" s="4"/>
      <c r="C72" s="4"/>
      <c r="D72" s="4"/>
      <c r="E72" s="4"/>
      <c r="F72" s="4"/>
      <c r="G72" s="4"/>
      <c r="H72" s="4"/>
      <c r="I72" s="4"/>
    </row>
    <row r="73" spans="1:13" ht="16" customHeight="1" x14ac:dyDescent="0.2">
      <c r="A73" s="4"/>
    </row>
    <row r="74" spans="1:13" ht="16" customHeight="1" x14ac:dyDescent="0.2">
      <c r="A74" s="4"/>
    </row>
    <row r="75" spans="1:13" ht="16" customHeight="1" x14ac:dyDescent="0.2">
      <c r="A75" s="4"/>
      <c r="M75" s="6"/>
    </row>
    <row r="76" spans="1:13" ht="16" customHeight="1" x14ac:dyDescent="0.2">
      <c r="A76" s="12" t="s">
        <v>76</v>
      </c>
      <c r="B76" s="164" t="s">
        <v>204</v>
      </c>
      <c r="C76" s="164"/>
      <c r="D76" s="164"/>
      <c r="E76" s="164"/>
      <c r="F76" s="164"/>
      <c r="G76" s="164"/>
      <c r="H76" s="164"/>
      <c r="I76" s="164"/>
    </row>
    <row r="77" spans="1:13" ht="16" customHeight="1" x14ac:dyDescent="0.2">
      <c r="A77" s="4"/>
      <c r="B77" s="164"/>
      <c r="C77" s="164"/>
      <c r="D77" s="164"/>
      <c r="E77" s="164"/>
      <c r="F77" s="164"/>
      <c r="G77" s="164"/>
      <c r="H77" s="164"/>
      <c r="I77" s="164"/>
    </row>
    <row r="78" spans="1:13" ht="16" customHeight="1" x14ac:dyDescent="0.2">
      <c r="A78" s="4"/>
    </row>
    <row r="79" spans="1:13" ht="16" customHeight="1" x14ac:dyDescent="0.2">
      <c r="A79" s="4"/>
    </row>
    <row r="80" spans="1:13" ht="16" customHeight="1" x14ac:dyDescent="0.2">
      <c r="A80" s="4"/>
    </row>
    <row r="81" spans="1:65" ht="16" customHeight="1" x14ac:dyDescent="0.2">
      <c r="A81" s="4"/>
    </row>
    <row r="82" spans="1:65" ht="16" customHeight="1" x14ac:dyDescent="0.2">
      <c r="A82" s="4"/>
      <c r="C82" s="91"/>
      <c r="D82" s="49" t="s">
        <v>164</v>
      </c>
      <c r="E82" s="49" t="s">
        <v>194</v>
      </c>
      <c r="F82" s="49"/>
      <c r="G82" s="49" t="s">
        <v>134</v>
      </c>
      <c r="H82" s="49"/>
    </row>
    <row r="83" spans="1:65" ht="16" customHeight="1" x14ac:dyDescent="0.2">
      <c r="A83" s="4"/>
      <c r="C83" s="44" t="s">
        <v>96</v>
      </c>
      <c r="D83" s="45" t="s">
        <v>193</v>
      </c>
      <c r="E83" s="45" t="s">
        <v>193</v>
      </c>
      <c r="F83" s="45" t="s">
        <v>195</v>
      </c>
      <c r="G83" s="45" t="s">
        <v>193</v>
      </c>
      <c r="H83" s="45" t="s">
        <v>143</v>
      </c>
    </row>
    <row r="84" spans="1:65" ht="16" customHeight="1" x14ac:dyDescent="0.2">
      <c r="A84" s="4"/>
      <c r="C84" s="71">
        <v>2017</v>
      </c>
      <c r="D84" s="50">
        <f t="shared" ref="D84:D89" si="13">G45</f>
        <v>12010</v>
      </c>
      <c r="E84" s="50">
        <f t="shared" ref="E84:E89" si="14">I9*$D$28</f>
        <v>12738.1</v>
      </c>
      <c r="F84" s="95">
        <f t="shared" ref="F84:F89" si="15">1-1/H45</f>
        <v>2.9126213592232997E-2</v>
      </c>
      <c r="G84" s="50">
        <f>D84+E84*F84</f>
        <v>12381.012621359223</v>
      </c>
      <c r="H84" s="50">
        <f t="shared" ref="H84:H89" si="16">G84-D84</f>
        <v>371.01262135922298</v>
      </c>
      <c r="L84" s="6"/>
    </row>
    <row r="85" spans="1:65" ht="16" customHeight="1" x14ac:dyDescent="0.2">
      <c r="A85" s="12"/>
      <c r="B85" s="4"/>
      <c r="C85" s="71">
        <v>2018</v>
      </c>
      <c r="D85" s="50">
        <f t="shared" si="13"/>
        <v>13650</v>
      </c>
      <c r="E85" s="50">
        <f t="shared" si="14"/>
        <v>14606.4</v>
      </c>
      <c r="F85" s="95">
        <f t="shared" si="15"/>
        <v>4.8162954502189215E-2</v>
      </c>
      <c r="G85" s="50">
        <f t="shared" ref="G85:G89" si="17">D85+E85*F85</f>
        <v>14353.487378640777</v>
      </c>
      <c r="H85" s="50">
        <f t="shared" si="16"/>
        <v>703.48737864077702</v>
      </c>
      <c r="L85" s="6"/>
    </row>
    <row r="86" spans="1:65" ht="16" customHeight="1" x14ac:dyDescent="0.2">
      <c r="A86" s="4"/>
      <c r="C86" s="71">
        <v>2019</v>
      </c>
      <c r="D86" s="50">
        <f t="shared" si="13"/>
        <v>14110</v>
      </c>
      <c r="E86" s="50">
        <f t="shared" si="14"/>
        <v>14745.8</v>
      </c>
      <c r="F86" s="95">
        <f t="shared" si="15"/>
        <v>7.4088477142207343E-2</v>
      </c>
      <c r="G86" s="50">
        <f t="shared" si="17"/>
        <v>15202.493866243562</v>
      </c>
      <c r="H86" s="50">
        <f t="shared" si="16"/>
        <v>1092.4938662435616</v>
      </c>
      <c r="L86" s="6"/>
    </row>
    <row r="87" spans="1:65" ht="16" customHeight="1" x14ac:dyDescent="0.2">
      <c r="A87" s="4"/>
      <c r="C87" s="71">
        <v>2020</v>
      </c>
      <c r="D87" s="50">
        <f t="shared" si="13"/>
        <v>8710</v>
      </c>
      <c r="E87" s="50">
        <f t="shared" si="14"/>
        <v>15002.5</v>
      </c>
      <c r="F87" s="96">
        <f t="shared" si="15"/>
        <v>0.12978240332914259</v>
      </c>
      <c r="G87" s="50">
        <f t="shared" si="17"/>
        <v>10657.060505945461</v>
      </c>
      <c r="H87" s="50">
        <f t="shared" si="16"/>
        <v>1947.060505945461</v>
      </c>
    </row>
    <row r="88" spans="1:65" ht="16" customHeight="1" x14ac:dyDescent="0.2">
      <c r="A88" s="4"/>
      <c r="C88" s="71">
        <v>2021</v>
      </c>
      <c r="D88" s="50">
        <f t="shared" si="13"/>
        <v>10690</v>
      </c>
      <c r="E88" s="50">
        <f t="shared" si="14"/>
        <v>14199.25</v>
      </c>
      <c r="F88" s="96">
        <f t="shared" si="15"/>
        <v>0.30438241672992994</v>
      </c>
      <c r="G88" s="50">
        <f t="shared" si="17"/>
        <v>15012.002030752457</v>
      </c>
      <c r="H88" s="50">
        <f t="shared" si="16"/>
        <v>4322.0020307524574</v>
      </c>
    </row>
    <row r="89" spans="1:65" ht="16" customHeight="1" x14ac:dyDescent="0.2">
      <c r="A89" s="4"/>
      <c r="C89" s="68">
        <v>2022</v>
      </c>
      <c r="D89" s="93">
        <f t="shared" si="13"/>
        <v>7740</v>
      </c>
      <c r="E89" s="93">
        <f t="shared" si="14"/>
        <v>14630.199999999999</v>
      </c>
      <c r="F89" s="97">
        <f t="shared" si="15"/>
        <v>0.77436990487509894</v>
      </c>
      <c r="G89" s="93">
        <f t="shared" si="17"/>
        <v>19069.186582303671</v>
      </c>
      <c r="H89" s="93">
        <f t="shared" si="16"/>
        <v>11329.186582303671</v>
      </c>
    </row>
    <row r="90" spans="1:65" ht="16" customHeight="1" x14ac:dyDescent="0.2">
      <c r="A90" s="4"/>
      <c r="C90" s="71" t="s">
        <v>144</v>
      </c>
      <c r="D90" s="50">
        <f>SUM(D84:D89)</f>
        <v>66910</v>
      </c>
      <c r="E90" s="50">
        <f>SUM(E84:E89)</f>
        <v>85922.25</v>
      </c>
      <c r="F90" s="43"/>
      <c r="G90" s="50">
        <f t="shared" ref="G90" si="18">SUM(G84:G89)</f>
        <v>86675.242985245161</v>
      </c>
      <c r="H90" s="50">
        <f t="shared" ref="H90" si="19">SUM(H84:H89)</f>
        <v>19765.242985245153</v>
      </c>
    </row>
    <row r="91" spans="1:65" x14ac:dyDescent="0.2">
      <c r="A91" s="4"/>
      <c r="L91" s="6"/>
    </row>
    <row r="92" spans="1:65" ht="19" x14ac:dyDescent="0.25">
      <c r="A92" s="3" t="s">
        <v>2</v>
      </c>
      <c r="L92" s="6"/>
      <c r="M92" s="6"/>
      <c r="N92" s="6"/>
    </row>
    <row r="93" spans="1:65" ht="19" x14ac:dyDescent="0.25">
      <c r="B93" s="7" t="s">
        <v>179</v>
      </c>
      <c r="M93" s="6"/>
      <c r="N93" s="6"/>
    </row>
    <row r="94" spans="1:65" x14ac:dyDescent="0.2">
      <c r="A94" s="6"/>
      <c r="B94" s="141" t="s">
        <v>255</v>
      </c>
      <c r="C94" s="48"/>
      <c r="D94" s="48"/>
      <c r="E94" s="48"/>
      <c r="F94" s="48"/>
      <c r="G94" s="48"/>
      <c r="H94" s="48"/>
      <c r="I94" s="48"/>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x14ac:dyDescent="0.2">
      <c r="A95" s="6"/>
      <c r="B95" s="141" t="s">
        <v>256</v>
      </c>
      <c r="C95" s="48"/>
      <c r="D95" s="48"/>
      <c r="E95" s="48"/>
      <c r="F95" s="48"/>
      <c r="G95" s="48"/>
      <c r="H95" s="48"/>
      <c r="I95" s="48"/>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x14ac:dyDescent="0.2">
      <c r="A96" s="6"/>
      <c r="B96" s="141" t="s">
        <v>257</v>
      </c>
      <c r="C96" s="48"/>
      <c r="D96" s="48"/>
      <c r="E96" s="48"/>
      <c r="F96" s="48"/>
      <c r="G96" s="48"/>
      <c r="H96" s="48"/>
      <c r="I96" s="48"/>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x14ac:dyDescent="0.2">
      <c r="A97" s="6"/>
      <c r="B97" s="48"/>
      <c r="C97" s="48"/>
      <c r="D97" s="48"/>
      <c r="E97" s="48"/>
      <c r="F97" s="48"/>
      <c r="G97" s="48"/>
      <c r="H97" s="48"/>
      <c r="I97" s="48"/>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9" x14ac:dyDescent="0.25">
      <c r="A98" s="6"/>
      <c r="B98" s="7" t="s">
        <v>205</v>
      </c>
      <c r="C98" s="48"/>
      <c r="D98" s="48"/>
      <c r="E98" s="48"/>
      <c r="F98" s="48"/>
      <c r="G98" s="48"/>
      <c r="H98" s="48"/>
      <c r="I98" s="48"/>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x14ac:dyDescent="0.2">
      <c r="A99" s="6"/>
      <c r="B99" s="141" t="s">
        <v>258</v>
      </c>
      <c r="C99" s="48"/>
      <c r="D99" s="48"/>
      <c r="E99" s="48"/>
      <c r="F99" s="48"/>
      <c r="G99" s="48"/>
      <c r="H99" s="48"/>
      <c r="I99" s="48"/>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x14ac:dyDescent="0.2">
      <c r="A100" s="6"/>
      <c r="B100" s="141" t="s">
        <v>259</v>
      </c>
      <c r="C100" s="48"/>
      <c r="D100" s="48"/>
      <c r="E100" s="48"/>
      <c r="F100" s="48"/>
      <c r="G100" s="48"/>
      <c r="H100" s="48"/>
      <c r="I100" s="48"/>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x14ac:dyDescent="0.2">
      <c r="A101" s="6"/>
      <c r="B101" s="141" t="s">
        <v>260</v>
      </c>
      <c r="C101" s="48"/>
      <c r="D101" s="48"/>
      <c r="E101" s="48"/>
      <c r="F101" s="48"/>
      <c r="G101" s="48"/>
      <c r="H101" s="48"/>
      <c r="I101" s="48"/>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x14ac:dyDescent="0.2">
      <c r="A102" s="6"/>
      <c r="B102" s="141" t="s">
        <v>261</v>
      </c>
      <c r="C102" s="48"/>
      <c r="D102" s="48"/>
      <c r="E102" s="48"/>
      <c r="F102" s="48"/>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x14ac:dyDescent="0.2">
      <c r="A103" s="6"/>
      <c r="B103" s="141"/>
      <c r="C103" s="48"/>
      <c r="D103" s="48"/>
      <c r="E103" s="48"/>
      <c r="F103" s="48"/>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9" x14ac:dyDescent="0.25">
      <c r="A104" s="6"/>
      <c r="B104" s="7" t="s">
        <v>199</v>
      </c>
      <c r="C104" s="48"/>
      <c r="D104" s="48"/>
      <c r="E104" s="48"/>
      <c r="F104" s="48"/>
      <c r="G104" s="48"/>
      <c r="H104" s="48"/>
      <c r="I104" s="48"/>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 customHeight="1" x14ac:dyDescent="0.2">
      <c r="A105" s="6"/>
      <c r="B105" s="163" t="s">
        <v>262</v>
      </c>
      <c r="C105" s="163"/>
      <c r="D105" s="163"/>
      <c r="E105" s="163"/>
      <c r="F105" s="163"/>
      <c r="G105" s="163"/>
      <c r="H105" s="163"/>
      <c r="I105" s="163"/>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x14ac:dyDescent="0.2">
      <c r="A106" s="6"/>
      <c r="B106" s="163"/>
      <c r="C106" s="163"/>
      <c r="D106" s="163"/>
      <c r="E106" s="163"/>
      <c r="F106" s="163"/>
      <c r="G106" s="163"/>
      <c r="H106" s="163"/>
      <c r="I106" s="163"/>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x14ac:dyDescent="0.2">
      <c r="A107" s="6"/>
      <c r="B107" s="53"/>
      <c r="C107" s="53"/>
      <c r="D107" s="53"/>
      <c r="E107" s="53"/>
      <c r="F107" s="53"/>
      <c r="G107" s="53"/>
      <c r="H107" s="53"/>
      <c r="I107" s="53"/>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x14ac:dyDescent="0.2">
      <c r="A108" s="6"/>
      <c r="B108" s="140" t="s">
        <v>263</v>
      </c>
      <c r="C108" s="53"/>
      <c r="D108" s="53"/>
      <c r="E108" s="53"/>
      <c r="F108" s="53"/>
      <c r="G108" s="53"/>
      <c r="H108" s="53"/>
      <c r="I108" s="53"/>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x14ac:dyDescent="0.2">
      <c r="A109" s="6"/>
      <c r="B109" s="140" t="s">
        <v>264</v>
      </c>
      <c r="C109" s="53"/>
      <c r="D109" s="53"/>
      <c r="E109" s="53"/>
      <c r="F109" s="53"/>
      <c r="G109" s="53"/>
      <c r="H109" s="53"/>
      <c r="I109" s="53"/>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x14ac:dyDescent="0.2">
      <c r="A110" s="6"/>
      <c r="B110" s="163" t="s">
        <v>265</v>
      </c>
      <c r="C110" s="163"/>
      <c r="D110" s="163"/>
      <c r="E110" s="163"/>
      <c r="F110" s="163"/>
      <c r="G110" s="163"/>
      <c r="H110" s="163"/>
      <c r="I110" s="163"/>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x14ac:dyDescent="0.2">
      <c r="A111" s="6"/>
      <c r="B111" s="163"/>
      <c r="C111" s="163"/>
      <c r="D111" s="163"/>
      <c r="E111" s="163"/>
      <c r="F111" s="163"/>
      <c r="G111" s="163"/>
      <c r="H111" s="163"/>
      <c r="I111" s="163"/>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x14ac:dyDescent="0.2">
      <c r="A112" s="6"/>
      <c r="B112" s="140" t="s">
        <v>266</v>
      </c>
      <c r="C112" s="53"/>
      <c r="D112" s="53"/>
      <c r="E112" s="53"/>
      <c r="F112" s="53"/>
      <c r="G112" s="53"/>
      <c r="H112" s="53"/>
      <c r="I112" s="53"/>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x14ac:dyDescent="0.2">
      <c r="A113" s="6"/>
      <c r="B113" s="140" t="s">
        <v>267</v>
      </c>
      <c r="C113" s="53"/>
      <c r="D113" s="53"/>
      <c r="E113" s="53"/>
      <c r="F113" s="53"/>
      <c r="G113" s="53"/>
      <c r="H113" s="53"/>
      <c r="I113" s="53"/>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x14ac:dyDescent="0.2">
      <c r="A114" s="6"/>
      <c r="G114" s="48"/>
      <c r="H114" s="48"/>
      <c r="I114" s="48"/>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9" x14ac:dyDescent="0.25">
      <c r="A115" s="6"/>
      <c r="B115" s="7" t="s">
        <v>201</v>
      </c>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6" customHeight="1" x14ac:dyDescent="0.2">
      <c r="A116" s="6"/>
      <c r="B116" s="140" t="s">
        <v>268</v>
      </c>
      <c r="C116" s="140"/>
      <c r="D116" s="140"/>
      <c r="E116" s="140"/>
      <c r="F116" s="140"/>
      <c r="G116" s="140"/>
      <c r="H116" s="140"/>
      <c r="I116" s="140"/>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x14ac:dyDescent="0.2">
      <c r="A117" s="6"/>
      <c r="B117" s="140"/>
      <c r="C117" s="140"/>
      <c r="D117" s="140"/>
      <c r="E117" s="140"/>
      <c r="F117" s="140"/>
      <c r="G117" s="140"/>
      <c r="H117" s="140"/>
      <c r="I117" s="140"/>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x14ac:dyDescent="0.2">
      <c r="A118" s="6"/>
      <c r="B118" s="163" t="s">
        <v>269</v>
      </c>
      <c r="C118" s="163"/>
      <c r="D118" s="163"/>
      <c r="E118" s="163"/>
      <c r="F118" s="163"/>
      <c r="G118" s="163"/>
      <c r="H118" s="163"/>
      <c r="I118" s="163"/>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x14ac:dyDescent="0.2">
      <c r="A119" s="6"/>
      <c r="B119" s="163"/>
      <c r="C119" s="163"/>
      <c r="D119" s="163"/>
      <c r="E119" s="163"/>
      <c r="F119" s="163"/>
      <c r="G119" s="163"/>
      <c r="H119" s="163"/>
      <c r="I119" s="163"/>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x14ac:dyDescent="0.2">
      <c r="A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9" x14ac:dyDescent="0.25">
      <c r="A121" s="3" t="s">
        <v>3</v>
      </c>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x14ac:dyDescent="0.2">
      <c r="A122" s="6"/>
      <c r="B122" s="19" t="s">
        <v>210</v>
      </c>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x14ac:dyDescent="0.2">
      <c r="A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9" x14ac:dyDescent="0.25">
      <c r="A124" s="3" t="s">
        <v>4</v>
      </c>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x14ac:dyDescent="0.2">
      <c r="A125" s="6"/>
      <c r="B125" s="19" t="s">
        <v>224</v>
      </c>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x14ac:dyDescent="0.2">
      <c r="A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x14ac:dyDescent="0.2">
      <c r="A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x14ac:dyDescent="0.2">
      <c r="A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x14ac:dyDescent="0.2">
      <c r="A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x14ac:dyDescent="0.2">
      <c r="A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x14ac:dyDescent="0.2">
      <c r="A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x14ac:dyDescent="0.2">
      <c r="K132" s="6"/>
      <c r="L132" s="6"/>
    </row>
    <row r="133" spans="1:65" x14ac:dyDescent="0.2">
      <c r="K133" s="6"/>
      <c r="L133" s="6"/>
    </row>
  </sheetData>
  <mergeCells count="11">
    <mergeCell ref="B4:I5"/>
    <mergeCell ref="B7:H7"/>
    <mergeCell ref="B39:I40"/>
    <mergeCell ref="B24:G24"/>
    <mergeCell ref="I7:I8"/>
    <mergeCell ref="B16:G16"/>
    <mergeCell ref="B54:I55"/>
    <mergeCell ref="B76:I77"/>
    <mergeCell ref="B105:I106"/>
    <mergeCell ref="B110:I111"/>
    <mergeCell ref="B118:I119"/>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39B1E-CA14-A840-8B32-F67A8224ACA3}">
  <dimension ref="A1:BN113"/>
  <sheetViews>
    <sheetView showGridLines="0" zoomScale="120" zoomScaleNormal="120" workbookViewId="0"/>
  </sheetViews>
  <sheetFormatPr baseColWidth="10" defaultColWidth="10.83203125" defaultRowHeight="16" x14ac:dyDescent="0.2"/>
  <cols>
    <col min="1" max="1" width="10.83203125" style="19"/>
    <col min="2" max="3" width="10.83203125" style="19" customWidth="1"/>
    <col min="4" max="5" width="10.83203125" style="19"/>
    <col min="6" max="6" width="10.83203125" style="19" customWidth="1"/>
    <col min="7" max="9" width="10.83203125" style="19"/>
    <col min="10" max="10" width="10.83203125" style="19" customWidth="1"/>
    <col min="11" max="16384" width="10.83203125" style="19"/>
  </cols>
  <sheetData>
    <row r="1" spans="1:10" ht="19" x14ac:dyDescent="0.25">
      <c r="A1" s="1" t="s">
        <v>227</v>
      </c>
      <c r="B1" s="17"/>
      <c r="C1" s="17"/>
      <c r="D1" s="17"/>
      <c r="E1" s="17"/>
      <c r="F1" s="17"/>
      <c r="G1" s="17"/>
      <c r="H1" s="17"/>
      <c r="I1" s="17"/>
      <c r="J1" s="18"/>
    </row>
    <row r="2" spans="1:10" x14ac:dyDescent="0.2">
      <c r="A2" s="20"/>
      <c r="B2" s="17"/>
      <c r="C2" s="17"/>
      <c r="D2" s="17"/>
      <c r="E2" s="17"/>
      <c r="F2" s="17"/>
      <c r="G2" s="17"/>
      <c r="H2" s="17"/>
      <c r="I2" s="17"/>
      <c r="J2" s="18"/>
    </row>
    <row r="3" spans="1:10" x14ac:dyDescent="0.2">
      <c r="A3" s="20"/>
      <c r="B3" s="2" t="s">
        <v>0</v>
      </c>
      <c r="C3" s="17"/>
      <c r="D3" s="17"/>
      <c r="E3" s="17"/>
      <c r="F3" s="17"/>
      <c r="G3" s="17"/>
      <c r="H3" s="17"/>
      <c r="I3" s="17"/>
      <c r="J3" s="18"/>
    </row>
    <row r="4" spans="1:10" x14ac:dyDescent="0.2">
      <c r="A4" s="20"/>
      <c r="B4" s="166" t="s">
        <v>212</v>
      </c>
      <c r="C4" s="166"/>
      <c r="D4" s="166"/>
      <c r="E4" s="166"/>
      <c r="F4" s="166"/>
      <c r="G4" s="166"/>
      <c r="H4" s="166"/>
      <c r="I4" s="166"/>
      <c r="J4" s="18"/>
    </row>
    <row r="5" spans="1:10" x14ac:dyDescent="0.2">
      <c r="A5" s="20"/>
      <c r="B5" s="166"/>
      <c r="C5" s="166"/>
      <c r="D5" s="166"/>
      <c r="E5" s="166"/>
      <c r="F5" s="166"/>
      <c r="G5" s="166"/>
      <c r="H5" s="166"/>
      <c r="I5" s="166"/>
      <c r="J5" s="18"/>
    </row>
    <row r="6" spans="1:10" x14ac:dyDescent="0.2">
      <c r="A6" s="20"/>
      <c r="B6" s="17"/>
      <c r="C6" s="17"/>
      <c r="D6" s="17"/>
      <c r="E6" s="17"/>
      <c r="F6" s="17"/>
      <c r="G6" s="17"/>
      <c r="H6" s="17"/>
      <c r="I6" s="17"/>
      <c r="J6" s="18"/>
    </row>
    <row r="7" spans="1:10" x14ac:dyDescent="0.2">
      <c r="A7" s="20"/>
      <c r="B7" s="206" t="s">
        <v>236</v>
      </c>
      <c r="C7" s="207"/>
      <c r="D7" s="207"/>
      <c r="E7" s="207"/>
      <c r="F7" s="207"/>
      <c r="G7" s="208"/>
      <c r="H7" s="17"/>
      <c r="I7" s="17"/>
      <c r="J7" s="18"/>
    </row>
    <row r="8" spans="1:10" x14ac:dyDescent="0.2">
      <c r="A8" s="20"/>
      <c r="B8" s="54" t="s">
        <v>96</v>
      </c>
      <c r="C8" s="55">
        <v>12</v>
      </c>
      <c r="D8" s="55">
        <v>24</v>
      </c>
      <c r="E8" s="55">
        <v>36</v>
      </c>
      <c r="F8" s="55">
        <v>48</v>
      </c>
      <c r="G8" s="22">
        <v>60</v>
      </c>
      <c r="H8" s="17"/>
      <c r="I8" s="17"/>
      <c r="J8" s="18"/>
    </row>
    <row r="9" spans="1:10" x14ac:dyDescent="0.2">
      <c r="A9" s="20"/>
      <c r="B9" s="56">
        <v>2018</v>
      </c>
      <c r="C9" s="57">
        <v>840</v>
      </c>
      <c r="D9" s="57">
        <v>2100</v>
      </c>
      <c r="E9" s="57">
        <v>3360</v>
      </c>
      <c r="F9" s="57">
        <v>4368</v>
      </c>
      <c r="G9" s="58">
        <v>4804.8</v>
      </c>
      <c r="H9" s="17"/>
      <c r="I9" s="17"/>
      <c r="J9" s="18"/>
    </row>
    <row r="10" spans="1:10" x14ac:dyDescent="0.2">
      <c r="A10" s="20"/>
      <c r="B10" s="59">
        <v>2019</v>
      </c>
      <c r="C10" s="57">
        <v>907.2</v>
      </c>
      <c r="D10" s="57">
        <v>2268</v>
      </c>
      <c r="E10" s="57">
        <v>3628.8</v>
      </c>
      <c r="F10" s="57">
        <v>4717.4399999999996</v>
      </c>
      <c r="G10" s="58"/>
      <c r="H10" s="17"/>
      <c r="I10" s="17"/>
      <c r="J10" s="18"/>
    </row>
    <row r="11" spans="1:10" x14ac:dyDescent="0.2">
      <c r="A11" s="20"/>
      <c r="B11" s="59">
        <v>2020</v>
      </c>
      <c r="C11" s="57">
        <v>979.78</v>
      </c>
      <c r="D11" s="57">
        <v>2449.4499999999998</v>
      </c>
      <c r="E11" s="57">
        <v>3919.12</v>
      </c>
      <c r="F11" s="57"/>
      <c r="G11" s="58"/>
      <c r="H11" s="17"/>
      <c r="I11" s="17"/>
      <c r="J11" s="18"/>
    </row>
    <row r="12" spans="1:10" x14ac:dyDescent="0.2">
      <c r="A12" s="20"/>
      <c r="B12" s="59">
        <v>2021</v>
      </c>
      <c r="C12" s="57">
        <v>1058.1600000000001</v>
      </c>
      <c r="D12" s="57">
        <v>2645.4</v>
      </c>
      <c r="E12" s="57"/>
      <c r="F12" s="57"/>
      <c r="G12" s="58"/>
      <c r="H12" s="17"/>
      <c r="I12" s="17"/>
      <c r="J12" s="18"/>
    </row>
    <row r="13" spans="1:10" x14ac:dyDescent="0.2">
      <c r="A13" s="20"/>
      <c r="B13" s="60">
        <v>2022</v>
      </c>
      <c r="C13" s="61">
        <v>1142.81</v>
      </c>
      <c r="D13" s="61"/>
      <c r="E13" s="61"/>
      <c r="F13" s="61"/>
      <c r="G13" s="62"/>
      <c r="H13" s="17"/>
      <c r="I13" s="17"/>
      <c r="J13" s="18"/>
    </row>
    <row r="14" spans="1:10" x14ac:dyDescent="0.2">
      <c r="A14" s="20"/>
      <c r="B14" s="17"/>
      <c r="C14" s="37"/>
      <c r="D14" s="37"/>
      <c r="E14" s="17"/>
      <c r="F14" s="17"/>
      <c r="G14" s="17"/>
      <c r="H14" s="17"/>
      <c r="I14" s="17"/>
      <c r="J14" s="18"/>
    </row>
    <row r="15" spans="1:10" x14ac:dyDescent="0.2">
      <c r="A15" s="20"/>
      <c r="B15" s="206" t="s">
        <v>235</v>
      </c>
      <c r="C15" s="207"/>
      <c r="D15" s="207"/>
      <c r="E15" s="207"/>
      <c r="F15" s="207"/>
      <c r="G15" s="208"/>
      <c r="H15" s="17"/>
      <c r="I15" s="17"/>
      <c r="J15" s="18"/>
    </row>
    <row r="16" spans="1:10" x14ac:dyDescent="0.2">
      <c r="A16" s="20"/>
      <c r="B16" s="54" t="s">
        <v>96</v>
      </c>
      <c r="C16" s="55">
        <v>12</v>
      </c>
      <c r="D16" s="55">
        <v>24</v>
      </c>
      <c r="E16" s="55">
        <v>36</v>
      </c>
      <c r="F16" s="55">
        <v>48</v>
      </c>
      <c r="G16" s="22">
        <v>60</v>
      </c>
      <c r="H16" s="17"/>
      <c r="I16" s="17"/>
      <c r="J16" s="18"/>
    </row>
    <row r="17" spans="1:10" x14ac:dyDescent="0.2">
      <c r="A17" s="20"/>
      <c r="B17" s="56">
        <v>2018</v>
      </c>
      <c r="C17" s="57">
        <v>425</v>
      </c>
      <c r="D17" s="57">
        <v>1062.5</v>
      </c>
      <c r="E17" s="57">
        <v>1700</v>
      </c>
      <c r="F17" s="57">
        <v>2210</v>
      </c>
      <c r="G17" s="58">
        <v>2431</v>
      </c>
      <c r="H17" s="17"/>
      <c r="I17" s="17"/>
      <c r="J17" s="18"/>
    </row>
    <row r="18" spans="1:10" x14ac:dyDescent="0.2">
      <c r="A18" s="20"/>
      <c r="B18" s="59">
        <v>2019</v>
      </c>
      <c r="C18" s="57">
        <v>446.25</v>
      </c>
      <c r="D18" s="57">
        <v>1115.6300000000001</v>
      </c>
      <c r="E18" s="57">
        <v>1785.01</v>
      </c>
      <c r="F18" s="57">
        <v>2320.5100000000002</v>
      </c>
      <c r="G18" s="58"/>
      <c r="H18" s="17"/>
      <c r="I18" s="17"/>
      <c r="J18" s="18"/>
    </row>
    <row r="19" spans="1:10" x14ac:dyDescent="0.2">
      <c r="A19" s="20"/>
      <c r="B19" s="59">
        <v>2020</v>
      </c>
      <c r="C19" s="57">
        <v>468.56</v>
      </c>
      <c r="D19" s="57">
        <v>1171.4000000000001</v>
      </c>
      <c r="E19" s="57">
        <v>1874.24</v>
      </c>
      <c r="F19" s="57"/>
      <c r="G19" s="58"/>
      <c r="H19" s="17"/>
      <c r="I19" s="17"/>
      <c r="J19" s="18"/>
    </row>
    <row r="20" spans="1:10" x14ac:dyDescent="0.2">
      <c r="A20" s="20"/>
      <c r="B20" s="59">
        <v>2021</v>
      </c>
      <c r="C20" s="57">
        <v>491.99</v>
      </c>
      <c r="D20" s="57">
        <v>1229.98</v>
      </c>
      <c r="E20" s="57"/>
      <c r="F20" s="57"/>
      <c r="G20" s="58"/>
      <c r="H20" s="17"/>
      <c r="I20" s="17"/>
      <c r="J20" s="18"/>
    </row>
    <row r="21" spans="1:10" x14ac:dyDescent="0.2">
      <c r="A21" s="20"/>
      <c r="B21" s="60">
        <v>2022</v>
      </c>
      <c r="C21" s="61">
        <v>516.59</v>
      </c>
      <c r="D21" s="61"/>
      <c r="E21" s="61"/>
      <c r="F21" s="61"/>
      <c r="G21" s="62"/>
      <c r="H21" s="17"/>
      <c r="I21" s="17"/>
      <c r="J21" s="18"/>
    </row>
    <row r="22" spans="1:10" x14ac:dyDescent="0.2">
      <c r="A22" s="20"/>
      <c r="B22" s="17"/>
      <c r="C22" s="63"/>
      <c r="D22" s="37"/>
      <c r="E22" s="17"/>
      <c r="F22" s="17"/>
      <c r="G22" s="17"/>
      <c r="H22" s="17"/>
      <c r="I22" s="17"/>
      <c r="J22" s="18"/>
    </row>
    <row r="23" spans="1:10" x14ac:dyDescent="0.2">
      <c r="A23" s="20"/>
      <c r="B23" s="206" t="s">
        <v>234</v>
      </c>
      <c r="C23" s="207"/>
      <c r="D23" s="207"/>
      <c r="E23" s="207"/>
      <c r="F23" s="207"/>
      <c r="G23" s="208"/>
      <c r="H23" s="17"/>
      <c r="I23" s="17"/>
      <c r="J23" s="18"/>
    </row>
    <row r="24" spans="1:10" x14ac:dyDescent="0.2">
      <c r="A24" s="20"/>
      <c r="B24" s="54" t="s">
        <v>96</v>
      </c>
      <c r="C24" s="55">
        <v>12</v>
      </c>
      <c r="D24" s="55">
        <v>24</v>
      </c>
      <c r="E24" s="55">
        <v>36</v>
      </c>
      <c r="F24" s="55">
        <v>48</v>
      </c>
      <c r="G24" s="22">
        <v>60</v>
      </c>
      <c r="H24" s="17"/>
      <c r="I24" s="17"/>
      <c r="J24" s="18"/>
    </row>
    <row r="25" spans="1:10" x14ac:dyDescent="0.2">
      <c r="A25" s="20"/>
      <c r="B25" s="56">
        <v>2018</v>
      </c>
      <c r="C25" s="64">
        <v>1.1499999999999999</v>
      </c>
      <c r="D25" s="64">
        <f>C26</f>
        <v>1.1200000000000001</v>
      </c>
      <c r="E25" s="64">
        <f>D26</f>
        <v>1.21</v>
      </c>
      <c r="F25" s="64">
        <f t="shared" ref="D25:G28" si="0">E26</f>
        <v>1.1399999999999999</v>
      </c>
      <c r="G25" s="65">
        <f t="shared" si="0"/>
        <v>1.07</v>
      </c>
      <c r="H25" s="17"/>
      <c r="I25" s="17"/>
      <c r="J25" s="18"/>
    </row>
    <row r="26" spans="1:10" x14ac:dyDescent="0.2">
      <c r="A26" s="20"/>
      <c r="B26" s="59">
        <v>2019</v>
      </c>
      <c r="C26" s="64">
        <v>1.1200000000000001</v>
      </c>
      <c r="D26" s="64">
        <f t="shared" si="0"/>
        <v>1.21</v>
      </c>
      <c r="E26" s="64">
        <f t="shared" si="0"/>
        <v>1.1399999999999999</v>
      </c>
      <c r="F26" s="64">
        <f t="shared" si="0"/>
        <v>1.07</v>
      </c>
      <c r="G26" s="65"/>
      <c r="H26" s="17"/>
      <c r="I26" s="17"/>
      <c r="J26" s="18"/>
    </row>
    <row r="27" spans="1:10" x14ac:dyDescent="0.2">
      <c r="A27" s="20"/>
      <c r="B27" s="59">
        <v>2020</v>
      </c>
      <c r="C27" s="64">
        <v>1.21</v>
      </c>
      <c r="D27" s="64">
        <f>C28</f>
        <v>1.1399999999999999</v>
      </c>
      <c r="E27" s="64">
        <f t="shared" si="0"/>
        <v>1.07</v>
      </c>
      <c r="F27" s="64"/>
      <c r="G27" s="65"/>
      <c r="H27" s="17"/>
      <c r="I27" s="17"/>
      <c r="J27" s="18"/>
    </row>
    <row r="28" spans="1:10" x14ac:dyDescent="0.2">
      <c r="A28" s="20"/>
      <c r="B28" s="59">
        <v>2021</v>
      </c>
      <c r="C28" s="64">
        <v>1.1399999999999999</v>
      </c>
      <c r="D28" s="64">
        <f t="shared" si="0"/>
        <v>1.07</v>
      </c>
      <c r="E28" s="64"/>
      <c r="F28" s="64"/>
      <c r="G28" s="65"/>
      <c r="H28" s="17"/>
      <c r="I28" s="17"/>
      <c r="J28" s="18"/>
    </row>
    <row r="29" spans="1:10" x14ac:dyDescent="0.2">
      <c r="A29" s="20"/>
      <c r="B29" s="60">
        <v>2022</v>
      </c>
      <c r="C29" s="66">
        <v>1.07</v>
      </c>
      <c r="D29" s="66"/>
      <c r="E29" s="66"/>
      <c r="F29" s="66"/>
      <c r="G29" s="67"/>
      <c r="H29" s="17"/>
      <c r="I29" s="17"/>
      <c r="J29" s="18"/>
    </row>
    <row r="30" spans="1:10" x14ac:dyDescent="0.2">
      <c r="A30" s="20"/>
      <c r="B30" s="37"/>
      <c r="C30" s="64"/>
      <c r="D30" s="64"/>
      <c r="E30" s="64"/>
      <c r="F30" s="64"/>
      <c r="G30" s="64"/>
      <c r="H30" s="17"/>
      <c r="I30" s="17"/>
      <c r="J30" s="18"/>
    </row>
    <row r="31" spans="1:10" x14ac:dyDescent="0.2">
      <c r="A31" s="20"/>
      <c r="B31" s="17" t="s">
        <v>211</v>
      </c>
      <c r="C31" s="17"/>
      <c r="D31" s="17"/>
      <c r="E31" s="17"/>
      <c r="F31" s="17"/>
      <c r="G31" s="17"/>
      <c r="H31" s="17"/>
      <c r="I31" s="17"/>
      <c r="J31" s="18"/>
    </row>
    <row r="32" spans="1:10" ht="17" thickBot="1" x14ac:dyDescent="0.25">
      <c r="A32" s="39"/>
      <c r="B32" s="40"/>
      <c r="C32" s="41"/>
      <c r="D32" s="41"/>
      <c r="E32" s="41"/>
      <c r="F32" s="40"/>
      <c r="G32" s="40"/>
      <c r="H32" s="40"/>
      <c r="I32" s="40"/>
      <c r="J32" s="42"/>
    </row>
    <row r="34" spans="1:13" ht="19" x14ac:dyDescent="0.25">
      <c r="A34" s="3" t="s">
        <v>1</v>
      </c>
    </row>
    <row r="35" spans="1:13" ht="16" customHeight="1" x14ac:dyDescent="0.2">
      <c r="A35" s="12" t="s">
        <v>74</v>
      </c>
      <c r="B35" s="164" t="s">
        <v>216</v>
      </c>
      <c r="C35" s="164"/>
      <c r="D35" s="164"/>
      <c r="E35" s="164"/>
      <c r="F35" s="164"/>
      <c r="G35" s="164"/>
      <c r="H35" s="164"/>
      <c r="I35" s="164"/>
    </row>
    <row r="36" spans="1:13" ht="16" customHeight="1" x14ac:dyDescent="0.2">
      <c r="A36" s="12"/>
      <c r="B36" s="164"/>
      <c r="C36" s="164"/>
      <c r="D36" s="164"/>
      <c r="E36" s="164"/>
      <c r="F36" s="164"/>
      <c r="G36" s="164"/>
      <c r="H36" s="164"/>
      <c r="I36" s="164"/>
    </row>
    <row r="37" spans="1:13" ht="16" customHeight="1" x14ac:dyDescent="0.2">
      <c r="A37" s="4"/>
    </row>
    <row r="38" spans="1:13" ht="16" customHeight="1" x14ac:dyDescent="0.2">
      <c r="A38" s="4"/>
    </row>
    <row r="39" spans="1:13" ht="16" customHeight="1" x14ac:dyDescent="0.2">
      <c r="A39" s="4"/>
    </row>
    <row r="40" spans="1:13" ht="16" customHeight="1" x14ac:dyDescent="0.2">
      <c r="A40" s="4"/>
      <c r="C40" s="19" t="s">
        <v>213</v>
      </c>
      <c r="E40" s="157">
        <f>C29</f>
        <v>1.07</v>
      </c>
      <c r="F40" s="6" t="s">
        <v>214</v>
      </c>
    </row>
    <row r="41" spans="1:13" ht="16" customHeight="1" x14ac:dyDescent="0.2">
      <c r="A41" s="4"/>
      <c r="B41" s="4"/>
    </row>
    <row r="42" spans="1:13" ht="16" customHeight="1" x14ac:dyDescent="0.2">
      <c r="A42" s="4"/>
      <c r="B42" s="4"/>
      <c r="C42" s="205" t="s">
        <v>251</v>
      </c>
      <c r="D42" s="205"/>
      <c r="E42" s="205"/>
      <c r="F42" s="205"/>
      <c r="G42" s="205"/>
      <c r="H42" s="205"/>
    </row>
    <row r="43" spans="1:13" ht="16" customHeight="1" x14ac:dyDescent="0.2">
      <c r="A43" s="4"/>
      <c r="B43" s="4"/>
      <c r="C43" s="68" t="s">
        <v>96</v>
      </c>
      <c r="D43" s="69">
        <v>12</v>
      </c>
      <c r="E43" s="69">
        <v>24</v>
      </c>
      <c r="F43" s="69">
        <v>36</v>
      </c>
      <c r="G43" s="69">
        <v>48</v>
      </c>
      <c r="H43" s="69">
        <v>60</v>
      </c>
      <c r="M43" s="6"/>
    </row>
    <row r="44" spans="1:13" ht="16" customHeight="1" x14ac:dyDescent="0.2">
      <c r="A44" s="4"/>
      <c r="B44" s="4"/>
      <c r="C44" s="70">
        <v>2018</v>
      </c>
      <c r="D44" s="50">
        <f>C17*$E$40</f>
        <v>454.75</v>
      </c>
      <c r="E44" s="50">
        <f>D17*$E$40</f>
        <v>1136.875</v>
      </c>
      <c r="F44" s="50">
        <f>E17*$E$40</f>
        <v>1819</v>
      </c>
      <c r="G44" s="50">
        <f>F17*$E$40</f>
        <v>2364.7000000000003</v>
      </c>
      <c r="H44" s="50">
        <f>G17*$E$40</f>
        <v>2601.17</v>
      </c>
      <c r="M44" s="6"/>
    </row>
    <row r="45" spans="1:13" ht="16" customHeight="1" x14ac:dyDescent="0.2">
      <c r="A45" s="4"/>
      <c r="B45" s="4"/>
      <c r="C45" s="71">
        <v>2019</v>
      </c>
      <c r="D45" s="50">
        <f>C18*$E$40</f>
        <v>477.48750000000001</v>
      </c>
      <c r="E45" s="50">
        <f>D18*$E$40</f>
        <v>1193.7241000000001</v>
      </c>
      <c r="F45" s="50">
        <f>E18*$E$40</f>
        <v>1909.9607000000001</v>
      </c>
      <c r="G45" s="50">
        <f>F18*$E$40</f>
        <v>2482.9457000000002</v>
      </c>
      <c r="H45" s="50"/>
      <c r="M45" s="6"/>
    </row>
    <row r="46" spans="1:13" ht="16" customHeight="1" x14ac:dyDescent="0.2">
      <c r="A46" s="4"/>
      <c r="B46" s="4"/>
      <c r="C46" s="71">
        <v>2020</v>
      </c>
      <c r="D46" s="50">
        <f>C19*$E$40</f>
        <v>501.35920000000004</v>
      </c>
      <c r="E46" s="50">
        <f>D19*$E$40</f>
        <v>1253.3980000000001</v>
      </c>
      <c r="F46" s="50">
        <f>E19*$E$40</f>
        <v>2005.4368000000002</v>
      </c>
      <c r="G46" s="50"/>
      <c r="H46" s="50"/>
      <c r="M46" s="6"/>
    </row>
    <row r="47" spans="1:13" ht="16" customHeight="1" x14ac:dyDescent="0.2">
      <c r="A47" s="4"/>
      <c r="B47" s="4"/>
      <c r="C47" s="71">
        <v>2021</v>
      </c>
      <c r="D47" s="50">
        <f>C20*$E$40</f>
        <v>526.42930000000001</v>
      </c>
      <c r="E47" s="50">
        <f>D20*$E$40</f>
        <v>1316.0786000000001</v>
      </c>
      <c r="F47" s="50"/>
      <c r="G47" s="50"/>
      <c r="H47" s="50"/>
      <c r="M47" s="6"/>
    </row>
    <row r="48" spans="1:13" ht="16" customHeight="1" x14ac:dyDescent="0.2">
      <c r="A48" s="4"/>
      <c r="B48" s="4"/>
      <c r="C48" s="71">
        <v>2022</v>
      </c>
      <c r="D48" s="50">
        <f>C21*$E$40</f>
        <v>552.75130000000001</v>
      </c>
      <c r="E48" s="50"/>
      <c r="F48" s="50"/>
      <c r="G48" s="50"/>
      <c r="H48" s="50"/>
      <c r="M48" s="6"/>
    </row>
    <row r="49" spans="1:65" ht="16" customHeight="1" x14ac:dyDescent="0.2">
      <c r="A49" s="4"/>
      <c r="L49" s="6"/>
    </row>
    <row r="50" spans="1:65" ht="16" customHeight="1" x14ac:dyDescent="0.2">
      <c r="A50" s="12" t="s">
        <v>78</v>
      </c>
      <c r="B50" s="4" t="s">
        <v>215</v>
      </c>
      <c r="C50" s="43"/>
    </row>
    <row r="51" spans="1:65" ht="16" customHeight="1" x14ac:dyDescent="0.2">
      <c r="A51" s="4"/>
    </row>
    <row r="52" spans="1:65" ht="16" customHeight="1" x14ac:dyDescent="0.2">
      <c r="A52" s="4"/>
      <c r="B52" s="4"/>
      <c r="C52" s="205" t="s">
        <v>241</v>
      </c>
      <c r="D52" s="205"/>
      <c r="E52" s="205"/>
      <c r="F52" s="205"/>
      <c r="G52" s="205"/>
      <c r="H52" s="205"/>
    </row>
    <row r="53" spans="1:65" ht="16" customHeight="1" x14ac:dyDescent="0.2">
      <c r="A53" s="4"/>
      <c r="B53" s="4"/>
      <c r="C53" s="68" t="s">
        <v>96</v>
      </c>
      <c r="D53" s="69">
        <v>12</v>
      </c>
      <c r="E53" s="69">
        <v>24</v>
      </c>
      <c r="F53" s="69">
        <v>36</v>
      </c>
      <c r="G53" s="69">
        <v>48</v>
      </c>
      <c r="H53" s="69">
        <v>60</v>
      </c>
      <c r="M53" s="6"/>
    </row>
    <row r="54" spans="1:65" ht="16" customHeight="1" x14ac:dyDescent="0.2">
      <c r="A54" s="4"/>
      <c r="B54" s="4"/>
      <c r="C54" s="70">
        <v>2018</v>
      </c>
      <c r="D54" s="50">
        <f>SUM(D44,C9)</f>
        <v>1294.75</v>
      </c>
      <c r="E54" s="50">
        <f>SUM(E44,D9)</f>
        <v>3236.875</v>
      </c>
      <c r="F54" s="50">
        <f>SUM(F44,E9)</f>
        <v>5179</v>
      </c>
      <c r="G54" s="50">
        <f>SUM(G44,F9)</f>
        <v>6732.7000000000007</v>
      </c>
      <c r="H54" s="50">
        <f>SUM(H44,G9)</f>
        <v>7405.97</v>
      </c>
      <c r="M54" s="6"/>
    </row>
    <row r="55" spans="1:65" ht="16" customHeight="1" x14ac:dyDescent="0.2">
      <c r="A55" s="4"/>
      <c r="B55" s="4"/>
      <c r="C55" s="71">
        <v>2019</v>
      </c>
      <c r="D55" s="50">
        <f>SUM(D45,C10)</f>
        <v>1384.6875</v>
      </c>
      <c r="E55" s="50">
        <f>SUM(E45,D10)</f>
        <v>3461.7241000000004</v>
      </c>
      <c r="F55" s="50">
        <f>SUM(F45,E10)</f>
        <v>5538.7607000000007</v>
      </c>
      <c r="G55" s="50">
        <f>SUM(G45,F10)</f>
        <v>7200.3856999999998</v>
      </c>
      <c r="H55" s="50"/>
      <c r="M55" s="6"/>
    </row>
    <row r="56" spans="1:65" ht="16" customHeight="1" x14ac:dyDescent="0.2">
      <c r="A56" s="4"/>
      <c r="B56" s="4"/>
      <c r="C56" s="71">
        <v>2020</v>
      </c>
      <c r="D56" s="50">
        <f>SUM(D46,C11)</f>
        <v>1481.1392000000001</v>
      </c>
      <c r="E56" s="50">
        <f>SUM(E46,D11)</f>
        <v>3702.848</v>
      </c>
      <c r="F56" s="50">
        <f>SUM(F46,E11)</f>
        <v>5924.5568000000003</v>
      </c>
      <c r="G56" s="50"/>
      <c r="H56" s="50"/>
      <c r="M56" s="6"/>
    </row>
    <row r="57" spans="1:65" ht="16" customHeight="1" x14ac:dyDescent="0.2">
      <c r="A57" s="4"/>
      <c r="B57" s="4"/>
      <c r="C57" s="71">
        <v>2021</v>
      </c>
      <c r="D57" s="50">
        <f>SUM(D47,C12)</f>
        <v>1584.5893000000001</v>
      </c>
      <c r="E57" s="50">
        <f>SUM(E47,D12)</f>
        <v>3961.4786000000004</v>
      </c>
      <c r="F57" s="50"/>
      <c r="G57" s="50"/>
      <c r="H57" s="50"/>
      <c r="M57" s="6"/>
    </row>
    <row r="58" spans="1:65" ht="16" customHeight="1" x14ac:dyDescent="0.2">
      <c r="A58" s="4"/>
      <c r="B58" s="4"/>
      <c r="C58" s="71">
        <v>2022</v>
      </c>
      <c r="D58" s="50">
        <f>SUM(D48,C13)</f>
        <v>1695.5612999999998</v>
      </c>
      <c r="E58" s="50"/>
      <c r="F58" s="50"/>
      <c r="G58" s="50"/>
      <c r="H58" s="50"/>
      <c r="M58" s="6"/>
    </row>
    <row r="59" spans="1:65" x14ac:dyDescent="0.2">
      <c r="A59" s="4"/>
    </row>
    <row r="60" spans="1:65" ht="19" x14ac:dyDescent="0.25">
      <c r="A60" s="3" t="s">
        <v>2</v>
      </c>
      <c r="L60" s="6"/>
      <c r="M60" s="6"/>
      <c r="N60" s="6"/>
    </row>
    <row r="61" spans="1:65" ht="16" customHeight="1" x14ac:dyDescent="0.2">
      <c r="A61" s="6"/>
      <c r="B61" s="163" t="s">
        <v>252</v>
      </c>
      <c r="C61" s="163"/>
      <c r="D61" s="163"/>
      <c r="E61" s="163"/>
      <c r="F61" s="163"/>
      <c r="G61" s="163"/>
      <c r="H61" s="163"/>
      <c r="I61" s="163"/>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x14ac:dyDescent="0.2">
      <c r="A62" s="6"/>
      <c r="B62" s="163"/>
      <c r="C62" s="163"/>
      <c r="D62" s="163"/>
      <c r="E62" s="163"/>
      <c r="F62" s="163"/>
      <c r="G62" s="163"/>
      <c r="H62" s="163"/>
      <c r="I62" s="163"/>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x14ac:dyDescent="0.2">
      <c r="A63" s="6"/>
      <c r="B63" s="163"/>
      <c r="C63" s="163"/>
      <c r="D63" s="163"/>
      <c r="E63" s="163"/>
      <c r="F63" s="163"/>
      <c r="G63" s="163"/>
      <c r="H63" s="163"/>
      <c r="I63" s="163"/>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x14ac:dyDescent="0.2">
      <c r="A64" s="6"/>
      <c r="B64" s="53"/>
      <c r="C64" s="53"/>
      <c r="D64" s="53"/>
      <c r="E64" s="53"/>
      <c r="F64" s="53"/>
      <c r="G64" s="53"/>
      <c r="H64" s="53"/>
      <c r="I64" s="53"/>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6" x14ac:dyDescent="0.2">
      <c r="A65" s="6"/>
      <c r="B65" s="163" t="s">
        <v>253</v>
      </c>
      <c r="C65" s="163"/>
      <c r="D65" s="163"/>
      <c r="E65" s="163"/>
      <c r="F65" s="163"/>
      <c r="G65" s="163"/>
      <c r="H65" s="163"/>
      <c r="I65" s="163"/>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6" x14ac:dyDescent="0.2">
      <c r="A66" s="6"/>
      <c r="B66" s="163"/>
      <c r="C66" s="163"/>
      <c r="D66" s="163"/>
      <c r="E66" s="163"/>
      <c r="F66" s="163"/>
      <c r="G66" s="163"/>
      <c r="H66" s="163"/>
      <c r="I66" s="163"/>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6" x14ac:dyDescent="0.2">
      <c r="A67" s="6"/>
      <c r="B67" s="163"/>
      <c r="C67" s="163"/>
      <c r="D67" s="163"/>
      <c r="E67" s="163"/>
      <c r="F67" s="163"/>
      <c r="G67" s="163"/>
      <c r="H67" s="163"/>
      <c r="I67" s="163"/>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6" x14ac:dyDescent="0.2">
      <c r="A68" s="6"/>
      <c r="B68" s="53"/>
      <c r="C68" s="53"/>
      <c r="D68" s="53"/>
      <c r="E68" s="53"/>
      <c r="F68" s="53"/>
      <c r="G68" s="53"/>
      <c r="H68" s="53"/>
      <c r="I68" s="53"/>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6" x14ac:dyDescent="0.2">
      <c r="A69" s="6"/>
      <c r="B69" s="163" t="s">
        <v>254</v>
      </c>
      <c r="C69" s="163"/>
      <c r="D69" s="163"/>
      <c r="E69" s="163"/>
      <c r="F69" s="163"/>
      <c r="G69" s="163"/>
      <c r="H69" s="163"/>
      <c r="I69" s="163"/>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6" x14ac:dyDescent="0.2">
      <c r="A70" s="6"/>
      <c r="B70" s="163"/>
      <c r="C70" s="163"/>
      <c r="D70" s="163"/>
      <c r="E70" s="163"/>
      <c r="F70" s="163"/>
      <c r="G70" s="163"/>
      <c r="H70" s="163"/>
      <c r="I70" s="163"/>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6" x14ac:dyDescent="0.2">
      <c r="A71" s="6"/>
      <c r="B71" s="48"/>
      <c r="C71" s="48"/>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row>
    <row r="72" spans="1:66" x14ac:dyDescent="0.2">
      <c r="A72" s="6"/>
      <c r="B72" s="48"/>
      <c r="C72" s="205" t="s">
        <v>218</v>
      </c>
      <c r="D72" s="205"/>
      <c r="E72" s="205"/>
      <c r="F72" s="205"/>
      <c r="G72" s="205"/>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row>
    <row r="73" spans="1:66" x14ac:dyDescent="0.2">
      <c r="A73" s="6"/>
      <c r="B73" s="48"/>
      <c r="C73" s="68" t="s">
        <v>96</v>
      </c>
      <c r="D73" s="72" t="s">
        <v>191</v>
      </c>
      <c r="E73" s="69" t="s">
        <v>183</v>
      </c>
      <c r="F73" s="69" t="s">
        <v>184</v>
      </c>
      <c r="G73" s="69" t="s">
        <v>185</v>
      </c>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row>
    <row r="74" spans="1:66" x14ac:dyDescent="0.2">
      <c r="A74" s="6"/>
      <c r="B74" s="48"/>
      <c r="C74" s="70">
        <v>2018</v>
      </c>
      <c r="D74" s="73">
        <f>D17/C17</f>
        <v>2.5</v>
      </c>
      <c r="E74" s="73">
        <f t="shared" ref="E74:G74" si="1">E17/D17</f>
        <v>1.6</v>
      </c>
      <c r="F74" s="73">
        <f t="shared" si="1"/>
        <v>1.3</v>
      </c>
      <c r="G74" s="73">
        <f t="shared" si="1"/>
        <v>1.1000000000000001</v>
      </c>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row>
    <row r="75" spans="1:66" x14ac:dyDescent="0.2">
      <c r="A75" s="6"/>
      <c r="B75" s="48"/>
      <c r="C75" s="71">
        <v>2019</v>
      </c>
      <c r="D75" s="73">
        <f t="shared" ref="D75:F75" si="2">D18/C18</f>
        <v>2.500011204481793</v>
      </c>
      <c r="E75" s="73">
        <f t="shared" si="2"/>
        <v>1.6000017927090522</v>
      </c>
      <c r="F75" s="73">
        <f t="shared" si="2"/>
        <v>1.2999983193371467</v>
      </c>
      <c r="G75" s="73"/>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row>
    <row r="76" spans="1:66" x14ac:dyDescent="0.2">
      <c r="A76" s="6"/>
      <c r="B76" s="48"/>
      <c r="C76" s="71">
        <v>2020</v>
      </c>
      <c r="D76" s="73">
        <f t="shared" ref="D76:E76" si="3">D19/C19</f>
        <v>2.5</v>
      </c>
      <c r="E76" s="73">
        <f t="shared" si="3"/>
        <v>1.5999999999999999</v>
      </c>
      <c r="F76" s="73"/>
      <c r="G76" s="73"/>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row>
    <row r="77" spans="1:66" x14ac:dyDescent="0.2">
      <c r="A77" s="6"/>
      <c r="B77" s="48"/>
      <c r="C77" s="71">
        <v>2021</v>
      </c>
      <c r="D77" s="73">
        <f>D20/C20</f>
        <v>2.500010162808187</v>
      </c>
      <c r="E77" s="73"/>
      <c r="F77" s="73"/>
      <c r="G77" s="73"/>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row>
    <row r="78" spans="1:66" x14ac:dyDescent="0.2">
      <c r="A78" s="6"/>
      <c r="B78" s="48"/>
      <c r="C78" s="48"/>
      <c r="D78" s="48"/>
      <c r="E78" s="48"/>
      <c r="F78" s="48"/>
      <c r="G78" s="48"/>
      <c r="H78" s="48"/>
      <c r="I78" s="48"/>
      <c r="J78" s="48"/>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row>
    <row r="79" spans="1:66" x14ac:dyDescent="0.2">
      <c r="A79" s="6"/>
      <c r="B79" s="48"/>
      <c r="C79" s="205" t="s">
        <v>219</v>
      </c>
      <c r="D79" s="205"/>
      <c r="E79" s="205"/>
      <c r="F79" s="205"/>
      <c r="G79" s="205"/>
      <c r="H79" s="48"/>
      <c r="I79" s="48"/>
      <c r="J79" s="48"/>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row>
    <row r="80" spans="1:66" x14ac:dyDescent="0.2">
      <c r="A80" s="6"/>
      <c r="B80" s="48"/>
      <c r="C80" s="68" t="s">
        <v>96</v>
      </c>
      <c r="D80" s="72" t="s">
        <v>191</v>
      </c>
      <c r="E80" s="69" t="s">
        <v>183</v>
      </c>
      <c r="F80" s="69" t="s">
        <v>184</v>
      </c>
      <c r="G80" s="69" t="s">
        <v>185</v>
      </c>
      <c r="H80" s="48"/>
      <c r="I80" s="48"/>
      <c r="J80" s="48"/>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row>
    <row r="81" spans="1:66" x14ac:dyDescent="0.2">
      <c r="A81" s="6"/>
      <c r="B81" s="48"/>
      <c r="C81" s="70">
        <v>2018</v>
      </c>
      <c r="D81" s="73">
        <f>E44/D44</f>
        <v>2.5</v>
      </c>
      <c r="E81" s="73">
        <f t="shared" ref="E81:G81" si="4">F44/E44</f>
        <v>1.6</v>
      </c>
      <c r="F81" s="73">
        <f t="shared" si="4"/>
        <v>1.3</v>
      </c>
      <c r="G81" s="73">
        <f t="shared" si="4"/>
        <v>1.0999999999999999</v>
      </c>
      <c r="H81" s="48"/>
      <c r="I81" s="48"/>
      <c r="J81" s="48"/>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row>
    <row r="82" spans="1:66" x14ac:dyDescent="0.2">
      <c r="A82" s="6"/>
      <c r="B82" s="48"/>
      <c r="C82" s="71">
        <v>2019</v>
      </c>
      <c r="D82" s="73">
        <f t="shared" ref="D82:F82" si="5">E45/D45</f>
        <v>2.500011204481793</v>
      </c>
      <c r="E82" s="73">
        <f t="shared" si="5"/>
        <v>1.6000017927090522</v>
      </c>
      <c r="F82" s="73">
        <f t="shared" si="5"/>
        <v>1.2999983193371467</v>
      </c>
      <c r="G82" s="73"/>
      <c r="H82" s="48"/>
      <c r="I82" s="48"/>
      <c r="J82" s="48"/>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row>
    <row r="83" spans="1:66" x14ac:dyDescent="0.2">
      <c r="A83" s="6"/>
      <c r="B83" s="48"/>
      <c r="C83" s="71">
        <v>2020</v>
      </c>
      <c r="D83" s="73">
        <f t="shared" ref="D83:E83" si="6">E46/D46</f>
        <v>2.5</v>
      </c>
      <c r="E83" s="73">
        <f t="shared" si="6"/>
        <v>1.5999999999999999</v>
      </c>
      <c r="F83" s="73"/>
      <c r="G83" s="73"/>
      <c r="H83" s="48"/>
      <c r="I83" s="48"/>
      <c r="J83" s="48"/>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row>
    <row r="84" spans="1:66" x14ac:dyDescent="0.2">
      <c r="A84" s="6"/>
      <c r="B84" s="48"/>
      <c r="C84" s="71">
        <v>2021</v>
      </c>
      <c r="D84" s="73">
        <f>E47/D47</f>
        <v>2.500010162808187</v>
      </c>
      <c r="E84" s="73"/>
      <c r="F84" s="73"/>
      <c r="G84" s="73"/>
      <c r="H84" s="48"/>
      <c r="I84" s="48"/>
      <c r="J84" s="48"/>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row>
    <row r="85" spans="1:66" x14ac:dyDescent="0.2">
      <c r="A85" s="6"/>
      <c r="B85" s="48"/>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row>
    <row r="86" spans="1:66" ht="15.75" customHeight="1" x14ac:dyDescent="0.2">
      <c r="A86" s="6"/>
      <c r="B86" s="163" t="s">
        <v>220</v>
      </c>
      <c r="C86" s="163"/>
      <c r="D86" s="163"/>
      <c r="E86" s="163"/>
      <c r="F86" s="163"/>
      <c r="G86" s="163"/>
      <c r="H86" s="163"/>
      <c r="I86" s="163"/>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row>
    <row r="87" spans="1:66" x14ac:dyDescent="0.2">
      <c r="A87" s="6"/>
      <c r="B87" s="163"/>
      <c r="C87" s="163"/>
      <c r="D87" s="163"/>
      <c r="E87" s="163"/>
      <c r="F87" s="163"/>
      <c r="G87" s="163"/>
      <c r="H87" s="163"/>
      <c r="I87" s="163"/>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row>
    <row r="88" spans="1:66" x14ac:dyDescent="0.2">
      <c r="A88" s="6"/>
      <c r="B88" s="163"/>
      <c r="C88" s="163"/>
      <c r="D88" s="163"/>
      <c r="E88" s="163"/>
      <c r="F88" s="163"/>
      <c r="G88" s="163"/>
      <c r="H88" s="163"/>
      <c r="I88" s="163"/>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row>
    <row r="89" spans="1:66" x14ac:dyDescent="0.2">
      <c r="A89" s="6"/>
      <c r="B89" s="48"/>
      <c r="C89" s="205" t="s">
        <v>242</v>
      </c>
      <c r="D89" s="205"/>
      <c r="E89" s="205"/>
      <c r="F89" s="205"/>
      <c r="G89" s="205"/>
      <c r="H89" s="205"/>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row>
    <row r="90" spans="1:66" x14ac:dyDescent="0.2">
      <c r="A90" s="6"/>
      <c r="B90" s="48"/>
      <c r="C90" s="68" t="s">
        <v>96</v>
      </c>
      <c r="D90" s="69">
        <v>12</v>
      </c>
      <c r="E90" s="69">
        <v>24</v>
      </c>
      <c r="F90" s="69">
        <v>36</v>
      </c>
      <c r="G90" s="69">
        <v>48</v>
      </c>
      <c r="H90" s="69">
        <v>60</v>
      </c>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row>
    <row r="91" spans="1:66" x14ac:dyDescent="0.2">
      <c r="A91" s="6"/>
      <c r="B91" s="48"/>
      <c r="C91" s="70">
        <v>2018</v>
      </c>
      <c r="D91" s="50">
        <f>C17*C25</f>
        <v>488.74999999999994</v>
      </c>
      <c r="E91" s="50">
        <f t="shared" ref="E91:H91" si="7">D17*D25</f>
        <v>1190</v>
      </c>
      <c r="F91" s="50">
        <f t="shared" si="7"/>
        <v>2057</v>
      </c>
      <c r="G91" s="50">
        <f t="shared" si="7"/>
        <v>2519.3999999999996</v>
      </c>
      <c r="H91" s="50">
        <f t="shared" si="7"/>
        <v>2601.17</v>
      </c>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row>
    <row r="92" spans="1:66" x14ac:dyDescent="0.2">
      <c r="A92" s="6"/>
      <c r="B92" s="48"/>
      <c r="C92" s="71">
        <v>2019</v>
      </c>
      <c r="D92" s="50">
        <f t="shared" ref="D92:G92" si="8">C18*C26</f>
        <v>499.80000000000007</v>
      </c>
      <c r="E92" s="50">
        <f t="shared" si="8"/>
        <v>1349.9123000000002</v>
      </c>
      <c r="F92" s="50">
        <f t="shared" si="8"/>
        <v>2034.9113999999997</v>
      </c>
      <c r="G92" s="50">
        <f t="shared" si="8"/>
        <v>2482.9457000000002</v>
      </c>
      <c r="H92" s="50"/>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row>
    <row r="93" spans="1:66" x14ac:dyDescent="0.2">
      <c r="A93" s="6"/>
      <c r="B93" s="48"/>
      <c r="C93" s="71">
        <v>2020</v>
      </c>
      <c r="D93" s="50">
        <f>C19*C27</f>
        <v>566.95759999999996</v>
      </c>
      <c r="E93" s="50">
        <f>D19*D27</f>
        <v>1335.396</v>
      </c>
      <c r="F93" s="50">
        <f t="shared" ref="D93:F95" si="9">E19*E27</f>
        <v>2005.4368000000002</v>
      </c>
      <c r="G93" s="50"/>
      <c r="H93" s="50"/>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row>
    <row r="94" spans="1:66" x14ac:dyDescent="0.2">
      <c r="A94" s="6"/>
      <c r="B94" s="48"/>
      <c r="C94" s="71">
        <v>2021</v>
      </c>
      <c r="D94" s="50">
        <f t="shared" si="9"/>
        <v>560.86860000000001</v>
      </c>
      <c r="E94" s="50">
        <f t="shared" si="9"/>
        <v>1316.0786000000001</v>
      </c>
      <c r="F94" s="50"/>
      <c r="G94" s="50"/>
      <c r="H94" s="50"/>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row>
    <row r="95" spans="1:66" x14ac:dyDescent="0.2">
      <c r="A95" s="6"/>
      <c r="B95" s="48"/>
      <c r="C95" s="71">
        <v>2022</v>
      </c>
      <c r="D95" s="50">
        <f t="shared" si="9"/>
        <v>552.75130000000001</v>
      </c>
      <c r="E95" s="50"/>
      <c r="F95" s="50"/>
      <c r="G95" s="50"/>
      <c r="H95" s="50"/>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row>
    <row r="96" spans="1:66" x14ac:dyDescent="0.2">
      <c r="A96" s="6"/>
      <c r="B96" s="48"/>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row>
    <row r="97" spans="1:66" x14ac:dyDescent="0.2">
      <c r="A97" s="6"/>
      <c r="B97" s="48"/>
      <c r="C97" s="205" t="s">
        <v>219</v>
      </c>
      <c r="D97" s="205"/>
      <c r="E97" s="205"/>
      <c r="F97" s="205"/>
      <c r="G97" s="205"/>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row>
    <row r="98" spans="1:66" x14ac:dyDescent="0.2">
      <c r="A98" s="6"/>
      <c r="B98" s="48"/>
      <c r="C98" s="68" t="s">
        <v>96</v>
      </c>
      <c r="D98" s="72" t="s">
        <v>191</v>
      </c>
      <c r="E98" s="69" t="s">
        <v>183</v>
      </c>
      <c r="F98" s="69" t="s">
        <v>184</v>
      </c>
      <c r="G98" s="69" t="s">
        <v>185</v>
      </c>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row>
    <row r="99" spans="1:66" x14ac:dyDescent="0.2">
      <c r="A99" s="6"/>
      <c r="B99" s="48"/>
      <c r="C99" s="70">
        <v>2018</v>
      </c>
      <c r="D99" s="73">
        <f>E91/D91</f>
        <v>2.4347826086956523</v>
      </c>
      <c r="E99" s="73">
        <f>F91/E91</f>
        <v>1.7285714285714286</v>
      </c>
      <c r="F99" s="73">
        <f>G91/F91</f>
        <v>1.2247933884297519</v>
      </c>
      <c r="G99" s="73">
        <f>H91/G91</f>
        <v>1.0324561403508774</v>
      </c>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row>
    <row r="100" spans="1:66" x14ac:dyDescent="0.2">
      <c r="A100" s="6"/>
      <c r="B100" s="48"/>
      <c r="C100" s="71">
        <v>2019</v>
      </c>
      <c r="D100" s="73">
        <f>E92/D92</f>
        <v>2.700904961984794</v>
      </c>
      <c r="E100" s="73">
        <f>F92/E92</f>
        <v>1.5074397055275364</v>
      </c>
      <c r="F100" s="73">
        <f>G92/F92</f>
        <v>1.2201738611322344</v>
      </c>
      <c r="G100" s="73"/>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row>
    <row r="101" spans="1:66" x14ac:dyDescent="0.2">
      <c r="A101" s="6"/>
      <c r="B101" s="48"/>
      <c r="C101" s="71">
        <v>2020</v>
      </c>
      <c r="D101" s="73">
        <f>E93/D93</f>
        <v>2.3553719008264462</v>
      </c>
      <c r="E101" s="73">
        <f>F93/E93</f>
        <v>1.5017543859649125</v>
      </c>
      <c r="F101" s="73"/>
      <c r="G101" s="73"/>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row>
    <row r="102" spans="1:66" x14ac:dyDescent="0.2">
      <c r="A102" s="6"/>
      <c r="B102" s="48"/>
      <c r="C102" s="71">
        <v>2021</v>
      </c>
      <c r="D102" s="73">
        <f>E94/D94</f>
        <v>2.3465007668462809</v>
      </c>
      <c r="E102" s="73"/>
      <c r="F102" s="73"/>
      <c r="G102" s="73"/>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row>
    <row r="103" spans="1:66" x14ac:dyDescent="0.2">
      <c r="A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6" ht="19" x14ac:dyDescent="0.25">
      <c r="A104" s="3" t="s">
        <v>3</v>
      </c>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6" x14ac:dyDescent="0.2">
      <c r="A105" s="6"/>
      <c r="B105" s="19" t="s">
        <v>217</v>
      </c>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6" x14ac:dyDescent="0.2">
      <c r="A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6" x14ac:dyDescent="0.2">
      <c r="A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6" x14ac:dyDescent="0.2">
      <c r="A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6" x14ac:dyDescent="0.2">
      <c r="A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6" x14ac:dyDescent="0.2">
      <c r="A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6" x14ac:dyDescent="0.2">
      <c r="A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6" x14ac:dyDescent="0.2">
      <c r="A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x14ac:dyDescent="0.2">
      <c r="A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sheetData>
  <mergeCells count="15">
    <mergeCell ref="C42:H42"/>
    <mergeCell ref="C52:H52"/>
    <mergeCell ref="B61:I63"/>
    <mergeCell ref="B65:I67"/>
    <mergeCell ref="B69:I70"/>
    <mergeCell ref="B4:I5"/>
    <mergeCell ref="B35:I36"/>
    <mergeCell ref="B7:G7"/>
    <mergeCell ref="B15:G15"/>
    <mergeCell ref="B23:G23"/>
    <mergeCell ref="C72:G72"/>
    <mergeCell ref="C79:G79"/>
    <mergeCell ref="B86:I88"/>
    <mergeCell ref="C89:H89"/>
    <mergeCell ref="C97:G97"/>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Proportional Reinsurance</vt:lpstr>
      <vt:lpstr>Excess Per Risk</vt:lpstr>
      <vt:lpstr>Excess Per Occurrence</vt:lpstr>
      <vt:lpstr>Aggregate Excess of Loss</vt:lpstr>
      <vt:lpstr>Ultimate Loss with CAT Adjust</vt:lpstr>
      <vt:lpstr>Projecting Ultimate Loss</vt:lpstr>
      <vt:lpstr>Currency Exchange Rate Changes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Steve Roll</cp:lastModifiedBy>
  <dcterms:created xsi:type="dcterms:W3CDTF">2023-01-23T18:33:35Z</dcterms:created>
  <dcterms:modified xsi:type="dcterms:W3CDTF">2025-06-19T01:01:37Z</dcterms:modified>
</cp:coreProperties>
</file>