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stephenroll/Rising Fellow Dropbox/Rising Fellow/_Products/Exam 7/_Cookbook/Exam 7 Cookbook - Excel Version/"/>
    </mc:Choice>
  </mc:AlternateContent>
  <xr:revisionPtr revIDLastSave="0" documentId="13_ncr:1_{8FED8B4C-05AB-5044-B412-43EFF8741F37}" xr6:coauthVersionLast="47" xr6:coauthVersionMax="47" xr10:uidLastSave="{00000000-0000-0000-0000-000000000000}"/>
  <bookViews>
    <workbookView xWindow="240" yWindow="500" windowWidth="18460" windowHeight="21100" xr2:uid="{00000000-000D-0000-FFFF-FFFF00000000}"/>
  </bookViews>
  <sheets>
    <sheet name="Least Squares" sheetId="3" r:id="rId1"/>
    <sheet name="Bayesian Credibility" sheetId="1" r:id="rId2"/>
    <sheet name="Caseload Effect"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4" i="2" l="1"/>
  <c r="I85" i="2"/>
  <c r="H91" i="2" l="1"/>
  <c r="G28" i="2"/>
  <c r="F42" i="2" s="1"/>
  <c r="D54" i="3"/>
  <c r="D97" i="3"/>
  <c r="C36" i="3"/>
  <c r="C35" i="3"/>
  <c r="B10" i="3"/>
  <c r="C34" i="3" s="1"/>
  <c r="B9" i="3"/>
  <c r="C33" i="3" s="1"/>
  <c r="B8" i="3"/>
  <c r="C32" i="3" s="1"/>
  <c r="B11" i="3"/>
  <c r="H84" i="2"/>
  <c r="E42" i="2" l="1"/>
  <c r="E43" i="2" s="1"/>
  <c r="F43" i="2" s="1"/>
  <c r="H85" i="2"/>
  <c r="G30" i="1"/>
  <c r="G29" i="1"/>
  <c r="G31" i="1"/>
  <c r="G28" i="1"/>
  <c r="D32" i="3"/>
  <c r="D33" i="3"/>
  <c r="D34" i="3"/>
  <c r="D35" i="3"/>
  <c r="F32" i="3"/>
  <c r="G32" i="3" s="1"/>
  <c r="F33" i="3"/>
  <c r="G33" i="3" s="1"/>
  <c r="F34" i="3"/>
  <c r="G34" i="3" s="1"/>
  <c r="E32" i="3"/>
  <c r="E33" i="3"/>
  <c r="E34" i="3"/>
  <c r="E35" i="3"/>
  <c r="D36" i="3"/>
  <c r="G40" i="1" l="1"/>
  <c r="G42" i="1"/>
  <c r="E124" i="3"/>
  <c r="D124" i="3"/>
  <c r="D55" i="3"/>
  <c r="H86" i="2"/>
  <c r="F44" i="2"/>
  <c r="G46" i="2" s="1"/>
  <c r="H95" i="2" s="1"/>
  <c r="H88" i="2"/>
  <c r="H87" i="2"/>
  <c r="H82" i="2"/>
  <c r="H83" i="2"/>
  <c r="G47" i="2" l="1"/>
  <c r="H96" i="2" s="1"/>
  <c r="G44" i="1"/>
  <c r="G54" i="1" s="1"/>
  <c r="D77" i="3"/>
  <c r="E85" i="3" s="1"/>
  <c r="D63" i="3"/>
  <c r="D105" i="3"/>
  <c r="F124" i="3" s="1"/>
  <c r="G57" i="2" l="1"/>
  <c r="G59" i="2" s="1"/>
  <c r="I84" i="2"/>
  <c r="G35" i="3"/>
  <c r="D98" i="3" s="1"/>
  <c r="I83" i="2" l="1"/>
  <c r="I82" i="2"/>
  <c r="D85" i="3"/>
  <c r="D73" i="3"/>
  <c r="D74" i="3"/>
  <c r="I86" i="2"/>
  <c r="I87" i="2"/>
  <c r="I88" i="2"/>
  <c r="D78" i="3" l="1"/>
  <c r="E86" i="3" s="1"/>
  <c r="D106" i="3"/>
  <c r="G36" i="3"/>
  <c r="D86" i="3" l="1"/>
</calcChain>
</file>

<file path=xl/sharedStrings.xml><?xml version="1.0" encoding="utf-8"?>
<sst xmlns="http://schemas.openxmlformats.org/spreadsheetml/2006/main" count="202" uniqueCount="168">
  <si>
    <t>a.</t>
  </si>
  <si>
    <t>b.</t>
  </si>
  <si>
    <t>Solution</t>
  </si>
  <si>
    <t>Given the following information:</t>
  </si>
  <si>
    <t>Accident Year</t>
  </si>
  <si>
    <t>36 Months</t>
  </si>
  <si>
    <t>48 Months</t>
  </si>
  <si>
    <t>60 Months</t>
  </si>
  <si>
    <t>Earned Premium</t>
  </si>
  <si>
    <t>Cumulative Paid Losses ($000)</t>
  </si>
  <si>
    <t>Calculate the credibility weighting on the link ratio method that the Least Squares method uses for</t>
  </si>
  <si>
    <t>b</t>
  </si>
  <si>
    <t>a</t>
  </si>
  <si>
    <t>LDF</t>
  </si>
  <si>
    <t>Z</t>
  </si>
  <si>
    <t xml:space="preserve">Insurer ABC writes Motorcycle insurance and recently expanded its book of business into a new state. </t>
  </si>
  <si>
    <t>Calculate the unpaid losses using the estimated ultimate loss ratios.</t>
  </si>
  <si>
    <t>Unpaid Loss</t>
  </si>
  <si>
    <t>Ult Loss</t>
  </si>
  <si>
    <t>Discussion</t>
  </si>
  <si>
    <t xml:space="preserve">E[Y] = </t>
  </si>
  <si>
    <t xml:space="preserve">σ(Y) = </t>
  </si>
  <si>
    <t xml:space="preserve">E[X/Y] = </t>
  </si>
  <si>
    <t xml:space="preserve">σ(X/Y) = </t>
  </si>
  <si>
    <t>Y -&gt; Random variable for ultimate losses</t>
  </si>
  <si>
    <t>X -&gt; Random variable for losses (at 12 months)</t>
  </si>
  <si>
    <t>Calculate Z, the credibility weight between the Link Ratio and Budgeted Loss (Expected) methods.</t>
  </si>
  <si>
    <t xml:space="preserve">VHM = </t>
  </si>
  <si>
    <t xml:space="preserve">EVPV = </t>
  </si>
  <si>
    <t xml:space="preserve">Z = </t>
  </si>
  <si>
    <t>Calculate the ultimate loss estimate as a credibility weighting between the Link Ratio ultimate and the Expected ultimate.</t>
  </si>
  <si>
    <t xml:space="preserve">Ult = </t>
  </si>
  <si>
    <t xml:space="preserve">d = </t>
  </si>
  <si>
    <t xml:space="preserve">Loss Resv = </t>
  </si>
  <si>
    <t>Potential Problems with Parameter Estimation</t>
  </si>
  <si>
    <t>The intercept is negative (a &lt; 0):</t>
  </si>
  <si>
    <t>The slope is negative (b &lt; 0):</t>
  </si>
  <si>
    <t>• This causes the estimate of y to decrease as x increases</t>
  </si>
  <si>
    <t>Reviewing the Results</t>
  </si>
  <si>
    <t>As we go from more recent AYs to more mature AYs, we should usually see the following patterns:</t>
  </si>
  <si>
    <t>Source</t>
  </si>
  <si>
    <t xml:space="preserve">Brosius – pg. 16-18 </t>
  </si>
  <si>
    <t>More Practice</t>
  </si>
  <si>
    <t xml:space="preserve">CAS 2018 – 4 </t>
  </si>
  <si>
    <t xml:space="preserve">CAS 2017 – 2 </t>
  </si>
  <si>
    <t xml:space="preserve">CAS 2016 – 2 </t>
  </si>
  <si>
    <t>CAS 2012 – 4</t>
  </si>
  <si>
    <t>CAS 2011 – 1</t>
  </si>
  <si>
    <t>RF Brosius – 1</t>
  </si>
  <si>
    <t>RF Brosius – 3</t>
  </si>
  <si>
    <t>RF Brosius – 5</t>
  </si>
  <si>
    <t xml:space="preserve">RF Brosius – 8 </t>
  </si>
  <si>
    <t>Brosius – pg. 14-15</t>
  </si>
  <si>
    <t>CAS 2019 – 1</t>
  </si>
  <si>
    <t>CAS 2016 - 2</t>
  </si>
  <si>
    <t xml:space="preserve">CAS 2014 – 1 </t>
  </si>
  <si>
    <t>RF Brosius – 2</t>
  </si>
  <si>
    <t>RF Brosius – 4</t>
  </si>
  <si>
    <t>Brosius – pg. 15-16</t>
  </si>
  <si>
    <t>RF Brosius – 9</t>
  </si>
  <si>
    <t xml:space="preserve">RF Brosius – 10 </t>
  </si>
  <si>
    <r>
      <rPr>
        <b/>
        <sz val="12"/>
        <color theme="1"/>
        <rFont val="Calibri"/>
        <family val="2"/>
      </rPr>
      <t xml:space="preserve">• Solution: </t>
    </r>
    <r>
      <rPr>
        <sz val="12"/>
        <color theme="1"/>
        <rFont val="Calibri"/>
        <family val="2"/>
      </rPr>
      <t>Use the link ratio method instead.</t>
    </r>
  </si>
  <si>
    <r>
      <rPr>
        <b/>
        <sz val="12"/>
        <color theme="1"/>
        <rFont val="Calibri"/>
        <family val="2"/>
      </rPr>
      <t xml:space="preserve">• Solution: </t>
    </r>
    <r>
      <rPr>
        <sz val="12"/>
        <color theme="1"/>
        <rFont val="Calibri"/>
        <family val="2"/>
      </rPr>
      <t xml:space="preserve">Use the budgeted loss method instead, ignoring x. </t>
    </r>
  </si>
  <si>
    <t>• This causes the estimate of developed losses ( y(hat) ) to be negative for small values of x.</t>
  </si>
  <si>
    <t>Loss at 12Mo (x)</t>
  </si>
  <si>
    <t>Chain Ladder (y_hat)</t>
  </si>
  <si>
    <t>Caseload Effect 
(y_hat Mod)</t>
  </si>
  <si>
    <t>Chain Ladder Method:</t>
  </si>
  <si>
    <t xml:space="preserve">LDF = </t>
  </si>
  <si>
    <t>x_0 =</t>
  </si>
  <si>
    <t>Caseload Effect Adjustment:</t>
  </si>
  <si>
    <t xml:space="preserve">Loss at 12 Months ($M) vs. </t>
  </si>
  <si>
    <t>Estimated Loss at 24 Months ($M)</t>
  </si>
  <si>
    <t>y_hat = x / 0.7 = x * 1.429</t>
  </si>
  <si>
    <t>y_hat Mod = (x - 4M) / 0.45</t>
  </si>
  <si>
    <t>Part a - Least Squares Reserve Estimate</t>
  </si>
  <si>
    <t>Part b - Credibility Weighting on Link Ratio Method</t>
  </si>
  <si>
    <t>1)</t>
  </si>
  <si>
    <t>2)</t>
  </si>
  <si>
    <t>3)</t>
  </si>
  <si>
    <t>4)</t>
  </si>
  <si>
    <t>Brosius - Caseload Effect</t>
  </si>
  <si>
    <t>Brosius - Bayesian Credibility in a Changing System</t>
  </si>
  <si>
    <t>Brosius - Least Squares Method</t>
  </si>
  <si>
    <t>•  The tail factor from 60 months-to-Ultimate is:</t>
  </si>
  <si>
    <t>•  Percent of losses reported through 12 months:</t>
  </si>
  <si>
    <t>•  Expected losses are estimated to fall by:</t>
  </si>
  <si>
    <t>•  Percent of losses reported through 12 months is expected to speed up to:</t>
  </si>
  <si>
    <t>•  The actuary selects the standard deviation of losses to be:</t>
  </si>
  <si>
    <t>•  The actuary selects a standard deviation of the percent reported at 12 months to be:</t>
  </si>
  <si>
    <t>Calculate the ultimate loss estimate as a credibility weighting between the Link Ratio ultimate and the Expected ultimate using the caseload Bayesian credibility formula.</t>
  </si>
  <si>
    <t>AY</t>
  </si>
  <si>
    <t>Convert losses to a cumulative loss ratio triangle and apply the tail factor to develop to ultimate.</t>
  </si>
  <si>
    <t>Note:</t>
  </si>
  <si>
    <t>Ultimate</t>
  </si>
  <si>
    <t>Loss Ratio</t>
  </si>
  <si>
    <t>In Excel</t>
  </si>
  <si>
    <t>Year</t>
  </si>
  <si>
    <t>5)</t>
  </si>
  <si>
    <t>6)</t>
  </si>
  <si>
    <t>7)</t>
  </si>
  <si>
    <t>48mo to Ult</t>
  </si>
  <si>
    <t xml:space="preserve">Calculate the ultimate loss ratio estimate from the loss ratio to-date for each accident year. Start with the oldest accident year without an ultimate loss ratio. </t>
  </si>
  <si>
    <t>Repeat steps 2 and 3 iteratively to calculate the ultimate loss ratios for the remaining accident years.</t>
  </si>
  <si>
    <t>Calculate the LDF-to-ultimate that the chain ladder (link ratio) method would use for each year using the average ultimate loss ratio and average undeveloped loss ratio.</t>
  </si>
  <si>
    <t>36mo to Ult</t>
  </si>
  <si>
    <t>Ult Loss Ratio</t>
  </si>
  <si>
    <t>Calculate the least squares a and b parameters for each development period iteratively. Start with the most mature development period. Use undeveloped losses (loss ratios here) as the ‘x’ values and ultimate losses as the ‘y’ values.</t>
  </si>
  <si>
    <r>
      <t xml:space="preserve">Add the ultimate loss ratios to the triangle (step 1) as an additional data points for calculating the a and b parameters for the </t>
    </r>
    <r>
      <rPr>
        <i/>
        <u/>
        <sz val="12"/>
        <color theme="1"/>
        <rFont val="Calibri"/>
        <family val="2"/>
      </rPr>
      <t>next accident year</t>
    </r>
    <r>
      <rPr>
        <sz val="12"/>
        <color theme="1"/>
        <rFont val="Calibri"/>
        <family val="2"/>
      </rPr>
      <t>.</t>
    </r>
  </si>
  <si>
    <t>Calculate the credibility on the link ratio method, Z, for each year.</t>
  </si>
  <si>
    <t>When to Use Losses and When to Use Loss Ratios</t>
  </si>
  <si>
    <t>Link Ratio</t>
  </si>
  <si>
    <t>Budgeted Loss</t>
  </si>
  <si>
    <t>Credibility-Weighted</t>
  </si>
  <si>
    <t>⇽ Same as calculated in Step 3</t>
  </si>
  <si>
    <t>Sampling error can sometimes result in negative a or b values, which can cause nonsensical loss estimates. If this happens, Brosius recommends the following (see Brosius pg. 4 for more):</t>
  </si>
  <si>
    <t>On the exam, it's best to use the SLOPE() and INTERCEPT() formulas to calculate the b and a parameters instead of trying to calculate them with the linear regression formulas. These formulas are available in the Pearson Vue testing environment and will get full credit.</t>
  </si>
  <si>
    <r>
      <t xml:space="preserve">• a </t>
    </r>
    <r>
      <rPr>
        <i/>
        <u/>
        <sz val="12"/>
        <color theme="1"/>
        <rFont val="Calibri"/>
        <family val="2"/>
      </rPr>
      <t>decreases</t>
    </r>
    <r>
      <rPr>
        <sz val="12"/>
        <color theme="1"/>
        <rFont val="Calibri"/>
        <family val="2"/>
      </rPr>
      <t xml:space="preserve"> for more developed years </t>
    </r>
  </si>
  <si>
    <r>
      <t xml:space="preserve">• c (LDF) </t>
    </r>
    <r>
      <rPr>
        <i/>
        <u/>
        <sz val="12"/>
        <color theme="1"/>
        <rFont val="Calibri"/>
        <family val="2"/>
      </rPr>
      <t>decreases</t>
    </r>
    <r>
      <rPr>
        <sz val="12"/>
        <color theme="1"/>
        <rFont val="Calibri"/>
        <family val="2"/>
      </rPr>
      <t xml:space="preserve"> for more developed years </t>
    </r>
  </si>
  <si>
    <r>
      <t xml:space="preserve">• Z </t>
    </r>
    <r>
      <rPr>
        <i/>
        <u/>
        <sz val="12"/>
        <color theme="1"/>
        <rFont val="Calibri"/>
        <family val="2"/>
      </rPr>
      <t>increases</t>
    </r>
    <r>
      <rPr>
        <sz val="12"/>
        <color theme="1"/>
        <rFont val="Calibri"/>
        <family val="2"/>
      </rPr>
      <t xml:space="preserve"> for more developed years (more weight on the link ratio method)</t>
    </r>
  </si>
  <si>
    <t>This is because, in earlier periods (e.g. at 12 months), the actual loss experience (x) is more volatile and less useful in predicting the future loss (y). Therefore, the intercept (a parameter) is larger, and the slope (b parameter) is smaller due to less credibility (Z). 
As the accident years mature, the actual losses have more credibility and we place greater weight on the link ratio method and less weight on the budgeted loss method. The loss experience receives greater weight and we place less weight on the intercept, a. (See pg. 18 in Brosius for more discussion)
These patterns hold for the calculations above, so this is a good additional check that the results are reasonable.</t>
  </si>
  <si>
    <t>A key assumption of the least squares method is that there aren’t systematic shifts in the book of business. With this assumption, historical accident year losses can be used to project ultimate losses for undeveloped accident years. 
The Bayesian method is appropriate for a new line of business or when there is a significant change in the book of business and the go-forward experience will be different than historical accident years.
The tricky part with this type of problem will be to properly identify all the inputs necessary to solve the problem. Once you’ve calculated Z, the credibility weighting, just remember that it’s a simple credibility weighting between the chain ladder ultimate and expected ultimate.</t>
  </si>
  <si>
    <r>
      <t>x</t>
    </r>
    <r>
      <rPr>
        <vertAlign val="subscript"/>
        <sz val="12"/>
        <color theme="1"/>
        <rFont val="Calibri"/>
        <family val="2"/>
      </rPr>
      <t>0</t>
    </r>
    <r>
      <rPr>
        <sz val="12"/>
        <color theme="1"/>
        <rFont val="Calibri"/>
        <family val="2"/>
      </rPr>
      <t xml:space="preserve"> = </t>
    </r>
  </si>
  <si>
    <t>Scenario</t>
  </si>
  <si>
    <t>Y</t>
  </si>
  <si>
    <t>Expected Ultimate</t>
  </si>
  <si>
    <t>Ultimate 25% higher than expected</t>
  </si>
  <si>
    <t>E[X|Y=y]           = d*y + x_0</t>
  </si>
  <si>
    <t>= d * 16M + x_0</t>
  </si>
  <si>
    <t>= d * 20M + x_0</t>
  </si>
  <si>
    <t>= d * 4M</t>
  </si>
  <si>
    <t>•  Expected written premium</t>
  </si>
  <si>
    <t>•  Expected loss ratio</t>
  </si>
  <si>
    <r>
      <rPr>
        <i/>
        <u/>
        <sz val="12"/>
        <color theme="1"/>
        <rFont val="Calibri"/>
        <family val="2"/>
      </rPr>
      <t>higher than expected</t>
    </r>
    <r>
      <rPr>
        <sz val="12"/>
        <color theme="1"/>
        <rFont val="Calibri"/>
        <family val="2"/>
      </rPr>
      <t>, then the percent of losses reported at 12 months will be 65%.</t>
    </r>
  </si>
  <si>
    <r>
      <t xml:space="preserve">The actuary assumes that the development ratio varies with caseload and that </t>
    </r>
    <r>
      <rPr>
        <i/>
        <u/>
        <sz val="12"/>
        <color theme="1"/>
        <rFont val="Calibri"/>
        <family val="2"/>
      </rPr>
      <t>if ultimate losses are 25%</t>
    </r>
  </si>
  <si>
    <r>
      <t xml:space="preserve">• If x &gt; E[X], the caseload-modified chain ladder estimate will be </t>
    </r>
    <r>
      <rPr>
        <i/>
        <u/>
        <sz val="12"/>
        <color theme="1"/>
        <rFont val="Calibri"/>
        <family val="2"/>
      </rPr>
      <t>higher</t>
    </r>
    <r>
      <rPr>
        <sz val="12"/>
        <color theme="1"/>
        <rFont val="Calibri"/>
        <family val="2"/>
      </rPr>
      <t xml:space="preserve"> than the unmodified estimate.</t>
    </r>
  </si>
  <si>
    <r>
      <t xml:space="preserve">• If x &lt; E[X], the caseload-modified chain ladder estimate will be </t>
    </r>
    <r>
      <rPr>
        <i/>
        <u/>
        <sz val="12"/>
        <color theme="1"/>
        <rFont val="Calibri"/>
        <family val="2"/>
      </rPr>
      <t>lower</t>
    </r>
    <r>
      <rPr>
        <sz val="12"/>
        <color theme="1"/>
        <rFont val="Calibri"/>
        <family val="2"/>
      </rPr>
      <t xml:space="preserve"> than the unmodified estimate.</t>
    </r>
  </si>
  <si>
    <t>Calculate the estimated unpaid losses for accident years 2023 and 2024 using the Least Squares method.</t>
  </si>
  <si>
    <t>accident years 2023 and 2024.</t>
  </si>
  <si>
    <t xml:space="preserve">Start with the 48 month development period (for accident year 2023): </t>
  </si>
  <si>
    <t>Continue with the 36 month development period (for accident year 2024).</t>
  </si>
  <si>
    <t>⇽ Calculated below</t>
  </si>
  <si>
    <r>
      <t xml:space="preserve">Converting to loss ratios is only necessary if there’s </t>
    </r>
    <r>
      <rPr>
        <i/>
        <u/>
        <sz val="12"/>
        <color theme="1"/>
        <rFont val="Calibri"/>
        <family val="2"/>
      </rPr>
      <t>significant exposure change</t>
    </r>
    <r>
      <rPr>
        <sz val="12"/>
        <color theme="1"/>
        <rFont val="Calibri"/>
        <family val="2"/>
      </rPr>
      <t xml:space="preserve"> over the accident years. Otherwise, the losses themselves can be used. In this problem, there’s significant Earned Prem growth between 2020 and 2024.</t>
    </r>
  </si>
  <si>
    <t>The key thing to understand is that steps 2 and 3 are an iterative process. We first use 48mo loss ratios as x and ultimate loss ratios as y in order to get the estimated ultimate loss ratio for AY 2023. When we iterate through with 36mo loss ratios as x, we can use our estimated ultimate loss ratio for AY 2023 (65.3%) as an additional data point.
The Least Squares method is a credibility-weighting of the Link Ratio and Budgeted Loss methods with the following formula:</t>
  </si>
  <si>
    <t>AY 2023 Example:</t>
  </si>
  <si>
    <r>
      <t xml:space="preserve">The least squares method can be used with either actual losses or loss ratios. Brosius recommends using loss ratios </t>
    </r>
    <r>
      <rPr>
        <i/>
        <u/>
        <sz val="12"/>
        <color theme="1"/>
        <rFont val="Calibri"/>
        <family val="2"/>
      </rPr>
      <t>if there is significant premium growth</t>
    </r>
    <r>
      <rPr>
        <sz val="12"/>
        <color theme="1"/>
        <rFont val="Calibri"/>
        <family val="2"/>
      </rPr>
      <t>. If premium increases normally, then using loss ratios is unnecessary. Using loss ratios puts the accident years on a more equal basis for the least squares method.</t>
    </r>
  </si>
  <si>
    <t>Identify the necessary inputs: E[Y], σ(Y), E[X/Y], σ[X/Y]</t>
  </si>
  <si>
    <t>•  Expected losses:</t>
  </si>
  <si>
    <t>Prior to a legislative change, a small book of personal auto insurance in State X had the following loss estimates for the upcoming 2025 accident year:</t>
  </si>
  <si>
    <t xml:space="preserve">A legislative change in the state, effective 1/1/2025, is estimated to impact expected losses and development patterns going forward. </t>
  </si>
  <si>
    <t>The actuary estimates the following beginning in 2025:</t>
  </si>
  <si>
    <t xml:space="preserve">As of December 31, 2025, accident year 2025 reported losses were: </t>
  </si>
  <si>
    <t>Calculate the estimated accident year 2025 ultimate losses using Bayesian Credibility.</t>
  </si>
  <si>
    <t>Calculate the parameters that define the development ratio for the modified link ratio method, reflecting how the development ratio varies with caseload.</t>
  </si>
  <si>
    <r>
      <t xml:space="preserve">For the normal link ratio method, the development ratio is fixed. The caseload effect modifies this to reflect that the expected percent reported at 12 months is </t>
    </r>
    <r>
      <rPr>
        <i/>
        <u/>
        <sz val="12"/>
        <color theme="1"/>
        <rFont val="Calibri"/>
        <family val="2"/>
      </rPr>
      <t>lower</t>
    </r>
    <r>
      <rPr>
        <sz val="12"/>
        <color theme="1"/>
        <rFont val="Calibri"/>
        <family val="2"/>
      </rPr>
      <t xml:space="preserve"> than usual if the ultimate losses for the accident year are </t>
    </r>
    <r>
      <rPr>
        <i/>
        <u/>
        <sz val="12"/>
        <color theme="1"/>
        <rFont val="Calibri"/>
        <family val="2"/>
      </rPr>
      <t>higher</t>
    </r>
    <r>
      <rPr>
        <sz val="12"/>
        <color theme="1"/>
        <rFont val="Calibri"/>
        <family val="2"/>
      </rPr>
      <t xml:space="preserve"> than expected. </t>
    </r>
  </si>
  <si>
    <t>The reserving actuary makes the following assumptions for the upcoming 2024 accident year:</t>
  </si>
  <si>
    <t>As of December 31, 2024, accident year 2024 reported losses were:</t>
  </si>
  <si>
    <t>Calculate the estimated accident year 2024 unreported loss reserve taking into account the caseload effect.</t>
  </si>
  <si>
    <r>
      <t xml:space="preserve">This question is similar to the regular Bayesian credibility method, but the chain ladder estimate is modified for the caseload effect. Instead of using a fixed percent reported, the expected percent reported is lower if ultimate losses (Y) are higher. For example, after a catastrophe in an accident year, there may be a backlog of open claims at 12 months development.
The resource constraint piece is the key for this problem type. The idea behind the caseload effect is that the </t>
    </r>
    <r>
      <rPr>
        <i/>
        <u/>
        <sz val="12"/>
        <color theme="1"/>
        <rFont val="Calibri"/>
        <family val="2"/>
      </rPr>
      <t>reported loss percent changes based on the caseload</t>
    </r>
    <r>
      <rPr>
        <sz val="12"/>
        <color theme="1"/>
        <rFont val="Calibri"/>
        <family val="2"/>
      </rPr>
      <t>. When there are a lot of claims (which typically drives higher ultimate losses), the reporting percentage at an earlier development period is smaller. That's what the resource constraint piece is getting at.
Below is a graphical view of how the caseload-modified chain ladder estimate of ultimate loss compares to the unmodified chain ladder estimate.</t>
    </r>
  </si>
  <si>
    <t>b = SLOPE( Ultimate Loss Ratio, Undeveloped Loss Ratio )</t>
  </si>
  <si>
    <t>a = INTERCEPT( Ultimate Loss Ratio, Undeveloped Loss Ratio )</t>
  </si>
  <si>
    <t>Exam Spreadsheet Tips</t>
  </si>
  <si>
    <t>Calculate Z, the credibility weight between the Link Ratio and Budgeted Loss (Expected) methods using the given VHM and EVPV.</t>
  </si>
  <si>
    <t xml:space="preserve">•  Expected percent of losses to be reported by 12 months of development = </t>
  </si>
  <si>
    <t>You are given the following assumptions regarding ultimate loss (Y) and losses reported at 12 months (X):</t>
  </si>
  <si>
    <r>
      <t>E</t>
    </r>
    <r>
      <rPr>
        <vertAlign val="subscript"/>
        <sz val="12"/>
        <color theme="1"/>
        <rFont val="Calibri"/>
        <family val="2"/>
      </rPr>
      <t>Y</t>
    </r>
    <r>
      <rPr>
        <sz val="12"/>
        <color theme="1"/>
        <rFont val="Calibri"/>
        <family val="2"/>
      </rPr>
      <t xml:space="preserve">(Var(X|Y)) = </t>
    </r>
  </si>
  <si>
    <r>
      <t>Var</t>
    </r>
    <r>
      <rPr>
        <vertAlign val="subscript"/>
        <sz val="12"/>
        <color theme="1"/>
        <rFont val="Calibri"/>
        <family val="2"/>
      </rPr>
      <t>Y</t>
    </r>
    <r>
      <rPr>
        <sz val="12"/>
        <color theme="1"/>
        <rFont val="Calibri"/>
        <family val="2"/>
      </rPr>
      <t xml:space="preserve">(E(X|Y)) = </t>
    </r>
  </si>
  <si>
    <t>Determine the overall expected ultimate loss, E[Y], and loss development, E[Y / X]. In the expected loss scenario, caseloads are at normal, expected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</si>
</sst>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44" formatCode="_(&quot;$&quot;* #,##0.00_);_(&quot;$&quot;* \(#,##0.00\);_(&quot;$&quot;* &quot;-&quot;??_);_(@_)"/>
    <numFmt numFmtId="43" formatCode="_(* #,##0.00_);_(* \(#,##0.00\);_(* &quot;-&quot;??_);_(@_)"/>
    <numFmt numFmtId="164" formatCode="_(&quot;$&quot;* #,##0_);_(&quot;$&quot;* \(#,##0\);_(&quot;$&quot;* &quot;-&quot;??_);_(@_)"/>
    <numFmt numFmtId="165" formatCode="0.000"/>
    <numFmt numFmtId="166" formatCode="0.0%"/>
    <numFmt numFmtId="167" formatCode="0.0"/>
    <numFmt numFmtId="168" formatCode="0.000E+00"/>
    <numFmt numFmtId="169" formatCode="0.0000"/>
  </numFmts>
  <fonts count="18"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1"/>
      <color theme="1"/>
      <name val="Calibri"/>
      <family val="2"/>
    </font>
    <font>
      <u/>
      <sz val="12"/>
      <color theme="1"/>
      <name val="Calibri"/>
      <family val="2"/>
    </font>
    <font>
      <sz val="12"/>
      <name val="Calibri"/>
      <family val="2"/>
    </font>
    <font>
      <b/>
      <sz val="12"/>
      <color theme="1"/>
      <name val="Calibri"/>
      <family val="2"/>
    </font>
    <font>
      <u/>
      <sz val="14"/>
      <color theme="1"/>
      <name val="Calibri"/>
      <family val="2"/>
    </font>
    <font>
      <i/>
      <sz val="12"/>
      <color theme="1"/>
      <name val="Calibri"/>
      <family val="2"/>
    </font>
    <font>
      <sz val="12"/>
      <color rgb="FFFF0000"/>
      <name val="Calibri"/>
      <family val="2"/>
    </font>
    <font>
      <i/>
      <u/>
      <sz val="12"/>
      <color theme="1"/>
      <name val="Calibri"/>
      <family val="2"/>
    </font>
    <font>
      <vertAlign val="subscript"/>
      <sz val="12"/>
      <color theme="1"/>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s>
  <borders count="2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bottom style="thin">
        <color auto="1"/>
      </bottom>
      <diagonal/>
    </border>
    <border>
      <left/>
      <right/>
      <top/>
      <bottom style="thin">
        <color auto="1"/>
      </bottom>
      <diagonal/>
    </border>
    <border>
      <left/>
      <right style="thin">
        <color auto="1"/>
      </right>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4">
    <xf numFmtId="0" fontId="0"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cellStyleXfs>
  <cellXfs count="120">
    <xf numFmtId="0" fontId="0" fillId="0" borderId="0" xfId="0"/>
    <xf numFmtId="0" fontId="7" fillId="2" borderId="1" xfId="0" applyFont="1" applyFill="1" applyBorder="1"/>
    <xf numFmtId="0" fontId="7" fillId="0" borderId="0" xfId="0" applyFont="1"/>
    <xf numFmtId="0" fontId="8" fillId="0" borderId="0" xfId="0" applyFont="1"/>
    <xf numFmtId="0" fontId="9" fillId="0" borderId="0" xfId="0" applyFont="1"/>
    <xf numFmtId="0" fontId="12" fillId="0" borderId="0" xfId="0" applyFont="1"/>
    <xf numFmtId="0" fontId="10" fillId="0" borderId="0" xfId="0" applyFont="1"/>
    <xf numFmtId="0" fontId="13" fillId="0" borderId="0" xfId="0" applyFont="1"/>
    <xf numFmtId="0" fontId="9" fillId="0" borderId="0" xfId="0" applyFont="1" applyAlignment="1">
      <alignment horizontal="right"/>
    </xf>
    <xf numFmtId="0" fontId="12" fillId="0" borderId="0" xfId="0" applyFont="1" applyAlignment="1">
      <alignment horizontal="right"/>
    </xf>
    <xf numFmtId="0" fontId="11" fillId="2" borderId="0" xfId="0" applyFont="1" applyFill="1" applyAlignment="1">
      <alignment horizontal="center" vertical="center" wrapText="1"/>
    </xf>
    <xf numFmtId="0" fontId="11" fillId="2" borderId="14" xfId="0" applyFont="1" applyFill="1" applyBorder="1" applyAlignment="1">
      <alignment horizontal="center" vertical="center" wrapText="1"/>
    </xf>
    <xf numFmtId="0" fontId="11" fillId="2" borderId="16"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18" xfId="0" applyFont="1" applyFill="1" applyBorder="1" applyAlignment="1">
      <alignment horizontal="center" vertical="center" wrapText="1"/>
    </xf>
    <xf numFmtId="3" fontId="11" fillId="2" borderId="18" xfId="0" applyNumberFormat="1" applyFont="1" applyFill="1" applyBorder="1" applyAlignment="1">
      <alignment horizontal="center" vertical="center" wrapText="1"/>
    </xf>
    <xf numFmtId="0" fontId="11" fillId="2" borderId="19" xfId="0" applyFont="1" applyFill="1" applyBorder="1" applyAlignment="1">
      <alignment horizontal="center" vertical="center" wrapText="1"/>
    </xf>
    <xf numFmtId="3" fontId="11" fillId="2" borderId="0" xfId="0" applyNumberFormat="1" applyFont="1" applyFill="1" applyAlignment="1">
      <alignment horizontal="center" vertical="center" wrapText="1"/>
    </xf>
    <xf numFmtId="3" fontId="11" fillId="2" borderId="19" xfId="0" applyNumberFormat="1" applyFont="1" applyFill="1" applyBorder="1" applyAlignment="1">
      <alignment horizontal="center" vertical="center" wrapText="1"/>
    </xf>
    <xf numFmtId="3" fontId="11" fillId="2" borderId="20" xfId="0" applyNumberFormat="1" applyFont="1" applyFill="1" applyBorder="1" applyAlignment="1">
      <alignment horizontal="center" vertical="center" wrapText="1"/>
    </xf>
    <xf numFmtId="0" fontId="11" fillId="2" borderId="7" xfId="0" applyFont="1" applyFill="1" applyBorder="1" applyAlignment="1">
      <alignment horizontal="center" vertical="center" wrapText="1"/>
    </xf>
    <xf numFmtId="0" fontId="10" fillId="2" borderId="17" xfId="0" applyFont="1" applyFill="1" applyBorder="1" applyAlignment="1">
      <alignment horizontal="center"/>
    </xf>
    <xf numFmtId="0" fontId="10" fillId="2" borderId="18" xfId="0" applyFont="1" applyFill="1" applyBorder="1" applyAlignment="1">
      <alignment horizontal="center"/>
    </xf>
    <xf numFmtId="0" fontId="11" fillId="2" borderId="20" xfId="0" applyFont="1" applyFill="1" applyBorder="1" applyAlignment="1">
      <alignment horizontal="center" wrapText="1"/>
    </xf>
    <xf numFmtId="0" fontId="11" fillId="2" borderId="7" xfId="0" applyFont="1" applyFill="1" applyBorder="1" applyAlignment="1">
      <alignment horizontal="center" wrapText="1"/>
    </xf>
    <xf numFmtId="3" fontId="11" fillId="2" borderId="14" xfId="0" applyNumberFormat="1" applyFont="1" applyFill="1" applyBorder="1" applyAlignment="1">
      <alignment horizontal="center" vertical="center" wrapText="1"/>
    </xf>
    <xf numFmtId="3" fontId="11" fillId="2" borderId="16" xfId="0" applyNumberFormat="1" applyFont="1" applyFill="1" applyBorder="1" applyAlignment="1">
      <alignment horizontal="center" vertical="center" wrapText="1"/>
    </xf>
    <xf numFmtId="3" fontId="11" fillId="2" borderId="15" xfId="0" applyNumberFormat="1" applyFont="1" applyFill="1" applyBorder="1" applyAlignment="1">
      <alignment horizontal="center" vertical="center" wrapText="1"/>
    </xf>
    <xf numFmtId="0" fontId="12" fillId="0" borderId="0" xfId="0" applyFont="1" applyAlignment="1">
      <alignment horizontal="left" vertical="top" wrapText="1"/>
    </xf>
    <xf numFmtId="166" fontId="14" fillId="3" borderId="0" xfId="3" applyNumberFormat="1" applyFont="1" applyFill="1" applyAlignment="1">
      <alignment horizontal="center"/>
    </xf>
    <xf numFmtId="0" fontId="15" fillId="0" borderId="0" xfId="0" applyFont="1"/>
    <xf numFmtId="0" fontId="15" fillId="0" borderId="0" xfId="0" quotePrefix="1" applyFont="1"/>
    <xf numFmtId="37" fontId="12" fillId="0" borderId="10" xfId="0" applyNumberFormat="1" applyFont="1" applyBorder="1" applyAlignment="1">
      <alignment horizontal="center"/>
    </xf>
    <xf numFmtId="37" fontId="12" fillId="0" borderId="11" xfId="0" applyNumberFormat="1" applyFont="1" applyBorder="1" applyAlignment="1">
      <alignment horizontal="center"/>
    </xf>
    <xf numFmtId="0" fontId="5" fillId="2" borderId="0" xfId="0" applyFont="1" applyFill="1"/>
    <xf numFmtId="0" fontId="5" fillId="2" borderId="2" xfId="0" applyFont="1" applyFill="1" applyBorder="1"/>
    <xf numFmtId="0" fontId="5" fillId="0" borderId="0" xfId="0" applyFont="1"/>
    <xf numFmtId="2" fontId="5" fillId="2" borderId="1" xfId="0" applyNumberFormat="1" applyFont="1" applyFill="1" applyBorder="1" applyAlignment="1">
      <alignment horizontal="left"/>
    </xf>
    <xf numFmtId="0" fontId="5" fillId="2" borderId="0" xfId="0" applyFont="1" applyFill="1" applyAlignment="1">
      <alignment horizontal="center"/>
    </xf>
    <xf numFmtId="0" fontId="5" fillId="2" borderId="3" xfId="0" applyFont="1" applyFill="1" applyBorder="1"/>
    <xf numFmtId="0" fontId="5" fillId="2" borderId="4" xfId="0" applyFont="1" applyFill="1" applyBorder="1"/>
    <xf numFmtId="164" fontId="5" fillId="2" borderId="4" xfId="1" applyNumberFormat="1" applyFont="1" applyFill="1" applyBorder="1"/>
    <xf numFmtId="0" fontId="5" fillId="2" borderId="5" xfId="0" applyFont="1" applyFill="1" applyBorder="1"/>
    <xf numFmtId="165" fontId="5" fillId="0" borderId="0" xfId="0" applyNumberFormat="1" applyFont="1"/>
    <xf numFmtId="0" fontId="5" fillId="0" borderId="0" xfId="0" applyFont="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166" fontId="5" fillId="0" borderId="0" xfId="3" applyNumberFormat="1" applyFont="1" applyAlignment="1">
      <alignment horizontal="center"/>
    </xf>
    <xf numFmtId="166" fontId="5" fillId="0" borderId="8" xfId="3" applyNumberFormat="1" applyFont="1" applyBorder="1" applyAlignment="1">
      <alignment horizontal="center"/>
    </xf>
    <xf numFmtId="10" fontId="5" fillId="0" borderId="0" xfId="0" applyNumberFormat="1" applyFont="1"/>
    <xf numFmtId="10" fontId="5" fillId="0" borderId="0" xfId="2" applyNumberFormat="1" applyFont="1"/>
    <xf numFmtId="0" fontId="5" fillId="0" borderId="0" xfId="0" quotePrefix="1" applyFont="1"/>
    <xf numFmtId="0" fontId="5" fillId="0" borderId="20" xfId="0" applyFont="1" applyBorder="1" applyAlignment="1">
      <alignment horizontal="center"/>
    </xf>
    <xf numFmtId="165" fontId="5" fillId="0" borderId="0" xfId="0" applyNumberFormat="1" applyFont="1" applyAlignment="1">
      <alignment horizontal="center"/>
    </xf>
    <xf numFmtId="169" fontId="5" fillId="0" borderId="0" xfId="0" applyNumberFormat="1" applyFont="1" applyAlignment="1">
      <alignment horizontal="center"/>
    </xf>
    <xf numFmtId="0" fontId="5" fillId="0" borderId="9" xfId="0" applyFont="1" applyBorder="1" applyAlignment="1">
      <alignment horizontal="center"/>
    </xf>
    <xf numFmtId="37" fontId="5" fillId="0" borderId="0" xfId="2" applyNumberFormat="1" applyFont="1" applyAlignment="1">
      <alignment horizontal="center"/>
    </xf>
    <xf numFmtId="166" fontId="5" fillId="0" borderId="10" xfId="3" applyNumberFormat="1" applyFont="1" applyBorder="1" applyAlignment="1">
      <alignment horizontal="center"/>
    </xf>
    <xf numFmtId="166" fontId="5" fillId="0" borderId="11" xfId="3" applyNumberFormat="1" applyFont="1" applyBorder="1" applyAlignment="1">
      <alignment horizontal="center"/>
    </xf>
    <xf numFmtId="0" fontId="5" fillId="0" borderId="6" xfId="0" applyFont="1" applyBorder="1" applyAlignment="1">
      <alignment horizontal="center" wrapText="1"/>
    </xf>
    <xf numFmtId="0" fontId="5" fillId="0" borderId="7" xfId="0" applyFont="1" applyBorder="1" applyAlignment="1">
      <alignment horizontal="center" wrapText="1"/>
    </xf>
    <xf numFmtId="166" fontId="5" fillId="0" borderId="0" xfId="0" applyNumberFormat="1" applyFont="1" applyAlignment="1">
      <alignment horizontal="center"/>
    </xf>
    <xf numFmtId="166" fontId="5" fillId="0" borderId="8" xfId="0" applyNumberFormat="1" applyFont="1" applyBorder="1" applyAlignment="1">
      <alignment horizontal="center"/>
    </xf>
    <xf numFmtId="0" fontId="5" fillId="0" borderId="0" xfId="0" applyFont="1" applyAlignment="1">
      <alignment horizontal="left" indent="1"/>
    </xf>
    <xf numFmtId="0" fontId="5" fillId="2" borderId="0" xfId="0" quotePrefix="1" applyFont="1" applyFill="1"/>
    <xf numFmtId="6" fontId="5" fillId="2" borderId="0" xfId="0" applyNumberFormat="1" applyFont="1" applyFill="1"/>
    <xf numFmtId="9" fontId="5" fillId="2" borderId="0" xfId="0" applyNumberFormat="1" applyFont="1" applyFill="1" applyAlignment="1">
      <alignment horizontal="center"/>
    </xf>
    <xf numFmtId="6" fontId="5" fillId="0" borderId="0" xfId="0" applyNumberFormat="1" applyFont="1"/>
    <xf numFmtId="9" fontId="5" fillId="0" borderId="0" xfId="0" applyNumberFormat="1" applyFont="1" applyAlignment="1">
      <alignment horizontal="center"/>
    </xf>
    <xf numFmtId="0" fontId="5" fillId="0" borderId="12" xfId="0" applyFont="1" applyBorder="1" applyAlignment="1">
      <alignment horizontal="center"/>
    </xf>
    <xf numFmtId="168" fontId="5" fillId="0" borderId="13" xfId="0" applyNumberFormat="1" applyFont="1" applyBorder="1" applyAlignment="1">
      <alignment horizontal="center"/>
    </xf>
    <xf numFmtId="0" fontId="5" fillId="0" borderId="20" xfId="0" applyFont="1" applyBorder="1"/>
    <xf numFmtId="0" fontId="5" fillId="0" borderId="7" xfId="0" applyFont="1" applyBorder="1"/>
    <xf numFmtId="0" fontId="5" fillId="0" borderId="6" xfId="0" applyFont="1" applyBorder="1"/>
    <xf numFmtId="6" fontId="5" fillId="0" borderId="8" xfId="0" applyNumberFormat="1" applyFont="1" applyBorder="1"/>
    <xf numFmtId="0" fontId="5" fillId="0" borderId="8" xfId="0" applyFont="1" applyBorder="1"/>
    <xf numFmtId="6" fontId="5" fillId="0" borderId="6" xfId="0" applyNumberFormat="1" applyFont="1" applyBorder="1"/>
    <xf numFmtId="6" fontId="5" fillId="0" borderId="7" xfId="0" applyNumberFormat="1" applyFont="1" applyBorder="1"/>
    <xf numFmtId="0" fontId="5" fillId="0" borderId="7" xfId="0" quotePrefix="1" applyFont="1" applyBorder="1"/>
    <xf numFmtId="0" fontId="5" fillId="0" borderId="24" xfId="0" applyFont="1" applyBorder="1" applyAlignment="1">
      <alignment horizontal="center"/>
    </xf>
    <xf numFmtId="2" fontId="5" fillId="0" borderId="25" xfId="2" applyNumberFormat="1" applyFont="1" applyBorder="1" applyAlignment="1">
      <alignment horizontal="center"/>
    </xf>
    <xf numFmtId="0" fontId="5" fillId="0" borderId="3" xfId="0" applyFont="1" applyBorder="1" applyAlignment="1">
      <alignment horizontal="center"/>
    </xf>
    <xf numFmtId="6" fontId="5" fillId="0" borderId="5" xfId="0" applyNumberFormat="1" applyFont="1" applyBorder="1" applyAlignment="1">
      <alignment horizontal="center"/>
    </xf>
    <xf numFmtId="6" fontId="5" fillId="0" borderId="13" xfId="0" applyNumberFormat="1" applyFont="1" applyBorder="1"/>
    <xf numFmtId="167" fontId="5" fillId="0" borderId="8" xfId="0" applyNumberFormat="1" applyFont="1" applyBorder="1" applyAlignment="1">
      <alignment horizontal="center"/>
    </xf>
    <xf numFmtId="167" fontId="5" fillId="0" borderId="0" xfId="2" applyNumberFormat="1" applyFont="1" applyAlignment="1">
      <alignment horizontal="center"/>
    </xf>
    <xf numFmtId="0" fontId="5" fillId="0" borderId="0" xfId="0" applyFont="1" applyAlignment="1">
      <alignment horizontal="right"/>
    </xf>
    <xf numFmtId="2" fontId="5" fillId="0" borderId="0" xfId="0" applyNumberFormat="1" applyFont="1" applyAlignment="1">
      <alignment horizontal="center"/>
    </xf>
    <xf numFmtId="167" fontId="5" fillId="0" borderId="0" xfId="0" applyNumberFormat="1" applyFont="1" applyAlignment="1">
      <alignment horizontal="center"/>
    </xf>
    <xf numFmtId="0" fontId="5" fillId="2" borderId="0" xfId="0" applyFont="1" applyFill="1" applyAlignment="1">
      <alignment horizontal="left" vertical="top" wrapText="1"/>
    </xf>
    <xf numFmtId="6" fontId="5" fillId="2" borderId="0" xfId="0" applyNumberFormat="1" applyFont="1" applyFill="1" applyAlignment="1">
      <alignment horizontal="center"/>
    </xf>
    <xf numFmtId="6" fontId="5" fillId="0" borderId="0" xfId="0" applyNumberFormat="1" applyFont="1" applyAlignment="1">
      <alignment horizontal="center"/>
    </xf>
    <xf numFmtId="166" fontId="5" fillId="0" borderId="13" xfId="3" applyNumberFormat="1" applyFont="1" applyBorder="1" applyAlignment="1">
      <alignment horizontal="center"/>
    </xf>
    <xf numFmtId="0" fontId="3" fillId="0" borderId="0" xfId="0" quotePrefix="1" applyFont="1"/>
    <xf numFmtId="0" fontId="2" fillId="2" borderId="0" xfId="0" quotePrefix="1" applyFont="1" applyFill="1"/>
    <xf numFmtId="0" fontId="2" fillId="2" borderId="0" xfId="0" applyFont="1" applyFill="1"/>
    <xf numFmtId="9" fontId="2" fillId="2" borderId="0" xfId="0" applyNumberFormat="1" applyFont="1" applyFill="1" applyAlignment="1">
      <alignment horizontal="center"/>
    </xf>
    <xf numFmtId="0" fontId="2" fillId="0" borderId="0" xfId="0" applyFont="1"/>
    <xf numFmtId="0" fontId="2" fillId="0" borderId="24" xfId="0" applyFont="1" applyBorder="1"/>
    <xf numFmtId="6" fontId="2" fillId="0" borderId="25" xfId="0" applyNumberFormat="1" applyFont="1" applyBorder="1"/>
    <xf numFmtId="0" fontId="2" fillId="0" borderId="3" xfId="0" applyFont="1" applyBorder="1"/>
    <xf numFmtId="9" fontId="2" fillId="0" borderId="5" xfId="0" applyNumberFormat="1" applyFont="1" applyBorder="1" applyAlignment="1">
      <alignment horizontal="center"/>
    </xf>
    <xf numFmtId="11" fontId="2" fillId="2" borderId="0" xfId="0" applyNumberFormat="1" applyFont="1" applyFill="1" applyAlignment="1">
      <alignment horizontal="center"/>
    </xf>
    <xf numFmtId="0" fontId="5" fillId="0" borderId="0" xfId="0" applyFont="1" applyAlignment="1">
      <alignment horizontal="left" vertical="top" wrapText="1"/>
    </xf>
    <xf numFmtId="0" fontId="5" fillId="0" borderId="0" xfId="0" applyFont="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5" fillId="0" borderId="6" xfId="0" applyFont="1" applyBorder="1" applyAlignment="1">
      <alignment horizontal="center" wrapText="1"/>
    </xf>
    <xf numFmtId="0" fontId="11" fillId="2" borderId="14" xfId="0" applyFont="1" applyFill="1" applyBorder="1" applyAlignment="1">
      <alignment horizontal="center" wrapText="1"/>
    </xf>
    <xf numFmtId="0" fontId="11" fillId="2" borderId="15" xfId="0" applyFont="1" applyFill="1" applyBorder="1" applyAlignment="1">
      <alignment horizontal="center" wrapText="1"/>
    </xf>
    <xf numFmtId="0" fontId="11" fillId="2" borderId="16" xfId="0" applyFont="1" applyFill="1" applyBorder="1" applyAlignment="1">
      <alignment horizontal="center" wrapText="1"/>
    </xf>
    <xf numFmtId="0" fontId="5" fillId="2" borderId="21" xfId="0" applyFont="1" applyFill="1" applyBorder="1" applyAlignment="1">
      <alignment horizontal="center"/>
    </xf>
    <xf numFmtId="0" fontId="5" fillId="2" borderId="22" xfId="0" applyFont="1" applyFill="1" applyBorder="1" applyAlignment="1">
      <alignment horizontal="center"/>
    </xf>
    <xf numFmtId="0" fontId="5" fillId="2" borderId="23" xfId="0" applyFont="1" applyFill="1" applyBorder="1" applyAlignment="1">
      <alignment horizontal="center"/>
    </xf>
    <xf numFmtId="0" fontId="12" fillId="0" borderId="0" xfId="0" applyFont="1" applyAlignment="1">
      <alignment horizontal="left" vertical="top" wrapText="1"/>
    </xf>
    <xf numFmtId="0" fontId="5" fillId="2" borderId="0" xfId="0" applyFont="1" applyFill="1" applyAlignment="1">
      <alignment horizontal="left" vertical="top" wrapText="1"/>
    </xf>
    <xf numFmtId="0" fontId="12" fillId="0" borderId="0" xfId="0" applyFont="1" applyAlignment="1">
      <alignment horizontal="center"/>
    </xf>
    <xf numFmtId="0" fontId="4" fillId="0" borderId="0" xfId="0" applyFont="1" applyAlignment="1">
      <alignment horizontal="left" vertical="top" wrapText="1"/>
    </xf>
  </cellXfs>
  <cellStyles count="4">
    <cellStyle name="Comma" xfId="2" builtinId="3"/>
    <cellStyle name="Currency" xfId="1"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manualLayout>
          <c:layoutTarget val="inner"/>
          <c:xMode val="edge"/>
          <c:yMode val="edge"/>
          <c:x val="0.18627911713619488"/>
          <c:y val="5.3921568627450997E-2"/>
          <c:w val="0.75562535105855455"/>
          <c:h val="0.78099124291706501"/>
        </c:manualLayout>
      </c:layout>
      <c:scatterChart>
        <c:scatterStyle val="lineMarker"/>
        <c:varyColors val="0"/>
        <c:ser>
          <c:idx val="0"/>
          <c:order val="0"/>
          <c:tx>
            <c:v>Chain Ladder</c:v>
          </c:tx>
          <c:spPr>
            <a:ln w="19050">
              <a:solidFill>
                <a:srgbClr val="000000"/>
              </a:solidFill>
              <a:prstDash val="dash"/>
            </a:ln>
            <a:effectLst/>
          </c:spPr>
          <c:marker>
            <c:symbol val="none"/>
          </c:marker>
          <c:xVal>
            <c:numRef>
              <c:f>'Caseload Effect'!$G$82:$G$88</c:f>
              <c:numCache>
                <c:formatCode>0.0</c:formatCode>
                <c:ptCount val="7"/>
                <c:pt idx="0">
                  <c:v>0</c:v>
                </c:pt>
                <c:pt idx="1">
                  <c:v>4</c:v>
                </c:pt>
                <c:pt idx="2">
                  <c:v>8</c:v>
                </c:pt>
                <c:pt idx="3">
                  <c:v>11.2</c:v>
                </c:pt>
                <c:pt idx="4">
                  <c:v>12</c:v>
                </c:pt>
                <c:pt idx="5">
                  <c:v>16</c:v>
                </c:pt>
                <c:pt idx="6">
                  <c:v>20</c:v>
                </c:pt>
              </c:numCache>
            </c:numRef>
          </c:xVal>
          <c:yVal>
            <c:numRef>
              <c:f>'Caseload Effect'!$H$82:$H$88</c:f>
              <c:numCache>
                <c:formatCode>0.0</c:formatCode>
                <c:ptCount val="7"/>
                <c:pt idx="0">
                  <c:v>0</c:v>
                </c:pt>
                <c:pt idx="1">
                  <c:v>5.7142857142857144</c:v>
                </c:pt>
                <c:pt idx="2">
                  <c:v>11.428571428571429</c:v>
                </c:pt>
                <c:pt idx="3">
                  <c:v>16</c:v>
                </c:pt>
                <c:pt idx="4">
                  <c:v>17.142857142857142</c:v>
                </c:pt>
                <c:pt idx="5">
                  <c:v>22.857142857142858</c:v>
                </c:pt>
                <c:pt idx="6">
                  <c:v>28.571428571428573</c:v>
                </c:pt>
              </c:numCache>
            </c:numRef>
          </c:yVal>
          <c:smooth val="1"/>
          <c:extLst>
            <c:ext xmlns:c16="http://schemas.microsoft.com/office/drawing/2014/chart" uri="{C3380CC4-5D6E-409C-BE32-E72D297353CC}">
              <c16:uniqueId val="{00000000-AD8E-D749-A77E-86AA3690BCF2}"/>
            </c:ext>
          </c:extLst>
        </c:ser>
        <c:ser>
          <c:idx val="1"/>
          <c:order val="1"/>
          <c:tx>
            <c:v>Caseload Effect</c:v>
          </c:tx>
          <c:spPr>
            <a:ln w="19050">
              <a:solidFill>
                <a:schemeClr val="tx1"/>
              </a:solidFill>
              <a:prstDash val="solid"/>
            </a:ln>
          </c:spPr>
          <c:marker>
            <c:symbol val="none"/>
          </c:marker>
          <c:dLbls>
            <c:dLbl>
              <c:idx val="3"/>
              <c:layout>
                <c:manualLayout>
                  <c:x val="-3.8860886018449559E-2"/>
                  <c:y val="0.10665324951018364"/>
                </c:manualLayout>
              </c:layout>
              <c:tx>
                <c:rich>
                  <a:bodyPr wrap="square" lIns="38100" tIns="19050" rIns="38100" bIns="19050" anchor="ctr">
                    <a:noAutofit/>
                  </a:bodyPr>
                  <a:lstStyle/>
                  <a:p>
                    <a:pPr>
                      <a:defRPr sz="1200"/>
                    </a:pPr>
                    <a:r>
                      <a:rPr lang="en-US" sz="1200"/>
                      <a:t>x = E[X] = 11.2M</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31680276708494348"/>
                      <c:h val="9.0006068390985489E-2"/>
                    </c:manualLayout>
                  </c15:layout>
                  <c15:showDataLabelsRange val="0"/>
                </c:ext>
                <c:ext xmlns:c16="http://schemas.microsoft.com/office/drawing/2014/chart" uri="{C3380CC4-5D6E-409C-BE32-E72D297353CC}">
                  <c16:uniqueId val="{00000003-AD8E-D749-A77E-86AA3690BCF2}"/>
                </c:ext>
              </c:extLst>
            </c:dLbl>
            <c:spPr>
              <a:noFill/>
              <a:ln>
                <a:noFill/>
              </a:ln>
              <a:effectLst/>
            </c:spPr>
            <c:txPr>
              <a:bodyPr wrap="square" lIns="38100" tIns="19050" rIns="38100" bIns="19050" anchor="ctr">
                <a:spAutoFit/>
              </a:bodyPr>
              <a:lstStyle/>
              <a:p>
                <a:pPr>
                  <a:defRPr sz="12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'Caseload Effect'!$G$82:$G$88</c:f>
              <c:numCache>
                <c:formatCode>0.0</c:formatCode>
                <c:ptCount val="7"/>
                <c:pt idx="0">
                  <c:v>0</c:v>
                </c:pt>
                <c:pt idx="1">
                  <c:v>4</c:v>
                </c:pt>
                <c:pt idx="2">
                  <c:v>8</c:v>
                </c:pt>
                <c:pt idx="3">
                  <c:v>11.2</c:v>
                </c:pt>
                <c:pt idx="4">
                  <c:v>12</c:v>
                </c:pt>
                <c:pt idx="5">
                  <c:v>16</c:v>
                </c:pt>
                <c:pt idx="6">
                  <c:v>20</c:v>
                </c:pt>
              </c:numCache>
            </c:numRef>
          </c:xVal>
          <c:yVal>
            <c:numRef>
              <c:f>'Caseload Effect'!$I$82:$I$88</c:f>
              <c:numCache>
                <c:formatCode>0.0</c:formatCode>
                <c:ptCount val="7"/>
                <c:pt idx="0">
                  <c:v>-8.8888888888888893</c:v>
                </c:pt>
                <c:pt idx="1">
                  <c:v>0</c:v>
                </c:pt>
                <c:pt idx="2">
                  <c:v>8.8888888888888893</c:v>
                </c:pt>
                <c:pt idx="3">
                  <c:v>15.999999999999998</c:v>
                </c:pt>
                <c:pt idx="4">
                  <c:v>17.777777777777779</c:v>
                </c:pt>
                <c:pt idx="5">
                  <c:v>26.666666666666664</c:v>
                </c:pt>
                <c:pt idx="6">
                  <c:v>35.555555555555557</c:v>
                </c:pt>
              </c:numCache>
            </c:numRef>
          </c:yVal>
          <c:smooth val="0"/>
          <c:extLst>
            <c:ext xmlns:c16="http://schemas.microsoft.com/office/drawing/2014/chart" uri="{C3380CC4-5D6E-409C-BE32-E72D297353CC}">
              <c16:uniqueId val="{00000001-AD8E-D749-A77E-86AA3690BCF2}"/>
            </c:ext>
          </c:extLst>
        </c:ser>
        <c:dLbls>
          <c:showLegendKey val="0"/>
          <c:showVal val="0"/>
          <c:showCatName val="0"/>
          <c:showSerName val="0"/>
          <c:showPercent val="0"/>
          <c:showBubbleSize val="0"/>
        </c:dLbls>
        <c:axId val="-2144876776"/>
        <c:axId val="-2144872456"/>
      </c:scatterChart>
      <c:valAx>
        <c:axId val="-2144876776"/>
        <c:scaling>
          <c:orientation val="minMax"/>
          <c:max val="20"/>
        </c:scaling>
        <c:delete val="0"/>
        <c:axPos val="b"/>
        <c:title>
          <c:tx>
            <c:rich>
              <a:bodyPr/>
              <a:lstStyle/>
              <a:p>
                <a:pPr>
                  <a:defRPr sz="1200">
                    <a:latin typeface="Calibri" panose="020F0502020204030204" pitchFamily="34" charset="0"/>
                    <a:cs typeface="Calibri" panose="020F0502020204030204" pitchFamily="34" charset="0"/>
                  </a:defRPr>
                </a:pPr>
                <a:r>
                  <a:rPr lang="en-US" sz="1200">
                    <a:latin typeface="Calibri" panose="020F0502020204030204" pitchFamily="34" charset="0"/>
                    <a:cs typeface="Calibri" panose="020F0502020204030204" pitchFamily="34" charset="0"/>
                  </a:rPr>
                  <a:t>Loss at 12 Months (x)</a:t>
                </a:r>
              </a:p>
            </c:rich>
          </c:tx>
          <c:overlay val="0"/>
        </c:title>
        <c:numFmt formatCode="0.0" sourceLinked="1"/>
        <c:majorTickMark val="cross"/>
        <c:minorTickMark val="none"/>
        <c:tickLblPos val="low"/>
        <c:spPr>
          <a:ln>
            <a:solidFill>
              <a:schemeClr val="tx1"/>
            </a:solidFill>
          </a:ln>
        </c:spPr>
        <c:txPr>
          <a:bodyPr anchor="t" anchorCtr="0"/>
          <a:lstStyle/>
          <a:p>
            <a:pPr lvl="0">
              <a:defRPr sz="1100">
                <a:latin typeface="Adobe Caslon Pro"/>
                <a:cs typeface="Adobe Caslon Pro"/>
              </a:defRPr>
            </a:pPr>
            <a:endParaRPr lang="en-US"/>
          </a:p>
        </c:txPr>
        <c:crossAx val="-2144872456"/>
        <c:crosses val="autoZero"/>
        <c:crossBetween val="midCat"/>
        <c:majorUnit val="5"/>
      </c:valAx>
      <c:valAx>
        <c:axId val="-2144872456"/>
        <c:scaling>
          <c:orientation val="minMax"/>
          <c:max val="40"/>
          <c:min val="-15"/>
        </c:scaling>
        <c:delete val="0"/>
        <c:axPos val="l"/>
        <c:title>
          <c:tx>
            <c:rich>
              <a:bodyPr rot="-5400000" vert="horz"/>
              <a:lstStyle/>
              <a:p>
                <a:pPr>
                  <a:defRPr sz="1200">
                    <a:latin typeface="Calibri" panose="020F0502020204030204" pitchFamily="34" charset="0"/>
                    <a:cs typeface="Calibri" panose="020F0502020204030204" pitchFamily="34" charset="0"/>
                  </a:defRPr>
                </a:pPr>
                <a:r>
                  <a:rPr lang="en-US" sz="1200">
                    <a:latin typeface="Calibri" panose="020F0502020204030204" pitchFamily="34" charset="0"/>
                    <a:cs typeface="Calibri" panose="020F0502020204030204" pitchFamily="34" charset="0"/>
                  </a:rPr>
                  <a:t>Ultimate Loss Estimate (y)</a:t>
                </a:r>
              </a:p>
            </c:rich>
          </c:tx>
          <c:layout>
            <c:manualLayout>
              <c:xMode val="edge"/>
              <c:yMode val="edge"/>
              <c:x val="1.1250205664590399E-2"/>
              <c:y val="0.15519805713940901"/>
            </c:manualLayout>
          </c:layout>
          <c:overlay val="0"/>
        </c:title>
        <c:numFmt formatCode="0.0" sourceLinked="1"/>
        <c:majorTickMark val="cross"/>
        <c:minorTickMark val="none"/>
        <c:tickLblPos val="nextTo"/>
        <c:spPr>
          <a:ln>
            <a:solidFill>
              <a:schemeClr val="tx1"/>
            </a:solidFill>
          </a:ln>
        </c:spPr>
        <c:txPr>
          <a:bodyPr/>
          <a:lstStyle/>
          <a:p>
            <a:pPr lvl="0">
              <a:defRPr sz="1100">
                <a:latin typeface="Adobe Caslon Pro"/>
                <a:cs typeface="Adobe Caslon Pro"/>
              </a:defRPr>
            </a:pPr>
            <a:endParaRPr lang="en-US"/>
          </a:p>
        </c:txPr>
        <c:crossAx val="-2144876776"/>
        <c:crosses val="autoZero"/>
        <c:crossBetween val="midCat"/>
        <c:majorUnit val="10"/>
      </c:valAx>
    </c:plotArea>
    <c:legend>
      <c:legendPos val="t"/>
      <c:layout>
        <c:manualLayout>
          <c:xMode val="edge"/>
          <c:yMode val="edge"/>
          <c:x val="0.16466011215410817"/>
          <c:y val="6.0282271462277756E-2"/>
          <c:w val="0.38949820216098902"/>
          <c:h val="0.19514258528061015"/>
        </c:manualLayout>
      </c:layout>
      <c:overlay val="0"/>
      <c:txPr>
        <a:bodyPr/>
        <a:lstStyle/>
        <a:p>
          <a:pPr>
            <a:defRPr sz="1200"/>
          </a:pPr>
          <a:endParaRPr lang="en-US"/>
        </a:p>
      </c:txPr>
    </c:legend>
    <c:plotVisOnly val="1"/>
    <c:dispBlanksAs val="zero"/>
    <c:showDLblsOverMax val="1"/>
  </c:chart>
  <c:spPr>
    <a:ln>
      <a:noFill/>
    </a:ln>
  </c:spPr>
  <c:printSettings>
    <c:headerFooter/>
    <c:pageMargins b="1" l="0.75" r="0.75" t="1" header="0.5" footer="0.5"/>
    <c:pageSetup/>
  </c:printSettings>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381000</xdr:colOff>
      <xdr:row>116</xdr:row>
      <xdr:rowOff>147637</xdr:rowOff>
    </xdr:from>
    <xdr:ext cx="65" cy="172227"/>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828925" y="1652111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452968</xdr:colOff>
      <xdr:row>116</xdr:row>
      <xdr:rowOff>76729</xdr:rowOff>
    </xdr:from>
    <xdr:ext cx="1918089" cy="17222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754968" y="23793979"/>
              <a:ext cx="191808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latin typeface="Cambria Math" panose="02040503050406030204" pitchFamily="18" charset="0"/>
                          </a:rPr>
                        </m:ctrlPr>
                      </m:accPr>
                      <m:e>
                        <m:r>
                          <a:rPr lang="en-US" sz="1100" b="0" i="1">
                            <a:latin typeface="Cambria Math" panose="02040503050406030204" pitchFamily="18" charset="0"/>
                          </a:rPr>
                          <m:t>𝑦</m:t>
                        </m:r>
                      </m:e>
                    </m:acc>
                    <m:r>
                      <a:rPr lang="en-US" sz="1100" b="0" i="1">
                        <a:latin typeface="Cambria Math" panose="02040503050406030204" pitchFamily="18" charset="0"/>
                      </a:rPr>
                      <m:t>=</m:t>
                    </m:r>
                    <m:r>
                      <a:rPr lang="en-US" sz="1100" b="0" i="1">
                        <a:latin typeface="Cambria Math" panose="02040503050406030204" pitchFamily="18" charset="0"/>
                      </a:rPr>
                      <m:t>𝑍</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𝐿𝐷𝐹</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𝑥</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𝑍</m:t>
                    </m:r>
                    <m:r>
                      <a:rPr lang="en-US" sz="1100" b="0" i="1">
                        <a:latin typeface="Cambria Math" panose="02040503050406030204" pitchFamily="18" charset="0"/>
                        <a:ea typeface="Cambria Math" panose="02040503050406030204" pitchFamily="18" charset="0"/>
                      </a:rPr>
                      <m:t>)×</m:t>
                    </m:r>
                    <m:acc>
                      <m:accPr>
                        <m:chr m:val="̅"/>
                        <m:ctrlPr>
                          <a:rPr lang="en-US" sz="1100" b="0" i="1">
                            <a:latin typeface="Cambria Math" panose="02040503050406030204" pitchFamily="18" charset="0"/>
                            <a:ea typeface="Cambria Math" panose="02040503050406030204" pitchFamily="18" charset="0"/>
                          </a:rPr>
                        </m:ctrlPr>
                      </m:accPr>
                      <m:e>
                        <m:r>
                          <a:rPr lang="en-US" sz="1100" b="0" i="1">
                            <a:latin typeface="Cambria Math" panose="02040503050406030204" pitchFamily="18" charset="0"/>
                            <a:ea typeface="Cambria Math" panose="02040503050406030204" pitchFamily="18" charset="0"/>
                          </a:rPr>
                          <m:t>𝑦</m:t>
                        </m:r>
                      </m:e>
                    </m:acc>
                  </m:oMath>
                </m:oMathPara>
              </a14:m>
              <a:endParaRPr lang="en-US" sz="1100"/>
            </a:p>
          </xdr:txBody>
        </xdr:sp>
      </mc:Choice>
      <mc:Fallback xmlns="">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754968" y="23793979"/>
              <a:ext cx="191808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𝑦 ̂=𝑍</a:t>
              </a:r>
              <a:r>
                <a:rPr lang="en-US" sz="1100" b="0" i="0">
                  <a:latin typeface="Cambria Math" panose="02040503050406030204" pitchFamily="18" charset="0"/>
                  <a:ea typeface="Cambria Math" panose="02040503050406030204" pitchFamily="18" charset="0"/>
                </a:rPr>
                <a:t>×𝐿𝐷𝐹×𝑥+(1−𝑍)×𝑦 ̅</a:t>
              </a:r>
              <a:endParaRPr lang="en-US" sz="1100"/>
            </a:p>
          </xdr:txBody>
        </xdr:sp>
      </mc:Fallback>
    </mc:AlternateContent>
    <xdr:clientData/>
  </xdr:oneCellAnchor>
  <xdr:oneCellAnchor>
    <xdr:from>
      <xdr:col>2</xdr:col>
      <xdr:colOff>200025</xdr:colOff>
      <xdr:row>137</xdr:row>
      <xdr:rowOff>52387</xdr:rowOff>
    </xdr:from>
    <xdr:ext cx="592406" cy="31265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819275" y="20664487"/>
              <a:ext cx="592406" cy="312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𝐿𝐷𝐹</m:t>
                    </m:r>
                    <m:r>
                      <a:rPr lang="en-US" sz="1100" b="0" i="1">
                        <a:latin typeface="Cambria Math" panose="02040503050406030204" pitchFamily="18" charset="0"/>
                      </a:rPr>
                      <m:t>= </m:t>
                    </m:r>
                    <m:f>
                      <m:fPr>
                        <m:ctrlPr>
                          <a:rPr lang="en-US" sz="1100" b="0" i="1">
                            <a:latin typeface="Cambria Math" panose="02040503050406030204" pitchFamily="18" charset="0"/>
                          </a:rPr>
                        </m:ctrlPr>
                      </m:fPr>
                      <m:num>
                        <m:acc>
                          <m:accPr>
                            <m:chr m:val="̅"/>
                            <m:ctrlPr>
                              <a:rPr lang="en-US" sz="1100" b="0" i="1">
                                <a:latin typeface="Cambria Math" panose="02040503050406030204" pitchFamily="18" charset="0"/>
                              </a:rPr>
                            </m:ctrlPr>
                          </m:accPr>
                          <m:e>
                            <m:r>
                              <a:rPr lang="en-US" sz="1100" b="0" i="1">
                                <a:latin typeface="Cambria Math" panose="02040503050406030204" pitchFamily="18" charset="0"/>
                              </a:rPr>
                              <m:t>𝑦</m:t>
                            </m:r>
                          </m:e>
                        </m:acc>
                      </m:num>
                      <m:den>
                        <m:r>
                          <a:rPr lang="en-US" sz="1100" b="0" i="1">
                            <a:latin typeface="Cambria Math" panose="02040503050406030204" pitchFamily="18" charset="0"/>
                          </a:rPr>
                          <m:t>𝑥</m:t>
                        </m:r>
                      </m:den>
                    </m:f>
                  </m:oMath>
                </m:oMathPara>
              </a14:m>
              <a:endParaRPr lang="en-US" sz="1100"/>
            </a:p>
          </xdr:txBody>
        </xdr:sp>
      </mc:Choice>
      <mc:Fallback xmlns="">
        <xdr:sp macro="" textlink="">
          <xdr:nvSpPr>
            <xdr:cNvPr id="7" name="TextBox 6"/>
            <xdr:cNvSpPr txBox="1"/>
          </xdr:nvSpPr>
          <xdr:spPr>
            <a:xfrm>
              <a:off x="1819275" y="20664487"/>
              <a:ext cx="592406" cy="312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𝐿𝐷𝐹=  𝑦 ̅/𝑥</a:t>
              </a:r>
              <a:endParaRPr lang="en-US" sz="1100"/>
            </a:p>
          </xdr:txBody>
        </xdr:sp>
      </mc:Fallback>
    </mc:AlternateContent>
    <xdr:clientData/>
  </xdr:oneCellAnchor>
  <xdr:oneCellAnchor>
    <xdr:from>
      <xdr:col>3</xdr:col>
      <xdr:colOff>400050</xdr:colOff>
      <xdr:row>137</xdr:row>
      <xdr:rowOff>157162</xdr:rowOff>
    </xdr:from>
    <xdr:ext cx="1244059" cy="181332"/>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847975" y="20769262"/>
              <a:ext cx="1244059" cy="181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panose="02040503050406030204" pitchFamily="18" charset="0"/>
                          </a:rPr>
                        </m:ctrlPr>
                      </m:sSupPr>
                      <m:e>
                        <m:acc>
                          <m:accPr>
                            <m:chr m:val="̂"/>
                            <m:ctrlPr>
                              <a:rPr lang="en-US" sz="1100" i="1">
                                <a:latin typeface="Cambria Math" panose="02040503050406030204" pitchFamily="18" charset="0"/>
                              </a:rPr>
                            </m:ctrlPr>
                          </m:accPr>
                          <m:e>
                            <m:r>
                              <a:rPr lang="en-US" sz="1100" b="0" i="1">
                                <a:latin typeface="Cambria Math" panose="02040503050406030204" pitchFamily="18" charset="0"/>
                              </a:rPr>
                              <m:t>𝑦</m:t>
                            </m:r>
                          </m:e>
                        </m:acc>
                      </m:e>
                      <m:sup>
                        <m:r>
                          <a:rPr lang="en-US" sz="1100" b="0" i="1">
                            <a:latin typeface="Cambria Math" panose="02040503050406030204" pitchFamily="18" charset="0"/>
                          </a:rPr>
                          <m:t>𝑙𝑖𝑛𝑘</m:t>
                        </m:r>
                        <m:r>
                          <a:rPr lang="en-US" sz="1100" b="0" i="1">
                            <a:latin typeface="Cambria Math" panose="02040503050406030204" pitchFamily="18" charset="0"/>
                          </a:rPr>
                          <m:t> </m:t>
                        </m:r>
                        <m:r>
                          <a:rPr lang="en-US" sz="1100" b="0" i="1">
                            <a:latin typeface="Cambria Math" panose="02040503050406030204" pitchFamily="18" charset="0"/>
                          </a:rPr>
                          <m:t>𝑟𝑎𝑡𝑖𝑜</m:t>
                        </m:r>
                      </m:sup>
                    </m:sSup>
                    <m:r>
                      <a:rPr lang="en-US" sz="1100" b="0" i="1">
                        <a:latin typeface="Cambria Math" panose="02040503050406030204" pitchFamily="18" charset="0"/>
                      </a:rPr>
                      <m:t>=</m:t>
                    </m:r>
                    <m:r>
                      <a:rPr lang="en-US" sz="1100" b="0" i="1">
                        <a:latin typeface="Cambria Math" panose="02040503050406030204" pitchFamily="18" charset="0"/>
                      </a:rPr>
                      <m:t>𝐿𝐷𝐹</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𝑥</m:t>
                    </m:r>
                  </m:oMath>
                </m:oMathPara>
              </a14:m>
              <a:endParaRPr lang="en-US" sz="1100"/>
            </a:p>
          </xdr:txBody>
        </xdr:sp>
      </mc:Choice>
      <mc:Fallback xmlns="">
        <xdr:sp macro="" textlink="">
          <xdr:nvSpPr>
            <xdr:cNvPr id="8" name="TextBox 7"/>
            <xdr:cNvSpPr txBox="1"/>
          </xdr:nvSpPr>
          <xdr:spPr>
            <a:xfrm>
              <a:off x="2847975" y="20769262"/>
              <a:ext cx="1244059" cy="181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𝑦 ̂^(𝑙𝑖𝑛𝑘 𝑟𝑎𝑡𝑖𝑜)=𝐿𝐷𝐹</a:t>
              </a:r>
              <a:r>
                <a:rPr lang="en-US" sz="1100" b="0" i="0">
                  <a:latin typeface="Cambria Math" panose="02040503050406030204" pitchFamily="18" charset="0"/>
                  <a:ea typeface="Cambria Math" panose="02040503050406030204" pitchFamily="18" charset="0"/>
                </a:rPr>
                <a:t>∙𝑥</a:t>
              </a:r>
              <a:endParaRPr lang="en-US" sz="1100"/>
            </a:p>
          </xdr:txBody>
        </xdr:sp>
      </mc:Fallback>
    </mc:AlternateContent>
    <xdr:clientData/>
  </xdr:oneCellAnchor>
  <xdr:oneCellAnchor>
    <xdr:from>
      <xdr:col>2</xdr:col>
      <xdr:colOff>333375</xdr:colOff>
      <xdr:row>143</xdr:row>
      <xdr:rowOff>71437</xdr:rowOff>
    </xdr:from>
    <xdr:ext cx="754887" cy="178832"/>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1952625" y="20645437"/>
              <a:ext cx="754887" cy="178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panose="02040503050406030204" pitchFamily="18" charset="0"/>
                          </a:rPr>
                        </m:ctrlPr>
                      </m:sSupPr>
                      <m:e>
                        <m:acc>
                          <m:accPr>
                            <m:chr m:val="̂"/>
                            <m:ctrlPr>
                              <a:rPr lang="en-US" sz="1100" i="1">
                                <a:latin typeface="Cambria Math" panose="02040503050406030204" pitchFamily="18" charset="0"/>
                              </a:rPr>
                            </m:ctrlPr>
                          </m:accPr>
                          <m:e>
                            <m:r>
                              <a:rPr lang="en-US" sz="1100" b="0" i="1">
                                <a:latin typeface="Cambria Math" panose="02040503050406030204" pitchFamily="18" charset="0"/>
                              </a:rPr>
                              <m:t>𝑦</m:t>
                            </m:r>
                          </m:e>
                        </m:acc>
                      </m:e>
                      <m:sup>
                        <m:r>
                          <a:rPr lang="en-US" sz="1100" b="0" i="1">
                            <a:latin typeface="Cambria Math" panose="02040503050406030204" pitchFamily="18" charset="0"/>
                          </a:rPr>
                          <m:t>𝑏𝑢𝑑𝑔𝑒𝑡</m:t>
                        </m:r>
                      </m:sup>
                    </m:sSup>
                    <m:r>
                      <a:rPr lang="en-US" sz="1100" b="0" i="1">
                        <a:latin typeface="Cambria Math" panose="02040503050406030204" pitchFamily="18" charset="0"/>
                      </a:rPr>
                      <m:t>=</m:t>
                    </m:r>
                    <m:acc>
                      <m:accPr>
                        <m:chr m:val="̅"/>
                        <m:ctrlPr>
                          <a:rPr lang="en-US" sz="1100" b="0" i="1">
                            <a:latin typeface="Cambria Math" panose="02040503050406030204" pitchFamily="18" charset="0"/>
                          </a:rPr>
                        </m:ctrlPr>
                      </m:accPr>
                      <m:e>
                        <m:r>
                          <a:rPr lang="en-US" sz="1100" b="0" i="1">
                            <a:latin typeface="Cambria Math" panose="02040503050406030204" pitchFamily="18" charset="0"/>
                          </a:rPr>
                          <m:t>𝑦</m:t>
                        </m:r>
                      </m:e>
                    </m:acc>
                  </m:oMath>
                </m:oMathPara>
              </a14:m>
              <a:endParaRPr lang="en-US" sz="1100"/>
            </a:p>
          </xdr:txBody>
        </xdr:sp>
      </mc:Choice>
      <mc:Fallback xmlns="">
        <xdr:sp macro="" textlink="">
          <xdr:nvSpPr>
            <xdr:cNvPr id="9" name="TextBox 8"/>
            <xdr:cNvSpPr txBox="1"/>
          </xdr:nvSpPr>
          <xdr:spPr>
            <a:xfrm>
              <a:off x="1952625" y="20645437"/>
              <a:ext cx="754887" cy="178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𝑦 ̂^𝑏𝑢𝑑𝑔𝑒𝑡=𝑦 ̅</a:t>
              </a:r>
              <a:endParaRPr lang="en-US" sz="1100"/>
            </a:p>
          </xdr:txBody>
        </xdr:sp>
      </mc:Fallback>
    </mc:AlternateContent>
    <xdr:clientData/>
  </xdr:oneCellAnchor>
  <xdr:oneCellAnchor>
    <xdr:from>
      <xdr:col>1</xdr:col>
      <xdr:colOff>264583</xdr:colOff>
      <xdr:row>26</xdr:row>
      <xdr:rowOff>169333</xdr:rowOff>
    </xdr:from>
    <xdr:ext cx="2060564" cy="40921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5F1B817-FF97-044C-935A-44FFDDD676D0}"/>
                </a:ext>
              </a:extLst>
            </xdr:cNvPr>
            <xdr:cNvSpPr txBox="1"/>
          </xdr:nvSpPr>
          <xdr:spPr>
            <a:xfrm>
              <a:off x="1090083" y="5503333"/>
              <a:ext cx="2060564" cy="40921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𝐿𝑜𝑠𝑠</m:t>
                    </m:r>
                    <m:r>
                      <a:rPr lang="en-US" sz="1100" b="0" i="1">
                        <a:latin typeface="Cambria Math" panose="02040503050406030204" pitchFamily="18" charset="0"/>
                      </a:rPr>
                      <m:t> </m:t>
                    </m:r>
                    <m:r>
                      <a:rPr lang="en-US" sz="1100" b="0" i="1">
                        <a:latin typeface="Cambria Math" panose="02040503050406030204" pitchFamily="18" charset="0"/>
                      </a:rPr>
                      <m:t>𝑅𝑎𝑡𝑖𝑜</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𝐿𝑜𝑠𝑠𝑒𝑠</m:t>
                        </m:r>
                      </m:num>
                      <m:den>
                        <m:r>
                          <a:rPr lang="en-US" sz="1100" b="0" i="1">
                            <a:latin typeface="Cambria Math" panose="02040503050406030204" pitchFamily="18" charset="0"/>
                          </a:rPr>
                          <m:t>𝐸𝑎𝑟𝑛𝑒𝑑</m:t>
                        </m:r>
                        <m:r>
                          <a:rPr lang="en-US" sz="1100" b="0" i="1">
                            <a:latin typeface="Cambria Math" panose="02040503050406030204" pitchFamily="18" charset="0"/>
                          </a:rPr>
                          <m:t> </m:t>
                        </m:r>
                        <m:r>
                          <a:rPr lang="en-US" sz="1100" b="0" i="1">
                            <a:latin typeface="Cambria Math" panose="02040503050406030204" pitchFamily="18" charset="0"/>
                          </a:rPr>
                          <m:t>𝑃𝑟𝑒𝑚𝑖𝑢𝑚</m:t>
                        </m:r>
                      </m:den>
                    </m:f>
                  </m:oMath>
                </m:oMathPara>
              </a14:m>
              <a:endParaRPr lang="en-US" sz="1100"/>
            </a:p>
          </xdr:txBody>
        </xdr:sp>
      </mc:Choice>
      <mc:Fallback xmlns="">
        <xdr:sp macro="" textlink="">
          <xdr:nvSpPr>
            <xdr:cNvPr id="3" name="TextBox 2">
              <a:extLst>
                <a:ext uri="{FF2B5EF4-FFF2-40B4-BE49-F238E27FC236}">
                  <a16:creationId xmlns:a16="http://schemas.microsoft.com/office/drawing/2014/main" id="{F5F1B817-FF97-044C-935A-44FFDDD676D0}"/>
                </a:ext>
              </a:extLst>
            </xdr:cNvPr>
            <xdr:cNvSpPr txBox="1"/>
          </xdr:nvSpPr>
          <xdr:spPr>
            <a:xfrm>
              <a:off x="1090083" y="5503333"/>
              <a:ext cx="2060564" cy="40921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𝐿𝑜𝑠𝑠 𝑅𝑎𝑡𝑖𝑜=𝐿𝑜𝑠𝑠𝑒𝑠/(𝐸𝑎𝑟𝑛𝑒𝑑 𝑃𝑟𝑒𝑚𝑖𝑢𝑚)</a:t>
              </a:r>
              <a:endParaRPr lang="en-US" sz="1100"/>
            </a:p>
          </xdr:txBody>
        </xdr:sp>
      </mc:Fallback>
    </mc:AlternateContent>
    <xdr:clientData/>
  </xdr:oneCellAnchor>
  <xdr:oneCellAnchor>
    <xdr:from>
      <xdr:col>1</xdr:col>
      <xdr:colOff>603250</xdr:colOff>
      <xdr:row>115</xdr:row>
      <xdr:rowOff>169334</xdr:rowOff>
    </xdr:from>
    <xdr:ext cx="1710918" cy="38222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F418239A-39BE-794E-A02E-78956E5DF260}"/>
                </a:ext>
              </a:extLst>
            </xdr:cNvPr>
            <xdr:cNvSpPr txBox="1"/>
          </xdr:nvSpPr>
          <xdr:spPr>
            <a:xfrm>
              <a:off x="1428750" y="23685501"/>
              <a:ext cx="1710918" cy="38222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latin typeface="Cambria Math" panose="02040503050406030204" pitchFamily="18" charset="0"/>
                          </a:rPr>
                        </m:ctrlPr>
                      </m:accPr>
                      <m:e>
                        <m:r>
                          <a:rPr lang="en-US" sz="1100" b="0" i="1">
                            <a:latin typeface="Cambria Math" panose="02040503050406030204" pitchFamily="18" charset="0"/>
                          </a:rPr>
                          <m:t>𝑦</m:t>
                        </m:r>
                      </m:e>
                    </m:acc>
                    <m:r>
                      <a:rPr lang="en-US" sz="1100" b="0" i="1">
                        <a:latin typeface="Cambria Math" panose="02040503050406030204" pitchFamily="18" charset="0"/>
                      </a:rPr>
                      <m:t>=</m:t>
                    </m:r>
                    <m:r>
                      <a:rPr lang="en-US" sz="1100" b="0" i="1">
                        <a:latin typeface="Cambria Math" panose="02040503050406030204" pitchFamily="18" charset="0"/>
                      </a:rPr>
                      <m:t>𝑍</m:t>
                    </m:r>
                    <m:r>
                      <a:rPr lang="en-US" sz="1100" b="0" i="1">
                        <a:latin typeface="Cambria Math" panose="02040503050406030204" pitchFamily="18" charset="0"/>
                      </a:rPr>
                      <m:t> ×</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𝑥</m:t>
                        </m:r>
                      </m:num>
                      <m:den>
                        <m:r>
                          <a:rPr lang="en-US" sz="1100" b="0" i="1">
                            <a:latin typeface="Cambria Math" panose="02040503050406030204" pitchFamily="18" charset="0"/>
                            <a:ea typeface="Cambria Math" panose="02040503050406030204" pitchFamily="18" charset="0"/>
                          </a:rPr>
                          <m:t>𝑑</m:t>
                        </m:r>
                      </m:den>
                    </m:f>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𝑍</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𝐸</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𝑦</m:t>
                    </m:r>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11" name="TextBox 10">
              <a:extLst>
                <a:ext uri="{FF2B5EF4-FFF2-40B4-BE49-F238E27FC236}">
                  <a16:creationId xmlns:a16="http://schemas.microsoft.com/office/drawing/2014/main" id="{F418239A-39BE-794E-A02E-78956E5DF260}"/>
                </a:ext>
              </a:extLst>
            </xdr:cNvPr>
            <xdr:cNvSpPr txBox="1"/>
          </xdr:nvSpPr>
          <xdr:spPr>
            <a:xfrm>
              <a:off x="1428750" y="23685501"/>
              <a:ext cx="1710918" cy="38222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𝑦 ̂=𝑍 ×</a:t>
              </a:r>
              <a:r>
                <a:rPr lang="en-US" sz="1100" b="0" i="0">
                  <a:latin typeface="Cambria Math" panose="02040503050406030204" pitchFamily="18" charset="0"/>
                  <a:ea typeface="Cambria Math" panose="02040503050406030204" pitchFamily="18" charset="0"/>
                </a:rPr>
                <a:t>𝑥/𝑑+(1−𝑍)×𝐸[𝑦]</a:t>
              </a:r>
              <a:endParaRPr lang="en-US" sz="1100"/>
            </a:p>
          </xdr:txBody>
        </xdr:sp>
      </mc:Fallback>
    </mc:AlternateContent>
    <xdr:clientData/>
  </xdr:oneCellAnchor>
  <xdr:twoCellAnchor>
    <xdr:from>
      <xdr:col>1</xdr:col>
      <xdr:colOff>243416</xdr:colOff>
      <xdr:row>45</xdr:row>
      <xdr:rowOff>148167</xdr:rowOff>
    </xdr:from>
    <xdr:to>
      <xdr:col>2</xdr:col>
      <xdr:colOff>494241</xdr:colOff>
      <xdr:row>47</xdr:row>
      <xdr:rowOff>192405</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AFDDACE4-B164-2629-327C-4E40A8C9B81D}"/>
                </a:ext>
              </a:extLst>
            </xdr:cNvPr>
            <xdr:cNvSpPr txBox="1"/>
          </xdr:nvSpPr>
          <xdr:spPr>
            <a:xfrm>
              <a:off x="1068916" y="9302750"/>
              <a:ext cx="1076325" cy="44640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a14:m>
                <m:oMathPara xmlns:m="http://schemas.openxmlformats.org/officeDocument/2006/math">
                  <m:oMathParaPr>
                    <m:jc m:val="centerGroup"/>
                  </m:oMathParaPr>
                  <m:oMath xmlns:m="http://schemas.openxmlformats.org/officeDocument/2006/math">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𝑏</m:t>
                    </m:r>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m:t>
                    </m:r>
                    <m:f>
                      <m:fPr>
                        <m:ctrlPr>
                          <a:rPr lang="en-US" sz="1200" i="1" kern="100">
                            <a:effectLst/>
                            <a:latin typeface="Cambria Math" panose="02040503050406030204" pitchFamily="18" charset="0"/>
                            <a:ea typeface="Cambria" panose="02040503050406030204" pitchFamily="18" charset="0"/>
                            <a:cs typeface="Times New Roman" panose="02020603050405020304" pitchFamily="18" charset="0"/>
                          </a:rPr>
                        </m:ctrlPr>
                      </m:fPr>
                      <m:num>
                        <m:acc>
                          <m:accPr>
                            <m:chr m:val="̅"/>
                            <m:ctrlPr>
                              <a:rPr lang="en-US" sz="1200" i="1" kern="100">
                                <a:effectLst/>
                                <a:latin typeface="Cambria Math" panose="02040503050406030204" pitchFamily="18" charset="0"/>
                                <a:ea typeface="Cambria" panose="02040503050406030204" pitchFamily="18" charset="0"/>
                                <a:cs typeface="Times New Roman" panose="02020603050405020304" pitchFamily="18" charset="0"/>
                              </a:rPr>
                            </m:ctrlPr>
                          </m:accPr>
                          <m:e>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𝑥𝑦</m:t>
                            </m:r>
                          </m:e>
                        </m:acc>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m:t>
                        </m:r>
                        <m:acc>
                          <m:accPr>
                            <m:chr m:val="̅"/>
                            <m:ctrlPr>
                              <a:rPr lang="en-US" sz="1200" i="1" kern="100">
                                <a:effectLst/>
                                <a:latin typeface="Cambria Math" panose="02040503050406030204" pitchFamily="18" charset="0"/>
                                <a:ea typeface="Cambria" panose="02040503050406030204" pitchFamily="18" charset="0"/>
                                <a:cs typeface="Times New Roman" panose="02020603050405020304" pitchFamily="18" charset="0"/>
                              </a:rPr>
                            </m:ctrlPr>
                          </m:accPr>
                          <m:e>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𝑥</m:t>
                            </m:r>
                          </m:e>
                        </m:acc>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m:t>
                        </m:r>
                        <m:acc>
                          <m:accPr>
                            <m:chr m:val="̅"/>
                            <m:ctrlPr>
                              <a:rPr lang="en-US" sz="1200" i="1" kern="100">
                                <a:effectLst/>
                                <a:latin typeface="Cambria Math" panose="02040503050406030204" pitchFamily="18" charset="0"/>
                                <a:ea typeface="Cambria" panose="02040503050406030204" pitchFamily="18" charset="0"/>
                                <a:cs typeface="Times New Roman" panose="02020603050405020304" pitchFamily="18" charset="0"/>
                              </a:rPr>
                            </m:ctrlPr>
                          </m:accPr>
                          <m:e>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𝑦</m:t>
                            </m:r>
                          </m:e>
                        </m:acc>
                      </m:num>
                      <m:den>
                        <m:acc>
                          <m:accPr>
                            <m:chr m:val="̅"/>
                            <m:ctrlPr>
                              <a:rPr lang="en-US" sz="1200" i="1" kern="100">
                                <a:effectLst/>
                                <a:latin typeface="Cambria Math" panose="02040503050406030204" pitchFamily="18" charset="0"/>
                                <a:ea typeface="Cambria" panose="02040503050406030204" pitchFamily="18" charset="0"/>
                                <a:cs typeface="Times New Roman" panose="02020603050405020304" pitchFamily="18" charset="0"/>
                              </a:rPr>
                            </m:ctrlPr>
                          </m:accPr>
                          <m:e>
                            <m:sSup>
                              <m:sSupPr>
                                <m:ctrlPr>
                                  <a:rPr lang="en-US" sz="1200" i="1" kern="100">
                                    <a:effectLst/>
                                    <a:latin typeface="Cambria Math" panose="02040503050406030204" pitchFamily="18" charset="0"/>
                                    <a:ea typeface="Cambria" panose="02040503050406030204" pitchFamily="18" charset="0"/>
                                    <a:cs typeface="Times New Roman" panose="02020603050405020304" pitchFamily="18" charset="0"/>
                                  </a:rPr>
                                </m:ctrlPr>
                              </m:sSupPr>
                              <m:e>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𝑥</m:t>
                                </m:r>
                              </m:e>
                              <m:sup>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2</m:t>
                                </m:r>
                              </m:sup>
                            </m:sSup>
                          </m:e>
                        </m:acc>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m:t>
                        </m:r>
                        <m:sSup>
                          <m:sSupPr>
                            <m:ctrlPr>
                              <a:rPr lang="en-US" sz="1200" i="1" kern="100">
                                <a:effectLst/>
                                <a:latin typeface="Cambria Math" panose="02040503050406030204" pitchFamily="18" charset="0"/>
                                <a:ea typeface="Cambria" panose="02040503050406030204" pitchFamily="18" charset="0"/>
                                <a:cs typeface="Times New Roman" panose="02020603050405020304" pitchFamily="18" charset="0"/>
                              </a:rPr>
                            </m:ctrlPr>
                          </m:sSupPr>
                          <m:e>
                            <m:acc>
                              <m:accPr>
                                <m:chr m:val="̅"/>
                                <m:ctrlPr>
                                  <a:rPr lang="en-US" sz="1200" i="1" kern="100">
                                    <a:effectLst/>
                                    <a:latin typeface="Cambria Math" panose="02040503050406030204" pitchFamily="18" charset="0"/>
                                    <a:ea typeface="Cambria" panose="02040503050406030204" pitchFamily="18" charset="0"/>
                                    <a:cs typeface="Times New Roman" panose="02020603050405020304" pitchFamily="18" charset="0"/>
                                  </a:rPr>
                                </m:ctrlPr>
                              </m:accPr>
                              <m:e>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𝑥</m:t>
                                </m:r>
                              </m:e>
                            </m:acc>
                          </m:e>
                          <m:sup>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2</m:t>
                            </m:r>
                          </m:sup>
                        </m:sSup>
                      </m:den>
                    </m:f>
                  </m:oMath>
                </m:oMathPara>
              </a14:m>
              <a:endParaRPr lang="en-US" sz="1200" kern="100">
                <a:effectLst/>
                <a:ea typeface="Cambria" panose="02040503050406030204" pitchFamily="18" charset="0"/>
                <a:cs typeface="Times New Roman" panose="02020603050405020304" pitchFamily="18" charset="0"/>
              </a:endParaRPr>
            </a:p>
          </xdr:txBody>
        </xdr:sp>
      </mc:Choice>
      <mc:Fallback xmlns="">
        <xdr:sp macro="" textlink="">
          <xdr:nvSpPr>
            <xdr:cNvPr id="4" name="TextBox 2">
              <a:extLst>
                <a:ext uri="{FF2B5EF4-FFF2-40B4-BE49-F238E27FC236}">
                  <a16:creationId xmlns:a16="http://schemas.microsoft.com/office/drawing/2014/main" id="{AFDDACE4-B164-2629-327C-4E40A8C9B81D}"/>
                </a:ext>
              </a:extLst>
            </xdr:cNvPr>
            <xdr:cNvSpPr txBox="1"/>
          </xdr:nvSpPr>
          <xdr:spPr>
            <a:xfrm>
              <a:off x="1068916" y="9302750"/>
              <a:ext cx="1076325" cy="44640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a:r>
                <a:rPr lang="en-US" sz="1200" i="0" kern="100">
                  <a:effectLst/>
                  <a:latin typeface="Cambria Math" panose="02040503050406030204" pitchFamily="18" charset="0"/>
                  <a:ea typeface="Cambria" panose="02040503050406030204" pitchFamily="18" charset="0"/>
                  <a:cs typeface="Times New Roman" panose="02020603050405020304" pitchFamily="18" charset="0"/>
                </a:rPr>
                <a:t>𝑏=</a:t>
              </a:r>
              <a:r>
                <a:rPr lang="en-US" sz="1200" i="0" kern="100">
                  <a:effectLst/>
                  <a:latin typeface="Cambria Math" panose="02040503050406030204" pitchFamily="18" charset="0"/>
                  <a:cs typeface="Times New Roman" panose="02020603050405020304" pitchFamily="18" charset="0"/>
                </a:rPr>
                <a:t>((</a:t>
              </a:r>
              <a:r>
                <a:rPr lang="en-US" sz="1200" i="0" kern="100">
                  <a:effectLst/>
                  <a:latin typeface="Cambria Math" panose="02040503050406030204" pitchFamily="18" charset="0"/>
                  <a:ea typeface="Cambria" panose="02040503050406030204" pitchFamily="18" charset="0"/>
                  <a:cs typeface="Times New Roman" panose="02020603050405020304" pitchFamily="18" charset="0"/>
                </a:rPr>
                <a:t>𝑥𝑦) ̅−𝑥 ̅×𝑦 ̅)/((𝑥^2 ) ̅−𝑥 ̅^2 )</a:t>
              </a:r>
              <a:endParaRPr lang="en-US" sz="1200" kern="100">
                <a:effectLst/>
                <a:ea typeface="Cambria" panose="02040503050406030204" pitchFamily="18" charset="0"/>
                <a:cs typeface="Times New Roman" panose="02020603050405020304" pitchFamily="18" charset="0"/>
              </a:endParaRPr>
            </a:p>
          </xdr:txBody>
        </xdr:sp>
      </mc:Fallback>
    </mc:AlternateContent>
    <xdr:clientData/>
  </xdr:twoCellAnchor>
  <xdr:twoCellAnchor>
    <xdr:from>
      <xdr:col>2</xdr:col>
      <xdr:colOff>804334</xdr:colOff>
      <xdr:row>46</xdr:row>
      <xdr:rowOff>31749</xdr:rowOff>
    </xdr:from>
    <xdr:to>
      <xdr:col>4</xdr:col>
      <xdr:colOff>149649</xdr:colOff>
      <xdr:row>47</xdr:row>
      <xdr:rowOff>100541</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24D102EB-3B75-4942-ADB0-881D1271AD9C}"/>
                </a:ext>
              </a:extLst>
            </xdr:cNvPr>
            <xdr:cNvSpPr txBox="1"/>
          </xdr:nvSpPr>
          <xdr:spPr>
            <a:xfrm>
              <a:off x="2455334" y="9387416"/>
              <a:ext cx="996315" cy="26987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a14:m>
                <m:oMathPara xmlns:m="http://schemas.openxmlformats.org/officeDocument/2006/math">
                  <m:oMathParaPr>
                    <m:jc m:val="centerGroup"/>
                  </m:oMathParaPr>
                  <m:oMath xmlns:m="http://schemas.openxmlformats.org/officeDocument/2006/math">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𝑎</m:t>
                    </m:r>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m:t>
                    </m:r>
                    <m:acc>
                      <m:accPr>
                        <m:chr m:val="̅"/>
                        <m:ctrlPr>
                          <a:rPr lang="en-US" sz="1200" i="1" kern="100">
                            <a:effectLst/>
                            <a:latin typeface="Cambria Math" panose="02040503050406030204" pitchFamily="18" charset="0"/>
                            <a:ea typeface="Cambria" panose="02040503050406030204" pitchFamily="18" charset="0"/>
                            <a:cs typeface="Times New Roman" panose="02020603050405020304" pitchFamily="18" charset="0"/>
                          </a:rPr>
                        </m:ctrlPr>
                      </m:accPr>
                      <m:e>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𝑦</m:t>
                        </m:r>
                      </m:e>
                    </m:acc>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m:t>
                    </m:r>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𝑏</m:t>
                    </m:r>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m:t>
                    </m:r>
                    <m:acc>
                      <m:accPr>
                        <m:chr m:val="̅"/>
                        <m:ctrlPr>
                          <a:rPr lang="en-US" sz="1200" i="1" kern="100">
                            <a:effectLst/>
                            <a:latin typeface="Cambria Math" panose="02040503050406030204" pitchFamily="18" charset="0"/>
                            <a:ea typeface="Cambria" panose="02040503050406030204" pitchFamily="18" charset="0"/>
                            <a:cs typeface="Times New Roman" panose="02020603050405020304" pitchFamily="18" charset="0"/>
                          </a:rPr>
                        </m:ctrlPr>
                      </m:accPr>
                      <m:e>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𝑥</m:t>
                        </m:r>
                      </m:e>
                    </m:acc>
                  </m:oMath>
                </m:oMathPara>
              </a14:m>
              <a:endParaRPr lang="en-US" sz="1200" kern="100">
                <a:effectLst/>
                <a:ea typeface="Cambria" panose="02040503050406030204" pitchFamily="18" charset="0"/>
                <a:cs typeface="Times New Roman" panose="02020603050405020304" pitchFamily="18" charset="0"/>
              </a:endParaRPr>
            </a:p>
          </xdr:txBody>
        </xdr:sp>
      </mc:Choice>
      <mc:Fallback xmlns="">
        <xdr:sp macro="" textlink="">
          <xdr:nvSpPr>
            <xdr:cNvPr id="6" name="TextBox 2">
              <a:extLst>
                <a:ext uri="{FF2B5EF4-FFF2-40B4-BE49-F238E27FC236}">
                  <a16:creationId xmlns:a16="http://schemas.microsoft.com/office/drawing/2014/main" id="{24D102EB-3B75-4942-ADB0-881D1271AD9C}"/>
                </a:ext>
              </a:extLst>
            </xdr:cNvPr>
            <xdr:cNvSpPr txBox="1"/>
          </xdr:nvSpPr>
          <xdr:spPr>
            <a:xfrm>
              <a:off x="2455334" y="9387416"/>
              <a:ext cx="996315" cy="26987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a:r>
                <a:rPr lang="en-US" sz="1200" i="0" kern="100">
                  <a:effectLst/>
                  <a:latin typeface="Cambria Math" panose="02040503050406030204" pitchFamily="18" charset="0"/>
                  <a:ea typeface="Cambria" panose="02040503050406030204" pitchFamily="18" charset="0"/>
                  <a:cs typeface="Times New Roman" panose="02020603050405020304" pitchFamily="18" charset="0"/>
                </a:rPr>
                <a:t>𝑎=𝑦 ̅−𝑏×𝑥 ̅</a:t>
              </a:r>
              <a:endParaRPr lang="en-US" sz="1200" kern="100">
                <a:effectLst/>
                <a:ea typeface="Cambria" panose="02040503050406030204" pitchFamily="18" charset="0"/>
                <a:cs typeface="Times New Roman" panose="02020603050405020304" pitchFamily="18" charset="0"/>
              </a:endParaRPr>
            </a:p>
          </xdr:txBody>
        </xdr:sp>
      </mc:Fallback>
    </mc:AlternateContent>
    <xdr:clientData/>
  </xdr:twoCellAnchor>
  <xdr:twoCellAnchor>
    <xdr:from>
      <xdr:col>1</xdr:col>
      <xdr:colOff>264584</xdr:colOff>
      <xdr:row>58</xdr:row>
      <xdr:rowOff>148166</xdr:rowOff>
    </xdr:from>
    <xdr:to>
      <xdr:col>2</xdr:col>
      <xdr:colOff>255059</xdr:colOff>
      <xdr:row>60</xdr:row>
      <xdr:rowOff>15875</xdr:rowOff>
    </xdr:to>
    <mc:AlternateContent xmlns:mc="http://schemas.openxmlformats.org/markup-compatibility/2006" xmlns:a14="http://schemas.microsoft.com/office/drawing/2010/main">
      <mc:Choice Requires="a14">
        <xdr:sp macro="" textlink="">
          <xdr:nvSpPr>
            <xdr:cNvPr id="10" name="TextBox 2">
              <a:extLst>
                <a:ext uri="{FF2B5EF4-FFF2-40B4-BE49-F238E27FC236}">
                  <a16:creationId xmlns:a16="http://schemas.microsoft.com/office/drawing/2014/main" id="{0C318743-B730-F990-2F41-36923C61836C}"/>
                </a:ext>
              </a:extLst>
            </xdr:cNvPr>
            <xdr:cNvSpPr txBox="1"/>
          </xdr:nvSpPr>
          <xdr:spPr>
            <a:xfrm>
              <a:off x="1090084" y="11916833"/>
              <a:ext cx="815975" cy="26987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a14:m>
                <m:oMathPara xmlns:m="http://schemas.openxmlformats.org/officeDocument/2006/math">
                  <m:oMathParaPr>
                    <m:jc m:val="centerGroup"/>
                  </m:oMathParaPr>
                  <m:oMath xmlns:m="http://schemas.openxmlformats.org/officeDocument/2006/math">
                    <m:acc>
                      <m:accPr>
                        <m:chr m:val="̂"/>
                        <m:ctrlPr>
                          <a:rPr lang="en-US" sz="1200" i="1" kern="100">
                            <a:effectLst/>
                            <a:latin typeface="Cambria Math" panose="02040503050406030204" pitchFamily="18" charset="0"/>
                            <a:ea typeface="Cambria" panose="02040503050406030204" pitchFamily="18" charset="0"/>
                            <a:cs typeface="Times New Roman" panose="02020603050405020304" pitchFamily="18" charset="0"/>
                          </a:rPr>
                        </m:ctrlPr>
                      </m:accPr>
                      <m:e>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𝑦</m:t>
                        </m:r>
                      </m:e>
                    </m:acc>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m:t>
                    </m:r>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𝑎</m:t>
                    </m:r>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m:t>
                    </m:r>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𝑏𝑥</m:t>
                    </m:r>
                  </m:oMath>
                </m:oMathPara>
              </a14:m>
              <a:endParaRPr lang="en-US" sz="1200" kern="100">
                <a:effectLst/>
                <a:ea typeface="Cambria" panose="02040503050406030204" pitchFamily="18" charset="0"/>
                <a:cs typeface="Times New Roman" panose="02020603050405020304" pitchFamily="18" charset="0"/>
              </a:endParaRPr>
            </a:p>
          </xdr:txBody>
        </xdr:sp>
      </mc:Choice>
      <mc:Fallback xmlns="">
        <xdr:sp macro="" textlink="">
          <xdr:nvSpPr>
            <xdr:cNvPr id="10" name="TextBox 2">
              <a:extLst>
                <a:ext uri="{FF2B5EF4-FFF2-40B4-BE49-F238E27FC236}">
                  <a16:creationId xmlns:a16="http://schemas.microsoft.com/office/drawing/2014/main" id="{0C318743-B730-F990-2F41-36923C61836C}"/>
                </a:ext>
              </a:extLst>
            </xdr:cNvPr>
            <xdr:cNvSpPr txBox="1"/>
          </xdr:nvSpPr>
          <xdr:spPr>
            <a:xfrm>
              <a:off x="1090084" y="11916833"/>
              <a:ext cx="815975" cy="26987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a:r>
                <a:rPr lang="en-US" sz="1200" i="0" kern="100">
                  <a:effectLst/>
                  <a:latin typeface="Cambria Math" panose="02040503050406030204" pitchFamily="18" charset="0"/>
                  <a:ea typeface="Cambria" panose="02040503050406030204" pitchFamily="18" charset="0"/>
                  <a:cs typeface="Times New Roman" panose="02020603050405020304" pitchFamily="18" charset="0"/>
                </a:rPr>
                <a:t>𝑦 ̂=𝑎+𝑏𝑥</a:t>
              </a:r>
              <a:endParaRPr lang="en-US" sz="1200" kern="100">
                <a:effectLst/>
                <a:ea typeface="Cambria" panose="02040503050406030204" pitchFamily="18" charset="0"/>
                <a:cs typeface="Times New Roman" panose="02020603050405020304" pitchFamily="18" charset="0"/>
              </a:endParaRPr>
            </a:p>
          </xdr:txBody>
        </xdr:sp>
      </mc:Fallback>
    </mc:AlternateContent>
    <xdr:clientData/>
  </xdr:twoCellAnchor>
  <xdr:oneCellAnchor>
    <xdr:from>
      <xdr:col>3</xdr:col>
      <xdr:colOff>624416</xdr:colOff>
      <xdr:row>58</xdr:row>
      <xdr:rowOff>179917</xdr:rowOff>
    </xdr:from>
    <xdr:ext cx="2663934" cy="184794"/>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77BC8CF-C3BD-274A-B40C-1BE92C9DA480}"/>
                </a:ext>
              </a:extLst>
            </xdr:cNvPr>
            <xdr:cNvSpPr txBox="1"/>
          </xdr:nvSpPr>
          <xdr:spPr>
            <a:xfrm>
              <a:off x="3100916" y="11948584"/>
              <a:ext cx="2663934" cy="1847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solidFill>
                              <a:schemeClr val="tx1"/>
                            </a:solidFill>
                            <a:effectLst/>
                            <a:latin typeface="Cambria Math" panose="02040503050406030204" pitchFamily="18" charset="0"/>
                            <a:ea typeface="+mn-ea"/>
                            <a:cs typeface="+mn-cs"/>
                          </a:rPr>
                        </m:ctrlPr>
                      </m:accPr>
                      <m:e>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𝑅𝑎𝑡𝑖𝑜</m:t>
                        </m:r>
                      </m:e>
                    </m:acc>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𝑎</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𝑏</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𝐿𝑎𝑡𝑒𝑠𝑡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𝑅𝑎𝑡𝑖𝑜</m:t>
                    </m:r>
                    <m:r>
                      <m:rPr>
                        <m:nor/>
                      </m:rPr>
                      <a:rPr lang="en-US">
                        <a:solidFill>
                          <a:schemeClr val="tx1"/>
                        </a:solidFill>
                        <a:effectLst/>
                      </a:rPr>
                      <m:t> </m:t>
                    </m:r>
                  </m:oMath>
                </m:oMathPara>
              </a14:m>
              <a:endParaRPr lang="en-US" sz="1100">
                <a:solidFill>
                  <a:schemeClr val="tx1"/>
                </a:solidFill>
              </a:endParaRPr>
            </a:p>
          </xdr:txBody>
        </xdr:sp>
      </mc:Choice>
      <mc:Fallback xmlns="">
        <xdr:sp macro="" textlink="">
          <xdr:nvSpPr>
            <xdr:cNvPr id="13" name="TextBox 12">
              <a:extLst>
                <a:ext uri="{FF2B5EF4-FFF2-40B4-BE49-F238E27FC236}">
                  <a16:creationId xmlns:a16="http://schemas.microsoft.com/office/drawing/2014/main" id="{A77BC8CF-C3BD-274A-B40C-1BE92C9DA480}"/>
                </a:ext>
              </a:extLst>
            </xdr:cNvPr>
            <xdr:cNvSpPr txBox="1"/>
          </xdr:nvSpPr>
          <xdr:spPr>
            <a:xfrm>
              <a:off x="3100916" y="11948584"/>
              <a:ext cx="2663934" cy="1847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(𝑈𝑙𝑡 𝐿𝑜𝑠𝑠 𝑅𝑎𝑡𝑖𝑜) ̂=𝑎+𝑏×𝐿𝑎𝑡𝑒𝑠𝑡 𝐿𝑜𝑠𝑠 𝑅𝑎𝑡𝑖𝑜</a:t>
              </a:r>
              <a:r>
                <a:rPr lang="en-US" sz="1100" i="0">
                  <a:solidFill>
                    <a:schemeClr val="tx1"/>
                  </a:solidFill>
                  <a:effectLst/>
                  <a:latin typeface="Cambria Math" panose="02040503050406030204" pitchFamily="18" charset="0"/>
                  <a:ea typeface="+mn-ea"/>
                  <a:cs typeface="+mn-cs"/>
                </a:rPr>
                <a:t>"</a:t>
              </a:r>
              <a:r>
                <a:rPr lang="en-US" i="0">
                  <a:solidFill>
                    <a:schemeClr val="tx1"/>
                  </a:solidFill>
                  <a:effectLst/>
                  <a:latin typeface="Cambria Math" panose="02040503050406030204" pitchFamily="18" charset="0"/>
                </a:rPr>
                <a:t> </a:t>
              </a:r>
              <a:r>
                <a:rPr lang="en-US" i="0">
                  <a:solidFill>
                    <a:schemeClr val="tx1"/>
                  </a:solidFill>
                  <a:effectLst/>
                </a:rPr>
                <a:t>"</a:t>
              </a:r>
              <a:endParaRPr lang="en-US" sz="1100">
                <a:solidFill>
                  <a:schemeClr val="tx1"/>
                </a:solidFill>
              </a:endParaRPr>
            </a:p>
          </xdr:txBody>
        </xdr:sp>
      </mc:Fallback>
    </mc:AlternateContent>
    <xdr:clientData/>
  </xdr:oneCellAnchor>
  <xdr:oneCellAnchor>
    <xdr:from>
      <xdr:col>1</xdr:col>
      <xdr:colOff>179917</xdr:colOff>
      <xdr:row>80</xdr:row>
      <xdr:rowOff>148166</xdr:rowOff>
    </xdr:from>
    <xdr:ext cx="3453381" cy="172098"/>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1E668896-DF42-F440-8907-4969D8B7F4B7}"/>
                </a:ext>
              </a:extLst>
            </xdr:cNvPr>
            <xdr:cNvSpPr txBox="1"/>
          </xdr:nvSpPr>
          <xdr:spPr>
            <a:xfrm>
              <a:off x="1005417" y="16340666"/>
              <a:ext cx="3453381"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𝑈𝑛𝑝𝑎𝑖𝑑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𝐸𝑎𝑟𝑛𝑒𝑑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𝑅𝑎𝑡𝑖𝑜</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𝐿𝑜𝑠𝑠𝑒𝑠</m:t>
                    </m:r>
                    <m:r>
                      <m:rPr>
                        <m:nor/>
                      </m:rPr>
                      <a:rPr lang="en-US">
                        <a:effectLst/>
                      </a:rPr>
                      <m:t> </m:t>
                    </m:r>
                  </m:oMath>
                </m:oMathPara>
              </a14:m>
              <a:endParaRPr lang="en-US" sz="1100">
                <a:solidFill>
                  <a:schemeClr val="tx1"/>
                </a:solidFill>
              </a:endParaRPr>
            </a:p>
          </xdr:txBody>
        </xdr:sp>
      </mc:Choice>
      <mc:Fallback xmlns="">
        <xdr:sp macro="" textlink="">
          <xdr:nvSpPr>
            <xdr:cNvPr id="14" name="TextBox 13">
              <a:extLst>
                <a:ext uri="{FF2B5EF4-FFF2-40B4-BE49-F238E27FC236}">
                  <a16:creationId xmlns:a16="http://schemas.microsoft.com/office/drawing/2014/main" id="{1E668896-DF42-F440-8907-4969D8B7F4B7}"/>
                </a:ext>
              </a:extLst>
            </xdr:cNvPr>
            <xdr:cNvSpPr txBox="1"/>
          </xdr:nvSpPr>
          <xdr:spPr>
            <a:xfrm>
              <a:off x="1005417" y="16340666"/>
              <a:ext cx="3453381"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𝑈𝑛𝑝𝑎𝑖𝑑 𝐿𝑜𝑠𝑠=𝐸𝑎𝑟𝑛𝑒𝑑 𝑃𝑟𝑒𝑚×𝑈𝑙𝑡 𝐿𝑜𝑠𝑠 𝑅𝑎𝑡𝑖𝑜−𝐿𝑜𝑠𝑠𝑒𝑠</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254000</xdr:colOff>
      <xdr:row>100</xdr:row>
      <xdr:rowOff>84667</xdr:rowOff>
    </xdr:from>
    <xdr:to>
      <xdr:col>1</xdr:col>
      <xdr:colOff>775970</xdr:colOff>
      <xdr:row>102</xdr:row>
      <xdr:rowOff>143510</xdr:rowOff>
    </xdr:to>
    <mc:AlternateContent xmlns:mc="http://schemas.openxmlformats.org/markup-compatibility/2006" xmlns:a14="http://schemas.microsoft.com/office/drawing/2010/main">
      <mc:Choice Requires="a14">
        <xdr:sp macro="" textlink="">
          <xdr:nvSpPr>
            <xdr:cNvPr id="15" name="TextBox 2">
              <a:extLst>
                <a:ext uri="{FF2B5EF4-FFF2-40B4-BE49-F238E27FC236}">
                  <a16:creationId xmlns:a16="http://schemas.microsoft.com/office/drawing/2014/main" id="{C5C479C0-03EC-27BD-EDD0-57B1D8DF4DCE}"/>
                </a:ext>
              </a:extLst>
            </xdr:cNvPr>
            <xdr:cNvSpPr txBox="1"/>
          </xdr:nvSpPr>
          <xdr:spPr>
            <a:xfrm>
              <a:off x="1079500" y="20320000"/>
              <a:ext cx="521970" cy="461010"/>
            </a:xfrm>
            <a:prstGeom prst="rect">
              <a:avLst/>
            </a:prstGeom>
            <a:noFill/>
            <a:ln>
              <a:solidFill>
                <a:sysClr val="windowText" lastClr="000000"/>
              </a:solidFill>
            </a:ln>
            <a:effectLst/>
          </xdr:spPr>
          <xdr:txBody>
            <a:bodyPr wrap="square" lIns="45720" tIns="45720" rIns="45720" bIns="45720" rtlCol="0" anchor="t">
              <a:noAutofit/>
            </a:bodyPr>
            <a:lstStyle/>
            <a:p>
              <a:pPr marL="0" marR="0"/>
              <a14:m>
                <m:oMathPara xmlns:m="http://schemas.openxmlformats.org/officeDocument/2006/math">
                  <m:oMathParaPr>
                    <m:jc m:val="centerGroup"/>
                  </m:oMathParaPr>
                  <m:oMath xmlns:m="http://schemas.openxmlformats.org/officeDocument/2006/math">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𝑍</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f>
                      <m:f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fPr>
                      <m:num>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𝑏</m:t>
                        </m:r>
                      </m:num>
                      <m:den>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𝑐</m:t>
                        </m:r>
                      </m:den>
                    </m:f>
                  </m:oMath>
                </m:oMathPara>
              </a14:m>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Choice>
      <mc:Fallback xmlns="">
        <xdr:sp macro="" textlink="">
          <xdr:nvSpPr>
            <xdr:cNvPr id="15" name="TextBox 2">
              <a:extLst>
                <a:ext uri="{FF2B5EF4-FFF2-40B4-BE49-F238E27FC236}">
                  <a16:creationId xmlns:a16="http://schemas.microsoft.com/office/drawing/2014/main" id="{C5C479C0-03EC-27BD-EDD0-57B1D8DF4DCE}"/>
                </a:ext>
              </a:extLst>
            </xdr:cNvPr>
            <xdr:cNvSpPr txBox="1"/>
          </xdr:nvSpPr>
          <xdr:spPr>
            <a:xfrm>
              <a:off x="1079500" y="20320000"/>
              <a:ext cx="521970" cy="461010"/>
            </a:xfrm>
            <a:prstGeom prst="rect">
              <a:avLst/>
            </a:prstGeom>
            <a:noFill/>
            <a:ln>
              <a:solidFill>
                <a:sysClr val="windowText" lastClr="000000"/>
              </a:solidFill>
            </a:ln>
            <a:effectLst/>
          </xdr:spPr>
          <xdr:txBody>
            <a:bodyPr wrap="square" lIns="45720" tIns="45720" rIns="45720" bIns="45720" rtlCol="0" anchor="t">
              <a:noAutofit/>
            </a:bodyPr>
            <a:lstStyle/>
            <a:p>
              <a:pPr marL="0" marR="0"/>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𝑍=𝑏/𝑐</a:t>
              </a:r>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twoCellAnchor>
  <xdr:twoCellAnchor>
    <xdr:from>
      <xdr:col>1</xdr:col>
      <xdr:colOff>232833</xdr:colOff>
      <xdr:row>91</xdr:row>
      <xdr:rowOff>179917</xdr:rowOff>
    </xdr:from>
    <xdr:to>
      <xdr:col>4</xdr:col>
      <xdr:colOff>370416</xdr:colOff>
      <xdr:row>94</xdr:row>
      <xdr:rowOff>20058</xdr:rowOff>
    </xdr:to>
    <mc:AlternateContent xmlns:mc="http://schemas.openxmlformats.org/markup-compatibility/2006" xmlns:a14="http://schemas.microsoft.com/office/drawing/2010/main">
      <mc:Choice Requires="a14">
        <xdr:sp macro="" textlink="">
          <xdr:nvSpPr>
            <xdr:cNvPr id="16" name="TextBox 2">
              <a:extLst>
                <a:ext uri="{FF2B5EF4-FFF2-40B4-BE49-F238E27FC236}">
                  <a16:creationId xmlns:a16="http://schemas.microsoft.com/office/drawing/2014/main" id="{BD73BBA5-5F69-5F80-1AC3-E305950B124D}"/>
                </a:ext>
              </a:extLst>
            </xdr:cNvPr>
            <xdr:cNvSpPr txBox="1"/>
          </xdr:nvSpPr>
          <xdr:spPr>
            <a:xfrm>
              <a:off x="1058333" y="18605500"/>
              <a:ext cx="2614083" cy="443391"/>
            </a:xfrm>
            <a:prstGeom prst="rect">
              <a:avLst/>
            </a:prstGeom>
            <a:noFill/>
            <a:ln>
              <a:solidFill>
                <a:sysClr val="windowText" lastClr="000000"/>
              </a:solidFill>
            </a:ln>
            <a:effectLst/>
          </xdr:spPr>
          <xdr:txBody>
            <a:bodyPr wrap="square" lIns="45720" tIns="45720" rIns="45720" bIns="45720" rtlCol="0" anchor="t">
              <a:spAutoFit/>
            </a:bodyPr>
            <a:lstStyle/>
            <a:p>
              <a:pPr marL="0" marR="0"/>
              <a14:m>
                <m:oMathPara xmlns:m="http://schemas.openxmlformats.org/officeDocument/2006/math">
                  <m:oMathParaPr>
                    <m:jc m:val="centerGroup"/>
                  </m:oMathParaPr>
                  <m:oMath xmlns:m="http://schemas.openxmlformats.org/officeDocument/2006/math">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𝑐</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𝐿𝐷𝐹</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f>
                      <m:f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fPr>
                      <m:num>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𝐴𝑣𝑔</m:t>
                        </m:r>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 </m:t>
                        </m:r>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𝑈𝑙𝑡</m:t>
                        </m:r>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 </m:t>
                        </m:r>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𝐿𝑜𝑠𝑠</m:t>
                        </m:r>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 </m:t>
                        </m:r>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𝑅𝑎𝑡𝑖𝑜</m:t>
                        </m:r>
                      </m:num>
                      <m:den>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𝐴𝑣𝑔</m:t>
                        </m:r>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 </m:t>
                        </m:r>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𝑈𝑛𝑑𝑒𝑣𝑒𝑙𝑜𝑝𝑒𝑑</m:t>
                        </m:r>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 </m:t>
                        </m:r>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𝐿𝑜𝑠𝑠</m:t>
                        </m:r>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 </m:t>
                        </m:r>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𝑅𝑎𝑡𝑖𝑜</m:t>
                        </m:r>
                      </m:den>
                    </m:f>
                  </m:oMath>
                </m:oMathPara>
              </a14:m>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Choice>
      <mc:Fallback xmlns="">
        <xdr:sp macro="" textlink="">
          <xdr:nvSpPr>
            <xdr:cNvPr id="16" name="TextBox 2">
              <a:extLst>
                <a:ext uri="{FF2B5EF4-FFF2-40B4-BE49-F238E27FC236}">
                  <a16:creationId xmlns:a16="http://schemas.microsoft.com/office/drawing/2014/main" id="{BD73BBA5-5F69-5F80-1AC3-E305950B124D}"/>
                </a:ext>
              </a:extLst>
            </xdr:cNvPr>
            <xdr:cNvSpPr txBox="1"/>
          </xdr:nvSpPr>
          <xdr:spPr>
            <a:xfrm>
              <a:off x="1058333" y="18605500"/>
              <a:ext cx="2614083" cy="443391"/>
            </a:xfrm>
            <a:prstGeom prst="rect">
              <a:avLst/>
            </a:prstGeom>
            <a:noFill/>
            <a:ln>
              <a:solidFill>
                <a:sysClr val="windowText" lastClr="000000"/>
              </a:solidFill>
            </a:ln>
            <a:effectLst/>
          </xdr:spPr>
          <xdr:txBody>
            <a:bodyPr wrap="square" lIns="45720" tIns="45720" rIns="45720" bIns="45720" rtlCol="0" anchor="t">
              <a:spAutoFit/>
            </a:bodyPr>
            <a:lstStyle/>
            <a:p>
              <a:pPr marL="0" marR="0"/>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𝑐=𝐿𝐷𝐹=</a:t>
              </a:r>
              <a:r>
                <a:rPr lang="en-US" sz="1100" i="0" kern="100">
                  <a:effectLst/>
                  <a:latin typeface="Cambria Math" panose="02040503050406030204" pitchFamily="18" charset="0"/>
                  <a:cs typeface="Times New Roman" panose="02020603050405020304" pitchFamily="18" charset="0"/>
                </a:rPr>
                <a:t>(</a:t>
              </a:r>
              <a:r>
                <a:rPr lang="en-US" sz="1100" b="0" i="0" kern="100">
                  <a:effectLst/>
                  <a:latin typeface="Cambria Math" panose="02040503050406030204" pitchFamily="18" charset="0"/>
                  <a:ea typeface="Cambria" panose="02040503050406030204" pitchFamily="18" charset="0"/>
                  <a:cs typeface="Times New Roman" panose="02020603050405020304" pitchFamily="18" charset="0"/>
                </a:rPr>
                <a:t>𝐴𝑣𝑔 𝑈𝑙𝑡 𝐿𝑜𝑠𝑠 𝑅𝑎𝑡𝑖𝑜)/(𝐴𝑣𝑔 𝑈𝑛𝑑𝑒𝑣𝑒𝑙𝑜𝑝𝑒𝑑 𝐿𝑜𝑠𝑠 𝑅𝑎𝑡𝑖𝑜)</a:t>
              </a:r>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232834</xdr:colOff>
      <xdr:row>38</xdr:row>
      <xdr:rowOff>31750</xdr:rowOff>
    </xdr:from>
    <xdr:ext cx="1561646" cy="44723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2A5C723-05A6-2449-B3BB-E7B3DA9F0A55}"/>
                </a:ext>
              </a:extLst>
            </xdr:cNvPr>
            <xdr:cNvSpPr txBox="1"/>
          </xdr:nvSpPr>
          <xdr:spPr>
            <a:xfrm>
              <a:off x="1058334" y="7768167"/>
              <a:ext cx="1561646" cy="44723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𝑉𝐻𝑀</m:t>
                    </m:r>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𝐸</m:t>
                            </m:r>
                            <m:d>
                              <m:dPr>
                                <m:begChr m:val="["/>
                                <m:endChr m:val="]"/>
                                <m:ctrlPr>
                                  <a:rPr lang="en-US" sz="1100" i="1">
                                    <a:solidFill>
                                      <a:schemeClr val="tx1"/>
                                    </a:solidFill>
                                    <a:effectLst/>
                                    <a:latin typeface="Cambria Math" panose="02040503050406030204" pitchFamily="18" charset="0"/>
                                    <a:ea typeface="+mn-ea"/>
                                    <a:cs typeface="+mn-cs"/>
                                  </a:rPr>
                                </m:ctrlPr>
                              </m:dPr>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𝑋</m:t>
                                    </m:r>
                                  </m:num>
                                  <m:den>
                                    <m:r>
                                      <a:rPr lang="en-US" sz="1100" i="1">
                                        <a:solidFill>
                                          <a:schemeClr val="tx1"/>
                                        </a:solidFill>
                                        <a:effectLst/>
                                        <a:latin typeface="Cambria Math" panose="02040503050406030204" pitchFamily="18" charset="0"/>
                                        <a:ea typeface="+mn-ea"/>
                                        <a:cs typeface="+mn-cs"/>
                                      </a:rPr>
                                      <m:t>𝑌</m:t>
                                    </m:r>
                                  </m:den>
                                </m:f>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𝜎</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𝑌</m:t>
                            </m:r>
                            <m:r>
                              <a:rPr lang="en-US" sz="1100" b="0" i="1">
                                <a:solidFill>
                                  <a:schemeClr val="tx1"/>
                                </a:solidFill>
                                <a:effectLst/>
                                <a:latin typeface="Cambria Math" panose="02040503050406030204" pitchFamily="18" charset="0"/>
                                <a:ea typeface="+mn-ea"/>
                                <a:cs typeface="+mn-cs"/>
                              </a:rPr>
                              <m:t>)</m:t>
                            </m:r>
                          </m:e>
                        </m:d>
                      </m:e>
                      <m:sup>
                        <m:r>
                          <a:rPr lang="en-US" sz="1100" i="1">
                            <a:solidFill>
                              <a:schemeClr val="tx1"/>
                            </a:solidFill>
                            <a:effectLst/>
                            <a:latin typeface="Cambria Math" panose="02040503050406030204" pitchFamily="18" charset="0"/>
                            <a:ea typeface="+mn-ea"/>
                            <a:cs typeface="+mn-cs"/>
                          </a:rPr>
                          <m:t>2</m:t>
                        </m:r>
                      </m:sup>
                    </m:sSup>
                  </m:oMath>
                </m:oMathPara>
              </a14:m>
              <a:endParaRPr lang="en-US" sz="1100">
                <a:solidFill>
                  <a:schemeClr val="tx1"/>
                </a:solidFill>
                <a:effectLst/>
                <a:latin typeface="+mn-lt"/>
                <a:ea typeface="+mn-ea"/>
                <a:cs typeface="+mn-cs"/>
              </a:endParaRPr>
            </a:p>
          </xdr:txBody>
        </xdr:sp>
      </mc:Choice>
      <mc:Fallback xmlns="">
        <xdr:sp macro="" textlink="">
          <xdr:nvSpPr>
            <xdr:cNvPr id="2" name="TextBox 1">
              <a:extLst>
                <a:ext uri="{FF2B5EF4-FFF2-40B4-BE49-F238E27FC236}">
                  <a16:creationId xmlns:a16="http://schemas.microsoft.com/office/drawing/2014/main" id="{22A5C723-05A6-2449-B3BB-E7B3DA9F0A55}"/>
                </a:ext>
              </a:extLst>
            </xdr:cNvPr>
            <xdr:cNvSpPr txBox="1"/>
          </xdr:nvSpPr>
          <xdr:spPr>
            <a:xfrm>
              <a:off x="1058334" y="7768167"/>
              <a:ext cx="1561646" cy="44723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𝑉𝐻𝑀=(𝐸[𝑋/𝑌]×𝜎</a:t>
              </a:r>
              <a:r>
                <a:rPr lang="en-US" sz="1100" b="0" i="0">
                  <a:solidFill>
                    <a:schemeClr val="tx1"/>
                  </a:solidFill>
                  <a:effectLst/>
                  <a:latin typeface="Cambria Math" panose="02040503050406030204" pitchFamily="18" charset="0"/>
                  <a:ea typeface="+mn-ea"/>
                  <a:cs typeface="+mn-cs"/>
                </a:rPr>
                <a:t>(𝑌))^</a:t>
              </a:r>
              <a:r>
                <a:rPr lang="en-US" sz="1100" i="0">
                  <a:solidFill>
                    <a:schemeClr val="tx1"/>
                  </a:solidFill>
                  <a:effectLst/>
                  <a:latin typeface="Cambria Math" panose="02040503050406030204" pitchFamily="18" charset="0"/>
                  <a:ea typeface="+mn-ea"/>
                  <a:cs typeface="+mn-cs"/>
                </a:rPr>
                <a:t>2</a:t>
              </a:r>
              <a:endParaRPr lang="en-US" sz="1100">
                <a:solidFill>
                  <a:schemeClr val="tx1"/>
                </a:solidFill>
                <a:effectLst/>
                <a:latin typeface="+mn-lt"/>
                <a:ea typeface="+mn-ea"/>
                <a:cs typeface="+mn-cs"/>
              </a:endParaRPr>
            </a:p>
          </xdr:txBody>
        </xdr:sp>
      </mc:Fallback>
    </mc:AlternateContent>
    <xdr:clientData/>
  </xdr:oneCellAnchor>
  <xdr:oneCellAnchor>
    <xdr:from>
      <xdr:col>1</xdr:col>
      <xdr:colOff>232833</xdr:colOff>
      <xdr:row>41</xdr:row>
      <xdr:rowOff>0</xdr:rowOff>
    </xdr:from>
    <xdr:ext cx="2216184" cy="44627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70A206F-3F5C-3542-92F4-6C4277C6DB6D}"/>
                </a:ext>
              </a:extLst>
            </xdr:cNvPr>
            <xdr:cNvSpPr txBox="1"/>
          </xdr:nvSpPr>
          <xdr:spPr>
            <a:xfrm>
              <a:off x="1058333" y="8371417"/>
              <a:ext cx="2216184" cy="44627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𝐸𝑉𝑃𝑉</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𝜎</m:t>
                    </m:r>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𝑋</m:t>
                                </m:r>
                              </m:num>
                              <m:den>
                                <m:r>
                                  <a:rPr lang="en-US" sz="1100" i="1">
                                    <a:solidFill>
                                      <a:schemeClr val="tx1"/>
                                    </a:solidFill>
                                    <a:effectLst/>
                                    <a:latin typeface="Cambria Math" panose="02040503050406030204" pitchFamily="18" charset="0"/>
                                    <a:ea typeface="+mn-ea"/>
                                    <a:cs typeface="+mn-cs"/>
                                  </a:rPr>
                                  <m:t>𝑌</m:t>
                                </m:r>
                              </m:den>
                            </m:f>
                          </m:e>
                        </m:d>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 </m:t>
                    </m:r>
                    <m:d>
                      <m:dPr>
                        <m:ctrlPr>
                          <a:rPr lang="en-US" sz="1100" i="1">
                            <a:solidFill>
                              <a:schemeClr val="tx1"/>
                            </a:solidFill>
                            <a:effectLst/>
                            <a:latin typeface="Cambria Math" panose="02040503050406030204" pitchFamily="18" charset="0"/>
                            <a:ea typeface="+mn-ea"/>
                            <a:cs typeface="+mn-cs"/>
                          </a:rPr>
                        </m:ctrlPr>
                      </m:dPr>
                      <m:e>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𝑌</m:t>
                            </m:r>
                            <m:r>
                              <a:rPr lang="en-US" sz="1100" i="1">
                                <a:solidFill>
                                  <a:schemeClr val="tx1"/>
                                </a:solidFill>
                                <a:effectLst/>
                                <a:latin typeface="Cambria Math" panose="02040503050406030204" pitchFamily="18" charset="0"/>
                                <a:ea typeface="+mn-ea"/>
                                <a:cs typeface="+mn-cs"/>
                              </a:rPr>
                              <m:t>)</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𝑌</m:t>
                            </m:r>
                            <m:r>
                              <a:rPr lang="en-US" sz="1100" i="1">
                                <a:solidFill>
                                  <a:schemeClr val="tx1"/>
                                </a:solidFill>
                                <a:effectLst/>
                                <a:latin typeface="Cambria Math" panose="02040503050406030204" pitchFamily="18" charset="0"/>
                                <a:ea typeface="+mn-ea"/>
                                <a:cs typeface="+mn-cs"/>
                              </a:rPr>
                              <m:t>]</m:t>
                            </m:r>
                          </m:e>
                          <m:sup>
                            <m:r>
                              <a:rPr lang="en-US" sz="1100" i="1">
                                <a:solidFill>
                                  <a:schemeClr val="tx1"/>
                                </a:solidFill>
                                <a:effectLst/>
                                <a:latin typeface="Cambria Math" panose="02040503050406030204" pitchFamily="18" charset="0"/>
                                <a:ea typeface="+mn-ea"/>
                                <a:cs typeface="+mn-cs"/>
                              </a:rPr>
                              <m:t>2</m:t>
                            </m:r>
                          </m:sup>
                        </m:sSup>
                      </m:e>
                    </m:d>
                  </m:oMath>
                </m:oMathPara>
              </a14:m>
              <a:endParaRPr lang="en-US"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F70A206F-3F5C-3542-92F4-6C4277C6DB6D}"/>
                </a:ext>
              </a:extLst>
            </xdr:cNvPr>
            <xdr:cNvSpPr txBox="1"/>
          </xdr:nvSpPr>
          <xdr:spPr>
            <a:xfrm>
              <a:off x="1058333" y="8371417"/>
              <a:ext cx="2216184" cy="44627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r>
                <a:rPr lang="en-US" sz="1100" i="0">
                  <a:solidFill>
                    <a:schemeClr val="tx1"/>
                  </a:solidFill>
                  <a:effectLst/>
                  <a:latin typeface="+mn-lt"/>
                  <a:ea typeface="+mn-ea"/>
                  <a:cs typeface="+mn-cs"/>
                </a:rPr>
                <a:t>𝐸𝑉𝑃𝑉=𝜎(𝑋/𝑌)^2× (〖𝜎(𝑌)〗^2+𝐸〖[𝑌]〗^2 )</a:t>
              </a:r>
              <a:endParaRPr lang="en-US" sz="1100">
                <a:solidFill>
                  <a:schemeClr val="tx1"/>
                </a:solidFill>
                <a:effectLst/>
                <a:latin typeface="+mn-lt"/>
                <a:ea typeface="+mn-ea"/>
                <a:cs typeface="+mn-cs"/>
              </a:endParaRPr>
            </a:p>
          </xdr:txBody>
        </xdr:sp>
      </mc:Fallback>
    </mc:AlternateContent>
    <xdr:clientData/>
  </xdr:oneCellAnchor>
  <xdr:oneCellAnchor>
    <xdr:from>
      <xdr:col>1</xdr:col>
      <xdr:colOff>226483</xdr:colOff>
      <xdr:row>43</xdr:row>
      <xdr:rowOff>152400</xdr:rowOff>
    </xdr:from>
    <xdr:ext cx="1233223" cy="41203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9AA5AA0-365B-6E4B-97CB-F01F7C1CE8A1}"/>
                </a:ext>
              </a:extLst>
            </xdr:cNvPr>
            <xdr:cNvSpPr txBox="1"/>
          </xdr:nvSpPr>
          <xdr:spPr>
            <a:xfrm>
              <a:off x="1051983" y="8947150"/>
              <a:ext cx="1233223" cy="41203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𝑍</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𝑉𝐻𝑀</m:t>
                        </m:r>
                      </m:num>
                      <m:den>
                        <m:r>
                          <a:rPr lang="en-US" sz="1100" i="1">
                            <a:solidFill>
                              <a:schemeClr val="tx1"/>
                            </a:solidFill>
                            <a:effectLst/>
                            <a:latin typeface="Cambria Math" panose="02040503050406030204" pitchFamily="18" charset="0"/>
                            <a:ea typeface="+mn-ea"/>
                            <a:cs typeface="+mn-cs"/>
                          </a:rPr>
                          <m:t>𝑉𝐻𝑀</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𝐸𝑉𝑃𝑉</m:t>
                        </m:r>
                      </m:den>
                    </m:f>
                  </m:oMath>
                </m:oMathPara>
              </a14:m>
              <a:endParaRPr lang="en-US" sz="1100">
                <a:solidFill>
                  <a:schemeClr val="tx1"/>
                </a:solidFill>
                <a:effectLst/>
                <a:latin typeface="+mn-lt"/>
                <a:ea typeface="+mn-ea"/>
                <a:cs typeface="+mn-cs"/>
              </a:endParaRPr>
            </a:p>
          </xdr:txBody>
        </xdr:sp>
      </mc:Choice>
      <mc:Fallback xmlns="">
        <xdr:sp macro="" textlink="">
          <xdr:nvSpPr>
            <xdr:cNvPr id="4" name="TextBox 3">
              <a:extLst>
                <a:ext uri="{FF2B5EF4-FFF2-40B4-BE49-F238E27FC236}">
                  <a16:creationId xmlns:a16="http://schemas.microsoft.com/office/drawing/2014/main" id="{89AA5AA0-365B-6E4B-97CB-F01F7C1CE8A1}"/>
                </a:ext>
              </a:extLst>
            </xdr:cNvPr>
            <xdr:cNvSpPr txBox="1"/>
          </xdr:nvSpPr>
          <xdr:spPr>
            <a:xfrm>
              <a:off x="1051983" y="8947150"/>
              <a:ext cx="1233223" cy="41203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r>
                <a:rPr lang="en-US" sz="1100" i="0">
                  <a:solidFill>
                    <a:schemeClr val="tx1"/>
                  </a:solidFill>
                  <a:effectLst/>
                  <a:latin typeface="+mn-lt"/>
                  <a:ea typeface="+mn-ea"/>
                  <a:cs typeface="+mn-cs"/>
                </a:rPr>
                <a:t>𝑍=𝑉𝐻𝑀/(𝑉𝐻𝑀+𝐸𝑉𝑃𝑉)</a:t>
              </a:r>
              <a:endParaRPr lang="en-US" sz="1100">
                <a:solidFill>
                  <a:schemeClr val="tx1"/>
                </a:solidFill>
                <a:effectLst/>
                <a:latin typeface="+mn-lt"/>
                <a:ea typeface="+mn-ea"/>
                <a:cs typeface="+mn-cs"/>
              </a:endParaRPr>
            </a:p>
          </xdr:txBody>
        </xdr:sp>
      </mc:Fallback>
    </mc:AlternateContent>
    <xdr:clientData/>
  </xdr:oneCellAnchor>
  <xdr:oneCellAnchor>
    <xdr:from>
      <xdr:col>1</xdr:col>
      <xdr:colOff>66675</xdr:colOff>
      <xdr:row>26</xdr:row>
      <xdr:rowOff>114299</xdr:rowOff>
    </xdr:from>
    <xdr:ext cx="2032992" cy="17209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B9BB1BD2-0F12-432F-D4AA-850EC00C2DE3}"/>
                </a:ext>
              </a:extLst>
            </xdr:cNvPr>
            <xdr:cNvSpPr txBox="1"/>
          </xdr:nvSpPr>
          <xdr:spPr>
            <a:xfrm>
              <a:off x="892175" y="5437716"/>
              <a:ext cx="2032992"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𝑌</m:t>
                        </m:r>
                      </m:e>
                    </m:d>
                    <m:r>
                      <a:rPr lang="en-US" sz="1100">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Expected</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Ultimate</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Losses</m:t>
                    </m:r>
                  </m:oMath>
                </m:oMathPara>
              </a14:m>
              <a:endParaRPr lang="en-US" sz="1100" kern="1200"/>
            </a:p>
          </xdr:txBody>
        </xdr:sp>
      </mc:Choice>
      <mc:Fallback xmlns="">
        <xdr:sp macro="" textlink="">
          <xdr:nvSpPr>
            <xdr:cNvPr id="12" name="TextBox 11">
              <a:extLst>
                <a:ext uri="{FF2B5EF4-FFF2-40B4-BE49-F238E27FC236}">
                  <a16:creationId xmlns:a16="http://schemas.microsoft.com/office/drawing/2014/main" id="{B9BB1BD2-0F12-432F-D4AA-850EC00C2DE3}"/>
                </a:ext>
              </a:extLst>
            </xdr:cNvPr>
            <xdr:cNvSpPr txBox="1"/>
          </xdr:nvSpPr>
          <xdr:spPr>
            <a:xfrm>
              <a:off x="892175" y="5437716"/>
              <a:ext cx="2032992"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E[𝑌]→Expected Ultimate Losses</a:t>
              </a:r>
              <a:endParaRPr lang="en-US" sz="1100" kern="1200"/>
            </a:p>
          </xdr:txBody>
        </xdr:sp>
      </mc:Fallback>
    </mc:AlternateContent>
    <xdr:clientData/>
  </xdr:oneCellAnchor>
  <xdr:oneCellAnchor>
    <xdr:from>
      <xdr:col>1</xdr:col>
      <xdr:colOff>52917</xdr:colOff>
      <xdr:row>27</xdr:row>
      <xdr:rowOff>179917</xdr:rowOff>
    </xdr:from>
    <xdr:ext cx="2143343" cy="17209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788E4EAB-D90D-E24F-89B9-14687D1FE427}"/>
                </a:ext>
              </a:extLst>
            </xdr:cNvPr>
            <xdr:cNvSpPr txBox="1"/>
          </xdr:nvSpPr>
          <xdr:spPr>
            <a:xfrm>
              <a:off x="878417" y="5704417"/>
              <a:ext cx="2143343"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𝜎</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𝑌</m:t>
                        </m:r>
                      </m:e>
                    </m:d>
                    <m:r>
                      <a:rPr lang="en-US" sz="1100">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Std</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Dev</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of</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Ultimate</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Losses</m:t>
                    </m:r>
                    <m:r>
                      <m:rPr>
                        <m:nor/>
                      </m:rPr>
                      <a:rPr lang="en-US">
                        <a:effectLst/>
                      </a:rPr>
                      <m:t> </m:t>
                    </m:r>
                  </m:oMath>
                </m:oMathPara>
              </a14:m>
              <a:endParaRPr lang="en-US" sz="1100" kern="1200"/>
            </a:p>
          </xdr:txBody>
        </xdr:sp>
      </mc:Choice>
      <mc:Fallback xmlns="">
        <xdr:sp macro="" textlink="">
          <xdr:nvSpPr>
            <xdr:cNvPr id="13" name="TextBox 12">
              <a:extLst>
                <a:ext uri="{FF2B5EF4-FFF2-40B4-BE49-F238E27FC236}">
                  <a16:creationId xmlns:a16="http://schemas.microsoft.com/office/drawing/2014/main" id="{788E4EAB-D90D-E24F-89B9-14687D1FE427}"/>
                </a:ext>
              </a:extLst>
            </xdr:cNvPr>
            <xdr:cNvSpPr txBox="1"/>
          </xdr:nvSpPr>
          <xdr:spPr>
            <a:xfrm>
              <a:off x="878417" y="5704417"/>
              <a:ext cx="2143343"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𝜎(𝑌)→Std Dev of Ultimate Losses</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kern="1200"/>
            </a:p>
          </xdr:txBody>
        </xdr:sp>
      </mc:Fallback>
    </mc:AlternateContent>
    <xdr:clientData/>
  </xdr:oneCellAnchor>
  <xdr:oneCellAnchor>
    <xdr:from>
      <xdr:col>1</xdr:col>
      <xdr:colOff>35983</xdr:colOff>
      <xdr:row>29</xdr:row>
      <xdr:rowOff>46567</xdr:rowOff>
    </xdr:from>
    <xdr:ext cx="1839286" cy="321435"/>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E4C3D7E6-6F1B-7F42-A08C-BBEAF2A6AF6E}"/>
                </a:ext>
              </a:extLst>
            </xdr:cNvPr>
            <xdr:cNvSpPr txBox="1"/>
          </xdr:nvSpPr>
          <xdr:spPr>
            <a:xfrm>
              <a:off x="861483" y="5973234"/>
              <a:ext cx="1839286"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𝑋</m:t>
                            </m:r>
                          </m:num>
                          <m:den>
                            <m:r>
                              <a:rPr lang="en-US" sz="1100" i="1">
                                <a:solidFill>
                                  <a:schemeClr val="tx1"/>
                                </a:solidFill>
                                <a:effectLst/>
                                <a:latin typeface="Cambria Math" panose="02040503050406030204" pitchFamily="18" charset="0"/>
                                <a:ea typeface="+mn-ea"/>
                                <a:cs typeface="+mn-cs"/>
                              </a:rPr>
                              <m:t>𝑌</m:t>
                            </m:r>
                          </m:den>
                        </m:f>
                      </m:e>
                    </m:d>
                    <m:r>
                      <a:rPr lang="en-US" sz="1100">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Expected</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Reported</m:t>
                    </m:r>
                    <m:r>
                      <m:rPr>
                        <m:nor/>
                      </m:rPr>
                      <a:rPr lang="en-US">
                        <a:effectLst/>
                      </a:rPr>
                      <m:t> </m:t>
                    </m:r>
                  </m:oMath>
                </m:oMathPara>
              </a14:m>
              <a:endParaRPr lang="en-US" sz="1100" kern="1200"/>
            </a:p>
          </xdr:txBody>
        </xdr:sp>
      </mc:Choice>
      <mc:Fallback xmlns="">
        <xdr:sp macro="" textlink="">
          <xdr:nvSpPr>
            <xdr:cNvPr id="14" name="TextBox 13">
              <a:extLst>
                <a:ext uri="{FF2B5EF4-FFF2-40B4-BE49-F238E27FC236}">
                  <a16:creationId xmlns:a16="http://schemas.microsoft.com/office/drawing/2014/main" id="{E4C3D7E6-6F1B-7F42-A08C-BBEAF2A6AF6E}"/>
                </a:ext>
              </a:extLst>
            </xdr:cNvPr>
            <xdr:cNvSpPr txBox="1"/>
          </xdr:nvSpPr>
          <xdr:spPr>
            <a:xfrm>
              <a:off x="861483" y="5973234"/>
              <a:ext cx="1839286"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E[𝑋/𝑌]→Expected %Reported</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kern="1200"/>
            </a:p>
          </xdr:txBody>
        </xdr:sp>
      </mc:Fallback>
    </mc:AlternateContent>
    <xdr:clientData/>
  </xdr:oneCellAnchor>
  <xdr:oneCellAnchor>
    <xdr:from>
      <xdr:col>1</xdr:col>
      <xdr:colOff>8467</xdr:colOff>
      <xdr:row>31</xdr:row>
      <xdr:rowOff>19050</xdr:rowOff>
    </xdr:from>
    <xdr:ext cx="1931876" cy="320472"/>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BDF000FE-AFD4-8940-9AAE-6FF191630B95}"/>
                </a:ext>
              </a:extLst>
            </xdr:cNvPr>
            <xdr:cNvSpPr txBox="1"/>
          </xdr:nvSpPr>
          <xdr:spPr>
            <a:xfrm>
              <a:off x="833967" y="6347883"/>
              <a:ext cx="1931876" cy="320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𝜎</m:t>
                    </m:r>
                    <m:d>
                      <m:dPr>
                        <m:ctrlPr>
                          <a:rPr lang="en-US" sz="1100" i="1">
                            <a:solidFill>
                              <a:schemeClr val="tx1"/>
                            </a:solidFill>
                            <a:effectLst/>
                            <a:latin typeface="Cambria Math" panose="02040503050406030204" pitchFamily="18" charset="0"/>
                            <a:ea typeface="+mn-ea"/>
                            <a:cs typeface="+mn-cs"/>
                          </a:rPr>
                        </m:ctrlPr>
                      </m:dPr>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𝑋</m:t>
                            </m:r>
                          </m:num>
                          <m:den>
                            <m:r>
                              <a:rPr lang="en-US" sz="1100" i="1">
                                <a:solidFill>
                                  <a:schemeClr val="tx1"/>
                                </a:solidFill>
                                <a:effectLst/>
                                <a:latin typeface="Cambria Math" panose="02040503050406030204" pitchFamily="18" charset="0"/>
                                <a:ea typeface="+mn-ea"/>
                                <a:cs typeface="+mn-cs"/>
                              </a:rPr>
                              <m:t>𝑌</m:t>
                            </m:r>
                          </m:den>
                        </m:f>
                      </m:e>
                    </m:d>
                    <m:r>
                      <a:rPr lang="en-US" sz="1100">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Std</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Dev</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of</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Reported</m:t>
                    </m:r>
                    <m:r>
                      <m:rPr>
                        <m:nor/>
                      </m:rPr>
                      <a:rPr lang="en-US">
                        <a:effectLst/>
                      </a:rPr>
                      <m:t> </m:t>
                    </m:r>
                  </m:oMath>
                </m:oMathPara>
              </a14:m>
              <a:endParaRPr lang="en-US" sz="1100" kern="1200"/>
            </a:p>
          </xdr:txBody>
        </xdr:sp>
      </mc:Choice>
      <mc:Fallback xmlns="">
        <xdr:sp macro="" textlink="">
          <xdr:nvSpPr>
            <xdr:cNvPr id="15" name="TextBox 14">
              <a:extLst>
                <a:ext uri="{FF2B5EF4-FFF2-40B4-BE49-F238E27FC236}">
                  <a16:creationId xmlns:a16="http://schemas.microsoft.com/office/drawing/2014/main" id="{BDF000FE-AFD4-8940-9AAE-6FF191630B95}"/>
                </a:ext>
              </a:extLst>
            </xdr:cNvPr>
            <xdr:cNvSpPr txBox="1"/>
          </xdr:nvSpPr>
          <xdr:spPr>
            <a:xfrm>
              <a:off x="833967" y="6347883"/>
              <a:ext cx="1931876" cy="320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𝜎(𝑋/𝑌)→Std Dev of %Reported</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kern="1200"/>
            </a:p>
          </xdr:txBody>
        </xdr:sp>
      </mc:Fallback>
    </mc:AlternateContent>
    <xdr:clientData/>
  </xdr:oneCellAnchor>
  <xdr:twoCellAnchor>
    <xdr:from>
      <xdr:col>1</xdr:col>
      <xdr:colOff>232833</xdr:colOff>
      <xdr:row>49</xdr:row>
      <xdr:rowOff>137584</xdr:rowOff>
    </xdr:from>
    <xdr:to>
      <xdr:col>3</xdr:col>
      <xdr:colOff>656167</xdr:colOff>
      <xdr:row>52</xdr:row>
      <xdr:rowOff>82433</xdr:rowOff>
    </xdr:to>
    <mc:AlternateContent xmlns:mc="http://schemas.openxmlformats.org/markup-compatibility/2006" xmlns:a14="http://schemas.microsoft.com/office/drawing/2010/main">
      <mc:Choice Requires="a14">
        <xdr:sp macro="" textlink="">
          <xdr:nvSpPr>
            <xdr:cNvPr id="16" name="TextBox 2">
              <a:extLst>
                <a:ext uri="{FF2B5EF4-FFF2-40B4-BE49-F238E27FC236}">
                  <a16:creationId xmlns:a16="http://schemas.microsoft.com/office/drawing/2014/main" id="{95E819B1-C18E-8F43-9E6C-13CBC174EEEF}"/>
                </a:ext>
              </a:extLst>
            </xdr:cNvPr>
            <xdr:cNvSpPr txBox="1"/>
          </xdr:nvSpPr>
          <xdr:spPr>
            <a:xfrm>
              <a:off x="1058333" y="10149417"/>
              <a:ext cx="2074334" cy="54809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𝑍</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𝑋</m:t>
                        </m:r>
                      </m:num>
                      <m:den>
                        <m:r>
                          <a:rPr lang="en-US" sz="1100" i="1">
                            <a:solidFill>
                              <a:schemeClr val="tx1"/>
                            </a:solidFill>
                            <a:effectLst/>
                            <a:latin typeface="Cambria Math" panose="02040503050406030204" pitchFamily="18" charset="0"/>
                            <a:ea typeface="+mn-ea"/>
                            <a:cs typeface="+mn-cs"/>
                          </a:rPr>
                          <m:t>𝐸</m:t>
                        </m:r>
                        <m:d>
                          <m:dPr>
                            <m:begChr m:val="["/>
                            <m:endChr m:val="]"/>
                            <m:ctrlPr>
                              <a:rPr lang="en-US" sz="1100" i="1">
                                <a:solidFill>
                                  <a:schemeClr val="tx1"/>
                                </a:solidFill>
                                <a:effectLst/>
                                <a:latin typeface="Cambria Math" panose="02040503050406030204" pitchFamily="18" charset="0"/>
                                <a:ea typeface="+mn-ea"/>
                                <a:cs typeface="+mn-cs"/>
                              </a:rPr>
                            </m:ctrlPr>
                          </m:dPr>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𝑋</m:t>
                                </m:r>
                              </m:num>
                              <m:den>
                                <m:r>
                                  <a:rPr lang="en-US" sz="1100" i="1">
                                    <a:solidFill>
                                      <a:schemeClr val="tx1"/>
                                    </a:solidFill>
                                    <a:effectLst/>
                                    <a:latin typeface="Cambria Math" panose="02040503050406030204" pitchFamily="18" charset="0"/>
                                    <a:ea typeface="+mn-ea"/>
                                    <a:cs typeface="+mn-cs"/>
                                  </a:rPr>
                                  <m:t>𝑌</m:t>
                                </m:r>
                              </m:den>
                            </m:f>
                          </m:e>
                        </m:d>
                      </m:den>
                    </m:f>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𝑍</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𝑌</m:t>
                    </m:r>
                    <m:r>
                      <a:rPr lang="en-US" sz="1100" i="1">
                        <a:solidFill>
                          <a:schemeClr val="tx1"/>
                        </a:solidFill>
                        <a:effectLst/>
                        <a:latin typeface="Cambria Math" panose="02040503050406030204" pitchFamily="18" charset="0"/>
                        <a:ea typeface="+mn-ea"/>
                        <a:cs typeface="+mn-cs"/>
                      </a:rPr>
                      <m:t>]</m:t>
                    </m:r>
                  </m:oMath>
                </m:oMathPara>
              </a14:m>
              <a:endParaRPr lang="en-US" sz="1100">
                <a:solidFill>
                  <a:schemeClr val="tx1"/>
                </a:solidFill>
                <a:effectLst/>
                <a:latin typeface="+mn-lt"/>
                <a:ea typeface="+mn-ea"/>
                <a:cs typeface="+mn-cs"/>
              </a:endParaRPr>
            </a:p>
          </xdr:txBody>
        </xdr:sp>
      </mc:Choice>
      <mc:Fallback xmlns="">
        <xdr:sp macro="" textlink="">
          <xdr:nvSpPr>
            <xdr:cNvPr id="16" name="TextBox 2">
              <a:extLst>
                <a:ext uri="{FF2B5EF4-FFF2-40B4-BE49-F238E27FC236}">
                  <a16:creationId xmlns:a16="http://schemas.microsoft.com/office/drawing/2014/main" id="{95E819B1-C18E-8F43-9E6C-13CBC174EEEF}"/>
                </a:ext>
              </a:extLst>
            </xdr:cNvPr>
            <xdr:cNvSpPr txBox="1"/>
          </xdr:nvSpPr>
          <xdr:spPr>
            <a:xfrm>
              <a:off x="1058333" y="10149417"/>
              <a:ext cx="2074334" cy="54809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𝑈𝑙𝑡=𝑍×𝑋/𝐸[𝑋/𝑌] +(1−𝑍)×𝐸[𝑌]</a:t>
              </a:r>
              <a:endParaRPr lang="en-US" sz="1100">
                <a:solidFill>
                  <a:schemeClr val="tx1"/>
                </a:solidFill>
                <a:effectLst/>
                <a:latin typeface="+mn-lt"/>
                <a:ea typeface="+mn-ea"/>
                <a:cs typeface="+mn-cs"/>
              </a:endParaRPr>
            </a:p>
          </xdr:txBody>
        </xdr:sp>
      </mc:Fallback>
    </mc:AlternateContent>
    <xdr:clientData/>
  </xdr:twoCellAnchor>
  <xdr:oneCellAnchor>
    <xdr:from>
      <xdr:col>4</xdr:col>
      <xdr:colOff>137582</xdr:colOff>
      <xdr:row>50</xdr:row>
      <xdr:rowOff>84668</xdr:rowOff>
    </xdr:from>
    <xdr:ext cx="2883290" cy="17209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A7B6D2BB-A5E7-9341-9A40-34098DB12C84}"/>
                </a:ext>
              </a:extLst>
            </xdr:cNvPr>
            <xdr:cNvSpPr txBox="1"/>
          </xdr:nvSpPr>
          <xdr:spPr>
            <a:xfrm>
              <a:off x="3439582" y="10297585"/>
              <a:ext cx="2883290"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𝐶𝑟𝑒𝑑</m:t>
                    </m:r>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1"/>
                        </m:argPr>
                        <m:r>
                          <a:rPr lang="en-US" sz="1100" i="1">
                            <a:solidFill>
                              <a:schemeClr val="tx1"/>
                            </a:solidFill>
                            <a:effectLst/>
                            <a:latin typeface="Cambria Math" panose="02040503050406030204" pitchFamily="18" charset="0"/>
                            <a:ea typeface="+mn-ea"/>
                            <a:cs typeface="+mn-cs"/>
                          </a:rPr>
                          <m:t>𝐶h𝑎𝑖𝑛𝐿𝑎𝑑𝑑𝑒𝑟</m:t>
                        </m:r>
                      </m:sub>
                    </m:sSub>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𝐶𝑟𝑒𝑑</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m:t>
                    </m:r>
                    <m:r>
                      <m:rPr>
                        <m:nor/>
                      </m:rPr>
                      <a:rPr lang="en-US">
                        <a:effectLst/>
                      </a:rPr>
                      <m:t> </m:t>
                    </m:r>
                  </m:oMath>
                </m:oMathPara>
              </a14:m>
              <a:endParaRPr lang="en-US" sz="1100">
                <a:solidFill>
                  <a:schemeClr val="tx1"/>
                </a:solidFill>
              </a:endParaRPr>
            </a:p>
          </xdr:txBody>
        </xdr:sp>
      </mc:Choice>
      <mc:Fallback xmlns="">
        <xdr:sp macro="" textlink="">
          <xdr:nvSpPr>
            <xdr:cNvPr id="17" name="TextBox 16">
              <a:extLst>
                <a:ext uri="{FF2B5EF4-FFF2-40B4-BE49-F238E27FC236}">
                  <a16:creationId xmlns:a16="http://schemas.microsoft.com/office/drawing/2014/main" id="{A7B6D2BB-A5E7-9341-9A40-34098DB12C84}"/>
                </a:ext>
              </a:extLst>
            </xdr:cNvPr>
            <xdr:cNvSpPr txBox="1"/>
          </xdr:nvSpPr>
          <xdr:spPr>
            <a:xfrm>
              <a:off x="3439582" y="10297585"/>
              <a:ext cx="2883290"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𝑈𝑙𝑡=𝐶𝑟𝑒𝑑×〖𝑈𝑙𝑡〗_𝐶ℎ𝑎𝑖𝑛𝐿𝑎𝑑𝑑𝑒𝑟+(1−𝐶𝑟𝑒𝑑)×𝐸[𝑈𝑙𝑡]</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0</xdr:col>
      <xdr:colOff>751416</xdr:colOff>
      <xdr:row>77</xdr:row>
      <xdr:rowOff>155989</xdr:rowOff>
    </xdr:from>
    <xdr:to>
      <xdr:col>5</xdr:col>
      <xdr:colOff>634999</xdr:colOff>
      <xdr:row>90</xdr:row>
      <xdr:rowOff>89729</xdr:rowOff>
    </xdr:to>
    <xdr:graphicFrame macro="">
      <xdr:nvGraphicFramePr>
        <xdr:cNvPr id="4" name="Chart 3" title="Chart">
          <a:extLst>
            <a:ext uri="{FF2B5EF4-FFF2-40B4-BE49-F238E27FC236}">
              <a16:creationId xmlns:a16="http://schemas.microsoft.com/office/drawing/2014/main" id="{5923294F-BD84-284A-93B8-23D21D410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oneCellAnchor>
    <xdr:from>
      <xdr:col>1</xdr:col>
      <xdr:colOff>74084</xdr:colOff>
      <xdr:row>32</xdr:row>
      <xdr:rowOff>162982</xdr:rowOff>
    </xdr:from>
    <xdr:ext cx="1233223" cy="41203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F45081F-0BAE-8B44-B58F-4AA1E4978526}"/>
                </a:ext>
              </a:extLst>
            </xdr:cNvPr>
            <xdr:cNvSpPr txBox="1"/>
          </xdr:nvSpPr>
          <xdr:spPr>
            <a:xfrm>
              <a:off x="899584" y="6290732"/>
              <a:ext cx="1233223" cy="41203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𝑍</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𝑉𝐻𝑀</m:t>
                        </m:r>
                      </m:num>
                      <m:den>
                        <m:r>
                          <a:rPr lang="en-US" sz="1100" i="1">
                            <a:solidFill>
                              <a:schemeClr val="tx1"/>
                            </a:solidFill>
                            <a:effectLst/>
                            <a:latin typeface="Cambria Math" panose="02040503050406030204" pitchFamily="18" charset="0"/>
                            <a:ea typeface="+mn-ea"/>
                            <a:cs typeface="+mn-cs"/>
                          </a:rPr>
                          <m:t>𝑉𝐻𝑀</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𝐸𝑉𝑃𝑉</m:t>
                        </m:r>
                      </m:den>
                    </m:f>
                  </m:oMath>
                </m:oMathPara>
              </a14:m>
              <a:endParaRPr lang="en-US" sz="1100">
                <a:solidFill>
                  <a:schemeClr val="tx1"/>
                </a:solidFill>
                <a:effectLst/>
                <a:latin typeface="+mn-lt"/>
                <a:ea typeface="+mn-ea"/>
                <a:cs typeface="+mn-cs"/>
              </a:endParaRPr>
            </a:p>
          </xdr:txBody>
        </xdr:sp>
      </mc:Choice>
      <mc:Fallback xmlns="">
        <xdr:sp macro="" textlink="">
          <xdr:nvSpPr>
            <xdr:cNvPr id="5" name="TextBox 4">
              <a:extLst>
                <a:ext uri="{FF2B5EF4-FFF2-40B4-BE49-F238E27FC236}">
                  <a16:creationId xmlns:a16="http://schemas.microsoft.com/office/drawing/2014/main" id="{4F45081F-0BAE-8B44-B58F-4AA1E4978526}"/>
                </a:ext>
              </a:extLst>
            </xdr:cNvPr>
            <xdr:cNvSpPr txBox="1"/>
          </xdr:nvSpPr>
          <xdr:spPr>
            <a:xfrm>
              <a:off x="899584" y="6290732"/>
              <a:ext cx="1233223" cy="41203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𝑍=𝑉𝐻𝑀/(𝑉𝐻𝑀+𝐸𝑉𝑃𝑉)</a:t>
              </a:r>
              <a:endParaRPr lang="en-US" sz="1100">
                <a:solidFill>
                  <a:schemeClr val="tx1"/>
                </a:solidFill>
                <a:effectLst/>
                <a:latin typeface="+mn-lt"/>
                <a:ea typeface="+mn-ea"/>
                <a:cs typeface="+mn-cs"/>
              </a:endParaRPr>
            </a:p>
          </xdr:txBody>
        </xdr:sp>
      </mc:Fallback>
    </mc:AlternateContent>
    <xdr:clientData/>
  </xdr:oneCellAnchor>
  <xdr:twoCellAnchor>
    <xdr:from>
      <xdr:col>1</xdr:col>
      <xdr:colOff>179917</xdr:colOff>
      <xdr:row>38</xdr:row>
      <xdr:rowOff>158750</xdr:rowOff>
    </xdr:from>
    <xdr:to>
      <xdr:col>3</xdr:col>
      <xdr:colOff>211667</xdr:colOff>
      <xdr:row>40</xdr:row>
      <xdr:rowOff>29350</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1EF16F63-DFD1-D6A5-37E8-086A3D0232DC}"/>
                </a:ext>
              </a:extLst>
            </xdr:cNvPr>
            <xdr:cNvSpPr txBox="1"/>
          </xdr:nvSpPr>
          <xdr:spPr>
            <a:xfrm>
              <a:off x="1005417" y="8360833"/>
              <a:ext cx="1682750" cy="272767"/>
            </a:xfrm>
            <a:prstGeom prst="rect">
              <a:avLst/>
            </a:prstGeom>
            <a:noFill/>
            <a:ln>
              <a:solidFill>
                <a:sysClr val="windowText" lastClr="000000"/>
              </a:solidFill>
            </a:ln>
            <a:effectLst/>
          </xdr:spPr>
          <xdr:txBody>
            <a:bodyPr wrap="square" lIns="45720" tIns="45720" rIns="45720" bIns="45720" rtlCol="0" anchor="t">
              <a:spAutoFit/>
            </a:bodyPr>
            <a:lstStyle/>
            <a:p>
              <a:pPr marL="0" marR="0"/>
              <a14:m>
                <m:oMathPara xmlns:m="http://schemas.openxmlformats.org/officeDocument/2006/math">
                  <m:oMathParaPr>
                    <m:jc m:val="centerGroup"/>
                  </m:oMathParaPr>
                  <m:oMath xmlns:m="http://schemas.openxmlformats.org/officeDocument/2006/math">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𝐸</m:t>
                    </m:r>
                    <m:d>
                      <m:dPr>
                        <m:begChr m:val="["/>
                        <m:endChr m:val="]"/>
                        <m:ctrlPr>
                          <a:rPr lang="en-US" sz="1200" i="1" kern="100">
                            <a:effectLst/>
                            <a:latin typeface="Cambria Math" panose="02040503050406030204" pitchFamily="18" charset="0"/>
                            <a:ea typeface="Cambria" panose="02040503050406030204" pitchFamily="18" charset="0"/>
                            <a:cs typeface="Times New Roman" panose="02020603050405020304" pitchFamily="18" charset="0"/>
                          </a:rPr>
                        </m:ctrlPr>
                      </m:dPr>
                      <m:e>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𝑋</m:t>
                        </m:r>
                      </m:e>
                      <m:e>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𝑌</m:t>
                        </m:r>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m:t>
                        </m:r>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𝑦</m:t>
                        </m:r>
                      </m:e>
                    </m:d>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m:t>
                    </m:r>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𝑑𝑦</m:t>
                    </m:r>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m:t>
                    </m:r>
                    <m:sSub>
                      <m:sSubPr>
                        <m:ctrlPr>
                          <a:rPr lang="en-US" sz="12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𝑥</m:t>
                        </m:r>
                      </m:e>
                      <m:sub>
                        <m:r>
                          <a:rPr lang="en-US" sz="1200" i="1" kern="100">
                            <a:effectLst/>
                            <a:latin typeface="Cambria Math" panose="02040503050406030204" pitchFamily="18" charset="0"/>
                            <a:ea typeface="Cambria" panose="02040503050406030204" pitchFamily="18" charset="0"/>
                            <a:cs typeface="Times New Roman" panose="02020603050405020304" pitchFamily="18" charset="0"/>
                          </a:rPr>
                          <m:t>0</m:t>
                        </m:r>
                      </m:sub>
                    </m:sSub>
                  </m:oMath>
                </m:oMathPara>
              </a14:m>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Choice>
      <mc:Fallback xmlns="">
        <xdr:sp macro="" textlink="">
          <xdr:nvSpPr>
            <xdr:cNvPr id="6" name="TextBox 2">
              <a:extLst>
                <a:ext uri="{FF2B5EF4-FFF2-40B4-BE49-F238E27FC236}">
                  <a16:creationId xmlns:a16="http://schemas.microsoft.com/office/drawing/2014/main" id="{1EF16F63-DFD1-D6A5-37E8-086A3D0232DC}"/>
                </a:ext>
              </a:extLst>
            </xdr:cNvPr>
            <xdr:cNvSpPr txBox="1"/>
          </xdr:nvSpPr>
          <xdr:spPr>
            <a:xfrm>
              <a:off x="1005417" y="8360833"/>
              <a:ext cx="1682750" cy="272767"/>
            </a:xfrm>
            <a:prstGeom prst="rect">
              <a:avLst/>
            </a:prstGeom>
            <a:noFill/>
            <a:ln>
              <a:solidFill>
                <a:sysClr val="windowText" lastClr="000000"/>
              </a:solidFill>
            </a:ln>
            <a:effectLst/>
          </xdr:spPr>
          <xdr:txBody>
            <a:bodyPr wrap="square" lIns="45720" tIns="45720" rIns="45720" bIns="45720" rtlCol="0" anchor="t">
              <a:spAutoFit/>
            </a:bodyPr>
            <a:lstStyle/>
            <a:p>
              <a:pPr marL="0" marR="0"/>
              <a:r>
                <a:rPr lang="en-US" sz="1200" i="0" kern="100">
                  <a:effectLst/>
                  <a:latin typeface="Cambria Math" panose="02040503050406030204" pitchFamily="18" charset="0"/>
                  <a:ea typeface="Cambria" panose="02040503050406030204" pitchFamily="18" charset="0"/>
                  <a:cs typeface="Times New Roman" panose="02020603050405020304" pitchFamily="18" charset="0"/>
                </a:rPr>
                <a:t>𝐸</a:t>
              </a:r>
              <a:r>
                <a:rPr lang="en-US" sz="1200" i="0" kern="100">
                  <a:effectLst/>
                  <a:latin typeface="Cambria Math" panose="02040503050406030204" pitchFamily="18" charset="0"/>
                  <a:cs typeface="Times New Roman" panose="02020603050405020304" pitchFamily="18" charset="0"/>
                </a:rPr>
                <a:t>[</a:t>
              </a:r>
              <a:r>
                <a:rPr lang="en-US" sz="1200" i="0" kern="100">
                  <a:effectLst/>
                  <a:latin typeface="Cambria Math" panose="02040503050406030204" pitchFamily="18" charset="0"/>
                  <a:ea typeface="Cambria" panose="02040503050406030204" pitchFamily="18" charset="0"/>
                  <a:cs typeface="Times New Roman" panose="02020603050405020304" pitchFamily="18" charset="0"/>
                </a:rPr>
                <a:t>𝑋│𝑌=𝑦]=𝑑𝑦+𝑥_0</a:t>
              </a:r>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twoCellAnchor>
  <xdr:twoCellAnchor>
    <xdr:from>
      <xdr:col>1</xdr:col>
      <xdr:colOff>158750</xdr:colOff>
      <xdr:row>55</xdr:row>
      <xdr:rowOff>158750</xdr:rowOff>
    </xdr:from>
    <xdr:to>
      <xdr:col>3</xdr:col>
      <xdr:colOff>571500</xdr:colOff>
      <xdr:row>57</xdr:row>
      <xdr:rowOff>148379</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C94AA4DD-4E9C-04BF-E632-F78CAC9DD7BC}"/>
                </a:ext>
              </a:extLst>
            </xdr:cNvPr>
            <xdr:cNvSpPr txBox="1"/>
          </xdr:nvSpPr>
          <xdr:spPr>
            <a:xfrm>
              <a:off x="984250" y="11832167"/>
              <a:ext cx="2063750" cy="391795"/>
            </a:xfrm>
            <a:prstGeom prst="rect">
              <a:avLst/>
            </a:prstGeom>
            <a:noFill/>
            <a:ln>
              <a:solidFill>
                <a:sysClr val="windowText" lastClr="000000"/>
              </a:solidFill>
            </a:ln>
            <a:effectLst/>
          </xdr:spPr>
          <xdr:txBody>
            <a:bodyPr wrap="square" lIns="45720" tIns="45720" rIns="45720" bIns="45720" rtlCol="0" anchor="t">
              <a:noAutofit/>
            </a:bodyPr>
            <a:lstStyle/>
            <a:p>
              <a:pPr marL="0" marR="0"/>
              <a14:m>
                <m:oMathPara xmlns:m="http://schemas.openxmlformats.org/officeDocument/2006/math">
                  <m:oMathParaPr>
                    <m:jc m:val="centerGroup"/>
                  </m:oMathParaPr>
                  <m:oMath xmlns:m="http://schemas.openxmlformats.org/officeDocument/2006/math">
                    <m:acc>
                      <m:accPr>
                        <m:chr m:val="̂"/>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acc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𝑦</m:t>
                        </m:r>
                      </m:e>
                    </m:acc>
                    <m:r>
                      <a:rPr lang="en-US" sz="1100" kern="100">
                        <a:effectLst/>
                        <a:latin typeface="Cambria Math" panose="02040503050406030204" pitchFamily="18" charset="0"/>
                        <a:ea typeface="Cambria" panose="02040503050406030204" pitchFamily="18" charset="0"/>
                        <a:cs typeface="Times New Roman" panose="02020603050405020304" pitchFamily="18" charset="0"/>
                      </a:rPr>
                      <m:t>=</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𝑍</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f>
                      <m:f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fPr>
                      <m:num>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𝑥</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𝑥</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0</m:t>
                            </m:r>
                          </m:sub>
                        </m:sSub>
                      </m:num>
                      <m:den>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𝑑</m:t>
                        </m:r>
                      </m:den>
                    </m:f>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1−</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𝑍</m:t>
                        </m:r>
                      </m:e>
                    </m:d>
                    <m:r>
                      <a:rPr lang="en-US" sz="1100" i="1">
                        <a:effectLst/>
                        <a:latin typeface="Cambria Math" panose="02040503050406030204" pitchFamily="18" charset="0"/>
                        <a:ea typeface="+mn-ea"/>
                        <a:cs typeface="+mn-cs"/>
                      </a:rPr>
                      <m:t>×</m:t>
                    </m:r>
                    <m:r>
                      <m:rPr>
                        <m:nor/>
                      </m:rPr>
                      <a:rPr lang="en-US">
                        <a:effectLst/>
                      </a:rPr>
                      <m:t> </m:t>
                    </m:r>
                    <m:r>
                      <m:rPr>
                        <m:sty m:val="p"/>
                      </m:rPr>
                      <a:rPr lang="en-US" sz="1100" kern="100">
                        <a:effectLst/>
                        <a:latin typeface="Cambria Math" panose="02040503050406030204" pitchFamily="18" charset="0"/>
                        <a:ea typeface="Cambria" panose="02040503050406030204" pitchFamily="18" charset="0"/>
                        <a:cs typeface="Times New Roman" panose="02020603050405020304" pitchFamily="18" charset="0"/>
                      </a:rPr>
                      <m:t>E</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𝑌</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oMath>
                </m:oMathPara>
              </a14:m>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Choice>
      <mc:Fallback xmlns="">
        <xdr:sp macro="" textlink="">
          <xdr:nvSpPr>
            <xdr:cNvPr id="7" name="TextBox 2">
              <a:extLst>
                <a:ext uri="{FF2B5EF4-FFF2-40B4-BE49-F238E27FC236}">
                  <a16:creationId xmlns:a16="http://schemas.microsoft.com/office/drawing/2014/main" id="{C94AA4DD-4E9C-04BF-E632-F78CAC9DD7BC}"/>
                </a:ext>
              </a:extLst>
            </xdr:cNvPr>
            <xdr:cNvSpPr txBox="1"/>
          </xdr:nvSpPr>
          <xdr:spPr>
            <a:xfrm>
              <a:off x="984250" y="11832167"/>
              <a:ext cx="2063750" cy="391795"/>
            </a:xfrm>
            <a:prstGeom prst="rect">
              <a:avLst/>
            </a:prstGeom>
            <a:noFill/>
            <a:ln>
              <a:solidFill>
                <a:sysClr val="windowText" lastClr="000000"/>
              </a:solidFill>
            </a:ln>
            <a:effectLst/>
          </xdr:spPr>
          <xdr:txBody>
            <a:bodyPr wrap="square" lIns="45720" tIns="45720" rIns="45720" bIns="45720" rtlCol="0" anchor="t">
              <a:noAutofit/>
            </a:bodyPr>
            <a:lstStyle/>
            <a:p>
              <a:pPr marL="0" marR="0"/>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𝑦 ̂=𝑍×</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𝑥−𝑥_0)/𝑑+</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1−𝑍)</a:t>
              </a:r>
              <a:r>
                <a:rPr lang="en-US" sz="1100" i="0">
                  <a:effectLst/>
                  <a:latin typeface="+mn-lt"/>
                  <a:ea typeface="+mn-ea"/>
                  <a:cs typeface="+mn-cs"/>
                </a:rPr>
                <a:t>×</a:t>
              </a:r>
              <a:r>
                <a:rPr lang="en-US" sz="1100" i="0">
                  <a:effectLst/>
                  <a:latin typeface="Cambria Math" panose="02040503050406030204" pitchFamily="18" charset="0"/>
                  <a:ea typeface="+mn-ea"/>
                  <a:cs typeface="+mn-cs"/>
                </a:rPr>
                <a:t>"</a:t>
              </a:r>
              <a:r>
                <a:rPr lang="en-US" i="0">
                  <a:effectLst/>
                  <a:latin typeface="Cambria Math" panose="02040503050406030204" pitchFamily="18" charset="0"/>
                </a:rPr>
                <a:t> </a:t>
              </a:r>
              <a:r>
                <a:rPr lang="en-US" sz="1100" i="0" kern="100">
                  <a:effectLst/>
                  <a:latin typeface="Cambria Math" panose="02040503050406030204" pitchFamily="18" charset="0"/>
                </a:rPr>
                <a:t>" </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E[𝑌]</a:t>
              </a:r>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52"/>
  <sheetViews>
    <sheetView showGridLines="0" tabSelected="1" zoomScale="120" zoomScaleNormal="120" zoomScaleSheetLayoutView="70" workbookViewId="0"/>
  </sheetViews>
  <sheetFormatPr baseColWidth="10" defaultColWidth="10.83203125" defaultRowHeight="16" x14ac:dyDescent="0.2"/>
  <cols>
    <col min="1" max="13" width="10.83203125" style="37" customWidth="1"/>
    <col min="14" max="16384" width="10.83203125" style="37"/>
  </cols>
  <sheetData>
    <row r="1" spans="1:10" ht="19" x14ac:dyDescent="0.25">
      <c r="A1" s="1" t="s">
        <v>83</v>
      </c>
      <c r="B1" s="35"/>
      <c r="C1" s="35"/>
      <c r="D1" s="35"/>
      <c r="E1" s="35"/>
      <c r="F1" s="35"/>
      <c r="G1" s="35"/>
      <c r="H1" s="35"/>
      <c r="I1" s="35"/>
      <c r="J1" s="36"/>
    </row>
    <row r="2" spans="1:10" x14ac:dyDescent="0.2">
      <c r="A2" s="38"/>
      <c r="B2" s="35"/>
      <c r="C2" s="35"/>
      <c r="D2" s="35"/>
      <c r="E2" s="35"/>
      <c r="F2" s="35"/>
      <c r="G2" s="35"/>
      <c r="H2" s="35"/>
      <c r="I2" s="35"/>
      <c r="J2" s="36"/>
    </row>
    <row r="3" spans="1:10" x14ac:dyDescent="0.2">
      <c r="A3" s="38"/>
      <c r="B3" s="35" t="s">
        <v>3</v>
      </c>
      <c r="C3" s="35"/>
      <c r="D3" s="35"/>
      <c r="E3" s="35"/>
      <c r="F3" s="35"/>
      <c r="G3" s="35"/>
      <c r="H3" s="35"/>
      <c r="I3" s="35"/>
      <c r="J3" s="36"/>
    </row>
    <row r="4" spans="1:10" x14ac:dyDescent="0.2">
      <c r="A4" s="38"/>
      <c r="B4" s="35"/>
      <c r="C4" s="35"/>
      <c r="D4" s="35"/>
      <c r="E4" s="35"/>
      <c r="F4" s="35"/>
      <c r="G4" s="35"/>
      <c r="H4" s="35"/>
      <c r="I4" s="35"/>
      <c r="J4" s="36"/>
    </row>
    <row r="5" spans="1:10" x14ac:dyDescent="0.2">
      <c r="A5" s="38"/>
      <c r="B5" s="113" t="s">
        <v>9</v>
      </c>
      <c r="C5" s="114"/>
      <c r="D5" s="114"/>
      <c r="E5" s="115"/>
      <c r="F5" s="110" t="s">
        <v>8</v>
      </c>
      <c r="G5" s="35"/>
      <c r="H5" s="35"/>
      <c r="I5" s="35"/>
      <c r="J5" s="36"/>
    </row>
    <row r="6" spans="1:10" ht="16" customHeight="1" x14ac:dyDescent="0.2">
      <c r="A6" s="38"/>
      <c r="B6" s="110" t="s">
        <v>4</v>
      </c>
      <c r="C6" s="22"/>
      <c r="D6" s="23"/>
      <c r="E6" s="23"/>
      <c r="F6" s="112"/>
      <c r="G6" s="35"/>
      <c r="H6" s="35"/>
      <c r="I6" s="35"/>
      <c r="J6" s="36"/>
    </row>
    <row r="7" spans="1:10" ht="17" x14ac:dyDescent="0.2">
      <c r="A7" s="38"/>
      <c r="B7" s="111"/>
      <c r="C7" s="24" t="s">
        <v>5</v>
      </c>
      <c r="D7" s="25" t="s">
        <v>6</v>
      </c>
      <c r="E7" s="25" t="s">
        <v>7</v>
      </c>
      <c r="F7" s="111"/>
      <c r="G7" s="35"/>
      <c r="H7" s="35"/>
      <c r="I7" s="35"/>
      <c r="J7" s="36"/>
    </row>
    <row r="8" spans="1:10" x14ac:dyDescent="0.2">
      <c r="A8" s="38"/>
      <c r="B8" s="11">
        <f t="shared" ref="B8:B10" si="0">B9-1</f>
        <v>2020</v>
      </c>
      <c r="C8" s="14">
        <v>260</v>
      </c>
      <c r="D8" s="15">
        <v>830</v>
      </c>
      <c r="E8" s="16">
        <v>1240</v>
      </c>
      <c r="F8" s="26">
        <v>4120</v>
      </c>
      <c r="G8" s="35"/>
      <c r="H8" s="35"/>
      <c r="I8" s="35"/>
      <c r="J8" s="36"/>
    </row>
    <row r="9" spans="1:10" x14ac:dyDescent="0.2">
      <c r="A9" s="38"/>
      <c r="B9" s="12">
        <f t="shared" si="0"/>
        <v>2021</v>
      </c>
      <c r="C9" s="17">
        <v>840</v>
      </c>
      <c r="D9" s="18">
        <v>3540</v>
      </c>
      <c r="E9" s="18">
        <v>3960</v>
      </c>
      <c r="F9" s="27">
        <v>5350</v>
      </c>
      <c r="G9" s="35"/>
      <c r="H9" s="35"/>
      <c r="I9" s="35"/>
      <c r="J9" s="36"/>
    </row>
    <row r="10" spans="1:10" x14ac:dyDescent="0.2">
      <c r="A10" s="38"/>
      <c r="B10" s="12">
        <f t="shared" si="0"/>
        <v>2022</v>
      </c>
      <c r="C10" s="17">
        <v>130</v>
      </c>
      <c r="D10" s="18">
        <v>1860</v>
      </c>
      <c r="E10" s="18">
        <v>2840</v>
      </c>
      <c r="F10" s="27">
        <v>6540</v>
      </c>
      <c r="G10" s="35"/>
      <c r="H10" s="35"/>
      <c r="I10" s="35"/>
      <c r="J10" s="36"/>
    </row>
    <row r="11" spans="1:10" x14ac:dyDescent="0.2">
      <c r="A11" s="38"/>
      <c r="B11" s="12">
        <f>B12-1</f>
        <v>2023</v>
      </c>
      <c r="C11" s="19">
        <v>2160</v>
      </c>
      <c r="D11" s="18">
        <v>3240</v>
      </c>
      <c r="E11" s="10"/>
      <c r="F11" s="27">
        <v>7780</v>
      </c>
      <c r="G11" s="35"/>
      <c r="H11" s="35"/>
      <c r="I11" s="35"/>
      <c r="J11" s="36"/>
    </row>
    <row r="12" spans="1:10" x14ac:dyDescent="0.2">
      <c r="A12" s="38"/>
      <c r="B12" s="13">
        <v>2024</v>
      </c>
      <c r="C12" s="20">
        <v>3610</v>
      </c>
      <c r="D12" s="21"/>
      <c r="E12" s="21"/>
      <c r="F12" s="28">
        <v>8010</v>
      </c>
      <c r="G12" s="35"/>
      <c r="H12" s="35"/>
      <c r="I12" s="35"/>
      <c r="J12" s="36"/>
    </row>
    <row r="13" spans="1:10" x14ac:dyDescent="0.2">
      <c r="A13" s="38"/>
      <c r="B13" s="35"/>
      <c r="C13" s="35"/>
      <c r="D13" s="35"/>
      <c r="E13" s="35"/>
      <c r="F13" s="35"/>
      <c r="G13" s="35"/>
      <c r="H13" s="35"/>
      <c r="I13" s="35"/>
      <c r="J13" s="36"/>
    </row>
    <row r="14" spans="1:10" x14ac:dyDescent="0.2">
      <c r="A14" s="38"/>
      <c r="B14" s="35" t="s">
        <v>84</v>
      </c>
      <c r="C14" s="35"/>
      <c r="D14" s="35"/>
      <c r="E14" s="35"/>
      <c r="F14" s="39">
        <v>1.25</v>
      </c>
      <c r="G14" s="35"/>
      <c r="H14" s="35"/>
      <c r="I14" s="35"/>
      <c r="J14" s="36"/>
    </row>
    <row r="15" spans="1:10" x14ac:dyDescent="0.2">
      <c r="A15" s="38"/>
      <c r="B15" s="35"/>
      <c r="C15" s="35"/>
      <c r="D15" s="35"/>
      <c r="E15" s="35"/>
      <c r="F15" s="35"/>
      <c r="G15" s="35"/>
      <c r="H15" s="35"/>
      <c r="I15" s="35"/>
      <c r="J15" s="36"/>
    </row>
    <row r="16" spans="1:10" x14ac:dyDescent="0.2">
      <c r="A16" s="38"/>
      <c r="B16" s="35" t="s">
        <v>0</v>
      </c>
      <c r="C16" s="35"/>
      <c r="D16" s="35"/>
      <c r="E16" s="35"/>
      <c r="F16" s="35"/>
      <c r="G16" s="35"/>
      <c r="H16" s="35"/>
      <c r="I16" s="35"/>
      <c r="J16" s="36"/>
    </row>
    <row r="17" spans="1:10" x14ac:dyDescent="0.2">
      <c r="A17" s="38"/>
      <c r="B17" s="35" t="s">
        <v>137</v>
      </c>
      <c r="C17" s="35"/>
      <c r="D17" s="35"/>
      <c r="E17" s="35"/>
      <c r="F17" s="35"/>
      <c r="G17" s="35"/>
      <c r="H17" s="35"/>
      <c r="I17" s="35"/>
      <c r="J17" s="36"/>
    </row>
    <row r="18" spans="1:10" x14ac:dyDescent="0.2">
      <c r="A18" s="38"/>
      <c r="B18" s="35"/>
      <c r="C18" s="35"/>
      <c r="D18" s="35"/>
      <c r="E18" s="35"/>
      <c r="F18" s="35"/>
      <c r="G18" s="35"/>
      <c r="H18" s="35"/>
      <c r="I18" s="35"/>
      <c r="J18" s="36"/>
    </row>
    <row r="19" spans="1:10" x14ac:dyDescent="0.2">
      <c r="A19" s="38"/>
      <c r="B19" s="35" t="s">
        <v>1</v>
      </c>
      <c r="C19" s="35"/>
      <c r="D19" s="35"/>
      <c r="E19" s="35"/>
      <c r="F19" s="35"/>
      <c r="G19" s="35"/>
      <c r="H19" s="35"/>
      <c r="I19" s="35"/>
      <c r="J19" s="36"/>
    </row>
    <row r="20" spans="1:10" x14ac:dyDescent="0.2">
      <c r="A20" s="38"/>
      <c r="B20" s="35" t="s">
        <v>10</v>
      </c>
      <c r="C20" s="35"/>
      <c r="D20" s="35"/>
      <c r="E20" s="35"/>
      <c r="F20" s="35"/>
      <c r="G20" s="35"/>
      <c r="H20" s="35"/>
      <c r="I20" s="35"/>
      <c r="J20" s="36"/>
    </row>
    <row r="21" spans="1:10" x14ac:dyDescent="0.2">
      <c r="A21" s="38"/>
      <c r="B21" s="35" t="s">
        <v>138</v>
      </c>
      <c r="C21" s="35"/>
      <c r="D21" s="35"/>
      <c r="E21" s="35"/>
      <c r="F21" s="35"/>
      <c r="G21" s="35"/>
      <c r="H21" s="35"/>
      <c r="I21" s="35"/>
      <c r="J21" s="36"/>
    </row>
    <row r="22" spans="1:10" ht="17" thickBot="1" x14ac:dyDescent="0.25">
      <c r="A22" s="40"/>
      <c r="B22" s="41"/>
      <c r="C22" s="42"/>
      <c r="D22" s="42"/>
      <c r="E22" s="42"/>
      <c r="F22" s="41"/>
      <c r="G22" s="41"/>
      <c r="H22" s="41"/>
      <c r="I22" s="41"/>
      <c r="J22" s="43"/>
    </row>
    <row r="24" spans="1:10" ht="19" x14ac:dyDescent="0.25">
      <c r="A24" s="2" t="s">
        <v>2</v>
      </c>
    </row>
    <row r="25" spans="1:10" x14ac:dyDescent="0.2">
      <c r="A25" s="3" t="s">
        <v>75</v>
      </c>
      <c r="C25" s="44"/>
    </row>
    <row r="26" spans="1:10" x14ac:dyDescent="0.2">
      <c r="A26" s="9" t="s">
        <v>77</v>
      </c>
      <c r="B26" s="5" t="s">
        <v>92</v>
      </c>
      <c r="C26" s="44"/>
    </row>
    <row r="27" spans="1:10" x14ac:dyDescent="0.2">
      <c r="A27" s="3"/>
      <c r="B27" s="5"/>
      <c r="C27" s="44"/>
    </row>
    <row r="28" spans="1:10" x14ac:dyDescent="0.2">
      <c r="A28" s="3"/>
      <c r="B28" s="5"/>
      <c r="C28" s="44"/>
    </row>
    <row r="29" spans="1:10" x14ac:dyDescent="0.2">
      <c r="A29" s="3"/>
      <c r="B29" s="5"/>
      <c r="C29" s="44"/>
    </row>
    <row r="30" spans="1:10" x14ac:dyDescent="0.2">
      <c r="A30" s="3"/>
      <c r="B30" s="5"/>
      <c r="C30" s="44"/>
      <c r="G30" s="45" t="s">
        <v>94</v>
      </c>
    </row>
    <row r="31" spans="1:10" x14ac:dyDescent="0.2">
      <c r="C31" s="46" t="s">
        <v>97</v>
      </c>
      <c r="D31" s="47" t="s">
        <v>5</v>
      </c>
      <c r="E31" s="47" t="s">
        <v>6</v>
      </c>
      <c r="F31" s="46" t="s">
        <v>7</v>
      </c>
      <c r="G31" s="47" t="s">
        <v>95</v>
      </c>
    </row>
    <row r="32" spans="1:10" x14ac:dyDescent="0.2">
      <c r="C32" s="48">
        <f>B8</f>
        <v>2020</v>
      </c>
      <c r="D32" s="49">
        <f t="shared" ref="D32:F34" si="1">C8/$F8</f>
        <v>6.3106796116504854E-2</v>
      </c>
      <c r="E32" s="49">
        <f t="shared" si="1"/>
        <v>0.20145631067961164</v>
      </c>
      <c r="F32" s="50">
        <f t="shared" si="1"/>
        <v>0.30097087378640774</v>
      </c>
      <c r="G32" s="49">
        <f>F32*$F$14</f>
        <v>0.37621359223300965</v>
      </c>
      <c r="H32" s="51"/>
    </row>
    <row r="33" spans="1:13" x14ac:dyDescent="0.2">
      <c r="C33" s="48">
        <f t="shared" ref="C33:C36" si="2">B9</f>
        <v>2021</v>
      </c>
      <c r="D33" s="49">
        <f t="shared" si="1"/>
        <v>0.15700934579439252</v>
      </c>
      <c r="E33" s="49">
        <f t="shared" si="1"/>
        <v>0.66168224299065426</v>
      </c>
      <c r="F33" s="50">
        <f t="shared" si="1"/>
        <v>0.74018691588785046</v>
      </c>
      <c r="G33" s="49">
        <f>F33*$F$14</f>
        <v>0.92523364485981308</v>
      </c>
      <c r="H33" s="51"/>
    </row>
    <row r="34" spans="1:13" x14ac:dyDescent="0.2">
      <c r="C34" s="48">
        <f t="shared" si="2"/>
        <v>2022</v>
      </c>
      <c r="D34" s="49">
        <f t="shared" si="1"/>
        <v>1.9877675840978593E-2</v>
      </c>
      <c r="E34" s="49">
        <f t="shared" si="1"/>
        <v>0.28440366972477066</v>
      </c>
      <c r="F34" s="50">
        <f t="shared" si="1"/>
        <v>0.43425076452599387</v>
      </c>
      <c r="G34" s="49">
        <f>F34*$F$14</f>
        <v>0.54281345565749239</v>
      </c>
      <c r="H34" s="51"/>
    </row>
    <row r="35" spans="1:13" x14ac:dyDescent="0.2">
      <c r="C35" s="48">
        <f t="shared" si="2"/>
        <v>2023</v>
      </c>
      <c r="D35" s="49">
        <f>C11/$F11</f>
        <v>0.27763496143958871</v>
      </c>
      <c r="E35" s="49">
        <f>D11/$F11</f>
        <v>0.41645244215938304</v>
      </c>
      <c r="F35" s="50"/>
      <c r="G35" s="30">
        <f>D55+D54*E35</f>
        <v>0.65336810989598848</v>
      </c>
      <c r="H35" s="51" t="s">
        <v>141</v>
      </c>
    </row>
    <row r="36" spans="1:13" x14ac:dyDescent="0.2">
      <c r="C36" s="48">
        <f t="shared" si="2"/>
        <v>2024</v>
      </c>
      <c r="D36" s="49">
        <f>C12/$F12</f>
        <v>0.45068664169787764</v>
      </c>
      <c r="E36" s="49"/>
      <c r="F36" s="50"/>
      <c r="G36" s="30">
        <f>D74+D73*D36</f>
        <v>0.93634792417845625</v>
      </c>
      <c r="H36" s="51"/>
      <c r="I36" s="51"/>
      <c r="J36" s="51"/>
      <c r="K36" s="51"/>
      <c r="L36" s="52"/>
      <c r="M36" s="51"/>
    </row>
    <row r="37" spans="1:13" x14ac:dyDescent="0.2">
      <c r="H37" s="51"/>
      <c r="I37" s="51"/>
      <c r="J37" s="51"/>
      <c r="K37" s="52"/>
    </row>
    <row r="38" spans="1:13" x14ac:dyDescent="0.2">
      <c r="B38" s="5" t="s">
        <v>93</v>
      </c>
      <c r="H38" s="51"/>
      <c r="I38" s="51"/>
      <c r="J38" s="51"/>
      <c r="K38" s="52"/>
    </row>
    <row r="39" spans="1:13" x14ac:dyDescent="0.2">
      <c r="B39" s="105" t="s">
        <v>142</v>
      </c>
      <c r="C39" s="105"/>
      <c r="D39" s="105"/>
      <c r="E39" s="105"/>
      <c r="F39" s="105"/>
      <c r="G39" s="105"/>
      <c r="H39" s="105"/>
      <c r="I39" s="105"/>
      <c r="J39" s="51"/>
      <c r="K39" s="52"/>
    </row>
    <row r="40" spans="1:13" x14ac:dyDescent="0.2">
      <c r="B40" s="105"/>
      <c r="C40" s="105"/>
      <c r="D40" s="105"/>
      <c r="E40" s="105"/>
      <c r="F40" s="105"/>
      <c r="G40" s="105"/>
      <c r="H40" s="105"/>
      <c r="I40" s="105"/>
      <c r="J40" s="51"/>
      <c r="K40" s="52"/>
    </row>
    <row r="41" spans="1:13" x14ac:dyDescent="0.2">
      <c r="B41" s="105"/>
      <c r="C41" s="105"/>
      <c r="D41" s="105"/>
      <c r="E41" s="105"/>
      <c r="F41" s="105"/>
      <c r="G41" s="105"/>
      <c r="H41" s="105"/>
      <c r="I41" s="105"/>
      <c r="J41" s="51"/>
      <c r="K41" s="52"/>
    </row>
    <row r="42" spans="1:13" x14ac:dyDescent="0.2">
      <c r="H42" s="51"/>
      <c r="I42" s="51"/>
      <c r="J42" s="51"/>
      <c r="K42" s="51"/>
    </row>
    <row r="43" spans="1:13" x14ac:dyDescent="0.2">
      <c r="A43" s="9" t="s">
        <v>78</v>
      </c>
      <c r="B43" s="116" t="s">
        <v>107</v>
      </c>
      <c r="C43" s="116"/>
      <c r="D43" s="116"/>
      <c r="E43" s="116"/>
      <c r="F43" s="116"/>
      <c r="G43" s="116"/>
      <c r="H43" s="116"/>
      <c r="I43" s="116"/>
    </row>
    <row r="44" spans="1:13" x14ac:dyDescent="0.2">
      <c r="B44" s="116"/>
      <c r="C44" s="116"/>
      <c r="D44" s="116"/>
      <c r="E44" s="116"/>
      <c r="F44" s="116"/>
      <c r="G44" s="116"/>
      <c r="H44" s="116"/>
      <c r="I44" s="116"/>
    </row>
    <row r="45" spans="1:13" x14ac:dyDescent="0.2">
      <c r="B45" s="116"/>
      <c r="C45" s="116"/>
      <c r="D45" s="116"/>
      <c r="E45" s="116"/>
      <c r="F45" s="116"/>
      <c r="G45" s="116"/>
      <c r="H45" s="116"/>
      <c r="I45" s="116"/>
    </row>
    <row r="46" spans="1:13" x14ac:dyDescent="0.2">
      <c r="B46" s="29"/>
      <c r="C46" s="29"/>
      <c r="D46" s="29"/>
      <c r="E46" s="29"/>
      <c r="F46" s="29"/>
      <c r="G46" s="29"/>
      <c r="H46" s="29"/>
      <c r="I46" s="29"/>
    </row>
    <row r="47" spans="1:13" x14ac:dyDescent="0.2">
      <c r="B47" s="29"/>
      <c r="F47" s="6" t="s">
        <v>96</v>
      </c>
    </row>
    <row r="48" spans="1:13" x14ac:dyDescent="0.2">
      <c r="F48" s="95" t="s">
        <v>159</v>
      </c>
    </row>
    <row r="49" spans="1:9" x14ac:dyDescent="0.2">
      <c r="F49" s="95" t="s">
        <v>160</v>
      </c>
    </row>
    <row r="50" spans="1:9" x14ac:dyDescent="0.2">
      <c r="G50" s="32"/>
    </row>
    <row r="51" spans="1:9" x14ac:dyDescent="0.2">
      <c r="B51" s="37" t="s">
        <v>139</v>
      </c>
    </row>
    <row r="53" spans="1:9" x14ac:dyDescent="0.2">
      <c r="C53" s="46"/>
      <c r="D53" s="54" t="s">
        <v>101</v>
      </c>
    </row>
    <row r="54" spans="1:9" x14ac:dyDescent="0.2">
      <c r="C54" s="48" t="s">
        <v>11</v>
      </c>
      <c r="D54" s="55">
        <f>SLOPE(G32:G34,E32:E34)</f>
        <v>1.1377844094808429</v>
      </c>
    </row>
    <row r="55" spans="1:9" x14ac:dyDescent="0.2">
      <c r="C55" s="48" t="s">
        <v>12</v>
      </c>
      <c r="D55" s="56">
        <f>INTERCEPT(G32:G34,E32:E34)</f>
        <v>0.17953501391682003</v>
      </c>
    </row>
    <row r="57" spans="1:9" x14ac:dyDescent="0.2">
      <c r="A57" s="9" t="s">
        <v>79</v>
      </c>
      <c r="B57" s="116" t="s">
        <v>102</v>
      </c>
      <c r="C57" s="116"/>
      <c r="D57" s="116"/>
      <c r="E57" s="116"/>
      <c r="F57" s="116"/>
      <c r="G57" s="116"/>
      <c r="H57" s="116"/>
      <c r="I57" s="116"/>
    </row>
    <row r="58" spans="1:9" x14ac:dyDescent="0.2">
      <c r="A58" s="9"/>
      <c r="B58" s="116"/>
      <c r="C58" s="116"/>
      <c r="D58" s="116"/>
      <c r="E58" s="116"/>
      <c r="F58" s="116"/>
      <c r="G58" s="116"/>
      <c r="H58" s="116"/>
      <c r="I58" s="116"/>
    </row>
    <row r="59" spans="1:9" x14ac:dyDescent="0.2">
      <c r="B59" s="5"/>
    </row>
    <row r="60" spans="1:9" x14ac:dyDescent="0.2">
      <c r="B60" s="5"/>
    </row>
    <row r="61" spans="1:9" x14ac:dyDescent="0.2">
      <c r="B61" s="5"/>
    </row>
    <row r="62" spans="1:9" x14ac:dyDescent="0.2">
      <c r="C62" s="46" t="s">
        <v>97</v>
      </c>
      <c r="D62" s="47" t="s">
        <v>106</v>
      </c>
    </row>
    <row r="63" spans="1:9" x14ac:dyDescent="0.2">
      <c r="C63" s="48">
        <v>2023</v>
      </c>
      <c r="D63" s="49">
        <f>D55+D54*E35</f>
        <v>0.65336810989598848</v>
      </c>
    </row>
    <row r="65" spans="1:14" x14ac:dyDescent="0.2">
      <c r="B65" s="105" t="s">
        <v>108</v>
      </c>
      <c r="C65" s="105"/>
      <c r="D65" s="105"/>
      <c r="E65" s="105"/>
      <c r="F65" s="105"/>
      <c r="G65" s="105"/>
      <c r="H65" s="105"/>
      <c r="I65" s="105"/>
    </row>
    <row r="66" spans="1:14" x14ac:dyDescent="0.2">
      <c r="B66" s="105"/>
      <c r="C66" s="105"/>
      <c r="D66" s="105"/>
      <c r="E66" s="105"/>
      <c r="F66" s="105"/>
      <c r="G66" s="105"/>
      <c r="H66" s="105"/>
      <c r="I66" s="105"/>
    </row>
    <row r="67" spans="1:14" x14ac:dyDescent="0.2">
      <c r="L67" s="4"/>
      <c r="M67" s="4"/>
      <c r="N67" s="4"/>
    </row>
    <row r="68" spans="1:14" x14ac:dyDescent="0.2">
      <c r="A68" s="9" t="s">
        <v>80</v>
      </c>
      <c r="B68" s="116" t="s">
        <v>103</v>
      </c>
      <c r="C68" s="116"/>
      <c r="D68" s="116"/>
      <c r="E68" s="116"/>
      <c r="F68" s="116"/>
      <c r="G68" s="116"/>
      <c r="H68" s="116"/>
      <c r="I68" s="116"/>
    </row>
    <row r="69" spans="1:14" x14ac:dyDescent="0.2">
      <c r="B69" s="29"/>
      <c r="C69" s="29"/>
      <c r="D69" s="29"/>
      <c r="E69" s="29"/>
      <c r="F69" s="29"/>
      <c r="G69" s="29"/>
      <c r="H69" s="29"/>
      <c r="I69" s="29"/>
    </row>
    <row r="70" spans="1:14" x14ac:dyDescent="0.2">
      <c r="B70" s="105" t="s">
        <v>140</v>
      </c>
      <c r="C70" s="105"/>
      <c r="D70" s="105"/>
      <c r="E70" s="105"/>
      <c r="F70" s="105"/>
      <c r="G70" s="105"/>
      <c r="H70" s="105"/>
      <c r="I70" s="105"/>
    </row>
    <row r="71" spans="1:14" x14ac:dyDescent="0.2">
      <c r="B71" s="29"/>
      <c r="C71" s="29"/>
      <c r="D71" s="29"/>
      <c r="E71" s="29"/>
      <c r="F71" s="29"/>
      <c r="G71" s="29"/>
      <c r="H71" s="29"/>
      <c r="I71" s="29"/>
    </row>
    <row r="72" spans="1:14" x14ac:dyDescent="0.2">
      <c r="B72" s="29"/>
      <c r="C72" s="46"/>
      <c r="D72" s="54" t="s">
        <v>105</v>
      </c>
      <c r="E72" s="29"/>
      <c r="F72" s="29"/>
      <c r="G72" s="29"/>
      <c r="H72" s="29"/>
      <c r="I72" s="29"/>
    </row>
    <row r="73" spans="1:14" x14ac:dyDescent="0.2">
      <c r="B73" s="31"/>
      <c r="C73" s="48" t="s">
        <v>11</v>
      </c>
      <c r="D73" s="56">
        <f>SLOPE(G32:G35,D32:D35)</f>
        <v>0.97093270835330625</v>
      </c>
      <c r="G73" s="29"/>
    </row>
    <row r="74" spans="1:14" x14ac:dyDescent="0.2">
      <c r="C74" s="48" t="s">
        <v>12</v>
      </c>
      <c r="D74" s="56">
        <f>INTERCEPT(G32:G35,D32:D35)</f>
        <v>0.49876152253607986</v>
      </c>
      <c r="G74" s="29"/>
    </row>
    <row r="75" spans="1:14" x14ac:dyDescent="0.2">
      <c r="G75" s="29"/>
    </row>
    <row r="76" spans="1:14" x14ac:dyDescent="0.2">
      <c r="C76" s="46" t="s">
        <v>97</v>
      </c>
      <c r="D76" s="47" t="s">
        <v>106</v>
      </c>
      <c r="G76" s="29"/>
    </row>
    <row r="77" spans="1:14" x14ac:dyDescent="0.2">
      <c r="C77" s="48">
        <v>2023</v>
      </c>
      <c r="D77" s="49">
        <f>D55+D54*E35</f>
        <v>0.65336810989598848</v>
      </c>
      <c r="G77" s="29"/>
    </row>
    <row r="78" spans="1:14" x14ac:dyDescent="0.2">
      <c r="C78" s="48">
        <v>2024</v>
      </c>
      <c r="D78" s="49">
        <f>D74+D73*D36</f>
        <v>0.93634792417845625</v>
      </c>
      <c r="G78" s="29"/>
    </row>
    <row r="80" spans="1:14" x14ac:dyDescent="0.2">
      <c r="A80" s="9" t="s">
        <v>98</v>
      </c>
      <c r="B80" s="5" t="s">
        <v>16</v>
      </c>
    </row>
    <row r="81" spans="1:14" x14ac:dyDescent="0.2">
      <c r="B81" s="5"/>
    </row>
    <row r="83" spans="1:14" ht="17" thickBot="1" x14ac:dyDescent="0.25"/>
    <row r="84" spans="1:14" x14ac:dyDescent="0.2">
      <c r="C84" s="46" t="s">
        <v>97</v>
      </c>
      <c r="D84" s="47" t="s">
        <v>18</v>
      </c>
      <c r="E84" s="57" t="s">
        <v>17</v>
      </c>
    </row>
    <row r="85" spans="1:14" x14ac:dyDescent="0.2">
      <c r="C85" s="48">
        <v>2023</v>
      </c>
      <c r="D85" s="58">
        <f>G35*F11</f>
        <v>5083.2038949907901</v>
      </c>
      <c r="E85" s="33">
        <f>D77*F11-D11</f>
        <v>1843.2038949907901</v>
      </c>
      <c r="L85" s="4"/>
      <c r="M85" s="4"/>
      <c r="N85" s="4"/>
    </row>
    <row r="86" spans="1:14" ht="17" thickBot="1" x14ac:dyDescent="0.25">
      <c r="C86" s="48">
        <v>2024</v>
      </c>
      <c r="D86" s="58">
        <f>G36*F12</f>
        <v>7500.1468726694347</v>
      </c>
      <c r="E86" s="34">
        <f>D78*F12-C12</f>
        <v>3890.1468726694347</v>
      </c>
      <c r="L86" s="4"/>
      <c r="M86" s="4"/>
      <c r="N86" s="4"/>
    </row>
    <row r="87" spans="1:14" x14ac:dyDescent="0.2">
      <c r="L87" s="4"/>
      <c r="M87" s="4"/>
      <c r="N87" s="4"/>
    </row>
    <row r="88" spans="1:14" x14ac:dyDescent="0.2">
      <c r="L88" s="4"/>
      <c r="M88" s="4"/>
      <c r="N88" s="4"/>
    </row>
    <row r="89" spans="1:14" x14ac:dyDescent="0.2">
      <c r="A89" s="3" t="s">
        <v>76</v>
      </c>
      <c r="L89" s="4"/>
      <c r="M89" s="4"/>
      <c r="N89" s="4"/>
    </row>
    <row r="90" spans="1:14" x14ac:dyDescent="0.2">
      <c r="A90" s="9" t="s">
        <v>99</v>
      </c>
      <c r="B90" s="116" t="s">
        <v>104</v>
      </c>
      <c r="C90" s="116"/>
      <c r="D90" s="116"/>
      <c r="E90" s="116"/>
      <c r="F90" s="116"/>
      <c r="G90" s="116"/>
      <c r="H90" s="116"/>
      <c r="I90" s="116"/>
      <c r="L90" s="4"/>
      <c r="M90" s="4"/>
      <c r="N90" s="4"/>
    </row>
    <row r="91" spans="1:14" x14ac:dyDescent="0.2">
      <c r="A91" s="3"/>
      <c r="B91" s="116"/>
      <c r="C91" s="116"/>
      <c r="D91" s="116"/>
      <c r="E91" s="116"/>
      <c r="F91" s="116"/>
      <c r="G91" s="116"/>
      <c r="H91" s="116"/>
      <c r="I91" s="116"/>
      <c r="L91" s="4"/>
      <c r="M91" s="4"/>
      <c r="N91" s="4"/>
    </row>
    <row r="92" spans="1:14" x14ac:dyDescent="0.2">
      <c r="A92" s="3"/>
      <c r="L92" s="4"/>
      <c r="M92" s="4"/>
      <c r="N92" s="4"/>
    </row>
    <row r="93" spans="1:14" x14ac:dyDescent="0.2">
      <c r="A93" s="3"/>
      <c r="B93" s="31"/>
      <c r="L93" s="4"/>
      <c r="M93" s="4"/>
      <c r="N93" s="4"/>
    </row>
    <row r="94" spans="1:14" x14ac:dyDescent="0.2">
      <c r="A94" s="3"/>
      <c r="B94" s="31"/>
      <c r="L94" s="4"/>
      <c r="M94" s="4"/>
      <c r="N94" s="4"/>
    </row>
    <row r="95" spans="1:14" x14ac:dyDescent="0.2">
      <c r="A95" s="3"/>
      <c r="L95" s="4"/>
      <c r="M95" s="4"/>
      <c r="N95" s="4"/>
    </row>
    <row r="96" spans="1:14" x14ac:dyDescent="0.2">
      <c r="C96" s="46" t="s">
        <v>97</v>
      </c>
      <c r="D96" s="47" t="s">
        <v>13</v>
      </c>
      <c r="L96" s="4"/>
      <c r="M96" s="4"/>
      <c r="N96" s="4"/>
    </row>
    <row r="97" spans="1:14" x14ac:dyDescent="0.2">
      <c r="C97" s="48">
        <v>2023</v>
      </c>
      <c r="D97" s="55">
        <f>AVERAGE(G32:G34)/AVERAGE(E32:E34)</f>
        <v>1.6071397244922432</v>
      </c>
      <c r="L97" s="4"/>
      <c r="M97" s="4"/>
      <c r="N97" s="4"/>
    </row>
    <row r="98" spans="1:14" x14ac:dyDescent="0.2">
      <c r="C98" s="48">
        <v>2024</v>
      </c>
      <c r="D98" s="55">
        <f>AVERAGE(G32:G35)/AVERAGE(D32:D35)</f>
        <v>4.825135122022381</v>
      </c>
      <c r="L98" s="4"/>
      <c r="M98" s="4"/>
      <c r="N98" s="4"/>
    </row>
    <row r="99" spans="1:14" x14ac:dyDescent="0.2">
      <c r="L99" s="4"/>
      <c r="M99" s="4"/>
      <c r="N99" s="4"/>
    </row>
    <row r="100" spans="1:14" x14ac:dyDescent="0.2">
      <c r="A100" s="9" t="s">
        <v>100</v>
      </c>
      <c r="B100" s="5" t="s">
        <v>109</v>
      </c>
    </row>
    <row r="101" spans="1:14" x14ac:dyDescent="0.2">
      <c r="B101" s="5"/>
    </row>
    <row r="102" spans="1:14" x14ac:dyDescent="0.2">
      <c r="B102" s="31"/>
    </row>
    <row r="103" spans="1:14" ht="17" thickBot="1" x14ac:dyDescent="0.25"/>
    <row r="104" spans="1:14" x14ac:dyDescent="0.2">
      <c r="C104" s="46" t="s">
        <v>97</v>
      </c>
      <c r="D104" s="57" t="s">
        <v>14</v>
      </c>
    </row>
    <row r="105" spans="1:14" x14ac:dyDescent="0.2">
      <c r="C105" s="48">
        <v>2023</v>
      </c>
      <c r="D105" s="59">
        <f>D54/D97</f>
        <v>0.70795612362846205</v>
      </c>
      <c r="L105" s="4"/>
      <c r="M105" s="4"/>
      <c r="N105" s="4"/>
    </row>
    <row r="106" spans="1:14" ht="17" thickBot="1" x14ac:dyDescent="0.25">
      <c r="C106" s="48">
        <v>2024</v>
      </c>
      <c r="D106" s="60">
        <f>D73/D98</f>
        <v>0.2012239416719909</v>
      </c>
      <c r="L106" s="4"/>
      <c r="M106" s="4"/>
      <c r="N106" s="4"/>
    </row>
    <row r="107" spans="1:14" x14ac:dyDescent="0.2">
      <c r="L107" s="4"/>
      <c r="M107" s="4"/>
      <c r="N107" s="4"/>
    </row>
    <row r="108" spans="1:14" ht="19" x14ac:dyDescent="0.25">
      <c r="A108" s="2" t="s">
        <v>19</v>
      </c>
      <c r="L108" s="4"/>
      <c r="M108" s="4"/>
      <c r="N108" s="4"/>
    </row>
    <row r="109" spans="1:14" x14ac:dyDescent="0.2">
      <c r="B109" s="105" t="s">
        <v>143</v>
      </c>
      <c r="C109" s="105"/>
      <c r="D109" s="105"/>
      <c r="E109" s="105"/>
      <c r="F109" s="105"/>
      <c r="G109" s="105"/>
      <c r="H109" s="105"/>
      <c r="I109" s="105"/>
    </row>
    <row r="110" spans="1:14" x14ac:dyDescent="0.2">
      <c r="B110" s="105"/>
      <c r="C110" s="105"/>
      <c r="D110" s="105"/>
      <c r="E110" s="105"/>
      <c r="F110" s="105"/>
      <c r="G110" s="105"/>
      <c r="H110" s="105"/>
      <c r="I110" s="105"/>
    </row>
    <row r="111" spans="1:14" x14ac:dyDescent="0.2">
      <c r="B111" s="105"/>
      <c r="C111" s="105"/>
      <c r="D111" s="105"/>
      <c r="E111" s="105"/>
      <c r="F111" s="105"/>
      <c r="G111" s="105"/>
      <c r="H111" s="105"/>
      <c r="I111" s="105"/>
    </row>
    <row r="112" spans="1:14" x14ac:dyDescent="0.2">
      <c r="B112" s="105"/>
      <c r="C112" s="105"/>
      <c r="D112" s="105"/>
      <c r="E112" s="105"/>
      <c r="F112" s="105"/>
      <c r="G112" s="105"/>
      <c r="H112" s="105"/>
      <c r="I112" s="105"/>
    </row>
    <row r="113" spans="2:9" x14ac:dyDescent="0.2">
      <c r="B113" s="105"/>
      <c r="C113" s="105"/>
      <c r="D113" s="105"/>
      <c r="E113" s="105"/>
      <c r="F113" s="105"/>
      <c r="G113" s="105"/>
      <c r="H113" s="105"/>
      <c r="I113" s="105"/>
    </row>
    <row r="114" spans="2:9" x14ac:dyDescent="0.2">
      <c r="B114" s="105"/>
      <c r="C114" s="105"/>
      <c r="D114" s="105"/>
      <c r="E114" s="105"/>
      <c r="F114" s="105"/>
      <c r="G114" s="105"/>
      <c r="H114" s="105"/>
      <c r="I114" s="105"/>
    </row>
    <row r="115" spans="2:9" x14ac:dyDescent="0.2">
      <c r="B115" s="105"/>
      <c r="C115" s="105"/>
      <c r="D115" s="105"/>
      <c r="E115" s="105"/>
      <c r="F115" s="105"/>
      <c r="G115" s="105"/>
      <c r="H115" s="105"/>
      <c r="I115" s="105"/>
    </row>
    <row r="120" spans="2:9" x14ac:dyDescent="0.2">
      <c r="B120" s="5" t="s">
        <v>144</v>
      </c>
    </row>
    <row r="122" spans="2:9" x14ac:dyDescent="0.2">
      <c r="C122" s="48"/>
      <c r="D122" s="45"/>
      <c r="E122" s="108" t="s">
        <v>112</v>
      </c>
      <c r="F122" s="106" t="s">
        <v>113</v>
      </c>
    </row>
    <row r="123" spans="2:9" x14ac:dyDescent="0.2">
      <c r="C123" s="46" t="s">
        <v>91</v>
      </c>
      <c r="D123" s="47" t="s">
        <v>111</v>
      </c>
      <c r="E123" s="109"/>
      <c r="F123" s="107"/>
    </row>
    <row r="124" spans="2:9" x14ac:dyDescent="0.2">
      <c r="C124" s="48">
        <v>2023</v>
      </c>
      <c r="D124" s="63">
        <f>D97*E35</f>
        <v>0.66929726315615268</v>
      </c>
      <c r="E124" s="64">
        <f>AVERAGE(G32:G34)</f>
        <v>0.61475356425010508</v>
      </c>
      <c r="F124" s="63">
        <f>D105*D124+(1-D105)*E124</f>
        <v>0.65336810989598848</v>
      </c>
      <c r="G124" s="37" t="s">
        <v>114</v>
      </c>
    </row>
    <row r="126" spans="2:9" ht="19" x14ac:dyDescent="0.25">
      <c r="B126" s="7" t="s">
        <v>110</v>
      </c>
    </row>
    <row r="127" spans="2:9" x14ac:dyDescent="0.2">
      <c r="B127" s="105" t="s">
        <v>145</v>
      </c>
      <c r="C127" s="105"/>
      <c r="D127" s="105"/>
      <c r="E127" s="105"/>
      <c r="F127" s="105"/>
      <c r="G127" s="105"/>
      <c r="H127" s="105"/>
      <c r="I127" s="105"/>
    </row>
    <row r="128" spans="2:9" x14ac:dyDescent="0.2">
      <c r="B128" s="105"/>
      <c r="C128" s="105"/>
      <c r="D128" s="105"/>
      <c r="E128" s="105"/>
      <c r="F128" s="105"/>
      <c r="G128" s="105"/>
      <c r="H128" s="105"/>
      <c r="I128" s="105"/>
    </row>
    <row r="129" spans="2:13" x14ac:dyDescent="0.2">
      <c r="B129" s="105"/>
      <c r="C129" s="105"/>
      <c r="D129" s="105"/>
      <c r="E129" s="105"/>
      <c r="F129" s="105"/>
      <c r="G129" s="105"/>
      <c r="H129" s="105"/>
      <c r="I129" s="105"/>
    </row>
    <row r="131" spans="2:13" ht="19" x14ac:dyDescent="0.25">
      <c r="B131" s="7" t="s">
        <v>34</v>
      </c>
    </row>
    <row r="132" spans="2:13" x14ac:dyDescent="0.2">
      <c r="B132" s="105" t="s">
        <v>115</v>
      </c>
      <c r="C132" s="105"/>
      <c r="D132" s="105"/>
      <c r="E132" s="105"/>
      <c r="F132" s="105"/>
      <c r="G132" s="105"/>
      <c r="H132" s="105"/>
      <c r="I132" s="105"/>
    </row>
    <row r="133" spans="2:13" x14ac:dyDescent="0.2">
      <c r="B133" s="105"/>
      <c r="C133" s="105"/>
      <c r="D133" s="105"/>
      <c r="E133" s="105"/>
      <c r="F133" s="105"/>
      <c r="G133" s="105"/>
      <c r="H133" s="105"/>
      <c r="I133" s="105"/>
    </row>
    <row r="135" spans="2:13" x14ac:dyDescent="0.2">
      <c r="B135" s="5" t="s">
        <v>35</v>
      </c>
    </row>
    <row r="136" spans="2:13" x14ac:dyDescent="0.2">
      <c r="B136" s="65" t="s">
        <v>63</v>
      </c>
    </row>
    <row r="137" spans="2:13" x14ac:dyDescent="0.2">
      <c r="B137" s="65" t="s">
        <v>61</v>
      </c>
    </row>
    <row r="141" spans="2:13" x14ac:dyDescent="0.2">
      <c r="B141" s="5" t="s">
        <v>36</v>
      </c>
      <c r="M141" s="44"/>
    </row>
    <row r="142" spans="2:13" x14ac:dyDescent="0.2">
      <c r="B142" s="65" t="s">
        <v>37</v>
      </c>
    </row>
    <row r="143" spans="2:13" x14ac:dyDescent="0.2">
      <c r="B143" s="65" t="s">
        <v>62</v>
      </c>
    </row>
    <row r="146" spans="2:9" ht="19" x14ac:dyDescent="0.25">
      <c r="B146" s="7" t="s">
        <v>38</v>
      </c>
    </row>
    <row r="147" spans="2:9" x14ac:dyDescent="0.2">
      <c r="B147" s="37" t="s">
        <v>39</v>
      </c>
    </row>
    <row r="148" spans="2:9" x14ac:dyDescent="0.2">
      <c r="B148" s="65" t="s">
        <v>117</v>
      </c>
    </row>
    <row r="149" spans="2:9" x14ac:dyDescent="0.2">
      <c r="B149" s="65" t="s">
        <v>118</v>
      </c>
    </row>
    <row r="150" spans="2:9" x14ac:dyDescent="0.2">
      <c r="B150" s="65" t="s">
        <v>119</v>
      </c>
    </row>
    <row r="152" spans="2:9" x14ac:dyDescent="0.2">
      <c r="B152" s="105" t="s">
        <v>120</v>
      </c>
      <c r="C152" s="105"/>
      <c r="D152" s="105"/>
      <c r="E152" s="105"/>
      <c r="F152" s="105"/>
      <c r="G152" s="105"/>
      <c r="H152" s="105"/>
      <c r="I152" s="105"/>
    </row>
    <row r="153" spans="2:9" x14ac:dyDescent="0.2">
      <c r="B153" s="105"/>
      <c r="C153" s="105"/>
      <c r="D153" s="105"/>
      <c r="E153" s="105"/>
      <c r="F153" s="105"/>
      <c r="G153" s="105"/>
      <c r="H153" s="105"/>
      <c r="I153" s="105"/>
    </row>
    <row r="154" spans="2:9" x14ac:dyDescent="0.2">
      <c r="B154" s="105"/>
      <c r="C154" s="105"/>
      <c r="D154" s="105"/>
      <c r="E154" s="105"/>
      <c r="F154" s="105"/>
      <c r="G154" s="105"/>
      <c r="H154" s="105"/>
      <c r="I154" s="105"/>
    </row>
    <row r="155" spans="2:9" x14ac:dyDescent="0.2">
      <c r="B155" s="105"/>
      <c r="C155" s="105"/>
      <c r="D155" s="105"/>
      <c r="E155" s="105"/>
      <c r="F155" s="105"/>
      <c r="G155" s="105"/>
      <c r="H155" s="105"/>
      <c r="I155" s="105"/>
    </row>
    <row r="156" spans="2:9" x14ac:dyDescent="0.2">
      <c r="B156" s="105"/>
      <c r="C156" s="105"/>
      <c r="D156" s="105"/>
      <c r="E156" s="105"/>
      <c r="F156" s="105"/>
      <c r="G156" s="105"/>
      <c r="H156" s="105"/>
      <c r="I156" s="105"/>
    </row>
    <row r="157" spans="2:9" x14ac:dyDescent="0.2">
      <c r="B157" s="105"/>
      <c r="C157" s="105"/>
      <c r="D157" s="105"/>
      <c r="E157" s="105"/>
      <c r="F157" s="105"/>
      <c r="G157" s="105"/>
      <c r="H157" s="105"/>
      <c r="I157" s="105"/>
    </row>
    <row r="158" spans="2:9" x14ac:dyDescent="0.2">
      <c r="B158" s="105"/>
      <c r="C158" s="105"/>
      <c r="D158" s="105"/>
      <c r="E158" s="105"/>
      <c r="F158" s="105"/>
      <c r="G158" s="105"/>
      <c r="H158" s="105"/>
      <c r="I158" s="105"/>
    </row>
    <row r="159" spans="2:9" x14ac:dyDescent="0.2">
      <c r="B159" s="105"/>
      <c r="C159" s="105"/>
      <c r="D159" s="105"/>
      <c r="E159" s="105"/>
      <c r="F159" s="105"/>
      <c r="G159" s="105"/>
      <c r="H159" s="105"/>
      <c r="I159" s="105"/>
    </row>
    <row r="160" spans="2:9" x14ac:dyDescent="0.2">
      <c r="B160" s="105"/>
      <c r="C160" s="105"/>
      <c r="D160" s="105"/>
      <c r="E160" s="105"/>
      <c r="F160" s="105"/>
      <c r="G160" s="105"/>
      <c r="H160" s="105"/>
      <c r="I160" s="105"/>
    </row>
    <row r="161" spans="1:65" x14ac:dyDescent="0.2">
      <c r="B161" s="105"/>
      <c r="C161" s="105"/>
      <c r="D161" s="105"/>
      <c r="E161" s="105"/>
      <c r="F161" s="105"/>
      <c r="G161" s="105"/>
      <c r="H161" s="105"/>
      <c r="I161" s="105"/>
    </row>
    <row r="163" spans="1:65" ht="19" x14ac:dyDescent="0.25">
      <c r="A163" s="2" t="s">
        <v>161</v>
      </c>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ht="16" customHeight="1" x14ac:dyDescent="0.2">
      <c r="A164" s="4"/>
      <c r="B164" s="105" t="s">
        <v>116</v>
      </c>
      <c r="C164" s="105"/>
      <c r="D164" s="105"/>
      <c r="E164" s="105"/>
      <c r="F164" s="105"/>
      <c r="G164" s="105"/>
      <c r="H164" s="105"/>
      <c r="I164" s="105"/>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105"/>
      <c r="C165" s="105"/>
      <c r="D165" s="105"/>
      <c r="E165" s="105"/>
      <c r="F165" s="105"/>
      <c r="G165" s="105"/>
      <c r="H165" s="105"/>
      <c r="I165" s="105"/>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105"/>
      <c r="C166" s="105"/>
      <c r="D166" s="105"/>
      <c r="E166" s="105"/>
      <c r="F166" s="105"/>
      <c r="G166" s="105"/>
      <c r="H166" s="105"/>
      <c r="I166" s="105"/>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ht="19" x14ac:dyDescent="0.25">
      <c r="A168" s="2" t="s">
        <v>40</v>
      </c>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37" t="s">
        <v>41</v>
      </c>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ht="19" x14ac:dyDescent="0.25">
      <c r="A171" s="2" t="s">
        <v>42</v>
      </c>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37" t="s">
        <v>43</v>
      </c>
      <c r="D172" s="37" t="s">
        <v>48</v>
      </c>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37" t="s">
        <v>44</v>
      </c>
      <c r="D173" s="37" t="s">
        <v>49</v>
      </c>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37" t="s">
        <v>45</v>
      </c>
      <c r="D174" s="37" t="s">
        <v>50</v>
      </c>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37" t="s">
        <v>46</v>
      </c>
      <c r="D175" s="37" t="s">
        <v>51</v>
      </c>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37" t="s">
        <v>47</v>
      </c>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row r="215" spans="1:6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row>
    <row r="216" spans="1:6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row>
    <row r="217" spans="1:6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row>
    <row r="218" spans="1:6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row>
    <row r="219" spans="1:6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row>
    <row r="220" spans="1:6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row>
    <row r="221" spans="1:6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row>
    <row r="222" spans="1:6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row>
    <row r="223" spans="1:6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row>
    <row r="224" spans="1:6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row>
    <row r="225" spans="1:6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row>
    <row r="226" spans="1:6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row>
    <row r="227" spans="1:6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row>
    <row r="228" spans="1:6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row>
    <row r="229" spans="1:6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row>
    <row r="230" spans="1:6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row>
    <row r="231" spans="1:6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row>
    <row r="232" spans="1:6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row>
    <row r="233" spans="1:6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row>
    <row r="234" spans="1:6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row>
    <row r="235" spans="1:6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row>
    <row r="236" spans="1:6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row>
    <row r="237" spans="1:6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row>
    <row r="238" spans="1:6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row>
    <row r="239" spans="1:6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row>
    <row r="240" spans="1:6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row>
    <row r="241" spans="1:6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row>
    <row r="242" spans="1:6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row>
    <row r="243" spans="1:6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row>
    <row r="244" spans="1:6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row>
    <row r="245" spans="1:6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row>
    <row r="246" spans="1:6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row>
    <row r="247" spans="1:6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row>
    <row r="248" spans="1:6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row>
    <row r="249" spans="1:6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row>
    <row r="250" spans="1:6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row>
    <row r="251" spans="1:65" x14ac:dyDescent="0.2">
      <c r="H251" s="4"/>
      <c r="I251" s="4"/>
      <c r="J251" s="4"/>
      <c r="K251" s="4"/>
    </row>
    <row r="252" spans="1:65" x14ac:dyDescent="0.2">
      <c r="H252" s="4"/>
      <c r="I252" s="4"/>
      <c r="J252" s="4"/>
      <c r="K252" s="4"/>
    </row>
  </sheetData>
  <mergeCells count="17">
    <mergeCell ref="B6:B7"/>
    <mergeCell ref="F5:F7"/>
    <mergeCell ref="B5:E5"/>
    <mergeCell ref="B39:I41"/>
    <mergeCell ref="B90:I91"/>
    <mergeCell ref="B43:I45"/>
    <mergeCell ref="B68:I68"/>
    <mergeCell ref="B57:I58"/>
    <mergeCell ref="B70:I70"/>
    <mergeCell ref="B65:I66"/>
    <mergeCell ref="B164:I166"/>
    <mergeCell ref="B127:I129"/>
    <mergeCell ref="B109:I115"/>
    <mergeCell ref="F122:F123"/>
    <mergeCell ref="E122:E123"/>
    <mergeCell ref="B132:I133"/>
    <mergeCell ref="B152:I161"/>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200"/>
  <sheetViews>
    <sheetView showGridLines="0" zoomScale="120" zoomScaleNormal="120" workbookViewId="0"/>
  </sheetViews>
  <sheetFormatPr baseColWidth="10" defaultColWidth="10.83203125" defaultRowHeight="16" x14ac:dyDescent="0.2"/>
  <cols>
    <col min="1" max="1" width="10.83203125" style="37"/>
    <col min="2" max="4" width="10.83203125" style="37" customWidth="1"/>
    <col min="5" max="7" width="11.6640625" style="37" customWidth="1"/>
    <col min="8" max="10" width="10.83203125" style="37" customWidth="1"/>
    <col min="11" max="16384" width="10.83203125" style="37"/>
  </cols>
  <sheetData>
    <row r="1" spans="1:10" ht="19" x14ac:dyDescent="0.25">
      <c r="A1" s="1" t="s">
        <v>82</v>
      </c>
      <c r="B1" s="35"/>
      <c r="C1" s="35"/>
      <c r="D1" s="35"/>
      <c r="E1" s="35"/>
      <c r="F1" s="35"/>
      <c r="G1" s="35"/>
      <c r="H1" s="35"/>
      <c r="I1" s="35"/>
      <c r="J1" s="36"/>
    </row>
    <row r="2" spans="1:10" x14ac:dyDescent="0.2">
      <c r="A2" s="38"/>
      <c r="B2" s="35"/>
      <c r="C2" s="35"/>
      <c r="D2" s="35"/>
      <c r="E2" s="35"/>
      <c r="F2" s="35"/>
      <c r="G2" s="35"/>
      <c r="H2" s="35"/>
      <c r="I2" s="35"/>
      <c r="J2" s="36"/>
    </row>
    <row r="3" spans="1:10" x14ac:dyDescent="0.2">
      <c r="A3" s="38"/>
      <c r="B3" s="117" t="s">
        <v>148</v>
      </c>
      <c r="C3" s="117"/>
      <c r="D3" s="117"/>
      <c r="E3" s="117"/>
      <c r="F3" s="117"/>
      <c r="G3" s="117"/>
      <c r="H3" s="117"/>
      <c r="I3" s="117"/>
      <c r="J3" s="36"/>
    </row>
    <row r="4" spans="1:10" x14ac:dyDescent="0.2">
      <c r="A4" s="38"/>
      <c r="B4" s="117"/>
      <c r="C4" s="117"/>
      <c r="D4" s="117"/>
      <c r="E4" s="117"/>
      <c r="F4" s="117"/>
      <c r="G4" s="117"/>
      <c r="H4" s="117"/>
      <c r="I4" s="117"/>
      <c r="J4" s="36"/>
    </row>
    <row r="5" spans="1:10" x14ac:dyDescent="0.2">
      <c r="A5" s="38"/>
      <c r="B5" s="91"/>
      <c r="C5" s="91"/>
      <c r="D5" s="91"/>
      <c r="E5" s="91"/>
      <c r="F5" s="91"/>
      <c r="G5" s="91"/>
      <c r="H5" s="91"/>
      <c r="I5" s="91"/>
      <c r="J5" s="36"/>
    </row>
    <row r="6" spans="1:10" x14ac:dyDescent="0.2">
      <c r="A6" s="38"/>
      <c r="B6" s="66" t="s">
        <v>147</v>
      </c>
      <c r="C6" s="35"/>
      <c r="D6" s="35"/>
      <c r="E6" s="35"/>
      <c r="F6" s="92">
        <v>35000000</v>
      </c>
      <c r="G6" s="35"/>
      <c r="H6" s="35"/>
      <c r="I6" s="35"/>
      <c r="J6" s="36"/>
    </row>
    <row r="7" spans="1:10" x14ac:dyDescent="0.2">
      <c r="A7" s="38"/>
      <c r="B7" s="66" t="s">
        <v>85</v>
      </c>
      <c r="C7" s="35"/>
      <c r="D7" s="35"/>
      <c r="E7" s="35"/>
      <c r="F7" s="68">
        <v>0.7</v>
      </c>
      <c r="G7" s="35"/>
      <c r="H7" s="35"/>
      <c r="I7" s="35"/>
      <c r="J7" s="36"/>
    </row>
    <row r="8" spans="1:10" x14ac:dyDescent="0.2">
      <c r="A8" s="38"/>
      <c r="B8" s="35"/>
      <c r="C8" s="35"/>
      <c r="D8" s="35"/>
      <c r="E8" s="35"/>
      <c r="F8" s="35"/>
      <c r="G8" s="35"/>
      <c r="H8" s="35"/>
      <c r="I8" s="35"/>
      <c r="J8" s="36"/>
    </row>
    <row r="9" spans="1:10" x14ac:dyDescent="0.2">
      <c r="A9" s="38"/>
      <c r="B9" s="117" t="s">
        <v>149</v>
      </c>
      <c r="C9" s="117"/>
      <c r="D9" s="117"/>
      <c r="E9" s="117"/>
      <c r="F9" s="117"/>
      <c r="G9" s="117"/>
      <c r="H9" s="117"/>
      <c r="I9" s="117"/>
      <c r="J9" s="36"/>
    </row>
    <row r="10" spans="1:10" x14ac:dyDescent="0.2">
      <c r="A10" s="38"/>
      <c r="B10" s="117"/>
      <c r="C10" s="117"/>
      <c r="D10" s="117"/>
      <c r="E10" s="117"/>
      <c r="F10" s="117"/>
      <c r="G10" s="117"/>
      <c r="H10" s="117"/>
      <c r="I10" s="117"/>
      <c r="J10" s="36"/>
    </row>
    <row r="11" spans="1:10" x14ac:dyDescent="0.2">
      <c r="A11" s="38"/>
      <c r="B11" s="35"/>
      <c r="C11" s="35"/>
      <c r="D11" s="35"/>
      <c r="E11" s="35"/>
      <c r="F11" s="35"/>
      <c r="G11" s="35"/>
      <c r="H11" s="35"/>
      <c r="I11" s="35"/>
      <c r="J11" s="36"/>
    </row>
    <row r="12" spans="1:10" x14ac:dyDescent="0.2">
      <c r="A12" s="38"/>
      <c r="B12" s="35" t="s">
        <v>150</v>
      </c>
      <c r="C12" s="35"/>
      <c r="D12" s="35"/>
      <c r="E12" s="35"/>
      <c r="F12" s="35"/>
      <c r="G12" s="35"/>
      <c r="H12" s="35"/>
      <c r="I12" s="35"/>
      <c r="J12" s="36"/>
    </row>
    <row r="13" spans="1:10" x14ac:dyDescent="0.2">
      <c r="A13" s="38"/>
      <c r="B13" s="35"/>
      <c r="C13" s="35"/>
      <c r="D13" s="35"/>
      <c r="E13" s="35"/>
      <c r="F13" s="35"/>
      <c r="G13" s="35"/>
      <c r="H13" s="35"/>
      <c r="I13" s="35"/>
      <c r="J13" s="36"/>
    </row>
    <row r="14" spans="1:10" x14ac:dyDescent="0.2">
      <c r="A14" s="38"/>
      <c r="B14" s="66" t="s">
        <v>86</v>
      </c>
      <c r="C14" s="35"/>
      <c r="D14" s="35"/>
      <c r="E14" s="35"/>
      <c r="F14" s="35"/>
      <c r="G14" s="35"/>
      <c r="H14" s="68">
        <v>0.2</v>
      </c>
      <c r="I14" s="35"/>
      <c r="J14" s="36"/>
    </row>
    <row r="15" spans="1:10" x14ac:dyDescent="0.2">
      <c r="A15" s="38"/>
      <c r="B15" s="66" t="s">
        <v>87</v>
      </c>
      <c r="C15" s="35"/>
      <c r="D15" s="35"/>
      <c r="E15" s="35"/>
      <c r="F15" s="35"/>
      <c r="G15" s="35"/>
      <c r="H15" s="68">
        <v>0.75</v>
      </c>
      <c r="I15" s="35"/>
      <c r="J15" s="36"/>
    </row>
    <row r="16" spans="1:10" x14ac:dyDescent="0.2">
      <c r="A16" s="38"/>
      <c r="B16" s="66" t="s">
        <v>88</v>
      </c>
      <c r="C16" s="35"/>
      <c r="D16" s="35"/>
      <c r="E16" s="35"/>
      <c r="F16" s="35"/>
      <c r="G16" s="35"/>
      <c r="H16" s="92">
        <v>5000000</v>
      </c>
      <c r="I16" s="35"/>
      <c r="J16" s="36"/>
    </row>
    <row r="17" spans="1:12" x14ac:dyDescent="0.2">
      <c r="A17" s="38"/>
      <c r="B17" s="66" t="s">
        <v>89</v>
      </c>
      <c r="C17" s="35"/>
      <c r="D17" s="35"/>
      <c r="E17" s="35"/>
      <c r="F17" s="35"/>
      <c r="G17" s="35"/>
      <c r="H17" s="68">
        <v>0.1</v>
      </c>
      <c r="I17" s="35"/>
      <c r="J17" s="36"/>
    </row>
    <row r="18" spans="1:12" x14ac:dyDescent="0.2">
      <c r="A18" s="38"/>
      <c r="B18" s="35"/>
      <c r="C18" s="35"/>
      <c r="D18" s="35"/>
      <c r="E18" s="35"/>
      <c r="F18" s="35"/>
      <c r="G18" s="35"/>
      <c r="H18" s="35"/>
      <c r="I18" s="35"/>
      <c r="J18" s="36"/>
    </row>
    <row r="19" spans="1:12" x14ac:dyDescent="0.2">
      <c r="A19" s="38"/>
      <c r="B19" s="35" t="s">
        <v>151</v>
      </c>
      <c r="C19" s="35"/>
      <c r="D19" s="35"/>
      <c r="E19" s="35"/>
      <c r="F19" s="35"/>
      <c r="G19" s="67">
        <v>25000000</v>
      </c>
      <c r="H19" s="35"/>
      <c r="I19" s="35"/>
      <c r="J19" s="36"/>
    </row>
    <row r="20" spans="1:12" x14ac:dyDescent="0.2">
      <c r="A20" s="38"/>
      <c r="B20" s="35"/>
      <c r="C20" s="35"/>
      <c r="D20" s="35"/>
      <c r="E20" s="35"/>
      <c r="F20" s="35"/>
      <c r="G20" s="35"/>
      <c r="H20" s="35"/>
      <c r="I20" s="35"/>
      <c r="J20" s="36"/>
    </row>
    <row r="21" spans="1:12" x14ac:dyDescent="0.2">
      <c r="A21" s="38"/>
      <c r="B21" s="35"/>
      <c r="C21" s="35"/>
      <c r="D21" s="35"/>
      <c r="E21" s="35"/>
      <c r="F21" s="35"/>
      <c r="G21" s="35"/>
      <c r="H21" s="35"/>
      <c r="I21" s="35"/>
      <c r="J21" s="36"/>
    </row>
    <row r="22" spans="1:12" x14ac:dyDescent="0.2">
      <c r="A22" s="38"/>
      <c r="B22" s="35" t="s">
        <v>152</v>
      </c>
      <c r="C22" s="35"/>
      <c r="D22" s="35"/>
      <c r="E22" s="35"/>
      <c r="F22" s="35"/>
      <c r="G22" s="35"/>
      <c r="H22" s="35"/>
      <c r="I22" s="35"/>
      <c r="J22" s="36"/>
    </row>
    <row r="23" spans="1:12" ht="17" thickBot="1" x14ac:dyDescent="0.25">
      <c r="A23" s="40"/>
      <c r="B23" s="41"/>
      <c r="C23" s="42"/>
      <c r="D23" s="42"/>
      <c r="E23" s="42"/>
      <c r="F23" s="41"/>
      <c r="G23" s="41"/>
      <c r="H23" s="41"/>
      <c r="I23" s="41"/>
      <c r="J23" s="43"/>
    </row>
    <row r="25" spans="1:12" ht="19" x14ac:dyDescent="0.25">
      <c r="A25" s="2" t="s">
        <v>2</v>
      </c>
    </row>
    <row r="26" spans="1:12" x14ac:dyDescent="0.2">
      <c r="A26" s="9" t="s">
        <v>77</v>
      </c>
      <c r="B26" s="5" t="s">
        <v>146</v>
      </c>
      <c r="C26" s="44"/>
    </row>
    <row r="27" spans="1:12" x14ac:dyDescent="0.2">
      <c r="A27" s="9"/>
      <c r="B27" s="5"/>
    </row>
    <row r="28" spans="1:12" x14ac:dyDescent="0.2">
      <c r="A28" s="9"/>
      <c r="F28" s="37" t="s">
        <v>20</v>
      </c>
      <c r="G28" s="93">
        <f>F6*(1-H14)</f>
        <v>28000000</v>
      </c>
      <c r="L28" s="4"/>
    </row>
    <row r="29" spans="1:12" x14ac:dyDescent="0.2">
      <c r="A29" s="9"/>
      <c r="F29" s="37" t="s">
        <v>21</v>
      </c>
      <c r="G29" s="93">
        <f>H16</f>
        <v>5000000</v>
      </c>
      <c r="L29" s="4"/>
    </row>
    <row r="30" spans="1:12" x14ac:dyDescent="0.2">
      <c r="A30" s="9"/>
      <c r="F30" s="37" t="s">
        <v>22</v>
      </c>
      <c r="G30" s="70">
        <f>H15</f>
        <v>0.75</v>
      </c>
      <c r="L30" s="4"/>
    </row>
    <row r="31" spans="1:12" x14ac:dyDescent="0.2">
      <c r="A31" s="9"/>
      <c r="F31" s="37" t="s">
        <v>23</v>
      </c>
      <c r="G31" s="70">
        <f>H17</f>
        <v>0.1</v>
      </c>
      <c r="L31" s="4"/>
    </row>
    <row r="32" spans="1:12" x14ac:dyDescent="0.2">
      <c r="A32" s="9"/>
      <c r="L32" s="4"/>
    </row>
    <row r="33" spans="1:12" x14ac:dyDescent="0.2">
      <c r="A33" s="9"/>
      <c r="L33" s="4"/>
    </row>
    <row r="34" spans="1:12" x14ac:dyDescent="0.2">
      <c r="A34" s="9"/>
      <c r="B34" s="37" t="s">
        <v>25</v>
      </c>
      <c r="L34" s="4"/>
    </row>
    <row r="35" spans="1:12" x14ac:dyDescent="0.2">
      <c r="A35" s="9"/>
      <c r="B35" s="37" t="s">
        <v>24</v>
      </c>
      <c r="L35" s="4"/>
    </row>
    <row r="36" spans="1:12" x14ac:dyDescent="0.2">
      <c r="A36" s="9"/>
      <c r="L36" s="4"/>
    </row>
    <row r="37" spans="1:12" x14ac:dyDescent="0.2">
      <c r="A37" s="9" t="s">
        <v>78</v>
      </c>
      <c r="B37" s="5" t="s">
        <v>26</v>
      </c>
      <c r="L37" s="4"/>
    </row>
    <row r="38" spans="1:12" x14ac:dyDescent="0.2">
      <c r="A38" s="9"/>
      <c r="C38" s="44"/>
    </row>
    <row r="39" spans="1:12" ht="17" thickBot="1" x14ac:dyDescent="0.25">
      <c r="A39" s="9"/>
    </row>
    <row r="40" spans="1:12" ht="17" thickBot="1" x14ac:dyDescent="0.25">
      <c r="A40" s="9"/>
      <c r="F40" s="71" t="s">
        <v>27</v>
      </c>
      <c r="G40" s="72">
        <f>(G30*G29)^2</f>
        <v>14062500000000</v>
      </c>
    </row>
    <row r="41" spans="1:12" ht="17" thickBot="1" x14ac:dyDescent="0.25">
      <c r="A41" s="9"/>
    </row>
    <row r="42" spans="1:12" ht="17" thickBot="1" x14ac:dyDescent="0.25">
      <c r="A42" s="9"/>
      <c r="F42" s="71" t="s">
        <v>28</v>
      </c>
      <c r="G42" s="72">
        <f>G31^2*(G29^2+G28^2)</f>
        <v>8090000000000.002</v>
      </c>
    </row>
    <row r="43" spans="1:12" ht="17" thickBot="1" x14ac:dyDescent="0.25">
      <c r="A43" s="9"/>
    </row>
    <row r="44" spans="1:12" ht="17" thickBot="1" x14ac:dyDescent="0.25">
      <c r="A44" s="9"/>
      <c r="F44" s="71" t="s">
        <v>29</v>
      </c>
      <c r="G44" s="94">
        <f>G40/(G40+G42)</f>
        <v>0.63480419817176392</v>
      </c>
    </row>
    <row r="45" spans="1:12" x14ac:dyDescent="0.2">
      <c r="A45" s="9"/>
    </row>
    <row r="46" spans="1:12" x14ac:dyDescent="0.2">
      <c r="A46" s="9"/>
    </row>
    <row r="47" spans="1:12" x14ac:dyDescent="0.2">
      <c r="A47" s="9"/>
    </row>
    <row r="48" spans="1:12" x14ac:dyDescent="0.2">
      <c r="A48" s="9" t="s">
        <v>79</v>
      </c>
      <c r="B48" s="116" t="s">
        <v>30</v>
      </c>
      <c r="C48" s="116"/>
      <c r="D48" s="116"/>
      <c r="E48" s="116"/>
      <c r="F48" s="116"/>
      <c r="G48" s="116"/>
      <c r="H48" s="116"/>
      <c r="I48" s="116"/>
    </row>
    <row r="49" spans="1:14" x14ac:dyDescent="0.2">
      <c r="A49" s="9"/>
      <c r="B49" s="116"/>
      <c r="C49" s="116"/>
      <c r="D49" s="116"/>
      <c r="E49" s="116"/>
      <c r="F49" s="116"/>
      <c r="G49" s="116"/>
      <c r="H49" s="116"/>
      <c r="I49" s="116"/>
    </row>
    <row r="50" spans="1:14" x14ac:dyDescent="0.2">
      <c r="A50" s="9"/>
    </row>
    <row r="51" spans="1:14" x14ac:dyDescent="0.2">
      <c r="A51" s="9"/>
    </row>
    <row r="52" spans="1:14" x14ac:dyDescent="0.2">
      <c r="A52" s="9"/>
    </row>
    <row r="53" spans="1:14" ht="17" thickBot="1" x14ac:dyDescent="0.25">
      <c r="A53" s="9"/>
    </row>
    <row r="54" spans="1:14" ht="17" thickBot="1" x14ac:dyDescent="0.25">
      <c r="A54" s="9"/>
      <c r="F54" s="71" t="s">
        <v>31</v>
      </c>
      <c r="G54" s="85">
        <f>$G$44*G19/G30+(1-$G$44)*G28</f>
        <v>31385622.390249409</v>
      </c>
    </row>
    <row r="55" spans="1:14" x14ac:dyDescent="0.2">
      <c r="A55" s="9"/>
      <c r="C55" s="44"/>
    </row>
    <row r="56" spans="1:14" ht="19" x14ac:dyDescent="0.25">
      <c r="A56" s="2" t="s">
        <v>19</v>
      </c>
      <c r="M56" s="44"/>
    </row>
    <row r="57" spans="1:14" x14ac:dyDescent="0.2">
      <c r="B57" s="105" t="s">
        <v>121</v>
      </c>
      <c r="C57" s="105"/>
      <c r="D57" s="105"/>
      <c r="E57" s="105"/>
      <c r="F57" s="105"/>
      <c r="G57" s="105"/>
      <c r="H57" s="105"/>
      <c r="I57" s="105"/>
      <c r="L57" s="4"/>
      <c r="M57" s="4"/>
      <c r="N57" s="4"/>
    </row>
    <row r="58" spans="1:14" x14ac:dyDescent="0.2">
      <c r="B58" s="105"/>
      <c r="C58" s="105"/>
      <c r="D58" s="105"/>
      <c r="E58" s="105"/>
      <c r="F58" s="105"/>
      <c r="G58" s="105"/>
      <c r="H58" s="105"/>
      <c r="I58" s="105"/>
      <c r="L58" s="4"/>
      <c r="M58" s="4"/>
      <c r="N58" s="4"/>
    </row>
    <row r="59" spans="1:14" x14ac:dyDescent="0.2">
      <c r="B59" s="105"/>
      <c r="C59" s="105"/>
      <c r="D59" s="105"/>
      <c r="E59" s="105"/>
      <c r="F59" s="105"/>
      <c r="G59" s="105"/>
      <c r="H59" s="105"/>
      <c r="I59" s="105"/>
      <c r="L59" s="4"/>
      <c r="M59" s="4"/>
      <c r="N59" s="4"/>
    </row>
    <row r="60" spans="1:14" x14ac:dyDescent="0.2">
      <c r="B60" s="105"/>
      <c r="C60" s="105"/>
      <c r="D60" s="105"/>
      <c r="E60" s="105"/>
      <c r="F60" s="105"/>
      <c r="G60" s="105"/>
      <c r="H60" s="105"/>
      <c r="I60" s="105"/>
      <c r="L60" s="4"/>
      <c r="M60" s="4"/>
      <c r="N60" s="4"/>
    </row>
    <row r="61" spans="1:14" x14ac:dyDescent="0.2">
      <c r="B61" s="105"/>
      <c r="C61" s="105"/>
      <c r="D61" s="105"/>
      <c r="E61" s="105"/>
      <c r="F61" s="105"/>
      <c r="G61" s="105"/>
      <c r="H61" s="105"/>
      <c r="I61" s="105"/>
      <c r="L61" s="4"/>
      <c r="M61" s="4"/>
      <c r="N61" s="4"/>
    </row>
    <row r="62" spans="1:14" x14ac:dyDescent="0.2">
      <c r="B62" s="105"/>
      <c r="C62" s="105"/>
      <c r="D62" s="105"/>
      <c r="E62" s="105"/>
      <c r="F62" s="105"/>
      <c r="G62" s="105"/>
      <c r="H62" s="105"/>
      <c r="I62" s="105"/>
      <c r="L62" s="4"/>
      <c r="M62" s="4"/>
      <c r="N62" s="4"/>
    </row>
    <row r="63" spans="1:14" x14ac:dyDescent="0.2">
      <c r="B63" s="105"/>
      <c r="C63" s="105"/>
      <c r="D63" s="105"/>
      <c r="E63" s="105"/>
      <c r="F63" s="105"/>
      <c r="G63" s="105"/>
      <c r="H63" s="105"/>
      <c r="I63" s="105"/>
      <c r="L63" s="4"/>
      <c r="M63" s="4"/>
      <c r="N63" s="4"/>
    </row>
    <row r="64" spans="1:14" x14ac:dyDescent="0.2">
      <c r="B64" s="105"/>
      <c r="C64" s="105"/>
      <c r="D64" s="105"/>
      <c r="E64" s="105"/>
      <c r="F64" s="105"/>
      <c r="G64" s="105"/>
      <c r="H64" s="105"/>
      <c r="I64" s="105"/>
      <c r="L64" s="4"/>
      <c r="M64" s="4"/>
      <c r="N64" s="4"/>
    </row>
    <row r="65" spans="1:14" x14ac:dyDescent="0.2">
      <c r="B65" s="105"/>
      <c r="C65" s="105"/>
      <c r="D65" s="105"/>
      <c r="E65" s="105"/>
      <c r="F65" s="105"/>
      <c r="G65" s="105"/>
      <c r="H65" s="105"/>
      <c r="I65" s="105"/>
      <c r="L65" s="4"/>
      <c r="M65" s="4"/>
      <c r="N65" s="4"/>
    </row>
    <row r="66" spans="1:14" x14ac:dyDescent="0.2">
      <c r="B66" s="105"/>
      <c r="C66" s="105"/>
      <c r="D66" s="105"/>
      <c r="E66" s="105"/>
      <c r="F66" s="105"/>
      <c r="G66" s="105"/>
      <c r="H66" s="105"/>
      <c r="I66" s="105"/>
      <c r="L66" s="4"/>
      <c r="M66" s="4"/>
      <c r="N66" s="4"/>
    </row>
    <row r="67" spans="1:14" x14ac:dyDescent="0.2">
      <c r="L67" s="4"/>
      <c r="M67" s="4"/>
      <c r="N67" s="4"/>
    </row>
    <row r="68" spans="1:14" ht="19" x14ac:dyDescent="0.25">
      <c r="A68" s="2" t="s">
        <v>40</v>
      </c>
      <c r="M68" s="44"/>
    </row>
    <row r="69" spans="1:14" x14ac:dyDescent="0.2">
      <c r="B69" s="37" t="s">
        <v>52</v>
      </c>
      <c r="L69" s="4"/>
      <c r="M69" s="4"/>
      <c r="N69" s="4"/>
    </row>
    <row r="70" spans="1:14" x14ac:dyDescent="0.2">
      <c r="L70" s="4"/>
      <c r="M70" s="4"/>
      <c r="N70" s="4"/>
    </row>
    <row r="71" spans="1:14" ht="19" x14ac:dyDescent="0.25">
      <c r="A71" s="2" t="s">
        <v>42</v>
      </c>
      <c r="L71" s="4"/>
      <c r="M71" s="4"/>
      <c r="N71" s="4"/>
    </row>
    <row r="72" spans="1:14" x14ac:dyDescent="0.2">
      <c r="B72" s="37" t="s">
        <v>53</v>
      </c>
      <c r="D72" s="37" t="s">
        <v>56</v>
      </c>
      <c r="L72" s="4"/>
      <c r="M72" s="4"/>
      <c r="N72" s="4"/>
    </row>
    <row r="73" spans="1:14" x14ac:dyDescent="0.2">
      <c r="B73" s="37" t="s">
        <v>54</v>
      </c>
      <c r="D73" s="37" t="s">
        <v>57</v>
      </c>
      <c r="L73" s="4"/>
      <c r="M73" s="4"/>
      <c r="N73" s="4"/>
    </row>
    <row r="74" spans="1:14" x14ac:dyDescent="0.2">
      <c r="B74" s="37" t="s">
        <v>55</v>
      </c>
      <c r="L74" s="4"/>
      <c r="M74" s="4"/>
      <c r="N74" s="4"/>
    </row>
    <row r="75" spans="1:14" x14ac:dyDescent="0.2">
      <c r="L75" s="4"/>
      <c r="M75" s="4"/>
      <c r="N75" s="4"/>
    </row>
    <row r="76" spans="1:14" x14ac:dyDescent="0.2">
      <c r="L76" s="4"/>
      <c r="M76" s="4"/>
      <c r="N76" s="4"/>
    </row>
    <row r="77" spans="1:14" x14ac:dyDescent="0.2">
      <c r="L77" s="4"/>
      <c r="M77" s="4"/>
      <c r="N77" s="4"/>
    </row>
    <row r="78" spans="1:14" x14ac:dyDescent="0.2">
      <c r="M78" s="44"/>
    </row>
    <row r="79" spans="1:14" x14ac:dyDescent="0.2">
      <c r="L79" s="4"/>
      <c r="M79" s="4"/>
      <c r="N79" s="4"/>
    </row>
    <row r="80" spans="1:14" x14ac:dyDescent="0.2">
      <c r="L80" s="4"/>
      <c r="M80" s="4"/>
      <c r="N80" s="4"/>
    </row>
    <row r="81" spans="12:14" x14ac:dyDescent="0.2">
      <c r="L81" s="4"/>
      <c r="M81" s="4"/>
      <c r="N81" s="4"/>
    </row>
    <row r="82" spans="12:14" x14ac:dyDescent="0.2">
      <c r="L82" s="4"/>
      <c r="M82" s="4"/>
      <c r="N82" s="4"/>
    </row>
    <row r="83" spans="12:14" x14ac:dyDescent="0.2">
      <c r="L83" s="4"/>
      <c r="M83" s="4"/>
      <c r="N83" s="4"/>
    </row>
    <row r="84" spans="12:14" x14ac:dyDescent="0.2">
      <c r="L84" s="4"/>
      <c r="M84" s="4"/>
      <c r="N84" s="4"/>
    </row>
    <row r="85" spans="12:14" x14ac:dyDescent="0.2">
      <c r="L85" s="4"/>
      <c r="M85" s="4"/>
      <c r="N85" s="4"/>
    </row>
    <row r="86" spans="12:14" x14ac:dyDescent="0.2">
      <c r="L86" s="4"/>
      <c r="M86" s="4"/>
      <c r="N86" s="4"/>
    </row>
    <row r="87" spans="12:14" x14ac:dyDescent="0.2">
      <c r="L87" s="4"/>
      <c r="M87" s="4"/>
      <c r="N87" s="4"/>
    </row>
    <row r="88" spans="12:14" x14ac:dyDescent="0.2">
      <c r="M88" s="44"/>
    </row>
    <row r="89" spans="12:14" x14ac:dyDescent="0.2">
      <c r="L89" s="4"/>
      <c r="M89" s="4"/>
      <c r="N89" s="4"/>
    </row>
    <row r="90" spans="12:14" x14ac:dyDescent="0.2">
      <c r="L90" s="4"/>
      <c r="M90" s="4"/>
      <c r="N90" s="4"/>
    </row>
    <row r="91" spans="12:14" x14ac:dyDescent="0.2">
      <c r="L91" s="4"/>
      <c r="M91" s="4"/>
      <c r="N91" s="4"/>
    </row>
    <row r="92" spans="12:14" x14ac:dyDescent="0.2">
      <c r="L92" s="4"/>
      <c r="M92" s="4"/>
      <c r="N92" s="4"/>
    </row>
    <row r="93" spans="12:14" x14ac:dyDescent="0.2">
      <c r="L93" s="4"/>
      <c r="M93" s="4"/>
      <c r="N93" s="4"/>
    </row>
    <row r="94" spans="12:14" x14ac:dyDescent="0.2">
      <c r="L94" s="4"/>
      <c r="M94" s="4"/>
      <c r="N94" s="4"/>
    </row>
    <row r="95" spans="12:14" x14ac:dyDescent="0.2">
      <c r="L95" s="4"/>
      <c r="M95" s="4"/>
      <c r="N95" s="4"/>
    </row>
    <row r="96" spans="12:14" x14ac:dyDescent="0.2">
      <c r="L96" s="4"/>
      <c r="M96" s="4"/>
      <c r="N96" s="4"/>
    </row>
    <row r="97" spans="1:65" x14ac:dyDescent="0.2">
      <c r="L97" s="4"/>
      <c r="M97" s="4"/>
      <c r="N97" s="4"/>
    </row>
    <row r="98" spans="1:65" x14ac:dyDescent="0.2">
      <c r="M98" s="44"/>
    </row>
    <row r="99" spans="1:65"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sheetData>
  <mergeCells count="4">
    <mergeCell ref="B48:I49"/>
    <mergeCell ref="B9:I10"/>
    <mergeCell ref="B3:I4"/>
    <mergeCell ref="B57:I6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193"/>
  <sheetViews>
    <sheetView showGridLines="0" zoomScale="120" zoomScaleNormal="120" workbookViewId="0"/>
  </sheetViews>
  <sheetFormatPr baseColWidth="10" defaultColWidth="10.83203125" defaultRowHeight="16" x14ac:dyDescent="0.2"/>
  <cols>
    <col min="1" max="1" width="10.83203125" style="37"/>
    <col min="2" max="2" width="10.83203125" style="37" customWidth="1"/>
    <col min="3" max="3" width="11.1640625" style="37" customWidth="1"/>
    <col min="4" max="10" width="10.83203125" style="37" customWidth="1"/>
    <col min="11" max="16384" width="10.83203125" style="37"/>
  </cols>
  <sheetData>
    <row r="1" spans="1:10" ht="19" x14ac:dyDescent="0.25">
      <c r="A1" s="1" t="s">
        <v>81</v>
      </c>
      <c r="B1" s="35"/>
      <c r="C1" s="35"/>
      <c r="D1" s="35"/>
      <c r="E1" s="35"/>
      <c r="F1" s="35"/>
      <c r="G1" s="35"/>
      <c r="H1" s="35"/>
      <c r="I1" s="35"/>
      <c r="J1" s="36"/>
    </row>
    <row r="2" spans="1:10" x14ac:dyDescent="0.2">
      <c r="A2" s="38"/>
      <c r="B2" s="35"/>
      <c r="C2" s="35"/>
      <c r="D2" s="35"/>
      <c r="E2" s="35"/>
      <c r="F2" s="35"/>
      <c r="G2" s="35"/>
      <c r="H2" s="35"/>
      <c r="I2" s="35"/>
      <c r="J2" s="36"/>
    </row>
    <row r="3" spans="1:10" x14ac:dyDescent="0.2">
      <c r="A3" s="38"/>
      <c r="B3" s="35" t="s">
        <v>15</v>
      </c>
      <c r="C3" s="35"/>
      <c r="D3" s="35"/>
      <c r="E3" s="35"/>
      <c r="F3" s="35"/>
      <c r="G3" s="35"/>
      <c r="H3" s="35"/>
      <c r="I3" s="35"/>
      <c r="J3" s="36"/>
    </row>
    <row r="4" spans="1:10" x14ac:dyDescent="0.2">
      <c r="A4" s="38"/>
      <c r="B4" s="35" t="s">
        <v>155</v>
      </c>
      <c r="C4" s="35"/>
      <c r="D4" s="35"/>
      <c r="E4" s="35"/>
      <c r="F4" s="35"/>
      <c r="G4" s="35"/>
      <c r="H4" s="35"/>
      <c r="I4" s="35"/>
      <c r="J4" s="36"/>
    </row>
    <row r="5" spans="1:10" x14ac:dyDescent="0.2">
      <c r="A5" s="38"/>
      <c r="B5" s="35"/>
      <c r="C5" s="35"/>
      <c r="D5" s="35"/>
      <c r="E5" s="35"/>
      <c r="F5" s="35"/>
      <c r="G5" s="35"/>
      <c r="H5" s="35"/>
      <c r="I5" s="35"/>
      <c r="J5" s="36"/>
    </row>
    <row r="6" spans="1:10" x14ac:dyDescent="0.2">
      <c r="A6" s="38"/>
      <c r="B6" s="66" t="s">
        <v>131</v>
      </c>
      <c r="C6" s="35"/>
      <c r="D6" s="35"/>
      <c r="E6" s="67">
        <v>20000000</v>
      </c>
      <c r="F6" s="35"/>
      <c r="G6" s="35"/>
      <c r="H6" s="35"/>
      <c r="I6" s="35"/>
      <c r="J6" s="36"/>
    </row>
    <row r="7" spans="1:10" x14ac:dyDescent="0.2">
      <c r="A7" s="38"/>
      <c r="B7" s="66" t="s">
        <v>132</v>
      </c>
      <c r="C7" s="35"/>
      <c r="D7" s="35"/>
      <c r="E7" s="68">
        <v>0.8</v>
      </c>
      <c r="F7" s="35"/>
      <c r="G7" s="35"/>
      <c r="H7" s="35"/>
      <c r="I7" s="35"/>
      <c r="J7" s="36"/>
    </row>
    <row r="8" spans="1:10" x14ac:dyDescent="0.2">
      <c r="A8" s="38"/>
      <c r="B8" s="96" t="s">
        <v>163</v>
      </c>
      <c r="C8" s="35"/>
      <c r="D8" s="35"/>
      <c r="E8" s="35"/>
      <c r="F8" s="35"/>
      <c r="G8" s="35"/>
      <c r="H8" s="68">
        <v>0.7</v>
      </c>
      <c r="I8" s="35"/>
      <c r="J8" s="36"/>
    </row>
    <row r="9" spans="1:10" x14ac:dyDescent="0.2">
      <c r="A9" s="38"/>
      <c r="B9" s="96"/>
      <c r="C9" s="97"/>
      <c r="D9" s="97"/>
      <c r="E9" s="97"/>
      <c r="F9" s="97"/>
      <c r="G9" s="97"/>
      <c r="H9" s="98"/>
      <c r="I9" s="35"/>
      <c r="J9" s="36"/>
    </row>
    <row r="10" spans="1:10" x14ac:dyDescent="0.2">
      <c r="A10" s="38"/>
      <c r="B10" s="96" t="s">
        <v>164</v>
      </c>
      <c r="C10" s="97"/>
      <c r="D10" s="97"/>
      <c r="E10" s="97"/>
      <c r="F10" s="97"/>
      <c r="G10" s="97"/>
      <c r="H10" s="98"/>
      <c r="I10" s="97"/>
      <c r="J10" s="36"/>
    </row>
    <row r="11" spans="1:10" x14ac:dyDescent="0.2">
      <c r="A11" s="38"/>
      <c r="B11" s="96"/>
      <c r="C11" s="97"/>
      <c r="D11" s="97"/>
      <c r="E11" s="97"/>
      <c r="F11" s="97"/>
      <c r="G11" s="97"/>
      <c r="H11" s="98"/>
      <c r="I11" s="97"/>
      <c r="J11" s="36"/>
    </row>
    <row r="12" spans="1:10" ht="18" x14ac:dyDescent="0.25">
      <c r="A12" s="38"/>
      <c r="B12" s="97"/>
      <c r="C12" s="96" t="s">
        <v>165</v>
      </c>
      <c r="D12" s="104">
        <v>2720000000000.0005</v>
      </c>
      <c r="E12" s="97"/>
      <c r="F12" s="97"/>
      <c r="G12" s="97"/>
      <c r="H12" s="98"/>
      <c r="I12" s="97"/>
      <c r="J12" s="36"/>
    </row>
    <row r="13" spans="1:10" ht="18" x14ac:dyDescent="0.25">
      <c r="A13" s="38"/>
      <c r="B13" s="97"/>
      <c r="C13" s="96" t="s">
        <v>166</v>
      </c>
      <c r="D13" s="104">
        <v>7840000000000</v>
      </c>
      <c r="E13" s="97"/>
      <c r="F13" s="97"/>
      <c r="G13" s="97"/>
      <c r="H13" s="98"/>
      <c r="I13" s="97"/>
      <c r="J13" s="36"/>
    </row>
    <row r="14" spans="1:10" x14ac:dyDescent="0.2">
      <c r="A14" s="38"/>
      <c r="B14" s="35"/>
      <c r="C14" s="35"/>
      <c r="D14" s="35"/>
      <c r="E14" s="35"/>
      <c r="F14" s="35"/>
      <c r="G14" s="35"/>
      <c r="H14" s="35"/>
      <c r="I14" s="35"/>
      <c r="J14" s="36"/>
    </row>
    <row r="15" spans="1:10" x14ac:dyDescent="0.2">
      <c r="A15" s="38"/>
      <c r="B15" s="35" t="s">
        <v>134</v>
      </c>
      <c r="C15" s="35"/>
      <c r="D15" s="35"/>
      <c r="E15" s="35"/>
      <c r="F15" s="35"/>
      <c r="G15" s="35"/>
      <c r="H15" s="35"/>
      <c r="I15" s="35"/>
      <c r="J15" s="36"/>
    </row>
    <row r="16" spans="1:10" x14ac:dyDescent="0.2">
      <c r="A16" s="38"/>
      <c r="B16" s="35" t="s">
        <v>133</v>
      </c>
      <c r="C16" s="35"/>
      <c r="D16" s="35"/>
      <c r="E16" s="35"/>
      <c r="F16" s="35"/>
      <c r="G16" s="35"/>
      <c r="H16" s="35"/>
      <c r="I16" s="35"/>
      <c r="J16" s="36"/>
    </row>
    <row r="17" spans="1:12" x14ac:dyDescent="0.2">
      <c r="A17" s="38"/>
      <c r="B17" s="35"/>
      <c r="C17" s="35"/>
      <c r="D17" s="35"/>
      <c r="E17" s="35"/>
      <c r="F17" s="35"/>
      <c r="G17" s="35"/>
      <c r="H17" s="35"/>
      <c r="I17" s="35"/>
      <c r="J17" s="36"/>
    </row>
    <row r="18" spans="1:12" x14ac:dyDescent="0.2">
      <c r="A18" s="38"/>
      <c r="B18" s="35" t="s">
        <v>156</v>
      </c>
      <c r="C18" s="35"/>
      <c r="D18" s="35"/>
      <c r="E18" s="35"/>
      <c r="F18" s="35"/>
      <c r="G18" s="67">
        <v>13400000</v>
      </c>
      <c r="H18" s="35"/>
      <c r="I18" s="35"/>
      <c r="J18" s="36"/>
    </row>
    <row r="19" spans="1:12" x14ac:dyDescent="0.2">
      <c r="A19" s="38"/>
      <c r="B19" s="35"/>
      <c r="C19" s="35"/>
      <c r="D19" s="35"/>
      <c r="E19" s="35"/>
      <c r="F19" s="35"/>
      <c r="G19" s="35"/>
      <c r="H19" s="35"/>
      <c r="I19" s="35"/>
      <c r="J19" s="36"/>
    </row>
    <row r="20" spans="1:12" x14ac:dyDescent="0.2">
      <c r="A20" s="38"/>
      <c r="B20" s="35"/>
      <c r="C20" s="35"/>
      <c r="D20" s="35"/>
      <c r="E20" s="35"/>
      <c r="F20" s="35"/>
      <c r="G20" s="35"/>
      <c r="H20" s="35"/>
      <c r="I20" s="35"/>
      <c r="J20" s="36"/>
    </row>
    <row r="21" spans="1:12" x14ac:dyDescent="0.2">
      <c r="A21" s="38"/>
      <c r="B21" s="35" t="s">
        <v>157</v>
      </c>
      <c r="C21" s="35"/>
      <c r="D21" s="35"/>
      <c r="E21" s="35"/>
      <c r="F21" s="35"/>
      <c r="G21" s="35"/>
      <c r="H21" s="35"/>
      <c r="I21" s="35"/>
      <c r="J21" s="36"/>
    </row>
    <row r="22" spans="1:12" ht="17" thickBot="1" x14ac:dyDescent="0.25">
      <c r="A22" s="40"/>
      <c r="B22" s="41"/>
      <c r="C22" s="42"/>
      <c r="D22" s="42"/>
      <c r="E22" s="42"/>
      <c r="F22" s="41"/>
      <c r="G22" s="41"/>
      <c r="H22" s="41"/>
      <c r="I22" s="41"/>
      <c r="J22" s="43"/>
    </row>
    <row r="24" spans="1:12" ht="19" x14ac:dyDescent="0.25">
      <c r="A24" s="2" t="s">
        <v>2</v>
      </c>
    </row>
    <row r="25" spans="1:12" x14ac:dyDescent="0.2">
      <c r="A25" s="9" t="s">
        <v>77</v>
      </c>
      <c r="B25" s="116" t="s">
        <v>167</v>
      </c>
      <c r="C25" s="116"/>
      <c r="D25" s="116"/>
      <c r="E25" s="116"/>
      <c r="F25" s="116"/>
      <c r="G25" s="116"/>
      <c r="H25" s="116"/>
      <c r="I25" s="116"/>
    </row>
    <row r="26" spans="1:12" x14ac:dyDescent="0.2">
      <c r="A26" s="9"/>
      <c r="B26" s="116"/>
      <c r="C26" s="116"/>
      <c r="D26" s="116"/>
      <c r="E26" s="116"/>
      <c r="F26" s="116"/>
      <c r="G26" s="116"/>
      <c r="H26" s="116"/>
      <c r="I26" s="116"/>
    </row>
    <row r="27" spans="1:12" ht="17" thickBot="1" x14ac:dyDescent="0.25">
      <c r="A27" s="9"/>
      <c r="B27" s="5"/>
      <c r="C27" s="99"/>
      <c r="D27" s="99"/>
      <c r="E27" s="99"/>
      <c r="F27" s="99"/>
      <c r="G27" s="99"/>
      <c r="H27" s="99"/>
      <c r="I27" s="99"/>
    </row>
    <row r="28" spans="1:12" x14ac:dyDescent="0.2">
      <c r="A28" s="9"/>
      <c r="B28" s="99" t="s">
        <v>25</v>
      </c>
      <c r="C28" s="99"/>
      <c r="D28" s="99"/>
      <c r="E28" s="99"/>
      <c r="F28" s="100" t="s">
        <v>20</v>
      </c>
      <c r="G28" s="101">
        <f>E6*$E$7</f>
        <v>16000000</v>
      </c>
      <c r="H28" s="99"/>
      <c r="I28" s="99"/>
      <c r="L28" s="4"/>
    </row>
    <row r="29" spans="1:12" ht="17" thickBot="1" x14ac:dyDescent="0.25">
      <c r="A29" s="9"/>
      <c r="B29" s="99" t="s">
        <v>24</v>
      </c>
      <c r="C29" s="99"/>
      <c r="D29" s="99"/>
      <c r="E29" s="99"/>
      <c r="F29" s="102" t="s">
        <v>22</v>
      </c>
      <c r="G29" s="103">
        <v>0.7</v>
      </c>
      <c r="H29" s="99"/>
      <c r="I29" s="99"/>
      <c r="L29" s="4"/>
    </row>
    <row r="30" spans="1:12" x14ac:dyDescent="0.2">
      <c r="A30" s="9"/>
      <c r="B30" s="99"/>
      <c r="C30" s="99"/>
      <c r="D30" s="99"/>
      <c r="E30" s="99"/>
      <c r="F30" s="99"/>
      <c r="G30" s="99"/>
      <c r="H30" s="99"/>
      <c r="I30" s="99"/>
      <c r="L30" s="4"/>
    </row>
    <row r="31" spans="1:12" x14ac:dyDescent="0.2">
      <c r="A31" s="9" t="s">
        <v>78</v>
      </c>
      <c r="B31" s="116" t="s">
        <v>162</v>
      </c>
      <c r="C31" s="116"/>
      <c r="D31" s="116"/>
      <c r="E31" s="116"/>
      <c r="F31" s="116"/>
      <c r="G31" s="116"/>
      <c r="H31" s="116"/>
      <c r="I31" s="116"/>
      <c r="L31" s="4"/>
    </row>
    <row r="32" spans="1:12" x14ac:dyDescent="0.2">
      <c r="A32" s="9"/>
      <c r="B32" s="116"/>
      <c r="C32" s="116"/>
      <c r="D32" s="116"/>
      <c r="E32" s="116"/>
      <c r="F32" s="116"/>
      <c r="G32" s="116"/>
      <c r="H32" s="116"/>
      <c r="I32" s="116"/>
    </row>
    <row r="33" spans="1:10" ht="17" thickBot="1" x14ac:dyDescent="0.25">
      <c r="A33" s="9"/>
    </row>
    <row r="34" spans="1:10" ht="17" thickBot="1" x14ac:dyDescent="0.25">
      <c r="A34" s="9"/>
      <c r="F34" s="71" t="s">
        <v>29</v>
      </c>
      <c r="G34" s="94">
        <f>D13/(D13+D12)</f>
        <v>0.74242424242424243</v>
      </c>
    </row>
    <row r="35" spans="1:10" x14ac:dyDescent="0.2">
      <c r="A35" s="9"/>
    </row>
    <row r="36" spans="1:10" x14ac:dyDescent="0.2">
      <c r="A36" s="9"/>
    </row>
    <row r="37" spans="1:10" x14ac:dyDescent="0.2">
      <c r="A37" s="9" t="s">
        <v>79</v>
      </c>
      <c r="B37" s="116" t="s">
        <v>153</v>
      </c>
      <c r="C37" s="116"/>
      <c r="D37" s="116"/>
      <c r="E37" s="116"/>
      <c r="F37" s="116"/>
      <c r="G37" s="116"/>
      <c r="H37" s="116"/>
      <c r="I37" s="116"/>
    </row>
    <row r="38" spans="1:10" x14ac:dyDescent="0.2">
      <c r="A38" s="9"/>
      <c r="B38" s="116"/>
      <c r="C38" s="116"/>
      <c r="D38" s="116"/>
      <c r="E38" s="116"/>
      <c r="F38" s="116"/>
      <c r="G38" s="116"/>
      <c r="H38" s="116"/>
      <c r="I38" s="116"/>
    </row>
    <row r="39" spans="1:10" x14ac:dyDescent="0.2">
      <c r="A39" s="9"/>
    </row>
    <row r="40" spans="1:10" x14ac:dyDescent="0.2">
      <c r="A40" s="9"/>
    </row>
    <row r="41" spans="1:10" x14ac:dyDescent="0.2">
      <c r="A41" s="9"/>
      <c r="E41" s="46" t="s">
        <v>124</v>
      </c>
      <c r="F41" s="73" t="s">
        <v>127</v>
      </c>
      <c r="G41" s="74"/>
      <c r="H41" s="75"/>
      <c r="I41" s="74" t="s">
        <v>123</v>
      </c>
      <c r="J41" s="74"/>
    </row>
    <row r="42" spans="1:10" x14ac:dyDescent="0.2">
      <c r="A42" s="9"/>
      <c r="E42" s="76">
        <f>G28</f>
        <v>16000000</v>
      </c>
      <c r="F42" s="69">
        <f>G28*G29</f>
        <v>11200000</v>
      </c>
      <c r="G42" s="53" t="s">
        <v>128</v>
      </c>
      <c r="H42" s="77"/>
      <c r="I42" s="37" t="s">
        <v>125</v>
      </c>
    </row>
    <row r="43" spans="1:10" x14ac:dyDescent="0.2">
      <c r="A43" s="9"/>
      <c r="E43" s="78">
        <f>1.25*E42</f>
        <v>20000000</v>
      </c>
      <c r="F43" s="79">
        <f>0.65*E43</f>
        <v>13000000</v>
      </c>
      <c r="G43" s="80" t="s">
        <v>129</v>
      </c>
      <c r="H43" s="75"/>
      <c r="I43" s="74" t="s">
        <v>126</v>
      </c>
      <c r="J43" s="74"/>
    </row>
    <row r="44" spans="1:10" x14ac:dyDescent="0.2">
      <c r="A44" s="9"/>
      <c r="E44" s="77"/>
      <c r="F44" s="69">
        <f>F43-F42</f>
        <v>1800000</v>
      </c>
      <c r="G44" s="53" t="s">
        <v>130</v>
      </c>
      <c r="H44" s="77"/>
    </row>
    <row r="45" spans="1:10" ht="17" thickBot="1" x14ac:dyDescent="0.25">
      <c r="A45" s="9"/>
    </row>
    <row r="46" spans="1:10" x14ac:dyDescent="0.2">
      <c r="A46" s="9"/>
      <c r="F46" s="81" t="s">
        <v>32</v>
      </c>
      <c r="G46" s="82">
        <f>F44/4000000</f>
        <v>0.45</v>
      </c>
    </row>
    <row r="47" spans="1:10" ht="19" thickBot="1" x14ac:dyDescent="0.3">
      <c r="A47" s="9"/>
      <c r="F47" s="83" t="s">
        <v>122</v>
      </c>
      <c r="G47" s="84">
        <f>F43-G46*E6</f>
        <v>4000000</v>
      </c>
    </row>
    <row r="48" spans="1:10" x14ac:dyDescent="0.2">
      <c r="A48" s="9"/>
    </row>
    <row r="49" spans="1:14" x14ac:dyDescent="0.2">
      <c r="A49" s="9"/>
      <c r="B49" s="5" t="s">
        <v>93</v>
      </c>
    </row>
    <row r="50" spans="1:14" x14ac:dyDescent="0.2">
      <c r="A50" s="9"/>
      <c r="B50" s="105" t="s">
        <v>154</v>
      </c>
      <c r="C50" s="105"/>
      <c r="D50" s="105"/>
      <c r="E50" s="105"/>
      <c r="F50" s="105"/>
      <c r="G50" s="105"/>
      <c r="H50" s="105"/>
      <c r="I50" s="105"/>
    </row>
    <row r="51" spans="1:14" x14ac:dyDescent="0.2">
      <c r="A51" s="9"/>
      <c r="B51" s="105"/>
      <c r="C51" s="105"/>
      <c r="D51" s="105"/>
      <c r="E51" s="105"/>
      <c r="F51" s="105"/>
      <c r="G51" s="105"/>
      <c r="H51" s="105"/>
      <c r="I51" s="105"/>
    </row>
    <row r="52" spans="1:14" x14ac:dyDescent="0.2">
      <c r="A52" s="9"/>
      <c r="B52" s="105"/>
      <c r="C52" s="105"/>
      <c r="D52" s="105"/>
      <c r="E52" s="105"/>
      <c r="F52" s="105"/>
      <c r="G52" s="105"/>
      <c r="H52" s="105"/>
      <c r="I52" s="105"/>
    </row>
    <row r="53" spans="1:14" x14ac:dyDescent="0.2">
      <c r="A53" s="9"/>
    </row>
    <row r="54" spans="1:14" x14ac:dyDescent="0.2">
      <c r="A54" s="9" t="s">
        <v>80</v>
      </c>
      <c r="B54" s="116" t="s">
        <v>90</v>
      </c>
      <c r="C54" s="116"/>
      <c r="D54" s="116"/>
      <c r="E54" s="116"/>
      <c r="F54" s="116"/>
      <c r="G54" s="116"/>
      <c r="H54" s="116"/>
      <c r="I54" s="116"/>
    </row>
    <row r="55" spans="1:14" x14ac:dyDescent="0.2">
      <c r="A55" s="9"/>
      <c r="B55" s="116"/>
      <c r="C55" s="116"/>
      <c r="D55" s="116"/>
      <c r="E55" s="116"/>
      <c r="F55" s="116"/>
      <c r="G55" s="116"/>
      <c r="H55" s="116"/>
      <c r="I55" s="116"/>
    </row>
    <row r="56" spans="1:14" x14ac:dyDescent="0.2">
      <c r="A56" s="9"/>
    </row>
    <row r="57" spans="1:14" x14ac:dyDescent="0.2">
      <c r="A57" s="9"/>
      <c r="F57" s="45" t="s">
        <v>31</v>
      </c>
      <c r="G57" s="69">
        <f>$G$34*(G18-G47)/G46+(1-$G$34)*G28</f>
        <v>19629629.629629627</v>
      </c>
      <c r="M57" s="44"/>
    </row>
    <row r="58" spans="1:14" ht="17" thickBot="1" x14ac:dyDescent="0.25">
      <c r="A58" s="9"/>
      <c r="L58" s="4"/>
      <c r="M58" s="4"/>
      <c r="N58" s="4"/>
    </row>
    <row r="59" spans="1:14" ht="17" thickBot="1" x14ac:dyDescent="0.25">
      <c r="A59" s="9"/>
      <c r="F59" s="71" t="s">
        <v>33</v>
      </c>
      <c r="G59" s="85">
        <f>G57-G18</f>
        <v>6229629.6296296269</v>
      </c>
      <c r="L59" s="4"/>
      <c r="M59" s="4"/>
      <c r="N59" s="4"/>
    </row>
    <row r="60" spans="1:14" x14ac:dyDescent="0.2">
      <c r="A60" s="9"/>
      <c r="L60" s="4"/>
      <c r="M60" s="4"/>
      <c r="N60" s="4"/>
    </row>
    <row r="61" spans="1:14" ht="19" x14ac:dyDescent="0.25">
      <c r="A61" s="2" t="s">
        <v>19</v>
      </c>
      <c r="L61" s="4"/>
      <c r="M61" s="4"/>
      <c r="N61" s="4"/>
    </row>
    <row r="62" spans="1:14" x14ac:dyDescent="0.2">
      <c r="B62" s="119" t="s">
        <v>158</v>
      </c>
      <c r="C62" s="105"/>
      <c r="D62" s="105"/>
      <c r="E62" s="105"/>
      <c r="F62" s="105"/>
      <c r="G62" s="105"/>
      <c r="H62" s="105"/>
      <c r="I62" s="105"/>
      <c r="L62" s="4"/>
      <c r="M62" s="4"/>
      <c r="N62" s="4"/>
    </row>
    <row r="63" spans="1:14" x14ac:dyDescent="0.2">
      <c r="B63" s="105"/>
      <c r="C63" s="105"/>
      <c r="D63" s="105"/>
      <c r="E63" s="105"/>
      <c r="F63" s="105"/>
      <c r="G63" s="105"/>
      <c r="H63" s="105"/>
      <c r="I63" s="105"/>
      <c r="L63" s="4"/>
      <c r="M63" s="4"/>
      <c r="N63" s="4"/>
    </row>
    <row r="64" spans="1:14" x14ac:dyDescent="0.2">
      <c r="B64" s="105"/>
      <c r="C64" s="105"/>
      <c r="D64" s="105"/>
      <c r="E64" s="105"/>
      <c r="F64" s="105"/>
      <c r="G64" s="105"/>
      <c r="H64" s="105"/>
      <c r="I64" s="105"/>
      <c r="L64" s="4"/>
      <c r="M64" s="4"/>
      <c r="N64" s="4"/>
    </row>
    <row r="65" spans="2:14" x14ac:dyDescent="0.2">
      <c r="B65" s="105"/>
      <c r="C65" s="105"/>
      <c r="D65" s="105"/>
      <c r="E65" s="105"/>
      <c r="F65" s="105"/>
      <c r="G65" s="105"/>
      <c r="H65" s="105"/>
      <c r="I65" s="105"/>
      <c r="L65" s="4"/>
      <c r="M65" s="4"/>
      <c r="N65" s="4"/>
    </row>
    <row r="66" spans="2:14" x14ac:dyDescent="0.2">
      <c r="B66" s="105"/>
      <c r="C66" s="105"/>
      <c r="D66" s="105"/>
      <c r="E66" s="105"/>
      <c r="F66" s="105"/>
      <c r="G66" s="105"/>
      <c r="H66" s="105"/>
      <c r="I66" s="105"/>
      <c r="L66" s="4"/>
      <c r="M66" s="4"/>
      <c r="N66" s="4"/>
    </row>
    <row r="67" spans="2:14" x14ac:dyDescent="0.2">
      <c r="B67" s="105"/>
      <c r="C67" s="105"/>
      <c r="D67" s="105"/>
      <c r="E67" s="105"/>
      <c r="F67" s="105"/>
      <c r="G67" s="105"/>
      <c r="H67" s="105"/>
      <c r="I67" s="105"/>
      <c r="L67" s="4"/>
      <c r="M67" s="4"/>
      <c r="N67" s="4"/>
    </row>
    <row r="68" spans="2:14" x14ac:dyDescent="0.2">
      <c r="B68" s="105"/>
      <c r="C68" s="105"/>
      <c r="D68" s="105"/>
      <c r="E68" s="105"/>
      <c r="F68" s="105"/>
      <c r="G68" s="105"/>
      <c r="H68" s="105"/>
      <c r="I68" s="105"/>
      <c r="L68" s="4"/>
      <c r="M68" s="4"/>
      <c r="N68" s="4"/>
    </row>
    <row r="69" spans="2:14" x14ac:dyDescent="0.2">
      <c r="B69" s="105"/>
      <c r="C69" s="105"/>
      <c r="D69" s="105"/>
      <c r="E69" s="105"/>
      <c r="F69" s="105"/>
      <c r="G69" s="105"/>
      <c r="H69" s="105"/>
      <c r="I69" s="105"/>
      <c r="L69" s="4"/>
      <c r="M69" s="4"/>
      <c r="N69" s="4"/>
    </row>
    <row r="70" spans="2:14" x14ac:dyDescent="0.2">
      <c r="B70" s="105"/>
      <c r="C70" s="105"/>
      <c r="D70" s="105"/>
      <c r="E70" s="105"/>
      <c r="F70" s="105"/>
      <c r="G70" s="105"/>
      <c r="H70" s="105"/>
      <c r="I70" s="105"/>
      <c r="L70" s="4"/>
      <c r="M70" s="4"/>
      <c r="N70" s="4"/>
    </row>
    <row r="71" spans="2:14" x14ac:dyDescent="0.2">
      <c r="B71" s="105"/>
      <c r="C71" s="105"/>
      <c r="D71" s="105"/>
      <c r="E71" s="105"/>
      <c r="F71" s="105"/>
      <c r="G71" s="105"/>
      <c r="H71" s="105"/>
      <c r="I71" s="105"/>
      <c r="L71" s="4"/>
      <c r="M71" s="4"/>
      <c r="N71" s="4"/>
    </row>
    <row r="72" spans="2:14" x14ac:dyDescent="0.2">
      <c r="B72" s="105"/>
      <c r="C72" s="105"/>
      <c r="D72" s="105"/>
      <c r="E72" s="105"/>
      <c r="F72" s="105"/>
      <c r="G72" s="105"/>
      <c r="H72" s="105"/>
      <c r="I72" s="105"/>
      <c r="L72" s="4"/>
      <c r="M72" s="4"/>
      <c r="N72" s="4"/>
    </row>
    <row r="73" spans="2:14" x14ac:dyDescent="0.2">
      <c r="B73" s="105"/>
      <c r="C73" s="105"/>
      <c r="D73" s="105"/>
      <c r="E73" s="105"/>
      <c r="F73" s="105"/>
      <c r="G73" s="105"/>
      <c r="H73" s="105"/>
      <c r="I73" s="105"/>
      <c r="L73" s="4"/>
      <c r="M73" s="4"/>
      <c r="N73" s="4"/>
    </row>
    <row r="74" spans="2:14" x14ac:dyDescent="0.2">
      <c r="M74" s="44"/>
    </row>
    <row r="75" spans="2:14" x14ac:dyDescent="0.2">
      <c r="B75" s="37" t="s">
        <v>135</v>
      </c>
      <c r="L75" s="4"/>
      <c r="M75" s="4"/>
      <c r="N75" s="4"/>
    </row>
    <row r="76" spans="2:14" x14ac:dyDescent="0.2">
      <c r="B76" s="37" t="s">
        <v>136</v>
      </c>
      <c r="L76" s="4"/>
      <c r="M76" s="4"/>
      <c r="N76" s="4"/>
    </row>
    <row r="77" spans="2:14" x14ac:dyDescent="0.2">
      <c r="L77" s="4"/>
      <c r="M77" s="4"/>
      <c r="N77" s="4"/>
    </row>
    <row r="78" spans="2:14" x14ac:dyDescent="0.2">
      <c r="K78" s="45"/>
    </row>
    <row r="79" spans="2:14" x14ac:dyDescent="0.2">
      <c r="G79" s="118" t="s">
        <v>71</v>
      </c>
      <c r="H79" s="118"/>
      <c r="I79" s="118"/>
      <c r="K79" s="45"/>
    </row>
    <row r="80" spans="2:14" x14ac:dyDescent="0.2">
      <c r="G80" s="118" t="s">
        <v>72</v>
      </c>
      <c r="H80" s="118"/>
      <c r="I80" s="118"/>
      <c r="K80" s="45"/>
    </row>
    <row r="81" spans="4:65" ht="68" x14ac:dyDescent="0.2">
      <c r="G81" s="61" t="s">
        <v>64</v>
      </c>
      <c r="H81" s="62" t="s">
        <v>65</v>
      </c>
      <c r="I81" s="62" t="s">
        <v>66</v>
      </c>
      <c r="K81" s="45"/>
    </row>
    <row r="82" spans="4:65" x14ac:dyDescent="0.2">
      <c r="G82" s="86">
        <v>0</v>
      </c>
      <c r="H82" s="87">
        <f t="shared" ref="H82:H88" si="0">G82*$H$91</f>
        <v>0</v>
      </c>
      <c r="I82" s="87">
        <f>(G82-$H$96)/$H$95</f>
        <v>-8.8888888888888893</v>
      </c>
      <c r="K82" s="45"/>
    </row>
    <row r="83" spans="4:65" x14ac:dyDescent="0.2">
      <c r="G83" s="86">
        <v>4</v>
      </c>
      <c r="H83" s="87">
        <f t="shared" si="0"/>
        <v>5.7142857142857144</v>
      </c>
      <c r="I83" s="87">
        <f>(G83-$H$96)/$H$95</f>
        <v>0</v>
      </c>
      <c r="K83" s="45"/>
    </row>
    <row r="84" spans="4:65" x14ac:dyDescent="0.2">
      <c r="G84" s="86">
        <v>8</v>
      </c>
      <c r="H84" s="87">
        <f>G84*$H$91</f>
        <v>11.428571428571429</v>
      </c>
      <c r="I84" s="87">
        <f>(G84-$H$96)/$H$95</f>
        <v>8.8888888888888893</v>
      </c>
      <c r="K84" s="45"/>
    </row>
    <row r="85" spans="4:65" x14ac:dyDescent="0.2">
      <c r="G85" s="86">
        <v>11.2</v>
      </c>
      <c r="H85" s="87">
        <f t="shared" si="0"/>
        <v>16</v>
      </c>
      <c r="I85" s="87">
        <f>(G85-$H$96)/$H$95</f>
        <v>15.999999999999998</v>
      </c>
      <c r="K85" s="45"/>
    </row>
    <row r="86" spans="4:65" x14ac:dyDescent="0.2">
      <c r="G86" s="86">
        <v>12</v>
      </c>
      <c r="H86" s="87">
        <f t="shared" si="0"/>
        <v>17.142857142857142</v>
      </c>
      <c r="I86" s="87">
        <f t="shared" ref="I86:I88" si="1">(G86-$H$96)/$H$95</f>
        <v>17.777777777777779</v>
      </c>
      <c r="K86" s="45"/>
    </row>
    <row r="87" spans="4:65" x14ac:dyDescent="0.2">
      <c r="G87" s="86">
        <v>16</v>
      </c>
      <c r="H87" s="87">
        <f t="shared" si="0"/>
        <v>22.857142857142858</v>
      </c>
      <c r="I87" s="87">
        <f t="shared" si="1"/>
        <v>26.666666666666664</v>
      </c>
      <c r="K87" s="45"/>
    </row>
    <row r="88" spans="4:65" x14ac:dyDescent="0.2">
      <c r="G88" s="86">
        <v>20</v>
      </c>
      <c r="H88" s="87">
        <f t="shared" si="0"/>
        <v>28.571428571428573</v>
      </c>
      <c r="I88" s="87">
        <f t="shared" si="1"/>
        <v>35.555555555555557</v>
      </c>
      <c r="K88" s="4"/>
      <c r="L88" s="4"/>
      <c r="M88" s="4"/>
      <c r="N88" s="4"/>
    </row>
    <row r="89" spans="4:65" x14ac:dyDescent="0.2">
      <c r="L89" s="4"/>
      <c r="M89" s="4"/>
      <c r="N89" s="4"/>
    </row>
    <row r="90" spans="4:65" x14ac:dyDescent="0.2">
      <c r="G90" s="5" t="s">
        <v>67</v>
      </c>
      <c r="L90" s="4"/>
      <c r="M90" s="4"/>
      <c r="N90" s="4"/>
    </row>
    <row r="91" spans="4:65" x14ac:dyDescent="0.2">
      <c r="G91" s="88" t="s">
        <v>68</v>
      </c>
      <c r="H91" s="55">
        <f>1/$G$29</f>
        <v>1.4285714285714286</v>
      </c>
      <c r="L91" s="4"/>
      <c r="M91" s="4"/>
      <c r="N91" s="4"/>
    </row>
    <row r="92" spans="4:65" x14ac:dyDescent="0.2">
      <c r="G92" s="37" t="s">
        <v>73</v>
      </c>
      <c r="M92" s="44"/>
    </row>
    <row r="93" spans="4:65" x14ac:dyDescent="0.2">
      <c r="D93" s="4"/>
      <c r="E93" s="4"/>
      <c r="F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row>
    <row r="94" spans="4:65" x14ac:dyDescent="0.2">
      <c r="D94" s="4"/>
      <c r="E94" s="4"/>
      <c r="F94" s="4"/>
      <c r="G94" s="5" t="s">
        <v>70</v>
      </c>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row>
    <row r="95" spans="4:65" x14ac:dyDescent="0.2">
      <c r="D95" s="4"/>
      <c r="E95" s="4"/>
      <c r="F95" s="4"/>
      <c r="G95" s="88" t="s">
        <v>32</v>
      </c>
      <c r="H95" s="89">
        <f>G46</f>
        <v>0.45</v>
      </c>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row>
    <row r="96" spans="4:65" x14ac:dyDescent="0.2">
      <c r="D96" s="4"/>
      <c r="E96" s="4"/>
      <c r="F96" s="4"/>
      <c r="G96" s="8" t="s">
        <v>69</v>
      </c>
      <c r="H96" s="90">
        <f>$G$47/1000000</f>
        <v>4</v>
      </c>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row>
    <row r="97" spans="1:65" x14ac:dyDescent="0.2">
      <c r="D97" s="4"/>
      <c r="E97" s="4"/>
      <c r="F97" s="4"/>
      <c r="G97" s="37" t="s">
        <v>74</v>
      </c>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row>
    <row r="98" spans="1:65" x14ac:dyDescent="0.2">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row>
    <row r="99" spans="1:65" ht="19" x14ac:dyDescent="0.25">
      <c r="A99" s="2" t="s">
        <v>40</v>
      </c>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B100" s="37" t="s">
        <v>58</v>
      </c>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ht="19" x14ac:dyDescent="0.25">
      <c r="A102" s="2" t="s">
        <v>42</v>
      </c>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B103" s="37" t="s">
        <v>59</v>
      </c>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B104" s="37" t="s">
        <v>60</v>
      </c>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sheetData>
  <mergeCells count="8">
    <mergeCell ref="B31:I32"/>
    <mergeCell ref="B25:I26"/>
    <mergeCell ref="G79:I79"/>
    <mergeCell ref="G80:I80"/>
    <mergeCell ref="B54:I55"/>
    <mergeCell ref="B37:I38"/>
    <mergeCell ref="B50:I52"/>
    <mergeCell ref="B62:I7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Least Squares</vt:lpstr>
      <vt:lpstr>Bayesian Credibility</vt:lpstr>
      <vt:lpstr>Caseload Effect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2026-03-05T14:40:44Z</dcterms:modified>
</cp:coreProperties>
</file>