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Cookbook/Exam 7 Cookbook - Excel Version/"/>
    </mc:Choice>
  </mc:AlternateContent>
  <xr:revisionPtr revIDLastSave="0" documentId="13_ncr:1_{E8A62C18-9A61-8A4D-9A9C-FAF2E54D25C1}" xr6:coauthVersionLast="47" xr6:coauthVersionMax="47" xr10:uidLastSave="{00000000-0000-0000-0000-000000000000}"/>
  <bookViews>
    <workbookView xWindow="0" yWindow="760" windowWidth="18080" windowHeight="19860" xr2:uid="{00000000-000D-0000-FFFF-FFFF00000000}"/>
  </bookViews>
  <sheets>
    <sheet name="Benktander Metho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3" i="1" l="1"/>
  <c r="C102" i="1"/>
  <c r="C101" i="1"/>
  <c r="C60" i="1"/>
  <c r="C59" i="1"/>
  <c r="C58" i="1"/>
  <c r="C46" i="1"/>
  <c r="C45" i="1"/>
  <c r="C44" i="1"/>
  <c r="D33" i="1"/>
  <c r="C89" i="1" l="1"/>
  <c r="C88" i="1"/>
  <c r="C87" i="1"/>
  <c r="C75" i="1"/>
  <c r="C74" i="1"/>
  <c r="C73" i="1"/>
  <c r="C33" i="1"/>
  <c r="C34" i="1"/>
  <c r="C32" i="1"/>
  <c r="D75" i="1" l="1"/>
  <c r="E89" i="1" s="1"/>
  <c r="D89" i="1"/>
  <c r="D74" i="1"/>
  <c r="E88" i="1" s="1"/>
  <c r="D88" i="1"/>
  <c r="D73" i="1"/>
  <c r="E87" i="1" s="1"/>
  <c r="D87" i="1"/>
  <c r="D60" i="1"/>
  <c r="D59" i="1"/>
  <c r="D58" i="1"/>
  <c r="D32" i="1"/>
  <c r="D44" i="1" s="1"/>
  <c r="D34" i="1"/>
  <c r="D46" i="1"/>
  <c r="D45" i="1"/>
  <c r="E75" i="1" l="1"/>
  <c r="E73" i="1"/>
  <c r="F87" i="1"/>
  <c r="D101" i="1" s="1"/>
  <c r="E101" i="1" s="1"/>
  <c r="F88" i="1"/>
  <c r="D102" i="1" s="1"/>
  <c r="E102" i="1" s="1"/>
  <c r="F89" i="1"/>
  <c r="D103" i="1" s="1"/>
  <c r="E103" i="1" s="1"/>
  <c r="E74" i="1"/>
</calcChain>
</file>

<file path=xl/sharedStrings.xml><?xml version="1.0" encoding="utf-8"?>
<sst xmlns="http://schemas.openxmlformats.org/spreadsheetml/2006/main" count="70" uniqueCount="57">
  <si>
    <t>Solution</t>
  </si>
  <si>
    <t>Given the following information:</t>
  </si>
  <si>
    <t>Accident Year</t>
  </si>
  <si>
    <t>12 Months</t>
  </si>
  <si>
    <t>24 Months</t>
  </si>
  <si>
    <t>36 Months</t>
  </si>
  <si>
    <t>Earned Premium</t>
  </si>
  <si>
    <t>Cumulative Paid Losses ($000)</t>
  </si>
  <si>
    <t>12-Ult</t>
  </si>
  <si>
    <t>24-Ult</t>
  </si>
  <si>
    <t>36-Ult</t>
  </si>
  <si>
    <t>Selected Loss Development Factors To-Ultimate</t>
  </si>
  <si>
    <t>•  The expected loss ratio is:</t>
  </si>
  <si>
    <t>Method 1 – Using the BF Procedure</t>
  </si>
  <si>
    <t>Ult(BF)</t>
  </si>
  <si>
    <t>Ult(GB)</t>
  </si>
  <si>
    <t>Method 2 – Credibility-Weighting the Chain Ladder and Expected Loss Ultimates</t>
  </si>
  <si>
    <t>Ult(CL)</t>
  </si>
  <si>
    <t>q(k)</t>
  </si>
  <si>
    <t>Method 3 – Credibility-Weighting the Chain Ladder and BF Reserves</t>
  </si>
  <si>
    <t>Resv(BF)</t>
  </si>
  <si>
    <t>Resv(CL)</t>
  </si>
  <si>
    <t>Resv(GB)</t>
  </si>
  <si>
    <t>Discussion</t>
  </si>
  <si>
    <t>Iterated BF Method</t>
  </si>
  <si>
    <t>The Benktander method is a second iteration of the BF procedure. This is how the iteration works:</t>
  </si>
  <si>
    <r>
      <t>1. Start with an ultimate loss estimate, U</t>
    </r>
    <r>
      <rPr>
        <vertAlign val="superscript"/>
        <sz val="12"/>
        <color theme="1"/>
        <rFont val="Calibri"/>
        <family val="2"/>
      </rPr>
      <t>(m)</t>
    </r>
    <r>
      <rPr>
        <sz val="12"/>
        <color theme="1"/>
        <rFont val="Calibri"/>
        <family val="2"/>
      </rPr>
      <t>. For U</t>
    </r>
    <r>
      <rPr>
        <vertAlign val="superscript"/>
        <sz val="12"/>
        <color theme="1"/>
        <rFont val="Calibri"/>
        <family val="2"/>
      </rPr>
      <t>(0)</t>
    </r>
    <r>
      <rPr>
        <sz val="12"/>
        <color theme="1"/>
        <rFont val="Calibri"/>
        <family val="2"/>
      </rPr>
      <t xml:space="preserve">, use the expected loss estimate. </t>
    </r>
  </si>
  <si>
    <t xml:space="preserve">2. Apply the BF procedure to get a new loss reserve estimate: </t>
  </si>
  <si>
    <t xml:space="preserve">Note on the iteration number: </t>
  </si>
  <si>
    <t>Source</t>
  </si>
  <si>
    <t>More Practice</t>
  </si>
  <si>
    <t xml:space="preserve">CAS 2018 – 5 </t>
  </si>
  <si>
    <t xml:space="preserve">CAS 2016 – 1 </t>
  </si>
  <si>
    <t>CAS 2013 – 4</t>
  </si>
  <si>
    <r>
      <t>ultimate (U</t>
    </r>
    <r>
      <rPr>
        <vertAlign val="subscript"/>
        <sz val="12"/>
        <color theme="1"/>
        <rFont val="Calibri"/>
        <family val="2"/>
      </rPr>
      <t>CL</t>
    </r>
    <r>
      <rPr>
        <sz val="12"/>
        <color theme="1"/>
        <rFont val="Calibri"/>
        <family val="2"/>
      </rPr>
      <t>) and expected loss ultimate (U</t>
    </r>
    <r>
      <rPr>
        <vertAlign val="subscript"/>
        <sz val="12"/>
        <color theme="1"/>
        <rFont val="Calibri"/>
        <family val="2"/>
      </rPr>
      <t>0</t>
    </r>
    <r>
      <rPr>
        <sz val="12"/>
        <color theme="1"/>
        <rFont val="Calibri"/>
        <family val="2"/>
      </rPr>
      <t>). This is Method 2 above.</t>
    </r>
  </si>
  <si>
    <r>
      <t>The ultimate loss estimate (U</t>
    </r>
    <r>
      <rPr>
        <vertAlign val="superscript"/>
        <sz val="12"/>
        <color theme="1"/>
        <rFont val="Calibri"/>
        <family val="2"/>
      </rPr>
      <t>(m)</t>
    </r>
    <r>
      <rPr>
        <sz val="12"/>
        <color theme="1"/>
        <rFont val="Calibri"/>
        <family val="2"/>
      </rPr>
      <t>) can be rearranged as a credibility weighting of the Chain Ladder</t>
    </r>
  </si>
  <si>
    <t>1)</t>
  </si>
  <si>
    <t>2)</t>
  </si>
  <si>
    <t>CDF</t>
  </si>
  <si>
    <t>Mack Benktander - Benktander Method</t>
  </si>
  <si>
    <t xml:space="preserve">Process Var = </t>
  </si>
  <si>
    <t>Calculate the ultimate loss estimate for the BF method (1st iteration of the BF procedure).</t>
  </si>
  <si>
    <t>Calculate the ultimate loss estimate for the Benktander method (2nd iteration of the BF procedure).</t>
  </si>
  <si>
    <t>Calculate the ultimate loss estimate for the Chain Ladder method.</t>
  </si>
  <si>
    <r>
      <t>Calculate the ultimate loss estimate for the Benktander method. Make sure to use the expected prior loss ultimate (U</t>
    </r>
    <r>
      <rPr>
        <b/>
        <vertAlign val="subscript"/>
        <sz val="12"/>
        <color theme="1"/>
        <rFont val="Calibri"/>
        <family val="2"/>
      </rPr>
      <t>0</t>
    </r>
    <r>
      <rPr>
        <b/>
        <sz val="12"/>
        <color theme="1"/>
        <rFont val="Calibri"/>
        <family val="2"/>
      </rPr>
      <t>) in the formula.</t>
    </r>
  </si>
  <si>
    <t>Calculate the reserve loss estimate for the Chain Ladder and BF methods.</t>
  </si>
  <si>
    <t>Calculate the reserve for the Benktander method. Make sure to use the BF reserve in the formula. Add the loss to the reserve estimate to calculate the ultimate loss estimate for the Benktander method.</t>
  </si>
  <si>
    <t>Both Hürlimann and Mack – Benktander cover the Benktander method. This method is very similar to the BF method in that it is a weighting of the Chain Ladder and Expected Loss methods.</t>
  </si>
  <si>
    <t>3. Get a new ultimate loss estimate by adding the losses-to-date to the reserve. This is the starting ultimate for the next iteration:</t>
  </si>
  <si>
    <r>
      <t>Alternatively, the loss reserve estimate (R</t>
    </r>
    <r>
      <rPr>
        <vertAlign val="superscript"/>
        <sz val="12"/>
        <color theme="1"/>
        <rFont val="Calibri"/>
        <family val="2"/>
      </rPr>
      <t>(m)</t>
    </r>
    <r>
      <rPr>
        <sz val="12"/>
        <color theme="1"/>
        <rFont val="Calibri"/>
        <family val="2"/>
      </rPr>
      <t xml:space="preserve">) can be rearranged as a credibility weighting of the </t>
    </r>
    <r>
      <rPr>
        <sz val="12"/>
        <color theme="1"/>
        <rFont val="Calibri"/>
        <family val="2"/>
      </rPr>
      <t>Chain</t>
    </r>
  </si>
  <si>
    <r>
      <t>Ladder reserve (R</t>
    </r>
    <r>
      <rPr>
        <vertAlign val="subscript"/>
        <sz val="12"/>
        <color theme="1"/>
        <rFont val="Calibri"/>
        <family val="2"/>
      </rPr>
      <t>CL</t>
    </r>
    <r>
      <rPr>
        <sz val="12"/>
        <color theme="1"/>
        <rFont val="Calibri"/>
        <family val="2"/>
      </rPr>
      <t>) and the BF reserve (R</t>
    </r>
    <r>
      <rPr>
        <vertAlign val="subscript"/>
        <sz val="12"/>
        <color theme="1"/>
        <rFont val="Calibri"/>
        <family val="2"/>
      </rPr>
      <t>BF</t>
    </r>
    <r>
      <rPr>
        <sz val="12"/>
        <color theme="1"/>
        <rFont val="Calibri"/>
        <family val="2"/>
      </rPr>
      <t>) . This is Method 3 above.</t>
    </r>
  </si>
  <si>
    <r>
      <t>Both Hürlimann and Mack – Benktander show calculations in which the first iteration reserve is labeled R</t>
    </r>
    <r>
      <rPr>
        <vertAlign val="superscript"/>
        <sz val="12"/>
        <color theme="1"/>
        <rFont val="Calibri"/>
        <family val="2"/>
      </rPr>
      <t>0</t>
    </r>
    <r>
      <rPr>
        <sz val="12"/>
        <color theme="1"/>
        <rFont val="Calibri"/>
        <family val="2"/>
      </rPr>
      <t>, the BF reserve, and the second iteration is labeled R</t>
    </r>
    <r>
      <rPr>
        <vertAlign val="superscript"/>
        <sz val="12"/>
        <color theme="1"/>
        <rFont val="Calibri"/>
        <family val="2"/>
      </rPr>
      <t>1</t>
    </r>
    <r>
      <rPr>
        <sz val="12"/>
        <color theme="1"/>
        <rFont val="Calibri"/>
        <family val="2"/>
      </rPr>
      <t>, the Benktander reserve. Because of this, the iteration count is a bit confusing. 
As the number of iterations increases, the weight on the chain ladder method increases until it converges to the chain ladder method (as m→∞).</t>
    </r>
  </si>
  <si>
    <t>Mack - Benktander – pg. 334-335</t>
  </si>
  <si>
    <t>RF Mack Benktander – 1</t>
  </si>
  <si>
    <t>RF Mack Benktander – 2</t>
  </si>
  <si>
    <t>RF Mack Benktander – 3</t>
  </si>
  <si>
    <t>Calculate the ultimate loss estimate for accident year's 2021 through 2023 using the Benktander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</si>
</sst>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00"/>
    <numFmt numFmtId="166" formatCode="#,##0.000"/>
  </numFmts>
  <fonts count="14"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1"/>
      <color theme="1"/>
      <name val="Calibri"/>
      <family val="2"/>
    </font>
    <font>
      <sz val="12"/>
      <color rgb="FF000000"/>
      <name val="Calibri"/>
      <family val="2"/>
    </font>
    <font>
      <sz val="12"/>
      <name val="Calibri"/>
      <family val="2"/>
    </font>
    <font>
      <b/>
      <sz val="12"/>
      <color theme="1"/>
      <name val="Calibri"/>
      <family val="2"/>
    </font>
    <font>
      <vertAlign val="superscript"/>
      <sz val="12"/>
      <color theme="1"/>
      <name val="Calibri"/>
      <family val="2"/>
    </font>
    <font>
      <vertAlign val="subscript"/>
      <sz val="12"/>
      <color theme="1"/>
      <name val="Calibri"/>
      <family val="2"/>
    </font>
    <font>
      <u/>
      <sz val="14"/>
      <color theme="1"/>
      <name val="Calibri"/>
      <family val="2"/>
    </font>
    <font>
      <b/>
      <vertAlign val="subscript"/>
      <sz val="12"/>
      <color theme="1"/>
      <name val="Calibri"/>
      <family val="2"/>
    </font>
  </fonts>
  <fills count="3">
    <fill>
      <patternFill patternType="none"/>
    </fill>
    <fill>
      <patternFill patternType="gray125"/>
    </fill>
    <fill>
      <patternFill patternType="solid">
        <fgColor theme="0" tint="-4.9989318521683403E-2"/>
        <bgColor indexed="64"/>
      </patternFill>
    </fill>
  </fills>
  <borders count="25">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4" fillId="0" borderId="0" applyFont="0" applyFill="0" applyBorder="0" applyAlignment="0" applyProtection="0"/>
  </cellStyleXfs>
  <cellXfs count="63">
    <xf numFmtId="0" fontId="0" fillId="0" borderId="0" xfId="0"/>
    <xf numFmtId="0" fontId="5" fillId="2" borderId="1" xfId="0" applyFont="1" applyFill="1" applyBorder="1"/>
    <xf numFmtId="0" fontId="5" fillId="0" borderId="0" xfId="0" applyFont="1"/>
    <xf numFmtId="0" fontId="6" fillId="0" borderId="0" xfId="0" applyFont="1"/>
    <xf numFmtId="3" fontId="7" fillId="0" borderId="0" xfId="0" applyNumberFormat="1" applyFont="1" applyAlignment="1">
      <alignment horizontal="center" vertical="center" wrapText="1"/>
    </xf>
    <xf numFmtId="0" fontId="9" fillId="0" borderId="0" xfId="0" applyFont="1"/>
    <xf numFmtId="3" fontId="7" fillId="0" borderId="6" xfId="0" applyNumberFormat="1" applyFont="1" applyBorder="1" applyAlignment="1">
      <alignment horizontal="center" vertical="center" wrapText="1"/>
    </xf>
    <xf numFmtId="3" fontId="7" fillId="0" borderId="7" xfId="0" applyNumberFormat="1" applyFont="1" applyBorder="1" applyAlignment="1">
      <alignment horizontal="center" vertical="center" wrapText="1"/>
    </xf>
    <xf numFmtId="0" fontId="7" fillId="0" borderId="8" xfId="0" applyFont="1" applyBorder="1" applyAlignment="1">
      <alignment horizontal="center" wrapText="1"/>
    </xf>
    <xf numFmtId="0" fontId="7" fillId="0" borderId="9" xfId="0" applyFont="1" applyBorder="1" applyAlignment="1">
      <alignment horizontal="center" wrapText="1"/>
    </xf>
    <xf numFmtId="0" fontId="7" fillId="0" borderId="10" xfId="0" applyFont="1" applyBorder="1" applyAlignment="1">
      <alignment horizontal="center" vertical="center" wrapText="1"/>
    </xf>
    <xf numFmtId="0" fontId="12" fillId="0" borderId="0" xfId="0" applyFont="1"/>
    <xf numFmtId="0" fontId="9" fillId="0" borderId="0" xfId="0" applyFont="1" applyAlignment="1">
      <alignment horizontal="right"/>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18" xfId="0" applyFont="1" applyFill="1" applyBorder="1" applyAlignment="1">
      <alignment horizontal="center" vertical="center" wrapText="1"/>
    </xf>
    <xf numFmtId="3" fontId="7" fillId="2" borderId="19" xfId="0" applyNumberFormat="1" applyFont="1" applyFill="1" applyBorder="1" applyAlignment="1">
      <alignment horizontal="center" vertical="center" wrapText="1"/>
    </xf>
    <xf numFmtId="3" fontId="7" fillId="2" borderId="20" xfId="0" applyNumberFormat="1" applyFont="1" applyFill="1" applyBorder="1" applyAlignment="1">
      <alignment horizontal="center" vertical="center" wrapText="1"/>
    </xf>
    <xf numFmtId="3" fontId="7" fillId="2" borderId="21" xfId="0" applyNumberFormat="1" applyFont="1" applyFill="1" applyBorder="1" applyAlignment="1">
      <alignment horizontal="center" vertical="center" wrapText="1"/>
    </xf>
    <xf numFmtId="3" fontId="7" fillId="2" borderId="0" xfId="0" applyNumberFormat="1" applyFont="1" applyFill="1" applyAlignment="1">
      <alignment horizontal="center" vertical="center" wrapText="1"/>
    </xf>
    <xf numFmtId="3" fontId="7" fillId="2" borderId="22" xfId="0" applyNumberFormat="1" applyFont="1" applyFill="1" applyBorder="1" applyAlignment="1">
      <alignment horizontal="center" vertical="center" wrapText="1"/>
    </xf>
    <xf numFmtId="3" fontId="7" fillId="2" borderId="16" xfId="0" applyNumberFormat="1" applyFont="1" applyFill="1" applyBorder="1" applyAlignment="1">
      <alignment horizontal="center" vertical="center" wrapText="1"/>
    </xf>
    <xf numFmtId="3" fontId="7" fillId="2" borderId="17" xfId="0" applyNumberFormat="1" applyFont="1" applyFill="1" applyBorder="1" applyAlignment="1">
      <alignment horizontal="center" vertical="center" wrapText="1"/>
    </xf>
    <xf numFmtId="3" fontId="7" fillId="2" borderId="18" xfId="0" applyNumberFormat="1" applyFont="1" applyFill="1" applyBorder="1" applyAlignment="1">
      <alignment horizontal="center" vertical="center" wrapText="1"/>
    </xf>
    <xf numFmtId="0" fontId="3" fillId="2" borderId="0" xfId="0" applyFont="1" applyFill="1"/>
    <xf numFmtId="0" fontId="3" fillId="2" borderId="2" xfId="0" applyFont="1" applyFill="1" applyBorder="1"/>
    <xf numFmtId="0" fontId="3" fillId="0" borderId="0" xfId="0" applyFont="1"/>
    <xf numFmtId="2" fontId="3" fillId="2" borderId="1" xfId="0" applyNumberFormat="1" applyFont="1" applyFill="1" applyBorder="1" applyAlignment="1">
      <alignment horizontal="left"/>
    </xf>
    <xf numFmtId="0" fontId="3" fillId="2" borderId="20" xfId="0" applyFont="1" applyFill="1" applyBorder="1" applyAlignment="1">
      <alignment horizontal="center"/>
    </xf>
    <xf numFmtId="0" fontId="3" fillId="2" borderId="12" xfId="0" applyFont="1" applyFill="1" applyBorder="1"/>
    <xf numFmtId="9" fontId="3" fillId="2" borderId="0" xfId="0" applyNumberFormat="1" applyFont="1" applyFill="1" applyAlignment="1">
      <alignment horizontal="center"/>
    </xf>
    <xf numFmtId="0" fontId="3" fillId="2" borderId="3" xfId="0" applyFont="1" applyFill="1" applyBorder="1"/>
    <xf numFmtId="0" fontId="3" fillId="2" borderId="4" xfId="0" applyFont="1" applyFill="1" applyBorder="1"/>
    <xf numFmtId="164" fontId="3" fillId="2" borderId="4" xfId="1" applyNumberFormat="1" applyFont="1" applyFill="1" applyBorder="1"/>
    <xf numFmtId="0" fontId="3" fillId="2" borderId="5" xfId="0" applyFont="1" applyFill="1" applyBorder="1"/>
    <xf numFmtId="165" fontId="3" fillId="0" borderId="0" xfId="0" applyNumberFormat="1" applyFont="1"/>
    <xf numFmtId="0" fontId="3" fillId="2" borderId="12" xfId="0" applyFont="1" applyFill="1" applyBorder="1" applyAlignment="1">
      <alignment horizontal="center"/>
    </xf>
    <xf numFmtId="0" fontId="2" fillId="0" borderId="0" xfId="0" applyFont="1"/>
    <xf numFmtId="165" fontId="2" fillId="0" borderId="0" xfId="0" applyNumberFormat="1" applyFont="1"/>
    <xf numFmtId="0" fontId="2" fillId="0" borderId="23" xfId="0" applyFont="1" applyBorder="1"/>
    <xf numFmtId="2" fontId="2" fillId="0" borderId="24" xfId="0" applyNumberFormat="1" applyFont="1" applyBorder="1" applyAlignment="1">
      <alignment horizontal="center"/>
    </xf>
    <xf numFmtId="0" fontId="7" fillId="0" borderId="0" xfId="0" applyFont="1" applyAlignment="1">
      <alignment horizontal="center" vertical="center" wrapText="1"/>
    </xf>
    <xf numFmtId="166" fontId="7" fillId="0" borderId="0" xfId="0" applyNumberFormat="1" applyFont="1" applyAlignment="1">
      <alignment horizontal="center" vertical="center" wrapText="1"/>
    </xf>
    <xf numFmtId="0" fontId="2" fillId="2" borderId="0" xfId="0" applyFont="1" applyFill="1"/>
    <xf numFmtId="0" fontId="7" fillId="0" borderId="10" xfId="0" applyFont="1" applyBorder="1" applyAlignment="1">
      <alignment horizontal="center" wrapText="1"/>
    </xf>
    <xf numFmtId="0" fontId="7" fillId="0" borderId="11" xfId="0" applyFont="1" applyBorder="1" applyAlignment="1">
      <alignment horizontal="center" wrapText="1"/>
    </xf>
    <xf numFmtId="0" fontId="2" fillId="0" borderId="0" xfId="0" applyFont="1" applyAlignment="1">
      <alignment horizontal="left" vertical="top" wrapText="1"/>
    </xf>
    <xf numFmtId="0" fontId="3" fillId="0" borderId="0" xfId="0" applyFont="1" applyAlignment="1">
      <alignment horizontal="left" vertical="top" wrapText="1"/>
    </xf>
    <xf numFmtId="0" fontId="9" fillId="0" borderId="0" xfId="0" applyFont="1" applyAlignment="1">
      <alignment horizontal="left" vertical="top" wrapText="1"/>
    </xf>
    <xf numFmtId="0" fontId="7" fillId="0" borderId="8" xfId="0" applyFont="1" applyBorder="1" applyAlignment="1">
      <alignment horizontal="center" wrapText="1"/>
    </xf>
    <xf numFmtId="0" fontId="7" fillId="2" borderId="16" xfId="0" applyFont="1" applyFill="1" applyBorder="1" applyAlignment="1">
      <alignment horizontal="center" wrapText="1"/>
    </xf>
    <xf numFmtId="0" fontId="7" fillId="2" borderId="17" xfId="0" applyFont="1" applyFill="1" applyBorder="1" applyAlignment="1">
      <alignment horizontal="center" wrapText="1"/>
    </xf>
    <xf numFmtId="0" fontId="7" fillId="2" borderId="18" xfId="0" applyFont="1" applyFill="1" applyBorder="1" applyAlignment="1">
      <alignment horizontal="center" wrapText="1"/>
    </xf>
    <xf numFmtId="0" fontId="3" fillId="2" borderId="13" xfId="0" applyFont="1" applyFill="1" applyBorder="1" applyAlignment="1">
      <alignment horizontal="center"/>
    </xf>
    <xf numFmtId="0" fontId="3" fillId="2" borderId="14" xfId="0" applyFont="1" applyFill="1" applyBorder="1" applyAlignment="1">
      <alignment horizontal="center"/>
    </xf>
    <xf numFmtId="0" fontId="7" fillId="2" borderId="16"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3" fillId="2" borderId="15" xfId="0"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391583</xdr:colOff>
      <xdr:row>24</xdr:row>
      <xdr:rowOff>95250</xdr:rowOff>
    </xdr:from>
    <xdr:to>
      <xdr:col>2</xdr:col>
      <xdr:colOff>719667</xdr:colOff>
      <xdr:row>25</xdr:row>
      <xdr:rowOff>158598</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5AFAE801-4F75-7343-9402-03EBE8FEEB17}"/>
                </a:ext>
              </a:extLst>
            </xdr:cNvPr>
            <xdr:cNvSpPr txBox="1"/>
          </xdr:nvSpPr>
          <xdr:spPr>
            <a:xfrm>
              <a:off x="1217083" y="5080000"/>
              <a:ext cx="1153584"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𝐵𝐹</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0</m:t>
                        </m:r>
                      </m:sub>
                    </m:sSub>
                  </m:oMath>
                </m:oMathPara>
              </a14:m>
              <a:endParaRPr lang="en-US"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5AFAE801-4F75-7343-9402-03EBE8FEEB17}"/>
                </a:ext>
              </a:extLst>
            </xdr:cNvPr>
            <xdr:cNvSpPr txBox="1"/>
          </xdr:nvSpPr>
          <xdr:spPr>
            <a:xfrm>
              <a:off x="1217083" y="5080000"/>
              <a:ext cx="1153584"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𝑈_𝐵𝐹=𝐶_𝑘+𝑞_𝑘 𝑈_0</a:t>
              </a:r>
              <a:endParaRPr lang="en-US" sz="1100">
                <a:solidFill>
                  <a:schemeClr val="tx1"/>
                </a:solidFill>
                <a:effectLst/>
                <a:latin typeface="+mn-lt"/>
                <a:ea typeface="+mn-ea"/>
                <a:cs typeface="+mn-cs"/>
              </a:endParaRPr>
            </a:p>
          </xdr:txBody>
        </xdr:sp>
      </mc:Fallback>
    </mc:AlternateContent>
    <xdr:clientData/>
  </xdr:twoCellAnchor>
  <xdr:oneCellAnchor>
    <xdr:from>
      <xdr:col>1</xdr:col>
      <xdr:colOff>359832</xdr:colOff>
      <xdr:row>26</xdr:row>
      <xdr:rowOff>169336</xdr:rowOff>
    </xdr:from>
    <xdr:ext cx="2608150" cy="17209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C3671B2-5B08-734C-B5EA-CD273F13157A}"/>
                </a:ext>
              </a:extLst>
            </xdr:cNvPr>
            <xdr:cNvSpPr txBox="1"/>
          </xdr:nvSpPr>
          <xdr:spPr>
            <a:xfrm>
              <a:off x="1185332" y="5577419"/>
              <a:ext cx="260815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𝐵𝐹</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𝑃𝑎𝑖𝑑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r>
                      <m:rPr>
                        <m:nor/>
                      </m:rPr>
                      <a:rPr lang="en-US">
                        <a:effectLst/>
                      </a:rPr>
                      <m:t> </m:t>
                    </m:r>
                  </m:oMath>
                </m:oMathPara>
              </a14:m>
              <a:endParaRPr lang="en-US" sz="1100">
                <a:solidFill>
                  <a:schemeClr val="tx1"/>
                </a:solidFill>
              </a:endParaRPr>
            </a:p>
          </xdr:txBody>
        </xdr:sp>
      </mc:Choice>
      <mc:Fallback xmlns="">
        <xdr:sp macro="" textlink="">
          <xdr:nvSpPr>
            <xdr:cNvPr id="9" name="TextBox 8">
              <a:extLst>
                <a:ext uri="{FF2B5EF4-FFF2-40B4-BE49-F238E27FC236}">
                  <a16:creationId xmlns:a16="http://schemas.microsoft.com/office/drawing/2014/main" id="{9C3671B2-5B08-734C-B5EA-CD273F13157A}"/>
                </a:ext>
              </a:extLst>
            </xdr:cNvPr>
            <xdr:cNvSpPr txBox="1"/>
          </xdr:nvSpPr>
          <xdr:spPr>
            <a:xfrm>
              <a:off x="1185332" y="5577419"/>
              <a:ext cx="260815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〖𝑈𝑙𝑡〗_𝐵𝐹=𝐿𝑜𝑠𝑠+(1−%𝑃𝑎𝑖𝑑)×𝑃𝑟𝑒𝑚×𝐸𝐿𝑅</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423333</xdr:colOff>
      <xdr:row>36</xdr:row>
      <xdr:rowOff>190499</xdr:rowOff>
    </xdr:from>
    <xdr:to>
      <xdr:col>2</xdr:col>
      <xdr:colOff>804333</xdr:colOff>
      <xdr:row>38</xdr:row>
      <xdr:rowOff>31597</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B5ED659A-C640-F240-A133-455B4DD10519}"/>
                </a:ext>
              </a:extLst>
            </xdr:cNvPr>
            <xdr:cNvSpPr txBox="1"/>
          </xdr:nvSpPr>
          <xdr:spPr>
            <a:xfrm>
              <a:off x="1248833" y="6402916"/>
              <a:ext cx="120650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𝐺𝐵</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𝐵𝐹</m:t>
                        </m:r>
                      </m:sub>
                    </m:sSub>
                    <m:r>
                      <m:rPr>
                        <m:nor/>
                      </m:rPr>
                      <a:rPr lang="en-US">
                        <a:effectLst/>
                      </a:rPr>
                      <m:t> </m:t>
                    </m:r>
                  </m:oMath>
                </m:oMathPara>
              </a14:m>
              <a:endParaRPr lang="en-US" sz="1100">
                <a:solidFill>
                  <a:schemeClr val="tx1"/>
                </a:solidFill>
                <a:effectLst/>
                <a:latin typeface="+mn-lt"/>
                <a:ea typeface="+mn-ea"/>
                <a:cs typeface="+mn-cs"/>
              </a:endParaRPr>
            </a:p>
          </xdr:txBody>
        </xdr:sp>
      </mc:Choice>
      <mc:Fallback xmlns="">
        <xdr:sp macro="" textlink="">
          <xdr:nvSpPr>
            <xdr:cNvPr id="10" name="TextBox 2">
              <a:extLst>
                <a:ext uri="{FF2B5EF4-FFF2-40B4-BE49-F238E27FC236}">
                  <a16:creationId xmlns:a16="http://schemas.microsoft.com/office/drawing/2014/main" id="{B5ED659A-C640-F240-A133-455B4DD10519}"/>
                </a:ext>
              </a:extLst>
            </xdr:cNvPr>
            <xdr:cNvSpPr txBox="1"/>
          </xdr:nvSpPr>
          <xdr:spPr>
            <a:xfrm>
              <a:off x="1248833" y="6402916"/>
              <a:ext cx="120650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mn-lt"/>
                  <a:ea typeface="+mn-ea"/>
                  <a:cs typeface="+mn-cs"/>
                </a:rPr>
                <a:t>𝑈_𝐺𝐵=𝐶_𝑘+𝑞_𝑘 𝑈_𝐵𝐹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359832</xdr:colOff>
      <xdr:row>49</xdr:row>
      <xdr:rowOff>169334</xdr:rowOff>
    </xdr:from>
    <xdr:to>
      <xdr:col>2</xdr:col>
      <xdr:colOff>211667</xdr:colOff>
      <xdr:row>52</xdr:row>
      <xdr:rowOff>4987</xdr:rowOff>
    </xdr:to>
    <mc:AlternateContent xmlns:mc="http://schemas.openxmlformats.org/markup-compatibility/2006" xmlns:a14="http://schemas.microsoft.com/office/drawing/2010/main">
      <mc:Choice Requires="a14">
        <xdr:sp macro="" textlink="">
          <xdr:nvSpPr>
            <xdr:cNvPr id="12" name="TextBox 2">
              <a:extLst>
                <a:ext uri="{FF2B5EF4-FFF2-40B4-BE49-F238E27FC236}">
                  <a16:creationId xmlns:a16="http://schemas.microsoft.com/office/drawing/2014/main" id="{A0FD6C0F-0CF3-4742-B560-51B8EFBAB8CF}"/>
                </a:ext>
              </a:extLst>
            </xdr:cNvPr>
            <xdr:cNvSpPr txBox="1"/>
          </xdr:nvSpPr>
          <xdr:spPr>
            <a:xfrm>
              <a:off x="1185332" y="7852834"/>
              <a:ext cx="677335" cy="43890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𝐶𝐿</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argPr>
                              <m:argSz m:val="-1"/>
                            </m:argPr>
                            <m:r>
                              <a:rPr lang="en-US" sz="1100" i="1">
                                <a:solidFill>
                                  <a:schemeClr val="tx1"/>
                                </a:solidFill>
                                <a:effectLst/>
                                <a:latin typeface="Cambria Math" panose="02040503050406030204" pitchFamily="18" charset="0"/>
                                <a:ea typeface="+mn-ea"/>
                                <a:cs typeface="+mn-cs"/>
                              </a:rPr>
                              <m:t>𝑘</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𝑘</m:t>
                            </m:r>
                          </m:sub>
                        </m:sSub>
                      </m:den>
                    </m:f>
                  </m:oMath>
                </m:oMathPara>
              </a14:m>
              <a:endParaRPr lang="en-US" sz="1100">
                <a:solidFill>
                  <a:schemeClr val="tx1"/>
                </a:solidFill>
                <a:effectLst/>
                <a:latin typeface="+mn-lt"/>
                <a:ea typeface="+mn-ea"/>
                <a:cs typeface="+mn-cs"/>
              </a:endParaRPr>
            </a:p>
          </xdr:txBody>
        </xdr:sp>
      </mc:Choice>
      <mc:Fallback xmlns="">
        <xdr:sp macro="" textlink="">
          <xdr:nvSpPr>
            <xdr:cNvPr id="12" name="TextBox 2">
              <a:extLst>
                <a:ext uri="{FF2B5EF4-FFF2-40B4-BE49-F238E27FC236}">
                  <a16:creationId xmlns:a16="http://schemas.microsoft.com/office/drawing/2014/main" id="{A0FD6C0F-0CF3-4742-B560-51B8EFBAB8CF}"/>
                </a:ext>
              </a:extLst>
            </xdr:cNvPr>
            <xdr:cNvSpPr txBox="1"/>
          </xdr:nvSpPr>
          <xdr:spPr>
            <a:xfrm>
              <a:off x="1185332" y="7852834"/>
              <a:ext cx="677335" cy="43890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𝑈_𝐶𝐿=𝐶_𝑘/𝑝_𝑘 </a:t>
              </a:r>
              <a:endParaRPr lang="en-US" sz="1100">
                <a:solidFill>
                  <a:schemeClr val="tx1"/>
                </a:solidFill>
                <a:effectLst/>
                <a:latin typeface="+mn-lt"/>
                <a:ea typeface="+mn-ea"/>
                <a:cs typeface="+mn-cs"/>
              </a:endParaRPr>
            </a:p>
          </xdr:txBody>
        </xdr:sp>
      </mc:Fallback>
    </mc:AlternateContent>
    <xdr:clientData/>
  </xdr:twoCellAnchor>
  <xdr:oneCellAnchor>
    <xdr:from>
      <xdr:col>1</xdr:col>
      <xdr:colOff>264581</xdr:colOff>
      <xdr:row>53</xdr:row>
      <xdr:rowOff>31753</xdr:rowOff>
    </xdr:from>
    <xdr:ext cx="1231876" cy="17209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0E9A703B-C2CD-4F44-A0B9-7040F51B7A07}"/>
                </a:ext>
              </a:extLst>
            </xdr:cNvPr>
            <xdr:cNvSpPr txBox="1"/>
          </xdr:nvSpPr>
          <xdr:spPr>
            <a:xfrm>
              <a:off x="1090081" y="8540753"/>
              <a:ext cx="123187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𝐶𝐿</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𝐶𝐷𝐹</m:t>
                    </m:r>
                    <m:r>
                      <m:rPr>
                        <m:nor/>
                      </m:rPr>
                      <a:rPr lang="en-US">
                        <a:effectLst/>
                      </a:rPr>
                      <m:t> </m:t>
                    </m:r>
                  </m:oMath>
                </m:oMathPara>
              </a14:m>
              <a:endParaRPr lang="en-US" sz="1100">
                <a:solidFill>
                  <a:schemeClr val="tx1"/>
                </a:solidFill>
              </a:endParaRPr>
            </a:p>
          </xdr:txBody>
        </xdr:sp>
      </mc:Choice>
      <mc:Fallback xmlns="">
        <xdr:sp macro="" textlink="">
          <xdr:nvSpPr>
            <xdr:cNvPr id="13" name="TextBox 12">
              <a:extLst>
                <a:ext uri="{FF2B5EF4-FFF2-40B4-BE49-F238E27FC236}">
                  <a16:creationId xmlns:a16="http://schemas.microsoft.com/office/drawing/2014/main" id="{0E9A703B-C2CD-4F44-A0B9-7040F51B7A07}"/>
                </a:ext>
              </a:extLst>
            </xdr:cNvPr>
            <xdr:cNvSpPr txBox="1"/>
          </xdr:nvSpPr>
          <xdr:spPr>
            <a:xfrm>
              <a:off x="1090081" y="8540753"/>
              <a:ext cx="123187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〖𝑈𝑙𝑡〗_𝐶𝐿=𝐿𝑜𝑠𝑠×𝐶𝐷𝐹</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391584</xdr:colOff>
      <xdr:row>63</xdr:row>
      <xdr:rowOff>126999</xdr:rowOff>
    </xdr:from>
    <xdr:to>
      <xdr:col>2</xdr:col>
      <xdr:colOff>518584</xdr:colOff>
      <xdr:row>65</xdr:row>
      <xdr:rowOff>135201</xdr:rowOff>
    </xdr:to>
    <mc:AlternateContent xmlns:mc="http://schemas.openxmlformats.org/markup-compatibility/2006" xmlns:a14="http://schemas.microsoft.com/office/drawing/2010/main">
      <mc:Choice Requires="a14">
        <xdr:sp macro="" textlink="">
          <xdr:nvSpPr>
            <xdr:cNvPr id="14" name="TextBox 2">
              <a:extLst>
                <a:ext uri="{FF2B5EF4-FFF2-40B4-BE49-F238E27FC236}">
                  <a16:creationId xmlns:a16="http://schemas.microsoft.com/office/drawing/2014/main" id="{D7A4343F-D77B-AD44-B8AB-6B399F95C7AC}"/>
                </a:ext>
              </a:extLst>
            </xdr:cNvPr>
            <xdr:cNvSpPr txBox="1"/>
          </xdr:nvSpPr>
          <xdr:spPr>
            <a:xfrm>
              <a:off x="1217084" y="10445749"/>
              <a:ext cx="952500" cy="41036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=1−</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𝐶𝐷𝐹</m:t>
                        </m:r>
                      </m:den>
                    </m:f>
                  </m:oMath>
                </m:oMathPara>
              </a14:m>
              <a:endParaRPr lang="en-US" sz="1100">
                <a:solidFill>
                  <a:schemeClr val="tx1"/>
                </a:solidFill>
                <a:effectLst/>
                <a:latin typeface="+mn-lt"/>
                <a:ea typeface="+mn-ea"/>
                <a:cs typeface="+mn-cs"/>
              </a:endParaRPr>
            </a:p>
          </xdr:txBody>
        </xdr:sp>
      </mc:Choice>
      <mc:Fallback xmlns="">
        <xdr:sp macro="" textlink="">
          <xdr:nvSpPr>
            <xdr:cNvPr id="14" name="TextBox 2">
              <a:extLst>
                <a:ext uri="{FF2B5EF4-FFF2-40B4-BE49-F238E27FC236}">
                  <a16:creationId xmlns:a16="http://schemas.microsoft.com/office/drawing/2014/main" id="{D7A4343F-D77B-AD44-B8AB-6B399F95C7AC}"/>
                </a:ext>
              </a:extLst>
            </xdr:cNvPr>
            <xdr:cNvSpPr txBox="1"/>
          </xdr:nvSpPr>
          <xdr:spPr>
            <a:xfrm>
              <a:off x="1217084" y="10445749"/>
              <a:ext cx="952500" cy="41036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𝑞_𝑘=1−1/𝐶𝐷𝐹</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349249</xdr:colOff>
      <xdr:row>78</xdr:row>
      <xdr:rowOff>127000</xdr:rowOff>
    </xdr:from>
    <xdr:to>
      <xdr:col>2</xdr:col>
      <xdr:colOff>592667</xdr:colOff>
      <xdr:row>80</xdr:row>
      <xdr:rowOff>163671</xdr:rowOff>
    </xdr:to>
    <mc:AlternateContent xmlns:mc="http://schemas.openxmlformats.org/markup-compatibility/2006" xmlns:a14="http://schemas.microsoft.com/office/drawing/2010/main">
      <mc:Choice Requires="a14">
        <xdr:sp macro="" textlink="">
          <xdr:nvSpPr>
            <xdr:cNvPr id="15" name="TextBox 2">
              <a:extLst>
                <a:ext uri="{FF2B5EF4-FFF2-40B4-BE49-F238E27FC236}">
                  <a16:creationId xmlns:a16="http://schemas.microsoft.com/office/drawing/2014/main" id="{7BECE4AF-B493-7248-8A3E-202DC0571FE9}"/>
                </a:ext>
              </a:extLst>
            </xdr:cNvPr>
            <xdr:cNvSpPr txBox="1"/>
          </xdr:nvSpPr>
          <xdr:spPr>
            <a:xfrm>
              <a:off x="1174749" y="16160750"/>
              <a:ext cx="1068918" cy="4388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argPr>
                          <m:argSz m:val="-1"/>
                        </m:argPr>
                        <m:r>
                          <a:rPr lang="en-US" sz="1100" i="1">
                            <a:solidFill>
                              <a:schemeClr val="tx1"/>
                            </a:solidFill>
                            <a:effectLst/>
                            <a:latin typeface="Cambria Math" panose="02040503050406030204" pitchFamily="18" charset="0"/>
                            <a:ea typeface="+mn-ea"/>
                            <a:cs typeface="+mn-cs"/>
                          </a:rPr>
                          <m:t>𝐶𝐿</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argPr>
                              <m:argSz m:val="-1"/>
                            </m:argPr>
                            <m:r>
                              <a:rPr lang="en-US" sz="1100" i="1">
                                <a:solidFill>
                                  <a:schemeClr val="tx1"/>
                                </a:solidFill>
                                <a:effectLst/>
                                <a:latin typeface="Cambria Math" panose="02040503050406030204" pitchFamily="18" charset="0"/>
                                <a:ea typeface="+mn-ea"/>
                                <a:cs typeface="+mn-cs"/>
                              </a:rPr>
                              <m:t>𝑘</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𝑘</m:t>
                            </m:r>
                          </m:sub>
                        </m:sSub>
                      </m:den>
                    </m:f>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argPr>
                          <m:argSz m:val="-1"/>
                        </m:argPr>
                        <m:r>
                          <a:rPr lang="en-US" sz="1100" i="1">
                            <a:solidFill>
                              <a:schemeClr val="tx1"/>
                            </a:solidFill>
                            <a:effectLst/>
                            <a:latin typeface="Cambria Math" panose="02040503050406030204" pitchFamily="18" charset="0"/>
                            <a:ea typeface="+mn-ea"/>
                            <a:cs typeface="+mn-cs"/>
                          </a:rPr>
                          <m:t>𝑘</m:t>
                        </m:r>
                      </m:sub>
                    </m:sSub>
                  </m:oMath>
                </m:oMathPara>
              </a14:m>
              <a:endParaRPr lang="en-US" sz="1100">
                <a:solidFill>
                  <a:schemeClr val="tx1"/>
                </a:solidFill>
                <a:effectLst/>
                <a:latin typeface="+mn-lt"/>
                <a:ea typeface="+mn-ea"/>
                <a:cs typeface="+mn-cs"/>
              </a:endParaRPr>
            </a:p>
          </xdr:txBody>
        </xdr:sp>
      </mc:Choice>
      <mc:Fallback xmlns="">
        <xdr:sp macro="" textlink="">
          <xdr:nvSpPr>
            <xdr:cNvPr id="15" name="TextBox 2">
              <a:extLst>
                <a:ext uri="{FF2B5EF4-FFF2-40B4-BE49-F238E27FC236}">
                  <a16:creationId xmlns:a16="http://schemas.microsoft.com/office/drawing/2014/main" id="{7BECE4AF-B493-7248-8A3E-202DC0571FE9}"/>
                </a:ext>
              </a:extLst>
            </xdr:cNvPr>
            <xdr:cNvSpPr txBox="1"/>
          </xdr:nvSpPr>
          <xdr:spPr>
            <a:xfrm>
              <a:off x="1174749" y="16160750"/>
              <a:ext cx="1068918" cy="4388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𝑅_𝐶𝐿=𝐶_𝑘/𝑝_𝑘 −𝐶_𝑘</a:t>
              </a:r>
              <a:endParaRPr lang="en-US" sz="1100">
                <a:solidFill>
                  <a:schemeClr val="tx1"/>
                </a:solidFill>
                <a:effectLst/>
                <a:latin typeface="+mn-lt"/>
                <a:ea typeface="+mn-ea"/>
                <a:cs typeface="+mn-cs"/>
              </a:endParaRPr>
            </a:p>
          </xdr:txBody>
        </xdr:sp>
      </mc:Fallback>
    </mc:AlternateContent>
    <xdr:clientData/>
  </xdr:twoCellAnchor>
  <xdr:oneCellAnchor>
    <xdr:from>
      <xdr:col>3</xdr:col>
      <xdr:colOff>275164</xdr:colOff>
      <xdr:row>79</xdr:row>
      <xdr:rowOff>74085</xdr:rowOff>
    </xdr:from>
    <xdr:ext cx="1638397" cy="172098"/>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85BD566D-E833-DF48-9203-78FEACC29922}"/>
                </a:ext>
              </a:extLst>
            </xdr:cNvPr>
            <xdr:cNvSpPr txBox="1"/>
          </xdr:nvSpPr>
          <xdr:spPr>
            <a:xfrm>
              <a:off x="2751664" y="13271502"/>
              <a:ext cx="1638397"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𝑅𝑒𝑠𝑣</m:t>
                        </m:r>
                      </m:e>
                      <m:sub>
                        <m:argPr>
                          <m:argSz m:val="-1"/>
                        </m:argPr>
                        <m:r>
                          <a:rPr lang="en-US" sz="1100" i="1">
                            <a:solidFill>
                              <a:schemeClr val="tx1"/>
                            </a:solidFill>
                            <a:effectLst/>
                            <a:latin typeface="Cambria Math" panose="02040503050406030204" pitchFamily="18" charset="0"/>
                            <a:ea typeface="+mn-ea"/>
                            <a:cs typeface="+mn-cs"/>
                          </a:rPr>
                          <m:t>𝐶𝐿</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𝐶𝐷𝐹</m:t>
                        </m:r>
                        <m:r>
                          <a:rPr lang="en-US" sz="1100" i="1">
                            <a:solidFill>
                              <a:schemeClr val="tx1"/>
                            </a:solidFill>
                            <a:effectLst/>
                            <a:latin typeface="Cambria Math" panose="02040503050406030204" pitchFamily="18" charset="0"/>
                            <a:ea typeface="+mn-ea"/>
                            <a:cs typeface="+mn-cs"/>
                          </a:rPr>
                          <m:t>−1</m:t>
                        </m:r>
                      </m:e>
                    </m:d>
                  </m:oMath>
                </m:oMathPara>
              </a14:m>
              <a:endParaRPr lang="en-US" sz="1100">
                <a:solidFill>
                  <a:schemeClr val="tx1"/>
                </a:solidFill>
                <a:effectLst/>
                <a:latin typeface="+mn-lt"/>
                <a:ea typeface="+mn-ea"/>
                <a:cs typeface="+mn-cs"/>
              </a:endParaRPr>
            </a:p>
          </xdr:txBody>
        </xdr:sp>
      </mc:Choice>
      <mc:Fallback xmlns="">
        <xdr:sp macro="" textlink="">
          <xdr:nvSpPr>
            <xdr:cNvPr id="16" name="TextBox 15">
              <a:extLst>
                <a:ext uri="{FF2B5EF4-FFF2-40B4-BE49-F238E27FC236}">
                  <a16:creationId xmlns:a16="http://schemas.microsoft.com/office/drawing/2014/main" id="{85BD566D-E833-DF48-9203-78FEACC29922}"/>
                </a:ext>
              </a:extLst>
            </xdr:cNvPr>
            <xdr:cNvSpPr txBox="1"/>
          </xdr:nvSpPr>
          <xdr:spPr>
            <a:xfrm>
              <a:off x="2751664" y="13271502"/>
              <a:ext cx="1638397"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〖𝑅𝑒𝑠𝑣〗_𝐶𝐿=𝐿𝑜𝑠𝑠×(𝐶𝐷𝐹−1)</a:t>
              </a:r>
              <a:endParaRPr lang="en-US" sz="1100">
                <a:solidFill>
                  <a:schemeClr val="tx1"/>
                </a:solidFill>
                <a:effectLst/>
                <a:latin typeface="+mn-lt"/>
                <a:ea typeface="+mn-ea"/>
                <a:cs typeface="+mn-cs"/>
              </a:endParaRPr>
            </a:p>
          </xdr:txBody>
        </xdr:sp>
      </mc:Fallback>
    </mc:AlternateContent>
    <xdr:clientData/>
  </xdr:oneCellAnchor>
  <xdr:twoCellAnchor>
    <xdr:from>
      <xdr:col>1</xdr:col>
      <xdr:colOff>338667</xdr:colOff>
      <xdr:row>94</xdr:row>
      <xdr:rowOff>169333</xdr:rowOff>
    </xdr:from>
    <xdr:to>
      <xdr:col>3</xdr:col>
      <xdr:colOff>582083</xdr:colOff>
      <xdr:row>96</xdr:row>
      <xdr:rowOff>31598</xdr:rowOff>
    </xdr:to>
    <mc:AlternateContent xmlns:mc="http://schemas.openxmlformats.org/markup-compatibility/2006" xmlns:a14="http://schemas.microsoft.com/office/drawing/2010/main">
      <mc:Choice Requires="a14">
        <xdr:sp macro="" textlink="">
          <xdr:nvSpPr>
            <xdr:cNvPr id="17" name="TextBox 2">
              <a:extLst>
                <a:ext uri="{FF2B5EF4-FFF2-40B4-BE49-F238E27FC236}">
                  <a16:creationId xmlns:a16="http://schemas.microsoft.com/office/drawing/2014/main" id="{CB2E73A5-17F4-454B-B6F6-6961ECC7D0CF}"/>
                </a:ext>
              </a:extLst>
            </xdr:cNvPr>
            <xdr:cNvSpPr txBox="1"/>
          </xdr:nvSpPr>
          <xdr:spPr>
            <a:xfrm>
              <a:off x="1164167" y="19431000"/>
              <a:ext cx="1894416"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argPr>
                          <m:argSz m:val="-2"/>
                        </m:argPr>
                        <m:r>
                          <a:rPr lang="en-US" sz="1100" i="1">
                            <a:solidFill>
                              <a:schemeClr val="tx1"/>
                            </a:solidFill>
                            <a:effectLst/>
                            <a:latin typeface="Cambria Math" panose="02040503050406030204" pitchFamily="18" charset="0"/>
                            <a:ea typeface="+mn-ea"/>
                            <a:cs typeface="+mn-cs"/>
                          </a:rPr>
                          <m:t>𝐺𝐵</m:t>
                        </m:r>
                      </m:sub>
                    </m:sSub>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e>
                    </m:d>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argPr>
                          <m:argSz m:val="-1"/>
                        </m:argPr>
                        <m:r>
                          <a:rPr lang="en-US" sz="1100" i="1">
                            <a:solidFill>
                              <a:schemeClr val="tx1"/>
                            </a:solidFill>
                            <a:effectLst/>
                            <a:latin typeface="Cambria Math" panose="02040503050406030204" pitchFamily="18" charset="0"/>
                            <a:ea typeface="+mn-ea"/>
                            <a:cs typeface="+mn-cs"/>
                          </a:rPr>
                          <m:t>𝐶𝐿</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argPr>
                          <m:argSz m:val="-1"/>
                        </m:argPr>
                        <m:r>
                          <a:rPr lang="en-US" sz="1100" i="1">
                            <a:solidFill>
                              <a:schemeClr val="tx1"/>
                            </a:solidFill>
                            <a:effectLst/>
                            <a:latin typeface="Cambria Math" panose="02040503050406030204" pitchFamily="18" charset="0"/>
                            <a:ea typeface="+mn-ea"/>
                            <a:cs typeface="+mn-cs"/>
                          </a:rPr>
                          <m:t>𝐵𝐹</m:t>
                        </m:r>
                      </m:sub>
                    </m:sSub>
                  </m:oMath>
                </m:oMathPara>
              </a14:m>
              <a:endParaRPr lang="en-US" sz="1100">
                <a:solidFill>
                  <a:schemeClr val="tx1"/>
                </a:solidFill>
                <a:effectLst/>
                <a:latin typeface="+mn-lt"/>
                <a:ea typeface="+mn-ea"/>
                <a:cs typeface="+mn-cs"/>
              </a:endParaRPr>
            </a:p>
          </xdr:txBody>
        </xdr:sp>
      </mc:Choice>
      <mc:Fallback xmlns="">
        <xdr:sp macro="" textlink="">
          <xdr:nvSpPr>
            <xdr:cNvPr id="17" name="TextBox 2">
              <a:extLst>
                <a:ext uri="{FF2B5EF4-FFF2-40B4-BE49-F238E27FC236}">
                  <a16:creationId xmlns:a16="http://schemas.microsoft.com/office/drawing/2014/main" id="{CB2E73A5-17F4-454B-B6F6-6961ECC7D0CF}"/>
                </a:ext>
              </a:extLst>
            </xdr:cNvPr>
            <xdr:cNvSpPr txBox="1"/>
          </xdr:nvSpPr>
          <xdr:spPr>
            <a:xfrm>
              <a:off x="1164167" y="19431000"/>
              <a:ext cx="1894416"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𝑅_𝐺𝐵=(1−𝑞_𝑘 ) 𝑅_𝐶𝐿+𝑞_𝑘×𝑅_𝐵𝐹</a:t>
              </a:r>
              <a:endParaRPr lang="en-US" sz="1100">
                <a:solidFill>
                  <a:schemeClr val="tx1"/>
                </a:solidFill>
                <a:effectLst/>
                <a:latin typeface="+mn-lt"/>
                <a:ea typeface="+mn-ea"/>
                <a:cs typeface="+mn-cs"/>
              </a:endParaRPr>
            </a:p>
          </xdr:txBody>
        </xdr:sp>
      </mc:Fallback>
    </mc:AlternateContent>
    <xdr:clientData/>
  </xdr:twoCellAnchor>
  <xdr:oneCellAnchor>
    <xdr:from>
      <xdr:col>3</xdr:col>
      <xdr:colOff>793750</xdr:colOff>
      <xdr:row>67</xdr:row>
      <xdr:rowOff>42333</xdr:rowOff>
    </xdr:from>
    <xdr:ext cx="3529363" cy="17209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D0505E18-2D1A-F447-90D5-57628ACE3618}"/>
                </a:ext>
              </a:extLst>
            </xdr:cNvPr>
            <xdr:cNvSpPr txBox="1"/>
          </xdr:nvSpPr>
          <xdr:spPr>
            <a:xfrm>
              <a:off x="3270250" y="11165416"/>
              <a:ext cx="352936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𝐺𝐵</m:t>
                        </m:r>
                      </m:sub>
                    </m:sSub>
                    <m:r>
                      <a:rPr lang="en-US" sz="1100" i="1">
                        <a:solidFill>
                          <a:schemeClr val="tx1"/>
                        </a:solidFill>
                        <a:effectLst/>
                        <a:latin typeface="Cambria Math" panose="02040503050406030204" pitchFamily="18" charset="0"/>
                        <a:ea typeface="+mn-ea"/>
                        <a:cs typeface="+mn-cs"/>
                      </a:rPr>
                      <m:t>=</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𝑈𝑛𝑝𝑎𝑖𝑑</m:t>
                            </m:r>
                          </m:e>
                          <m:sup>
                            <m:argPr>
                              <m:argSz m:val="-1"/>
                            </m:argPr>
                            <m:r>
                              <a:rPr lang="en-US" sz="1100" i="1">
                                <a:solidFill>
                                  <a:schemeClr val="tx1"/>
                                </a:solidFill>
                                <a:effectLst/>
                                <a:latin typeface="Cambria Math" panose="02040503050406030204" pitchFamily="18" charset="0"/>
                                <a:ea typeface="+mn-ea"/>
                                <a:cs typeface="+mn-cs"/>
                              </a:rPr>
                              <m:t>2</m:t>
                            </m:r>
                          </m:sup>
                        </m:sSup>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𝐶𝐿</m:t>
                        </m:r>
                      </m:sub>
                    </m:sSub>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𝑈𝑛𝑝𝑎𝑖𝑑</m:t>
                        </m:r>
                      </m:e>
                      <m:sup>
                        <m:argPr>
                          <m:argSz m:val="-1"/>
                        </m:argPr>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oMath>
                </m:oMathPara>
              </a14:m>
              <a:endParaRPr lang="en-US" sz="1100">
                <a:solidFill>
                  <a:schemeClr val="tx1"/>
                </a:solidFill>
                <a:effectLst/>
                <a:latin typeface="+mn-lt"/>
                <a:ea typeface="+mn-ea"/>
                <a:cs typeface="+mn-cs"/>
              </a:endParaRPr>
            </a:p>
          </xdr:txBody>
        </xdr:sp>
      </mc:Choice>
      <mc:Fallback xmlns="">
        <xdr:sp macro="" textlink="">
          <xdr:nvSpPr>
            <xdr:cNvPr id="18" name="TextBox 17">
              <a:extLst>
                <a:ext uri="{FF2B5EF4-FFF2-40B4-BE49-F238E27FC236}">
                  <a16:creationId xmlns:a16="http://schemas.microsoft.com/office/drawing/2014/main" id="{D0505E18-2D1A-F447-90D5-57628ACE3618}"/>
                </a:ext>
              </a:extLst>
            </xdr:cNvPr>
            <xdr:cNvSpPr txBox="1"/>
          </xdr:nvSpPr>
          <xdr:spPr>
            <a:xfrm>
              <a:off x="3270250" y="11165416"/>
              <a:ext cx="352936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〖𝑈𝑙𝑡〗_𝐺𝐵=[1−〖%𝑈𝑛𝑝𝑎𝑖𝑑〗^2 ]×〖𝑈𝑙𝑡〗_𝐶𝐿+〖%𝑈𝑛𝑝𝑎𝑖𝑑〗^2×𝑃𝑟𝑒𝑚×𝐸𝐿𝑅</a:t>
              </a:r>
              <a:endParaRPr lang="en-US" sz="1100">
                <a:solidFill>
                  <a:schemeClr val="tx1"/>
                </a:solidFill>
                <a:effectLst/>
                <a:latin typeface="+mn-lt"/>
                <a:ea typeface="+mn-ea"/>
                <a:cs typeface="+mn-cs"/>
              </a:endParaRPr>
            </a:p>
          </xdr:txBody>
        </xdr:sp>
      </mc:Fallback>
    </mc:AlternateContent>
    <xdr:clientData/>
  </xdr:oneCellAnchor>
  <xdr:oneCellAnchor>
    <xdr:from>
      <xdr:col>1</xdr:col>
      <xdr:colOff>433917</xdr:colOff>
      <xdr:row>39</xdr:row>
      <xdr:rowOff>42334</xdr:rowOff>
    </xdr:from>
    <xdr:ext cx="2129044" cy="172098"/>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8D3C60D4-B76E-044F-8B0B-6AC903137098}"/>
                </a:ext>
              </a:extLst>
            </xdr:cNvPr>
            <xdr:cNvSpPr txBox="1"/>
          </xdr:nvSpPr>
          <xdr:spPr>
            <a:xfrm>
              <a:off x="1259417" y="6879167"/>
              <a:ext cx="2129044"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𝐺𝐵</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𝑃𝑎𝑖𝑑</m:t>
                        </m:r>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𝐵𝐹</m:t>
                        </m:r>
                      </m:sub>
                    </m:sSub>
                    <m:r>
                      <m:rPr>
                        <m:nor/>
                      </m:rPr>
                      <a:rPr lang="en-US">
                        <a:effectLst/>
                      </a:rPr>
                      <m:t> </m:t>
                    </m:r>
                  </m:oMath>
                </m:oMathPara>
              </a14:m>
              <a:endParaRPr lang="en-US" sz="1100">
                <a:solidFill>
                  <a:schemeClr val="tx1"/>
                </a:solidFill>
              </a:endParaRPr>
            </a:p>
          </xdr:txBody>
        </xdr:sp>
      </mc:Choice>
      <mc:Fallback xmlns="">
        <xdr:sp macro="" textlink="">
          <xdr:nvSpPr>
            <xdr:cNvPr id="19" name="TextBox 18">
              <a:extLst>
                <a:ext uri="{FF2B5EF4-FFF2-40B4-BE49-F238E27FC236}">
                  <a16:creationId xmlns:a16="http://schemas.microsoft.com/office/drawing/2014/main" id="{8D3C60D4-B76E-044F-8B0B-6AC903137098}"/>
                </a:ext>
              </a:extLst>
            </xdr:cNvPr>
            <xdr:cNvSpPr txBox="1"/>
          </xdr:nvSpPr>
          <xdr:spPr>
            <a:xfrm>
              <a:off x="1259417" y="6879167"/>
              <a:ext cx="2129044"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𝑈_𝐺𝐵=𝐿𝑜𝑠𝑠+(1−%𝑃𝑎𝑖𝑑)×〖𝑈𝑙𝑡〗_𝐵𝐹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349249</xdr:colOff>
      <xdr:row>66</xdr:row>
      <xdr:rowOff>179916</xdr:rowOff>
    </xdr:from>
    <xdr:to>
      <xdr:col>3</xdr:col>
      <xdr:colOff>508000</xdr:colOff>
      <xdr:row>68</xdr:row>
      <xdr:rowOff>42180</xdr:rowOff>
    </xdr:to>
    <mc:AlternateContent xmlns:mc="http://schemas.openxmlformats.org/markup-compatibility/2006" xmlns:a14="http://schemas.microsoft.com/office/drawing/2010/main">
      <mc:Choice Requires="a14">
        <xdr:sp macro="" textlink="">
          <xdr:nvSpPr>
            <xdr:cNvPr id="20" name="TextBox 2">
              <a:extLst>
                <a:ext uri="{FF2B5EF4-FFF2-40B4-BE49-F238E27FC236}">
                  <a16:creationId xmlns:a16="http://schemas.microsoft.com/office/drawing/2014/main" id="{44956563-A78E-8445-8285-12B665651352}"/>
                </a:ext>
              </a:extLst>
            </xdr:cNvPr>
            <xdr:cNvSpPr txBox="1"/>
          </xdr:nvSpPr>
          <xdr:spPr>
            <a:xfrm>
              <a:off x="1174749" y="13726583"/>
              <a:ext cx="1809751" cy="2644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𝐺𝐵</m:t>
                        </m:r>
                      </m:sub>
                    </m:sSub>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up>
                            <m:argPr>
                              <m:argSz m:val="-1"/>
                            </m:argPr>
                            <m:r>
                              <a:rPr lang="en-US" sz="1100" i="1">
                                <a:solidFill>
                                  <a:schemeClr val="tx1"/>
                                </a:solidFill>
                                <a:effectLst/>
                                <a:latin typeface="Cambria Math" panose="02040503050406030204" pitchFamily="18" charset="0"/>
                                <a:ea typeface="+mn-ea"/>
                                <a:cs typeface="+mn-cs"/>
                              </a:rPr>
                              <m:t>2</m:t>
                            </m:r>
                          </m:sup>
                        </m:sSubSup>
                      </m:e>
                    </m:d>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𝐶𝐿</m:t>
                        </m:r>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up>
                        <m:argPr>
                          <m:argSz m:val="-1"/>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0</m:t>
                        </m:r>
                      </m:sub>
                    </m:sSub>
                  </m:oMath>
                </m:oMathPara>
              </a14:m>
              <a:endParaRPr lang="en-US" sz="1100">
                <a:solidFill>
                  <a:schemeClr val="tx1"/>
                </a:solidFill>
                <a:effectLst/>
                <a:latin typeface="+mn-lt"/>
                <a:ea typeface="+mn-ea"/>
                <a:cs typeface="+mn-cs"/>
              </a:endParaRPr>
            </a:p>
          </xdr:txBody>
        </xdr:sp>
      </mc:Choice>
      <mc:Fallback xmlns="">
        <xdr:sp macro="" textlink="">
          <xdr:nvSpPr>
            <xdr:cNvPr id="20" name="TextBox 2">
              <a:extLst>
                <a:ext uri="{FF2B5EF4-FFF2-40B4-BE49-F238E27FC236}">
                  <a16:creationId xmlns:a16="http://schemas.microsoft.com/office/drawing/2014/main" id="{44956563-A78E-8445-8285-12B665651352}"/>
                </a:ext>
              </a:extLst>
            </xdr:cNvPr>
            <xdr:cNvSpPr txBox="1"/>
          </xdr:nvSpPr>
          <xdr:spPr>
            <a:xfrm>
              <a:off x="1174749" y="13726583"/>
              <a:ext cx="1809751" cy="2644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𝑈_𝐺𝐵=(1−𝑞_𝑘^2 ) 𝑈_𝐶𝐿+𝑞_𝑘^2×𝑈_0</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338667</xdr:colOff>
      <xdr:row>81</xdr:row>
      <xdr:rowOff>127001</xdr:rowOff>
    </xdr:from>
    <xdr:to>
      <xdr:col>2</xdr:col>
      <xdr:colOff>381001</xdr:colOff>
      <xdr:row>82</xdr:row>
      <xdr:rowOff>190348</xdr:rowOff>
    </xdr:to>
    <mc:AlternateContent xmlns:mc="http://schemas.openxmlformats.org/markup-compatibility/2006" xmlns:a14="http://schemas.microsoft.com/office/drawing/2010/main">
      <mc:Choice Requires="a14">
        <xdr:sp macro="" textlink="">
          <xdr:nvSpPr>
            <xdr:cNvPr id="21" name="TextBox 2">
              <a:extLst>
                <a:ext uri="{FF2B5EF4-FFF2-40B4-BE49-F238E27FC236}">
                  <a16:creationId xmlns:a16="http://schemas.microsoft.com/office/drawing/2014/main" id="{5C6FE187-0425-D041-ACB0-0877D6493A84}"/>
                </a:ext>
              </a:extLst>
            </xdr:cNvPr>
            <xdr:cNvSpPr txBox="1"/>
          </xdr:nvSpPr>
          <xdr:spPr>
            <a:xfrm>
              <a:off x="1164167" y="13726584"/>
              <a:ext cx="867834"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argPr>
                          <m:argSz m:val="-1"/>
                        </m:argPr>
                        <m:r>
                          <a:rPr lang="en-US" sz="1100" i="1">
                            <a:solidFill>
                              <a:schemeClr val="tx1"/>
                            </a:solidFill>
                            <a:effectLst/>
                            <a:latin typeface="Cambria Math" panose="02040503050406030204" pitchFamily="18" charset="0"/>
                            <a:ea typeface="+mn-ea"/>
                            <a:cs typeface="+mn-cs"/>
                          </a:rPr>
                          <m:t>𝐵𝐹</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0</m:t>
                        </m:r>
                      </m:sub>
                    </m:sSub>
                  </m:oMath>
                </m:oMathPara>
              </a14:m>
              <a:endParaRPr lang="en-US" sz="1100">
                <a:solidFill>
                  <a:schemeClr val="tx1"/>
                </a:solidFill>
                <a:effectLst/>
                <a:latin typeface="+mn-lt"/>
                <a:ea typeface="+mn-ea"/>
                <a:cs typeface="+mn-cs"/>
              </a:endParaRPr>
            </a:p>
          </xdr:txBody>
        </xdr:sp>
      </mc:Choice>
      <mc:Fallback xmlns="">
        <xdr:sp macro="" textlink="">
          <xdr:nvSpPr>
            <xdr:cNvPr id="21" name="TextBox 2">
              <a:extLst>
                <a:ext uri="{FF2B5EF4-FFF2-40B4-BE49-F238E27FC236}">
                  <a16:creationId xmlns:a16="http://schemas.microsoft.com/office/drawing/2014/main" id="{5C6FE187-0425-D041-ACB0-0877D6493A84}"/>
                </a:ext>
              </a:extLst>
            </xdr:cNvPr>
            <xdr:cNvSpPr txBox="1"/>
          </xdr:nvSpPr>
          <xdr:spPr>
            <a:xfrm>
              <a:off x="1164167" y="13726584"/>
              <a:ext cx="867834"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𝑅_𝐵𝐹=𝑞_𝑘 𝑈_0</a:t>
              </a:r>
              <a:endParaRPr lang="en-US" sz="1100">
                <a:solidFill>
                  <a:schemeClr val="tx1"/>
                </a:solidFill>
                <a:effectLst/>
                <a:latin typeface="+mn-lt"/>
                <a:ea typeface="+mn-ea"/>
                <a:cs typeface="+mn-cs"/>
              </a:endParaRPr>
            </a:p>
          </xdr:txBody>
        </xdr:sp>
      </mc:Fallback>
    </mc:AlternateContent>
    <xdr:clientData/>
  </xdr:twoCellAnchor>
  <xdr:oneCellAnchor>
    <xdr:from>
      <xdr:col>3</xdr:col>
      <xdr:colOff>243415</xdr:colOff>
      <xdr:row>81</xdr:row>
      <xdr:rowOff>158753</xdr:rowOff>
    </xdr:from>
    <xdr:ext cx="2218877" cy="172098"/>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0B5A33DB-7A54-BE47-811D-52E5CF45D13C}"/>
                </a:ext>
              </a:extLst>
            </xdr:cNvPr>
            <xdr:cNvSpPr txBox="1"/>
          </xdr:nvSpPr>
          <xdr:spPr>
            <a:xfrm>
              <a:off x="2719915" y="13758336"/>
              <a:ext cx="2218877"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𝑅𝑒𝑠𝑣</m:t>
                        </m:r>
                      </m:e>
                      <m:sub>
                        <m:argPr>
                          <m:argSz m:val="-1"/>
                        </m:argPr>
                        <m:r>
                          <a:rPr lang="en-US" sz="1100" i="1">
                            <a:solidFill>
                              <a:schemeClr val="tx1"/>
                            </a:solidFill>
                            <a:effectLst/>
                            <a:latin typeface="Cambria Math" panose="02040503050406030204" pitchFamily="18" charset="0"/>
                            <a:ea typeface="+mn-ea"/>
                            <a:cs typeface="+mn-cs"/>
                          </a:rPr>
                          <m:t>𝐵𝐹</m:t>
                        </m:r>
                      </m:sub>
                    </m:sSub>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𝑃𝑎𝑖𝑑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oMath>
                </m:oMathPara>
              </a14:m>
              <a:endParaRPr lang="en-US" sz="1100">
                <a:solidFill>
                  <a:schemeClr val="tx1"/>
                </a:solidFill>
                <a:effectLst/>
                <a:latin typeface="+mn-lt"/>
                <a:ea typeface="+mn-ea"/>
                <a:cs typeface="+mn-cs"/>
              </a:endParaRPr>
            </a:p>
          </xdr:txBody>
        </xdr:sp>
      </mc:Choice>
      <mc:Fallback xmlns="">
        <xdr:sp macro="" textlink="">
          <xdr:nvSpPr>
            <xdr:cNvPr id="22" name="TextBox 21">
              <a:extLst>
                <a:ext uri="{FF2B5EF4-FFF2-40B4-BE49-F238E27FC236}">
                  <a16:creationId xmlns:a16="http://schemas.microsoft.com/office/drawing/2014/main" id="{0B5A33DB-7A54-BE47-811D-52E5CF45D13C}"/>
                </a:ext>
              </a:extLst>
            </xdr:cNvPr>
            <xdr:cNvSpPr txBox="1"/>
          </xdr:nvSpPr>
          <xdr:spPr>
            <a:xfrm>
              <a:off x="2719915" y="13758336"/>
              <a:ext cx="2218877"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〖𝑅𝑒𝑠𝑣〗_𝐵𝐹=(1−%𝑃𝑎𝑖𝑑)×𝑃𝑟𝑒𝑚×𝐸𝐿𝑅</a:t>
              </a:r>
              <a:endParaRPr lang="en-US" sz="1100">
                <a:solidFill>
                  <a:schemeClr val="tx1"/>
                </a:solidFill>
                <a:effectLst/>
                <a:latin typeface="+mn-lt"/>
                <a:ea typeface="+mn-ea"/>
                <a:cs typeface="+mn-cs"/>
              </a:endParaRPr>
            </a:p>
          </xdr:txBody>
        </xdr:sp>
      </mc:Fallback>
    </mc:AlternateContent>
    <xdr:clientData/>
  </xdr:oneCellAnchor>
  <xdr:oneCellAnchor>
    <xdr:from>
      <xdr:col>4</xdr:col>
      <xdr:colOff>190500</xdr:colOff>
      <xdr:row>95</xdr:row>
      <xdr:rowOff>42333</xdr:rowOff>
    </xdr:from>
    <xdr:ext cx="3419911" cy="172098"/>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6E6B8A21-3F04-2847-B712-F5631F0964C2}"/>
                </a:ext>
              </a:extLst>
            </xdr:cNvPr>
            <xdr:cNvSpPr txBox="1"/>
          </xdr:nvSpPr>
          <xdr:spPr>
            <a:xfrm>
              <a:off x="3492500" y="15472833"/>
              <a:ext cx="341991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𝑅𝑒𝑠𝑣</m:t>
                        </m:r>
                      </m:e>
                      <m:sub>
                        <m:argPr>
                          <m:argSz m:val="-1"/>
                        </m:argPr>
                        <m:r>
                          <a:rPr lang="en-US" sz="1100" i="1">
                            <a:solidFill>
                              <a:schemeClr val="tx1"/>
                            </a:solidFill>
                            <a:effectLst/>
                            <a:latin typeface="Cambria Math" panose="02040503050406030204" pitchFamily="18" charset="0"/>
                            <a:ea typeface="+mn-ea"/>
                            <a:cs typeface="+mn-cs"/>
                          </a:rPr>
                          <m:t>𝐺𝐵</m:t>
                        </m:r>
                      </m:sub>
                    </m:sSub>
                    <m:r>
                      <a:rPr lang="en-US" sz="1100" i="1">
                        <a:solidFill>
                          <a:schemeClr val="tx1"/>
                        </a:solidFill>
                        <a:effectLst/>
                        <a:latin typeface="Cambria Math" panose="02040503050406030204" pitchFamily="18" charset="0"/>
                        <a:ea typeface="+mn-ea"/>
                        <a:cs typeface="+mn-cs"/>
                      </a:rPr>
                      <m:t>=</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𝑈𝑛𝑝𝑎𝑖𝑑</m:t>
                        </m:r>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𝑅𝑒𝑠𝑣</m:t>
                        </m:r>
                      </m:e>
                      <m:sub>
                        <m:argPr>
                          <m:argSz m:val="-1"/>
                        </m:argPr>
                        <m:r>
                          <a:rPr lang="en-US" sz="1100" i="1">
                            <a:solidFill>
                              <a:schemeClr val="tx1"/>
                            </a:solidFill>
                            <a:effectLst/>
                            <a:latin typeface="Cambria Math" panose="02040503050406030204" pitchFamily="18" charset="0"/>
                            <a:ea typeface="+mn-ea"/>
                            <a:cs typeface="+mn-cs"/>
                          </a:rPr>
                          <m:t>𝐶𝐿</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𝑈𝑛𝑝𝑎𝑖𝑑</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𝑅𝑒𝑠𝑣</m:t>
                        </m:r>
                      </m:e>
                      <m:sub>
                        <m:argPr>
                          <m:argSz m:val="-1"/>
                        </m:argPr>
                        <m:r>
                          <a:rPr lang="en-US" sz="1100" i="1">
                            <a:solidFill>
                              <a:schemeClr val="tx1"/>
                            </a:solidFill>
                            <a:effectLst/>
                            <a:latin typeface="Cambria Math" panose="02040503050406030204" pitchFamily="18" charset="0"/>
                            <a:ea typeface="+mn-ea"/>
                            <a:cs typeface="+mn-cs"/>
                          </a:rPr>
                          <m:t>𝐵𝐹</m:t>
                        </m:r>
                      </m:sub>
                    </m:sSub>
                    <m:r>
                      <m:rPr>
                        <m:nor/>
                      </m:rPr>
                      <a:rPr lang="en-US">
                        <a:effectLst/>
                      </a:rPr>
                      <m:t> </m:t>
                    </m:r>
                  </m:oMath>
                </m:oMathPara>
              </a14:m>
              <a:endParaRPr lang="en-US" sz="1100">
                <a:solidFill>
                  <a:schemeClr val="tx1"/>
                </a:solidFill>
                <a:effectLst/>
                <a:latin typeface="+mn-lt"/>
                <a:ea typeface="+mn-ea"/>
                <a:cs typeface="+mn-cs"/>
              </a:endParaRPr>
            </a:p>
          </xdr:txBody>
        </xdr:sp>
      </mc:Choice>
      <mc:Fallback xmlns="">
        <xdr:sp macro="" textlink="">
          <xdr:nvSpPr>
            <xdr:cNvPr id="23" name="TextBox 22">
              <a:extLst>
                <a:ext uri="{FF2B5EF4-FFF2-40B4-BE49-F238E27FC236}">
                  <a16:creationId xmlns:a16="http://schemas.microsoft.com/office/drawing/2014/main" id="{6E6B8A21-3F04-2847-B712-F5631F0964C2}"/>
                </a:ext>
              </a:extLst>
            </xdr:cNvPr>
            <xdr:cNvSpPr txBox="1"/>
          </xdr:nvSpPr>
          <xdr:spPr>
            <a:xfrm>
              <a:off x="3492500" y="15472833"/>
              <a:ext cx="341991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〖𝑅𝑒𝑠𝑣〗_𝐺𝐵=[1−%𝑈𝑛𝑝𝑎𝑖𝑑]×〖𝑅𝑒𝑠𝑣〗_𝐶𝐿+%𝑈𝑛𝑝𝑎𝑖𝑑×〖𝑅𝑒𝑠𝑣〗_𝐵𝐹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oneCellAnchor>
  <xdr:twoCellAnchor editAs="oneCell">
    <xdr:from>
      <xdr:col>1</xdr:col>
      <xdr:colOff>31748</xdr:colOff>
      <xdr:row>130</xdr:row>
      <xdr:rowOff>189871</xdr:rowOff>
    </xdr:from>
    <xdr:to>
      <xdr:col>8</xdr:col>
      <xdr:colOff>507703</xdr:colOff>
      <xdr:row>152</xdr:row>
      <xdr:rowOff>10583</xdr:rowOff>
    </xdr:to>
    <xdr:pic>
      <xdr:nvPicPr>
        <xdr:cNvPr id="24" name="Picture 23">
          <a:extLst>
            <a:ext uri="{FF2B5EF4-FFF2-40B4-BE49-F238E27FC236}">
              <a16:creationId xmlns:a16="http://schemas.microsoft.com/office/drawing/2014/main" id="{5F54C92D-560F-75AE-2490-5A6B245F753D}"/>
            </a:ext>
          </a:extLst>
        </xdr:cNvPr>
        <xdr:cNvPicPr>
          <a:picLocks noChangeAspect="1"/>
        </xdr:cNvPicPr>
      </xdr:nvPicPr>
      <xdr:blipFill>
        <a:blip xmlns:r="http://schemas.openxmlformats.org/officeDocument/2006/relationships" r:embed="rId1"/>
        <a:stretch>
          <a:fillRect/>
        </a:stretch>
      </xdr:blipFill>
      <xdr:spPr>
        <a:xfrm>
          <a:off x="857248" y="26997454"/>
          <a:ext cx="6254455" cy="4202212"/>
        </a:xfrm>
        <a:prstGeom prst="rect">
          <a:avLst/>
        </a:prstGeom>
      </xdr:spPr>
    </xdr:pic>
    <xdr:clientData/>
  </xdr:twoCellAnchor>
  <xdr:twoCellAnchor>
    <xdr:from>
      <xdr:col>2</xdr:col>
      <xdr:colOff>306915</xdr:colOff>
      <xdr:row>113</xdr:row>
      <xdr:rowOff>158750</xdr:rowOff>
    </xdr:from>
    <xdr:to>
      <xdr:col>3</xdr:col>
      <xdr:colOff>518582</xdr:colOff>
      <xdr:row>115</xdr:row>
      <xdr:rowOff>21014</xdr:rowOff>
    </xdr:to>
    <mc:AlternateContent xmlns:mc="http://schemas.openxmlformats.org/markup-compatibility/2006" xmlns:a14="http://schemas.microsoft.com/office/drawing/2010/main">
      <mc:Choice Requires="a14">
        <xdr:sp macro="" textlink="">
          <xdr:nvSpPr>
            <xdr:cNvPr id="25" name="TextBox 2">
              <a:extLst>
                <a:ext uri="{FF2B5EF4-FFF2-40B4-BE49-F238E27FC236}">
                  <a16:creationId xmlns:a16="http://schemas.microsoft.com/office/drawing/2014/main" id="{7AFE6E95-FEEA-B84D-91A2-38F101685F52}"/>
                </a:ext>
              </a:extLst>
            </xdr:cNvPr>
            <xdr:cNvSpPr txBox="1"/>
          </xdr:nvSpPr>
          <xdr:spPr>
            <a:xfrm>
              <a:off x="1957915" y="23399750"/>
              <a:ext cx="103716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1"/>
                        </m:argP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𝑚</m:t>
                        </m:r>
                        <m:r>
                          <a:rPr lang="en-US" sz="1100" i="1">
                            <a:solidFill>
                              <a:schemeClr val="tx1"/>
                            </a:solidFill>
                            <a:effectLst/>
                            <a:latin typeface="Cambria Math" panose="02040503050406030204" pitchFamily="18" charset="0"/>
                            <a:ea typeface="+mn-ea"/>
                            <a:cs typeface="+mn-cs"/>
                          </a:rPr>
                          <m:t>)</m:t>
                        </m:r>
                      </m:sup>
                    </m:s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m:t>
                        </m:r>
                      </m:e>
                      <m:sup>
                        <m:argPr>
                          <m:argSz m:val="-1"/>
                        </m:argP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𝑚</m:t>
                        </m:r>
                        <m:r>
                          <a:rPr lang="en-US" sz="1100" i="1">
                            <a:solidFill>
                              <a:schemeClr val="tx1"/>
                            </a:solidFill>
                            <a:effectLst/>
                            <a:latin typeface="Cambria Math" panose="02040503050406030204" pitchFamily="18" charset="0"/>
                            <a:ea typeface="+mn-ea"/>
                            <a:cs typeface="+mn-cs"/>
                          </a:rPr>
                          <m:t>)</m:t>
                        </m:r>
                      </m:sup>
                    </m:sSup>
                  </m:oMath>
                </m:oMathPara>
              </a14:m>
              <a:endParaRPr lang="en-US" sz="1100">
                <a:solidFill>
                  <a:schemeClr val="tx1"/>
                </a:solidFill>
                <a:effectLst/>
                <a:latin typeface="+mn-lt"/>
                <a:ea typeface="+mn-ea"/>
                <a:cs typeface="+mn-cs"/>
              </a:endParaRPr>
            </a:p>
          </xdr:txBody>
        </xdr:sp>
      </mc:Choice>
      <mc:Fallback xmlns="">
        <xdr:sp macro="" textlink="">
          <xdr:nvSpPr>
            <xdr:cNvPr id="25" name="TextBox 2">
              <a:extLst>
                <a:ext uri="{FF2B5EF4-FFF2-40B4-BE49-F238E27FC236}">
                  <a16:creationId xmlns:a16="http://schemas.microsoft.com/office/drawing/2014/main" id="{7AFE6E95-FEEA-B84D-91A2-38F101685F52}"/>
                </a:ext>
              </a:extLst>
            </xdr:cNvPr>
            <xdr:cNvSpPr txBox="1"/>
          </xdr:nvSpPr>
          <xdr:spPr>
            <a:xfrm>
              <a:off x="1957915" y="23399750"/>
              <a:ext cx="103716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𝑅^((𝑚))=𝑞_𝑘 𝑈^((𝑚))</a:t>
              </a:r>
              <a:endParaRPr lang="en-US" sz="1100">
                <a:solidFill>
                  <a:schemeClr val="tx1"/>
                </a:solidFill>
                <a:effectLst/>
                <a:latin typeface="+mn-lt"/>
                <a:ea typeface="+mn-ea"/>
                <a:cs typeface="+mn-cs"/>
              </a:endParaRPr>
            </a:p>
          </xdr:txBody>
        </xdr:sp>
      </mc:Fallback>
    </mc:AlternateContent>
    <xdr:clientData/>
  </xdr:twoCellAnchor>
  <xdr:oneCellAnchor>
    <xdr:from>
      <xdr:col>4</xdr:col>
      <xdr:colOff>814916</xdr:colOff>
      <xdr:row>114</xdr:row>
      <xdr:rowOff>63504</xdr:rowOff>
    </xdr:from>
    <xdr:ext cx="1717778" cy="172098"/>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F5EBEC2D-F5FC-A64A-AD18-3C35364C10E8}"/>
                </a:ext>
              </a:extLst>
            </xdr:cNvPr>
            <xdr:cNvSpPr txBox="1"/>
          </xdr:nvSpPr>
          <xdr:spPr>
            <a:xfrm>
              <a:off x="4116916" y="23505587"/>
              <a:ext cx="171777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𝑅𝑒𝑠𝑣</m:t>
                        </m:r>
                      </m:e>
                      <m:sup>
                        <m:argPr>
                          <m:argSz m:val="-1"/>
                        </m:argP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𝑚</m:t>
                        </m:r>
                        <m:r>
                          <a:rPr lang="en-US" sz="1100" i="1">
                            <a:solidFill>
                              <a:schemeClr val="tx1"/>
                            </a:solidFill>
                            <a:effectLst/>
                            <a:latin typeface="Cambria Math" panose="02040503050406030204" pitchFamily="18" charset="0"/>
                            <a:ea typeface="+mn-ea"/>
                            <a:cs typeface="+mn-cs"/>
                          </a:rPr>
                          <m:t>)</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𝑈𝑛𝑝𝑎𝑖𝑑</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𝑚</m:t>
                        </m:r>
                        <m:r>
                          <a:rPr lang="en-US" sz="1100" i="1">
                            <a:solidFill>
                              <a:schemeClr val="tx1"/>
                            </a:solidFill>
                            <a:effectLst/>
                            <a:latin typeface="Cambria Math" panose="02040503050406030204" pitchFamily="18" charset="0"/>
                            <a:ea typeface="+mn-ea"/>
                            <a:cs typeface="+mn-cs"/>
                          </a:rPr>
                          <m:t>)</m:t>
                        </m:r>
                      </m:sup>
                    </m:sSup>
                  </m:oMath>
                </m:oMathPara>
              </a14:m>
              <a:endParaRPr lang="en-US" sz="1100">
                <a:solidFill>
                  <a:schemeClr val="tx1"/>
                </a:solidFill>
                <a:effectLst/>
                <a:latin typeface="+mn-lt"/>
                <a:ea typeface="+mn-ea"/>
                <a:cs typeface="+mn-cs"/>
              </a:endParaRPr>
            </a:p>
          </xdr:txBody>
        </xdr:sp>
      </mc:Choice>
      <mc:Fallback xmlns="">
        <xdr:sp macro="" textlink="">
          <xdr:nvSpPr>
            <xdr:cNvPr id="26" name="TextBox 25">
              <a:extLst>
                <a:ext uri="{FF2B5EF4-FFF2-40B4-BE49-F238E27FC236}">
                  <a16:creationId xmlns:a16="http://schemas.microsoft.com/office/drawing/2014/main" id="{F5EBEC2D-F5FC-A64A-AD18-3C35364C10E8}"/>
                </a:ext>
              </a:extLst>
            </xdr:cNvPr>
            <xdr:cNvSpPr txBox="1"/>
          </xdr:nvSpPr>
          <xdr:spPr>
            <a:xfrm>
              <a:off x="4116916" y="23505587"/>
              <a:ext cx="171777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〖𝑅𝑒𝑠𝑣〗^((𝑚))=%𝑈𝑛𝑝𝑎𝑖𝑑×〖𝑈𝑙𝑡〗^((𝑚))</a:t>
              </a:r>
              <a:endParaRPr lang="en-US" sz="1100">
                <a:solidFill>
                  <a:schemeClr val="tx1"/>
                </a:solidFill>
                <a:effectLst/>
                <a:latin typeface="+mn-lt"/>
                <a:ea typeface="+mn-ea"/>
                <a:cs typeface="+mn-cs"/>
              </a:endParaRPr>
            </a:p>
          </xdr:txBody>
        </xdr:sp>
      </mc:Fallback>
    </mc:AlternateContent>
    <xdr:clientData/>
  </xdr:oneCellAnchor>
  <xdr:twoCellAnchor>
    <xdr:from>
      <xdr:col>2</xdr:col>
      <xdr:colOff>275165</xdr:colOff>
      <xdr:row>119</xdr:row>
      <xdr:rowOff>10583</xdr:rowOff>
    </xdr:from>
    <xdr:to>
      <xdr:col>3</xdr:col>
      <xdr:colOff>719667</xdr:colOff>
      <xdr:row>120</xdr:row>
      <xdr:rowOff>73931</xdr:rowOff>
    </xdr:to>
    <mc:AlternateContent xmlns:mc="http://schemas.openxmlformats.org/markup-compatibility/2006">
      <mc:Choice xmlns:a14="http://schemas.microsoft.com/office/drawing/2010/main" Requires="a14">
        <xdr:sp macro="" textlink="">
          <xdr:nvSpPr>
            <xdr:cNvPr id="27" name="TextBox 2">
              <a:extLst>
                <a:ext uri="{FF2B5EF4-FFF2-40B4-BE49-F238E27FC236}">
                  <a16:creationId xmlns:a16="http://schemas.microsoft.com/office/drawing/2014/main" id="{77ABB4D4-3D40-B84E-B126-216DF8D627E9}"/>
                </a:ext>
              </a:extLst>
            </xdr:cNvPr>
            <xdr:cNvSpPr txBox="1"/>
          </xdr:nvSpPr>
          <xdr:spPr>
            <a:xfrm>
              <a:off x="1926165" y="24458083"/>
              <a:ext cx="1270002"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m:t>
                        </m:r>
                      </m:e>
                      <m:sup>
                        <m:argPr>
                          <m:argSz m:val="-1"/>
                        </m:argP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𝑚</m:t>
                        </m:r>
                        <m:r>
                          <a:rPr lang="en-US" sz="1100" i="1">
                            <a:solidFill>
                              <a:schemeClr val="tx1"/>
                            </a:solidFill>
                            <a:effectLst/>
                            <a:latin typeface="Cambria Math" panose="02040503050406030204" pitchFamily="18" charset="0"/>
                            <a:ea typeface="+mn-ea"/>
                            <a:cs typeface="+mn-cs"/>
                          </a:rPr>
                          <m:t>+1)</m:t>
                        </m:r>
                      </m:sup>
                    </m:s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1"/>
                        </m:argP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𝑚</m:t>
                        </m:r>
                        <m:r>
                          <a:rPr lang="en-US" sz="1100" i="1">
                            <a:solidFill>
                              <a:schemeClr val="tx1"/>
                            </a:solidFill>
                            <a:effectLst/>
                            <a:latin typeface="Cambria Math" panose="02040503050406030204" pitchFamily="18" charset="0"/>
                            <a:ea typeface="+mn-ea"/>
                            <a:cs typeface="+mn-cs"/>
                          </a:rPr>
                          <m:t>)</m:t>
                        </m:r>
                      </m:sup>
                    </m:sSup>
                  </m:oMath>
                </m:oMathPara>
              </a14:m>
              <a:endParaRPr lang="en-US" sz="1100">
                <a:solidFill>
                  <a:schemeClr val="tx1"/>
                </a:solidFill>
                <a:effectLst/>
                <a:latin typeface="+mn-lt"/>
                <a:ea typeface="+mn-ea"/>
                <a:cs typeface="+mn-cs"/>
              </a:endParaRPr>
            </a:p>
          </xdr:txBody>
        </xdr:sp>
      </mc:Choice>
      <mc:Fallback>
        <xdr:sp macro="" textlink="">
          <xdr:nvSpPr>
            <xdr:cNvPr id="27" name="TextBox 2">
              <a:extLst>
                <a:ext uri="{FF2B5EF4-FFF2-40B4-BE49-F238E27FC236}">
                  <a16:creationId xmlns:a16="http://schemas.microsoft.com/office/drawing/2014/main" id="{77ABB4D4-3D40-B84E-B126-216DF8D627E9}"/>
                </a:ext>
              </a:extLst>
            </xdr:cNvPr>
            <xdr:cNvSpPr txBox="1"/>
          </xdr:nvSpPr>
          <xdr:spPr>
            <a:xfrm>
              <a:off x="1926165" y="24458083"/>
              <a:ext cx="1270002"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𝑈^((𝑚+1))=𝐶_𝑘+𝑅^((𝑚))</a:t>
              </a:r>
              <a:endParaRPr lang="en-US" sz="1100">
                <a:solidFill>
                  <a:schemeClr val="tx1"/>
                </a:solidFill>
                <a:effectLst/>
                <a:latin typeface="+mn-lt"/>
                <a:ea typeface="+mn-ea"/>
                <a:cs typeface="+mn-cs"/>
              </a:endParaRPr>
            </a:p>
          </xdr:txBody>
        </xdr:sp>
      </mc:Fallback>
    </mc:AlternateContent>
    <xdr:clientData/>
  </xdr:twoCellAnchor>
  <xdr:oneCellAnchor>
    <xdr:from>
      <xdr:col>4</xdr:col>
      <xdr:colOff>656166</xdr:colOff>
      <xdr:row>118</xdr:row>
      <xdr:rowOff>190503</xdr:rowOff>
    </xdr:from>
    <xdr:ext cx="1734513" cy="187167"/>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D4A768FE-DA3E-824E-AFE0-30A6142B1A63}"/>
                </a:ext>
              </a:extLst>
            </xdr:cNvPr>
            <xdr:cNvSpPr txBox="1"/>
          </xdr:nvSpPr>
          <xdr:spPr>
            <a:xfrm>
              <a:off x="3958166" y="24436920"/>
              <a:ext cx="1734513" cy="187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𝑚</m:t>
                            </m:r>
                            <m:r>
                              <a:rPr lang="en-US" sz="1100" i="1">
                                <a:solidFill>
                                  <a:schemeClr val="tx1"/>
                                </a:solidFill>
                                <a:effectLst/>
                                <a:latin typeface="Cambria Math" panose="02040503050406030204" pitchFamily="18" charset="0"/>
                                <a:ea typeface="+mn-ea"/>
                                <a:cs typeface="+mn-cs"/>
                              </a:rPr>
                              <m:t>+1</m:t>
                            </m:r>
                          </m:e>
                        </m:d>
                      </m:sup>
                    </m:s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𝑅𝑒𝑠𝑣</m:t>
                        </m:r>
                      </m:e>
                      <m:sup>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𝑚</m:t>
                            </m:r>
                          </m:e>
                        </m:d>
                      </m:sup>
                    </m:sSup>
                  </m:oMath>
                </m:oMathPara>
              </a14:m>
              <a:endParaRPr lang="en-US" sz="1100">
                <a:solidFill>
                  <a:schemeClr val="tx1"/>
                </a:solidFill>
                <a:effectLst/>
                <a:latin typeface="+mn-lt"/>
                <a:ea typeface="+mn-ea"/>
                <a:cs typeface="+mn-cs"/>
              </a:endParaRPr>
            </a:p>
          </xdr:txBody>
        </xdr:sp>
      </mc:Choice>
      <mc:Fallback xmlns="">
        <xdr:sp macro="" textlink="">
          <xdr:nvSpPr>
            <xdr:cNvPr id="28" name="TextBox 27">
              <a:extLst>
                <a:ext uri="{FF2B5EF4-FFF2-40B4-BE49-F238E27FC236}">
                  <a16:creationId xmlns:a16="http://schemas.microsoft.com/office/drawing/2014/main" id="{D4A768FE-DA3E-824E-AFE0-30A6142B1A63}"/>
                </a:ext>
              </a:extLst>
            </xdr:cNvPr>
            <xdr:cNvSpPr txBox="1"/>
          </xdr:nvSpPr>
          <xdr:spPr>
            <a:xfrm>
              <a:off x="3958166" y="24436920"/>
              <a:ext cx="1734513" cy="187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〖𝑈𝑙𝑡〗^((𝑚+1) )=〖𝐿𝑜𝑠𝑠〗_𝑘+〖𝑅𝑒𝑠𝑣〗^((𝑚) )</a:t>
              </a:r>
              <a:endParaRPr lang="en-US" sz="1100">
                <a:solidFill>
                  <a:schemeClr val="tx1"/>
                </a:solidFill>
                <a:effectLst/>
                <a:latin typeface="+mn-lt"/>
                <a:ea typeface="+mn-ea"/>
                <a:cs typeface="+mn-cs"/>
              </a:endParaRPr>
            </a:p>
          </xdr:txBody>
        </xdr:sp>
      </mc:Fallback>
    </mc:AlternateContent>
    <xdr:clientData/>
  </xdr:oneCellAnchor>
  <xdr:twoCellAnchor>
    <xdr:from>
      <xdr:col>3</xdr:col>
      <xdr:colOff>127000</xdr:colOff>
      <xdr:row>123</xdr:row>
      <xdr:rowOff>148166</xdr:rowOff>
    </xdr:from>
    <xdr:to>
      <xdr:col>5</xdr:col>
      <xdr:colOff>465667</xdr:colOff>
      <xdr:row>125</xdr:row>
      <xdr:rowOff>10431</xdr:rowOff>
    </xdr:to>
    <mc:AlternateContent xmlns:mc="http://schemas.openxmlformats.org/markup-compatibility/2006" xmlns:a14="http://schemas.microsoft.com/office/drawing/2010/main">
      <mc:Choice Requires="a14">
        <xdr:sp macro="" textlink="">
          <xdr:nvSpPr>
            <xdr:cNvPr id="29" name="TextBox 2">
              <a:extLst>
                <a:ext uri="{FF2B5EF4-FFF2-40B4-BE49-F238E27FC236}">
                  <a16:creationId xmlns:a16="http://schemas.microsoft.com/office/drawing/2014/main" id="{D0927E99-DB31-0E43-82A6-C814E86FBA75}"/>
                </a:ext>
              </a:extLst>
            </xdr:cNvPr>
            <xdr:cNvSpPr txBox="1"/>
          </xdr:nvSpPr>
          <xdr:spPr>
            <a:xfrm>
              <a:off x="2603500" y="25474083"/>
              <a:ext cx="198966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m:t>
                        </m:r>
                      </m:e>
                      <m:sup>
                        <m:argPr>
                          <m:argSz m:val="-1"/>
                        </m:argP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𝑚</m:t>
                        </m:r>
                        <m:r>
                          <a:rPr lang="en-US" sz="1100" i="1">
                            <a:solidFill>
                              <a:schemeClr val="tx1"/>
                            </a:solidFill>
                            <a:effectLst/>
                            <a:latin typeface="Cambria Math" panose="02040503050406030204" pitchFamily="18" charset="0"/>
                            <a:ea typeface="+mn-ea"/>
                            <a:cs typeface="+mn-cs"/>
                          </a:rPr>
                          <m:t>)</m:t>
                        </m:r>
                      </m:sup>
                    </m:s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up>
                            <m:argPr>
                              <m:argSz m:val="-1"/>
                            </m:argPr>
                            <m:r>
                              <a:rPr lang="en-US" sz="1100" i="1">
                                <a:solidFill>
                                  <a:schemeClr val="tx1"/>
                                </a:solidFill>
                                <a:effectLst/>
                                <a:latin typeface="Cambria Math" panose="02040503050406030204" pitchFamily="18" charset="0"/>
                                <a:ea typeface="+mn-ea"/>
                                <a:cs typeface="+mn-cs"/>
                              </a:rPr>
                              <m:t>𝑚</m:t>
                            </m:r>
                          </m:sup>
                        </m:sSubSup>
                      </m:e>
                    </m:d>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𝐶𝐿</m:t>
                        </m:r>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up>
                        <m:argPr>
                          <m:argSz m:val="-1"/>
                        </m:argPr>
                        <m:r>
                          <a:rPr lang="en-US" sz="1100" i="1">
                            <a:solidFill>
                              <a:schemeClr val="tx1"/>
                            </a:solidFill>
                            <a:effectLst/>
                            <a:latin typeface="Cambria Math" panose="02040503050406030204" pitchFamily="18" charset="0"/>
                            <a:ea typeface="+mn-ea"/>
                            <a:cs typeface="+mn-cs"/>
                          </a:rPr>
                          <m:t>𝑚</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0</m:t>
                        </m:r>
                      </m:sub>
                    </m:sSub>
                  </m:oMath>
                </m:oMathPara>
              </a14:m>
              <a:endParaRPr lang="en-US" sz="1100">
                <a:solidFill>
                  <a:schemeClr val="tx1"/>
                </a:solidFill>
                <a:effectLst/>
                <a:latin typeface="+mn-lt"/>
                <a:ea typeface="+mn-ea"/>
                <a:cs typeface="+mn-cs"/>
              </a:endParaRPr>
            </a:p>
          </xdr:txBody>
        </xdr:sp>
      </mc:Choice>
      <mc:Fallback xmlns="">
        <xdr:sp macro="" textlink="">
          <xdr:nvSpPr>
            <xdr:cNvPr id="29" name="TextBox 2">
              <a:extLst>
                <a:ext uri="{FF2B5EF4-FFF2-40B4-BE49-F238E27FC236}">
                  <a16:creationId xmlns:a16="http://schemas.microsoft.com/office/drawing/2014/main" id="{D0927E99-DB31-0E43-82A6-C814E86FBA75}"/>
                </a:ext>
              </a:extLst>
            </xdr:cNvPr>
            <xdr:cNvSpPr txBox="1"/>
          </xdr:nvSpPr>
          <xdr:spPr>
            <a:xfrm>
              <a:off x="2603500" y="25474083"/>
              <a:ext cx="198966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𝑈^((𝑚))=(1−𝑞_𝑘^𝑚 ) 〖×𝑈〗_𝐶𝐿+𝑞_𝑘^𝑚×𝑈_0</a:t>
              </a:r>
              <a:endParaRPr lang="en-US" sz="1100">
                <a:solidFill>
                  <a:schemeClr val="tx1"/>
                </a:solidFill>
                <a:effectLst/>
                <a:latin typeface="+mn-lt"/>
                <a:ea typeface="+mn-ea"/>
                <a:cs typeface="+mn-cs"/>
              </a:endParaRPr>
            </a:p>
          </xdr:txBody>
        </xdr:sp>
      </mc:Fallback>
    </mc:AlternateContent>
    <xdr:clientData/>
  </xdr:twoCellAnchor>
  <xdr:twoCellAnchor>
    <xdr:from>
      <xdr:col>3</xdr:col>
      <xdr:colOff>31750</xdr:colOff>
      <xdr:row>128</xdr:row>
      <xdr:rowOff>169334</xdr:rowOff>
    </xdr:from>
    <xdr:to>
      <xdr:col>5</xdr:col>
      <xdr:colOff>391583</xdr:colOff>
      <xdr:row>130</xdr:row>
      <xdr:rowOff>31599</xdr:rowOff>
    </xdr:to>
    <mc:AlternateContent xmlns:mc="http://schemas.openxmlformats.org/markup-compatibility/2006" xmlns:a14="http://schemas.microsoft.com/office/drawing/2010/main">
      <mc:Choice Requires="a14">
        <xdr:sp macro="" textlink="">
          <xdr:nvSpPr>
            <xdr:cNvPr id="30" name="TextBox 2">
              <a:extLst>
                <a:ext uri="{FF2B5EF4-FFF2-40B4-BE49-F238E27FC236}">
                  <a16:creationId xmlns:a16="http://schemas.microsoft.com/office/drawing/2014/main" id="{DC426408-2F00-E84D-B7C8-421755FBA22D}"/>
                </a:ext>
              </a:extLst>
            </xdr:cNvPr>
            <xdr:cNvSpPr txBox="1"/>
          </xdr:nvSpPr>
          <xdr:spPr>
            <a:xfrm>
              <a:off x="2508250" y="26574751"/>
              <a:ext cx="201083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1"/>
                        </m:argP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𝑚</m:t>
                        </m:r>
                        <m:r>
                          <a:rPr lang="en-US" sz="1100" i="1">
                            <a:solidFill>
                              <a:schemeClr val="tx1"/>
                            </a:solidFill>
                            <a:effectLst/>
                            <a:latin typeface="Cambria Math" panose="02040503050406030204" pitchFamily="18" charset="0"/>
                            <a:ea typeface="+mn-ea"/>
                            <a:cs typeface="+mn-cs"/>
                          </a:rPr>
                          <m:t>)</m:t>
                        </m:r>
                      </m:sup>
                    </m:s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up>
                            <m:argPr>
                              <m:argSz m:val="-1"/>
                            </m:argPr>
                            <m:r>
                              <a:rPr lang="en-US" sz="1100" i="1">
                                <a:solidFill>
                                  <a:schemeClr val="tx1"/>
                                </a:solidFill>
                                <a:effectLst/>
                                <a:latin typeface="Cambria Math" panose="02040503050406030204" pitchFamily="18" charset="0"/>
                                <a:ea typeface="+mn-ea"/>
                                <a:cs typeface="+mn-cs"/>
                              </a:rPr>
                              <m:t>𝑚</m:t>
                            </m:r>
                          </m:sup>
                        </m:sSubSup>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argPr>
                          <m:argSz m:val="-1"/>
                        </m:argPr>
                        <m:r>
                          <a:rPr lang="en-US" sz="1100" i="1">
                            <a:solidFill>
                              <a:schemeClr val="tx1"/>
                            </a:solidFill>
                            <a:effectLst/>
                            <a:latin typeface="Cambria Math" panose="02040503050406030204" pitchFamily="18" charset="0"/>
                            <a:ea typeface="+mn-ea"/>
                            <a:cs typeface="+mn-cs"/>
                          </a:rPr>
                          <m:t>𝐶𝐿</m:t>
                        </m:r>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up>
                        <m:argPr>
                          <m:argSz m:val="-1"/>
                        </m:argPr>
                        <m:r>
                          <a:rPr lang="en-US" sz="1100" i="1">
                            <a:solidFill>
                              <a:schemeClr val="tx1"/>
                            </a:solidFill>
                            <a:effectLst/>
                            <a:latin typeface="Cambria Math" panose="02040503050406030204" pitchFamily="18" charset="0"/>
                            <a:ea typeface="+mn-ea"/>
                            <a:cs typeface="+mn-cs"/>
                          </a:rPr>
                          <m:t>𝑚</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argPr>
                          <m:argSz m:val="-1"/>
                        </m:argPr>
                        <m:r>
                          <a:rPr lang="en-US" sz="1100" i="1">
                            <a:solidFill>
                              <a:schemeClr val="tx1"/>
                            </a:solidFill>
                            <a:effectLst/>
                            <a:latin typeface="Cambria Math" panose="02040503050406030204" pitchFamily="18" charset="0"/>
                            <a:ea typeface="+mn-ea"/>
                            <a:cs typeface="+mn-cs"/>
                          </a:rPr>
                          <m:t>𝐵𝐹</m:t>
                        </m:r>
                      </m:sub>
                    </m:sSub>
                  </m:oMath>
                </m:oMathPara>
              </a14:m>
              <a:endParaRPr lang="en-US" sz="1100">
                <a:solidFill>
                  <a:schemeClr val="tx1"/>
                </a:solidFill>
                <a:effectLst/>
                <a:latin typeface="+mn-lt"/>
                <a:ea typeface="+mn-ea"/>
                <a:cs typeface="+mn-cs"/>
              </a:endParaRPr>
            </a:p>
          </xdr:txBody>
        </xdr:sp>
      </mc:Choice>
      <mc:Fallback xmlns="">
        <xdr:sp macro="" textlink="">
          <xdr:nvSpPr>
            <xdr:cNvPr id="30" name="TextBox 2">
              <a:extLst>
                <a:ext uri="{FF2B5EF4-FFF2-40B4-BE49-F238E27FC236}">
                  <a16:creationId xmlns:a16="http://schemas.microsoft.com/office/drawing/2014/main" id="{DC426408-2F00-E84D-B7C8-421755FBA22D}"/>
                </a:ext>
              </a:extLst>
            </xdr:cNvPr>
            <xdr:cNvSpPr txBox="1"/>
          </xdr:nvSpPr>
          <xdr:spPr>
            <a:xfrm>
              <a:off x="2508250" y="26574751"/>
              <a:ext cx="201083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𝑅^((𝑚))=(1−𝑞_𝑘^𝑚 )×𝑅_𝐶𝐿+𝑞_𝑘^𝑚×𝑅_𝐵𝐹</a:t>
              </a:r>
              <a:endParaRPr lang="en-US" sz="1100">
                <a:solidFill>
                  <a:schemeClr val="tx1"/>
                </a:solidFill>
                <a:effectLst/>
                <a:latin typeface="+mn-lt"/>
                <a:ea typeface="+mn-ea"/>
                <a:cs typeface="+mn-cs"/>
              </a:endParaRPr>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62"/>
  <sheetViews>
    <sheetView showGridLines="0" tabSelected="1" zoomScale="120" zoomScaleNormal="120" workbookViewId="0"/>
  </sheetViews>
  <sheetFormatPr baseColWidth="10" defaultColWidth="10.83203125" defaultRowHeight="16" x14ac:dyDescent="0.2"/>
  <cols>
    <col min="1" max="1" width="10.83203125" style="31"/>
    <col min="2" max="14" width="10.83203125" style="31" customWidth="1"/>
    <col min="15" max="16384" width="10.83203125" style="31"/>
  </cols>
  <sheetData>
    <row r="1" spans="1:10" ht="19" x14ac:dyDescent="0.25">
      <c r="A1" s="1" t="s">
        <v>39</v>
      </c>
      <c r="B1" s="29"/>
      <c r="C1" s="29"/>
      <c r="D1" s="29"/>
      <c r="E1" s="29"/>
      <c r="F1" s="29"/>
      <c r="G1" s="29"/>
      <c r="H1" s="29"/>
      <c r="I1" s="29"/>
      <c r="J1" s="30"/>
    </row>
    <row r="2" spans="1:10" x14ac:dyDescent="0.2">
      <c r="A2" s="32"/>
      <c r="B2" s="29"/>
      <c r="C2" s="29"/>
      <c r="D2" s="29"/>
      <c r="E2" s="29"/>
      <c r="F2" s="29"/>
      <c r="G2" s="29"/>
      <c r="H2" s="29"/>
      <c r="I2" s="29"/>
      <c r="J2" s="30"/>
    </row>
    <row r="3" spans="1:10" x14ac:dyDescent="0.2">
      <c r="A3" s="32"/>
      <c r="B3" s="29" t="s">
        <v>1</v>
      </c>
      <c r="C3" s="29"/>
      <c r="D3" s="29"/>
      <c r="E3" s="29"/>
      <c r="F3" s="29"/>
      <c r="G3" s="29"/>
      <c r="H3" s="29"/>
      <c r="I3" s="29"/>
      <c r="J3" s="30"/>
    </row>
    <row r="4" spans="1:10" x14ac:dyDescent="0.2">
      <c r="A4" s="32"/>
      <c r="B4" s="29"/>
      <c r="C4" s="29"/>
      <c r="D4" s="29"/>
      <c r="E4" s="29"/>
      <c r="F4" s="29"/>
      <c r="G4" s="29"/>
      <c r="H4" s="29"/>
      <c r="I4" s="29"/>
      <c r="J4" s="30"/>
    </row>
    <row r="5" spans="1:10" x14ac:dyDescent="0.2">
      <c r="A5" s="32"/>
      <c r="B5" s="29"/>
      <c r="C5" s="58" t="s">
        <v>7</v>
      </c>
      <c r="D5" s="59"/>
      <c r="E5" s="59"/>
      <c r="F5" s="59"/>
      <c r="G5" s="55" t="s">
        <v>6</v>
      </c>
      <c r="H5" s="29"/>
      <c r="I5" s="29"/>
      <c r="J5" s="30"/>
    </row>
    <row r="6" spans="1:10" ht="16" customHeight="1" x14ac:dyDescent="0.2">
      <c r="A6" s="32"/>
      <c r="B6" s="29"/>
      <c r="C6" s="60" t="s">
        <v>2</v>
      </c>
      <c r="D6" s="33"/>
      <c r="E6" s="33"/>
      <c r="F6" s="33"/>
      <c r="G6" s="56"/>
      <c r="H6" s="29"/>
      <c r="I6" s="29"/>
      <c r="J6" s="30"/>
    </row>
    <row r="7" spans="1:10" ht="17" x14ac:dyDescent="0.2">
      <c r="A7" s="32"/>
      <c r="B7" s="29"/>
      <c r="C7" s="61"/>
      <c r="D7" s="13" t="s">
        <v>3</v>
      </c>
      <c r="E7" s="13" t="s">
        <v>4</v>
      </c>
      <c r="F7" s="13" t="s">
        <v>5</v>
      </c>
      <c r="G7" s="57"/>
      <c r="H7" s="29"/>
      <c r="I7" s="29"/>
      <c r="J7" s="30"/>
    </row>
    <row r="8" spans="1:10" x14ac:dyDescent="0.2">
      <c r="A8" s="32"/>
      <c r="B8" s="29"/>
      <c r="C8" s="18">
        <v>2021</v>
      </c>
      <c r="D8" s="21">
        <v>1800</v>
      </c>
      <c r="E8" s="22">
        <v>2900</v>
      </c>
      <c r="F8" s="22">
        <v>3350</v>
      </c>
      <c r="G8" s="26">
        <v>5000</v>
      </c>
      <c r="H8" s="29"/>
      <c r="I8" s="29"/>
      <c r="J8" s="30"/>
    </row>
    <row r="9" spans="1:10" x14ac:dyDescent="0.2">
      <c r="A9" s="32"/>
      <c r="B9" s="29"/>
      <c r="C9" s="19">
        <v>2022</v>
      </c>
      <c r="D9" s="23">
        <v>2800</v>
      </c>
      <c r="E9" s="24">
        <v>3600</v>
      </c>
      <c r="F9" s="14"/>
      <c r="G9" s="27">
        <v>5500</v>
      </c>
      <c r="H9" s="29"/>
      <c r="I9" s="29"/>
      <c r="J9" s="30"/>
    </row>
    <row r="10" spans="1:10" x14ac:dyDescent="0.2">
      <c r="A10" s="32"/>
      <c r="B10" s="29"/>
      <c r="C10" s="20">
        <v>2023</v>
      </c>
      <c r="D10" s="25">
        <v>2300</v>
      </c>
      <c r="E10" s="13"/>
      <c r="F10" s="13"/>
      <c r="G10" s="28">
        <v>6000</v>
      </c>
      <c r="H10" s="29"/>
      <c r="I10" s="29"/>
      <c r="J10" s="30"/>
    </row>
    <row r="11" spans="1:10" x14ac:dyDescent="0.2">
      <c r="A11" s="32"/>
      <c r="B11" s="29"/>
      <c r="C11" s="29"/>
      <c r="D11" s="29"/>
      <c r="E11" s="29"/>
      <c r="F11" s="29"/>
      <c r="G11" s="29"/>
      <c r="H11" s="29"/>
      <c r="I11" s="29"/>
      <c r="J11" s="30"/>
    </row>
    <row r="12" spans="1:10" x14ac:dyDescent="0.2">
      <c r="A12" s="32"/>
      <c r="B12" s="29"/>
      <c r="C12" s="58" t="s">
        <v>11</v>
      </c>
      <c r="D12" s="59"/>
      <c r="E12" s="59"/>
      <c r="F12" s="62"/>
      <c r="G12" s="29"/>
      <c r="H12" s="29"/>
      <c r="I12" s="29"/>
      <c r="J12" s="30"/>
    </row>
    <row r="13" spans="1:10" ht="17" x14ac:dyDescent="0.2">
      <c r="A13" s="32"/>
      <c r="B13" s="29"/>
      <c r="C13" s="34"/>
      <c r="D13" s="15" t="s">
        <v>8</v>
      </c>
      <c r="E13" s="16" t="s">
        <v>9</v>
      </c>
      <c r="F13" s="17" t="s">
        <v>10</v>
      </c>
      <c r="G13" s="29"/>
      <c r="H13" s="29"/>
      <c r="I13" s="29"/>
      <c r="J13" s="30"/>
    </row>
    <row r="14" spans="1:10" x14ac:dyDescent="0.2">
      <c r="A14" s="32"/>
      <c r="B14" s="29"/>
      <c r="C14" s="41" t="s">
        <v>38</v>
      </c>
      <c r="D14" s="15">
        <v>1.75</v>
      </c>
      <c r="E14" s="16">
        <v>1.25</v>
      </c>
      <c r="F14" s="17">
        <v>1.1000000000000001</v>
      </c>
      <c r="G14" s="29"/>
      <c r="H14" s="29"/>
      <c r="I14" s="29"/>
      <c r="J14" s="30"/>
    </row>
    <row r="15" spans="1:10" x14ac:dyDescent="0.2">
      <c r="A15" s="32"/>
      <c r="B15" s="29"/>
      <c r="C15" s="29"/>
      <c r="D15" s="29"/>
      <c r="E15" s="29"/>
      <c r="F15" s="29"/>
      <c r="G15" s="29"/>
      <c r="H15" s="29"/>
      <c r="I15" s="29"/>
      <c r="J15" s="30"/>
    </row>
    <row r="16" spans="1:10" x14ac:dyDescent="0.2">
      <c r="A16" s="32"/>
      <c r="B16" s="29" t="s">
        <v>12</v>
      </c>
      <c r="C16" s="29"/>
      <c r="D16" s="35">
        <v>0.7</v>
      </c>
      <c r="E16" s="29"/>
      <c r="F16" s="29"/>
      <c r="G16" s="29"/>
      <c r="H16" s="29"/>
      <c r="I16" s="29"/>
      <c r="J16" s="30"/>
    </row>
    <row r="17" spans="1:10" x14ac:dyDescent="0.2">
      <c r="A17" s="32"/>
      <c r="B17" s="29"/>
      <c r="C17" s="29"/>
      <c r="D17" s="29"/>
      <c r="E17" s="29"/>
      <c r="F17" s="29"/>
      <c r="G17" s="29"/>
      <c r="H17" s="29"/>
      <c r="I17" s="29"/>
      <c r="J17" s="30"/>
    </row>
    <row r="18" spans="1:10" x14ac:dyDescent="0.2">
      <c r="A18" s="32"/>
      <c r="B18" s="29"/>
      <c r="C18" s="29"/>
      <c r="D18" s="29"/>
      <c r="E18" s="29"/>
      <c r="F18" s="29"/>
      <c r="G18" s="29"/>
      <c r="H18" s="29"/>
      <c r="I18" s="29"/>
      <c r="J18" s="30"/>
    </row>
    <row r="19" spans="1:10" x14ac:dyDescent="0.2">
      <c r="A19" s="32"/>
      <c r="B19" s="48" t="s">
        <v>56</v>
      </c>
      <c r="C19" s="29"/>
      <c r="D19" s="29"/>
      <c r="E19" s="29"/>
      <c r="F19" s="29"/>
      <c r="G19" s="29"/>
      <c r="H19" s="29"/>
      <c r="I19" s="29"/>
      <c r="J19" s="30"/>
    </row>
    <row r="20" spans="1:10" ht="17" thickBot="1" x14ac:dyDescent="0.25">
      <c r="A20" s="36"/>
      <c r="B20" s="37"/>
      <c r="C20" s="38"/>
      <c r="D20" s="38"/>
      <c r="E20" s="38"/>
      <c r="F20" s="37"/>
      <c r="G20" s="37"/>
      <c r="H20" s="37"/>
      <c r="I20" s="37"/>
      <c r="J20" s="39"/>
    </row>
    <row r="22" spans="1:10" ht="19" x14ac:dyDescent="0.25">
      <c r="A22" s="2" t="s">
        <v>0</v>
      </c>
    </row>
    <row r="23" spans="1:10" ht="19" x14ac:dyDescent="0.25">
      <c r="A23" s="12"/>
      <c r="B23" s="11" t="s">
        <v>13</v>
      </c>
    </row>
    <row r="24" spans="1:10" x14ac:dyDescent="0.2">
      <c r="A24" s="12" t="s">
        <v>36</v>
      </c>
      <c r="B24" s="5" t="s">
        <v>41</v>
      </c>
      <c r="C24" s="43"/>
      <c r="D24" s="42"/>
      <c r="E24" s="42"/>
      <c r="F24" s="42"/>
      <c r="G24" s="42"/>
      <c r="H24" s="42"/>
      <c r="I24" s="42"/>
      <c r="J24" s="42"/>
    </row>
    <row r="25" spans="1:10" x14ac:dyDescent="0.2">
      <c r="A25" s="12"/>
      <c r="B25" s="42"/>
      <c r="C25" s="42"/>
      <c r="D25" s="42"/>
      <c r="E25" s="42"/>
      <c r="F25" s="42"/>
      <c r="G25" s="42"/>
      <c r="H25" s="42"/>
      <c r="I25" s="42"/>
      <c r="J25" s="42"/>
    </row>
    <row r="26" spans="1:10" x14ac:dyDescent="0.2">
      <c r="A26" s="12"/>
      <c r="B26" s="42"/>
      <c r="C26" s="42"/>
      <c r="D26" s="42"/>
      <c r="E26" s="42"/>
      <c r="F26" s="42"/>
      <c r="G26" s="42"/>
      <c r="H26" s="42"/>
      <c r="I26" s="42"/>
      <c r="J26" s="42"/>
    </row>
    <row r="27" spans="1:10" x14ac:dyDescent="0.2">
      <c r="A27" s="12"/>
      <c r="B27" s="42"/>
      <c r="C27" s="42"/>
      <c r="D27" s="42"/>
      <c r="E27" s="42"/>
      <c r="F27" s="42"/>
      <c r="G27" s="42"/>
      <c r="H27" s="42"/>
      <c r="I27" s="42"/>
      <c r="J27" s="42"/>
    </row>
    <row r="28" spans="1:10" x14ac:dyDescent="0.2">
      <c r="A28" s="12"/>
      <c r="B28" s="42"/>
      <c r="E28" s="42"/>
      <c r="F28" s="42"/>
      <c r="G28" s="42"/>
      <c r="H28" s="42"/>
      <c r="I28" s="42"/>
      <c r="J28" s="42"/>
    </row>
    <row r="29" spans="1:10" x14ac:dyDescent="0.2">
      <c r="A29" s="12"/>
      <c r="B29" s="42"/>
      <c r="C29" s="42"/>
      <c r="D29" s="42"/>
      <c r="E29" s="42"/>
      <c r="F29" s="42"/>
      <c r="G29" s="42"/>
      <c r="H29" s="42"/>
      <c r="I29" s="42"/>
      <c r="J29" s="42"/>
    </row>
    <row r="30" spans="1:10" x14ac:dyDescent="0.2">
      <c r="A30" s="12"/>
      <c r="B30" s="42"/>
      <c r="C30" s="49" t="s">
        <v>2</v>
      </c>
      <c r="E30" s="42"/>
      <c r="F30" s="42"/>
      <c r="G30" s="42"/>
      <c r="H30" s="42"/>
      <c r="I30" s="42"/>
      <c r="J30" s="42"/>
    </row>
    <row r="31" spans="1:10" ht="17" x14ac:dyDescent="0.2">
      <c r="A31" s="12"/>
      <c r="B31" s="42"/>
      <c r="C31" s="50"/>
      <c r="D31" s="8" t="s">
        <v>14</v>
      </c>
      <c r="E31" s="42"/>
      <c r="F31" s="42"/>
      <c r="G31" s="42"/>
      <c r="H31" s="42"/>
      <c r="I31" s="42"/>
      <c r="J31" s="42"/>
    </row>
    <row r="32" spans="1:10" x14ac:dyDescent="0.2">
      <c r="A32" s="12"/>
      <c r="B32" s="42"/>
      <c r="C32" s="10">
        <f>C8</f>
        <v>2021</v>
      </c>
      <c r="D32" s="4">
        <f>$F8+(1-1/$F$14)*$G8*$D$16</f>
        <v>3668.181818181818</v>
      </c>
      <c r="E32" s="42"/>
      <c r="F32" s="42"/>
      <c r="G32" s="42"/>
      <c r="H32" s="42"/>
      <c r="I32" s="42"/>
      <c r="J32" s="42"/>
    </row>
    <row r="33" spans="1:10" x14ac:dyDescent="0.2">
      <c r="A33" s="12"/>
      <c r="B33" s="42"/>
      <c r="C33" s="10">
        <f>C9</f>
        <v>2022</v>
      </c>
      <c r="D33" s="4">
        <f>$E9+(1-1/$E$14)*$G9*$D$16</f>
        <v>4370</v>
      </c>
      <c r="E33" s="42"/>
      <c r="F33" s="42"/>
      <c r="G33" s="42"/>
      <c r="H33" s="42"/>
      <c r="I33" s="42"/>
      <c r="J33" s="42"/>
    </row>
    <row r="34" spans="1:10" x14ac:dyDescent="0.2">
      <c r="A34" s="12"/>
      <c r="B34" s="42"/>
      <c r="C34" s="10">
        <f>C10</f>
        <v>2023</v>
      </c>
      <c r="D34" s="4">
        <f>$D10+(1-1/$D$14)*$G10*$D$16</f>
        <v>4100</v>
      </c>
      <c r="E34" s="42"/>
      <c r="F34" s="42"/>
      <c r="G34" s="42"/>
      <c r="H34" s="42"/>
      <c r="I34" s="42"/>
      <c r="J34" s="42"/>
    </row>
    <row r="35" spans="1:10" x14ac:dyDescent="0.2">
      <c r="A35" s="12"/>
      <c r="B35" s="42"/>
      <c r="C35" s="42"/>
      <c r="D35" s="42"/>
      <c r="E35" s="42"/>
      <c r="F35" s="42"/>
      <c r="G35" s="42"/>
      <c r="H35" s="42"/>
      <c r="I35" s="42"/>
      <c r="J35" s="42"/>
    </row>
    <row r="36" spans="1:10" x14ac:dyDescent="0.2">
      <c r="A36" s="12" t="s">
        <v>37</v>
      </c>
      <c r="B36" s="53" t="s">
        <v>42</v>
      </c>
      <c r="C36" s="53"/>
      <c r="D36" s="53"/>
      <c r="E36" s="53"/>
      <c r="F36" s="53"/>
      <c r="G36" s="53"/>
      <c r="H36" s="53"/>
      <c r="I36" s="53"/>
      <c r="J36" s="42"/>
    </row>
    <row r="37" spans="1:10" x14ac:dyDescent="0.2">
      <c r="A37" s="12"/>
      <c r="B37" s="42"/>
      <c r="C37" s="42"/>
      <c r="D37" s="42"/>
      <c r="E37" s="42"/>
      <c r="F37" s="42"/>
      <c r="G37" s="42"/>
      <c r="H37" s="42"/>
      <c r="I37" s="42"/>
      <c r="J37" s="42"/>
    </row>
    <row r="38" spans="1:10" x14ac:dyDescent="0.2">
      <c r="A38" s="12"/>
      <c r="B38" s="42"/>
      <c r="C38" s="42"/>
      <c r="D38" s="42"/>
      <c r="F38" s="42"/>
      <c r="G38" s="42"/>
      <c r="H38" s="42"/>
      <c r="I38" s="42"/>
      <c r="J38" s="42"/>
    </row>
    <row r="39" spans="1:10" x14ac:dyDescent="0.2">
      <c r="A39" s="12"/>
      <c r="B39" s="42"/>
      <c r="C39" s="42"/>
      <c r="D39" s="42"/>
      <c r="E39" s="42"/>
      <c r="F39" s="42"/>
      <c r="G39" s="42"/>
      <c r="H39" s="42"/>
      <c r="I39" s="42"/>
      <c r="J39" s="42"/>
    </row>
    <row r="40" spans="1:10" x14ac:dyDescent="0.2">
      <c r="A40" s="12"/>
      <c r="B40" s="5"/>
    </row>
    <row r="41" spans="1:10" x14ac:dyDescent="0.2">
      <c r="A41" s="12"/>
      <c r="B41" s="5"/>
    </row>
    <row r="42" spans="1:10" ht="17" customHeight="1" thickBot="1" x14ac:dyDescent="0.25">
      <c r="A42" s="12"/>
      <c r="B42" s="5"/>
      <c r="C42" s="49" t="s">
        <v>2</v>
      </c>
    </row>
    <row r="43" spans="1:10" ht="17" x14ac:dyDescent="0.2">
      <c r="A43" s="12"/>
      <c r="B43" s="5"/>
      <c r="C43" s="54"/>
      <c r="D43" s="9" t="s">
        <v>15</v>
      </c>
    </row>
    <row r="44" spans="1:10" x14ac:dyDescent="0.2">
      <c r="A44" s="12"/>
      <c r="B44" s="5"/>
      <c r="C44" s="46">
        <f>C8</f>
        <v>2021</v>
      </c>
      <c r="D44" s="6">
        <f>$F$8+(1-1/$F$14)*D32</f>
        <v>3683.4710743801652</v>
      </c>
    </row>
    <row r="45" spans="1:10" x14ac:dyDescent="0.2">
      <c r="A45" s="12"/>
      <c r="B45" s="5"/>
      <c r="C45" s="46">
        <f t="shared" ref="C45:C46" si="0">C9</f>
        <v>2022</v>
      </c>
      <c r="D45" s="6">
        <f>$E$9+(1-1/$E$14)*D33</f>
        <v>4474</v>
      </c>
    </row>
    <row r="46" spans="1:10" ht="17" thickBot="1" x14ac:dyDescent="0.25">
      <c r="A46" s="12"/>
      <c r="B46" s="5"/>
      <c r="C46" s="46">
        <f t="shared" si="0"/>
        <v>2023</v>
      </c>
      <c r="D46" s="7">
        <f>$D$10+(1-1/$D$14)*D34</f>
        <v>4057.1428571428573</v>
      </c>
    </row>
    <row r="47" spans="1:10" x14ac:dyDescent="0.2">
      <c r="A47" s="12"/>
      <c r="B47" s="5"/>
    </row>
    <row r="48" spans="1:10" ht="19" x14ac:dyDescent="0.25">
      <c r="A48" s="12"/>
      <c r="B48" s="11" t="s">
        <v>16</v>
      </c>
    </row>
    <row r="49" spans="1:10" x14ac:dyDescent="0.2">
      <c r="A49" s="12" t="s">
        <v>36</v>
      </c>
      <c r="B49" s="53" t="s">
        <v>43</v>
      </c>
      <c r="C49" s="53"/>
      <c r="D49" s="53"/>
      <c r="E49" s="53"/>
      <c r="F49" s="53"/>
      <c r="G49" s="53"/>
      <c r="H49" s="53"/>
      <c r="I49" s="53"/>
      <c r="J49" s="42"/>
    </row>
    <row r="50" spans="1:10" ht="17" thickBot="1" x14ac:dyDescent="0.25">
      <c r="A50" s="12"/>
      <c r="B50" s="42"/>
      <c r="C50" s="42"/>
      <c r="D50" s="42"/>
      <c r="E50" s="42"/>
      <c r="F50" s="42"/>
      <c r="G50" s="42"/>
      <c r="H50" s="42"/>
      <c r="I50" s="42"/>
      <c r="J50" s="42"/>
    </row>
    <row r="51" spans="1:10" ht="17" thickBot="1" x14ac:dyDescent="0.25">
      <c r="A51" s="12"/>
      <c r="B51" s="42"/>
      <c r="C51" s="42"/>
      <c r="D51" s="42"/>
      <c r="E51" s="42"/>
      <c r="F51" s="44" t="s">
        <v>40</v>
      </c>
      <c r="G51" s="45">
        <v>5</v>
      </c>
      <c r="H51" s="42"/>
      <c r="I51" s="42"/>
      <c r="J51" s="42"/>
    </row>
    <row r="52" spans="1:10" x14ac:dyDescent="0.2">
      <c r="A52" s="12"/>
      <c r="B52" s="42"/>
      <c r="C52" s="42"/>
      <c r="D52" s="42"/>
      <c r="E52" s="42"/>
      <c r="F52" s="42"/>
      <c r="G52" s="42"/>
      <c r="H52" s="42"/>
      <c r="I52" s="42"/>
      <c r="J52" s="42"/>
    </row>
    <row r="53" spans="1:10" x14ac:dyDescent="0.2">
      <c r="A53" s="12"/>
      <c r="B53" s="42"/>
      <c r="C53" s="42"/>
      <c r="D53" s="42"/>
      <c r="E53" s="42"/>
      <c r="F53" s="42"/>
      <c r="G53" s="42"/>
      <c r="H53" s="42"/>
      <c r="I53" s="42"/>
      <c r="J53" s="42"/>
    </row>
    <row r="54" spans="1:10" x14ac:dyDescent="0.2">
      <c r="A54" s="12"/>
      <c r="B54" s="42"/>
      <c r="E54" s="42"/>
      <c r="F54" s="42"/>
      <c r="G54" s="42"/>
      <c r="H54" s="42"/>
      <c r="I54" s="42"/>
      <c r="J54" s="42"/>
    </row>
    <row r="55" spans="1:10" x14ac:dyDescent="0.2">
      <c r="A55" s="12"/>
      <c r="B55" s="42"/>
      <c r="E55" s="42"/>
      <c r="F55" s="42"/>
      <c r="G55" s="42"/>
      <c r="H55" s="42"/>
      <c r="I55" s="42"/>
      <c r="J55" s="42"/>
    </row>
    <row r="56" spans="1:10" x14ac:dyDescent="0.2">
      <c r="A56" s="12"/>
      <c r="B56" s="42"/>
      <c r="C56" s="49" t="s">
        <v>2</v>
      </c>
      <c r="E56" s="42"/>
      <c r="F56" s="42"/>
      <c r="G56" s="42"/>
      <c r="H56" s="42"/>
      <c r="I56" s="42"/>
      <c r="J56" s="42"/>
    </row>
    <row r="57" spans="1:10" ht="17" x14ac:dyDescent="0.2">
      <c r="A57" s="12"/>
      <c r="B57" s="42"/>
      <c r="C57" s="50"/>
      <c r="D57" s="8" t="s">
        <v>17</v>
      </c>
      <c r="E57" s="42"/>
      <c r="F57" s="42"/>
      <c r="G57" s="42"/>
      <c r="H57" s="42"/>
      <c r="I57" s="42"/>
      <c r="J57" s="42"/>
    </row>
    <row r="58" spans="1:10" x14ac:dyDescent="0.2">
      <c r="A58" s="12"/>
      <c r="B58" s="42"/>
      <c r="C58" s="10">
        <f>C8</f>
        <v>2021</v>
      </c>
      <c r="D58" s="4">
        <f>$F$8*$F$14</f>
        <v>3685.0000000000005</v>
      </c>
      <c r="E58" s="42"/>
      <c r="F58" s="42"/>
      <c r="G58" s="42"/>
      <c r="H58" s="42"/>
      <c r="I58" s="42"/>
      <c r="J58" s="42"/>
    </row>
    <row r="59" spans="1:10" x14ac:dyDescent="0.2">
      <c r="A59" s="12"/>
      <c r="B59" s="42"/>
      <c r="C59" s="10">
        <f t="shared" ref="C59:C60" si="1">C9</f>
        <v>2022</v>
      </c>
      <c r="D59" s="4">
        <f>$E$9*$E$14</f>
        <v>4500</v>
      </c>
      <c r="F59" s="42"/>
      <c r="G59" s="42"/>
      <c r="H59" s="42"/>
      <c r="I59" s="42"/>
      <c r="J59" s="42"/>
    </row>
    <row r="60" spans="1:10" x14ac:dyDescent="0.2">
      <c r="A60" s="12"/>
      <c r="B60" s="42"/>
      <c r="C60" s="10">
        <f t="shared" si="1"/>
        <v>2023</v>
      </c>
      <c r="D60" s="4">
        <f>$D$10*$D$14</f>
        <v>4025</v>
      </c>
      <c r="E60" s="42"/>
      <c r="F60" s="42"/>
      <c r="G60" s="42"/>
      <c r="H60" s="42"/>
      <c r="I60" s="42"/>
      <c r="J60" s="42"/>
    </row>
    <row r="61" spans="1:10" x14ac:dyDescent="0.2">
      <c r="A61" s="12"/>
      <c r="B61" s="42"/>
      <c r="C61" s="42"/>
      <c r="D61" s="42"/>
      <c r="E61" s="42"/>
      <c r="F61" s="42"/>
      <c r="G61" s="42"/>
      <c r="H61" s="42"/>
      <c r="I61" s="42"/>
      <c r="J61" s="42"/>
    </row>
    <row r="62" spans="1:10" x14ac:dyDescent="0.2">
      <c r="A62" s="12" t="s">
        <v>37</v>
      </c>
      <c r="B62" s="53" t="s">
        <v>44</v>
      </c>
      <c r="C62" s="53"/>
      <c r="D62" s="53"/>
      <c r="E62" s="53"/>
      <c r="F62" s="53"/>
      <c r="G62" s="53"/>
      <c r="H62" s="53"/>
      <c r="I62" s="53"/>
      <c r="J62" s="42"/>
    </row>
    <row r="63" spans="1:10" x14ac:dyDescent="0.2">
      <c r="A63" s="12"/>
      <c r="B63" s="53"/>
      <c r="C63" s="53"/>
      <c r="D63" s="53"/>
      <c r="E63" s="53"/>
      <c r="F63" s="53"/>
      <c r="G63" s="53"/>
      <c r="H63" s="53"/>
      <c r="I63" s="53"/>
      <c r="J63" s="42"/>
    </row>
    <row r="64" spans="1:10" x14ac:dyDescent="0.2">
      <c r="A64" s="12"/>
      <c r="B64" s="42"/>
      <c r="C64" s="42"/>
      <c r="D64" s="42"/>
      <c r="E64" s="42"/>
      <c r="F64" s="42"/>
      <c r="G64" s="42"/>
      <c r="H64" s="42"/>
      <c r="I64" s="42"/>
      <c r="J64" s="42"/>
    </row>
    <row r="65" spans="1:10" x14ac:dyDescent="0.2">
      <c r="A65" s="12"/>
      <c r="B65" s="42"/>
      <c r="C65" s="42"/>
      <c r="D65" s="42"/>
      <c r="H65" s="42"/>
      <c r="I65" s="42"/>
      <c r="J65" s="42"/>
    </row>
    <row r="66" spans="1:10" x14ac:dyDescent="0.2">
      <c r="A66" s="12"/>
      <c r="B66" s="42"/>
      <c r="C66" s="42"/>
      <c r="D66" s="42"/>
      <c r="E66" s="42"/>
      <c r="F66" s="42"/>
      <c r="G66" s="42"/>
      <c r="H66" s="42"/>
      <c r="I66" s="42"/>
      <c r="J66" s="42"/>
    </row>
    <row r="67" spans="1:10" x14ac:dyDescent="0.2">
      <c r="A67" s="12"/>
      <c r="B67" s="42"/>
      <c r="C67" s="42"/>
      <c r="D67" s="42"/>
      <c r="E67" s="42"/>
      <c r="F67" s="42"/>
      <c r="G67" s="42"/>
      <c r="H67" s="42"/>
      <c r="I67" s="42"/>
      <c r="J67" s="42"/>
    </row>
    <row r="68" spans="1:10" x14ac:dyDescent="0.2">
      <c r="A68" s="12"/>
      <c r="B68" s="42"/>
      <c r="C68" s="42"/>
      <c r="D68" s="42"/>
      <c r="E68" s="42"/>
      <c r="F68" s="42"/>
      <c r="G68" s="42"/>
      <c r="H68" s="42"/>
      <c r="I68" s="42"/>
      <c r="J68" s="42"/>
    </row>
    <row r="69" spans="1:10" x14ac:dyDescent="0.2">
      <c r="A69" s="12"/>
      <c r="B69" s="42"/>
      <c r="C69" s="42"/>
      <c r="D69" s="42"/>
      <c r="E69" s="42"/>
      <c r="F69" s="42"/>
      <c r="G69" s="42"/>
      <c r="H69" s="42"/>
      <c r="I69" s="42"/>
      <c r="J69" s="42"/>
    </row>
    <row r="70" spans="1:10" x14ac:dyDescent="0.2">
      <c r="A70" s="12"/>
      <c r="B70" s="42"/>
      <c r="C70" s="42"/>
      <c r="D70" s="42"/>
      <c r="E70" s="42"/>
      <c r="F70" s="42"/>
      <c r="G70" s="42"/>
      <c r="H70" s="42"/>
      <c r="I70" s="42"/>
      <c r="J70" s="42"/>
    </row>
    <row r="71" spans="1:10" ht="17" thickBot="1" x14ac:dyDescent="0.25">
      <c r="A71" s="12"/>
      <c r="B71" s="42"/>
      <c r="C71" s="49" t="s">
        <v>2</v>
      </c>
      <c r="D71" s="42"/>
      <c r="E71" s="42"/>
      <c r="F71" s="42"/>
      <c r="G71" s="42"/>
      <c r="H71" s="42"/>
      <c r="I71" s="42"/>
      <c r="J71" s="42"/>
    </row>
    <row r="72" spans="1:10" ht="17" x14ac:dyDescent="0.2">
      <c r="A72" s="12"/>
      <c r="B72" s="42"/>
      <c r="C72" s="50"/>
      <c r="D72" s="8" t="s">
        <v>18</v>
      </c>
      <c r="E72" s="9" t="s">
        <v>15</v>
      </c>
      <c r="G72" s="42"/>
      <c r="H72" s="42"/>
      <c r="I72" s="42"/>
      <c r="J72" s="42"/>
    </row>
    <row r="73" spans="1:10" x14ac:dyDescent="0.2">
      <c r="A73" s="12"/>
      <c r="B73" s="42"/>
      <c r="C73" s="10">
        <f>C8</f>
        <v>2021</v>
      </c>
      <c r="D73" s="47">
        <f>1-1/F14</f>
        <v>9.0909090909090939E-2</v>
      </c>
      <c r="E73" s="6">
        <f>(1-D73^2)*D58+D73^2*G8*$D$16</f>
        <v>3683.4710743801656</v>
      </c>
      <c r="G73" s="42"/>
      <c r="H73" s="42"/>
      <c r="I73" s="42"/>
      <c r="J73" s="42"/>
    </row>
    <row r="74" spans="1:10" x14ac:dyDescent="0.2">
      <c r="A74" s="12"/>
      <c r="B74" s="42"/>
      <c r="C74" s="10">
        <f>C9</f>
        <v>2022</v>
      </c>
      <c r="D74" s="47">
        <f>1-1/E14</f>
        <v>0.19999999999999996</v>
      </c>
      <c r="E74" s="6">
        <f>(1-D74^2)*D59+D74^2*G9*$D$16</f>
        <v>4474</v>
      </c>
      <c r="G74" s="42"/>
      <c r="H74" s="42"/>
      <c r="I74" s="42"/>
      <c r="J74" s="42"/>
    </row>
    <row r="75" spans="1:10" ht="17" thickBot="1" x14ac:dyDescent="0.25">
      <c r="A75" s="12"/>
      <c r="B75" s="42"/>
      <c r="C75" s="10">
        <f>C10</f>
        <v>2023</v>
      </c>
      <c r="D75" s="47">
        <f>1-1/D14</f>
        <v>0.4285714285714286</v>
      </c>
      <c r="E75" s="7">
        <f>(1-D75^2)*D60+D75^2*G10*$D$16</f>
        <v>4057.1428571428573</v>
      </c>
      <c r="G75" s="42"/>
      <c r="H75" s="42"/>
      <c r="I75" s="42"/>
      <c r="J75" s="42"/>
    </row>
    <row r="76" spans="1:10" x14ac:dyDescent="0.2">
      <c r="A76" s="12"/>
      <c r="B76" s="5"/>
    </row>
    <row r="77" spans="1:10" ht="19" x14ac:dyDescent="0.25">
      <c r="A77" s="12"/>
      <c r="B77" s="11" t="s">
        <v>19</v>
      </c>
    </row>
    <row r="78" spans="1:10" x14ac:dyDescent="0.2">
      <c r="A78" s="12" t="s">
        <v>36</v>
      </c>
      <c r="B78" s="5" t="s">
        <v>45</v>
      </c>
      <c r="C78" s="43"/>
      <c r="D78" s="42"/>
      <c r="E78" s="42"/>
      <c r="F78" s="42"/>
      <c r="G78" s="42"/>
      <c r="H78" s="42"/>
      <c r="I78" s="42"/>
      <c r="J78" s="42"/>
    </row>
    <row r="79" spans="1:10" x14ac:dyDescent="0.2">
      <c r="A79" s="12"/>
      <c r="B79" s="42"/>
      <c r="C79" s="42"/>
      <c r="D79" s="42"/>
      <c r="E79" s="42"/>
      <c r="F79" s="42"/>
      <c r="G79" s="42"/>
      <c r="H79" s="42"/>
      <c r="I79" s="42"/>
      <c r="J79" s="42"/>
    </row>
    <row r="80" spans="1:10" x14ac:dyDescent="0.2">
      <c r="A80" s="12"/>
      <c r="B80" s="42"/>
      <c r="C80" s="42"/>
      <c r="D80" s="42"/>
      <c r="E80" s="42"/>
      <c r="F80" s="42"/>
      <c r="G80" s="42"/>
      <c r="H80" s="42"/>
      <c r="I80" s="42"/>
      <c r="J80" s="42"/>
    </row>
    <row r="81" spans="1:10" x14ac:dyDescent="0.2">
      <c r="A81" s="12"/>
      <c r="B81" s="42"/>
      <c r="C81" s="42"/>
      <c r="D81" s="42"/>
      <c r="E81" s="42"/>
      <c r="F81" s="42"/>
      <c r="G81" s="42"/>
      <c r="H81" s="42"/>
      <c r="I81" s="42"/>
      <c r="J81" s="42"/>
    </row>
    <row r="82" spans="1:10" x14ac:dyDescent="0.2">
      <c r="A82" s="12"/>
      <c r="B82" s="42"/>
      <c r="C82" s="42"/>
      <c r="D82" s="42"/>
      <c r="E82" s="42"/>
      <c r="F82" s="42"/>
      <c r="G82" s="42"/>
      <c r="H82" s="42"/>
      <c r="I82" s="42"/>
      <c r="J82" s="42"/>
    </row>
    <row r="83" spans="1:10" x14ac:dyDescent="0.2">
      <c r="A83" s="12"/>
      <c r="B83" s="42"/>
      <c r="C83" s="42"/>
      <c r="D83" s="42"/>
      <c r="E83" s="42"/>
      <c r="F83" s="42"/>
      <c r="G83" s="42"/>
      <c r="H83" s="42"/>
      <c r="I83" s="42"/>
      <c r="J83" s="42"/>
    </row>
    <row r="84" spans="1:10" x14ac:dyDescent="0.2">
      <c r="A84" s="12"/>
      <c r="B84" s="42"/>
      <c r="C84" s="42"/>
      <c r="D84" s="42"/>
      <c r="E84" s="42"/>
      <c r="F84" s="42"/>
      <c r="G84" s="42"/>
      <c r="H84" s="42"/>
      <c r="I84" s="42"/>
      <c r="J84" s="42"/>
    </row>
    <row r="85" spans="1:10" x14ac:dyDescent="0.2">
      <c r="A85" s="12"/>
      <c r="B85" s="42"/>
      <c r="C85" s="49" t="s">
        <v>2</v>
      </c>
      <c r="D85" s="42"/>
      <c r="E85" s="42"/>
      <c r="F85" s="42"/>
      <c r="G85" s="42"/>
      <c r="H85" s="42"/>
      <c r="I85" s="42"/>
      <c r="J85" s="42"/>
    </row>
    <row r="86" spans="1:10" ht="17" x14ac:dyDescent="0.2">
      <c r="A86" s="12"/>
      <c r="B86" s="42"/>
      <c r="C86" s="50"/>
      <c r="D86" s="8" t="s">
        <v>21</v>
      </c>
      <c r="E86" s="8" t="s">
        <v>18</v>
      </c>
      <c r="F86" s="8" t="s">
        <v>20</v>
      </c>
      <c r="G86" s="42"/>
      <c r="H86" s="42"/>
      <c r="I86" s="42"/>
      <c r="J86" s="42"/>
    </row>
    <row r="87" spans="1:10" x14ac:dyDescent="0.2">
      <c r="A87" s="12"/>
      <c r="B87" s="42"/>
      <c r="C87" s="10">
        <f>C8</f>
        <v>2021</v>
      </c>
      <c r="D87" s="4">
        <f>$F$8*($F$14-1)</f>
        <v>335.00000000000028</v>
      </c>
      <c r="E87" s="47">
        <f>D73</f>
        <v>9.0909090909090939E-2</v>
      </c>
      <c r="F87" s="4">
        <f>G8*$D$16*E87</f>
        <v>318.1818181818183</v>
      </c>
      <c r="G87" s="42"/>
      <c r="H87" s="42"/>
      <c r="I87" s="42"/>
      <c r="J87" s="42"/>
    </row>
    <row r="88" spans="1:10" x14ac:dyDescent="0.2">
      <c r="A88" s="12"/>
      <c r="B88" s="42"/>
      <c r="C88" s="10">
        <f>C9</f>
        <v>2022</v>
      </c>
      <c r="D88" s="4">
        <f>$E$9*($E$14-1)</f>
        <v>900</v>
      </c>
      <c r="E88" s="47">
        <f>D74</f>
        <v>0.19999999999999996</v>
      </c>
      <c r="F88" s="4">
        <f>G9*$D$16*E88</f>
        <v>769.99999999999977</v>
      </c>
      <c r="G88" s="42"/>
      <c r="H88" s="42"/>
      <c r="I88" s="42"/>
      <c r="J88" s="42"/>
    </row>
    <row r="89" spans="1:10" x14ac:dyDescent="0.2">
      <c r="A89" s="12"/>
      <c r="B89" s="42"/>
      <c r="C89" s="10">
        <f>C10</f>
        <v>2023</v>
      </c>
      <c r="D89" s="4">
        <f>$D$10*($D$14-1)</f>
        <v>1725</v>
      </c>
      <c r="E89" s="47">
        <f>D75</f>
        <v>0.4285714285714286</v>
      </c>
      <c r="F89" s="4">
        <f>G10*$D$16*E89</f>
        <v>1800.0000000000002</v>
      </c>
      <c r="G89" s="42"/>
      <c r="H89" s="42"/>
      <c r="I89" s="42"/>
      <c r="J89" s="42"/>
    </row>
    <row r="90" spans="1:10" x14ac:dyDescent="0.2">
      <c r="A90" s="12"/>
      <c r="B90" s="42"/>
      <c r="C90" s="42"/>
      <c r="D90" s="42"/>
      <c r="E90" s="42"/>
      <c r="F90" s="42"/>
      <c r="G90" s="42"/>
      <c r="H90" s="42"/>
      <c r="I90" s="42"/>
      <c r="J90" s="42"/>
    </row>
    <row r="91" spans="1:10" x14ac:dyDescent="0.2">
      <c r="A91" s="12"/>
      <c r="B91" s="42"/>
      <c r="C91" s="42"/>
      <c r="D91" s="42"/>
      <c r="E91" s="42"/>
      <c r="F91" s="42"/>
      <c r="G91" s="42"/>
      <c r="H91" s="42"/>
      <c r="I91" s="42"/>
      <c r="J91" s="42"/>
    </row>
    <row r="92" spans="1:10" x14ac:dyDescent="0.2">
      <c r="A92" s="12"/>
      <c r="B92" s="42"/>
      <c r="C92" s="42"/>
      <c r="D92" s="42"/>
      <c r="E92" s="42"/>
      <c r="F92" s="42"/>
      <c r="G92" s="42"/>
      <c r="H92" s="42"/>
      <c r="I92" s="42"/>
      <c r="J92" s="42"/>
    </row>
    <row r="93" spans="1:10" x14ac:dyDescent="0.2">
      <c r="A93" s="12" t="s">
        <v>37</v>
      </c>
      <c r="B93" s="53" t="s">
        <v>46</v>
      </c>
      <c r="C93" s="53"/>
      <c r="D93" s="53"/>
      <c r="E93" s="53"/>
      <c r="F93" s="53"/>
      <c r="G93" s="53"/>
      <c r="H93" s="53"/>
      <c r="I93" s="53"/>
      <c r="J93" s="42"/>
    </row>
    <row r="94" spans="1:10" x14ac:dyDescent="0.2">
      <c r="A94" s="12"/>
      <c r="B94" s="53"/>
      <c r="C94" s="53"/>
      <c r="D94" s="53"/>
      <c r="E94" s="53"/>
      <c r="F94" s="53"/>
      <c r="G94" s="53"/>
      <c r="H94" s="53"/>
      <c r="I94" s="53"/>
      <c r="J94" s="42"/>
    </row>
    <row r="95" spans="1:10" x14ac:dyDescent="0.2">
      <c r="A95" s="12"/>
      <c r="B95" s="42"/>
      <c r="C95" s="42"/>
      <c r="D95" s="42"/>
      <c r="E95" s="42"/>
      <c r="F95" s="42"/>
      <c r="G95" s="42"/>
      <c r="H95" s="42"/>
      <c r="I95" s="42"/>
      <c r="J95" s="42"/>
    </row>
    <row r="96" spans="1:10" x14ac:dyDescent="0.2">
      <c r="A96" s="12"/>
      <c r="B96" s="42"/>
      <c r="C96" s="42"/>
      <c r="D96" s="42"/>
      <c r="E96" s="42"/>
      <c r="F96" s="42"/>
      <c r="G96" s="42"/>
      <c r="H96" s="42"/>
      <c r="I96" s="42"/>
      <c r="J96" s="42"/>
    </row>
    <row r="97" spans="1:14" x14ac:dyDescent="0.2">
      <c r="A97" s="12"/>
      <c r="B97" s="42"/>
      <c r="C97" s="42"/>
      <c r="D97" s="42"/>
      <c r="E97" s="42"/>
      <c r="F97" s="42"/>
      <c r="G97" s="42"/>
      <c r="H97" s="42"/>
      <c r="I97" s="42"/>
      <c r="J97" s="42"/>
    </row>
    <row r="98" spans="1:14" x14ac:dyDescent="0.2">
      <c r="A98" s="12"/>
    </row>
    <row r="99" spans="1:14" ht="17" thickBot="1" x14ac:dyDescent="0.25">
      <c r="A99" s="12"/>
      <c r="C99" s="49" t="s">
        <v>2</v>
      </c>
    </row>
    <row r="100" spans="1:14" ht="17" x14ac:dyDescent="0.2">
      <c r="A100" s="12"/>
      <c r="C100" s="50"/>
      <c r="D100" s="8" t="s">
        <v>22</v>
      </c>
      <c r="E100" s="9" t="s">
        <v>15</v>
      </c>
    </row>
    <row r="101" spans="1:14" x14ac:dyDescent="0.2">
      <c r="A101" s="12"/>
      <c r="C101" s="10">
        <f>C8</f>
        <v>2021</v>
      </c>
      <c r="D101" s="4">
        <f>(1-E87)*D87+E87*F87</f>
        <v>333.47107438016553</v>
      </c>
      <c r="E101" s="6">
        <f>D101+F8</f>
        <v>3683.4710743801656</v>
      </c>
    </row>
    <row r="102" spans="1:14" x14ac:dyDescent="0.2">
      <c r="A102" s="12"/>
      <c r="C102" s="10">
        <f t="shared" ref="C102:C103" si="2">C9</f>
        <v>2022</v>
      </c>
      <c r="D102" s="4">
        <f>(1-E88)*D88+E88*F88</f>
        <v>873.99999999999989</v>
      </c>
      <c r="E102" s="6">
        <f>D102+E9</f>
        <v>4474</v>
      </c>
    </row>
    <row r="103" spans="1:14" ht="17" thickBot="1" x14ac:dyDescent="0.25">
      <c r="A103" s="12"/>
      <c r="C103" s="10">
        <f t="shared" si="2"/>
        <v>2023</v>
      </c>
      <c r="D103" s="4">
        <f>(1-E89)*D89+E89*F89</f>
        <v>1757.1428571428573</v>
      </c>
      <c r="E103" s="7">
        <f>D103+D10</f>
        <v>4057.1428571428573</v>
      </c>
      <c r="L103" s="3"/>
    </row>
    <row r="104" spans="1:14" x14ac:dyDescent="0.2">
      <c r="A104" s="12"/>
      <c r="E104" s="4"/>
      <c r="F104" s="4"/>
      <c r="G104" s="4"/>
      <c r="H104" s="4"/>
      <c r="I104" s="4"/>
      <c r="L104" s="3"/>
    </row>
    <row r="105" spans="1:14" ht="19" x14ac:dyDescent="0.25">
      <c r="A105" s="2" t="s">
        <v>23</v>
      </c>
      <c r="L105" s="3"/>
      <c r="M105" s="3"/>
      <c r="N105" s="3"/>
    </row>
    <row r="106" spans="1:14" ht="16" customHeight="1" x14ac:dyDescent="0.25">
      <c r="A106" s="2"/>
      <c r="B106" s="51" t="s">
        <v>47</v>
      </c>
      <c r="C106" s="52"/>
      <c r="D106" s="52"/>
      <c r="E106" s="52"/>
      <c r="F106" s="52"/>
      <c r="G106" s="52"/>
      <c r="H106" s="52"/>
      <c r="I106" s="52"/>
      <c r="L106" s="3"/>
      <c r="M106" s="3"/>
      <c r="N106" s="3"/>
    </row>
    <row r="107" spans="1:14" ht="16" customHeight="1" x14ac:dyDescent="0.25">
      <c r="A107" s="2"/>
      <c r="B107" s="52"/>
      <c r="C107" s="52"/>
      <c r="D107" s="52"/>
      <c r="E107" s="52"/>
      <c r="F107" s="52"/>
      <c r="G107" s="52"/>
      <c r="H107" s="52"/>
      <c r="I107" s="52"/>
      <c r="L107" s="3"/>
      <c r="M107" s="3"/>
      <c r="N107" s="3"/>
    </row>
    <row r="108" spans="1:14" ht="16" customHeight="1" x14ac:dyDescent="0.25">
      <c r="A108" s="2"/>
      <c r="L108" s="3"/>
      <c r="M108" s="3"/>
      <c r="N108" s="3"/>
    </row>
    <row r="109" spans="1:14" ht="19" x14ac:dyDescent="0.25">
      <c r="B109" s="11" t="s">
        <v>24</v>
      </c>
      <c r="L109" s="3"/>
      <c r="M109" s="3"/>
      <c r="N109" s="3"/>
    </row>
    <row r="110" spans="1:14" x14ac:dyDescent="0.2">
      <c r="B110" s="31" t="s">
        <v>25</v>
      </c>
      <c r="L110" s="3"/>
      <c r="M110" s="3"/>
      <c r="N110" s="3"/>
    </row>
    <row r="111" spans="1:14" x14ac:dyDescent="0.2">
      <c r="L111" s="3"/>
      <c r="M111" s="3"/>
      <c r="N111" s="3"/>
    </row>
    <row r="112" spans="1:14" ht="19" x14ac:dyDescent="0.2">
      <c r="B112" s="42" t="s">
        <v>26</v>
      </c>
      <c r="L112" s="3"/>
      <c r="M112" s="3"/>
      <c r="N112" s="3"/>
    </row>
    <row r="113" spans="2:14" x14ac:dyDescent="0.2">
      <c r="B113" s="31" t="s">
        <v>27</v>
      </c>
      <c r="L113" s="3"/>
      <c r="M113" s="3"/>
      <c r="N113" s="3"/>
    </row>
    <row r="114" spans="2:14" x14ac:dyDescent="0.2">
      <c r="L114" s="3"/>
      <c r="M114" s="3"/>
      <c r="N114" s="3"/>
    </row>
    <row r="115" spans="2:14" x14ac:dyDescent="0.2">
      <c r="M115" s="40"/>
    </row>
    <row r="116" spans="2:14" x14ac:dyDescent="0.2">
      <c r="M116" s="40"/>
    </row>
    <row r="117" spans="2:14" x14ac:dyDescent="0.2">
      <c r="B117" s="51" t="s">
        <v>48</v>
      </c>
      <c r="C117" s="51"/>
      <c r="D117" s="51"/>
      <c r="E117" s="51"/>
      <c r="F117" s="51"/>
      <c r="G117" s="51"/>
      <c r="H117" s="51"/>
      <c r="I117" s="51"/>
      <c r="L117" s="3"/>
      <c r="M117" s="3"/>
      <c r="N117" s="3"/>
    </row>
    <row r="118" spans="2:14" x14ac:dyDescent="0.2">
      <c r="B118" s="51"/>
      <c r="C118" s="51"/>
      <c r="D118" s="51"/>
      <c r="E118" s="51"/>
      <c r="F118" s="51"/>
      <c r="G118" s="51"/>
      <c r="H118" s="51"/>
      <c r="I118" s="51"/>
      <c r="L118" s="3"/>
      <c r="M118" s="3"/>
      <c r="N118" s="3"/>
    </row>
    <row r="119" spans="2:14" x14ac:dyDescent="0.2">
      <c r="L119" s="3"/>
      <c r="M119" s="3"/>
      <c r="N119" s="3"/>
    </row>
    <row r="120" spans="2:14" x14ac:dyDescent="0.2">
      <c r="L120" s="3"/>
      <c r="M120" s="3"/>
      <c r="N120" s="3"/>
    </row>
    <row r="121" spans="2:14" x14ac:dyDescent="0.2">
      <c r="L121" s="3"/>
      <c r="M121" s="3"/>
      <c r="N121" s="3"/>
    </row>
    <row r="122" spans="2:14" ht="19" x14ac:dyDescent="0.2">
      <c r="B122" s="31" t="s">
        <v>35</v>
      </c>
      <c r="L122" s="3"/>
      <c r="M122" s="3"/>
      <c r="N122" s="3"/>
    </row>
    <row r="123" spans="2:14" ht="18" x14ac:dyDescent="0.25">
      <c r="B123" s="31" t="s">
        <v>34</v>
      </c>
      <c r="L123" s="3"/>
      <c r="M123" s="3"/>
      <c r="N123" s="3"/>
    </row>
    <row r="124" spans="2:14" x14ac:dyDescent="0.2">
      <c r="L124" s="3"/>
      <c r="M124" s="3"/>
      <c r="N124" s="3"/>
    </row>
    <row r="125" spans="2:14" x14ac:dyDescent="0.2">
      <c r="L125" s="3"/>
      <c r="M125" s="3"/>
      <c r="N125" s="3"/>
    </row>
    <row r="126" spans="2:14" x14ac:dyDescent="0.2">
      <c r="L126" s="3"/>
      <c r="M126" s="3"/>
      <c r="N126" s="3"/>
    </row>
    <row r="127" spans="2:14" ht="19" x14ac:dyDescent="0.2">
      <c r="B127" s="42" t="s">
        <v>49</v>
      </c>
      <c r="L127" s="3"/>
      <c r="M127" s="3"/>
      <c r="N127" s="3"/>
    </row>
    <row r="128" spans="2:14" ht="18" x14ac:dyDescent="0.25">
      <c r="B128" s="42" t="s">
        <v>50</v>
      </c>
      <c r="L128" s="3"/>
      <c r="M128" s="3"/>
      <c r="N128" s="3"/>
    </row>
    <row r="129" spans="12:14" x14ac:dyDescent="0.2">
      <c r="M129" s="40"/>
    </row>
    <row r="130" spans="12:14" x14ac:dyDescent="0.2">
      <c r="M130" s="40"/>
    </row>
    <row r="131" spans="12:14" x14ac:dyDescent="0.2">
      <c r="M131" s="40"/>
    </row>
    <row r="132" spans="12:14" x14ac:dyDescent="0.2">
      <c r="M132" s="40"/>
    </row>
    <row r="133" spans="12:14" x14ac:dyDescent="0.2">
      <c r="M133" s="40"/>
    </row>
    <row r="134" spans="12:14" x14ac:dyDescent="0.2">
      <c r="L134" s="3"/>
      <c r="M134" s="3"/>
      <c r="N134" s="3"/>
    </row>
    <row r="135" spans="12:14" x14ac:dyDescent="0.2">
      <c r="L135" s="3"/>
      <c r="M135" s="3"/>
      <c r="N135" s="3"/>
    </row>
    <row r="136" spans="12:14" x14ac:dyDescent="0.2">
      <c r="L136" s="3"/>
      <c r="M136" s="3"/>
      <c r="N136" s="3"/>
    </row>
    <row r="137" spans="12:14" x14ac:dyDescent="0.2">
      <c r="L137" s="3"/>
      <c r="M137" s="3"/>
      <c r="N137" s="3"/>
    </row>
    <row r="138" spans="12:14" ht="15.75" customHeight="1" x14ac:dyDescent="0.2">
      <c r="L138" s="3"/>
      <c r="M138" s="3"/>
      <c r="N138" s="3"/>
    </row>
    <row r="139" spans="12:14" ht="15.75" customHeight="1" x14ac:dyDescent="0.2">
      <c r="L139" s="3"/>
      <c r="M139" s="3"/>
      <c r="N139" s="3"/>
    </row>
    <row r="140" spans="12:14" ht="15.75" customHeight="1" x14ac:dyDescent="0.2">
      <c r="L140" s="3"/>
      <c r="M140" s="3"/>
      <c r="N140" s="3"/>
    </row>
    <row r="141" spans="12:14" ht="15.75" customHeight="1" x14ac:dyDescent="0.2">
      <c r="L141" s="3"/>
      <c r="M141" s="3"/>
      <c r="N141" s="3"/>
    </row>
    <row r="142" spans="12:14" x14ac:dyDescent="0.2">
      <c r="L142" s="3"/>
      <c r="M142" s="3"/>
      <c r="N142" s="3"/>
    </row>
    <row r="143" spans="12:14" x14ac:dyDescent="0.2">
      <c r="M143" s="40"/>
    </row>
    <row r="144" spans="12:14" x14ac:dyDescent="0.2">
      <c r="L144" s="3"/>
      <c r="M144" s="3"/>
      <c r="N144" s="3"/>
    </row>
    <row r="145" spans="2:14" x14ac:dyDescent="0.2">
      <c r="L145" s="3"/>
      <c r="M145" s="3"/>
      <c r="N145" s="3"/>
    </row>
    <row r="146" spans="2:14" x14ac:dyDescent="0.2">
      <c r="L146" s="3"/>
      <c r="M146" s="3"/>
      <c r="N146" s="3"/>
    </row>
    <row r="147" spans="2:14" x14ac:dyDescent="0.2">
      <c r="L147" s="3"/>
      <c r="M147" s="3"/>
      <c r="N147" s="3"/>
    </row>
    <row r="148" spans="2:14" x14ac:dyDescent="0.2">
      <c r="L148" s="3"/>
      <c r="M148" s="3"/>
      <c r="N148" s="3"/>
    </row>
    <row r="149" spans="2:14" x14ac:dyDescent="0.2">
      <c r="L149" s="3"/>
      <c r="M149" s="3"/>
      <c r="N149" s="3"/>
    </row>
    <row r="150" spans="2:14" x14ac:dyDescent="0.2">
      <c r="L150" s="3"/>
      <c r="M150" s="3"/>
      <c r="N150" s="3"/>
    </row>
    <row r="151" spans="2:14" x14ac:dyDescent="0.2">
      <c r="L151" s="3"/>
      <c r="M151" s="3"/>
      <c r="N151" s="3"/>
    </row>
    <row r="152" spans="2:14" x14ac:dyDescent="0.2">
      <c r="L152" s="3"/>
      <c r="M152" s="3"/>
      <c r="N152" s="3"/>
    </row>
    <row r="153" spans="2:14" x14ac:dyDescent="0.2">
      <c r="L153" s="3"/>
      <c r="M153" s="3"/>
      <c r="N153" s="3"/>
    </row>
    <row r="154" spans="2:14" x14ac:dyDescent="0.2">
      <c r="B154" s="5" t="s">
        <v>28</v>
      </c>
      <c r="L154" s="3"/>
      <c r="M154" s="3"/>
      <c r="N154" s="3"/>
    </row>
    <row r="155" spans="2:14" x14ac:dyDescent="0.2">
      <c r="B155" s="51" t="s">
        <v>51</v>
      </c>
      <c r="C155" s="51"/>
      <c r="D155" s="51"/>
      <c r="E155" s="51"/>
      <c r="F155" s="51"/>
      <c r="G155" s="51"/>
      <c r="H155" s="51"/>
      <c r="I155" s="51"/>
      <c r="L155" s="3"/>
      <c r="M155" s="3"/>
      <c r="N155" s="3"/>
    </row>
    <row r="156" spans="2:14" x14ac:dyDescent="0.2">
      <c r="B156" s="51"/>
      <c r="C156" s="51"/>
      <c r="D156" s="51"/>
      <c r="E156" s="51"/>
      <c r="F156" s="51"/>
      <c r="G156" s="51"/>
      <c r="H156" s="51"/>
      <c r="I156" s="51"/>
      <c r="L156" s="3"/>
      <c r="M156" s="3"/>
      <c r="N156" s="3"/>
    </row>
    <row r="157" spans="2:14" x14ac:dyDescent="0.2">
      <c r="B157" s="51"/>
      <c r="C157" s="51"/>
      <c r="D157" s="51"/>
      <c r="E157" s="51"/>
      <c r="F157" s="51"/>
      <c r="G157" s="51"/>
      <c r="H157" s="51"/>
      <c r="I157" s="51"/>
      <c r="L157" s="3"/>
      <c r="M157" s="3"/>
      <c r="N157" s="3"/>
    </row>
    <row r="158" spans="2:14" x14ac:dyDescent="0.2">
      <c r="B158" s="51"/>
      <c r="C158" s="51"/>
      <c r="D158" s="51"/>
      <c r="E158" s="51"/>
      <c r="F158" s="51"/>
      <c r="G158" s="51"/>
      <c r="H158" s="51"/>
      <c r="I158" s="51"/>
      <c r="L158" s="3"/>
      <c r="M158" s="3"/>
      <c r="N158" s="3"/>
    </row>
    <row r="159" spans="2:14" x14ac:dyDescent="0.2">
      <c r="B159" s="51"/>
      <c r="C159" s="51"/>
      <c r="D159" s="51"/>
      <c r="E159" s="51"/>
      <c r="F159" s="51"/>
      <c r="G159" s="51"/>
      <c r="H159" s="51"/>
      <c r="I159" s="51"/>
      <c r="L159" s="3"/>
      <c r="M159" s="3"/>
      <c r="N159" s="3"/>
    </row>
    <row r="160" spans="2:14" x14ac:dyDescent="0.2">
      <c r="B160" s="51"/>
      <c r="C160" s="51"/>
      <c r="D160" s="51"/>
      <c r="E160" s="51"/>
      <c r="F160" s="51"/>
      <c r="G160" s="51"/>
      <c r="H160" s="51"/>
      <c r="I160" s="51"/>
      <c r="M160" s="40"/>
    </row>
    <row r="161" spans="1:65" x14ac:dyDescent="0.2">
      <c r="A161" s="3"/>
      <c r="B161" s="51"/>
      <c r="C161" s="51"/>
      <c r="D161" s="51"/>
      <c r="E161" s="51"/>
      <c r="F161" s="51"/>
      <c r="G161" s="51"/>
      <c r="H161" s="51"/>
      <c r="I161" s="51"/>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row>
    <row r="162" spans="1:65" x14ac:dyDescent="0.2">
      <c r="A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row>
    <row r="163" spans="1:65" ht="19" x14ac:dyDescent="0.25">
      <c r="A163" s="2" t="s">
        <v>29</v>
      </c>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row>
    <row r="164" spans="1:65" x14ac:dyDescent="0.2">
      <c r="A164" s="3"/>
      <c r="B164" s="42" t="s">
        <v>52</v>
      </c>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row>
    <row r="165" spans="1:65"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row>
    <row r="166" spans="1:65" ht="19" x14ac:dyDescent="0.25">
      <c r="A166" s="2" t="s">
        <v>30</v>
      </c>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row>
    <row r="167" spans="1:65" x14ac:dyDescent="0.2">
      <c r="A167" s="3"/>
      <c r="B167" s="31" t="s">
        <v>31</v>
      </c>
      <c r="D167" s="42" t="s">
        <v>53</v>
      </c>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row>
    <row r="168" spans="1:65" x14ac:dyDescent="0.2">
      <c r="A168" s="3"/>
      <c r="B168" s="31" t="s">
        <v>32</v>
      </c>
      <c r="D168" s="42" t="s">
        <v>54</v>
      </c>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row>
    <row r="169" spans="1:65" x14ac:dyDescent="0.2">
      <c r="A169" s="3"/>
      <c r="B169" s="31" t="s">
        <v>33</v>
      </c>
      <c r="D169" s="42" t="s">
        <v>55</v>
      </c>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row>
    <row r="170" spans="1:65"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row>
    <row r="171" spans="1:65"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row>
    <row r="172" spans="1:65"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row>
    <row r="173" spans="1:65"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row>
    <row r="174" spans="1:65"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row>
    <row r="175" spans="1:65"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row>
    <row r="176" spans="1:65"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row>
    <row r="177" spans="1:65"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row>
    <row r="178" spans="1:65"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row>
    <row r="179" spans="1:65"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row>
    <row r="180" spans="1:65"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row>
    <row r="181" spans="1:65"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row>
    <row r="182" spans="1:65"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row>
    <row r="183" spans="1:65"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row>
    <row r="184" spans="1:65"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row>
    <row r="185" spans="1:65"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row>
    <row r="186" spans="1:65"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row>
    <row r="187" spans="1:65"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row>
    <row r="188" spans="1:65"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row>
    <row r="189" spans="1:65"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row>
    <row r="190" spans="1:65"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row>
    <row r="191" spans="1:65"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row>
    <row r="192" spans="1:65"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row>
    <row r="193" spans="1:65"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row>
    <row r="194" spans="1:65"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row>
    <row r="195" spans="1:65"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row>
    <row r="196" spans="1:65"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row>
    <row r="197" spans="1:65"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row>
    <row r="198" spans="1:65"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row>
    <row r="199" spans="1:65"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row>
    <row r="200" spans="1:65"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row>
    <row r="201" spans="1:65"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row>
    <row r="202" spans="1:65"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row>
    <row r="203" spans="1:65"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row>
    <row r="204" spans="1:65"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row>
    <row r="205" spans="1:65"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row>
    <row r="206" spans="1:65"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row>
    <row r="207" spans="1:65"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row>
    <row r="208" spans="1:65"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row>
    <row r="209" spans="1:65"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row>
    <row r="210" spans="1:65"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row>
    <row r="211" spans="1:65"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row>
    <row r="212" spans="1:65"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row>
    <row r="213" spans="1:65"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row>
    <row r="214" spans="1:65"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row>
    <row r="215" spans="1:65"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row>
    <row r="216" spans="1:65"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row>
    <row r="217" spans="1:65"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row>
    <row r="218" spans="1:65"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row>
    <row r="219" spans="1:65"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row>
    <row r="220" spans="1:65"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row>
    <row r="221" spans="1:65"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row>
    <row r="222" spans="1:65"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row>
    <row r="223" spans="1:65"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row>
    <row r="224" spans="1:65"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row>
    <row r="225" spans="1:65"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row>
    <row r="226" spans="1:65"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row>
    <row r="227" spans="1:65"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row>
    <row r="228" spans="1:65"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row>
    <row r="229" spans="1:65"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row>
    <row r="230" spans="1:65"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row>
    <row r="231" spans="1:65"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row>
    <row r="232" spans="1:65"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row>
    <row r="233" spans="1:65"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row>
    <row r="234" spans="1:65"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row>
    <row r="235" spans="1:65"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row>
    <row r="236" spans="1:65"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row>
    <row r="237" spans="1:65"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row>
    <row r="238" spans="1:65"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row>
    <row r="239" spans="1:65"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row>
    <row r="240" spans="1:65"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row>
    <row r="241" spans="1:65"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row>
    <row r="242" spans="1:65"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row>
    <row r="243" spans="1:65"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row>
    <row r="244" spans="1:65"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row>
    <row r="245" spans="1:65"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row>
    <row r="246" spans="1:65"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row>
    <row r="247" spans="1:65"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row>
    <row r="248" spans="1:65"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row>
    <row r="249" spans="1:65"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row>
    <row r="250" spans="1:65"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row>
    <row r="251" spans="1:65"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row>
    <row r="252" spans="1:65"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row>
    <row r="253" spans="1:65"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row>
    <row r="254" spans="1:65"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row>
    <row r="255" spans="1:65"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row>
    <row r="256" spans="1:65"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row>
    <row r="257" spans="1:65"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row>
    <row r="258" spans="1:65"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row>
    <row r="259" spans="1:65"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row>
    <row r="260" spans="1:65"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row>
    <row r="261" spans="1:65"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row>
    <row r="262" spans="1:65"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row>
  </sheetData>
  <mergeCells count="17">
    <mergeCell ref="G5:G7"/>
    <mergeCell ref="C5:F5"/>
    <mergeCell ref="C6:C7"/>
    <mergeCell ref="C12:F12"/>
    <mergeCell ref="B36:I36"/>
    <mergeCell ref="B49:I49"/>
    <mergeCell ref="C30:C31"/>
    <mergeCell ref="C42:C43"/>
    <mergeCell ref="C56:C57"/>
    <mergeCell ref="C71:C72"/>
    <mergeCell ref="C99:C100"/>
    <mergeCell ref="B106:I107"/>
    <mergeCell ref="B117:I118"/>
    <mergeCell ref="B155:I161"/>
    <mergeCell ref="B62:I63"/>
    <mergeCell ref="B93:I94"/>
    <mergeCell ref="C85:C86"/>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Benktander Method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2025-10-14T22:54:39Z</dcterms:modified>
</cp:coreProperties>
</file>