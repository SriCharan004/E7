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166925"/>
  <mc:AlternateContent xmlns:mc="http://schemas.openxmlformats.org/markup-compatibility/2006">
    <mc:Choice Requires="x15">
      <x15ac:absPath xmlns:x15ac="http://schemas.microsoft.com/office/spreadsheetml/2010/11/ac" url="/Users/stephenroll/Library/CloudStorage/Dropbox-RisingFellow/Rising Fellow/_Products/Exam 7/_Cookbook/Exam 7 Cookbook - Excel Version (Fall 2026)/"/>
    </mc:Choice>
  </mc:AlternateContent>
  <xr:revisionPtr revIDLastSave="0" documentId="13_ncr:1_{0732E5E4-6B8D-5D4C-A607-56DB61852A43}" xr6:coauthVersionLast="47" xr6:coauthVersionMax="47" xr10:uidLastSave="{00000000-0000-0000-0000-000000000000}"/>
  <bookViews>
    <workbookView xWindow="17380" yWindow="500" windowWidth="17000" windowHeight="20660" xr2:uid="{00000000-000D-0000-FFFF-FFFF00000000}"/>
  </bookViews>
  <sheets>
    <sheet name="Loss Ratio Method" sheetId="17" r:id="rId1"/>
    <sheet name="Implied Development" sheetId="18" r:id="rId2"/>
    <sheet name="Direct Development" sheetId="19" r:id="rId3"/>
    <sheet name="Cred Weighted" sheetId="20" r:id="rId4"/>
    <sheet name="LDF Relationships" sheetId="21" r:id="rId5"/>
    <sheet name="Distributional Model" sheetId="24" r:id="rId6"/>
    <sheet name="Agg Excess Ultimate" sheetId="22" r:id="rId7"/>
    <sheet name="Agg Excess Table M" sheetId="25" r:id="rId8"/>
    <sheet name="Service Revenue Asset" sheetId="2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0" i="23" l="1"/>
  <c r="E100" i="23"/>
  <c r="G99" i="23"/>
  <c r="F99" i="23"/>
  <c r="E61" i="23"/>
  <c r="G98" i="23"/>
  <c r="F62" i="23"/>
  <c r="E62" i="23"/>
  <c r="F100" i="23"/>
  <c r="D100" i="23"/>
  <c r="D99" i="23"/>
  <c r="D98" i="23"/>
  <c r="D55" i="22"/>
  <c r="D54" i="22"/>
  <c r="E56" i="22"/>
  <c r="E55" i="22"/>
  <c r="E54" i="22"/>
  <c r="D55" i="24"/>
  <c r="D106" i="24"/>
  <c r="D111" i="24" s="1"/>
  <c r="G40" i="24"/>
  <c r="D78" i="24" s="1"/>
  <c r="D67" i="24"/>
  <c r="D66" i="24"/>
  <c r="D65" i="24"/>
  <c r="D39" i="21"/>
  <c r="D38" i="21"/>
  <c r="G62" i="23" l="1"/>
  <c r="C130" i="23" s="1"/>
  <c r="D84" i="21"/>
  <c r="D80" i="25"/>
  <c r="E98" i="25" s="1"/>
  <c r="D73" i="25"/>
  <c r="E96" i="25" s="1"/>
  <c r="D63" i="25"/>
  <c r="D55" i="25"/>
  <c r="D38" i="25"/>
  <c r="E92" i="25" s="1"/>
  <c r="E74" i="25"/>
  <c r="F97" i="25" s="1"/>
  <c r="D74" i="25"/>
  <c r="F98" i="25"/>
  <c r="E97" i="25"/>
  <c r="H29" i="17"/>
  <c r="H21" i="17"/>
  <c r="H35" i="17" s="1"/>
  <c r="C67" i="24"/>
  <c r="C66" i="24"/>
  <c r="C65" i="24"/>
  <c r="C17" i="18"/>
  <c r="C16" i="18"/>
  <c r="C15" i="18"/>
  <c r="E80" i="25"/>
  <c r="E55" i="25"/>
  <c r="E63" i="25" s="1"/>
  <c r="E73" i="25" s="1"/>
  <c r="F96" i="25" s="1"/>
  <c r="E38" i="25"/>
  <c r="E46" i="25" s="1"/>
  <c r="F93" i="25" s="1"/>
  <c r="G129" i="23"/>
  <c r="G130" i="23"/>
  <c r="G128" i="23"/>
  <c r="C98" i="23"/>
  <c r="G100" i="23"/>
  <c r="F98" i="23"/>
  <c r="C99" i="23"/>
  <c r="C100" i="23"/>
  <c r="F61" i="23"/>
  <c r="F60" i="23"/>
  <c r="E60" i="23"/>
  <c r="D61" i="23"/>
  <c r="D62" i="23"/>
  <c r="D60" i="23"/>
  <c r="E99" i="23" l="1"/>
  <c r="G131" i="23"/>
  <c r="F63" i="23"/>
  <c r="D130" i="23"/>
  <c r="E130" i="23" s="1"/>
  <c r="G60" i="23"/>
  <c r="C128" i="23" s="1"/>
  <c r="C131" i="23" s="1"/>
  <c r="D46" i="25"/>
  <c r="E93" i="25" s="1"/>
  <c r="F95" i="25"/>
  <c r="F94" i="25"/>
  <c r="E94" i="25"/>
  <c r="E95" i="25"/>
  <c r="F92" i="25"/>
  <c r="G61" i="23"/>
  <c r="C129" i="23" s="1"/>
  <c r="D87" i="25"/>
  <c r="E99" i="25" s="1"/>
  <c r="E87" i="25"/>
  <c r="F99" i="25" s="1"/>
  <c r="E98" i="23"/>
  <c r="H98" i="23" s="1"/>
  <c r="H99" i="23" l="1"/>
  <c r="D129" i="23" s="1"/>
  <c r="D128" i="23"/>
  <c r="E101" i="23"/>
  <c r="G63" i="23"/>
  <c r="F106" i="25"/>
  <c r="E128" i="23" l="1"/>
  <c r="D131" i="23"/>
  <c r="H101" i="23"/>
  <c r="F128" i="23"/>
  <c r="H128" i="23" s="1"/>
  <c r="D56" i="22"/>
  <c r="F36" i="22"/>
  <c r="D67" i="22" s="1"/>
  <c r="E37" i="22"/>
  <c r="D37" i="22"/>
  <c r="E67" i="24"/>
  <c r="E66" i="24"/>
  <c r="E65" i="24"/>
  <c r="E69" i="24" s="1"/>
  <c r="H54" i="24"/>
  <c r="H55" i="24"/>
  <c r="D48" i="21"/>
  <c r="D42" i="20"/>
  <c r="D33" i="20"/>
  <c r="D34" i="20" s="1"/>
  <c r="G41" i="19"/>
  <c r="G40" i="19"/>
  <c r="G42" i="19" s="1"/>
  <c r="G50" i="19" s="1"/>
  <c r="E42" i="18"/>
  <c r="E43" i="18" s="1"/>
  <c r="E33" i="18"/>
  <c r="E34" i="18" s="1"/>
  <c r="D42" i="18"/>
  <c r="D33" i="18"/>
  <c r="D34" i="18" s="1"/>
  <c r="E36" i="18" s="1"/>
  <c r="F38" i="22"/>
  <c r="E38" i="22"/>
  <c r="D38" i="22"/>
  <c r="F37" i="22"/>
  <c r="D68" i="22" s="1"/>
  <c r="E36" i="22"/>
  <c r="D36" i="22"/>
  <c r="D69" i="22" l="1"/>
  <c r="D70" i="22"/>
  <c r="F39" i="22"/>
  <c r="D79" i="24"/>
  <c r="D80" i="24" s="1"/>
  <c r="H58" i="24"/>
  <c r="D108" i="24"/>
  <c r="D112" i="24" s="1"/>
  <c r="D113" i="24" s="1"/>
  <c r="D88" i="21"/>
  <c r="D87" i="21"/>
  <c r="D54" i="20"/>
  <c r="D67" i="20" s="1"/>
  <c r="D69" i="20"/>
  <c r="D43" i="18"/>
  <c r="E45" i="18" s="1"/>
  <c r="E129" i="23"/>
  <c r="F129" i="23" s="1"/>
  <c r="H129" i="23" s="1"/>
  <c r="D60" i="21"/>
  <c r="D49" i="21"/>
  <c r="F130" i="23" l="1"/>
  <c r="H130" i="23" s="1"/>
  <c r="H131" i="23" s="1"/>
  <c r="E133" i="23" s="1"/>
  <c r="E131" i="23"/>
  <c r="D89" i="21"/>
  <c r="D55" i="20"/>
  <c r="D57" i="20" s="1"/>
  <c r="H52" i="18"/>
  <c r="H54" i="18" s="1"/>
  <c r="D71" i="21"/>
  <c r="F131" i="23" l="1"/>
  <c r="E104" i="21"/>
  <c r="D113" i="21"/>
  <c r="D114" i="21"/>
  <c r="D115" i="21" l="1"/>
</calcChain>
</file>

<file path=xl/sharedStrings.xml><?xml version="1.0" encoding="utf-8"?>
<sst xmlns="http://schemas.openxmlformats.org/spreadsheetml/2006/main" count="610" uniqueCount="367">
  <si>
    <t>a.</t>
  </si>
  <si>
    <t>b.</t>
  </si>
  <si>
    <t>c.</t>
  </si>
  <si>
    <t>Solution</t>
  </si>
  <si>
    <t>Deductible</t>
  </si>
  <si>
    <t>Aggregate Limit</t>
  </si>
  <si>
    <t>Expected XS Losses =</t>
  </si>
  <si>
    <t>Reported Losses – Unlimited ($000)</t>
  </si>
  <si>
    <t>Accident Year</t>
  </si>
  <si>
    <t>12 Months</t>
  </si>
  <si>
    <t>24 Months</t>
  </si>
  <si>
    <t>36 Months</t>
  </si>
  <si>
    <t>48 Months</t>
  </si>
  <si>
    <t>12-24</t>
  </si>
  <si>
    <t>24-36</t>
  </si>
  <si>
    <t>36-48</t>
  </si>
  <si>
    <t>48-Ult</t>
  </si>
  <si>
    <t>Unlimited</t>
  </si>
  <si>
    <t>(000)</t>
  </si>
  <si>
    <t>12-24 Months</t>
  </si>
  <si>
    <t>24-36 Months</t>
  </si>
  <si>
    <t>36 - Ult</t>
  </si>
  <si>
    <t>LDF</t>
  </si>
  <si>
    <r>
      <t>LDF</t>
    </r>
    <r>
      <rPr>
        <vertAlign val="superscript"/>
        <sz val="12"/>
        <color rgb="FF000000"/>
        <rFont val="Calibri"/>
        <family val="2"/>
      </rPr>
      <t>limited</t>
    </r>
  </si>
  <si>
    <t>At 12 months development, the ratio of limited severity to unlimited severity at $100,000</t>
  </si>
  <si>
    <t xml:space="preserve">Excess Ult = </t>
  </si>
  <si>
    <t>Age-to-Age Loss Development Factors</t>
  </si>
  <si>
    <t>Ultimate</t>
  </si>
  <si>
    <t>Bornhuetter-Ferguson method.</t>
  </si>
  <si>
    <t>12 Months Excess Loss</t>
  </si>
  <si>
    <t>48 Months Excess Loss</t>
  </si>
  <si>
    <t>Ultimate Excess Loss</t>
  </si>
  <si>
    <t>Account</t>
  </si>
  <si>
    <t>A</t>
  </si>
  <si>
    <t>B</t>
  </si>
  <si>
    <t>C</t>
  </si>
  <si>
    <t>Calculate the indicated ultimate losses excess the aggregate limit for the account portfolio using the</t>
  </si>
  <si>
    <t>Aggregate</t>
  </si>
  <si>
    <t>Loss Excess</t>
  </si>
  <si>
    <r>
      <t>Ult</t>
    </r>
    <r>
      <rPr>
        <vertAlign val="superscript"/>
        <sz val="12"/>
        <color rgb="FF000000"/>
        <rFont val="Calibri"/>
        <family val="2"/>
      </rPr>
      <t>XS Agg</t>
    </r>
  </si>
  <si>
    <t>of Agg</t>
  </si>
  <si>
    <t>Service Revenue Asset =</t>
  </si>
  <si>
    <t>development method.</t>
  </si>
  <si>
    <t>Given the following information for a Workers Compensation account:</t>
  </si>
  <si>
    <t>Calculate the estimated ultimate excess losses for the account using the loss ratio method.</t>
  </si>
  <si>
    <t>Given the following information:</t>
  </si>
  <si>
    <t>per-occurrence is :</t>
  </si>
  <si>
    <t>Given the following information from a portfolio of policies with a $500k deductible:</t>
  </si>
  <si>
    <t>Ult</t>
  </si>
  <si>
    <t>Limited Severity Relativities</t>
  </si>
  <si>
    <t>using credibility weighting. Use the Bornhuetter-Ferguson approach to determine credibility weights.</t>
  </si>
  <si>
    <t>Calculate the deductible loss charge, the expected ultimate loss excess of the deductible using the loss ratio method.</t>
  </si>
  <si>
    <t xml:space="preserve">E[XS Loss] = </t>
  </si>
  <si>
    <t>A Weibull loss distribution is used to fit loss severities at 24 months development and at ultimate. Below</t>
  </si>
  <si>
    <t>is a summary of the limited severity at different limits:</t>
  </si>
  <si>
    <t>Limited Severity</t>
  </si>
  <si>
    <t xml:space="preserve">36 Months </t>
  </si>
  <si>
    <t xml:space="preserve">24 Months </t>
  </si>
  <si>
    <t>An actuary selected the following loss development pattern based on the unlimited loss data:</t>
  </si>
  <si>
    <t>36-Ultimate</t>
  </si>
  <si>
    <t>Unlimited LDF</t>
  </si>
  <si>
    <t>Calculate the 24 month-to-Ultimate loss development factor for losses excess of $250,000.</t>
  </si>
  <si>
    <t>Calculate the 24 month-to-Ultimate loss development factor for losses limited to $250,000.</t>
  </si>
  <si>
    <t>The LDF Reconciles with the unlimited 24-ultimate LDF calculated in Part a.</t>
  </si>
  <si>
    <t>Below is a summary of the expected limited severities by development period:</t>
  </si>
  <si>
    <t>Limit</t>
  </si>
  <si>
    <t>Below are the large claims for the account over $100,000:</t>
  </si>
  <si>
    <t>Loss Date</t>
  </si>
  <si>
    <t>Reported Loss</t>
  </si>
  <si>
    <t>Approach 1 (modeled limited severities)</t>
  </si>
  <si>
    <t>Approach 2 (Adjust unlimited LDF with severity relativities)</t>
  </si>
  <si>
    <t>Determine the limited reported loss at the evaluation date by capping all the losses at the per-occurrence deductible.</t>
  </si>
  <si>
    <t xml:space="preserve">Limited Loss(36mo, 250k) = </t>
  </si>
  <si>
    <t>A collective risk model was used to estimate the expected losses excess an aggregate limit for workers</t>
  </si>
  <si>
    <t>compensation high deductible policies. The model assumes expected unlimited losses of $1,000,000.</t>
  </si>
  <si>
    <t>The results are summarized below:</t>
  </si>
  <si>
    <t>Deductible Losses as of 48 months</t>
  </si>
  <si>
    <t xml:space="preserve">Loss Below Deductible </t>
  </si>
  <si>
    <t>Known Service Revenue Recoveries</t>
  </si>
  <si>
    <t>Excess Severity</t>
  </si>
  <si>
    <t>-</t>
  </si>
  <si>
    <t>A collective risk model was used to calculate the expected losses excess an aggregate model. The model used</t>
  </si>
  <si>
    <t>the Weibull loss distributions above for severity and a Poisson distribution for frequency:</t>
  </si>
  <si>
    <t>Expected Unlimited Losses of $2,000,000</t>
  </si>
  <si>
    <t>Limited LDF
36 - Ult</t>
  </si>
  <si>
    <t>Loss Below Deductible (36mo)</t>
  </si>
  <si>
    <t>Deductible Loss XS Agg (36mo)</t>
  </si>
  <si>
    <t>E[Ult Loss XS Agg]</t>
  </si>
  <si>
    <t>Aggregate
Limit</t>
  </si>
  <si>
    <t>XS Agg LDF 
36-to-Ult</t>
  </si>
  <si>
    <t>Known Recoveries</t>
  </si>
  <si>
    <t>Service Revenue Asset</t>
  </si>
  <si>
    <t xml:space="preserve">A Weibull loss distribution is used to fit Workers Compensation loss severities at 48 months development </t>
  </si>
  <si>
    <t>and at ultimate. Below is a summary of the limited severity at different limits:</t>
  </si>
  <si>
    <t xml:space="preserve">48 Months </t>
  </si>
  <si>
    <t>Pricing details for the account:</t>
  </si>
  <si>
    <t>The following information is from Table M:</t>
  </si>
  <si>
    <t>Entry Ratio</t>
  </si>
  <si>
    <t>ELG 21</t>
  </si>
  <si>
    <t>ELG 20</t>
  </si>
  <si>
    <t>ELG 19</t>
  </si>
  <si>
    <t>Limited Loss</t>
  </si>
  <si>
    <t>Expected Loss Group</t>
  </si>
  <si>
    <t>3,609,300 – 4,418,000</t>
  </si>
  <si>
    <t>4,418,001 – 5,909,000</t>
  </si>
  <si>
    <t>5,909,001 – 7,562,100</t>
  </si>
  <si>
    <t>Adjusted Limited Loss</t>
  </si>
  <si>
    <t xml:space="preserve">Calculate the indicated IBNR of losses excess the aggregate limit for the account portfolio using the </t>
  </si>
  <si>
    <t>Table M method.</t>
  </si>
  <si>
    <t>% Loss Excess Deductible</t>
  </si>
  <si>
    <t>Adjustment for Limit</t>
  </si>
  <si>
    <t>Insurance Charge Ratio</t>
  </si>
  <si>
    <t>Insurance Charge</t>
  </si>
  <si>
    <t xml:space="preserve">IBNR = </t>
  </si>
  <si>
    <t>Calculate the IBNR for losses excess the aggregate limit as the difference between the Insurance Charge at Ultimate and at 48 Months.</t>
  </si>
  <si>
    <t>Discussion</t>
  </si>
  <si>
    <t>Some potential problem twists you should be prepared for:</t>
  </si>
  <si>
    <t>• Calculate expected losses below the deductible</t>
  </si>
  <si>
    <t>• Calculate expected losses in an excess layer</t>
  </si>
  <si>
    <t>• Calculate the above problem with excess ratios that vary by state (see pg. 222)</t>
  </si>
  <si>
    <t>Advantages</t>
  </si>
  <si>
    <t>• Useful for immature accident years when loss data is thin</t>
  </si>
  <si>
    <t>• Loss ratio estimates can be consistent with pricing</t>
  </si>
  <si>
    <t>Disadvantages</t>
  </si>
  <si>
    <t>• Ignores actual loss experience, not that useful after several years development</t>
  </si>
  <si>
    <t>Source</t>
  </si>
  <si>
    <t>Siewert – pg. 220-222</t>
  </si>
  <si>
    <t>More Practice</t>
  </si>
  <si>
    <t xml:space="preserve">CAS 2018 – 2 </t>
  </si>
  <si>
    <t xml:space="preserve">CAS 2016 – 9 </t>
  </si>
  <si>
    <t>CAS 2015 – 6</t>
  </si>
  <si>
    <t>RF Siewert – 1</t>
  </si>
  <si>
    <t>• Can estimate excess loss for early maturities, even if no excess losses have emerged yet</t>
  </si>
  <si>
    <t>• Limited LDFs are more stable than excess LDFs used for direct development</t>
  </si>
  <si>
    <t>• Misplaced focus – we would like to explicitly recognize excess loss development</t>
  </si>
  <si>
    <t>Siewert – pg. 222-223</t>
  </si>
  <si>
    <t>RF Siewert – 2</t>
  </si>
  <si>
    <t>• Focuses explicitly on excess loss development</t>
  </si>
  <si>
    <t>• XSLDFs are often highly leveraged and volatile, especially for immature periods</t>
  </si>
  <si>
    <t>• Direct development doesn’t produce an estimate if no excess loss has emerged yet</t>
  </si>
  <si>
    <t>Siewert – pg. 223</t>
  </si>
  <si>
    <t xml:space="preserve">CAS 2017 – 9 </t>
  </si>
  <si>
    <t>CAS 2011 – 6</t>
  </si>
  <si>
    <t>RF Siewert – 3</t>
  </si>
  <si>
    <t>Calculating Incremental Limited and Excess LDFs</t>
  </si>
  <si>
    <t>Partitioning Expected Loss Development Above and Below the Deductible</t>
  </si>
  <si>
    <t>Reviewing partitioned expected development:</t>
  </si>
  <si>
    <t>Siewert – pg. 231-232, 234</t>
  </si>
  <si>
    <t>CAS 2014 – 6</t>
  </si>
  <si>
    <t>CAS 2012 – 6</t>
  </si>
  <si>
    <t xml:space="preserve">RF Siewert – 3 </t>
  </si>
  <si>
    <t>RF Siewert – 5</t>
  </si>
  <si>
    <t>RF Siewert – 8</t>
  </si>
  <si>
    <t>Claim Count Development Assumption</t>
  </si>
  <si>
    <t>Example reflecting ongoing claim count development</t>
  </si>
  <si>
    <t>Assume instead that we expect a frequency of 200 claims at 36 months and 220 claims at ultimate.</t>
  </si>
  <si>
    <t>Below are the appropriate calculations to adjust the LDF to calculate the updated solution:</t>
  </si>
  <si>
    <t xml:space="preserve">Siewert – pg. 232-234 </t>
  </si>
  <si>
    <t>Relationships between Aggregate Excess LDFs</t>
  </si>
  <si>
    <t>Siewert points out a few key relationships you should notice (discussed on pg. 235):</t>
  </si>
  <si>
    <t>• Higher aggregate limits have more leveraged LDFs</t>
  </si>
  <si>
    <t>Siewert – pg. 235-238</t>
  </si>
  <si>
    <t>RF Siewert – 6</t>
  </si>
  <si>
    <t>Siewert – pg. 237-238, 244</t>
  </si>
  <si>
    <t>Siewert – pg. 238-239</t>
  </si>
  <si>
    <t>RF Siewert – 7</t>
  </si>
  <si>
    <t xml:space="preserve">• Can tie to the pricing estimate for immature periods when losses haven’t emerged </t>
  </si>
  <si>
    <t>• More stable estimate over time</t>
  </si>
  <si>
    <t>• Ignores actual loss experience to the extent of the complement of credibility</t>
  </si>
  <si>
    <t>Siewert – pg. 223-224</t>
  </si>
  <si>
    <t>RF Siewert – 4</t>
  </si>
  <si>
    <t xml:space="preserve">The description of how the Weibull curves was fit isn’t necessary for solving the problem, but it </t>
  </si>
  <si>
    <t xml:space="preserve">adds context. This is how Siewert fitted the severity models in the paper and is discussed on pg. </t>
  </si>
  <si>
    <t>232 in Siewert.</t>
  </si>
  <si>
    <t xml:space="preserve">In the last recipe, we started with selected unlimited LDFs based on unlimited loss data. The key </t>
  </si>
  <si>
    <t xml:space="preserve">difference here is that we’re calculating the LDFs directly from the modeled severities. By using </t>
  </si>
  <si>
    <t xml:space="preserve">the severity relativities alone to calculate the LDFs, we implicitly assume no further claim count </t>
  </si>
  <si>
    <t xml:space="preserve">In Siewert (see pg. 232), he discusses how we can use the modeled severities to calculate the LDFs, </t>
  </si>
  <si>
    <t xml:space="preserve">but specifies that if there is claim count development for the earlier maturities, it needs to be </t>
  </si>
  <si>
    <t xml:space="preserve">reflected. </t>
  </si>
  <si>
    <t>development. Because of this, an important assumption is that there’s no further claim count</t>
  </si>
  <si>
    <t xml:space="preserve">development. </t>
  </si>
  <si>
    <t>deductible (so they don’t impact the aggregate limit)</t>
  </si>
  <si>
    <t>high, especially at earlier periods</t>
  </si>
  <si>
    <t>• May not reflect account characteristics properly if development emerges differently due to written exposures</t>
  </si>
  <si>
    <t>(Same as Ultimate Excess above)</t>
  </si>
  <si>
    <t>Part a - Relationship of XSLDF and unlimited LDF</t>
  </si>
  <si>
    <t>Part b - Relationship of limited and unlimited LDFs</t>
  </si>
  <si>
    <t>Part c - Relationship of unlimited/limited/excess LDFs</t>
  </si>
  <si>
    <t>1)</t>
  </si>
  <si>
    <t>3)</t>
  </si>
  <si>
    <t>4)</t>
  </si>
  <si>
    <t>Siewert - Loss Ratio Method</t>
  </si>
  <si>
    <t>Siewert - Implied Development Method</t>
  </si>
  <si>
    <t>Siewert - Direct Development Method</t>
  </si>
  <si>
    <t>Siewert - Credibility-Weighted Method</t>
  </si>
  <si>
    <t>Siewert - Unlimited/Limited/Excess LDF Relationships</t>
  </si>
  <si>
    <t>Siewert - Distributional Model</t>
  </si>
  <si>
    <t>Siewert - Aggregate Excess of Loss Ultimate</t>
  </si>
  <si>
    <t>Siewert - Aggregate Excess of Loss Ultimate: Table M</t>
  </si>
  <si>
    <t>Siewert - Service Revenue Asset</t>
  </si>
  <si>
    <t>2)</t>
  </si>
  <si>
    <t>Alternative Solution</t>
  </si>
  <si>
    <t>•  There is no claim count development after 36 months.</t>
  </si>
  <si>
    <t>•  Selected loss multiplier =</t>
  </si>
  <si>
    <t>•  Each account has an expected unlimited loss of $2,000,000</t>
  </si>
  <si>
    <t>•  Expected frequency at 48 months and at Ultimate=</t>
  </si>
  <si>
    <t>•  Expected unlimited loss</t>
  </si>
  <si>
    <t>•  Aggregate limit</t>
  </si>
  <si>
    <t>•  Deductible</t>
  </si>
  <si>
    <t>The account profile below shows accounts with expected unlimited losses of $1,000,000:</t>
  </si>
  <si>
    <t>•  The deductible is $250,000</t>
  </si>
  <si>
    <t>•  Expected Loss Ratio</t>
  </si>
  <si>
    <t>•  Per-occurrence charge at $500k</t>
  </si>
  <si>
    <t>•  Limits indexed for inflation are used in the limited triangle.</t>
  </si>
  <si>
    <t>•  There is no development after 36 months</t>
  </si>
  <si>
    <t xml:space="preserve">•  Estimated full-coverage loss ratio </t>
  </si>
  <si>
    <t>•  Per-occurrence charge at $250,000</t>
  </si>
  <si>
    <t>•  Per-aggregate charge</t>
  </si>
  <si>
    <t>at 36 Mo.</t>
  </si>
  <si>
    <t>Total</t>
  </si>
  <si>
    <t>Ultimate Recoverable</t>
  </si>
  <si>
    <t xml:space="preserve">Ultimate Deductible Loss </t>
  </si>
  <si>
    <t>Reported Losses ($000) – Limited to $100,000 Per-Occ.</t>
  </si>
  <si>
    <t>Reported Losses – $100,000 Per-Occ. Limit ($000)</t>
  </si>
  <si>
    <t>Given the following for a portfolio of high-deductible Workers Comp accounts as of December 31, 2023:</t>
  </si>
  <si>
    <t>Calculate the service revenue asset for the portfolio of accounts as of December 31, 2023.</t>
  </si>
  <si>
    <t xml:space="preserve">•  2023 full-coverage premium </t>
  </si>
  <si>
    <t>5)</t>
  </si>
  <si>
    <t>6)</t>
  </si>
  <si>
    <t>Calculate the ultimate losses for accident year 2023 in the layer above $100,000 using the direct</t>
  </si>
  <si>
    <r>
      <t>R</t>
    </r>
    <r>
      <rPr>
        <vertAlign val="subscript"/>
        <sz val="12"/>
        <color rgb="FF000000"/>
        <rFont val="Calibri"/>
        <family val="2"/>
      </rPr>
      <t>t</t>
    </r>
    <r>
      <rPr>
        <vertAlign val="superscript"/>
        <sz val="12"/>
        <color rgb="FF000000"/>
        <rFont val="Calibri"/>
        <family val="2"/>
      </rPr>
      <t>L</t>
    </r>
  </si>
  <si>
    <t>Calculate the estimated unreported losses excess the $500,000 deductible for accident year 2023 directly</t>
  </si>
  <si>
    <t>Given the following for a high-deductible Workers Comp account as of December 31, 2023:</t>
  </si>
  <si>
    <t>•  The Reported Loss for Accident Year 2021 for the account is:</t>
  </si>
  <si>
    <t>Calculate the per-occurrence deductible loss charge.</t>
  </si>
  <si>
    <t>Calculate the aggregate loss charge.</t>
  </si>
  <si>
    <t>Calculate the total expected excess losses.</t>
  </si>
  <si>
    <t xml:space="preserve">Agg Loss Charge = </t>
  </si>
  <si>
    <t xml:space="preserve">Deductible Loss Charge = </t>
  </si>
  <si>
    <t>Calculate the ultimate losses for unlimited (or upper-limit) losses. Use LDFs calculated from the unlimited (or upper-limit) triangle.</t>
  </si>
  <si>
    <t>Calculate the ultimate limited losses. Use LDF’s calculated from the limited triangle.</t>
  </si>
  <si>
    <t>Calculate the ultimate losses and estimated unreported losses as the difference between the upper and lower limit estimates.</t>
  </si>
  <si>
    <t>Accident Year 2023:</t>
  </si>
  <si>
    <t>Calculate the excess layer LDF-to-ultimate, XSLDF.</t>
  </si>
  <si>
    <t>Calculate the ultimate losses in the excess layer.</t>
  </si>
  <si>
    <t>12 - Ult</t>
  </si>
  <si>
    <t>Lim LDF</t>
  </si>
  <si>
    <t>XSLDF</t>
  </si>
  <si>
    <t>Calculate the excess loss development factor (XSLDF) using the limited severity relativities. This will be used to calculate ultimate excess losses with the direct development method.</t>
  </si>
  <si>
    <t xml:space="preserve">Calculate the credibility-weighted ultimate loss estimate between the direct development method and the loss ratio method. </t>
  </si>
  <si>
    <r>
      <t>Calculate the limited severity relativities, R</t>
    </r>
    <r>
      <rPr>
        <b/>
        <vertAlign val="subscript"/>
        <sz val="12"/>
        <color theme="1"/>
        <rFont val="Calibri"/>
        <family val="2"/>
      </rPr>
      <t>t</t>
    </r>
    <r>
      <rPr>
        <b/>
        <vertAlign val="superscript"/>
        <sz val="12"/>
        <color theme="1"/>
        <rFont val="Calibri"/>
        <family val="2"/>
      </rPr>
      <t>L</t>
    </r>
    <r>
      <rPr>
        <b/>
        <sz val="12"/>
        <color theme="1"/>
        <rFont val="Calibri"/>
        <family val="2"/>
      </rPr>
      <t>, at the necessary ages and limits.</t>
    </r>
  </si>
  <si>
    <r>
      <t>Calculate the XSLDF from the unlimited LDF and severity relativities at time t</t>
    </r>
    <r>
      <rPr>
        <b/>
        <vertAlign val="subscript"/>
        <sz val="12"/>
        <color theme="1"/>
        <rFont val="Calibri"/>
        <family val="2"/>
      </rPr>
      <t>1</t>
    </r>
    <r>
      <rPr>
        <b/>
        <sz val="12"/>
        <color theme="1"/>
        <rFont val="Calibri"/>
        <family val="2"/>
      </rPr>
      <t xml:space="preserve"> and t</t>
    </r>
    <r>
      <rPr>
        <b/>
        <vertAlign val="subscript"/>
        <sz val="12"/>
        <color theme="1"/>
        <rFont val="Calibri"/>
        <family val="2"/>
      </rPr>
      <t>2</t>
    </r>
    <r>
      <rPr>
        <b/>
        <sz val="12"/>
        <color theme="1"/>
        <rFont val="Calibri"/>
        <family val="2"/>
      </rPr>
      <t>.</t>
    </r>
  </si>
  <si>
    <r>
      <t>Calculate the limited LDF from the unlimited LDF and severity relativities at time t</t>
    </r>
    <r>
      <rPr>
        <b/>
        <vertAlign val="subscript"/>
        <sz val="12"/>
        <color theme="1"/>
        <rFont val="Calibri"/>
        <family val="2"/>
      </rPr>
      <t>1</t>
    </r>
    <r>
      <rPr>
        <b/>
        <sz val="12"/>
        <color theme="1"/>
        <rFont val="Calibri"/>
        <family val="2"/>
      </rPr>
      <t xml:space="preserve"> and t</t>
    </r>
    <r>
      <rPr>
        <b/>
        <vertAlign val="subscript"/>
        <sz val="12"/>
        <color theme="1"/>
        <rFont val="Calibri"/>
        <family val="2"/>
      </rPr>
      <t>2</t>
    </r>
    <r>
      <rPr>
        <b/>
        <sz val="12"/>
        <color theme="1"/>
        <rFont val="Calibri"/>
        <family val="2"/>
      </rPr>
      <t>.</t>
    </r>
  </si>
  <si>
    <r>
      <t>Calculate the unlimited LDF using the limited and excess development factors as well as the severity relativity at time t</t>
    </r>
    <r>
      <rPr>
        <b/>
        <vertAlign val="subscript"/>
        <sz val="12"/>
        <color theme="1"/>
        <rFont val="Calibri"/>
        <family val="2"/>
      </rPr>
      <t>1</t>
    </r>
    <r>
      <rPr>
        <b/>
        <sz val="12"/>
        <color theme="1"/>
        <rFont val="Calibri"/>
        <family val="2"/>
      </rPr>
      <t>.</t>
    </r>
  </si>
  <si>
    <t xml:space="preserve">Note: </t>
  </si>
  <si>
    <t>The full derivation of the formula is on page 234 of the Siewert paper.</t>
  </si>
  <si>
    <t xml:space="preserve">Calculate the unlimited LDF-to-ultimate based on the modeled severity distributions at age t and ultimate from the distributional model. </t>
  </si>
  <si>
    <t>Calculate the limited LDF-to-ultimate for deductible losses based on either the modeled limited severities at age t and ultimate directly or by using severity relativities to adjust the unlimited LDF.</t>
  </si>
  <si>
    <t>Calculate the estimated ultimate loss excess the deductible as the difference between the unlimited and deductible ultimate loss estimates.</t>
  </si>
  <si>
    <t>AY 2021 is at age 36 months</t>
  </si>
  <si>
    <t>Note:</t>
  </si>
  <si>
    <t>Calculate deductible losses excess of the aggregate limit at the evaluation date.</t>
  </si>
  <si>
    <t>Calculate the ultimate losses excess the aggregate limit by account using the BF method.</t>
  </si>
  <si>
    <t>Calculate the expected limited loss amount at 48 Months and at Ultimate.</t>
  </si>
  <si>
    <t>Calculate the entry ratio at 48 Months and at Ultimate.</t>
  </si>
  <si>
    <t>Calculate the percent of loss excess the deductible. Use the limited severity at the development period at 48 months and Ultimate and the expected unlimited severity at ultimate (See note in discussion).</t>
  </si>
  <si>
    <t>Calculate the adjustment at 48 months and Ultimate to reflect the deductible limit in the Table M lookup.</t>
  </si>
  <si>
    <t>Calculate the Adjusted Limited Loss and look up the Expected Loss Group. The purpose of this is to find the appropriate expected loss group so that the Table M insurance charge ratio that we look up in step 6 correctly reflects the per-occurrence limit.</t>
  </si>
  <si>
    <t>Look up the Insurance Charge Ratio using the Expected Loss Group and Entry Ratio at 48 Months and Ultimate.</t>
  </si>
  <si>
    <t>7)</t>
  </si>
  <si>
    <t>8)</t>
  </si>
  <si>
    <t>Calculate the Insurance Charge for the aggregate limit at 48 Months and Ultimate.</t>
  </si>
  <si>
    <t>Summary Table of Steps 1-7</t>
  </si>
  <si>
    <t>ELG</t>
  </si>
  <si>
    <t>Ins Charge Ratio</t>
  </si>
  <si>
    <t>Adj. Limited Loss</t>
  </si>
  <si>
    <t>Adjustment</t>
  </si>
  <si>
    <t>%Loss XS Deductible</t>
  </si>
  <si>
    <t>Calculate the limited LDF-to-ultimate for deductible losses based on the modeled severity distributions at age t and ultimate from the distributional model.</t>
  </si>
  <si>
    <t xml:space="preserve">Calculate the ultimate loss below the deductible limit by applying the limited LDF-to-ultimate to the deductible-layer losses at the evaluation date. </t>
  </si>
  <si>
    <t>Calculate the ultimate deductible layer loss net of the deductible losses that exceed the aggregate limit. These are the indicated claims that the insured is responsible for (below the deductible and under the aggregate limit), but that the insurer services.</t>
  </si>
  <si>
    <t>Calculate the ultimate recoverables, which reflect the cost the insurer charges for servicing the deductible layer losses net of the aggregate limit.</t>
  </si>
  <si>
    <t>Calculate the service revenue asset, the amount by which the ultimate recoverables exceeds the known recoveries to-date.</t>
  </si>
  <si>
    <t>This is the same approach as in the “Aggregate Excess of Loss Ultimate” recipe.</t>
  </si>
  <si>
    <t>The minimum loss excess of aggregate is 0.</t>
  </si>
  <si>
    <t>Calculate the estimated unreported losses for accident year 2023 excess the $100k per-occurrence deductible using the implied development method.</t>
  </si>
  <si>
    <t>CDF</t>
  </si>
  <si>
    <t xml:space="preserve">AY 2023 Ult Unlimited = </t>
  </si>
  <si>
    <t xml:space="preserve">AY 2023 Ult Limited = </t>
  </si>
  <si>
    <t>Limited Development Factors</t>
  </si>
  <si>
    <t>Unlimited Development Factors</t>
  </si>
  <si>
    <t xml:space="preserve">Ultimate Excess Loss = </t>
  </si>
  <si>
    <t xml:space="preserve">Excess Reserve = </t>
  </si>
  <si>
    <t>The key to this problem type is to calculate the XSLDF that can be applied directly to excess losses. There are several downsides to this method. The excess development factors can be highly leveraged, especially for early maturities. Also, there may not even be any excess losses for early maturities to develop.</t>
  </si>
  <si>
    <t>•  2023 Premium</t>
  </si>
  <si>
    <t xml:space="preserve">Accident year 2023 reported excess loss as of December 31, 2023 = </t>
  </si>
  <si>
    <r>
      <t>Z</t>
    </r>
    <r>
      <rPr>
        <vertAlign val="subscript"/>
        <sz val="12"/>
        <color theme="1"/>
        <rFont val="Calibri"/>
        <family val="2"/>
      </rPr>
      <t>BF</t>
    </r>
    <r>
      <rPr>
        <sz val="12"/>
        <color theme="1"/>
        <rFont val="Calibri"/>
        <family val="2"/>
      </rPr>
      <t xml:space="preserve"> = </t>
    </r>
  </si>
  <si>
    <t>XS Reserve =</t>
  </si>
  <si>
    <t>The approach above works for any credibility weight. When the BF method is used for the credibility weight, you can calculate the ultimate directly using the BF method (below). This gives the same result for ultimate loss as above.</t>
  </si>
  <si>
    <t>With another LDF relationship, use the limited and excess loss development factors from parts a and b to calculate the unlimited 24 month-to-Ultimate loss development factor as a check.</t>
  </si>
  <si>
    <t>24 - Ult</t>
  </si>
  <si>
    <t>age(t)</t>
  </si>
  <si>
    <t xml:space="preserve">There are a few different LDF relationship equations in the Siewert paper, but they all basically boil down to the three equations above. The key thing to remember is that the LDFs should be consistent. The deductible loss development plus the excess loss development should tie out to the total loss development. </t>
  </si>
  <si>
    <r>
      <t>R</t>
    </r>
    <r>
      <rPr>
        <vertAlign val="subscript"/>
        <sz val="12"/>
        <color theme="1"/>
        <rFont val="Calibri"/>
        <family val="2"/>
      </rPr>
      <t>36</t>
    </r>
    <r>
      <rPr>
        <sz val="12"/>
        <color theme="1"/>
        <rFont val="Calibri"/>
        <family val="2"/>
      </rPr>
      <t xml:space="preserve">(250k) = </t>
    </r>
  </si>
  <si>
    <t>24 - 36</t>
  </si>
  <si>
    <t xml:space="preserve">Expected Development % = </t>
  </si>
  <si>
    <t xml:space="preserve"> 24 to Ult</t>
  </si>
  <si>
    <t>Below 250k</t>
  </si>
  <si>
    <t>Above 250k</t>
  </si>
  <si>
    <t>E[Develop] %</t>
  </si>
  <si>
    <t>The expected 24-ultimate development is split fairly evenly. As age increases, we should see a larger portion of expected development to be in the excess layer. For a good example of what to expect, look at the chart on pg. 234 in Siewert.</t>
  </si>
  <si>
    <t>Using the relationship between the unlimited, limited, and excess development factors, we can partition expected development around the deductible:</t>
  </si>
  <si>
    <t>We can apply this to the problem above for 24–Ultimate development. The unlimited 24-Ultimate LDF is 1.255, so the expected future development is 20.3%:</t>
  </si>
  <si>
    <t>This 20.3% expected development can be partitioned above and below the 250k deductible. We can expect 9.5% to be development below the 250k deductible and 10.8% to be above the deductible.</t>
  </si>
  <si>
    <t>A distributional model was used to calculate expected limited severities using a separate Weibull loss distribution for each development period. The distributions were fit by minimizing the chi-square between the actual and expected severity relativities. A constraint was used so that the expected unlimited severity equals the observed unlimited severity of historical loss data at each maturity.</t>
  </si>
  <si>
    <t>Calculate the estimated ultimate loss above the deductible for the account for accident year 2021 using the distributional model and the implied development method.</t>
  </si>
  <si>
    <t xml:space="preserve">LDF (36-Ult) = </t>
  </si>
  <si>
    <r>
      <t>R</t>
    </r>
    <r>
      <rPr>
        <vertAlign val="subscript"/>
        <sz val="12"/>
        <color theme="1"/>
        <rFont val="Calibri"/>
        <family val="2"/>
      </rPr>
      <t>t</t>
    </r>
    <r>
      <rPr>
        <vertAlign val="superscript"/>
        <sz val="12"/>
        <color theme="1"/>
        <rFont val="Calibri"/>
        <family val="2"/>
      </rPr>
      <t>L</t>
    </r>
    <r>
      <rPr>
        <sz val="12"/>
        <color theme="1"/>
        <rFont val="Calibri"/>
        <family val="2"/>
      </rPr>
      <t xml:space="preserve"> (250k)</t>
    </r>
  </si>
  <si>
    <t>Loss Excess of 250k</t>
  </si>
  <si>
    <t>Limited</t>
  </si>
  <si>
    <t>Excess</t>
  </si>
  <si>
    <t xml:space="preserve">Lim LDF = </t>
  </si>
  <si>
    <t>⇽ Like above, use severity relativities to get the limited LDF</t>
  </si>
  <si>
    <t>⇽ Unlimited LDF</t>
  </si>
  <si>
    <t>E[Loss XS Agg]</t>
  </si>
  <si>
    <t>Calculate the LDF for losses excess the aggregate limit using the collective risk model output. Also, get the expected ultimate losses excess the aggregate limit from the collective risk model for each account based on the deductible and aggregate limit for the account.</t>
  </si>
  <si>
    <t>LDF XS Agg 48-Ult</t>
  </si>
  <si>
    <t>The indicated ultimate loss excess the aggregate limit is $407,416.</t>
  </si>
  <si>
    <t xml:space="preserve">Since the data needed to determine LDFs for losses excess the aggregate is sparse and not credible, the output from a collective risk model is used to calculate LDFs. Be sure to review the table on page 236 from Siewert so that you understand how to grab the right values from similar output to calculate the LDFs. </t>
  </si>
  <si>
    <t xml:space="preserve">Because there are fewer losses excess the aggregate limit when the aggregate limit is </t>
  </si>
  <si>
    <t xml:space="preserve">o </t>
  </si>
  <si>
    <t xml:space="preserve">Because later development is more likely for larger claims that already are over the </t>
  </si>
  <si>
    <t>• Aggregate excess loss development drops off faster for smaller per-occurrence deductible limits</t>
  </si>
  <si>
    <t>Look at the table on pg. 236 in Siewert to see these relationships in the LDFs.</t>
  </si>
  <si>
    <t>This is an alternative method to calculate the IBNR for the aggregate limit based off Table M. An advantage of this method is that it can be more practical than using a collective risk model approach. Note that the numbers above replicate the example in the back of the Siewert paper.
Table M is mostly Exam 8 material, so I wouldn't try to go too far in the weeds with this approach. I would have a high-level idea of what's going on and be familiar with the calculations involved.</t>
  </si>
  <si>
    <t>At first glance, it may seem confusing that we use the expected unlimited severity at ultimate for both calculations. 
Siewert explains this in the section at the bottom of pg. 237 and top of pg. 238. Essentially, this approach attempts to account for both the impact of the limit and the development between 48 months and ultimate. This is why we're using limited severity at 48 months and unlimited severity at ultimate.
Siewert does mention that it's not entirely clear whether this adjustment is appropriate and doesn't dwell on it too much in the paper, but this is the alternative approach he proposes for aggregate excess loss development.</t>
  </si>
  <si>
    <t>Note on Step 3 (Percent of Loss Excess Deductible)</t>
  </si>
  <si>
    <t>Ultimate Deductible Loss XS Agg</t>
  </si>
  <si>
    <t>Ultimate Deductible Loss</t>
  </si>
  <si>
    <t>Ultimate Deductible Loss Net Agg</t>
  </si>
  <si>
    <r>
      <t xml:space="preserve">An insurer earns service revenue for servicing claims under a high deductible policy. The service revenue asset is the difference between the ultimate service revenue the insurer expects to collect minus the service revenue it has collected so far (known recoveries).
It's worth your time to spend some time with the Siewert paper to see how all the tables connect:
•  First, we are using the output from the Severity distributional model (Table 6 in Siewert) to calculate the ultimate deductible layer loss. 
•  Next, we use the output from the Collective Risk Model (Table 7 in Siewert) to calculate the ultimate deductible layer loss </t>
    </r>
    <r>
      <rPr>
        <i/>
        <u/>
        <sz val="12"/>
        <color theme="1"/>
        <rFont val="Calibri"/>
        <family val="2"/>
      </rPr>
      <t>excess the aggregate limit</t>
    </r>
    <r>
      <rPr>
        <sz val="12"/>
        <color theme="1"/>
        <rFont val="Calibri"/>
        <family val="2"/>
      </rPr>
      <t xml:space="preserve"> (Table 8 in Siewert).
•  Finally, we take the difference to calculate the ultimate deductible layer loss </t>
    </r>
    <r>
      <rPr>
        <i/>
        <u/>
        <sz val="12"/>
        <color theme="1"/>
        <rFont val="Calibri"/>
        <family val="2"/>
      </rPr>
      <t>net the aggregate limit</t>
    </r>
    <r>
      <rPr>
        <sz val="12"/>
        <color theme="1"/>
        <rFont val="Calibri"/>
        <family val="2"/>
      </rPr>
      <t xml:space="preserve"> and use that to calculate the service revenue asset (Table 10).</t>
    </r>
  </si>
  <si>
    <t>This account of Workers Compensation business has a $250,000 deductible and a $1,000,000 aggregate</t>
  </si>
  <si>
    <t>limit with the following pricing details:</t>
  </si>
  <si>
    <r>
      <t>Deductible Loss Charge</t>
    </r>
    <r>
      <rPr>
        <sz val="12"/>
        <color theme="1"/>
        <rFont val="Calibri"/>
        <family val="2"/>
      </rPr>
      <t xml:space="preserve"> (Step 1) – This reflects expected losses that </t>
    </r>
    <r>
      <rPr>
        <i/>
        <u/>
        <sz val="12"/>
        <color theme="1"/>
        <rFont val="Calibri"/>
        <family val="2"/>
      </rPr>
      <t>exceed the deductible at a per-occurrence level</t>
    </r>
    <r>
      <rPr>
        <sz val="12"/>
        <color theme="1"/>
        <rFont val="Calibri"/>
        <family val="2"/>
      </rPr>
      <t xml:space="preserve"> and are passed to the insurer.
</t>
    </r>
    <r>
      <rPr>
        <b/>
        <sz val="12"/>
        <color theme="1"/>
        <rFont val="Calibri"/>
        <family val="2"/>
      </rPr>
      <t>Aggregate Loss Charge</t>
    </r>
    <r>
      <rPr>
        <sz val="12"/>
        <color theme="1"/>
        <rFont val="Calibri"/>
        <family val="2"/>
      </rPr>
      <t xml:space="preserve"> (Step 2) - First calculates the expected losses within the deductible layer and then applies the aggregate ratio to calculate the e</t>
    </r>
    <r>
      <rPr>
        <i/>
        <u/>
        <sz val="12"/>
        <color theme="1"/>
        <rFont val="Calibri"/>
        <family val="2"/>
      </rPr>
      <t>xpected losses in the deductible layer that exceed the aggregate limit</t>
    </r>
    <r>
      <rPr>
        <sz val="12"/>
        <color theme="1"/>
        <rFont val="Calibri"/>
        <family val="2"/>
      </rPr>
      <t xml:space="preserve">, also passed to the insurer.
This method completely ignores development and uses the inputs from pricing. The ELR is the full coverage loss ratio. </t>
    </r>
  </si>
  <si>
    <t>When calculating the LDFs for the limited triangle, the deductible should be adjusted for inflation so that the data used has a relatively constant ratio of deductible losses to excess losses. If the deductible is held constant over time, then the proportion of losses exceeding the deductible will increase over time. Siewert mentions potential ways for indexing the deductible.
Make sure to know the advantages and disadvantages of the implied development method as well as the other methods. Those are easy multiple selection problems you could be asked.</t>
  </si>
  <si>
    <t>Expected Limited Severity</t>
  </si>
  <si>
    <t>See the table in Step 2.</t>
  </si>
  <si>
    <t>See the table in Step 5.</t>
  </si>
  <si>
    <t>(Step 3)</t>
  </si>
  <si>
    <t>(Step 4)</t>
  </si>
  <si>
    <t>(Step 5)</t>
  </si>
  <si>
    <t>Part 1 - Calculate the Ultimate Loss below the Deductible Limit</t>
  </si>
  <si>
    <t>Part 2 - Calculate the Aggregate Excess of Loss Ultimate using the Collective Risk Model</t>
  </si>
  <si>
    <t>Part 3 - Calculate the Service Revenue Asset</t>
  </si>
  <si>
    <t>(Part 1)</t>
  </si>
  <si>
    <t>(Part 2)</t>
  </si>
  <si>
    <t>(Step 6)</t>
  </si>
  <si>
    <t>(Step 7)</t>
  </si>
  <si>
    <t>(Step 8)</t>
  </si>
  <si>
    <t>See the table in Step 8.</t>
  </si>
  <si>
    <t>See Discussion for why the "Ultimate Deductible Loss Net Aggregate Limit" for Account C (1,281,573) is greater than the aggregate limit (1,250,000).</t>
  </si>
  <si>
    <t xml:space="preserve">Ultimate Deductible Loss Net Aggregate Limit
</t>
  </si>
  <si>
    <t xml:space="preserve">For Account C, the "Ultimate Deductible Loss Net Aggregate Limit" (1,281,573) is greater than the aggregate limit (1,250,000), which seems like an error.
The reason for this is that the LDFs for developing the Deductible Losses and the Excess Aggregate Losses are calculated separately using aggregated data, which in turn reflect the limits at an aggregated level.
We asked the author, Jerry Siewert, about this a while back since the example in Table 10 in the paper shows a similar thing. This was his reply: 
</t>
  </si>
  <si>
    <r>
      <t xml:space="preserve">"On the surface it looks like the ‘Ultimate Loss Net of Aggregate’ should never be greater than the aggregate limit of $1,250,000. If the account’s ultimate losses were truly known, that should be the case. 
However, each of the account ultimate loss amounts (i.e., deductible or aggregate excess) in the table 10 are based separately upon application of development factors or a [Bornhuetter-Ferguson] approach applied to known losses shown in Table 8. That is, they are estimated ultimate amounts and, and consequently, there’s uncertainty in each of those estimates including the loss net of aggregate. And, isn’t that the case for any reserve estimate? </t>
    </r>
    <r>
      <rPr>
        <b/>
        <sz val="12"/>
        <color theme="1"/>
        <rFont val="Calibri"/>
        <family val="2"/>
      </rPr>
      <t>In the example I was trying to show an overall reserve estimate for a cohort of immature accounts rather than trying to be exact for any specific account at ultimate.</t>
    </r>
    <r>
      <rPr>
        <sz val="12"/>
        <color theme="1"/>
        <rFont val="Calibri"/>
        <family val="2"/>
      </rPr>
      <t>" (emphasis mine)</t>
    </r>
  </si>
  <si>
    <t>In the aggregate, the Ultimate Loss Net of Aggregate estimate would be fine. But if we look at it on a single account basis, it might not make sense.</t>
  </si>
  <si>
    <t>In the problem above, we calculated LDFs-to-Ultimate. We can use the same formulas to calculate incremental limited and excess LDFs. Below are the same calculations for the 24-36 month limited LDF and XSLDF: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</si>
</sst>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00"/>
    <numFmt numFmtId="166" formatCode="#,##0.000"/>
    <numFmt numFmtId="167" formatCode="0.0000"/>
    <numFmt numFmtId="168" formatCode="_(* #,##0_);_(* \(#,##0\);_(* &quot;-&quot;??_);_(@_)"/>
    <numFmt numFmtId="169" formatCode="0.0%"/>
  </numFmts>
  <fonts count="27"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FF0000"/>
      <name val="Calibri"/>
      <family val="2"/>
    </font>
    <font>
      <sz val="12"/>
      <color rgb="FF000000"/>
      <name val="Calibri"/>
      <family val="2"/>
    </font>
    <font>
      <sz val="12"/>
      <name val="Calibri"/>
      <family val="2"/>
    </font>
    <font>
      <b/>
      <sz val="12"/>
      <color theme="1"/>
      <name val="Calibri"/>
      <family val="2"/>
    </font>
    <font>
      <u/>
      <sz val="12"/>
      <color theme="1"/>
      <name val="Calibri"/>
      <family val="2"/>
    </font>
    <font>
      <vertAlign val="superscript"/>
      <sz val="12"/>
      <color rgb="FF000000"/>
      <name val="Calibri"/>
      <family val="2"/>
    </font>
    <font>
      <b/>
      <sz val="12"/>
      <color rgb="FF000000"/>
      <name val="Calibri"/>
      <family val="2"/>
    </font>
    <font>
      <i/>
      <u/>
      <sz val="12"/>
      <color theme="1"/>
      <name val="Calibri"/>
      <family val="2"/>
    </font>
    <font>
      <u/>
      <sz val="14"/>
      <color theme="1"/>
      <name val="Calibri"/>
      <family val="2"/>
    </font>
    <font>
      <sz val="11"/>
      <color rgb="FF000000"/>
      <name val="Calibri"/>
      <family val="2"/>
    </font>
    <font>
      <vertAlign val="subscript"/>
      <sz val="12"/>
      <color rgb="FF000000"/>
      <name val="Calibri"/>
      <family val="2"/>
    </font>
    <font>
      <b/>
      <vertAlign val="subscript"/>
      <sz val="12"/>
      <color theme="1"/>
      <name val="Calibri"/>
      <family val="2"/>
    </font>
    <font>
      <b/>
      <vertAlign val="superscript"/>
      <sz val="12"/>
      <color theme="1"/>
      <name val="Calibri"/>
      <family val="2"/>
    </font>
    <font>
      <vertAlign val="subscript"/>
      <sz val="12"/>
      <color theme="1"/>
      <name val="Calibri"/>
      <family val="2"/>
    </font>
    <font>
      <vertAlign val="superscript"/>
      <sz val="12"/>
      <color theme="1"/>
      <name val="Calibri"/>
      <family val="2"/>
    </font>
  </fonts>
  <fills count="3">
    <fill>
      <patternFill patternType="none"/>
    </fill>
    <fill>
      <patternFill patternType="gray125"/>
    </fill>
    <fill>
      <patternFill patternType="solid">
        <fgColor theme="0" tint="-4.9989318521683403E-2"/>
        <bgColor indexed="64"/>
      </patternFill>
    </fill>
  </fills>
  <borders count="2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44"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cellStyleXfs>
  <cellXfs count="309">
    <xf numFmtId="0" fontId="0" fillId="0" borderId="0" xfId="0"/>
    <xf numFmtId="0" fontId="9" fillId="2" borderId="1" xfId="0" applyFont="1" applyFill="1" applyBorder="1"/>
    <xf numFmtId="0" fontId="9" fillId="0" borderId="0" xfId="0" applyFont="1"/>
    <xf numFmtId="0" fontId="10" fillId="0" borderId="0" xfId="0" applyFont="1"/>
    <xf numFmtId="0" fontId="11" fillId="0" borderId="0" xfId="0" applyFont="1"/>
    <xf numFmtId="2" fontId="12" fillId="2" borderId="1" xfId="0" applyNumberFormat="1" applyFont="1" applyFill="1" applyBorder="1" applyAlignment="1">
      <alignment horizontal="left"/>
    </xf>
    <xf numFmtId="3" fontId="13" fillId="2" borderId="0" xfId="0" applyNumberFormat="1" applyFont="1" applyFill="1" applyAlignment="1">
      <alignment horizontal="center" vertical="center" wrapText="1"/>
    </xf>
    <xf numFmtId="0" fontId="13" fillId="0" borderId="6" xfId="0" applyFont="1" applyBorder="1" applyAlignment="1">
      <alignment horizontal="center" wrapText="1"/>
    </xf>
    <xf numFmtId="0" fontId="13" fillId="0" borderId="7" xfId="0" applyFont="1" applyBorder="1" applyAlignment="1">
      <alignment horizontal="center" wrapText="1"/>
    </xf>
    <xf numFmtId="6" fontId="13" fillId="0" borderId="0" xfId="0" applyNumberFormat="1" applyFont="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3" fontId="13" fillId="0" borderId="0" xfId="0" applyNumberFormat="1" applyFont="1" applyAlignment="1">
      <alignment horizontal="center" vertical="center" wrapText="1"/>
    </xf>
    <xf numFmtId="0" fontId="15" fillId="0" borderId="0" xfId="0" applyFont="1"/>
    <xf numFmtId="0" fontId="15" fillId="0" borderId="0" xfId="0" applyFont="1" applyAlignment="1">
      <alignment horizontal="right"/>
    </xf>
    <xf numFmtId="0" fontId="13" fillId="0" borderId="0" xfId="0" applyFont="1" applyAlignment="1">
      <alignment horizontal="left" vertical="center"/>
    </xf>
    <xf numFmtId="0" fontId="16" fillId="0" borderId="0" xfId="0" applyFont="1"/>
    <xf numFmtId="6" fontId="15" fillId="0" borderId="10" xfId="0" applyNumberFormat="1" applyFont="1" applyBorder="1"/>
    <xf numFmtId="165" fontId="13" fillId="0" borderId="0" xfId="0" applyNumberFormat="1" applyFont="1" applyAlignment="1">
      <alignment horizontal="center" vertical="center" wrapText="1"/>
    </xf>
    <xf numFmtId="3" fontId="15" fillId="0" borderId="0" xfId="0" applyNumberFormat="1" applyFont="1" applyAlignment="1">
      <alignment horizontal="center"/>
    </xf>
    <xf numFmtId="0" fontId="13" fillId="2" borderId="8" xfId="0" applyFont="1" applyFill="1" applyBorder="1" applyAlignment="1">
      <alignment horizontal="center" vertical="center" wrapText="1"/>
    </xf>
    <xf numFmtId="3" fontId="13" fillId="2" borderId="8" xfId="0" applyNumberFormat="1" applyFont="1" applyFill="1" applyBorder="1" applyAlignment="1">
      <alignment horizontal="center" vertical="center" wrapText="1"/>
    </xf>
    <xf numFmtId="0" fontId="20" fillId="0" borderId="0" xfId="0" applyFont="1"/>
    <xf numFmtId="0" fontId="16" fillId="2" borderId="15" xfId="0" applyFont="1" applyFill="1" applyBorder="1" applyAlignment="1">
      <alignment horizontal="center"/>
    </xf>
    <xf numFmtId="0" fontId="16" fillId="2" borderId="16" xfId="0" applyFont="1" applyFill="1" applyBorder="1" applyAlignment="1">
      <alignment horizontal="center"/>
    </xf>
    <xf numFmtId="0" fontId="16" fillId="2" borderId="17" xfId="0" applyFont="1" applyFill="1" applyBorder="1" applyAlignment="1">
      <alignment horizontal="center"/>
    </xf>
    <xf numFmtId="3" fontId="13" fillId="0" borderId="8" xfId="0" applyNumberFormat="1" applyFont="1" applyBorder="1" applyAlignment="1">
      <alignment horizontal="center" vertical="center" wrapText="1"/>
    </xf>
    <xf numFmtId="0" fontId="13" fillId="0" borderId="6" xfId="0" applyFont="1" applyBorder="1" applyAlignment="1">
      <alignment horizontal="center" vertical="center" wrapText="1"/>
    </xf>
    <xf numFmtId="3" fontId="13" fillId="0" borderId="7" xfId="0" applyNumberFormat="1" applyFont="1" applyBorder="1" applyAlignment="1">
      <alignment horizontal="center" vertical="center" wrapText="1"/>
    </xf>
    <xf numFmtId="0" fontId="13" fillId="0" borderId="0" xfId="0" applyFont="1" applyAlignment="1">
      <alignment horizontal="center" wrapText="1"/>
    </xf>
    <xf numFmtId="3" fontId="14" fillId="2" borderId="0" xfId="0" applyNumberFormat="1" applyFont="1" applyFill="1" applyAlignment="1">
      <alignment horizontal="center" vertical="center" wrapText="1"/>
    </xf>
    <xf numFmtId="0" fontId="14" fillId="2" borderId="13" xfId="0" applyFont="1" applyFill="1" applyBorder="1" applyAlignment="1">
      <alignment horizontal="center" wrapText="1"/>
    </xf>
    <xf numFmtId="0" fontId="14" fillId="2" borderId="14" xfId="0" applyFont="1" applyFill="1" applyBorder="1" applyAlignment="1">
      <alignment horizontal="center" wrapText="1"/>
    </xf>
    <xf numFmtId="3" fontId="14" fillId="2" borderId="13" xfId="0" applyNumberFormat="1" applyFont="1" applyFill="1" applyBorder="1" applyAlignment="1">
      <alignment horizontal="center" vertical="center" wrapText="1"/>
    </xf>
    <xf numFmtId="3" fontId="14" fillId="2" borderId="19" xfId="0" applyNumberFormat="1" applyFont="1" applyFill="1" applyBorder="1" applyAlignment="1">
      <alignment horizontal="center" vertical="center" wrapText="1"/>
    </xf>
    <xf numFmtId="3" fontId="14" fillId="2" borderId="14" xfId="0" applyNumberFormat="1" applyFont="1" applyFill="1" applyBorder="1" applyAlignment="1">
      <alignment horizontal="center" vertical="center" wrapText="1"/>
    </xf>
    <xf numFmtId="0" fontId="14" fillId="2" borderId="18" xfId="0" applyFont="1" applyFill="1" applyBorder="1" applyAlignment="1">
      <alignment horizontal="center" wrapText="1"/>
    </xf>
    <xf numFmtId="0" fontId="14" fillId="2" borderId="7" xfId="0" applyFont="1" applyFill="1" applyBorder="1" applyAlignment="1">
      <alignment horizontal="center" wrapText="1"/>
    </xf>
    <xf numFmtId="0" fontId="14" fillId="2" borderId="6" xfId="0" applyFont="1" applyFill="1" applyBorder="1" applyAlignment="1">
      <alignment horizontal="center" wrapText="1"/>
    </xf>
    <xf numFmtId="3" fontId="13" fillId="2" borderId="15" xfId="0" applyNumberFormat="1" applyFont="1" applyFill="1" applyBorder="1" applyAlignment="1">
      <alignment horizontal="center" vertical="center" wrapText="1"/>
    </xf>
    <xf numFmtId="3" fontId="13" fillId="2" borderId="16" xfId="0" applyNumberFormat="1" applyFont="1" applyFill="1" applyBorder="1" applyAlignment="1">
      <alignment horizontal="center" vertical="center" wrapText="1"/>
    </xf>
    <xf numFmtId="3" fontId="13" fillId="2" borderId="17" xfId="0" applyNumberFormat="1" applyFont="1" applyFill="1" applyBorder="1" applyAlignment="1">
      <alignment horizontal="center" vertical="center" wrapText="1"/>
    </xf>
    <xf numFmtId="3" fontId="13" fillId="2" borderId="20" xfId="0" applyNumberFormat="1" applyFont="1" applyFill="1" applyBorder="1" applyAlignment="1">
      <alignment horizontal="center" vertical="center" wrapText="1"/>
    </xf>
    <xf numFmtId="3" fontId="13" fillId="2" borderId="18" xfId="0" applyNumberFormat="1" applyFont="1" applyFill="1" applyBorder="1" applyAlignment="1">
      <alignment horizontal="center" vertical="center" wrapText="1"/>
    </xf>
    <xf numFmtId="3" fontId="13" fillId="2" borderId="7" xfId="0" applyNumberFormat="1" applyFont="1" applyFill="1" applyBorder="1" applyAlignment="1">
      <alignment horizontal="center" vertical="center" wrapText="1"/>
    </xf>
    <xf numFmtId="3" fontId="13" fillId="2" borderId="6" xfId="0" applyNumberFormat="1"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14" xfId="0" applyFont="1" applyFill="1" applyBorder="1" applyAlignment="1">
      <alignment horizontal="center" vertical="center" wrapText="1"/>
    </xf>
    <xf numFmtId="3" fontId="14" fillId="2" borderId="15" xfId="0" applyNumberFormat="1" applyFont="1" applyFill="1" applyBorder="1" applyAlignment="1">
      <alignment horizontal="center" vertical="center" wrapText="1"/>
    </xf>
    <xf numFmtId="3" fontId="14" fillId="2" borderId="16" xfId="0" applyNumberFormat="1" applyFont="1" applyFill="1" applyBorder="1" applyAlignment="1">
      <alignment horizontal="center" vertical="center" wrapText="1"/>
    </xf>
    <xf numFmtId="3" fontId="14" fillId="2" borderId="17" xfId="0" applyNumberFormat="1" applyFont="1" applyFill="1" applyBorder="1" applyAlignment="1">
      <alignment horizontal="center" vertical="center" wrapText="1"/>
    </xf>
    <xf numFmtId="3" fontId="14" fillId="2" borderId="20" xfId="0" applyNumberFormat="1" applyFont="1" applyFill="1" applyBorder="1" applyAlignment="1">
      <alignment horizontal="center" vertical="center" wrapText="1"/>
    </xf>
    <xf numFmtId="3" fontId="14" fillId="2" borderId="8" xfId="0" applyNumberFormat="1" applyFont="1" applyFill="1" applyBorder="1" applyAlignment="1">
      <alignment horizontal="center" vertical="center" wrapText="1"/>
    </xf>
    <xf numFmtId="3" fontId="14" fillId="2" borderId="18" xfId="0" applyNumberFormat="1" applyFont="1" applyFill="1" applyBorder="1" applyAlignment="1">
      <alignment horizontal="center" vertical="center" wrapText="1"/>
    </xf>
    <xf numFmtId="3" fontId="14" fillId="2" borderId="7" xfId="0" applyNumberFormat="1" applyFont="1" applyFill="1" applyBorder="1" applyAlignment="1">
      <alignment horizontal="center" vertical="center" wrapText="1"/>
    </xf>
    <xf numFmtId="3" fontId="14" fillId="2" borderId="6" xfId="0" applyNumberFormat="1" applyFont="1" applyFill="1" applyBorder="1" applyAlignment="1">
      <alignment horizontal="center" vertical="center" wrapText="1"/>
    </xf>
    <xf numFmtId="0" fontId="14" fillId="2" borderId="7" xfId="0" applyFont="1" applyFill="1" applyBorder="1" applyAlignment="1">
      <alignment horizontal="center" vertical="center" wrapText="1"/>
    </xf>
    <xf numFmtId="0" fontId="13" fillId="2" borderId="0" xfId="0" applyFont="1" applyFill="1" applyAlignment="1">
      <alignment horizontal="center" wrapText="1"/>
    </xf>
    <xf numFmtId="0" fontId="13" fillId="2" borderId="14" xfId="0" applyFont="1" applyFill="1" applyBorder="1" applyAlignment="1">
      <alignment horizontal="center" wrapText="1"/>
    </xf>
    <xf numFmtId="0" fontId="13" fillId="2" borderId="7" xfId="0" applyFont="1" applyFill="1" applyBorder="1" applyAlignment="1">
      <alignment horizontal="center" wrapText="1"/>
    </xf>
    <xf numFmtId="0" fontId="13" fillId="2" borderId="13" xfId="0" applyFont="1" applyFill="1" applyBorder="1" applyAlignment="1">
      <alignment horizontal="center" wrapText="1"/>
    </xf>
    <xf numFmtId="3" fontId="13" fillId="2" borderId="13" xfId="0" applyNumberFormat="1" applyFont="1" applyFill="1" applyBorder="1" applyAlignment="1">
      <alignment horizontal="center" vertical="center" wrapText="1"/>
    </xf>
    <xf numFmtId="3" fontId="13" fillId="2" borderId="19" xfId="0" applyNumberFormat="1" applyFont="1" applyFill="1" applyBorder="1" applyAlignment="1">
      <alignment horizontal="center" vertical="center" wrapText="1"/>
    </xf>
    <xf numFmtId="3" fontId="13" fillId="2" borderId="14" xfId="0" applyNumberFormat="1"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21" xfId="0" applyFont="1" applyFill="1" applyBorder="1" applyAlignment="1">
      <alignment horizontal="center" vertical="center" wrapText="1"/>
    </xf>
    <xf numFmtId="6" fontId="13" fillId="2" borderId="22" xfId="0" applyNumberFormat="1" applyFont="1" applyFill="1" applyBorder="1" applyAlignment="1">
      <alignment horizontal="center" vertical="center" wrapText="1"/>
    </xf>
    <xf numFmtId="6" fontId="13" fillId="2" borderId="23" xfId="0" applyNumberFormat="1" applyFont="1" applyFill="1" applyBorder="1" applyAlignment="1">
      <alignment horizontal="center" vertical="center" wrapText="1"/>
    </xf>
    <xf numFmtId="14" fontId="13" fillId="2" borderId="13" xfId="0" applyNumberFormat="1" applyFont="1" applyFill="1" applyBorder="1" applyAlignment="1">
      <alignment horizontal="center" vertical="center" wrapText="1"/>
    </xf>
    <xf numFmtId="14" fontId="13" fillId="2" borderId="19" xfId="0" applyNumberFormat="1" applyFont="1" applyFill="1" applyBorder="1" applyAlignment="1">
      <alignment horizontal="center" vertical="center" wrapText="1"/>
    </xf>
    <xf numFmtId="14" fontId="13" fillId="2" borderId="14" xfId="0" applyNumberFormat="1" applyFont="1" applyFill="1" applyBorder="1" applyAlignment="1">
      <alignment horizontal="center" vertical="center" wrapText="1"/>
    </xf>
    <xf numFmtId="6" fontId="13" fillId="2" borderId="13" xfId="0" applyNumberFormat="1" applyFont="1" applyFill="1" applyBorder="1" applyAlignment="1">
      <alignment horizontal="center" vertical="center" wrapText="1"/>
    </xf>
    <xf numFmtId="6" fontId="13" fillId="2" borderId="19" xfId="0" applyNumberFormat="1" applyFont="1" applyFill="1" applyBorder="1" applyAlignment="1">
      <alignment horizontal="center" vertical="center" wrapText="1"/>
    </xf>
    <xf numFmtId="6" fontId="13" fillId="2" borderId="14" xfId="0" applyNumberFormat="1" applyFont="1" applyFill="1" applyBorder="1" applyAlignment="1">
      <alignment horizontal="center" vertical="center" wrapText="1"/>
    </xf>
    <xf numFmtId="0" fontId="13" fillId="2" borderId="19" xfId="0" applyFont="1" applyFill="1" applyBorder="1" applyAlignment="1">
      <alignment horizontal="right" vertical="center"/>
    </xf>
    <xf numFmtId="0" fontId="13" fillId="2" borderId="14" xfId="0" applyFont="1" applyFill="1" applyBorder="1" applyAlignment="1">
      <alignment horizontal="right" vertical="center"/>
    </xf>
    <xf numFmtId="0" fontId="13" fillId="2" borderId="12" xfId="0" applyFont="1" applyFill="1" applyBorder="1" applyAlignment="1">
      <alignment horizontal="right" vertical="center"/>
    </xf>
    <xf numFmtId="0" fontId="13" fillId="2" borderId="22" xfId="0" applyFont="1" applyFill="1" applyBorder="1" applyAlignment="1">
      <alignment horizontal="center" vertical="center" wrapText="1"/>
    </xf>
    <xf numFmtId="0" fontId="13" fillId="2" borderId="23" xfId="0" applyFont="1" applyFill="1" applyBorder="1" applyAlignment="1">
      <alignment horizontal="center" vertical="center" wrapText="1"/>
    </xf>
    <xf numFmtId="165" fontId="13" fillId="0" borderId="7" xfId="0" applyNumberFormat="1" applyFont="1" applyBorder="1" applyAlignment="1">
      <alignment horizontal="center" vertical="center" wrapText="1"/>
    </xf>
    <xf numFmtId="14" fontId="13" fillId="0" borderId="8" xfId="0" applyNumberFormat="1" applyFont="1" applyBorder="1" applyAlignment="1">
      <alignment horizontal="center" vertical="center" wrapText="1"/>
    </xf>
    <xf numFmtId="16" fontId="13" fillId="2" borderId="22" xfId="0" quotePrefix="1" applyNumberFormat="1" applyFont="1" applyFill="1" applyBorder="1" applyAlignment="1">
      <alignment horizontal="center" vertical="center" wrapText="1"/>
    </xf>
    <xf numFmtId="16" fontId="13" fillId="2" borderId="21" xfId="0" quotePrefix="1" applyNumberFormat="1" applyFont="1" applyFill="1" applyBorder="1" applyAlignment="1">
      <alignment horizontal="center" vertical="center" wrapText="1"/>
    </xf>
    <xf numFmtId="0" fontId="16" fillId="2" borderId="22" xfId="0" applyFont="1" applyFill="1" applyBorder="1"/>
    <xf numFmtId="0" fontId="16" fillId="2" borderId="23" xfId="0" applyFont="1" applyFill="1" applyBorder="1"/>
    <xf numFmtId="0" fontId="16" fillId="2" borderId="15" xfId="0" applyFont="1" applyFill="1" applyBorder="1"/>
    <xf numFmtId="0" fontId="16" fillId="2" borderId="16" xfId="0" applyFont="1" applyFill="1" applyBorder="1"/>
    <xf numFmtId="0" fontId="16" fillId="2" borderId="17" xfId="0" applyFont="1" applyFill="1" applyBorder="1"/>
    <xf numFmtId="0" fontId="7" fillId="2" borderId="0" xfId="0" applyFont="1" applyFill="1"/>
    <xf numFmtId="0" fontId="7" fillId="2" borderId="2" xfId="0" applyFont="1" applyFill="1" applyBorder="1"/>
    <xf numFmtId="0" fontId="7" fillId="0" borderId="0" xfId="0" applyFont="1"/>
    <xf numFmtId="0" fontId="7" fillId="2" borderId="0" xfId="0" quotePrefix="1" applyFont="1" applyFill="1"/>
    <xf numFmtId="6" fontId="7" fillId="2" borderId="0" xfId="0" applyNumberFormat="1" applyFont="1" applyFill="1"/>
    <xf numFmtId="9" fontId="7" fillId="2" borderId="0" xfId="0" applyNumberFormat="1" applyFont="1" applyFill="1"/>
    <xf numFmtId="0" fontId="7" fillId="2" borderId="3" xfId="0" applyFont="1" applyFill="1" applyBorder="1"/>
    <xf numFmtId="0" fontId="7" fillId="2" borderId="4" xfId="0" applyFont="1" applyFill="1" applyBorder="1"/>
    <xf numFmtId="164" fontId="7" fillId="2" borderId="4" xfId="1" applyNumberFormat="1" applyFont="1" applyFill="1" applyBorder="1"/>
    <xf numFmtId="0" fontId="7" fillId="2" borderId="5" xfId="0" applyFont="1" applyFill="1" applyBorder="1"/>
    <xf numFmtId="0" fontId="18" fillId="0" borderId="0" xfId="0" applyFont="1" applyAlignment="1">
      <alignment horizontal="right"/>
    </xf>
    <xf numFmtId="165" fontId="7" fillId="0" borderId="0" xfId="0" applyNumberFormat="1" applyFont="1"/>
    <xf numFmtId="9" fontId="7" fillId="2" borderId="0" xfId="0" applyNumberFormat="1" applyFont="1" applyFill="1" applyAlignment="1">
      <alignment horizontal="left"/>
    </xf>
    <xf numFmtId="0" fontId="7" fillId="0" borderId="8" xfId="0" applyFont="1" applyBorder="1"/>
    <xf numFmtId="3" fontId="7" fillId="0" borderId="0" xfId="0" applyNumberFormat="1" applyFont="1" applyAlignment="1">
      <alignment horizontal="center"/>
    </xf>
    <xf numFmtId="3" fontId="7" fillId="0" borderId="7" xfId="0" applyNumberFormat="1" applyFont="1" applyBorder="1" applyAlignment="1">
      <alignment horizontal="center"/>
    </xf>
    <xf numFmtId="0" fontId="7" fillId="0" borderId="0" xfId="0" applyFont="1" applyAlignment="1">
      <alignment horizontal="center"/>
    </xf>
    <xf numFmtId="2" fontId="7" fillId="2" borderId="1" xfId="0" applyNumberFormat="1" applyFont="1" applyFill="1" applyBorder="1" applyAlignment="1">
      <alignment horizontal="left"/>
    </xf>
    <xf numFmtId="0" fontId="14" fillId="2" borderId="12" xfId="0" applyFont="1" applyFill="1" applyBorder="1" applyAlignment="1">
      <alignment horizontal="center" wrapText="1"/>
    </xf>
    <xf numFmtId="0" fontId="14" fillId="2" borderId="21" xfId="0" applyFont="1" applyFill="1" applyBorder="1" applyAlignment="1">
      <alignment horizontal="center" wrapText="1"/>
    </xf>
    <xf numFmtId="6" fontId="14" fillId="2" borderId="22" xfId="0" applyNumberFormat="1" applyFont="1" applyFill="1" applyBorder="1" applyAlignment="1">
      <alignment horizontal="center" wrapText="1"/>
    </xf>
    <xf numFmtId="6" fontId="14" fillId="2" borderId="23" xfId="0" applyNumberFormat="1" applyFont="1" applyFill="1" applyBorder="1" applyAlignment="1">
      <alignment horizontal="center" wrapText="1"/>
    </xf>
    <xf numFmtId="4" fontId="14" fillId="2" borderId="15" xfId="0" applyNumberFormat="1" applyFont="1" applyFill="1" applyBorder="1" applyAlignment="1">
      <alignment horizontal="center" wrapText="1"/>
    </xf>
    <xf numFmtId="4" fontId="14" fillId="2" borderId="16" xfId="0" applyNumberFormat="1" applyFont="1" applyFill="1" applyBorder="1" applyAlignment="1">
      <alignment horizontal="center" wrapText="1"/>
    </xf>
    <xf numFmtId="4" fontId="14" fillId="2" borderId="17" xfId="0" applyNumberFormat="1" applyFont="1" applyFill="1" applyBorder="1" applyAlignment="1">
      <alignment horizontal="center" wrapText="1"/>
    </xf>
    <xf numFmtId="4" fontId="14" fillId="2" borderId="18" xfId="0" applyNumberFormat="1" applyFont="1" applyFill="1" applyBorder="1" applyAlignment="1">
      <alignment horizontal="center" wrapText="1"/>
    </xf>
    <xf numFmtId="4" fontId="14" fillId="2" borderId="7" xfId="0" applyNumberFormat="1" applyFont="1" applyFill="1" applyBorder="1" applyAlignment="1">
      <alignment horizontal="center" wrapText="1"/>
    </xf>
    <xf numFmtId="4" fontId="14" fillId="2" borderId="6" xfId="0" applyNumberFormat="1" applyFont="1" applyFill="1" applyBorder="1" applyAlignment="1">
      <alignment horizontal="center" wrapText="1"/>
    </xf>
    <xf numFmtId="0" fontId="7" fillId="2" borderId="15" xfId="0" applyFont="1" applyFill="1" applyBorder="1"/>
    <xf numFmtId="0" fontId="7" fillId="2" borderId="17" xfId="0" applyFont="1" applyFill="1" applyBorder="1"/>
    <xf numFmtId="0" fontId="13" fillId="2" borderId="12" xfId="0" applyFont="1" applyFill="1" applyBorder="1" applyAlignment="1">
      <alignment horizontal="center" wrapText="1"/>
    </xf>
    <xf numFmtId="0" fontId="13" fillId="2" borderId="21" xfId="0" applyFont="1" applyFill="1" applyBorder="1" applyAlignment="1">
      <alignment horizontal="center" wrapText="1"/>
    </xf>
    <xf numFmtId="0" fontId="13" fillId="2" borderId="22" xfId="0" applyFont="1" applyFill="1" applyBorder="1" applyAlignment="1">
      <alignment horizontal="center" wrapText="1"/>
    </xf>
    <xf numFmtId="0" fontId="13" fillId="2" borderId="23" xfId="0" applyFont="1" applyFill="1" applyBorder="1" applyAlignment="1">
      <alignment horizontal="center" wrapText="1"/>
    </xf>
    <xf numFmtId="165" fontId="13" fillId="2" borderId="15" xfId="0" applyNumberFormat="1" applyFont="1" applyFill="1" applyBorder="1" applyAlignment="1">
      <alignment horizontal="center" wrapText="1"/>
    </xf>
    <xf numFmtId="165" fontId="13" fillId="2" borderId="16" xfId="0" applyNumberFormat="1" applyFont="1" applyFill="1" applyBorder="1" applyAlignment="1">
      <alignment horizontal="center" wrapText="1"/>
    </xf>
    <xf numFmtId="165" fontId="13" fillId="2" borderId="17" xfId="0" applyNumberFormat="1" applyFont="1" applyFill="1" applyBorder="1" applyAlignment="1">
      <alignment horizontal="center" wrapText="1"/>
    </xf>
    <xf numFmtId="0" fontId="13" fillId="2" borderId="19" xfId="0" applyFont="1" applyFill="1" applyBorder="1" applyAlignment="1">
      <alignment horizontal="center" wrapText="1"/>
    </xf>
    <xf numFmtId="165" fontId="13" fillId="2" borderId="20" xfId="0" applyNumberFormat="1" applyFont="1" applyFill="1" applyBorder="1" applyAlignment="1">
      <alignment horizontal="center" wrapText="1"/>
    </xf>
    <xf numFmtId="165" fontId="13" fillId="2" borderId="0" xfId="0" applyNumberFormat="1" applyFont="1" applyFill="1" applyAlignment="1">
      <alignment horizontal="center" wrapText="1"/>
    </xf>
    <xf numFmtId="165" fontId="13" fillId="2" borderId="8" xfId="0" applyNumberFormat="1" applyFont="1" applyFill="1" applyBorder="1" applyAlignment="1">
      <alignment horizontal="center" wrapText="1"/>
    </xf>
    <xf numFmtId="2" fontId="13" fillId="2" borderId="19" xfId="0" applyNumberFormat="1" applyFont="1" applyFill="1" applyBorder="1" applyAlignment="1">
      <alignment horizontal="center" wrapText="1"/>
    </xf>
    <xf numFmtId="165" fontId="13" fillId="2" borderId="18" xfId="0" applyNumberFormat="1" applyFont="1" applyFill="1" applyBorder="1" applyAlignment="1">
      <alignment horizontal="center" wrapText="1"/>
    </xf>
    <xf numFmtId="165" fontId="13" fillId="2" borderId="7" xfId="0" applyNumberFormat="1" applyFont="1" applyFill="1" applyBorder="1" applyAlignment="1">
      <alignment horizontal="center" wrapText="1"/>
    </xf>
    <xf numFmtId="165" fontId="13" fillId="2" borderId="6" xfId="0" applyNumberFormat="1" applyFont="1" applyFill="1" applyBorder="1" applyAlignment="1">
      <alignment horizontal="center" wrapText="1"/>
    </xf>
    <xf numFmtId="0" fontId="7" fillId="0" borderId="7" xfId="0" applyFont="1" applyBorder="1"/>
    <xf numFmtId="0" fontId="13" fillId="0" borderId="6" xfId="0" applyFont="1" applyBorder="1" applyAlignment="1">
      <alignment horizontal="justify" vertical="center" wrapText="1"/>
    </xf>
    <xf numFmtId="0" fontId="13" fillId="0" borderId="7" xfId="0" applyFont="1" applyBorder="1" applyAlignment="1">
      <alignment horizontal="center" vertical="center" wrapText="1"/>
    </xf>
    <xf numFmtId="0" fontId="13" fillId="0" borderId="8" xfId="0" applyFont="1" applyBorder="1" applyAlignment="1">
      <alignment horizontal="right" vertical="center"/>
    </xf>
    <xf numFmtId="0" fontId="7" fillId="0" borderId="0" xfId="0" quotePrefix="1" applyFont="1"/>
    <xf numFmtId="2" fontId="13" fillId="0" borderId="0" xfId="0" applyNumberFormat="1" applyFont="1" applyAlignment="1">
      <alignment horizontal="center" vertical="center" wrapText="1"/>
    </xf>
    <xf numFmtId="0" fontId="7" fillId="0" borderId="9" xfId="0" applyFont="1" applyBorder="1"/>
    <xf numFmtId="0" fontId="7" fillId="2" borderId="16" xfId="0" applyFont="1" applyFill="1" applyBorder="1"/>
    <xf numFmtId="0" fontId="7" fillId="2" borderId="13" xfId="0" applyFont="1" applyFill="1" applyBorder="1"/>
    <xf numFmtId="0" fontId="7" fillId="2" borderId="19" xfId="0" applyFont="1" applyFill="1" applyBorder="1"/>
    <xf numFmtId="0" fontId="7" fillId="0" borderId="0" xfId="0" applyFont="1" applyAlignment="1">
      <alignment horizontal="right"/>
    </xf>
    <xf numFmtId="49" fontId="7" fillId="0" borderId="0" xfId="0" applyNumberFormat="1" applyFont="1" applyAlignment="1">
      <alignment horizontal="center"/>
    </xf>
    <xf numFmtId="0" fontId="7" fillId="0" borderId="8" xfId="0" applyFont="1" applyBorder="1" applyAlignment="1">
      <alignment horizontal="center"/>
    </xf>
    <xf numFmtId="14" fontId="21" fillId="2" borderId="0" xfId="0" applyNumberFormat="1" applyFont="1" applyFill="1" applyAlignment="1">
      <alignment horizontal="center" vertical="center" wrapText="1"/>
    </xf>
    <xf numFmtId="6" fontId="21" fillId="2" borderId="0" xfId="0" applyNumberFormat="1" applyFont="1" applyFill="1" applyAlignment="1">
      <alignment horizontal="center" vertical="center" wrapText="1"/>
    </xf>
    <xf numFmtId="0" fontId="7" fillId="0" borderId="0" xfId="0" applyFont="1" applyAlignment="1">
      <alignment horizontal="left"/>
    </xf>
    <xf numFmtId="6" fontId="7" fillId="0" borderId="0" xfId="0" applyNumberFormat="1" applyFont="1" applyAlignment="1">
      <alignment horizontal="center"/>
    </xf>
    <xf numFmtId="6" fontId="7" fillId="0" borderId="0" xfId="0" applyNumberFormat="1" applyFont="1"/>
    <xf numFmtId="0" fontId="7" fillId="0" borderId="9" xfId="0" applyFont="1" applyBorder="1" applyAlignment="1">
      <alignment horizontal="right"/>
    </xf>
    <xf numFmtId="6" fontId="7" fillId="2" borderId="0" xfId="0" applyNumberFormat="1" applyFont="1" applyFill="1" applyAlignment="1">
      <alignment horizontal="center"/>
    </xf>
    <xf numFmtId="0" fontId="7" fillId="2" borderId="0" xfId="0" applyFont="1" applyFill="1" applyAlignment="1">
      <alignment horizontal="left"/>
    </xf>
    <xf numFmtId="0" fontId="7" fillId="2" borderId="18" xfId="0" applyFont="1" applyFill="1" applyBorder="1" applyAlignment="1">
      <alignment horizontal="center" wrapText="1"/>
    </xf>
    <xf numFmtId="0" fontId="7" fillId="2" borderId="7" xfId="0" applyFont="1" applyFill="1" applyBorder="1" applyAlignment="1">
      <alignment horizontal="center" wrapText="1"/>
    </xf>
    <xf numFmtId="0" fontId="7" fillId="2" borderId="6" xfId="0" applyFont="1" applyFill="1" applyBorder="1" applyAlignment="1">
      <alignment horizontal="center" wrapText="1"/>
    </xf>
    <xf numFmtId="0" fontId="7" fillId="2" borderId="13" xfId="0" applyFont="1" applyFill="1" applyBorder="1" applyAlignment="1">
      <alignment horizontal="center" vertical="center" wrapText="1"/>
    </xf>
    <xf numFmtId="3" fontId="7" fillId="2" borderId="15" xfId="0" applyNumberFormat="1" applyFont="1" applyFill="1" applyBorder="1" applyAlignment="1">
      <alignment horizontal="center" vertical="center" wrapText="1"/>
    </xf>
    <xf numFmtId="3" fontId="7" fillId="2" borderId="16" xfId="0" applyNumberFormat="1" applyFont="1" applyFill="1" applyBorder="1" applyAlignment="1">
      <alignment horizontal="center" vertical="center" wrapText="1"/>
    </xf>
    <xf numFmtId="3" fontId="7" fillId="2" borderId="17" xfId="0" applyNumberFormat="1" applyFont="1" applyFill="1" applyBorder="1" applyAlignment="1">
      <alignment horizontal="center" vertical="center" wrapText="1"/>
    </xf>
    <xf numFmtId="0" fontId="7" fillId="2" borderId="19" xfId="0" applyFont="1" applyFill="1" applyBorder="1" applyAlignment="1">
      <alignment horizontal="center" vertical="center" wrapText="1"/>
    </xf>
    <xf numFmtId="3" fontId="7" fillId="2" borderId="20" xfId="0" applyNumberFormat="1" applyFont="1" applyFill="1" applyBorder="1" applyAlignment="1">
      <alignment horizontal="center" vertical="center" wrapText="1"/>
    </xf>
    <xf numFmtId="3" fontId="7" fillId="2" borderId="0" xfId="0" applyNumberFormat="1" applyFont="1" applyFill="1" applyAlignment="1">
      <alignment horizontal="center" vertical="center" wrapText="1"/>
    </xf>
    <xf numFmtId="3" fontId="7" fillId="2" borderId="8" xfId="0" applyNumberFormat="1" applyFont="1" applyFill="1" applyBorder="1" applyAlignment="1">
      <alignment horizontal="center" vertical="center" wrapText="1"/>
    </xf>
    <xf numFmtId="0" fontId="7" fillId="2" borderId="14" xfId="0" applyFont="1" applyFill="1" applyBorder="1" applyAlignment="1">
      <alignment horizontal="center" vertical="center" wrapText="1"/>
    </xf>
    <xf numFmtId="3" fontId="7" fillId="2" borderId="18" xfId="0" applyNumberFormat="1" applyFont="1" applyFill="1" applyBorder="1" applyAlignment="1">
      <alignment horizontal="center" vertical="center" wrapText="1"/>
    </xf>
    <xf numFmtId="3" fontId="7" fillId="2" borderId="7" xfId="0" applyNumberFormat="1"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21" xfId="0" applyFont="1" applyFill="1" applyBorder="1"/>
    <xf numFmtId="0" fontId="7" fillId="2" borderId="0" xfId="0" applyFont="1" applyFill="1" applyAlignment="1">
      <alignment horizontal="center"/>
    </xf>
    <xf numFmtId="6" fontId="7" fillId="0" borderId="10" xfId="0" applyNumberFormat="1" applyFont="1" applyBorder="1"/>
    <xf numFmtId="0" fontId="7" fillId="0" borderId="6" xfId="0" applyFont="1" applyBorder="1" applyAlignment="1">
      <alignment horizontal="center" vertical="center" wrapText="1"/>
    </xf>
    <xf numFmtId="16" fontId="7" fillId="0" borderId="7" xfId="0" quotePrefix="1" applyNumberFormat="1" applyFont="1" applyBorder="1" applyAlignment="1">
      <alignment horizontal="center" vertical="center" wrapText="1"/>
    </xf>
    <xf numFmtId="0" fontId="7" fillId="0" borderId="7" xfId="0" applyFont="1" applyBorder="1" applyAlignment="1">
      <alignment horizontal="center" vertical="center" wrapText="1"/>
    </xf>
    <xf numFmtId="165" fontId="7" fillId="0" borderId="0" xfId="0" applyNumberFormat="1" applyFont="1" applyAlignment="1">
      <alignment horizontal="center" vertical="center" wrapText="1"/>
    </xf>
    <xf numFmtId="0" fontId="7" fillId="0" borderId="11" xfId="0" applyFont="1" applyBorder="1"/>
    <xf numFmtId="3" fontId="7" fillId="0" borderId="10" xfId="0" applyNumberFormat="1" applyFont="1" applyBorder="1" applyAlignment="1">
      <alignment horizontal="center"/>
    </xf>
    <xf numFmtId="0" fontId="6" fillId="2" borderId="0" xfId="0" applyFont="1" applyFill="1"/>
    <xf numFmtId="0" fontId="5" fillId="2" borderId="0" xfId="0" quotePrefix="1" applyFont="1" applyFill="1"/>
    <xf numFmtId="165" fontId="5" fillId="0" borderId="0" xfId="0" applyNumberFormat="1" applyFont="1"/>
    <xf numFmtId="0" fontId="5" fillId="0" borderId="0" xfId="0" applyFont="1"/>
    <xf numFmtId="0" fontId="5" fillId="0" borderId="9" xfId="0" applyFont="1" applyBorder="1"/>
    <xf numFmtId="165" fontId="7" fillId="0" borderId="0" xfId="0" applyNumberFormat="1" applyFont="1" applyAlignment="1">
      <alignment horizontal="center"/>
    </xf>
    <xf numFmtId="0" fontId="5" fillId="2" borderId="0" xfId="0" applyFont="1" applyFill="1"/>
    <xf numFmtId="0" fontId="5" fillId="0" borderId="8" xfId="0" applyFont="1" applyBorder="1" applyAlignment="1">
      <alignment horizontal="center" vertical="center"/>
    </xf>
    <xf numFmtId="0" fontId="7" fillId="0" borderId="6" xfId="0" applyFont="1" applyBorder="1"/>
    <xf numFmtId="0" fontId="5" fillId="0" borderId="7" xfId="0" applyFont="1" applyBorder="1"/>
    <xf numFmtId="0" fontId="5" fillId="0" borderId="7" xfId="0" applyFont="1" applyBorder="1" applyAlignment="1">
      <alignment horizontal="center"/>
    </xf>
    <xf numFmtId="165" fontId="7" fillId="0" borderId="7" xfId="0" applyNumberFormat="1" applyFont="1" applyBorder="1" applyAlignment="1">
      <alignment horizontal="center"/>
    </xf>
    <xf numFmtId="166" fontId="7" fillId="0" borderId="0" xfId="0" applyNumberFormat="1" applyFont="1" applyAlignment="1">
      <alignment horizontal="center"/>
    </xf>
    <xf numFmtId="0" fontId="5" fillId="0" borderId="6" xfId="0" applyFont="1" applyBorder="1"/>
    <xf numFmtId="0" fontId="5" fillId="0" borderId="6" xfId="0" applyFont="1" applyBorder="1" applyAlignment="1">
      <alignment horizontal="center"/>
    </xf>
    <xf numFmtId="0" fontId="5" fillId="0" borderId="8" xfId="0" applyFont="1" applyBorder="1" applyAlignment="1">
      <alignment horizontal="center"/>
    </xf>
    <xf numFmtId="0" fontId="15" fillId="0" borderId="0" xfId="0" applyFont="1" applyAlignment="1">
      <alignment vertical="top"/>
    </xf>
    <xf numFmtId="0" fontId="5" fillId="0" borderId="0" xfId="0" applyFont="1" applyAlignment="1">
      <alignment horizontal="center"/>
    </xf>
    <xf numFmtId="0" fontId="7" fillId="0" borderId="9" xfId="0" applyFont="1" applyBorder="1" applyAlignment="1">
      <alignment horizontal="center"/>
    </xf>
    <xf numFmtId="0" fontId="5" fillId="0" borderId="17" xfId="0" applyFont="1" applyBorder="1" applyAlignment="1">
      <alignment horizontal="center"/>
    </xf>
    <xf numFmtId="0" fontId="5" fillId="0" borderId="17" xfId="0" applyFont="1" applyBorder="1" applyAlignment="1">
      <alignment horizontal="right"/>
    </xf>
    <xf numFmtId="2" fontId="7" fillId="0" borderId="0" xfId="0" applyNumberFormat="1" applyFont="1" applyAlignment="1">
      <alignment horizontal="center"/>
    </xf>
    <xf numFmtId="0" fontId="5" fillId="0" borderId="11" xfId="0" applyFont="1" applyBorder="1"/>
    <xf numFmtId="3" fontId="5" fillId="0" borderId="10" xfId="0" applyNumberFormat="1" applyFont="1" applyBorder="1" applyAlignment="1">
      <alignment horizontal="center"/>
    </xf>
    <xf numFmtId="0" fontId="7" fillId="0" borderId="6" xfId="0" applyFont="1" applyBorder="1" applyAlignment="1">
      <alignment horizontal="center"/>
    </xf>
    <xf numFmtId="0" fontId="5" fillId="0" borderId="27" xfId="0" applyFont="1" applyBorder="1" applyAlignment="1">
      <alignment horizontal="center"/>
    </xf>
    <xf numFmtId="165" fontId="7" fillId="0" borderId="10" xfId="0" applyNumberFormat="1" applyFont="1" applyBorder="1" applyAlignment="1">
      <alignment horizontal="center"/>
    </xf>
    <xf numFmtId="168" fontId="7" fillId="0" borderId="10" xfId="2" applyNumberFormat="1" applyFont="1" applyBorder="1"/>
    <xf numFmtId="10" fontId="7" fillId="0" borderId="0" xfId="3" applyNumberFormat="1" applyFont="1" applyAlignment="1">
      <alignment horizontal="center"/>
    </xf>
    <xf numFmtId="0" fontId="5" fillId="0" borderId="9" xfId="0" applyFont="1" applyBorder="1" applyAlignment="1">
      <alignment horizontal="right"/>
    </xf>
    <xf numFmtId="168" fontId="5" fillId="0" borderId="10" xfId="0" applyNumberFormat="1" applyFont="1" applyBorder="1"/>
    <xf numFmtId="168" fontId="7" fillId="0" borderId="0" xfId="2" applyNumberFormat="1" applyFont="1" applyAlignment="1">
      <alignment horizontal="center"/>
    </xf>
    <xf numFmtId="167" fontId="7" fillId="0" borderId="0" xfId="0" applyNumberFormat="1" applyFont="1" applyAlignment="1">
      <alignment horizontal="center"/>
    </xf>
    <xf numFmtId="0" fontId="5" fillId="0" borderId="20" xfId="0" applyFont="1" applyBorder="1" applyAlignment="1">
      <alignment horizontal="center"/>
    </xf>
    <xf numFmtId="165" fontId="7" fillId="0" borderId="28" xfId="0" applyNumberFormat="1" applyFont="1" applyBorder="1" applyAlignment="1">
      <alignment horizontal="center"/>
    </xf>
    <xf numFmtId="166" fontId="7" fillId="0" borderId="10" xfId="0" applyNumberFormat="1" applyFont="1" applyBorder="1" applyAlignment="1">
      <alignment horizontal="center"/>
    </xf>
    <xf numFmtId="169" fontId="5" fillId="0" borderId="10" xfId="3" applyNumberFormat="1" applyFont="1" applyBorder="1" applyAlignment="1">
      <alignment horizontal="center"/>
    </xf>
    <xf numFmtId="169" fontId="5" fillId="0" borderId="0" xfId="3" applyNumberFormat="1" applyFont="1" applyAlignment="1">
      <alignment horizontal="center"/>
    </xf>
    <xf numFmtId="169" fontId="5" fillId="0" borderId="7" xfId="3" applyNumberFormat="1" applyFont="1" applyBorder="1" applyAlignment="1">
      <alignment horizontal="center"/>
    </xf>
    <xf numFmtId="3" fontId="13" fillId="0" borderId="6" xfId="0" applyNumberFormat="1" applyFont="1" applyBorder="1" applyAlignment="1">
      <alignment horizontal="center" vertical="center" wrapText="1"/>
    </xf>
    <xf numFmtId="0" fontId="5" fillId="0" borderId="8" xfId="0" applyFont="1" applyBorder="1"/>
    <xf numFmtId="0" fontId="4" fillId="0" borderId="8" xfId="0" applyFont="1" applyBorder="1" applyAlignment="1">
      <alignment horizontal="center"/>
    </xf>
    <xf numFmtId="3" fontId="5" fillId="0" borderId="0" xfId="0" applyNumberFormat="1" applyFont="1" applyAlignment="1">
      <alignment horizontal="center"/>
    </xf>
    <xf numFmtId="3" fontId="14" fillId="0" borderId="0" xfId="0" applyNumberFormat="1" applyFont="1" applyAlignment="1">
      <alignment horizontal="center" vertical="center" wrapText="1"/>
    </xf>
    <xf numFmtId="3" fontId="13" fillId="0" borderId="19" xfId="0" applyNumberFormat="1" applyFont="1" applyBorder="1" applyAlignment="1">
      <alignment horizontal="center" vertical="center" wrapText="1"/>
    </xf>
    <xf numFmtId="3" fontId="13" fillId="0" borderId="14" xfId="0" applyNumberFormat="1" applyFont="1" applyBorder="1" applyAlignment="1">
      <alignment horizontal="center" vertical="center" wrapText="1"/>
    </xf>
    <xf numFmtId="0" fontId="7" fillId="0" borderId="19" xfId="0" applyFont="1" applyBorder="1"/>
    <xf numFmtId="3" fontId="13" fillId="0" borderId="17" xfId="0" applyNumberFormat="1" applyFont="1" applyBorder="1" applyAlignment="1">
      <alignment horizontal="center" vertical="center" wrapText="1"/>
    </xf>
    <xf numFmtId="0" fontId="4" fillId="0" borderId="0" xfId="0" applyFont="1" applyAlignment="1">
      <alignment horizontal="center"/>
    </xf>
    <xf numFmtId="0" fontId="3" fillId="2" borderId="0" xfId="0" applyFont="1" applyFill="1"/>
    <xf numFmtId="166" fontId="13" fillId="0" borderId="8" xfId="0" applyNumberFormat="1" applyFont="1" applyBorder="1" applyAlignment="1">
      <alignment horizontal="center" vertical="center" wrapText="1"/>
    </xf>
    <xf numFmtId="166" fontId="13" fillId="0" borderId="6" xfId="0" applyNumberFormat="1" applyFont="1" applyBorder="1" applyAlignment="1">
      <alignment horizontal="center" vertical="center" wrapText="1"/>
    </xf>
    <xf numFmtId="0" fontId="2" fillId="0" borderId="0" xfId="0" applyFont="1"/>
    <xf numFmtId="165" fontId="13" fillId="0" borderId="8" xfId="2" applyNumberFormat="1" applyFont="1" applyBorder="1" applyAlignment="1">
      <alignment horizontal="center" vertical="center" wrapText="1"/>
    </xf>
    <xf numFmtId="165" fontId="13" fillId="0" borderId="6" xfId="2" applyNumberFormat="1" applyFont="1" applyBorder="1" applyAlignment="1">
      <alignment horizontal="center" vertical="center" wrapText="1"/>
    </xf>
    <xf numFmtId="0" fontId="2" fillId="0" borderId="0" xfId="0" applyFont="1" applyAlignment="1">
      <alignment horizontal="center"/>
    </xf>
    <xf numFmtId="0" fontId="14" fillId="0" borderId="9" xfId="0" applyFont="1" applyBorder="1" applyAlignment="1">
      <alignment horizontal="center" vertical="center"/>
    </xf>
    <xf numFmtId="0" fontId="14" fillId="0" borderId="11" xfId="0" applyFont="1" applyBorder="1" applyAlignment="1">
      <alignment horizontal="center" vertical="center"/>
    </xf>
    <xf numFmtId="0" fontId="15" fillId="0" borderId="0" xfId="0" applyFont="1" applyAlignment="1">
      <alignment horizontal="left" vertical="top" wrapText="1"/>
    </xf>
    <xf numFmtId="0" fontId="3" fillId="0" borderId="0" xfId="0" applyFont="1" applyAlignment="1">
      <alignment horizontal="left" vertical="top" wrapText="1"/>
    </xf>
    <xf numFmtId="0" fontId="7" fillId="0" borderId="0" xfId="0" applyFont="1" applyAlignment="1">
      <alignment horizontal="left" vertical="top" wrapText="1"/>
    </xf>
    <xf numFmtId="0" fontId="5" fillId="2" borderId="0" xfId="0" applyFont="1" applyFill="1" applyAlignment="1">
      <alignment horizontal="left" vertical="top" wrapText="1"/>
    </xf>
    <xf numFmtId="0" fontId="16" fillId="0" borderId="0" xfId="0" applyFont="1" applyAlignment="1">
      <alignment horizontal="center"/>
    </xf>
    <xf numFmtId="0" fontId="5" fillId="0" borderId="9" xfId="0" applyFont="1" applyBorder="1" applyAlignment="1">
      <alignment horizontal="center"/>
    </xf>
    <xf numFmtId="0" fontId="5" fillId="0" borderId="11" xfId="0" applyFont="1" applyBorder="1" applyAlignment="1">
      <alignment horizontal="center"/>
    </xf>
    <xf numFmtId="0" fontId="5" fillId="0" borderId="0" xfId="0" applyFont="1" applyAlignment="1">
      <alignment horizontal="center"/>
    </xf>
    <xf numFmtId="0" fontId="7" fillId="2" borderId="21" xfId="0" applyFont="1" applyFill="1" applyBorder="1" applyAlignment="1">
      <alignment horizontal="center"/>
    </xf>
    <xf numFmtId="0" fontId="7" fillId="2" borderId="22" xfId="0" applyFont="1" applyFill="1" applyBorder="1" applyAlignment="1">
      <alignment horizontal="center"/>
    </xf>
    <xf numFmtId="0" fontId="7" fillId="2" borderId="23" xfId="0" applyFont="1" applyFill="1" applyBorder="1" applyAlignment="1">
      <alignment horizontal="center"/>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5" fillId="0" borderId="0" xfId="0" applyFont="1" applyAlignment="1">
      <alignment horizontal="left" vertical="top" wrapText="1"/>
    </xf>
    <xf numFmtId="0" fontId="13" fillId="2" borderId="17" xfId="0" applyFont="1" applyFill="1" applyBorder="1" applyAlignment="1">
      <alignment horizontal="center" wrapText="1"/>
    </xf>
    <xf numFmtId="0" fontId="13" fillId="2" borderId="6" xfId="0" applyFont="1" applyFill="1" applyBorder="1" applyAlignment="1">
      <alignment horizontal="center" wrapText="1"/>
    </xf>
    <xf numFmtId="0" fontId="13" fillId="2" borderId="16" xfId="0" applyFont="1" applyFill="1" applyBorder="1" applyAlignment="1">
      <alignment horizontal="center" wrapText="1"/>
    </xf>
    <xf numFmtId="0" fontId="13" fillId="2" borderId="7" xfId="0" applyFont="1" applyFill="1" applyBorder="1" applyAlignment="1">
      <alignment horizontal="center" wrapText="1"/>
    </xf>
    <xf numFmtId="0" fontId="13" fillId="2" borderId="15" xfId="0" applyFont="1" applyFill="1" applyBorder="1" applyAlignment="1">
      <alignment horizontal="center" wrapText="1"/>
    </xf>
    <xf numFmtId="0" fontId="13" fillId="2" borderId="18" xfId="0" applyFont="1" applyFill="1" applyBorder="1" applyAlignment="1">
      <alignment horizontal="center" wrapText="1"/>
    </xf>
    <xf numFmtId="0" fontId="7" fillId="2" borderId="13" xfId="0" applyFont="1" applyFill="1" applyBorder="1" applyAlignment="1">
      <alignment horizontal="center" wrapText="1"/>
    </xf>
    <xf numFmtId="0" fontId="7" fillId="2" borderId="14" xfId="0" applyFont="1" applyFill="1" applyBorder="1" applyAlignment="1">
      <alignment horizontal="center" wrapText="1"/>
    </xf>
    <xf numFmtId="0" fontId="7" fillId="2" borderId="0" xfId="0" applyFont="1" applyFill="1" applyAlignment="1">
      <alignment horizontal="left" vertical="top" wrapText="1"/>
    </xf>
    <xf numFmtId="0" fontId="13" fillId="2" borderId="13"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3" fillId="0" borderId="0" xfId="0" applyFont="1" applyAlignment="1">
      <alignment horizontal="center" wrapText="1"/>
    </xf>
    <xf numFmtId="0" fontId="13" fillId="0" borderId="7" xfId="0" applyFont="1" applyBorder="1" applyAlignment="1">
      <alignment horizontal="center" wrapText="1"/>
    </xf>
    <xf numFmtId="0" fontId="3" fillId="2" borderId="21" xfId="0" applyFont="1" applyFill="1" applyBorder="1" applyAlignment="1">
      <alignment horizontal="center"/>
    </xf>
    <xf numFmtId="0" fontId="13" fillId="0" borderId="8" xfId="0" applyFont="1" applyBorder="1" applyAlignment="1">
      <alignment horizontal="center" wrapText="1"/>
    </xf>
    <xf numFmtId="0" fontId="13" fillId="0" borderId="6" xfId="0" applyFont="1" applyBorder="1" applyAlignment="1">
      <alignment horizontal="center" wrapText="1"/>
    </xf>
    <xf numFmtId="0" fontId="13" fillId="2" borderId="13" xfId="0" applyFont="1" applyFill="1" applyBorder="1" applyAlignment="1">
      <alignment horizontal="center" wrapText="1"/>
    </xf>
    <xf numFmtId="0" fontId="13" fillId="2" borderId="14" xfId="0" applyFont="1" applyFill="1" applyBorder="1" applyAlignment="1">
      <alignment horizontal="center" wrapText="1"/>
    </xf>
    <xf numFmtId="0" fontId="13" fillId="2" borderId="20" xfId="0" applyFont="1" applyFill="1" applyBorder="1" applyAlignment="1">
      <alignment horizontal="center" wrapText="1"/>
    </xf>
    <xf numFmtId="0" fontId="13" fillId="2" borderId="8" xfId="0" applyFont="1" applyFill="1" applyBorder="1" applyAlignment="1">
      <alignment horizontal="center" wrapText="1"/>
    </xf>
    <xf numFmtId="0" fontId="16" fillId="2" borderId="21" xfId="0" applyFont="1" applyFill="1" applyBorder="1" applyAlignment="1">
      <alignment horizontal="center"/>
    </xf>
    <xf numFmtId="0" fontId="16" fillId="2" borderId="22" xfId="0" applyFont="1" applyFill="1" applyBorder="1" applyAlignment="1">
      <alignment horizontal="center"/>
    </xf>
    <xf numFmtId="0" fontId="16" fillId="2" borderId="23" xfId="0" applyFont="1" applyFill="1" applyBorder="1" applyAlignment="1">
      <alignment horizontal="center"/>
    </xf>
    <xf numFmtId="0" fontId="13" fillId="2" borderId="24" xfId="0" applyFont="1" applyFill="1" applyBorder="1" applyAlignment="1">
      <alignment horizontal="center" wrapText="1"/>
    </xf>
    <xf numFmtId="0" fontId="13" fillId="2" borderId="25" xfId="0" applyFont="1" applyFill="1" applyBorder="1" applyAlignment="1">
      <alignment horizontal="center" wrapText="1"/>
    </xf>
    <xf numFmtId="0" fontId="13" fillId="2" borderId="26" xfId="0" applyFont="1" applyFill="1" applyBorder="1" applyAlignment="1">
      <alignment horizontal="center" wrapText="1"/>
    </xf>
    <xf numFmtId="0" fontId="14" fillId="2" borderId="16" xfId="0" applyFont="1" applyFill="1" applyBorder="1" applyAlignment="1">
      <alignment horizontal="center" vertical="center" wrapText="1"/>
    </xf>
    <xf numFmtId="0" fontId="14" fillId="2" borderId="0" xfId="0" applyFont="1" applyFill="1" applyAlignment="1">
      <alignment horizontal="center" vertical="center" wrapText="1"/>
    </xf>
    <xf numFmtId="0" fontId="14" fillId="2" borderId="1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16" xfId="0" applyFont="1" applyFill="1" applyBorder="1" applyAlignment="1">
      <alignment horizontal="center" wrapText="1"/>
    </xf>
    <xf numFmtId="0" fontId="14" fillId="2" borderId="0" xfId="0" applyFont="1" applyFill="1" applyAlignment="1">
      <alignment horizontal="center" wrapText="1"/>
    </xf>
    <xf numFmtId="0" fontId="14" fillId="2" borderId="7" xfId="0" applyFont="1" applyFill="1" applyBorder="1" applyAlignment="1">
      <alignment horizontal="center" wrapText="1"/>
    </xf>
    <xf numFmtId="0" fontId="14" fillId="2" borderId="15" xfId="0" applyFont="1" applyFill="1" applyBorder="1" applyAlignment="1">
      <alignment horizontal="center" wrapText="1"/>
    </xf>
    <xf numFmtId="0" fontId="14" fillId="2" borderId="20" xfId="0" applyFont="1" applyFill="1" applyBorder="1" applyAlignment="1">
      <alignment horizontal="center" wrapText="1"/>
    </xf>
    <xf numFmtId="0" fontId="14" fillId="2" borderId="18" xfId="0" applyFont="1" applyFill="1" applyBorder="1" applyAlignment="1">
      <alignment horizontal="center" wrapText="1"/>
    </xf>
    <xf numFmtId="0" fontId="14" fillId="2" borderId="17" xfId="0" applyFont="1" applyFill="1" applyBorder="1" applyAlignment="1">
      <alignment horizontal="center" wrapText="1"/>
    </xf>
    <xf numFmtId="0" fontId="14" fillId="2" borderId="8" xfId="0" applyFont="1" applyFill="1" applyBorder="1" applyAlignment="1">
      <alignment horizontal="center" wrapText="1"/>
    </xf>
    <xf numFmtId="0" fontId="14" fillId="2" borderId="6" xfId="0" applyFont="1" applyFill="1" applyBorder="1" applyAlignment="1">
      <alignment horizontal="center" wrapText="1"/>
    </xf>
    <xf numFmtId="0" fontId="13" fillId="0" borderId="19" xfId="0" applyFont="1" applyBorder="1" applyAlignment="1">
      <alignment horizontal="center" wrapText="1"/>
    </xf>
    <xf numFmtId="0" fontId="13" fillId="0" borderId="14" xfId="0" applyFont="1" applyBorder="1" applyAlignment="1">
      <alignment horizontal="center" wrapText="1"/>
    </xf>
    <xf numFmtId="0" fontId="14" fillId="2" borderId="13" xfId="0" applyFont="1" applyFill="1" applyBorder="1" applyAlignment="1">
      <alignment horizontal="center" wrapText="1"/>
    </xf>
    <xf numFmtId="0" fontId="14" fillId="2" borderId="19" xfId="0" applyFont="1" applyFill="1" applyBorder="1" applyAlignment="1">
      <alignment horizontal="center" wrapText="1"/>
    </xf>
    <xf numFmtId="0" fontId="14" fillId="2" borderId="14" xfId="0" applyFont="1" applyFill="1" applyBorder="1" applyAlignment="1">
      <alignment horizontal="center" wrapText="1"/>
    </xf>
    <xf numFmtId="0" fontId="14" fillId="2" borderId="15" xfId="0" applyFont="1" applyFill="1" applyBorder="1" applyAlignment="1">
      <alignment horizontal="center" vertical="center" wrapText="1"/>
    </xf>
    <xf numFmtId="0" fontId="14" fillId="2" borderId="18" xfId="0" applyFont="1" applyFill="1" applyBorder="1" applyAlignment="1">
      <alignment horizontal="center" vertical="center" wrapText="1"/>
    </xf>
    <xf numFmtId="3" fontId="14" fillId="2" borderId="13" xfId="0" applyNumberFormat="1" applyFont="1" applyFill="1" applyBorder="1" applyAlignment="1">
      <alignment horizontal="center" vertical="center" wrapText="1"/>
    </xf>
    <xf numFmtId="3" fontId="14" fillId="2" borderId="19" xfId="0" applyNumberFormat="1" applyFont="1" applyFill="1" applyBorder="1" applyAlignment="1">
      <alignment horizontal="center" vertical="center" wrapText="1"/>
    </xf>
    <xf numFmtId="3" fontId="14" fillId="2" borderId="14" xfId="0" applyNumberFormat="1" applyFont="1" applyFill="1" applyBorder="1" applyAlignment="1">
      <alignment horizontal="center" vertical="center" wrapText="1"/>
    </xf>
    <xf numFmtId="0" fontId="2" fillId="0" borderId="0" xfId="0" applyFont="1" applyAlignment="1">
      <alignment horizontal="left" vertical="top" wrapText="1"/>
    </xf>
    <xf numFmtId="0" fontId="4" fillId="0" borderId="0" xfId="0" applyFont="1" applyAlignment="1">
      <alignment horizontal="left" vertical="top" wrapText="1"/>
    </xf>
    <xf numFmtId="0" fontId="14" fillId="2" borderId="21"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 fillId="0" borderId="0" xfId="0" applyFont="1" applyAlignment="1">
      <alignment horizontal="left" vertical="top" wrapText="1"/>
    </xf>
  </cellXfs>
  <cellStyles count="4">
    <cellStyle name="Comma" xfId="2" builtinId="3"/>
    <cellStyle name="Currency" xfId="1"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xdr:col>
      <xdr:colOff>190499</xdr:colOff>
      <xdr:row>19</xdr:row>
      <xdr:rowOff>148169</xdr:rowOff>
    </xdr:from>
    <xdr:to>
      <xdr:col>4</xdr:col>
      <xdr:colOff>381001</xdr:colOff>
      <xdr:row>21</xdr:row>
      <xdr:rowOff>10583</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E89CBB2-D12D-CA4D-B86C-631547945DB0}"/>
                </a:ext>
              </a:extLst>
            </xdr:cNvPr>
            <xdr:cNvSpPr txBox="1"/>
          </xdr:nvSpPr>
          <xdr:spPr>
            <a:xfrm>
              <a:off x="1015999" y="4064002"/>
              <a:ext cx="2667002" cy="28574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𝐶h𝑎𝑟𝑔𝑒</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𝜒</m:t>
                    </m:r>
                  </m:oMath>
                </m:oMathPara>
              </a14:m>
              <a:endParaRPr lang="en-US"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AE89CBB2-D12D-CA4D-B86C-631547945DB0}"/>
                </a:ext>
              </a:extLst>
            </xdr:cNvPr>
            <xdr:cNvSpPr txBox="1"/>
          </xdr:nvSpPr>
          <xdr:spPr>
            <a:xfrm>
              <a:off x="1015999" y="4064002"/>
              <a:ext cx="2667002" cy="28574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𝐷𝑒𝑑𝑢𝑐𝑡𝑖𝑏𝑙𝑒 𝐿𝑜𝑠𝑠 𝐶ℎ𝑎𝑟𝑔𝑒=𝑃𝑟𝑒𝑚×𝐸𝐿𝑅×𝜒</a:t>
              </a:r>
              <a:endParaRPr lang="en-US" sz="1100">
                <a:solidFill>
                  <a:schemeClr val="tx1"/>
                </a:solidFill>
                <a:effectLst/>
                <a:latin typeface="+mn-lt"/>
                <a:ea typeface="+mn-ea"/>
                <a:cs typeface="+mn-cs"/>
              </a:endParaRPr>
            </a:p>
          </xdr:txBody>
        </xdr:sp>
      </mc:Fallback>
    </mc:AlternateContent>
    <xdr:clientData/>
  </xdr:twoCellAnchor>
  <xdr:oneCellAnchor>
    <xdr:from>
      <xdr:col>1</xdr:col>
      <xdr:colOff>253998</xdr:colOff>
      <xdr:row>21</xdr:row>
      <xdr:rowOff>148169</xdr:rowOff>
    </xdr:from>
    <xdr:ext cx="2546787" cy="17209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AB1E13C-A249-3D49-AAC0-7EBFEAAB1D6A}"/>
                </a:ext>
              </a:extLst>
            </xdr:cNvPr>
            <xdr:cNvSpPr txBox="1"/>
          </xdr:nvSpPr>
          <xdr:spPr>
            <a:xfrm>
              <a:off x="1079498" y="4487336"/>
              <a:ext cx="254678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𝜒</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per</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occurrence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charge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excess</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ratio</m:t>
                    </m:r>
                    <m:r>
                      <a:rPr lang="en-US" sz="1100">
                        <a:solidFill>
                          <a:schemeClr val="tx1"/>
                        </a:solidFill>
                        <a:effectLst/>
                        <a:latin typeface="Cambria Math" panose="02040503050406030204" pitchFamily="18" charset="0"/>
                        <a:ea typeface="+mn-ea"/>
                        <a:cs typeface="+mn-cs"/>
                      </a:rPr>
                      <m:t>)</m:t>
                    </m:r>
                    <m:r>
                      <m:rPr>
                        <m:nor/>
                      </m:rPr>
                      <a:rPr lang="en-US" i="0">
                        <a:effectLst/>
                      </a:rPr>
                      <m:t> </m:t>
                    </m:r>
                  </m:oMath>
                </m:oMathPara>
              </a14:m>
              <a:endParaRPr lang="en-US" sz="1100">
                <a:solidFill>
                  <a:schemeClr val="tx1"/>
                </a:solidFill>
              </a:endParaRPr>
            </a:p>
          </xdr:txBody>
        </xdr:sp>
      </mc:Choice>
      <mc:Fallback xmlns="">
        <xdr:sp macro="" textlink="">
          <xdr:nvSpPr>
            <xdr:cNvPr id="3" name="TextBox 2">
              <a:extLst>
                <a:ext uri="{FF2B5EF4-FFF2-40B4-BE49-F238E27FC236}">
                  <a16:creationId xmlns:a16="http://schemas.microsoft.com/office/drawing/2014/main" id="{4AB1E13C-A249-3D49-AAC0-7EBFEAAB1D6A}"/>
                </a:ext>
              </a:extLst>
            </xdr:cNvPr>
            <xdr:cNvSpPr txBox="1"/>
          </xdr:nvSpPr>
          <xdr:spPr>
            <a:xfrm>
              <a:off x="1079498" y="4487336"/>
              <a:ext cx="254678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𝜒→per occurrence charge (excess ratio)</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137583</xdr:colOff>
      <xdr:row>31</xdr:row>
      <xdr:rowOff>137584</xdr:rowOff>
    </xdr:from>
    <xdr:to>
      <xdr:col>6</xdr:col>
      <xdr:colOff>751417</xdr:colOff>
      <xdr:row>33</xdr:row>
      <xdr:rowOff>1</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ED2CE884-3519-0943-B756-8BEE196932AC}"/>
                </a:ext>
              </a:extLst>
            </xdr:cNvPr>
            <xdr:cNvSpPr txBox="1"/>
          </xdr:nvSpPr>
          <xdr:spPr>
            <a:xfrm>
              <a:off x="963083" y="7313084"/>
              <a:ext cx="4741334" cy="26458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𝐿𝑜𝑠𝑠𝑒𝑠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𝐶h𝑎𝑟𝑔𝑒</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𝐴𝑔𝑔𝑟𝑒𝑔𝑎𝑡𝑒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𝐶h𝑎𝑟𝑔𝑒</m:t>
                    </m:r>
                  </m:oMath>
                </m:oMathPara>
              </a14:m>
              <a:endParaRPr lang="en-US"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ED2CE884-3519-0943-B756-8BEE196932AC}"/>
                </a:ext>
              </a:extLst>
            </xdr:cNvPr>
            <xdr:cNvSpPr txBox="1"/>
          </xdr:nvSpPr>
          <xdr:spPr>
            <a:xfrm>
              <a:off x="963083" y="7313084"/>
              <a:ext cx="4741334" cy="26458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𝐸𝑥𝑝𝑒𝑐𝑡𝑒𝑑 𝑋𝑆 𝐿𝑜𝑠𝑠𝑒𝑠=𝐷𝑒𝑑𝑢𝑐𝑡𝑖𝑏𝑙𝑒 𝐿𝑜𝑠𝑠 𝐶ℎ𝑎𝑟𝑔𝑒+𝐴𝑔𝑔𝑟𝑒𝑔𝑎𝑡𝑒 𝐿𝑜𝑠𝑠 𝐶ℎ𝑎𝑟𝑔𝑒</a:t>
              </a:r>
              <a:endParaRPr lang="en-US" sz="1100">
                <a:solidFill>
                  <a:schemeClr val="tx1"/>
                </a:solidFill>
                <a:effectLst/>
                <a:latin typeface="+mn-lt"/>
                <a:ea typeface="+mn-ea"/>
                <a:cs typeface="+mn-cs"/>
              </a:endParaRPr>
            </a:p>
          </xdr:txBody>
        </xdr:sp>
      </mc:Fallback>
    </mc:AlternateContent>
    <xdr:clientData/>
  </xdr:twoCellAnchor>
  <xdr:twoCellAnchor>
    <xdr:from>
      <xdr:col>1</xdr:col>
      <xdr:colOff>158749</xdr:colOff>
      <xdr:row>25</xdr:row>
      <xdr:rowOff>84668</xdr:rowOff>
    </xdr:from>
    <xdr:to>
      <xdr:col>5</xdr:col>
      <xdr:colOff>158750</xdr:colOff>
      <xdr:row>26</xdr:row>
      <xdr:rowOff>148016</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32D488E5-81C4-554E-A809-0E8BFFBFAFEE}"/>
                </a:ext>
              </a:extLst>
            </xdr:cNvPr>
            <xdr:cNvSpPr txBox="1"/>
          </xdr:nvSpPr>
          <xdr:spPr>
            <a:xfrm>
              <a:off x="984249" y="5630335"/>
              <a:ext cx="3302001"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𝐴𝑔𝑔𝑟𝑒𝑔𝑎𝑡𝑒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𝐶h𝑎𝑟𝑔𝑒</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𝜒</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𝜙</m:t>
                    </m:r>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32D488E5-81C4-554E-A809-0E8BFFBFAFEE}"/>
                </a:ext>
              </a:extLst>
            </xdr:cNvPr>
            <xdr:cNvSpPr txBox="1"/>
          </xdr:nvSpPr>
          <xdr:spPr>
            <a:xfrm>
              <a:off x="984249" y="5630335"/>
              <a:ext cx="3302001"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𝐴𝑔𝑔𝑟𝑒𝑔𝑎𝑡𝑒 𝐿𝑜𝑠𝑠 𝐶ℎ𝑎𝑟𝑔𝑒=𝑃𝑟𝑒𝑚×𝐸𝐿𝑅×(1−𝜒)×𝜙</a:t>
              </a:r>
              <a:endParaRPr lang="en-US" sz="1100">
                <a:solidFill>
                  <a:schemeClr val="tx1"/>
                </a:solidFill>
                <a:effectLst/>
                <a:latin typeface="+mn-lt"/>
                <a:ea typeface="+mn-ea"/>
                <a:cs typeface="+mn-cs"/>
              </a:endParaRPr>
            </a:p>
          </xdr:txBody>
        </xdr:sp>
      </mc:Fallback>
    </mc:AlternateContent>
    <xdr:clientData/>
  </xdr:twoCellAnchor>
  <xdr:oneCellAnchor>
    <xdr:from>
      <xdr:col>1</xdr:col>
      <xdr:colOff>190497</xdr:colOff>
      <xdr:row>27</xdr:row>
      <xdr:rowOff>74085</xdr:rowOff>
    </xdr:from>
    <xdr:ext cx="2682337" cy="17209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1F651E9-1D0E-7449-A928-E9BAEBE1FEC7}"/>
                </a:ext>
              </a:extLst>
            </xdr:cNvPr>
            <xdr:cNvSpPr txBox="1"/>
          </xdr:nvSpPr>
          <xdr:spPr>
            <a:xfrm>
              <a:off x="1015997" y="6021918"/>
              <a:ext cx="268233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𝜙</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per</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aggregate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charge</m:t>
                    </m:r>
                    <m:r>
                      <a:rPr lang="en-US" sz="1100">
                        <a:solidFill>
                          <a:schemeClr val="tx1"/>
                        </a:solidFill>
                        <a:effectLst/>
                        <a:latin typeface="Cambria Math" panose="02040503050406030204" pitchFamily="18" charset="0"/>
                        <a:ea typeface="+mn-ea"/>
                        <a:cs typeface="+mn-cs"/>
                      </a:rPr>
                      <m:t> </m:t>
                    </m:r>
                    <m:d>
                      <m:dPr>
                        <m:ctrlPr>
                          <a:rPr lang="en-US" sz="1100" i="1">
                            <a:solidFill>
                              <a:schemeClr val="tx1"/>
                            </a:solidFill>
                            <a:effectLst/>
                            <a:latin typeface="Cambria Math" panose="02040503050406030204" pitchFamily="18" charset="0"/>
                            <a:ea typeface="+mn-ea"/>
                            <a:cs typeface="+mn-cs"/>
                          </a:rPr>
                        </m:ctrlPr>
                      </m:dPr>
                      <m:e>
                        <m:r>
                          <m:rPr>
                            <m:sty m:val="p"/>
                          </m:rPr>
                          <a:rPr lang="en-US" sz="1100">
                            <a:solidFill>
                              <a:schemeClr val="tx1"/>
                            </a:solidFill>
                            <a:effectLst/>
                            <a:latin typeface="Cambria Math" panose="02040503050406030204" pitchFamily="18" charset="0"/>
                            <a:ea typeface="+mn-ea"/>
                            <a:cs typeface="+mn-cs"/>
                          </a:rPr>
                          <m:t>aggregate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ratio</m:t>
                        </m:r>
                      </m:e>
                    </m:d>
                    <m:r>
                      <m:rPr>
                        <m:nor/>
                      </m:rPr>
                      <a:rPr lang="en-US" i="0">
                        <a:effectLst/>
                      </a:rPr>
                      <m:t> </m:t>
                    </m:r>
                  </m:oMath>
                </m:oMathPara>
              </a14:m>
              <a:endParaRPr lang="en-US" sz="1100">
                <a:solidFill>
                  <a:schemeClr val="tx1"/>
                </a:solidFill>
              </a:endParaRPr>
            </a:p>
          </xdr:txBody>
        </xdr:sp>
      </mc:Choice>
      <mc:Fallback xmlns="">
        <xdr:sp macro="" textlink="">
          <xdr:nvSpPr>
            <xdr:cNvPr id="7" name="TextBox 6">
              <a:extLst>
                <a:ext uri="{FF2B5EF4-FFF2-40B4-BE49-F238E27FC236}">
                  <a16:creationId xmlns:a16="http://schemas.microsoft.com/office/drawing/2014/main" id="{91F651E9-1D0E-7449-A928-E9BAEBE1FEC7}"/>
                </a:ext>
              </a:extLst>
            </xdr:cNvPr>
            <xdr:cNvSpPr txBox="1"/>
          </xdr:nvSpPr>
          <xdr:spPr>
            <a:xfrm>
              <a:off x="1015997" y="6021918"/>
              <a:ext cx="268233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𝜙→per aggregate charge (aggregate ratio)</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49</xdr:row>
      <xdr:rowOff>1</xdr:rowOff>
    </xdr:from>
    <xdr:to>
      <xdr:col>3</xdr:col>
      <xdr:colOff>476250</xdr:colOff>
      <xdr:row>50</xdr:row>
      <xdr:rowOff>63500</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C4EBFF04-F403-CD41-AEE5-474DAAB261C5}"/>
                </a:ext>
              </a:extLst>
            </xdr:cNvPr>
            <xdr:cNvSpPr txBox="1"/>
          </xdr:nvSpPr>
          <xdr:spPr>
            <a:xfrm>
              <a:off x="825500" y="10033001"/>
              <a:ext cx="2127250" cy="26458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𝑢𝑛𝑙𝑖𝑚𝑖𝑡𝑒𝑑</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𝑙𝑖𝑚𝑖𝑡𝑒𝑑</m:t>
                        </m:r>
                      </m:sup>
                    </m:sSup>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C4EBFF04-F403-CD41-AEE5-474DAAB261C5}"/>
                </a:ext>
              </a:extLst>
            </xdr:cNvPr>
            <xdr:cNvSpPr txBox="1"/>
          </xdr:nvSpPr>
          <xdr:spPr>
            <a:xfrm>
              <a:off x="825500" y="10033001"/>
              <a:ext cx="2127250" cy="26458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〖𝑈𝑙𝑡〗^𝑒𝑥𝑐𝑒𝑠𝑠=〖𝑈𝑙𝑡〗^𝑢𝑛𝑙𝑖𝑚𝑖𝑡𝑒𝑑−〖𝑈𝑙𝑡〗^𝑙𝑖𝑚𝑖𝑡𝑒𝑑</a:t>
              </a:r>
              <a:endParaRPr lang="en-US" sz="1100">
                <a:solidFill>
                  <a:schemeClr val="tx1"/>
                </a:solidFill>
                <a:effectLst/>
                <a:latin typeface="+mn-lt"/>
                <a:ea typeface="+mn-ea"/>
                <a:cs typeface="+mn-cs"/>
              </a:endParaRPr>
            </a:p>
          </xdr:txBody>
        </xdr:sp>
      </mc:Fallback>
    </mc:AlternateContent>
    <xdr:clientData/>
  </xdr:twoCellAnchor>
  <xdr:oneCellAnchor>
    <xdr:from>
      <xdr:col>1</xdr:col>
      <xdr:colOff>31749</xdr:colOff>
      <xdr:row>53</xdr:row>
      <xdr:rowOff>179917</xdr:rowOff>
    </xdr:from>
    <xdr:ext cx="2180469" cy="17209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8E543D5-9E83-0943-943B-1BAFEEB15879}"/>
                </a:ext>
              </a:extLst>
            </xdr:cNvPr>
            <xdr:cNvSpPr txBox="1"/>
          </xdr:nvSpPr>
          <xdr:spPr>
            <a:xfrm>
              <a:off x="857249" y="11027834"/>
              <a:ext cx="2180469"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𝑅𝑒𝑠𝑒𝑟𝑣𝑒</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r>
                      <m:rPr>
                        <m:nor/>
                      </m:rPr>
                      <a:rPr lang="en-US" i="0">
                        <a:effectLst/>
                      </a:rPr>
                      <m:t> </m:t>
                    </m:r>
                  </m:oMath>
                </m:oMathPara>
              </a14:m>
              <a:endParaRPr lang="en-US" sz="1100">
                <a:solidFill>
                  <a:schemeClr val="tx1"/>
                </a:solidFill>
              </a:endParaRPr>
            </a:p>
          </xdr:txBody>
        </xdr:sp>
      </mc:Choice>
      <mc:Fallback xmlns="">
        <xdr:sp macro="" textlink="">
          <xdr:nvSpPr>
            <xdr:cNvPr id="7" name="TextBox 6">
              <a:extLst>
                <a:ext uri="{FF2B5EF4-FFF2-40B4-BE49-F238E27FC236}">
                  <a16:creationId xmlns:a16="http://schemas.microsoft.com/office/drawing/2014/main" id="{78E543D5-9E83-0943-943B-1BAFEEB15879}"/>
                </a:ext>
              </a:extLst>
            </xdr:cNvPr>
            <xdr:cNvSpPr txBox="1"/>
          </xdr:nvSpPr>
          <xdr:spPr>
            <a:xfrm>
              <a:off x="857249" y="11027834"/>
              <a:ext cx="2180469"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〖𝑅𝑒𝑠𝑒𝑟𝑣𝑒〗^𝑒𝑥𝑐𝑒𝑠𝑠=〖𝑈𝑙𝑡〗^𝑒𝑥𝑐𝑒𝑠𝑠−〖𝐿𝑜𝑠𝑠〗^𝑒𝑥𝑐𝑒𝑠𝑠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0</xdr:col>
      <xdr:colOff>825499</xdr:colOff>
      <xdr:row>51</xdr:row>
      <xdr:rowOff>84665</xdr:rowOff>
    </xdr:from>
    <xdr:to>
      <xdr:col>4</xdr:col>
      <xdr:colOff>740832</xdr:colOff>
      <xdr:row>52</xdr:row>
      <xdr:rowOff>148012</xdr:rowOff>
    </xdr:to>
    <mc:AlternateContent xmlns:mc="http://schemas.openxmlformats.org/markup-compatibility/2006" xmlns:a14="http://schemas.microsoft.com/office/drawing/2010/main">
      <mc:Choice Requires="a14">
        <xdr:sp macro="" textlink="">
          <xdr:nvSpPr>
            <xdr:cNvPr id="8" name="TextBox 2">
              <a:extLst>
                <a:ext uri="{FF2B5EF4-FFF2-40B4-BE49-F238E27FC236}">
                  <a16:creationId xmlns:a16="http://schemas.microsoft.com/office/drawing/2014/main" id="{25C9168D-658C-4E48-8343-F8F1AF8B2FC8}"/>
                </a:ext>
              </a:extLst>
            </xdr:cNvPr>
            <xdr:cNvSpPr txBox="1"/>
          </xdr:nvSpPr>
          <xdr:spPr>
            <a:xfrm>
              <a:off x="825499" y="10519832"/>
              <a:ext cx="3217333" cy="2644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𝑅𝑒𝑠𝑣</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2"/>
                            </m:argPr>
                            <m:r>
                              <a:rPr lang="en-US" sz="1100" i="1">
                                <a:solidFill>
                                  <a:schemeClr val="tx1"/>
                                </a:solidFill>
                                <a:effectLst/>
                                <a:latin typeface="Cambria Math" panose="02040503050406030204" pitchFamily="18" charset="0"/>
                                <a:ea typeface="+mn-ea"/>
                                <a:cs typeface="+mn-cs"/>
                              </a:rPr>
                              <m:t>𝑢𝑛𝑙𝑖𝑚𝑖𝑡𝑒𝑑</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1"/>
                            </m:argPr>
                            <m:r>
                              <a:rPr lang="en-US" sz="1100" i="1">
                                <a:solidFill>
                                  <a:schemeClr val="tx1"/>
                                </a:solidFill>
                                <a:effectLst/>
                                <a:latin typeface="Cambria Math" panose="02040503050406030204" pitchFamily="18" charset="0"/>
                                <a:ea typeface="+mn-ea"/>
                                <a:cs typeface="+mn-cs"/>
                              </a:rPr>
                              <m:t>𝑙𝑖𝑚𝑖𝑡𝑒𝑑</m:t>
                            </m:r>
                          </m:sup>
                        </m:sSup>
                      </m:e>
                    </m:d>
                  </m:oMath>
                </m:oMathPara>
              </a14:m>
              <a:endParaRPr lang="en-US" sz="1100">
                <a:solidFill>
                  <a:schemeClr val="tx1"/>
                </a:solidFill>
                <a:effectLst/>
                <a:latin typeface="+mn-lt"/>
                <a:ea typeface="+mn-ea"/>
                <a:cs typeface="+mn-cs"/>
              </a:endParaRPr>
            </a:p>
          </xdr:txBody>
        </xdr:sp>
      </mc:Choice>
      <mc:Fallback xmlns="">
        <xdr:sp macro="" textlink="">
          <xdr:nvSpPr>
            <xdr:cNvPr id="8" name="TextBox 2">
              <a:extLst>
                <a:ext uri="{FF2B5EF4-FFF2-40B4-BE49-F238E27FC236}">
                  <a16:creationId xmlns:a16="http://schemas.microsoft.com/office/drawing/2014/main" id="{25C9168D-658C-4E48-8343-F8F1AF8B2FC8}"/>
                </a:ext>
              </a:extLst>
            </xdr:cNvPr>
            <xdr:cNvSpPr txBox="1"/>
          </xdr:nvSpPr>
          <xdr:spPr>
            <a:xfrm>
              <a:off x="825499" y="10519832"/>
              <a:ext cx="3217333" cy="2644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〖𝑅𝑒𝑠𝑣〗^𝑒𝑥𝑐𝑒𝑠𝑠=〖𝑈𝑙𝑡〗^𝑒𝑥𝑐𝑒𝑠𝑠−(〖𝐿𝑜𝑠𝑠〗^𝑢𝑛𝑙𝑖𝑚𝑖𝑡𝑒𝑑−〖𝐿𝑜𝑠𝑠〗^𝑙𝑖𝑚𝑖𝑡𝑒𝑑 )</a:t>
              </a:r>
              <a:endParaRPr lang="en-US"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825499</xdr:colOff>
      <xdr:row>37</xdr:row>
      <xdr:rowOff>74083</xdr:rowOff>
    </xdr:from>
    <xdr:to>
      <xdr:col>4</xdr:col>
      <xdr:colOff>751417</xdr:colOff>
      <xdr:row>38</xdr:row>
      <xdr:rowOff>137431</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7F5D54CB-9210-0442-8041-24A004A5C6B3}"/>
                </a:ext>
              </a:extLst>
            </xdr:cNvPr>
            <xdr:cNvSpPr txBox="1"/>
          </xdr:nvSpPr>
          <xdr:spPr>
            <a:xfrm>
              <a:off x="825499" y="7694083"/>
              <a:ext cx="3227918"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𝐿𝐷𝐹</m:t>
                        </m:r>
                      </m:e>
                      <m:sup>
                        <m:argPr>
                          <m:argSz m:val="-1"/>
                        </m:argPr>
                        <m:r>
                          <a:rPr lang="en-US" sz="1100" i="1">
                            <a:solidFill>
                              <a:schemeClr val="tx1"/>
                            </a:solidFill>
                            <a:effectLst/>
                            <a:latin typeface="Cambria Math" panose="02040503050406030204" pitchFamily="18" charset="0"/>
                            <a:ea typeface="+mn-ea"/>
                            <a:cs typeface="+mn-cs"/>
                          </a:rPr>
                          <m:t>𝑢𝑛𝑙𝑖𝑚𝑖𝑡𝑒𝑑</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𝑙𝑖𝑚</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𝐿𝐷𝐹</m:t>
                        </m:r>
                      </m:e>
                      <m:sup>
                        <m:argPr>
                          <m:argSz m:val="-1"/>
                        </m:argPr>
                        <m:r>
                          <a:rPr lang="en-US" sz="1100" i="1">
                            <a:solidFill>
                              <a:schemeClr val="tx1"/>
                            </a:solidFill>
                            <a:effectLst/>
                            <a:latin typeface="Cambria Math" panose="02040503050406030204" pitchFamily="18" charset="0"/>
                            <a:ea typeface="+mn-ea"/>
                            <a:cs typeface="+mn-cs"/>
                          </a:rPr>
                          <m:t>𝑙𝑖𝑚</m:t>
                        </m:r>
                      </m:sup>
                    </m:s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𝑙𝑖𝑚</m:t>
                            </m:r>
                          </m:sup>
                        </m:sSup>
                      </m:e>
                    </m:d>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𝑋𝑆𝐿𝐷𝐹</m:t>
                        </m:r>
                      </m:e>
                      <m:sup>
                        <m:argPr>
                          <m:argSz m:val="-1"/>
                        </m:argPr>
                        <m:r>
                          <a:rPr lang="en-US" sz="1100" i="1">
                            <a:solidFill>
                              <a:schemeClr val="tx1"/>
                            </a:solidFill>
                            <a:effectLst/>
                            <a:latin typeface="Cambria Math" panose="02040503050406030204" pitchFamily="18" charset="0"/>
                            <a:ea typeface="+mn-ea"/>
                            <a:cs typeface="+mn-cs"/>
                          </a:rPr>
                          <m:t>𝑙𝑖𝑚</m:t>
                        </m:r>
                      </m:sup>
                    </m:sSup>
                  </m:oMath>
                </m:oMathPara>
              </a14:m>
              <a:endParaRPr lang="en-US"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7F5D54CB-9210-0442-8041-24A004A5C6B3}"/>
                </a:ext>
              </a:extLst>
            </xdr:cNvPr>
            <xdr:cNvSpPr txBox="1"/>
          </xdr:nvSpPr>
          <xdr:spPr>
            <a:xfrm>
              <a:off x="825499" y="7694083"/>
              <a:ext cx="3227918"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〖𝐿𝐷𝐹〗^𝑢𝑛𝑙𝑖𝑚𝑖𝑡𝑒𝑑=𝑅^𝑙𝑖𝑚×〖𝐿𝐷𝐹〗^𝑙𝑖𝑚+(1−𝑅^𝑙𝑖𝑚 )×〖𝑋𝑆𝐿𝐷𝐹〗^𝑙𝑖𝑚</a:t>
              </a:r>
              <a:endParaRPr lang="en-US" sz="1100">
                <a:solidFill>
                  <a:schemeClr val="tx1"/>
                </a:solidFill>
                <a:effectLst/>
                <a:latin typeface="+mn-lt"/>
                <a:ea typeface="+mn-ea"/>
                <a:cs typeface="+mn-cs"/>
              </a:endParaRPr>
            </a:p>
          </xdr:txBody>
        </xdr:sp>
      </mc:Fallback>
    </mc:AlternateContent>
    <xdr:clientData/>
  </xdr:twoCellAnchor>
  <xdr:oneCellAnchor>
    <xdr:from>
      <xdr:col>1</xdr:col>
      <xdr:colOff>444497</xdr:colOff>
      <xdr:row>39</xdr:row>
      <xdr:rowOff>127002</xdr:rowOff>
    </xdr:from>
    <xdr:ext cx="1462580" cy="39158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873F334-96B1-7E4F-BE36-EF67E2465BC4}"/>
                </a:ext>
              </a:extLst>
            </xdr:cNvPr>
            <xdr:cNvSpPr txBox="1"/>
          </xdr:nvSpPr>
          <xdr:spPr>
            <a:xfrm>
              <a:off x="1269997" y="8149169"/>
              <a:ext cx="1462580" cy="3915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1"/>
                        </m:argPr>
                        <m:r>
                          <a:rPr lang="en-US" sz="1100" i="1">
                            <a:solidFill>
                              <a:schemeClr val="tx1"/>
                            </a:solidFill>
                            <a:effectLst/>
                            <a:latin typeface="Cambria Math" panose="02040503050406030204" pitchFamily="18" charset="0"/>
                            <a:ea typeface="+mn-ea"/>
                            <a:cs typeface="+mn-cs"/>
                          </a:rPr>
                          <m:t>𝑙𝑖𝑚</m:t>
                        </m:r>
                      </m:sup>
                    </m:sSup>
                    <m:r>
                      <m:rPr>
                        <m:aln/>
                      </m:rP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 </m:t>
                    </m:r>
                    <m:f>
                      <m:fPr>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𝑆𝑒𝑣𝑒𝑟𝑖𝑡𝑦</m:t>
                            </m:r>
                          </m:e>
                          <m:sup>
                            <m:argPr>
                              <m:argSz m:val="-1"/>
                            </m:argPr>
                            <m:r>
                              <a:rPr lang="en-US" sz="1100" i="1">
                                <a:solidFill>
                                  <a:schemeClr val="tx1"/>
                                </a:solidFill>
                                <a:effectLst/>
                                <a:latin typeface="Cambria Math" panose="02040503050406030204" pitchFamily="18" charset="0"/>
                                <a:ea typeface="+mn-ea"/>
                                <a:cs typeface="+mn-cs"/>
                              </a:rPr>
                              <m:t>𝑙𝑖𝑚𝑖𝑡𝑒𝑑</m:t>
                            </m:r>
                          </m:sup>
                        </m:sSup>
                      </m:num>
                      <m:den>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𝑆𝑒𝑣𝑒𝑟𝑖𝑡𝑦</m:t>
                            </m:r>
                          </m:e>
                          <m:sup>
                            <m:argPr>
                              <m:argSz m:val="-1"/>
                            </m:argPr>
                            <m:r>
                              <a:rPr lang="en-US" sz="1100" i="1">
                                <a:solidFill>
                                  <a:schemeClr val="tx1"/>
                                </a:solidFill>
                                <a:effectLst/>
                                <a:latin typeface="Cambria Math" panose="02040503050406030204" pitchFamily="18" charset="0"/>
                                <a:ea typeface="+mn-ea"/>
                                <a:cs typeface="+mn-cs"/>
                              </a:rPr>
                              <m:t>𝑢𝑛𝑙𝑖𝑚𝑖𝑡𝑒𝑑</m:t>
                            </m:r>
                          </m:sup>
                        </m:sSup>
                      </m:den>
                    </m:f>
                    <m:r>
                      <m:rPr>
                        <m:nor/>
                      </m:rPr>
                      <a:rPr lang="en-US" i="0">
                        <a:effectLst/>
                      </a:rPr>
                      <m:t> </m:t>
                    </m:r>
                  </m:oMath>
                </m:oMathPara>
              </a14:m>
              <a:endParaRPr lang="en-US" sz="1100">
                <a:solidFill>
                  <a:schemeClr val="tx1"/>
                </a:solidFill>
              </a:endParaRPr>
            </a:p>
          </xdr:txBody>
        </xdr:sp>
      </mc:Choice>
      <mc:Fallback xmlns="">
        <xdr:sp macro="" textlink="">
          <xdr:nvSpPr>
            <xdr:cNvPr id="3" name="TextBox 2">
              <a:extLst>
                <a:ext uri="{FF2B5EF4-FFF2-40B4-BE49-F238E27FC236}">
                  <a16:creationId xmlns:a16="http://schemas.microsoft.com/office/drawing/2014/main" id="{1873F334-96B1-7E4F-BE36-EF67E2465BC4}"/>
                </a:ext>
              </a:extLst>
            </xdr:cNvPr>
            <xdr:cNvSpPr txBox="1"/>
          </xdr:nvSpPr>
          <xdr:spPr>
            <a:xfrm>
              <a:off x="1269997" y="8149169"/>
              <a:ext cx="1462580" cy="3915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i="0">
                  <a:solidFill>
                    <a:schemeClr val="tx1"/>
                  </a:solidFill>
                  <a:effectLst/>
                  <a:latin typeface="+mn-lt"/>
                  <a:ea typeface="+mn-ea"/>
                  <a:cs typeface="+mn-cs"/>
                </a:rPr>
                <a:t>𝑅^𝑙𝑖𝑚&amp;→  〖𝑆𝑒𝑣𝑒𝑟𝑖𝑡𝑦〗^𝑙𝑖𝑚𝑖𝑡𝑒𝑑/〖𝑆𝑒𝑣𝑒𝑟𝑖𝑡𝑦〗^𝑢𝑛𝑙𝑖𝑚𝑖𝑡𝑒𝑑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179917</xdr:colOff>
      <xdr:row>48</xdr:row>
      <xdr:rowOff>137582</xdr:rowOff>
    </xdr:from>
    <xdr:to>
      <xdr:col>3</xdr:col>
      <xdr:colOff>402167</xdr:colOff>
      <xdr:row>49</xdr:row>
      <xdr:rowOff>200931</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BBE34964-E1AF-B141-99C8-8351B00A25E5}"/>
                </a:ext>
              </a:extLst>
            </xdr:cNvPr>
            <xdr:cNvSpPr txBox="1"/>
          </xdr:nvSpPr>
          <xdr:spPr>
            <a:xfrm>
              <a:off x="1005417" y="9969499"/>
              <a:ext cx="1873250" cy="2750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𝑋𝑆𝐿𝐷𝐹</m:t>
                    </m:r>
                  </m:oMath>
                </m:oMathPara>
              </a14:m>
              <a:endParaRPr lang="en-US"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BBE34964-E1AF-B141-99C8-8351B00A25E5}"/>
                </a:ext>
              </a:extLst>
            </xdr:cNvPr>
            <xdr:cNvSpPr txBox="1"/>
          </xdr:nvSpPr>
          <xdr:spPr>
            <a:xfrm>
              <a:off x="1005417" y="9969499"/>
              <a:ext cx="1873250" cy="27501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〖𝑈𝑙𝑡〗^𝑒𝑥𝑐𝑒𝑠𝑠=〖𝐿𝑜𝑠𝑠〗^𝑒𝑥𝑐𝑒𝑠𝑠×𝑋𝑆𝐿𝐷𝐹</a:t>
              </a:r>
              <a:endParaRPr lang="en-US" sz="1100">
                <a:solidFill>
                  <a:schemeClr val="tx1"/>
                </a:solidFill>
                <a:effectLst/>
                <a:latin typeface="+mn-lt"/>
                <a:ea typeface="+mn-ea"/>
                <a:cs typeface="+mn-cs"/>
              </a:endParaRPr>
            </a:p>
          </xdr:txBody>
        </xdr:sp>
      </mc:Fallback>
    </mc:AlternateContent>
    <xdr:clientData/>
  </xdr:twoCellAnchor>
  <xdr:oneCellAnchor>
    <xdr:from>
      <xdr:col>1</xdr:col>
      <xdr:colOff>179916</xdr:colOff>
      <xdr:row>51</xdr:row>
      <xdr:rowOff>10586</xdr:rowOff>
    </xdr:from>
    <xdr:ext cx="2885855" cy="17209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A025986-D4AC-6D40-A3F7-A0C5207A064D}"/>
                </a:ext>
              </a:extLst>
            </xdr:cNvPr>
            <xdr:cNvSpPr txBox="1"/>
          </xdr:nvSpPr>
          <xdr:spPr>
            <a:xfrm>
              <a:off x="1005416" y="10466919"/>
              <a:ext cx="288585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2"/>
                        </m:argPr>
                        <m:r>
                          <a:rPr lang="en-US" sz="1100" i="1">
                            <a:solidFill>
                              <a:schemeClr val="tx1"/>
                            </a:solidFill>
                            <a:effectLst/>
                            <a:latin typeface="Cambria Math" panose="02040503050406030204" pitchFamily="18" charset="0"/>
                            <a:ea typeface="+mn-ea"/>
                            <a:cs typeface="+mn-cs"/>
                          </a:rPr>
                          <m:t>𝑢𝑛𝑙𝑖𝑚𝑖𝑡𝑒𝑑</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2"/>
                        </m:argPr>
                        <m:r>
                          <a:rPr lang="en-US" sz="1100" i="1">
                            <a:solidFill>
                              <a:schemeClr val="tx1"/>
                            </a:solidFill>
                            <a:effectLst/>
                            <a:latin typeface="Cambria Math" panose="02040503050406030204" pitchFamily="18" charset="0"/>
                            <a:ea typeface="+mn-ea"/>
                            <a:cs typeface="+mn-cs"/>
                          </a:rPr>
                          <m:t>𝑙𝑖𝑚𝑖𝑡𝑒𝑑</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𝑋𝑆𝐿𝐷𝐹</m:t>
                        </m:r>
                      </m:e>
                      <m:sup>
                        <m:argPr>
                          <m:argSz m:val="-1"/>
                        </m:argPr>
                        <m:r>
                          <a:rPr lang="en-US" sz="1100" i="1">
                            <a:solidFill>
                              <a:schemeClr val="tx1"/>
                            </a:solidFill>
                            <a:effectLst/>
                            <a:latin typeface="Cambria Math" panose="02040503050406030204" pitchFamily="18" charset="0"/>
                            <a:ea typeface="+mn-ea"/>
                            <a:cs typeface="+mn-cs"/>
                          </a:rPr>
                          <m:t>𝑙𝑖𝑚</m:t>
                        </m:r>
                      </m:sup>
                    </m:sSup>
                    <m:r>
                      <m:rPr>
                        <m:nor/>
                      </m:rPr>
                      <a:rPr lang="en-US" i="0">
                        <a:effectLst/>
                      </a:rPr>
                      <m:t> </m:t>
                    </m:r>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5A025986-D4AC-6D40-A3F7-A0C5207A064D}"/>
                </a:ext>
              </a:extLst>
            </xdr:cNvPr>
            <xdr:cNvSpPr txBox="1"/>
          </xdr:nvSpPr>
          <xdr:spPr>
            <a:xfrm>
              <a:off x="1005416" y="10466919"/>
              <a:ext cx="288585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〖𝑈𝑙𝑡〗^𝑒𝑥𝑐𝑒𝑠𝑠=(〖𝐿𝑜𝑠𝑠〗^𝑢𝑛𝑙𝑖𝑚𝑖𝑡𝑒𝑑−〖𝐿𝑜𝑠𝑠〗^𝑙𝑖𝑚𝑖𝑡𝑒𝑑)×〖𝑋𝑆𝐿𝐷𝐹〗^𝑙𝑖𝑚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1</xdr:col>
      <xdr:colOff>328083</xdr:colOff>
      <xdr:row>42</xdr:row>
      <xdr:rowOff>52916</xdr:rowOff>
    </xdr:from>
    <xdr:ext cx="2372316" cy="17209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264905F-5349-E542-A9A6-C5F744563C32}"/>
                </a:ext>
              </a:extLst>
            </xdr:cNvPr>
            <xdr:cNvSpPr txBox="1"/>
          </xdr:nvSpPr>
          <xdr:spPr>
            <a:xfrm>
              <a:off x="1153583" y="8678333"/>
              <a:ext cx="237231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𝐿𝐷𝐹</m:t>
                        </m:r>
                      </m:e>
                      <m:sup>
                        <m:argPr>
                          <m:argSz m:val="-1"/>
                        </m:argPr>
                        <m:r>
                          <a:rPr lang="en-US" sz="1100" i="1">
                            <a:solidFill>
                              <a:schemeClr val="tx1"/>
                            </a:solidFill>
                            <a:effectLst/>
                            <a:latin typeface="Cambria Math" panose="02040503050406030204" pitchFamily="18" charset="0"/>
                            <a:ea typeface="+mn-ea"/>
                            <a:cs typeface="+mn-cs"/>
                          </a:rPr>
                          <m:t>𝑙𝑖𝑚</m:t>
                        </m:r>
                      </m:sup>
                    </m:sSup>
                    <m:r>
                      <m:rPr>
                        <m:aln/>
                      </m:rP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LDF</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for</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losses</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limited</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at</m:t>
                    </m:r>
                    <m:r>
                      <a:rPr lang="en-US" sz="1100">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m:t>
                    </m:r>
                    <m:r>
                      <m:rPr>
                        <m:nor/>
                      </m:rPr>
                      <a:rPr lang="en-US" i="0">
                        <a:effectLst/>
                      </a:rPr>
                      <m:t> </m:t>
                    </m:r>
                  </m:oMath>
                </m:oMathPara>
              </a14:m>
              <a:endParaRPr lang="en-US" sz="1100">
                <a:solidFill>
                  <a:schemeClr val="tx1"/>
                </a:solidFill>
              </a:endParaRPr>
            </a:p>
          </xdr:txBody>
        </xdr:sp>
      </mc:Choice>
      <mc:Fallback xmlns="">
        <xdr:sp macro="" textlink="">
          <xdr:nvSpPr>
            <xdr:cNvPr id="8" name="TextBox 7">
              <a:extLst>
                <a:ext uri="{FF2B5EF4-FFF2-40B4-BE49-F238E27FC236}">
                  <a16:creationId xmlns:a16="http://schemas.microsoft.com/office/drawing/2014/main" id="{2264905F-5349-E542-A9A6-C5F744563C32}"/>
                </a:ext>
              </a:extLst>
            </xdr:cNvPr>
            <xdr:cNvSpPr txBox="1"/>
          </xdr:nvSpPr>
          <xdr:spPr>
            <a:xfrm>
              <a:off x="1153583" y="8678333"/>
              <a:ext cx="2372316"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〖𝐿𝐷𝐹〗^𝑙𝑖𝑚&amp;→LDF for losses limited at 𝑙𝑖𝑚</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oneCellAnchor>
    <xdr:from>
      <xdr:col>1</xdr:col>
      <xdr:colOff>148167</xdr:colOff>
      <xdr:row>43</xdr:row>
      <xdr:rowOff>137584</xdr:rowOff>
    </xdr:from>
    <xdr:ext cx="2564100" cy="17209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6C01286-3F93-DF4D-ADEA-4BAD8277F826}"/>
                </a:ext>
              </a:extLst>
            </xdr:cNvPr>
            <xdr:cNvSpPr txBox="1"/>
          </xdr:nvSpPr>
          <xdr:spPr>
            <a:xfrm>
              <a:off x="973667" y="8964084"/>
              <a:ext cx="256410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𝑋𝑆𝐿𝐷𝐹</m:t>
                        </m:r>
                      </m:e>
                      <m:sup>
                        <m:argPr>
                          <m:argSz m:val="-1"/>
                        </m:argPr>
                        <m:r>
                          <a:rPr lang="en-US" sz="1100" i="1">
                            <a:solidFill>
                              <a:schemeClr val="tx1"/>
                            </a:solidFill>
                            <a:effectLst/>
                            <a:latin typeface="Cambria Math" panose="02040503050406030204" pitchFamily="18" charset="0"/>
                            <a:ea typeface="+mn-ea"/>
                            <a:cs typeface="+mn-cs"/>
                          </a:rPr>
                          <m:t>𝑙𝑖𝑚</m:t>
                        </m:r>
                      </m:sup>
                    </m:sSup>
                    <m:r>
                      <m:rPr>
                        <m:aln/>
                      </m:rP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LDF</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for</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losses</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exceeding</m:t>
                    </m:r>
                    <m:r>
                      <a:rPr lang="en-US" sz="1100">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m:t>
                    </m:r>
                    <m:r>
                      <m:rPr>
                        <m:nor/>
                      </m:rPr>
                      <a:rPr lang="en-US" i="0">
                        <a:effectLst/>
                      </a:rPr>
                      <m:t> </m:t>
                    </m:r>
                  </m:oMath>
                </m:oMathPara>
              </a14:m>
              <a:endParaRPr lang="en-US" sz="1100">
                <a:solidFill>
                  <a:schemeClr val="tx1"/>
                </a:solidFill>
              </a:endParaRPr>
            </a:p>
          </xdr:txBody>
        </xdr:sp>
      </mc:Choice>
      <mc:Fallback xmlns="">
        <xdr:sp macro="" textlink="">
          <xdr:nvSpPr>
            <xdr:cNvPr id="9" name="TextBox 8">
              <a:extLst>
                <a:ext uri="{FF2B5EF4-FFF2-40B4-BE49-F238E27FC236}">
                  <a16:creationId xmlns:a16="http://schemas.microsoft.com/office/drawing/2014/main" id="{06C01286-3F93-DF4D-ADEA-4BAD8277F826}"/>
                </a:ext>
              </a:extLst>
            </xdr:cNvPr>
            <xdr:cNvSpPr txBox="1"/>
          </xdr:nvSpPr>
          <xdr:spPr>
            <a:xfrm>
              <a:off x="973667" y="8964084"/>
              <a:ext cx="2564100"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〖𝑋𝑆𝐿𝐷𝐹〗^𝑙𝑖𝑚&amp;→LDF for losses exceeding 𝑙𝑖𝑚</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222249</xdr:colOff>
      <xdr:row>27</xdr:row>
      <xdr:rowOff>116417</xdr:rowOff>
    </xdr:from>
    <xdr:to>
      <xdr:col>3</xdr:col>
      <xdr:colOff>211666</xdr:colOff>
      <xdr:row>29</xdr:row>
      <xdr:rowOff>179917</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D9CFF08-C10A-CA41-B197-91D421318FAF}"/>
                </a:ext>
              </a:extLst>
            </xdr:cNvPr>
            <xdr:cNvSpPr txBox="1"/>
          </xdr:nvSpPr>
          <xdr:spPr>
            <a:xfrm>
              <a:off x="1047749" y="5736167"/>
              <a:ext cx="1640417" cy="46566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𝑋𝑆𝐿𝐷𝐹</m:t>
                        </m:r>
                      </m:e>
                      <m:sub>
                        <m:argPr>
                          <m:argSz m:val="-2"/>
                        </m:argPr>
                        <m:r>
                          <a:rPr lang="en-US"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2"/>
                        </m:argPr>
                        <m:r>
                          <a:rPr lang="en-US"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𝑅</m:t>
                                </m:r>
                              </m:e>
                              <m:sup>
                                <m:argPr>
                                  <m:argSz m:val="-2"/>
                                </m:argPr>
                                <m:r>
                                  <a:rPr lang="en-US" sz="1100" i="1">
                                    <a:solidFill>
                                      <a:schemeClr val="tx1"/>
                                    </a:solidFill>
                                    <a:effectLst/>
                                    <a:latin typeface="Cambria Math" panose="02040503050406030204" pitchFamily="18" charset="0"/>
                                    <a:ea typeface="+mn-ea"/>
                                    <a:cs typeface="+mn-cs"/>
                                  </a:rPr>
                                  <m:t>𝐿</m:t>
                                </m:r>
                              </m:sup>
                            </m:sSup>
                          </m:e>
                        </m:d>
                      </m:num>
                      <m:den>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argPr>
                                  <m:argSz m:val="-2"/>
                                </m:argPr>
                                <m:r>
                                  <a:rPr lang="en-US" sz="1100" i="1">
                                    <a:solidFill>
                                      <a:schemeClr val="tx1"/>
                                    </a:solidFill>
                                    <a:effectLst/>
                                    <a:latin typeface="Cambria Math" panose="02040503050406030204" pitchFamily="18" charset="0"/>
                                    <a:ea typeface="+mn-ea"/>
                                    <a:cs typeface="+mn-cs"/>
                                  </a:rPr>
                                  <m:t>𝑡</m:t>
                                </m:r>
                              </m:sub>
                              <m:sup>
                                <m:argPr>
                                  <m:argSz m:val="-2"/>
                                </m:argPr>
                                <m:r>
                                  <a:rPr lang="en-US" sz="1100" i="1">
                                    <a:solidFill>
                                      <a:schemeClr val="tx1"/>
                                    </a:solidFill>
                                    <a:effectLst/>
                                    <a:latin typeface="Cambria Math" panose="02040503050406030204" pitchFamily="18" charset="0"/>
                                    <a:ea typeface="+mn-ea"/>
                                    <a:cs typeface="+mn-cs"/>
                                  </a:rPr>
                                  <m:t>𝐿</m:t>
                                </m:r>
                              </m:sup>
                            </m:sSubSup>
                          </m:e>
                        </m:d>
                      </m:den>
                    </m:f>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0D9CFF08-C10A-CA41-B197-91D421318FAF}"/>
                </a:ext>
              </a:extLst>
            </xdr:cNvPr>
            <xdr:cNvSpPr txBox="1"/>
          </xdr:nvSpPr>
          <xdr:spPr>
            <a:xfrm>
              <a:off x="1047749" y="5736167"/>
              <a:ext cx="1640417" cy="46566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〖𝑋𝑆𝐿𝐷𝐹〗_𝑡=〖𝐿𝐷𝐹〗_𝑡×((1−𝑅^𝐿 ))/((1−𝑅_𝑡^𝐿 ) )</a:t>
              </a:r>
              <a:endParaRPr lang="en-US" sz="1100">
                <a:solidFill>
                  <a:schemeClr val="tx1"/>
                </a:solidFill>
                <a:effectLst/>
                <a:latin typeface="+mn-lt"/>
                <a:ea typeface="+mn-ea"/>
                <a:cs typeface="+mn-cs"/>
              </a:endParaRPr>
            </a:p>
          </xdr:txBody>
        </xdr:sp>
      </mc:Fallback>
    </mc:AlternateContent>
    <xdr:clientData/>
  </xdr:twoCellAnchor>
  <xdr:oneCellAnchor>
    <xdr:from>
      <xdr:col>3</xdr:col>
      <xdr:colOff>804332</xdr:colOff>
      <xdr:row>27</xdr:row>
      <xdr:rowOff>158751</xdr:rowOff>
    </xdr:from>
    <xdr:ext cx="4115036" cy="35137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CCB64AE-D7FE-1B41-9AC9-3C3986144384}"/>
                </a:ext>
              </a:extLst>
            </xdr:cNvPr>
            <xdr:cNvSpPr txBox="1"/>
          </xdr:nvSpPr>
          <xdr:spPr>
            <a:xfrm>
              <a:off x="3280832" y="5778501"/>
              <a:ext cx="4115036" cy="3513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𝑋𝑆𝐿𝐷𝐹</m:t>
                        </m:r>
                      </m:e>
                      <m:sub>
                        <m:argPr>
                          <m:argSz m:val="-2"/>
                        </m:argP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𝑢𝑙𝑡</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𝐶𝐷𝐹</m:t>
                        </m:r>
                      </m:e>
                      <m:sub>
                        <m:argPr>
                          <m:argSz m:val="-1"/>
                        </m:argP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𝑢𝑙𝑡</m:t>
                        </m:r>
                      </m:sub>
                      <m:sup>
                        <m:argPr>
                          <m:argSz m:val="-1"/>
                        </m:argPr>
                        <m:r>
                          <a:rPr lang="en-US" sz="1100" i="1">
                            <a:solidFill>
                              <a:schemeClr val="tx1"/>
                            </a:solidFill>
                            <a:effectLst/>
                            <a:latin typeface="Cambria Math" panose="02040503050406030204" pitchFamily="18" charset="0"/>
                            <a:ea typeface="+mn-ea"/>
                            <a:cs typeface="+mn-cs"/>
                          </a:rPr>
                          <m:t>𝑢𝑛𝑙𝑖𝑚𝑖𝑡𝑒𝑑</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𝑅𝑒𝑙𝑎𝑡𝑖𝑣𝑖𝑡𝑦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m:t>
                        </m:r>
                      </m:num>
                      <m:den>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𝑅𝑒𝑙𝑎𝑡𝑖𝑣𝑖𝑡𝑦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m:t>
                            </m:r>
                          </m:e>
                        </m:d>
                      </m:den>
                    </m:f>
                  </m:oMath>
                </m:oMathPara>
              </a14:m>
              <a:endParaRPr lang="en-US"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4CCB64AE-D7FE-1B41-9AC9-3C3986144384}"/>
                </a:ext>
              </a:extLst>
            </xdr:cNvPr>
            <xdr:cNvSpPr txBox="1"/>
          </xdr:nvSpPr>
          <xdr:spPr>
            <a:xfrm>
              <a:off x="3280832" y="5778501"/>
              <a:ext cx="4115036" cy="3513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〖𝑋𝑆𝐿𝐷𝐹〗_(𝑡−𝑢𝑙𝑡)=〖𝐶𝐷𝐹〗_(𝑡−𝑢𝑙𝑡)^𝑢𝑛𝑙𝑖𝑚𝑖𝑡𝑒𝑑×((1−𝐿𝑖𝑚𝑖𝑡𝑒𝑑 𝑆𝑒𝑣𝑒𝑟𝑖𝑡𝑦 𝑅𝑒𝑙𝑎𝑡𝑖𝑣𝑖𝑡𝑦 𝑎𝑡 𝑈𝑙𝑡))/((1−𝐿𝑖𝑚𝑖𝑡𝑒𝑑 𝑆𝑒𝑣𝑒𝑟𝑖𝑡𝑦 𝑅𝑒𝑙𝑎𝑡𝑖𝑣𝑖𝑡𝑦 𝑎𝑡 𝑡) )</a:t>
              </a:r>
              <a:endParaRPr lang="en-US" sz="1100">
                <a:solidFill>
                  <a:schemeClr val="tx1"/>
                </a:solidFill>
                <a:effectLst/>
                <a:latin typeface="+mn-lt"/>
                <a:ea typeface="+mn-ea"/>
                <a:cs typeface="+mn-cs"/>
              </a:endParaRPr>
            </a:p>
          </xdr:txBody>
        </xdr:sp>
      </mc:Fallback>
    </mc:AlternateContent>
    <xdr:clientData/>
  </xdr:oneCellAnchor>
  <xdr:twoCellAnchor>
    <xdr:from>
      <xdr:col>1</xdr:col>
      <xdr:colOff>264582</xdr:colOff>
      <xdr:row>38</xdr:row>
      <xdr:rowOff>137583</xdr:rowOff>
    </xdr:from>
    <xdr:to>
      <xdr:col>3</xdr:col>
      <xdr:colOff>571499</xdr:colOff>
      <xdr:row>39</xdr:row>
      <xdr:rowOff>200931</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D4FB330F-1A27-E947-9228-1853AFA46918}"/>
                </a:ext>
              </a:extLst>
            </xdr:cNvPr>
            <xdr:cNvSpPr txBox="1"/>
          </xdr:nvSpPr>
          <xdr:spPr>
            <a:xfrm>
              <a:off x="1090082" y="7969250"/>
              <a:ext cx="195791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2"/>
                            </m:argPr>
                            <m:r>
                              <a:rPr lang="en-US" sz="1100" i="1">
                                <a:solidFill>
                                  <a:schemeClr val="tx1"/>
                                </a:solidFill>
                                <a:effectLst/>
                                <a:latin typeface="Cambria Math" panose="02040503050406030204" pitchFamily="18" charset="0"/>
                                <a:ea typeface="+mn-ea"/>
                                <a:cs typeface="+mn-cs"/>
                              </a:rPr>
                              <m:t>𝑒𝑥𝑐𝑒𝑠𝑠</m:t>
                            </m:r>
                          </m:sup>
                        </m:sSup>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𝑃𝑟𝑒𝑚</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𝐸𝐿𝑅</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𝜒</m:t>
                    </m:r>
                  </m:oMath>
                </m:oMathPara>
              </a14:m>
              <a:endParaRPr lang="en-US" sz="1100">
                <a:solidFill>
                  <a:schemeClr val="tx1"/>
                </a:solidFill>
                <a:effectLst/>
                <a:latin typeface="+mn-lt"/>
                <a:ea typeface="+mn-ea"/>
                <a:cs typeface="+mn-cs"/>
              </a:endParaRPr>
            </a:p>
          </xdr:txBody>
        </xdr:sp>
      </mc:Choice>
      <mc:Fallback xmlns="">
        <xdr:sp macro="" textlink="">
          <xdr:nvSpPr>
            <xdr:cNvPr id="5" name="TextBox 2">
              <a:extLst>
                <a:ext uri="{FF2B5EF4-FFF2-40B4-BE49-F238E27FC236}">
                  <a16:creationId xmlns:a16="http://schemas.microsoft.com/office/drawing/2014/main" id="{D4FB330F-1A27-E947-9228-1853AFA46918}"/>
                </a:ext>
              </a:extLst>
            </xdr:cNvPr>
            <xdr:cNvSpPr txBox="1"/>
          </xdr:nvSpPr>
          <xdr:spPr>
            <a:xfrm>
              <a:off x="1090082" y="7969250"/>
              <a:ext cx="195791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E[〖𝐿𝑜𝑠𝑠〗^𝑒𝑥𝑐𝑒𝑠𝑠 ]=𝑃𝑟𝑒𝑚×𝐸𝐿𝑅×𝜒</a:t>
              </a:r>
              <a:endParaRPr lang="en-US" sz="1100">
                <a:solidFill>
                  <a:schemeClr val="tx1"/>
                </a:solidFill>
                <a:effectLst/>
                <a:latin typeface="+mn-lt"/>
                <a:ea typeface="+mn-ea"/>
                <a:cs typeface="+mn-cs"/>
              </a:endParaRPr>
            </a:p>
          </xdr:txBody>
        </xdr:sp>
      </mc:Fallback>
    </mc:AlternateContent>
    <xdr:clientData/>
  </xdr:twoCellAnchor>
  <xdr:oneCellAnchor>
    <xdr:from>
      <xdr:col>4</xdr:col>
      <xdr:colOff>116414</xdr:colOff>
      <xdr:row>38</xdr:row>
      <xdr:rowOff>158752</xdr:rowOff>
    </xdr:from>
    <xdr:ext cx="2546787" cy="17209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C5E4332-610A-E34F-8DC8-DA63BF393EB2}"/>
                </a:ext>
              </a:extLst>
            </xdr:cNvPr>
            <xdr:cNvSpPr txBox="1"/>
          </xdr:nvSpPr>
          <xdr:spPr>
            <a:xfrm>
              <a:off x="3418414" y="7990419"/>
              <a:ext cx="254678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𝜒</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per</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occurrence</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charge</m:t>
                    </m:r>
                    <m:r>
                      <a:rPr lang="en-US" sz="1100">
                        <a:solidFill>
                          <a:schemeClr val="tx1"/>
                        </a:solidFill>
                        <a:effectLst/>
                        <a:latin typeface="Cambria Math" panose="02040503050406030204" pitchFamily="18" charset="0"/>
                        <a:ea typeface="+mn-ea"/>
                        <a:cs typeface="+mn-cs"/>
                      </a:rPr>
                      <m:t> </m:t>
                    </m:r>
                    <m:d>
                      <m:dPr>
                        <m:ctrlPr>
                          <a:rPr lang="en-US" sz="1100" i="1">
                            <a:solidFill>
                              <a:schemeClr val="tx1"/>
                            </a:solidFill>
                            <a:effectLst/>
                            <a:latin typeface="Cambria Math" panose="02040503050406030204" pitchFamily="18" charset="0"/>
                            <a:ea typeface="+mn-ea"/>
                            <a:cs typeface="+mn-cs"/>
                          </a:rPr>
                        </m:ctrlPr>
                      </m:dPr>
                      <m:e>
                        <m:r>
                          <m:rPr>
                            <m:sty m:val="p"/>
                          </m:rPr>
                          <a:rPr lang="en-US" sz="1100">
                            <a:solidFill>
                              <a:schemeClr val="tx1"/>
                            </a:solidFill>
                            <a:effectLst/>
                            <a:latin typeface="Cambria Math" panose="02040503050406030204" pitchFamily="18" charset="0"/>
                            <a:ea typeface="+mn-ea"/>
                            <a:cs typeface="+mn-cs"/>
                          </a:rPr>
                          <m:t>excess</m:t>
                        </m:r>
                        <m:r>
                          <a:rPr lang="en-US" sz="1100">
                            <a:solidFill>
                              <a:schemeClr val="tx1"/>
                            </a:solidFill>
                            <a:effectLst/>
                            <a:latin typeface="Cambria Math" panose="02040503050406030204" pitchFamily="18" charset="0"/>
                            <a:ea typeface="+mn-ea"/>
                            <a:cs typeface="+mn-cs"/>
                          </a:rPr>
                          <m:t> </m:t>
                        </m:r>
                        <m:r>
                          <m:rPr>
                            <m:sty m:val="p"/>
                          </m:rPr>
                          <a:rPr lang="en-US" sz="1100">
                            <a:solidFill>
                              <a:schemeClr val="tx1"/>
                            </a:solidFill>
                            <a:effectLst/>
                            <a:latin typeface="Cambria Math" panose="02040503050406030204" pitchFamily="18" charset="0"/>
                            <a:ea typeface="+mn-ea"/>
                            <a:cs typeface="+mn-cs"/>
                          </a:rPr>
                          <m:t>ratio</m:t>
                        </m:r>
                      </m:e>
                    </m:d>
                    <m:r>
                      <m:rPr>
                        <m:nor/>
                      </m:rPr>
                      <a:rPr lang="en-US" i="0">
                        <a:effectLst/>
                      </a:rPr>
                      <m:t> </m:t>
                    </m:r>
                  </m:oMath>
                </m:oMathPara>
              </a14:m>
              <a:endParaRPr lang="en-US" sz="1100">
                <a:solidFill>
                  <a:schemeClr val="tx1"/>
                </a:solidFill>
              </a:endParaRPr>
            </a:p>
          </xdr:txBody>
        </xdr:sp>
      </mc:Choice>
      <mc:Fallback xmlns="">
        <xdr:sp macro="" textlink="">
          <xdr:nvSpPr>
            <xdr:cNvPr id="6" name="TextBox 5">
              <a:extLst>
                <a:ext uri="{FF2B5EF4-FFF2-40B4-BE49-F238E27FC236}">
                  <a16:creationId xmlns:a16="http://schemas.microsoft.com/office/drawing/2014/main" id="{4C5E4332-610A-E34F-8DC8-DA63BF393EB2}"/>
                </a:ext>
              </a:extLst>
            </xdr:cNvPr>
            <xdr:cNvSpPr txBox="1"/>
          </xdr:nvSpPr>
          <xdr:spPr>
            <a:xfrm>
              <a:off x="3418414" y="7990419"/>
              <a:ext cx="2546787"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𝜒→per occurrence charge (excess ratio)</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328083</xdr:colOff>
      <xdr:row>46</xdr:row>
      <xdr:rowOff>158750</xdr:rowOff>
    </xdr:from>
    <xdr:to>
      <xdr:col>2</xdr:col>
      <xdr:colOff>508000</xdr:colOff>
      <xdr:row>48</xdr:row>
      <xdr:rowOff>167016</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D66D8DC4-A622-D748-8A72-68BA2BBE6C47}"/>
                </a:ext>
              </a:extLst>
            </xdr:cNvPr>
            <xdr:cNvSpPr txBox="1"/>
          </xdr:nvSpPr>
          <xdr:spPr>
            <a:xfrm>
              <a:off x="1153583" y="10001250"/>
              <a:ext cx="1005417" cy="4104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𝑍</m:t>
                        </m:r>
                      </m:e>
                      <m:sub>
                        <m:argPr>
                          <m:argSz m:val="-2"/>
                        </m:argPr>
                        <m:r>
                          <a:rPr lang="en-US" sz="1100" i="1">
                            <a:solidFill>
                              <a:schemeClr val="tx1"/>
                            </a:solidFill>
                            <a:effectLst/>
                            <a:latin typeface="Cambria Math" panose="02040503050406030204" pitchFamily="18" charset="0"/>
                            <a:ea typeface="+mn-ea"/>
                            <a:cs typeface="+mn-cs"/>
                          </a:rPr>
                          <m:t>𝐵𝐹</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en-US" sz="1100" i="1">
                            <a:solidFill>
                              <a:schemeClr val="tx1"/>
                            </a:solidFill>
                            <a:effectLst/>
                            <a:latin typeface="Cambria Math" panose="02040503050406030204" pitchFamily="18" charset="0"/>
                            <a:ea typeface="+mn-ea"/>
                            <a:cs typeface="+mn-cs"/>
                          </a:rPr>
                          <m:t>𝑋𝑆𝐿𝐷𝐹</m:t>
                        </m:r>
                      </m:den>
                    </m:f>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D66D8DC4-A622-D748-8A72-68BA2BBE6C47}"/>
                </a:ext>
              </a:extLst>
            </xdr:cNvPr>
            <xdr:cNvSpPr txBox="1"/>
          </xdr:nvSpPr>
          <xdr:spPr>
            <a:xfrm>
              <a:off x="1153583" y="10001250"/>
              <a:ext cx="1005417" cy="4104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𝑍_𝐵𝐹=1/𝑋𝑆𝐿𝐷𝐹</a:t>
              </a:r>
              <a:endParaRPr lang="en-US" sz="1100">
                <a:solidFill>
                  <a:schemeClr val="tx1"/>
                </a:solidFill>
                <a:effectLst/>
                <a:latin typeface="+mn-lt"/>
                <a:ea typeface="+mn-ea"/>
                <a:cs typeface="+mn-cs"/>
              </a:endParaRPr>
            </a:p>
          </xdr:txBody>
        </xdr:sp>
      </mc:Fallback>
    </mc:AlternateContent>
    <xdr:clientData/>
  </xdr:twoCellAnchor>
  <xdr:oneCellAnchor>
    <xdr:from>
      <xdr:col>3</xdr:col>
      <xdr:colOff>518582</xdr:colOff>
      <xdr:row>49</xdr:row>
      <xdr:rowOff>42335</xdr:rowOff>
    </xdr:from>
    <xdr:ext cx="3546548" cy="17209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5F29A8F-02DB-0C44-98E8-D2878389DEDE}"/>
                </a:ext>
              </a:extLst>
            </xdr:cNvPr>
            <xdr:cNvSpPr txBox="1"/>
          </xdr:nvSpPr>
          <xdr:spPr>
            <a:xfrm>
              <a:off x="2995082" y="10488085"/>
              <a:ext cx="354654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𝐶𝑟𝑒𝑑</m:t>
                    </m:r>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2"/>
                        </m:argPr>
                        <m:r>
                          <a:rPr lang="en-US" sz="1100" i="1">
                            <a:solidFill>
                              <a:schemeClr val="tx1"/>
                            </a:solidFill>
                            <a:effectLst/>
                            <a:latin typeface="Cambria Math" panose="02040503050406030204" pitchFamily="18" charset="0"/>
                            <a:ea typeface="+mn-ea"/>
                            <a:cs typeface="+mn-cs"/>
                          </a:rPr>
                          <m:t>𝐷𝑖𝑟𝑒𝑐𝑡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𝐷𝑒𝑣</m:t>
                        </m:r>
                        <m:r>
                          <a:rPr lang="en-US" sz="1100" i="1">
                            <a:solidFill>
                              <a:schemeClr val="tx1"/>
                            </a:solidFill>
                            <a:effectLst/>
                            <a:latin typeface="Cambria Math" panose="02040503050406030204" pitchFamily="18" charset="0"/>
                            <a:ea typeface="+mn-ea"/>
                            <a:cs typeface="+mn-cs"/>
                          </a:rPr>
                          <m:t>.</m:t>
                        </m:r>
                      </m:sub>
                    </m:sSub>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𝐶𝑟𝑒𝑑</m:t>
                        </m:r>
                      </m:e>
                    </m:d>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𝑈𝑙𝑡</m:t>
                        </m:r>
                      </m:e>
                      <m:sub>
                        <m:argPr>
                          <m:argSz m:val="-2"/>
                        </m:argP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𝑀𝑒𝑡h𝑜𝑑</m:t>
                        </m:r>
                      </m:sub>
                    </m:sSub>
                  </m:oMath>
                </m:oMathPara>
              </a14:m>
              <a:endParaRPr lang="en-US"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C5F29A8F-02DB-0C44-98E8-D2878389DEDE}"/>
                </a:ext>
              </a:extLst>
            </xdr:cNvPr>
            <xdr:cNvSpPr txBox="1"/>
          </xdr:nvSpPr>
          <xdr:spPr>
            <a:xfrm>
              <a:off x="2995082" y="10488085"/>
              <a:ext cx="354654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〖𝑈𝑙𝑡〗^𝑒𝑥𝑐𝑒𝑠𝑠=𝐶𝑟𝑒𝑑×〖𝑈𝑙𝑡〗_(𝐷𝑖𝑟𝑒𝑐𝑡 𝐷𝑒𝑣.)+(1−𝐶𝑟𝑒𝑑)×〖𝑈𝑙𝑡〗_(𝐿𝑜𝑠𝑠 𝑅𝑎𝑡𝑖𝑜 𝑀𝑒𝑡ℎ𝑜𝑑)</a:t>
              </a:r>
              <a:endParaRPr lang="en-US" sz="1100">
                <a:solidFill>
                  <a:schemeClr val="tx1"/>
                </a:solidFill>
                <a:effectLst/>
                <a:latin typeface="+mn-lt"/>
                <a:ea typeface="+mn-ea"/>
                <a:cs typeface="+mn-cs"/>
              </a:endParaRPr>
            </a:p>
          </xdr:txBody>
        </xdr:sp>
      </mc:Fallback>
    </mc:AlternateContent>
    <xdr:clientData/>
  </xdr:oneCellAnchor>
  <xdr:twoCellAnchor>
    <xdr:from>
      <xdr:col>3</xdr:col>
      <xdr:colOff>508000</xdr:colOff>
      <xdr:row>47</xdr:row>
      <xdr:rowOff>10584</xdr:rowOff>
    </xdr:from>
    <xdr:to>
      <xdr:col>8</xdr:col>
      <xdr:colOff>222249</xdr:colOff>
      <xdr:row>48</xdr:row>
      <xdr:rowOff>73931</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1616CB79-4DC5-704B-A475-6876156F6551}"/>
                </a:ext>
              </a:extLst>
            </xdr:cNvPr>
            <xdr:cNvSpPr txBox="1"/>
          </xdr:nvSpPr>
          <xdr:spPr>
            <a:xfrm>
              <a:off x="2984500" y="9694334"/>
              <a:ext cx="3841749" cy="2644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2"/>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𝑋𝑆𝐿𝐷𝐹</m:t>
                        </m:r>
                      </m:e>
                    </m:d>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𝑍</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1"/>
                            </m:argPr>
                            <m:r>
                              <a:rPr lang="en-US" sz="1100" i="1">
                                <a:solidFill>
                                  <a:schemeClr val="tx1"/>
                                </a:solidFill>
                                <a:effectLst/>
                                <a:latin typeface="Cambria Math" panose="02040503050406030204" pitchFamily="18" charset="0"/>
                                <a:ea typeface="+mn-ea"/>
                                <a:cs typeface="+mn-cs"/>
                              </a:rPr>
                              <m:t>𝑒𝑥𝑐𝑒𝑠𝑠</m:t>
                            </m:r>
                          </m:sup>
                        </m:sSup>
                      </m:e>
                    </m:d>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1616CB79-4DC5-704B-A475-6876156F6551}"/>
                </a:ext>
              </a:extLst>
            </xdr:cNvPr>
            <xdr:cNvSpPr txBox="1"/>
          </xdr:nvSpPr>
          <xdr:spPr>
            <a:xfrm>
              <a:off x="2984500" y="9694334"/>
              <a:ext cx="3841749" cy="26443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〖𝑈𝑙𝑡〗^𝑒𝑥𝑐𝑒𝑠𝑠=𝑍×(〖𝐿𝑜𝑠𝑠〗^𝑒𝑥𝑐𝑒𝑠𝑠×𝑋𝑆𝐿𝐷𝐹)+(1−𝑍)×E[〖𝐿𝑜𝑠𝑠〗^𝑒𝑥𝑐𝑒𝑠𝑠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762001</xdr:colOff>
      <xdr:row>63</xdr:row>
      <xdr:rowOff>158750</xdr:rowOff>
    </xdr:from>
    <xdr:to>
      <xdr:col>6</xdr:col>
      <xdr:colOff>158750</xdr:colOff>
      <xdr:row>65</xdr:row>
      <xdr:rowOff>21167</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410C3517-C906-9F49-8BF9-277318A3B2EF}"/>
                </a:ext>
              </a:extLst>
            </xdr:cNvPr>
            <xdr:cNvSpPr txBox="1"/>
          </xdr:nvSpPr>
          <xdr:spPr>
            <a:xfrm>
              <a:off x="1587501" y="13197417"/>
              <a:ext cx="3524249" cy="264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𝑈𝑙𝑡</m:t>
                        </m:r>
                      </m:e>
                      <m:sub>
                        <m:argPr>
                          <m:argSz m:val="-1"/>
                        </m:argPr>
                        <m:r>
                          <a:rPr lang="en-US" sz="1100" i="1">
                            <a:solidFill>
                              <a:schemeClr val="tx1"/>
                            </a:solidFill>
                            <a:effectLst/>
                            <a:latin typeface="Cambria Math" panose="02040503050406030204" pitchFamily="18" charset="0"/>
                            <a:ea typeface="+mn-ea"/>
                            <a:cs typeface="+mn-cs"/>
                          </a:rPr>
                          <m:t>𝐵𝐹</m:t>
                        </m:r>
                      </m:sub>
                      <m:sup>
                        <m:argPr>
                          <m:argSz m:val="-1"/>
                        </m:argPr>
                        <m:r>
                          <a:rPr lang="en-US" sz="1100" i="1">
                            <a:solidFill>
                              <a:schemeClr val="tx1"/>
                            </a:solidFill>
                            <a:effectLst/>
                            <a:latin typeface="Cambria Math" panose="02040503050406030204" pitchFamily="18" charset="0"/>
                            <a:ea typeface="+mn-ea"/>
                            <a:cs typeface="+mn-cs"/>
                          </a:rPr>
                          <m:t>𝑒𝑥𝑐𝑒𝑠𝑠</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𝑡</m:t>
                        </m:r>
                      </m:sub>
                      <m:sup>
                        <m:argPr>
                          <m:argSz m:val="-1"/>
                        </m:argPr>
                        <m:r>
                          <a:rPr lang="en-US" sz="1100" i="1">
                            <a:solidFill>
                              <a:schemeClr val="tx1"/>
                            </a:solidFill>
                            <a:effectLst/>
                            <a:latin typeface="Cambria Math" panose="02040503050406030204" pitchFamily="18" charset="0"/>
                            <a:ea typeface="+mn-ea"/>
                            <a:cs typeface="+mn-cs"/>
                          </a:rPr>
                          <m:t>𝑒𝑥𝑐𝑒𝑠𝑠</m:t>
                        </m:r>
                      </m:sup>
                    </m:sSub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𝑅𝑒𝑝𝑜𝑟𝑡𝑒𝑑</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2"/>
                            </m:argPr>
                            <m:r>
                              <a:rPr lang="en-US" sz="1100" i="1">
                                <a:solidFill>
                                  <a:schemeClr val="tx1"/>
                                </a:solidFill>
                                <a:effectLst/>
                                <a:latin typeface="Cambria Math" panose="02040503050406030204" pitchFamily="18" charset="0"/>
                                <a:ea typeface="+mn-ea"/>
                                <a:cs typeface="+mn-cs"/>
                              </a:rPr>
                              <m:t>𝑒𝑥𝑐𝑒𝑠𝑠</m:t>
                            </m:r>
                          </m:sup>
                        </m:sSup>
                      </m:e>
                    </m:d>
                  </m:oMath>
                </m:oMathPara>
              </a14:m>
              <a:endParaRPr lang="en-US"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410C3517-C906-9F49-8BF9-277318A3B2EF}"/>
                </a:ext>
              </a:extLst>
            </xdr:cNvPr>
            <xdr:cNvSpPr txBox="1"/>
          </xdr:nvSpPr>
          <xdr:spPr>
            <a:xfrm>
              <a:off x="1587501" y="13197417"/>
              <a:ext cx="3524249" cy="264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〖𝑈𝑙𝑡〗_𝐵𝐹^𝑒𝑥𝑐𝑒𝑠𝑠=〖𝐿𝑜𝑠𝑠〗_𝑡^𝑒𝑥𝑐𝑒𝑠𝑠+(1−%𝑅𝑒𝑝𝑜𝑟𝑡𝑒𝑑)×𝐸[〖𝐿𝑜𝑠𝑠〗^𝑒𝑥𝑐𝑒𝑠𝑠 ]</a:t>
              </a:r>
              <a:endParaRPr lang="en-US" sz="1100">
                <a:solidFill>
                  <a:schemeClr val="tx1"/>
                </a:solidFill>
                <a:effectLst/>
                <a:latin typeface="+mn-lt"/>
                <a:ea typeface="+mn-ea"/>
                <a:cs typeface="+mn-cs"/>
              </a:endParaRP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1</xdr:col>
      <xdr:colOff>426101</xdr:colOff>
      <xdr:row>108</xdr:row>
      <xdr:rowOff>11315</xdr:rowOff>
    </xdr:from>
    <xdr:ext cx="5011115" cy="32848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251601" y="22405648"/>
              <a:ext cx="5011115" cy="3284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a:rPr lang="en-US" sz="1100" b="0" i="1">
                            <a:latin typeface="Cambria Math" panose="02040503050406030204" pitchFamily="18" charset="0"/>
                          </a:rPr>
                          <m:t>𝐸𝑥𝑝𝑒𝑐𝑡𝑒𝑑</m:t>
                        </m:r>
                        <m:r>
                          <a:rPr lang="en-US" sz="1100" b="0" i="1">
                            <a:latin typeface="Cambria Math" panose="02040503050406030204" pitchFamily="18" charset="0"/>
                          </a:rPr>
                          <m:t> </m:t>
                        </m:r>
                        <m:r>
                          <a:rPr lang="en-US" sz="1100" b="0" i="1">
                            <a:latin typeface="Cambria Math" panose="02040503050406030204" pitchFamily="18" charset="0"/>
                          </a:rPr>
                          <m:t>𝐷𝑒𝑣𝑒𝑙𝑜𝑝𝑚𝑒𝑛𝑡</m:t>
                        </m:r>
                      </m:e>
                      <m:sub>
                        <m:r>
                          <a:rPr lang="en-US" sz="1100" b="0" i="1">
                            <a:latin typeface="Cambria Math" panose="02040503050406030204" pitchFamily="18" charset="0"/>
                          </a:rPr>
                          <m:t>24−</m:t>
                        </m:r>
                        <m:r>
                          <a:rPr lang="en-US" sz="1100" b="0" i="1">
                            <a:latin typeface="Cambria Math" panose="02040503050406030204" pitchFamily="18" charset="0"/>
                          </a:rPr>
                          <m:t>𝑈𝑙𝑡</m:t>
                        </m:r>
                      </m:sub>
                    </m:sSub>
                    <m:r>
                      <a:rPr lang="en-US" sz="1100" b="0" i="1">
                        <a:latin typeface="Cambria Math" panose="02040503050406030204" pitchFamily="18" charset="0"/>
                      </a:rPr>
                      <m:t>%= </m:t>
                    </m:r>
                    <m:f>
                      <m:fPr>
                        <m:ctrlPr>
                          <a:rPr lang="en-US" sz="1100" b="0" i="1">
                            <a:latin typeface="Cambria Math" panose="02040503050406030204" pitchFamily="18" charset="0"/>
                          </a:rPr>
                        </m:ctrlPr>
                      </m:fPr>
                      <m:num>
                        <m:r>
                          <a:rPr lang="en-US" sz="1100" b="0" i="1">
                            <a:latin typeface="Cambria Math" panose="02040503050406030204" pitchFamily="18" charset="0"/>
                          </a:rPr>
                          <m:t>.8376</m:t>
                        </m:r>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1.143−1</m:t>
                            </m:r>
                          </m:e>
                        </m:d>
                        <m:r>
                          <a:rPr lang="en-US" sz="1100" b="0" i="1">
                            <a:latin typeface="Cambria Math" panose="02040503050406030204" pitchFamily="18" charset="0"/>
                            <a:ea typeface="Cambria Math" panose="02040503050406030204" pitchFamily="18" charset="0"/>
                          </a:rPr>
                          <m:t>+(1−.8376)×(1.832−1)</m:t>
                        </m:r>
                      </m:num>
                      <m:den>
                        <m:r>
                          <a:rPr lang="en-US" sz="1100" b="0" i="1">
                            <a:latin typeface="Cambria Math" panose="02040503050406030204" pitchFamily="18" charset="0"/>
                          </a:rPr>
                          <m:t>1.255</m:t>
                        </m:r>
                      </m:den>
                    </m:f>
                  </m:oMath>
                </m:oMathPara>
              </a14:m>
              <a:endParaRPr lang="en-US" sz="1100" b="0"/>
            </a:p>
          </xdr:txBody>
        </xdr:sp>
      </mc:Choice>
      <mc:Fallback xmlns="">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251601" y="22405648"/>
              <a:ext cx="5011115" cy="3284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𝐸𝑥𝑝𝑒𝑐𝑡𝑒𝑑 𝐷𝑒𝑣𝑒𝑙𝑜𝑝𝑚𝑒𝑛𝑡〗_(24−𝑈𝑙𝑡)%=  (.8376</a:t>
              </a:r>
              <a:r>
                <a:rPr lang="en-US" sz="1100" b="0" i="0">
                  <a:latin typeface="Cambria Math" panose="02040503050406030204" pitchFamily="18" charset="0"/>
                  <a:ea typeface="Cambria Math" panose="02040503050406030204" pitchFamily="18" charset="0"/>
                </a:rPr>
                <a:t>×(1.143−1)+(1−.8376)×(1.832−1))/</a:t>
              </a:r>
              <a:r>
                <a:rPr lang="en-US" sz="1100" b="0" i="0">
                  <a:latin typeface="Cambria Math" panose="02040503050406030204" pitchFamily="18" charset="0"/>
                </a:rPr>
                <a:t>1.255</a:t>
              </a:r>
              <a:endParaRPr lang="en-US" sz="1100" b="0"/>
            </a:p>
          </xdr:txBody>
        </xdr:sp>
      </mc:Fallback>
    </mc:AlternateContent>
    <xdr:clientData/>
  </xdr:oneCellAnchor>
  <xdr:twoCellAnchor>
    <xdr:from>
      <xdr:col>1</xdr:col>
      <xdr:colOff>179917</xdr:colOff>
      <xdr:row>32</xdr:row>
      <xdr:rowOff>137583</xdr:rowOff>
    </xdr:from>
    <xdr:to>
      <xdr:col>4</xdr:col>
      <xdr:colOff>338668</xdr:colOff>
      <xdr:row>34</xdr:row>
      <xdr:rowOff>178807</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7B3BE172-D994-984B-AC94-5A6E12F1B8A6}"/>
                </a:ext>
              </a:extLst>
            </xdr:cNvPr>
            <xdr:cNvSpPr txBox="1"/>
          </xdr:nvSpPr>
          <xdr:spPr>
            <a:xfrm>
              <a:off x="1005417" y="6741583"/>
              <a:ext cx="2688168" cy="44339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argPr>
                          <m:argSz m:val="-1"/>
                        </m:argPr>
                        <m:r>
                          <a:rPr lang="en-US" sz="1100" i="1">
                            <a:solidFill>
                              <a:schemeClr val="tx1"/>
                            </a:solidFill>
                            <a:effectLst/>
                            <a:latin typeface="Cambria Math" panose="02040503050406030204" pitchFamily="18" charset="0"/>
                            <a:ea typeface="+mn-ea"/>
                            <a:cs typeface="+mn-cs"/>
                          </a:rPr>
                          <m:t>𝑡</m:t>
                        </m:r>
                      </m:sub>
                      <m:sup>
                        <m:argPr>
                          <m:argSz m:val="-2"/>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m:t>
                        </m:r>
                      </m:num>
                      <m:den>
                        <m:r>
                          <a:rPr lang="en-US" sz="1100" i="1">
                            <a:solidFill>
                              <a:schemeClr val="tx1"/>
                            </a:solidFill>
                            <a:effectLst/>
                            <a:latin typeface="Cambria Math" panose="02040503050406030204" pitchFamily="18" charset="0"/>
                            <a:ea typeface="+mn-ea"/>
                            <a:cs typeface="+mn-cs"/>
                          </a:rPr>
                          <m:t>𝑈𝑛𝑙𝑖𝑚𝑖𝑡𝑒𝑑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m:t>
                        </m:r>
                      </m:den>
                    </m:f>
                  </m:oMath>
                </m:oMathPara>
              </a14:m>
              <a:endParaRPr lang="en-US"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7B3BE172-D994-984B-AC94-5A6E12F1B8A6}"/>
                </a:ext>
              </a:extLst>
            </xdr:cNvPr>
            <xdr:cNvSpPr txBox="1"/>
          </xdr:nvSpPr>
          <xdr:spPr>
            <a:xfrm>
              <a:off x="1005417" y="6741583"/>
              <a:ext cx="2688168" cy="44339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𝑅_𝑡^𝐿=(𝑆𝑒𝑣𝑒𝑟𝑖𝑡𝑦 𝐿𝑖𝑚𝑖𝑡𝑒𝑑 𝑡𝑜 𝑙𝑖𝑚𝑖𝑡 𝐿 𝑎𝑡 𝑎𝑔𝑒 𝑡)/(𝑈𝑛𝑙𝑖𝑚𝑖𝑡𝑒𝑑 𝑆𝑒𝑣𝑒𝑟𝑖𝑡𝑦 𝑎𝑡 𝑎𝑔𝑒 𝑡)</a:t>
              </a:r>
              <a:endParaRPr lang="en-US" sz="1100">
                <a:solidFill>
                  <a:schemeClr val="tx1"/>
                </a:solidFill>
                <a:effectLst/>
                <a:latin typeface="+mn-lt"/>
                <a:ea typeface="+mn-ea"/>
                <a:cs typeface="+mn-cs"/>
              </a:endParaRPr>
            </a:p>
          </xdr:txBody>
        </xdr:sp>
      </mc:Fallback>
    </mc:AlternateContent>
    <xdr:clientData/>
  </xdr:twoCellAnchor>
  <xdr:twoCellAnchor>
    <xdr:from>
      <xdr:col>1</xdr:col>
      <xdr:colOff>190499</xdr:colOff>
      <xdr:row>41</xdr:row>
      <xdr:rowOff>169333</xdr:rowOff>
    </xdr:from>
    <xdr:to>
      <xdr:col>3</xdr:col>
      <xdr:colOff>687917</xdr:colOff>
      <xdr:row>44</xdr:row>
      <xdr:rowOff>74812</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ABED30BE-805C-384C-ACB5-982EDC9F4D5A}"/>
                </a:ext>
              </a:extLst>
            </xdr:cNvPr>
            <xdr:cNvSpPr txBox="1"/>
          </xdr:nvSpPr>
          <xdr:spPr>
            <a:xfrm>
              <a:off x="1015999" y="8667750"/>
              <a:ext cx="2190751" cy="50872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𝑋𝑆𝐿𝐷𝐹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𝐿</m:t>
                                </m:r>
                              </m:sup>
                            </m:sSubSup>
                          </m:e>
                        </m:d>
                      </m:num>
                      <m:den>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sub>
                              <m:sup>
                                <m:argPr>
                                  <m:argSz m:val="-1"/>
                                </m:argPr>
                                <m:r>
                                  <a:rPr lang="en-US" sz="1100" i="1">
                                    <a:solidFill>
                                      <a:schemeClr val="tx1"/>
                                    </a:solidFill>
                                    <a:effectLst/>
                                    <a:latin typeface="Cambria Math" panose="02040503050406030204" pitchFamily="18" charset="0"/>
                                    <a:ea typeface="+mn-ea"/>
                                    <a:cs typeface="+mn-cs"/>
                                  </a:rPr>
                                  <m:t>𝐿</m:t>
                                </m:r>
                              </m:sup>
                            </m:sSubSup>
                          </m:e>
                        </m:d>
                      </m:den>
                    </m:f>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ABED30BE-805C-384C-ACB5-982EDC9F4D5A}"/>
                </a:ext>
              </a:extLst>
            </xdr:cNvPr>
            <xdr:cNvSpPr txBox="1"/>
          </xdr:nvSpPr>
          <xdr:spPr>
            <a:xfrm>
              <a:off x="1015999" y="8667750"/>
              <a:ext cx="2190751" cy="50872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〖𝑋𝑆𝐿𝐷𝐹〗_(𝑡_1−𝑡_2)^𝐿=〖𝐿𝐷𝐹〗_(𝑡_1−𝑡_2 )×((1−𝑅_(𝑡_2)^𝐿 ))/((1−𝑅_(𝑡_1)^𝐿 ) )</a:t>
              </a:r>
              <a:endParaRPr lang="en-US" sz="1100">
                <a:solidFill>
                  <a:schemeClr val="tx1"/>
                </a:solidFill>
                <a:effectLst/>
                <a:latin typeface="+mn-lt"/>
                <a:ea typeface="+mn-ea"/>
                <a:cs typeface="+mn-cs"/>
              </a:endParaRPr>
            </a:p>
          </xdr:txBody>
        </xdr:sp>
      </mc:Fallback>
    </mc:AlternateContent>
    <xdr:clientData/>
  </xdr:twoCellAnchor>
  <xdr:oneCellAnchor>
    <xdr:from>
      <xdr:col>3</xdr:col>
      <xdr:colOff>804332</xdr:colOff>
      <xdr:row>42</xdr:row>
      <xdr:rowOff>63502</xdr:rowOff>
    </xdr:from>
    <xdr:ext cx="3436775" cy="35747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71412046-D4EF-EC45-9963-49E724D3AD8D}"/>
                </a:ext>
              </a:extLst>
            </xdr:cNvPr>
            <xdr:cNvSpPr txBox="1"/>
          </xdr:nvSpPr>
          <xdr:spPr>
            <a:xfrm>
              <a:off x="3323165" y="8509002"/>
              <a:ext cx="3436775" cy="357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𝑋𝑆𝐿𝐷𝐹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𝑙𝑖𝑚𝑖𝑡</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𝑅𝑒𝑙𝑎𝑡𝑖𝑣𝑖𝑡𝑦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2</m:t>
                                </m:r>
                              </m:sub>
                            </m:sSub>
                          </m:e>
                        </m:d>
                      </m:num>
                      <m:den>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𝑅𝑒𝑙𝑎𝑡𝑖𝑣𝑖𝑡𝑦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e>
                        </m:d>
                      </m:den>
                    </m:f>
                    <m:r>
                      <m:rPr>
                        <m:nor/>
                      </m:rPr>
                      <a:rPr lang="en-US" i="0">
                        <a:effectLst/>
                      </a:rPr>
                      <m:t> </m:t>
                    </m:r>
                  </m:oMath>
                </m:oMathPara>
              </a14:m>
              <a:endParaRPr lang="en-US" sz="1100">
                <a:solidFill>
                  <a:schemeClr val="tx1"/>
                </a:solidFill>
              </a:endParaRPr>
            </a:p>
          </xdr:txBody>
        </xdr:sp>
      </mc:Choice>
      <mc:Fallback xmlns="">
        <xdr:sp macro="" textlink="">
          <xdr:nvSpPr>
            <xdr:cNvPr id="10" name="TextBox 9">
              <a:extLst>
                <a:ext uri="{FF2B5EF4-FFF2-40B4-BE49-F238E27FC236}">
                  <a16:creationId xmlns:a16="http://schemas.microsoft.com/office/drawing/2014/main" id="{71412046-D4EF-EC45-9963-49E724D3AD8D}"/>
                </a:ext>
              </a:extLst>
            </xdr:cNvPr>
            <xdr:cNvSpPr txBox="1"/>
          </xdr:nvSpPr>
          <xdr:spPr>
            <a:xfrm>
              <a:off x="3323165" y="8509002"/>
              <a:ext cx="3436775" cy="357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〖𝑋𝑆𝐿𝐷𝐹〗_(𝑡_1−𝑡_2)^𝑙𝑖𝑚𝑖𝑡=〖𝐿𝐷𝐹〗_(𝑡_1−𝑡_2 )×((1−𝑆𝑒𝑣𝑒𝑟𝑖𝑡𝑦 𝑅𝑒𝑙𝑎𝑡𝑖𝑣𝑖𝑡𝑦 𝑎𝑡 𝑡_2 ))/((1−𝑆𝑒𝑣𝑒𝑟𝑖𝑡𝑦 𝑅𝑒𝑙𝑎𝑡𝑖𝑣𝑖𝑡𝑦 𝑎𝑡 𝑡_1 )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190499</xdr:colOff>
      <xdr:row>53</xdr:row>
      <xdr:rowOff>127000</xdr:rowOff>
    </xdr:from>
    <xdr:to>
      <xdr:col>3</xdr:col>
      <xdr:colOff>126999</xdr:colOff>
      <xdr:row>56</xdr:row>
      <xdr:rowOff>7793</xdr:rowOff>
    </xdr:to>
    <mc:AlternateContent xmlns:mc="http://schemas.openxmlformats.org/markup-compatibility/2006" xmlns:a14="http://schemas.microsoft.com/office/drawing/2010/main">
      <mc:Choice Requires="a14">
        <xdr:sp macro="" textlink="">
          <xdr:nvSpPr>
            <xdr:cNvPr id="13" name="TextBox 2">
              <a:extLst>
                <a:ext uri="{FF2B5EF4-FFF2-40B4-BE49-F238E27FC236}">
                  <a16:creationId xmlns:a16="http://schemas.microsoft.com/office/drawing/2014/main" id="{0DCA90B7-40B6-2947-BB95-E37F78EB7317}"/>
                </a:ext>
              </a:extLst>
            </xdr:cNvPr>
            <xdr:cNvSpPr txBox="1"/>
          </xdr:nvSpPr>
          <xdr:spPr>
            <a:xfrm>
              <a:off x="1015999" y="11038417"/>
              <a:ext cx="1629833" cy="48404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1"/>
                            </m:argPr>
                            <m:r>
                              <a:rPr lang="en-US" sz="1100" i="1">
                                <a:solidFill>
                                  <a:schemeClr val="tx1"/>
                                </a:solidFill>
                                <a:effectLst/>
                                <a:latin typeface="Cambria Math" panose="02040503050406030204" pitchFamily="18" charset="0"/>
                                <a:ea typeface="+mn-ea"/>
                                <a:cs typeface="+mn-cs"/>
                              </a:rPr>
                              <m:t>𝐿</m:t>
                            </m:r>
                          </m:sup>
                        </m:sSubSup>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sub>
                          <m:sup>
                            <m:argPr>
                              <m:argSz m:val="-1"/>
                            </m:argPr>
                            <m:r>
                              <a:rPr lang="en-US" sz="1100" i="1">
                                <a:solidFill>
                                  <a:schemeClr val="tx1"/>
                                </a:solidFill>
                                <a:effectLst/>
                                <a:latin typeface="Cambria Math" panose="02040503050406030204" pitchFamily="18" charset="0"/>
                                <a:ea typeface="+mn-ea"/>
                                <a:cs typeface="+mn-cs"/>
                              </a:rPr>
                              <m:t>𝐿</m:t>
                            </m:r>
                          </m:sup>
                        </m:sSubSup>
                      </m:den>
                    </m:f>
                  </m:oMath>
                </m:oMathPara>
              </a14:m>
              <a:endParaRPr lang="en-US" sz="1100">
                <a:solidFill>
                  <a:schemeClr val="tx1"/>
                </a:solidFill>
                <a:effectLst/>
                <a:latin typeface="+mn-lt"/>
                <a:ea typeface="+mn-ea"/>
                <a:cs typeface="+mn-cs"/>
              </a:endParaRPr>
            </a:p>
          </xdr:txBody>
        </xdr:sp>
      </mc:Choice>
      <mc:Fallback xmlns="">
        <xdr:sp macro="" textlink="">
          <xdr:nvSpPr>
            <xdr:cNvPr id="13" name="TextBox 2">
              <a:extLst>
                <a:ext uri="{FF2B5EF4-FFF2-40B4-BE49-F238E27FC236}">
                  <a16:creationId xmlns:a16="http://schemas.microsoft.com/office/drawing/2014/main" id="{0DCA90B7-40B6-2947-BB95-E37F78EB7317}"/>
                </a:ext>
              </a:extLst>
            </xdr:cNvPr>
            <xdr:cNvSpPr txBox="1"/>
          </xdr:nvSpPr>
          <xdr:spPr>
            <a:xfrm>
              <a:off x="1015999" y="11038417"/>
              <a:ext cx="1629833" cy="48404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〖𝐿𝐷𝐹〗_(𝑡_1−𝑡_2)^𝐿=〖𝐿𝐷𝐹〗_(𝑡_1−𝑡_2 )×(𝑅_(𝑡_2)^𝐿)/(𝑅_(𝑡_1)^𝐿 )</a:t>
              </a:r>
              <a:endParaRPr lang="en-US" sz="1100">
                <a:solidFill>
                  <a:schemeClr val="tx1"/>
                </a:solidFill>
                <a:effectLst/>
                <a:latin typeface="+mn-lt"/>
                <a:ea typeface="+mn-ea"/>
                <a:cs typeface="+mn-cs"/>
              </a:endParaRPr>
            </a:p>
          </xdr:txBody>
        </xdr:sp>
      </mc:Fallback>
    </mc:AlternateContent>
    <xdr:clientData/>
  </xdr:twoCellAnchor>
  <xdr:oneCellAnchor>
    <xdr:from>
      <xdr:col>3</xdr:col>
      <xdr:colOff>719665</xdr:colOff>
      <xdr:row>54</xdr:row>
      <xdr:rowOff>2</xdr:rowOff>
    </xdr:from>
    <xdr:ext cx="2931380" cy="350352"/>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DA37EBD4-FC46-E442-B89C-AB41FE0B17EB}"/>
                </a:ext>
              </a:extLst>
            </xdr:cNvPr>
            <xdr:cNvSpPr txBox="1"/>
          </xdr:nvSpPr>
          <xdr:spPr>
            <a:xfrm>
              <a:off x="3238498" y="11112502"/>
              <a:ext cx="2931380"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2</m:t>
                            </m:r>
                          </m:sub>
                        </m:sSub>
                      </m:sub>
                      <m:sup>
                        <m:r>
                          <a:rPr lang="en-US" sz="1100" i="1">
                            <a:solidFill>
                              <a:schemeClr val="tx1"/>
                            </a:solidFill>
                            <a:effectLst/>
                            <a:latin typeface="Cambria Math" panose="02040503050406030204" pitchFamily="18" charset="0"/>
                            <a:ea typeface="+mn-ea"/>
                            <a:cs typeface="+mn-cs"/>
                          </a:rPr>
                          <m:t>𝑙𝑖𝑚𝑖𝑡</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𝑅𝑒𝑙𝑎𝑡𝑖𝑣𝑖𝑡𝑦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num>
                      <m:den>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𝑅𝑒𝑙𝑎𝑡𝑖𝑣𝑖𝑡𝑦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den>
                    </m:f>
                    <m:r>
                      <m:rPr>
                        <m:nor/>
                      </m:rPr>
                      <a:rPr lang="en-US" i="0">
                        <a:effectLst/>
                      </a:rPr>
                      <m:t> </m:t>
                    </m:r>
                  </m:oMath>
                </m:oMathPara>
              </a14:m>
              <a:endParaRPr lang="en-US" sz="1100">
                <a:solidFill>
                  <a:schemeClr val="tx1"/>
                </a:solidFill>
              </a:endParaRPr>
            </a:p>
          </xdr:txBody>
        </xdr:sp>
      </mc:Choice>
      <mc:Fallback xmlns="">
        <xdr:sp macro="" textlink="">
          <xdr:nvSpPr>
            <xdr:cNvPr id="14" name="TextBox 13">
              <a:extLst>
                <a:ext uri="{FF2B5EF4-FFF2-40B4-BE49-F238E27FC236}">
                  <a16:creationId xmlns:a16="http://schemas.microsoft.com/office/drawing/2014/main" id="{DA37EBD4-FC46-E442-B89C-AB41FE0B17EB}"/>
                </a:ext>
              </a:extLst>
            </xdr:cNvPr>
            <xdr:cNvSpPr txBox="1"/>
          </xdr:nvSpPr>
          <xdr:spPr>
            <a:xfrm>
              <a:off x="3238498" y="11112502"/>
              <a:ext cx="2931380"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〖𝐿𝐷𝐹〗_(𝑡_1−𝑡_2)^𝑙𝑖𝑚𝑖𝑡=〖𝐿𝐷𝐹〗_(𝑡_1−𝑡_2 )×(𝑆𝑒𝑣𝑒𝑟𝑖𝑡𝑦 𝑅𝑒𝑙𝑎𝑡𝑖𝑣𝑖𝑡𝑦 𝑎𝑡 𝑡_2)/(𝑆𝑒𝑣𝑒𝑟𝑖𝑡𝑦 𝑅𝑒𝑙𝑎𝑡𝑖𝑣𝑖𝑡𝑦 𝑎𝑡 𝑡_1 )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349249</xdr:colOff>
      <xdr:row>64</xdr:row>
      <xdr:rowOff>137584</xdr:rowOff>
    </xdr:from>
    <xdr:to>
      <xdr:col>5</xdr:col>
      <xdr:colOff>95250</xdr:colOff>
      <xdr:row>66</xdr:row>
      <xdr:rowOff>23958</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C5B2FB12-DA79-4B4C-8420-3483004D27F0}"/>
                </a:ext>
              </a:extLst>
            </xdr:cNvPr>
            <xdr:cNvSpPr txBox="1"/>
          </xdr:nvSpPr>
          <xdr:spPr>
            <a:xfrm>
              <a:off x="1174749" y="13335001"/>
              <a:ext cx="3185584" cy="2885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sub>
                      <m:sup>
                        <m:argPr>
                          <m:argSz m:val="-1"/>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1"/>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sub>
                          <m:sup>
                            <m:r>
                              <a:rPr lang="en-US" sz="1100" i="1">
                                <a:solidFill>
                                  <a:schemeClr val="tx1"/>
                                </a:solidFill>
                                <a:effectLst/>
                                <a:latin typeface="Cambria Math" panose="02040503050406030204" pitchFamily="18" charset="0"/>
                                <a:ea typeface="+mn-ea"/>
                                <a:cs typeface="+mn-cs"/>
                              </a:rPr>
                              <m:t>𝐿</m:t>
                            </m:r>
                          </m:sup>
                        </m:sSubSup>
                      </m:e>
                    </m:d>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𝑋𝑆𝐿𝐷𝐹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1"/>
                        </m:argPr>
                        <m:r>
                          <a:rPr lang="en-US" sz="1100" i="1">
                            <a:solidFill>
                              <a:schemeClr val="tx1"/>
                            </a:solidFill>
                            <a:effectLst/>
                            <a:latin typeface="Cambria Math" panose="02040503050406030204" pitchFamily="18" charset="0"/>
                            <a:ea typeface="+mn-ea"/>
                            <a:cs typeface="+mn-cs"/>
                          </a:rPr>
                          <m:t>𝐿</m:t>
                        </m:r>
                      </m:sup>
                    </m:sSubSup>
                  </m:oMath>
                </m:oMathPara>
              </a14:m>
              <a:endParaRPr lang="en-US"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C5B2FB12-DA79-4B4C-8420-3483004D27F0}"/>
                </a:ext>
              </a:extLst>
            </xdr:cNvPr>
            <xdr:cNvSpPr txBox="1"/>
          </xdr:nvSpPr>
          <xdr:spPr>
            <a:xfrm>
              <a:off x="1174749" y="13335001"/>
              <a:ext cx="3185584" cy="28854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〖𝐿𝐷𝐹〗_(𝑡_1−𝑡_2 )=𝑅_(𝑡_1)^𝐿×〖𝐿𝐷𝐹〗_(𝑡_1−𝑡_2)^𝐿+(1−𝑅_(𝑡_1)^𝐿 )×〖𝑋𝑆𝐿𝐷𝐹〗_(𝑡_1−𝑡_2)^𝐿</a:t>
              </a:r>
              <a:endParaRPr lang="en-US" sz="1100">
                <a:solidFill>
                  <a:schemeClr val="tx1"/>
                </a:solidFill>
                <a:effectLst/>
                <a:latin typeface="+mn-lt"/>
                <a:ea typeface="+mn-ea"/>
                <a:cs typeface="+mn-cs"/>
              </a:endParaRPr>
            </a:p>
          </xdr:txBody>
        </xdr:sp>
      </mc:Fallback>
    </mc:AlternateContent>
    <xdr:clientData/>
  </xdr:twoCellAnchor>
  <xdr:oneCellAnchor>
    <xdr:from>
      <xdr:col>1</xdr:col>
      <xdr:colOff>232832</xdr:colOff>
      <xdr:row>66</xdr:row>
      <xdr:rowOff>158752</xdr:rowOff>
    </xdr:from>
    <xdr:ext cx="5304144" cy="184025"/>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CB57A201-145F-BC46-B301-2AF6F14B6032}"/>
                </a:ext>
              </a:extLst>
            </xdr:cNvPr>
            <xdr:cNvSpPr txBox="1"/>
          </xdr:nvSpPr>
          <xdr:spPr>
            <a:xfrm>
              <a:off x="1058332" y="13705419"/>
              <a:ext cx="5304144" cy="184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𝑢𝑛𝑙𝑖𝑚𝑖𝑡𝑒𝑑</m:t>
                        </m:r>
                      </m:sup>
                    </m:sSub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𝑆𝑒𝑣</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𝑅𝑒𝑙𝑎𝑡𝑖𝑣𝑖𝑡𝑦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𝑙𝑖𝑚𝑖𝑡</m:t>
                        </m:r>
                      </m:sup>
                    </m:sSub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𝑆𝑒𝑣</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𝑅𝑒𝑙𝑎𝑡𝑖𝑣𝑖𝑡𝑦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e>
                    </m:d>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𝑋𝑆𝐿𝐷𝐹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𝑙𝑖𝑚𝑖𝑡</m:t>
                        </m:r>
                      </m:sup>
                    </m:sSubSup>
                    <m:r>
                      <m:rPr>
                        <m:nor/>
                      </m:rPr>
                      <a:rPr lang="en-US" i="0">
                        <a:effectLst/>
                      </a:rPr>
                      <m:t> </m:t>
                    </m:r>
                  </m:oMath>
                </m:oMathPara>
              </a14:m>
              <a:endParaRPr lang="en-US" sz="1100">
                <a:solidFill>
                  <a:schemeClr val="tx1"/>
                </a:solidFill>
              </a:endParaRPr>
            </a:p>
          </xdr:txBody>
        </xdr:sp>
      </mc:Choice>
      <mc:Fallback xmlns="">
        <xdr:sp macro="" textlink="">
          <xdr:nvSpPr>
            <xdr:cNvPr id="16" name="TextBox 15">
              <a:extLst>
                <a:ext uri="{FF2B5EF4-FFF2-40B4-BE49-F238E27FC236}">
                  <a16:creationId xmlns:a16="http://schemas.microsoft.com/office/drawing/2014/main" id="{CB57A201-145F-BC46-B301-2AF6F14B6032}"/>
                </a:ext>
              </a:extLst>
            </xdr:cNvPr>
            <xdr:cNvSpPr txBox="1"/>
          </xdr:nvSpPr>
          <xdr:spPr>
            <a:xfrm>
              <a:off x="1058332" y="13705419"/>
              <a:ext cx="5304144" cy="184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〖𝐿𝐷𝐹〗_(𝑡_1−𝑡_2)^𝑢𝑛𝑙𝑖𝑚𝑖𝑡𝑒𝑑=𝑆𝑒𝑣. 𝑅𝑒𝑙𝑎𝑡𝑖𝑣𝑖𝑡𝑦 𝑎𝑡 𝑡_1×〖𝐿𝐷𝐹〗_(𝑡_1−𝑡_2)^𝑙𝑖𝑚𝑖𝑡+(1−𝑆𝑒𝑣. 𝑅𝑒𝑙𝑎𝑡𝑖𝑣𝑖𝑡𝑦 𝑎𝑡 𝑡_1 )×〖𝑋𝑆𝐿𝐷𝐹〗_(𝑡_1−𝑡_2)^𝑙𝑖𝑚𝑖𝑡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423332</xdr:colOff>
      <xdr:row>93</xdr:row>
      <xdr:rowOff>40322</xdr:rowOff>
    </xdr:from>
    <xdr:to>
      <xdr:col>7</xdr:col>
      <xdr:colOff>243416</xdr:colOff>
      <xdr:row>98</xdr:row>
      <xdr:rowOff>190500</xdr:rowOff>
    </xdr:to>
    <xdr:grpSp>
      <xdr:nvGrpSpPr>
        <xdr:cNvPr id="22" name="Group 21">
          <a:extLst>
            <a:ext uri="{FF2B5EF4-FFF2-40B4-BE49-F238E27FC236}">
              <a16:creationId xmlns:a16="http://schemas.microsoft.com/office/drawing/2014/main" id="{0201DF97-AE1F-C72B-BE8F-0B4C90C9301D}"/>
            </a:ext>
          </a:extLst>
        </xdr:cNvPr>
        <xdr:cNvGrpSpPr/>
      </xdr:nvGrpSpPr>
      <xdr:grpSpPr>
        <a:xfrm>
          <a:off x="1248832" y="19249072"/>
          <a:ext cx="4921251" cy="1155595"/>
          <a:chOff x="1206499" y="19333739"/>
          <a:chExt cx="4921251" cy="1155594"/>
        </a:xfrm>
      </xdr:grpSpPr>
      <mc:AlternateContent xmlns:mc="http://schemas.openxmlformats.org/markup-compatibility/2006" xmlns:a14="http://schemas.microsoft.com/office/drawing/2010/main">
        <mc:Choice Requires="a14">
          <xdr:sp macro="" textlink="">
            <xdr:nvSpPr>
              <xdr:cNvPr id="17" name="TextBox 2">
                <a:extLst>
                  <a:ext uri="{FF2B5EF4-FFF2-40B4-BE49-F238E27FC236}">
                    <a16:creationId xmlns:a16="http://schemas.microsoft.com/office/drawing/2014/main" id="{9F9B4BC6-5809-144A-973D-14B6730F2D64}"/>
                  </a:ext>
                </a:extLst>
              </xdr:cNvPr>
              <xdr:cNvSpPr txBox="1"/>
            </xdr:nvSpPr>
            <xdr:spPr>
              <a:xfrm>
                <a:off x="1206499" y="19991917"/>
                <a:ext cx="4921251" cy="4974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𝐷𝑒𝑣𝑒𝑙𝑜𝑝𝑚𝑒𝑛𝑡</m:t>
                      </m:r>
                      <m:r>
                        <a:rPr lang="en-US" sz="1100" i="1">
                          <a:solidFill>
                            <a:schemeClr val="tx1"/>
                          </a:solidFill>
                          <a:effectLst/>
                          <a:latin typeface="Cambria Math" panose="02040503050406030204" pitchFamily="18" charset="0"/>
                          <a:ea typeface="+mn-ea"/>
                          <a:cs typeface="+mn-cs"/>
                        </a:rPr>
                        <m:t> %=</m:t>
                      </m:r>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sub>
                            <m:sup>
                              <m:argPr>
                                <m:argSz m:val="-2"/>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−1</m:t>
                              </m:r>
                            </m:e>
                          </m:d>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sub>
                                <m:sup>
                                  <m:argPr>
                                    <m:argSz m:val="-2"/>
                                  </m:argPr>
                                  <m:r>
                                    <a:rPr lang="en-US" sz="1100" i="1">
                                      <a:solidFill>
                                        <a:schemeClr val="tx1"/>
                                      </a:solidFill>
                                      <a:effectLst/>
                                      <a:latin typeface="Cambria Math" panose="02040503050406030204" pitchFamily="18" charset="0"/>
                                      <a:ea typeface="+mn-ea"/>
                                      <a:cs typeface="+mn-cs"/>
                                    </a:rPr>
                                    <m:t>𝐿</m:t>
                                  </m:r>
                                </m:sup>
                              </m:sSubSup>
                            </m:e>
                          </m:d>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𝑋𝑆𝐿𝐷𝐹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1"/>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−1</m:t>
                              </m:r>
                            </m:e>
                          </m:d>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Sub>
                        </m:den>
                      </m:f>
                    </m:oMath>
                  </m:oMathPara>
                </a14:m>
                <a:endParaRPr lang="en-US" sz="1100">
                  <a:solidFill>
                    <a:schemeClr val="tx1"/>
                  </a:solidFill>
                  <a:effectLst/>
                  <a:latin typeface="+mn-lt"/>
                  <a:ea typeface="+mn-ea"/>
                  <a:cs typeface="+mn-cs"/>
                </a:endParaRPr>
              </a:p>
            </xdr:txBody>
          </xdr:sp>
        </mc:Choice>
        <mc:Fallback xmlns="">
          <xdr:sp macro="" textlink="">
            <xdr:nvSpPr>
              <xdr:cNvPr id="17" name="TextBox 2">
                <a:extLst>
                  <a:ext uri="{FF2B5EF4-FFF2-40B4-BE49-F238E27FC236}">
                    <a16:creationId xmlns:a16="http://schemas.microsoft.com/office/drawing/2014/main" id="{9F9B4BC6-5809-144A-973D-14B6730F2D64}"/>
                  </a:ext>
                </a:extLst>
              </xdr:cNvPr>
              <xdr:cNvSpPr txBox="1"/>
            </xdr:nvSpPr>
            <xdr:spPr>
              <a:xfrm>
                <a:off x="1206499" y="19991917"/>
                <a:ext cx="4921251" cy="4974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𝐸𝑥𝑝𝑒𝑐𝑡𝑒𝑑 𝐷𝑒𝑣𝑒𝑙𝑜𝑝𝑚𝑒𝑛𝑡 %=(𝑅_(𝑡_1)^𝐿×(〖𝐿𝐷𝐹〗_(𝑡_1−𝑡_2)^𝐿−1)+(1−𝑅_(𝑡_1)^𝐿 )×(〖𝑋𝑆𝐿𝐷𝐹〗_(𝑡_1−𝑡_2)^𝐿−1))/〖𝐿𝐷𝐹〗_(𝑡_1−𝑡_2 ) </a:t>
                </a:r>
                <a:endParaRPr lang="en-US" sz="1100">
                  <a:solidFill>
                    <a:schemeClr val="tx1"/>
                  </a:solidFill>
                  <a:effectLst/>
                  <a:latin typeface="+mn-lt"/>
                  <a:ea typeface="+mn-ea"/>
                  <a:cs typeface="+mn-cs"/>
                </a:endParaRPr>
              </a:p>
            </xdr:txBody>
          </xdr:sp>
        </mc:Fallback>
      </mc:AlternateContent>
      <xdr:sp macro="" textlink="">
        <xdr:nvSpPr>
          <xdr:cNvPr id="18" name="Left Brace 17">
            <a:extLst>
              <a:ext uri="{FF2B5EF4-FFF2-40B4-BE49-F238E27FC236}">
                <a16:creationId xmlns:a16="http://schemas.microsoft.com/office/drawing/2014/main" id="{62318F39-D9B0-E8B5-A03E-45899175E6F7}"/>
              </a:ext>
            </a:extLst>
          </xdr:cNvPr>
          <xdr:cNvSpPr/>
        </xdr:nvSpPr>
        <xdr:spPr>
          <a:xfrm rot="5400000">
            <a:off x="3506206" y="19317705"/>
            <a:ext cx="176424" cy="1108499"/>
          </a:xfrm>
          <a:prstGeom prst="leftBrace">
            <a:avLst/>
          </a:prstGeom>
          <a:ln>
            <a:solidFill>
              <a:schemeClr val="tx1">
                <a:lumMod val="75000"/>
                <a:lumOff val="25000"/>
              </a:schemeClr>
            </a:solidFill>
          </a:ln>
          <a:effectLst/>
        </xdr:spPr>
        <xdr:style>
          <a:lnRef idx="1">
            <a:schemeClr val="dk1"/>
          </a:lnRef>
          <a:fillRef idx="0">
            <a:schemeClr val="dk1"/>
          </a:fillRef>
          <a:effectRef idx="0">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 name="Text Box 547">
            <a:extLst>
              <a:ext uri="{FF2B5EF4-FFF2-40B4-BE49-F238E27FC236}">
                <a16:creationId xmlns:a16="http://schemas.microsoft.com/office/drawing/2014/main" id="{FDF47143-13B1-9F92-87E8-D3B280217DEC}"/>
              </a:ext>
            </a:extLst>
          </xdr:cNvPr>
          <xdr:cNvSpPr txBox="1"/>
        </xdr:nvSpPr>
        <xdr:spPr>
          <a:xfrm>
            <a:off x="2868083" y="19333739"/>
            <a:ext cx="1425575" cy="431165"/>
          </a:xfrm>
          <a:prstGeom prst="rect">
            <a:avLst/>
          </a:prstGeom>
          <a:noFill/>
          <a:ln>
            <a:noFill/>
          </a:ln>
          <a:effectLst/>
          <a:extLst>
            <a:ext uri="{C572A759-6A51-4108-AA02-DFA0A04FC94B}">
              <ma14:wrappingTextBoxFlag xmlns:lc="http://schemas.openxmlformats.org/drawingml/2006/lockedCanvas"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oel="http://schemas.microsoft.com/office/2019/extlst"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algn="ctr"/>
            <a:r>
              <a:rPr lang="en-US" sz="1200">
                <a:solidFill>
                  <a:srgbClr val="000000"/>
                </a:solidFill>
                <a:effectLst/>
                <a:latin typeface="Calibri" panose="020F0502020204030204" pitchFamily="34" charset="0"/>
                <a:ea typeface="Garamond" panose="02020404030301010803" pitchFamily="18" charset="0"/>
                <a:cs typeface="Calibri" panose="020F0502020204030204" pitchFamily="34" charset="0"/>
              </a:rPr>
              <a:t>E[Development] </a:t>
            </a:r>
            <a:r>
              <a:rPr lang="en-US" sz="1200" i="1" u="sng">
                <a:solidFill>
                  <a:srgbClr val="000000"/>
                </a:solidFill>
                <a:effectLst/>
                <a:latin typeface="Calibri" panose="020F0502020204030204" pitchFamily="34" charset="0"/>
                <a:ea typeface="Garamond" panose="02020404030301010803" pitchFamily="18" charset="0"/>
                <a:cs typeface="Calibri" panose="020F0502020204030204" pitchFamily="34" charset="0"/>
              </a:rPr>
              <a:t>below</a:t>
            </a:r>
            <a:r>
              <a:rPr lang="en-US" sz="1200">
                <a:solidFill>
                  <a:srgbClr val="000000"/>
                </a:solidFill>
                <a:effectLst/>
                <a:latin typeface="Calibri" panose="020F0502020204030204" pitchFamily="34" charset="0"/>
                <a:ea typeface="Garamond" panose="02020404030301010803" pitchFamily="18" charset="0"/>
                <a:cs typeface="Calibri" panose="020F0502020204030204" pitchFamily="34" charset="0"/>
              </a:rPr>
              <a:t> deductible</a:t>
            </a:r>
          </a:p>
        </xdr:txBody>
      </xdr:sp>
      <xdr:sp macro="" textlink="">
        <xdr:nvSpPr>
          <xdr:cNvPr id="20" name="Left Brace 19">
            <a:extLst>
              <a:ext uri="{FF2B5EF4-FFF2-40B4-BE49-F238E27FC236}">
                <a16:creationId xmlns:a16="http://schemas.microsoft.com/office/drawing/2014/main" id="{473CE902-C743-4B8C-EF3D-F4FCCC17438D}"/>
              </a:ext>
            </a:extLst>
          </xdr:cNvPr>
          <xdr:cNvSpPr/>
        </xdr:nvSpPr>
        <xdr:spPr>
          <a:xfrm rot="5400000">
            <a:off x="5067986" y="19069741"/>
            <a:ext cx="212622" cy="1610571"/>
          </a:xfrm>
          <a:prstGeom prst="leftBrace">
            <a:avLst/>
          </a:prstGeom>
          <a:ln>
            <a:solidFill>
              <a:schemeClr val="tx1">
                <a:lumMod val="75000"/>
                <a:lumOff val="25000"/>
              </a:schemeClr>
            </a:solidFill>
          </a:ln>
          <a:effectLst/>
        </xdr:spPr>
        <xdr:style>
          <a:lnRef idx="1">
            <a:schemeClr val="dk1"/>
          </a:lnRef>
          <a:fillRef idx="0">
            <a:schemeClr val="dk1"/>
          </a:fillRef>
          <a:effectRef idx="0">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 name="Text Box 546">
            <a:extLst>
              <a:ext uri="{FF2B5EF4-FFF2-40B4-BE49-F238E27FC236}">
                <a16:creationId xmlns:a16="http://schemas.microsoft.com/office/drawing/2014/main" id="{348DC372-1232-FBAA-D57A-80DB88FDE543}"/>
              </a:ext>
            </a:extLst>
          </xdr:cNvPr>
          <xdr:cNvSpPr txBox="1"/>
        </xdr:nvSpPr>
        <xdr:spPr>
          <a:xfrm>
            <a:off x="4492413" y="19334587"/>
            <a:ext cx="1407795" cy="474980"/>
          </a:xfrm>
          <a:prstGeom prst="rect">
            <a:avLst/>
          </a:prstGeom>
          <a:noFill/>
          <a:ln>
            <a:noFill/>
          </a:ln>
          <a:effectLst/>
          <a:extLst>
            <a:ext uri="{C572A759-6A51-4108-AA02-DFA0A04FC94B}">
              <ma14:wrappingTextBoxFlag xmlns:lc="http://schemas.openxmlformats.org/drawingml/2006/lockedCanvas"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oel="http://schemas.microsoft.com/office/2019/extlst"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algn="ctr"/>
            <a:r>
              <a:rPr lang="en-US" sz="1200">
                <a:solidFill>
                  <a:srgbClr val="000000"/>
                </a:solidFill>
                <a:effectLst/>
                <a:latin typeface="Calibri" panose="020F0502020204030204" pitchFamily="34" charset="0"/>
                <a:ea typeface="Garamond" panose="02020404030301010803" pitchFamily="18" charset="0"/>
                <a:cs typeface="Calibri" panose="020F0502020204030204" pitchFamily="34" charset="0"/>
              </a:rPr>
              <a:t>E[Development] </a:t>
            </a:r>
            <a:r>
              <a:rPr lang="en-US" sz="1200" i="1" u="sng">
                <a:solidFill>
                  <a:srgbClr val="000000"/>
                </a:solidFill>
                <a:effectLst/>
                <a:latin typeface="Calibri" panose="020F0502020204030204" pitchFamily="34" charset="0"/>
                <a:ea typeface="Garamond" panose="02020404030301010803" pitchFamily="18" charset="0"/>
                <a:cs typeface="Calibri" panose="020F0502020204030204" pitchFamily="34" charset="0"/>
              </a:rPr>
              <a:t>above</a:t>
            </a:r>
            <a:r>
              <a:rPr lang="en-US" sz="1200">
                <a:solidFill>
                  <a:srgbClr val="000000"/>
                </a:solidFill>
                <a:effectLst/>
                <a:latin typeface="Calibri" panose="020F0502020204030204" pitchFamily="34" charset="0"/>
                <a:ea typeface="Garamond" panose="02020404030301010803" pitchFamily="18" charset="0"/>
                <a:cs typeface="Calibri" panose="020F0502020204030204" pitchFamily="34" charset="0"/>
              </a:rPr>
              <a:t> deductible</a:t>
            </a:r>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1</xdr:col>
      <xdr:colOff>693943</xdr:colOff>
      <xdr:row>101</xdr:row>
      <xdr:rowOff>157854</xdr:rowOff>
    </xdr:from>
    <xdr:ext cx="2125004" cy="34695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519443" y="20890604"/>
              <a:ext cx="2125004" cy="346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𝐿𝐷𝐹</m:t>
                        </m:r>
                      </m:e>
                      <m:sub>
                        <m:r>
                          <a:rPr lang="en-US" sz="1100" b="0" i="1">
                            <a:solidFill>
                              <a:schemeClr val="tx1"/>
                            </a:solidFill>
                            <a:latin typeface="Cambria Math" panose="02040503050406030204" pitchFamily="18" charset="0"/>
                          </a:rPr>
                          <m:t>36−</m:t>
                        </m:r>
                        <m:r>
                          <a:rPr lang="en-US" sz="1100" b="0" i="1">
                            <a:solidFill>
                              <a:schemeClr val="tx1"/>
                            </a:solidFill>
                            <a:latin typeface="Cambria Math" panose="02040503050406030204" pitchFamily="18" charset="0"/>
                          </a:rPr>
                          <m:t>𝑈𝑙𝑡</m:t>
                        </m:r>
                      </m:sub>
                    </m:sSub>
                    <m:r>
                      <a:rPr lang="en-US" sz="1100" b="0" i="1">
                        <a:solidFill>
                          <a:schemeClr val="tx1"/>
                        </a:solidFill>
                        <a:latin typeface="Cambria Math" panose="02040503050406030204" pitchFamily="18" charset="0"/>
                      </a:rPr>
                      <m:t>=</m:t>
                    </m:r>
                    <m:f>
                      <m:fPr>
                        <m:ctrlPr>
                          <a:rPr lang="en-US" sz="1100" b="0" i="1">
                            <a:solidFill>
                              <a:schemeClr val="tx1"/>
                            </a:solidFill>
                            <a:latin typeface="Cambria Math" panose="02040503050406030204" pitchFamily="18" charset="0"/>
                          </a:rPr>
                        </m:ctrlPr>
                      </m:fPr>
                      <m:num>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𝑆𝑒𝑣𝑒𝑟𝑖𝑡𝑦</m:t>
                            </m:r>
                          </m:e>
                          <m:sub>
                            <m:r>
                              <a:rPr lang="en-US" sz="1100" b="0" i="1">
                                <a:solidFill>
                                  <a:schemeClr val="tx1"/>
                                </a:solidFill>
                                <a:latin typeface="Cambria Math" panose="02040503050406030204" pitchFamily="18" charset="0"/>
                              </a:rPr>
                              <m:t>𝑈𝑙𝑡</m:t>
                            </m:r>
                          </m:sub>
                        </m:sSub>
                      </m:num>
                      <m:den>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𝑆𝑒𝑣𝑒𝑟𝑖𝑡𝑦</m:t>
                            </m:r>
                          </m:e>
                          <m:sub>
                            <m:r>
                              <a:rPr lang="en-US" sz="1100" b="0" i="1">
                                <a:solidFill>
                                  <a:schemeClr val="tx1"/>
                                </a:solidFill>
                                <a:latin typeface="Cambria Math" panose="02040503050406030204" pitchFamily="18" charset="0"/>
                              </a:rPr>
                              <m:t>36</m:t>
                            </m:r>
                          </m:sub>
                        </m:sSub>
                      </m:den>
                    </m:f>
                    <m:r>
                      <a:rPr lang="en-US" sz="1100" b="0" i="1">
                        <a:solidFill>
                          <a:schemeClr val="tx1"/>
                        </a:solidFill>
                        <a:latin typeface="Cambria Math" panose="02040503050406030204" pitchFamily="18" charset="0"/>
                        <a:ea typeface="Cambria Math" panose="02040503050406030204" pitchFamily="18" charset="0"/>
                      </a:rPr>
                      <m:t>×</m:t>
                    </m:r>
                    <m:f>
                      <m:fPr>
                        <m:ctrlPr>
                          <a:rPr lang="en-US" sz="1100" b="0" i="1">
                            <a:solidFill>
                              <a:schemeClr val="tx1"/>
                            </a:solidFill>
                            <a:latin typeface="Cambria Math" panose="02040503050406030204" pitchFamily="18" charset="0"/>
                            <a:ea typeface="Cambria Math" panose="02040503050406030204" pitchFamily="18" charset="0"/>
                          </a:rPr>
                        </m:ctrlPr>
                      </m:fPr>
                      <m:num>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𝐹𝑟𝑒𝑞</m:t>
                            </m:r>
                          </m:e>
                          <m:sub>
                            <m:r>
                              <a:rPr lang="en-US" sz="1100" b="0" i="1">
                                <a:solidFill>
                                  <a:schemeClr val="tx1"/>
                                </a:solidFill>
                                <a:latin typeface="Cambria Math" panose="02040503050406030204" pitchFamily="18" charset="0"/>
                                <a:ea typeface="Cambria Math" panose="02040503050406030204" pitchFamily="18" charset="0"/>
                              </a:rPr>
                              <m:t>𝑈𝑙𝑡</m:t>
                            </m:r>
                          </m:sub>
                        </m:sSub>
                      </m:num>
                      <m:den>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𝐹𝑟𝑒𝑞</m:t>
                            </m:r>
                          </m:e>
                          <m:sub>
                            <m:r>
                              <a:rPr lang="en-US" sz="1100" b="0" i="1">
                                <a:solidFill>
                                  <a:schemeClr val="tx1"/>
                                </a:solidFill>
                                <a:latin typeface="Cambria Math" panose="02040503050406030204" pitchFamily="18" charset="0"/>
                                <a:ea typeface="Cambria Math" panose="02040503050406030204" pitchFamily="18" charset="0"/>
                              </a:rPr>
                              <m:t>36</m:t>
                            </m:r>
                          </m:sub>
                        </m:sSub>
                      </m:den>
                    </m:f>
                  </m:oMath>
                </m:oMathPara>
              </a14:m>
              <a:endParaRPr lang="en-US" sz="1100">
                <a:solidFill>
                  <a:schemeClr val="tx1"/>
                </a:solidFill>
              </a:endParaRPr>
            </a:p>
          </xdr:txBody>
        </xdr:sp>
      </mc:Choice>
      <mc:Fallback xmlns="">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519443" y="20890604"/>
              <a:ext cx="2125004" cy="346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latin typeface="Cambria Math" panose="02040503050406030204" pitchFamily="18" charset="0"/>
                </a:rPr>
                <a:t>〖</a:t>
              </a:r>
              <a:r>
                <a:rPr lang="en-US" sz="1100" b="0" i="0">
                  <a:solidFill>
                    <a:schemeClr val="tx1"/>
                  </a:solidFill>
                  <a:latin typeface="Cambria Math" panose="02040503050406030204" pitchFamily="18" charset="0"/>
                </a:rPr>
                <a:t>𝐿𝐷𝐹〗_(36−𝑈𝑙𝑡)=〖𝑆𝑒𝑣𝑒𝑟𝑖𝑡𝑦〗_𝑈𝑙𝑡/〖𝑆𝑒𝑣𝑒𝑟𝑖𝑡𝑦〗_36 </a:t>
              </a:r>
              <a:r>
                <a:rPr lang="en-US" sz="1100" b="0" i="0">
                  <a:solidFill>
                    <a:schemeClr val="tx1"/>
                  </a:solidFill>
                  <a:latin typeface="Cambria Math" panose="02040503050406030204" pitchFamily="18" charset="0"/>
                  <a:ea typeface="Cambria Math" panose="02040503050406030204" pitchFamily="18" charset="0"/>
                </a:rPr>
                <a:t>×〖𝐹𝑟𝑒𝑞〗_𝑈𝑙𝑡/〖𝐹𝑟𝑒𝑞〗_36 </a:t>
              </a:r>
              <a:endParaRPr lang="en-US" sz="1100">
                <a:solidFill>
                  <a:schemeClr val="tx1"/>
                </a:solidFill>
              </a:endParaRPr>
            </a:p>
          </xdr:txBody>
        </xdr:sp>
      </mc:Fallback>
    </mc:AlternateContent>
    <xdr:clientData/>
  </xdr:oneCellAnchor>
  <xdr:twoCellAnchor>
    <xdr:from>
      <xdr:col>1</xdr:col>
      <xdr:colOff>359832</xdr:colOff>
      <xdr:row>38</xdr:row>
      <xdr:rowOff>179918</xdr:rowOff>
    </xdr:from>
    <xdr:to>
      <xdr:col>3</xdr:col>
      <xdr:colOff>148165</xdr:colOff>
      <xdr:row>41</xdr:row>
      <xdr:rowOff>41347</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6BAB15B1-8545-9B4F-8151-CE0007FDD73B}"/>
                </a:ext>
              </a:extLst>
            </xdr:cNvPr>
            <xdr:cNvSpPr txBox="1"/>
          </xdr:nvSpPr>
          <xdr:spPr>
            <a:xfrm>
              <a:off x="1185332" y="7747001"/>
              <a:ext cx="1439333" cy="4646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𝑆𝑒𝑣𝑒𝑟𝑖𝑡𝑦</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Sub>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𝑆𝑒𝑣𝑒𝑟𝑖𝑡𝑦</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sub>
                        </m:sSub>
                      </m:den>
                    </m:f>
                  </m:oMath>
                </m:oMathPara>
              </a14:m>
              <a:endParaRPr lang="en-US"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6BAB15B1-8545-9B4F-8151-CE0007FDD73B}"/>
                </a:ext>
              </a:extLst>
            </xdr:cNvPr>
            <xdr:cNvSpPr txBox="1"/>
          </xdr:nvSpPr>
          <xdr:spPr>
            <a:xfrm>
              <a:off x="1185332" y="7747001"/>
              <a:ext cx="1439333" cy="4646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〖𝐿𝐷𝐹〗_(𝑡_1−𝑡_2 )=〖𝑆𝑒𝑣𝑒𝑟𝑖𝑡𝑦〗_(𝑡_2 )/〖𝑆𝑒𝑣𝑒𝑟𝑖𝑡𝑦〗_(𝑡_1 )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137583</xdr:colOff>
      <xdr:row>48</xdr:row>
      <xdr:rowOff>190501</xdr:rowOff>
    </xdr:from>
    <xdr:to>
      <xdr:col>3</xdr:col>
      <xdr:colOff>21167</xdr:colOff>
      <xdr:row>51</xdr:row>
      <xdr:rowOff>84667</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0FB1CA0E-A6D8-3244-8550-37C7F91E4AAF}"/>
                </a:ext>
              </a:extLst>
            </xdr:cNvPr>
            <xdr:cNvSpPr txBox="1"/>
          </xdr:nvSpPr>
          <xdr:spPr>
            <a:xfrm>
              <a:off x="963083" y="9768418"/>
              <a:ext cx="1534584" cy="4974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𝑆𝑒𝑣𝑒𝑟𝑖𝑡𝑦</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1"/>
                            </m:argPr>
                            <m:r>
                              <a:rPr lang="en-US" sz="1100" i="1">
                                <a:solidFill>
                                  <a:schemeClr val="tx1"/>
                                </a:solidFill>
                                <a:effectLst/>
                                <a:latin typeface="Cambria Math" panose="02040503050406030204" pitchFamily="18" charset="0"/>
                                <a:ea typeface="+mn-ea"/>
                                <a:cs typeface="+mn-cs"/>
                              </a:rPr>
                              <m:t>𝐿</m:t>
                            </m:r>
                          </m:sup>
                        </m:sSubSup>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𝑆𝑒𝑣𝑒𝑟𝑖𝑡𝑦</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sub>
                          <m:sup>
                            <m:argPr>
                              <m:argSz m:val="-1"/>
                            </m:argPr>
                            <m:r>
                              <a:rPr lang="en-US" sz="1100" i="1">
                                <a:solidFill>
                                  <a:schemeClr val="tx1"/>
                                </a:solidFill>
                                <a:effectLst/>
                                <a:latin typeface="Cambria Math" panose="02040503050406030204" pitchFamily="18" charset="0"/>
                                <a:ea typeface="+mn-ea"/>
                                <a:cs typeface="+mn-cs"/>
                              </a:rPr>
                              <m:t>𝐿</m:t>
                            </m:r>
                          </m:sup>
                        </m:sSubSup>
                      </m:den>
                    </m:f>
                  </m:oMath>
                </m:oMathPara>
              </a14:m>
              <a:endParaRPr lang="en-US"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0FB1CA0E-A6D8-3244-8550-37C7F91E4AAF}"/>
                </a:ext>
              </a:extLst>
            </xdr:cNvPr>
            <xdr:cNvSpPr txBox="1"/>
          </xdr:nvSpPr>
          <xdr:spPr>
            <a:xfrm>
              <a:off x="963083" y="9768418"/>
              <a:ext cx="1534584" cy="49741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〖𝐿𝐷𝐹〗_(𝑡_1−𝑡_2)^𝐿=(〖𝑆𝑒𝑣𝑒𝑟𝑖𝑡𝑦〗_(𝑡_2)^𝐿)/(〖𝑆𝑒𝑣𝑒𝑟𝑖𝑡𝑦〗_(𝑡_1)^𝐿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370417</xdr:colOff>
      <xdr:row>73</xdr:row>
      <xdr:rowOff>21166</xdr:rowOff>
    </xdr:from>
    <xdr:to>
      <xdr:col>4</xdr:col>
      <xdr:colOff>148167</xdr:colOff>
      <xdr:row>74</xdr:row>
      <xdr:rowOff>84515</xdr:rowOff>
    </xdr:to>
    <mc:AlternateContent xmlns:mc="http://schemas.openxmlformats.org/markup-compatibility/2006" xmlns:a14="http://schemas.microsoft.com/office/drawing/2010/main">
      <mc:Choice Requires="a14">
        <xdr:sp macro="" textlink="">
          <xdr:nvSpPr>
            <xdr:cNvPr id="13" name="TextBox 2">
              <a:extLst>
                <a:ext uri="{FF2B5EF4-FFF2-40B4-BE49-F238E27FC236}">
                  <a16:creationId xmlns:a16="http://schemas.microsoft.com/office/drawing/2014/main" id="{7C4AE928-6924-A645-937F-8ABAB0000188}"/>
                </a:ext>
              </a:extLst>
            </xdr:cNvPr>
            <xdr:cNvSpPr txBox="1"/>
          </xdr:nvSpPr>
          <xdr:spPr>
            <a:xfrm>
              <a:off x="1195917" y="14774333"/>
              <a:ext cx="2254250" cy="26443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𝑒𝑥𝑐𝑒𝑠𝑠</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𝑢𝑛𝑙𝑖𝑚𝑖𝑡𝑒𝑑</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𝑙𝑖𝑚𝑖𝑡𝑒𝑑</m:t>
                        </m:r>
                      </m:sup>
                    </m:sSup>
                    <m:r>
                      <m:rPr>
                        <m:nor/>
                      </m:rPr>
                      <a:rPr lang="en-US" i="0">
                        <a:effectLst/>
                      </a:rPr>
                      <m:t> </m:t>
                    </m:r>
                  </m:oMath>
                </m:oMathPara>
              </a14:m>
              <a:endParaRPr lang="en-US" sz="1100">
                <a:solidFill>
                  <a:schemeClr val="tx1"/>
                </a:solidFill>
                <a:effectLst/>
                <a:latin typeface="+mn-lt"/>
                <a:ea typeface="+mn-ea"/>
                <a:cs typeface="+mn-cs"/>
              </a:endParaRPr>
            </a:p>
          </xdr:txBody>
        </xdr:sp>
      </mc:Choice>
      <mc:Fallback xmlns="">
        <xdr:sp macro="" textlink="">
          <xdr:nvSpPr>
            <xdr:cNvPr id="13" name="TextBox 2">
              <a:extLst>
                <a:ext uri="{FF2B5EF4-FFF2-40B4-BE49-F238E27FC236}">
                  <a16:creationId xmlns:a16="http://schemas.microsoft.com/office/drawing/2014/main" id="{7C4AE928-6924-A645-937F-8ABAB0000188}"/>
                </a:ext>
              </a:extLst>
            </xdr:cNvPr>
            <xdr:cNvSpPr txBox="1"/>
          </xdr:nvSpPr>
          <xdr:spPr>
            <a:xfrm>
              <a:off x="1195917" y="14774333"/>
              <a:ext cx="2254250" cy="26443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〖𝑈𝑙𝑡〗^𝑒𝑥𝑐𝑒𝑠𝑠=〖𝑈𝑙𝑡〗^𝑢𝑛𝑙𝑖𝑚𝑖𝑡𝑒𝑑−〖𝑈𝑙𝑡〗^𝑙𝑖𝑚𝑖𝑡𝑒𝑑 "</a:t>
              </a:r>
              <a:r>
                <a:rPr lang="en-US" i="0">
                  <a:effectLst/>
                  <a:latin typeface="Cambria Math" panose="02040503050406030204" pitchFamily="18" charset="0"/>
                </a:rPr>
                <a:t> </a:t>
              </a:r>
              <a:r>
                <a:rPr lang="en-US" i="0">
                  <a:effectLst/>
                </a:rPr>
                <a:t>"</a:t>
              </a:r>
              <a:endParaRPr lang="en-US" sz="1100">
                <a:solidFill>
                  <a:schemeClr val="tx1"/>
                </a:solidFill>
                <a:effectLst/>
                <a:latin typeface="+mn-lt"/>
                <a:ea typeface="+mn-ea"/>
                <a:cs typeface="+mn-cs"/>
              </a:endParaRPr>
            </a:p>
          </xdr:txBody>
        </xdr:sp>
      </mc:Fallback>
    </mc:AlternateContent>
    <xdr:clientData/>
  </xdr:twoCellAnchor>
  <xdr:twoCellAnchor>
    <xdr:from>
      <xdr:col>5</xdr:col>
      <xdr:colOff>211665</xdr:colOff>
      <xdr:row>48</xdr:row>
      <xdr:rowOff>169334</xdr:rowOff>
    </xdr:from>
    <xdr:to>
      <xdr:col>7</xdr:col>
      <xdr:colOff>52915</xdr:colOff>
      <xdr:row>51</xdr:row>
      <xdr:rowOff>52917</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FD4D55BA-27FC-DE40-A815-C8802CD6ADC3}"/>
                </a:ext>
              </a:extLst>
            </xdr:cNvPr>
            <xdr:cNvSpPr txBox="1"/>
          </xdr:nvSpPr>
          <xdr:spPr>
            <a:xfrm>
              <a:off x="5175248" y="9747251"/>
              <a:ext cx="1608667" cy="4868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1"/>
                        </m:argPr>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1"/>
                            </m:argPr>
                            <m:r>
                              <a:rPr lang="en-US" sz="1100" i="1">
                                <a:solidFill>
                                  <a:schemeClr val="tx1"/>
                                </a:solidFill>
                                <a:effectLst/>
                                <a:latin typeface="Cambria Math" panose="02040503050406030204" pitchFamily="18" charset="0"/>
                                <a:ea typeface="+mn-ea"/>
                                <a:cs typeface="+mn-cs"/>
                              </a:rPr>
                              <m:t>𝐿</m:t>
                            </m:r>
                          </m:sup>
                        </m:sSubSup>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sub>
                          <m:sup>
                            <m:argPr>
                              <m:argSz m:val="-1"/>
                            </m:argPr>
                            <m:r>
                              <a:rPr lang="en-US" sz="1100" i="1">
                                <a:solidFill>
                                  <a:schemeClr val="tx1"/>
                                </a:solidFill>
                                <a:effectLst/>
                                <a:latin typeface="Cambria Math" panose="02040503050406030204" pitchFamily="18" charset="0"/>
                                <a:ea typeface="+mn-ea"/>
                                <a:cs typeface="+mn-cs"/>
                              </a:rPr>
                              <m:t>𝐿</m:t>
                            </m:r>
                          </m:sup>
                        </m:sSubSup>
                      </m:den>
                    </m:f>
                  </m:oMath>
                </m:oMathPara>
              </a14:m>
              <a:endParaRPr lang="en-US"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FD4D55BA-27FC-DE40-A815-C8802CD6ADC3}"/>
                </a:ext>
              </a:extLst>
            </xdr:cNvPr>
            <xdr:cNvSpPr txBox="1"/>
          </xdr:nvSpPr>
          <xdr:spPr>
            <a:xfrm>
              <a:off x="5175248" y="9747251"/>
              <a:ext cx="1608667" cy="48683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〖𝐿𝐷𝐹〗_(𝑡_1−𝑡_2)^𝐿=〖𝐿𝐷𝐹〗_(𝑡_1−𝑡_2 )×(𝑅_(𝑡_2)^𝐿)/(𝑅_(𝑡_1)^𝐿 )</a:t>
              </a:r>
              <a:endParaRPr lang="en-US" sz="1100">
                <a:solidFill>
                  <a:schemeClr val="tx1"/>
                </a:solidFill>
                <a:effectLst/>
                <a:latin typeface="+mn-lt"/>
                <a:ea typeface="+mn-ea"/>
                <a:cs typeface="+mn-cs"/>
              </a:endParaRP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158749</xdr:colOff>
      <xdr:row>29</xdr:row>
      <xdr:rowOff>179917</xdr:rowOff>
    </xdr:from>
    <xdr:to>
      <xdr:col>4</xdr:col>
      <xdr:colOff>677333</xdr:colOff>
      <xdr:row>31</xdr:row>
      <xdr:rowOff>58148</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4DCF58F4-A978-A64C-9E34-9AA5B2EA6086}"/>
                </a:ext>
              </a:extLst>
            </xdr:cNvPr>
            <xdr:cNvSpPr txBox="1"/>
          </xdr:nvSpPr>
          <xdr:spPr>
            <a:xfrm>
              <a:off x="984249" y="6159500"/>
              <a:ext cx="2995084" cy="28039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𝑡</m:t>
                        </m:r>
                      </m:sub>
                      <m:sup>
                        <m:argPr>
                          <m:argSz m:val="-2"/>
                        </m:argPr>
                        <m:r>
                          <a:rPr lang="en-US" sz="1100" i="1">
                            <a:solidFill>
                              <a:schemeClr val="tx1"/>
                            </a:solidFill>
                            <a:effectLst/>
                            <a:latin typeface="Cambria Math" panose="02040503050406030204" pitchFamily="18" charset="0"/>
                            <a:ea typeface="+mn-ea"/>
                            <a:cs typeface="+mn-cs"/>
                          </a:rPr>
                          <m:t>𝐷𝑒𝑑𝑢𝑐𝑡𝑖𝑏𝑙𝑒</m:t>
                        </m:r>
                      </m:sup>
                    </m:sSub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𝐴𝑔𝑔𝑟𝑒𝑔𝑎𝑡𝑒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m:t>
                    </m:r>
                  </m:oMath>
                </m:oMathPara>
              </a14:m>
              <a:endParaRPr lang="en-US"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4DCF58F4-A978-A64C-9E34-9AA5B2EA6086}"/>
                </a:ext>
              </a:extLst>
            </xdr:cNvPr>
            <xdr:cNvSpPr txBox="1"/>
          </xdr:nvSpPr>
          <xdr:spPr>
            <a:xfrm>
              <a:off x="984249" y="6159500"/>
              <a:ext cx="2995084" cy="28039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〖𝐿𝑜𝑠𝑠〗_𝑡^(𝑋𝑆 𝐴𝑔𝑔)=〖𝐿𝑜𝑠𝑠〗_𝑡^𝐷𝑒𝑑𝑢𝑐𝑡𝑖𝑏𝑙𝑒−𝐴𝑔𝑔𝑟𝑒𝑔𝑎𝑡𝑒 𝐿𝑖𝑚𝑖𝑡</a:t>
              </a:r>
              <a:endParaRPr lang="en-US" sz="1100">
                <a:solidFill>
                  <a:schemeClr val="tx1"/>
                </a:solidFill>
                <a:effectLst/>
                <a:latin typeface="+mn-lt"/>
                <a:ea typeface="+mn-ea"/>
                <a:cs typeface="+mn-cs"/>
              </a:endParaRPr>
            </a:p>
          </xdr:txBody>
        </xdr:sp>
      </mc:Fallback>
    </mc:AlternateContent>
    <xdr:clientData/>
  </xdr:twoCellAnchor>
  <xdr:oneCellAnchor>
    <xdr:from>
      <xdr:col>4</xdr:col>
      <xdr:colOff>814915</xdr:colOff>
      <xdr:row>30</xdr:row>
      <xdr:rowOff>21168</xdr:rowOff>
    </xdr:from>
    <xdr:ext cx="3326745" cy="17209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3C4BA0C-257E-364C-A962-9330AD44A53C}"/>
                </a:ext>
              </a:extLst>
            </xdr:cNvPr>
            <xdr:cNvSpPr txBox="1"/>
          </xdr:nvSpPr>
          <xdr:spPr>
            <a:xfrm>
              <a:off x="4116915" y="6201835"/>
              <a:ext cx="332674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𝑎𝑔𝑔</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𝑙𝑎𝑦𝑒𝑟</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𝑎𝑔𝑔</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r>
                      <m:rPr>
                        <m:nor/>
                      </m:rPr>
                      <a:rPr lang="en-US" sz="1100" i="0">
                        <a:solidFill>
                          <a:schemeClr val="tx1"/>
                        </a:solidFill>
                        <a:effectLst/>
                        <a:latin typeface="+mn-lt"/>
                        <a:ea typeface="+mn-ea"/>
                        <a:cs typeface="+mn-cs"/>
                      </a:rPr>
                      <m:t> </m:t>
                    </m:r>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23C4BA0C-257E-364C-A962-9330AD44A53C}"/>
                </a:ext>
              </a:extLst>
            </xdr:cNvPr>
            <xdr:cNvSpPr txBox="1"/>
          </xdr:nvSpPr>
          <xdr:spPr>
            <a:xfrm>
              <a:off x="4116915" y="6201835"/>
              <a:ext cx="3326745"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𝐿𝑜𝑠𝑠 𝑋𝑆 𝑎𝑔𝑔=𝐿𝑜𝑠𝑠 𝑖𝑛 𝑑𝑒𝑑𝑢𝑐𝑡𝑖𝑏𝑙𝑒 𝑙𝑎𝑦𝑒𝑟 −𝑎𝑔𝑔 𝑙𝑖𝑚𝑖𝑡</a:t>
              </a:r>
              <a:r>
                <a:rPr lang="en-US" sz="1100" i="0">
                  <a:solidFill>
                    <a:schemeClr val="tx1"/>
                  </a:solidFill>
                  <a:effectLst/>
                  <a:latin typeface="Cambria Math" panose="02040503050406030204" pitchFamily="18" charset="0"/>
                  <a:ea typeface="+mn-ea"/>
                  <a:cs typeface="+mn-cs"/>
                </a:rPr>
                <a:t>" </a:t>
              </a:r>
              <a:r>
                <a:rPr lang="en-US" sz="1100" i="0">
                  <a:solidFill>
                    <a:schemeClr val="tx1"/>
                  </a:solidFill>
                  <a:effectLst/>
                  <a:latin typeface="+mn-lt"/>
                  <a:ea typeface="+mn-ea"/>
                  <a:cs typeface="+mn-cs"/>
                </a:rPr>
                <a:t>"</a:t>
              </a:r>
              <a:endParaRPr lang="en-US" sz="1100">
                <a:solidFill>
                  <a:schemeClr val="tx1"/>
                </a:solidFill>
                <a:effectLst/>
                <a:latin typeface="+mn-lt"/>
                <a:ea typeface="+mn-ea"/>
                <a:cs typeface="+mn-cs"/>
              </a:endParaRPr>
            </a:p>
          </xdr:txBody>
        </xdr:sp>
      </mc:Fallback>
    </mc:AlternateContent>
    <xdr:clientData/>
  </xdr:oneCellAnchor>
  <xdr:twoCellAnchor>
    <xdr:from>
      <xdr:col>1</xdr:col>
      <xdr:colOff>243415</xdr:colOff>
      <xdr:row>46</xdr:row>
      <xdr:rowOff>158750</xdr:rowOff>
    </xdr:from>
    <xdr:to>
      <xdr:col>3</xdr:col>
      <xdr:colOff>391582</xdr:colOff>
      <xdr:row>49</xdr:row>
      <xdr:rowOff>74083</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54AF0FDF-5C8F-E54A-BE6F-7C1985550449}"/>
                </a:ext>
              </a:extLst>
            </xdr:cNvPr>
            <xdr:cNvSpPr txBox="1"/>
          </xdr:nvSpPr>
          <xdr:spPr>
            <a:xfrm>
              <a:off x="1068915" y="9556750"/>
              <a:ext cx="1799167" cy="518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1"/>
                        </m:argP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𝑢𝑙𝑡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e>
                        </m:d>
                      </m:num>
                      <m:den>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e>
                        </m:d>
                      </m:den>
                    </m:f>
                  </m:oMath>
                </m:oMathPara>
              </a14:m>
              <a:endParaRPr lang="en-US"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54AF0FDF-5C8F-E54A-BE6F-7C1985550449}"/>
                </a:ext>
              </a:extLst>
            </xdr:cNvPr>
            <xdr:cNvSpPr txBox="1"/>
          </xdr:nvSpPr>
          <xdr:spPr>
            <a:xfrm>
              <a:off x="1068915" y="9556750"/>
              <a:ext cx="1799167" cy="51858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a:r>
                <a:rPr lang="en-US" sz="1100" i="0">
                  <a:solidFill>
                    <a:schemeClr val="tx1"/>
                  </a:solidFill>
                  <a:effectLst/>
                  <a:latin typeface="Cambria Math" panose="02040503050406030204" pitchFamily="18" charset="0"/>
                  <a:ea typeface="+mn-ea"/>
                  <a:cs typeface="+mn-cs"/>
                </a:rPr>
                <a:t>〖𝐿𝐷𝐹〗_(𝑡−𝑈𝑙𝑡)^(𝑋𝑆 𝐴𝑔𝑔)=E[〖𝐿𝑜𝑠𝑠〗_𝑢𝑙𝑡^(𝑋𝑆 𝐴𝑔𝑔) ]/E[〖𝐿𝑜𝑠𝑠〗_𝑡^(𝑋𝑆 𝐴𝑔𝑔) ]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761999</xdr:colOff>
      <xdr:row>47</xdr:row>
      <xdr:rowOff>74085</xdr:rowOff>
    </xdr:from>
    <xdr:ext cx="3154966" cy="35849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A1328C5-FB33-3C4B-AA69-8D4A2C40BBFE}"/>
                </a:ext>
              </a:extLst>
            </xdr:cNvPr>
            <xdr:cNvSpPr txBox="1"/>
          </xdr:nvSpPr>
          <xdr:spPr>
            <a:xfrm>
              <a:off x="4063999" y="9038168"/>
              <a:ext cx="3154966" cy="358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1"/>
                        </m:argP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𝑢𝑙𝑡𝑖𝑚𝑎𝑡𝑒</m:t>
                            </m:r>
                          </m:e>
                        </m:d>
                      </m:num>
                      <m:den>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𝑡𝑖𝑚𝑒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m:t>
                            </m:r>
                          </m:e>
                        </m:d>
                      </m:den>
                    </m:f>
                    <m:r>
                      <m:rPr>
                        <m:nor/>
                      </m:rPr>
                      <a:rPr lang="en-US" i="0">
                        <a:effectLst/>
                      </a:rPr>
                      <m:t> </m:t>
                    </m:r>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0A1328C5-FB33-3C4B-AA69-8D4A2C40BBFE}"/>
                </a:ext>
              </a:extLst>
            </xdr:cNvPr>
            <xdr:cNvSpPr txBox="1"/>
          </xdr:nvSpPr>
          <xdr:spPr>
            <a:xfrm>
              <a:off x="4063999" y="9038168"/>
              <a:ext cx="3154966" cy="358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〖𝐿𝐷𝐹〗_(𝑡−𝑈𝑙𝑡)^(𝑋𝑆 𝐴𝑔𝑔)=E[𝐿𝑜𝑠𝑠 𝑒𝑥𝑐𝑒𝑠𝑠 𝐴𝑔𝑔 𝑙𝑖𝑚𝑖𝑡 𝑎𝑡 𝑢𝑙𝑡𝑖𝑚𝑎𝑡𝑒]/E[𝐿𝑜𝑠𝑠 𝑒𝑥𝑐𝑒𝑠𝑠 𝐴𝑔𝑔 𝑙𝑖𝑚𝑖𝑡 𝑎𝑡 𝑡𝑖𝑚𝑒 𝑡]  </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95248</xdr:colOff>
      <xdr:row>59</xdr:row>
      <xdr:rowOff>148165</xdr:rowOff>
    </xdr:from>
    <xdr:to>
      <xdr:col>5</xdr:col>
      <xdr:colOff>285749</xdr:colOff>
      <xdr:row>61</xdr:row>
      <xdr:rowOff>159894</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A1C848D1-72A5-B945-8EED-3937BA05267D}"/>
                </a:ext>
              </a:extLst>
            </xdr:cNvPr>
            <xdr:cNvSpPr txBox="1"/>
          </xdr:nvSpPr>
          <xdr:spPr>
            <a:xfrm>
              <a:off x="920748" y="12191998"/>
              <a:ext cx="3492501" cy="41389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1"/>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𝐿𝐷𝐹</m:t>
                                </m:r>
                              </m:e>
                              <m:sup>
                                <m:argPr>
                                  <m:argSz m:val="-1"/>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den>
                        </m:f>
                      </m:e>
                    </m:d>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𝑢𝑙𝑡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e>
                    </m:d>
                  </m:oMath>
                </m:oMathPara>
              </a14:m>
              <a:endParaRPr lang="en-US"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A1C848D1-72A5-B945-8EED-3937BA05267D}"/>
                </a:ext>
              </a:extLst>
            </xdr:cNvPr>
            <xdr:cNvSpPr txBox="1"/>
          </xdr:nvSpPr>
          <xdr:spPr>
            <a:xfrm>
              <a:off x="920748" y="12191998"/>
              <a:ext cx="3492501" cy="41389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〖𝑈𝑙𝑡〗^(𝑋𝑆 𝐴𝑔𝑔)=〖𝐿𝑜𝑠𝑠〗^(𝑋𝑆 𝐴𝑔𝑔)+(1−1/〖𝐿𝐷𝐹〗^(𝑋𝑆 𝐴𝑔𝑔) )×E[〖𝐿𝑜𝑠𝑠〗_𝑢𝑙𝑡^(𝑋𝑆 𝐴𝑔𝑔) ]</a:t>
              </a:r>
              <a:endParaRPr lang="en-US" sz="1100">
                <a:solidFill>
                  <a:schemeClr val="tx1"/>
                </a:solidFill>
                <a:effectLst/>
                <a:latin typeface="+mn-lt"/>
                <a:ea typeface="+mn-ea"/>
                <a:cs typeface="+mn-cs"/>
              </a:endParaRPr>
            </a:p>
          </xdr:txBody>
        </xdr:sp>
      </mc:Fallback>
    </mc:AlternateContent>
    <xdr:clientData/>
  </xdr:twoCellAnchor>
  <xdr:oneCellAnchor>
    <xdr:from>
      <xdr:col>1</xdr:col>
      <xdr:colOff>179915</xdr:colOff>
      <xdr:row>63</xdr:row>
      <xdr:rowOff>1</xdr:rowOff>
    </xdr:from>
    <xdr:ext cx="3868238" cy="17209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DE50CD4-9391-B64D-A67A-4CA9B2ED8054}"/>
                </a:ext>
              </a:extLst>
            </xdr:cNvPr>
            <xdr:cNvSpPr txBox="1"/>
          </xdr:nvSpPr>
          <xdr:spPr>
            <a:xfrm>
              <a:off x="1005415" y="12848168"/>
              <a:ext cx="386823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𝑎𝑔𝑔</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𝑒𝑥</m:t>
                    </m:r>
                    <m:r>
                      <a:rPr lang="en-US" sz="1100" i="1">
                        <a:solidFill>
                          <a:schemeClr val="tx1"/>
                        </a:solidFill>
                        <a:effectLst/>
                        <a:latin typeface="Cambria Math" panose="02040503050406030204" pitchFamily="18" charset="0"/>
                        <a:ea typeface="+mn-ea"/>
                        <a:cs typeface="+mn-cs"/>
                      </a:rPr>
                      <m:t>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𝑎𝑔𝑔</m:t>
                    </m:r>
                    <m:r>
                      <m:rPr>
                        <m:nor/>
                      </m:rPr>
                      <a:rPr lang="en-US" i="0">
                        <a:effectLst/>
                      </a:rPr>
                      <m:t> </m:t>
                    </m:r>
                  </m:oMath>
                </m:oMathPara>
              </a14:m>
              <a:endParaRPr lang="en-US" sz="1100">
                <a:solidFill>
                  <a:schemeClr val="tx1"/>
                </a:solidFill>
              </a:endParaRPr>
            </a:p>
          </xdr:txBody>
        </xdr:sp>
      </mc:Choice>
      <mc:Fallback xmlns="">
        <xdr:sp macro="" textlink="">
          <xdr:nvSpPr>
            <xdr:cNvPr id="7" name="TextBox 6">
              <a:extLst>
                <a:ext uri="{FF2B5EF4-FFF2-40B4-BE49-F238E27FC236}">
                  <a16:creationId xmlns:a16="http://schemas.microsoft.com/office/drawing/2014/main" id="{5DE50CD4-9391-B64D-A67A-4CA9B2ED8054}"/>
                </a:ext>
              </a:extLst>
            </xdr:cNvPr>
            <xdr:cNvSpPr txBox="1"/>
          </xdr:nvSpPr>
          <xdr:spPr>
            <a:xfrm>
              <a:off x="1005415" y="12848168"/>
              <a:ext cx="3868238"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𝑈𝑙𝑡=𝐿𝑜𝑠𝑠 𝑒𝑥𝑐𝑒𝑠𝑠 𝑎𝑔𝑔+%𝑈𝑛𝑝𝑎𝑖𝑑×𝐸𝑥𝑝𝑒𝑐𝑡𝑒𝑑 𝑈𝑙𝑡 </a:t>
              </a:r>
              <a:r>
                <a:rPr lang="en-US" sz="1100" b="0" i="0">
                  <a:solidFill>
                    <a:schemeClr val="tx1"/>
                  </a:solidFill>
                  <a:effectLst/>
                  <a:latin typeface="Cambria Math" panose="02040503050406030204" pitchFamily="18" charset="0"/>
                  <a:ea typeface="+mn-ea"/>
                  <a:cs typeface="+mn-cs"/>
                </a:rPr>
                <a:t>𝑒𝑥</a:t>
              </a:r>
              <a:r>
                <a:rPr lang="en-US" sz="1100" i="0">
                  <a:solidFill>
                    <a:schemeClr val="tx1"/>
                  </a:solidFill>
                  <a:effectLst/>
                  <a:latin typeface="Cambria Math" panose="02040503050406030204" pitchFamily="18" charset="0"/>
                  <a:ea typeface="+mn-ea"/>
                  <a:cs typeface="+mn-cs"/>
                </a:rPr>
                <a:t>𝑐𝑒𝑠𝑠 𝑎𝑔𝑔"</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twoCellAnchor>
    <xdr:from>
      <xdr:col>1</xdr:col>
      <xdr:colOff>222250</xdr:colOff>
      <xdr:row>33</xdr:row>
      <xdr:rowOff>169335</xdr:rowOff>
    </xdr:from>
    <xdr:to>
      <xdr:col>4</xdr:col>
      <xdr:colOff>666750</xdr:colOff>
      <xdr:row>35</xdr:row>
      <xdr:rowOff>21015</xdr:rowOff>
    </xdr:to>
    <mc:AlternateContent xmlns:mc="http://schemas.openxmlformats.org/markup-compatibility/2006" xmlns:a14="http://schemas.microsoft.com/office/drawing/2010/main">
      <mc:Choice Requires="a14">
        <xdr:sp macro="" textlink="">
          <xdr:nvSpPr>
            <xdr:cNvPr id="11" name="TextBox 2">
              <a:extLst>
                <a:ext uri="{FF2B5EF4-FFF2-40B4-BE49-F238E27FC236}">
                  <a16:creationId xmlns:a16="http://schemas.microsoft.com/office/drawing/2014/main" id="{AB742520-37B3-D84D-A7BE-55B98F7D52AA}"/>
                </a:ext>
              </a:extLst>
            </xdr:cNvPr>
            <xdr:cNvSpPr txBox="1"/>
          </xdr:nvSpPr>
          <xdr:spPr>
            <a:xfrm>
              <a:off x="1047750" y="6942668"/>
              <a:ext cx="2921000" cy="27501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𝐹𝑟𝑒𝑞𝑢𝑒𝑛𝑐𝑦</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𝑆𝑒𝑣𝑒𝑟𝑖𝑡𝑦</m:t>
                    </m:r>
                  </m:oMath>
                </m:oMathPara>
              </a14:m>
              <a:endParaRPr lang="en-US" sz="1100">
                <a:solidFill>
                  <a:schemeClr val="tx1"/>
                </a:solidFill>
                <a:effectLst/>
                <a:latin typeface="+mn-lt"/>
                <a:ea typeface="+mn-ea"/>
                <a:cs typeface="+mn-cs"/>
              </a:endParaRPr>
            </a:p>
          </xdr:txBody>
        </xdr:sp>
      </mc:Choice>
      <mc:Fallback xmlns="">
        <xdr:sp macro="" textlink="">
          <xdr:nvSpPr>
            <xdr:cNvPr id="11" name="TextBox 2">
              <a:extLst>
                <a:ext uri="{FF2B5EF4-FFF2-40B4-BE49-F238E27FC236}">
                  <a16:creationId xmlns:a16="http://schemas.microsoft.com/office/drawing/2014/main" id="{AB742520-37B3-D84D-A7BE-55B98F7D52AA}"/>
                </a:ext>
              </a:extLst>
            </xdr:cNvPr>
            <xdr:cNvSpPr txBox="1"/>
          </xdr:nvSpPr>
          <xdr:spPr>
            <a:xfrm>
              <a:off x="1047750" y="6942668"/>
              <a:ext cx="2921000" cy="27501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𝐿𝑖𝑚𝑖𝑡𝑒𝑑 𝐿𝑜𝑠𝑠=𝐹𝑟𝑒𝑞𝑢𝑒𝑛𝑐𝑦×𝐿𝑖𝑚𝑖𝑡𝑒𝑑 𝑆𝑒𝑣𝑒𝑟𝑖𝑡𝑦</a:t>
              </a:r>
              <a:endParaRPr lang="en-US" sz="1100">
                <a:solidFill>
                  <a:schemeClr val="tx1"/>
                </a:solidFill>
                <a:effectLst/>
                <a:latin typeface="+mn-lt"/>
                <a:ea typeface="+mn-ea"/>
                <a:cs typeface="+mn-cs"/>
              </a:endParaRPr>
            </a:p>
          </xdr:txBody>
        </xdr:sp>
      </mc:Fallback>
    </mc:AlternateContent>
    <xdr:clientData/>
  </xdr:twoCellAnchor>
  <xdr:twoCellAnchor>
    <xdr:from>
      <xdr:col>1</xdr:col>
      <xdr:colOff>444500</xdr:colOff>
      <xdr:row>40</xdr:row>
      <xdr:rowOff>105834</xdr:rowOff>
    </xdr:from>
    <xdr:to>
      <xdr:col>4</xdr:col>
      <xdr:colOff>84666</xdr:colOff>
      <xdr:row>42</xdr:row>
      <xdr:rowOff>92869</xdr:rowOff>
    </xdr:to>
    <mc:AlternateContent xmlns:mc="http://schemas.openxmlformats.org/markup-compatibility/2006" xmlns:a14="http://schemas.microsoft.com/office/drawing/2010/main">
      <mc:Choice Requires="a14">
        <xdr:sp macro="" textlink="">
          <xdr:nvSpPr>
            <xdr:cNvPr id="13" name="TextBox 2">
              <a:extLst>
                <a:ext uri="{FF2B5EF4-FFF2-40B4-BE49-F238E27FC236}">
                  <a16:creationId xmlns:a16="http://schemas.microsoft.com/office/drawing/2014/main" id="{72F94404-7AC9-7140-8ECE-7866FBF8D215}"/>
                </a:ext>
              </a:extLst>
            </xdr:cNvPr>
            <xdr:cNvSpPr txBox="1"/>
          </xdr:nvSpPr>
          <xdr:spPr>
            <a:xfrm>
              <a:off x="1270000" y="8307917"/>
              <a:ext cx="2116666" cy="41036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𝐸𝑛𝑡𝑟𝑦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𝐴𝑔𝑔𝑟𝑒𝑔𝑎𝑡𝑒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m:t>
                        </m:r>
                      </m:num>
                      <m:den>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den>
                    </m:f>
                  </m:oMath>
                </m:oMathPara>
              </a14:m>
              <a:endParaRPr lang="en-US" sz="1100">
                <a:solidFill>
                  <a:schemeClr val="tx1"/>
                </a:solidFill>
                <a:effectLst/>
                <a:latin typeface="+mn-lt"/>
                <a:ea typeface="+mn-ea"/>
                <a:cs typeface="+mn-cs"/>
              </a:endParaRPr>
            </a:p>
          </xdr:txBody>
        </xdr:sp>
      </mc:Choice>
      <mc:Fallback xmlns="">
        <xdr:sp macro="" textlink="">
          <xdr:nvSpPr>
            <xdr:cNvPr id="13" name="TextBox 2">
              <a:extLst>
                <a:ext uri="{FF2B5EF4-FFF2-40B4-BE49-F238E27FC236}">
                  <a16:creationId xmlns:a16="http://schemas.microsoft.com/office/drawing/2014/main" id="{72F94404-7AC9-7140-8ECE-7866FBF8D215}"/>
                </a:ext>
              </a:extLst>
            </xdr:cNvPr>
            <xdr:cNvSpPr txBox="1"/>
          </xdr:nvSpPr>
          <xdr:spPr>
            <a:xfrm>
              <a:off x="1270000" y="8307917"/>
              <a:ext cx="2116666" cy="41036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𝐸𝑛𝑡𝑟𝑦 𝑅𝑎𝑡𝑖𝑜=(𝐴𝑔𝑔𝑟𝑒𝑔𝑎𝑡𝑒 𝐿𝑖𝑚𝑖𝑡)/(𝐿𝑖𝑚𝑖𝑡𝑒𝑑 𝐿𝑜𝑠𝑠)</a:t>
              </a:r>
              <a:endParaRPr lang="en-US" sz="1100">
                <a:solidFill>
                  <a:schemeClr val="tx1"/>
                </a:solidFill>
                <a:effectLst/>
                <a:latin typeface="+mn-lt"/>
                <a:ea typeface="+mn-ea"/>
                <a:cs typeface="+mn-cs"/>
              </a:endParaRPr>
            </a:p>
          </xdr:txBody>
        </xdr:sp>
      </mc:Fallback>
    </mc:AlternateContent>
    <xdr:clientData/>
  </xdr:twoCellAnchor>
  <xdr:twoCellAnchor>
    <xdr:from>
      <xdr:col>1</xdr:col>
      <xdr:colOff>402167</xdr:colOff>
      <xdr:row>49</xdr:row>
      <xdr:rowOff>158750</xdr:rowOff>
    </xdr:from>
    <xdr:to>
      <xdr:col>5</xdr:col>
      <xdr:colOff>603251</xdr:colOff>
      <xdr:row>51</xdr:row>
      <xdr:rowOff>200745</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AB64F516-FB31-E44C-BC50-D18B1F8DFF20}"/>
                </a:ext>
              </a:extLst>
            </xdr:cNvPr>
            <xdr:cNvSpPr txBox="1"/>
          </xdr:nvSpPr>
          <xdr:spPr>
            <a:xfrm>
              <a:off x="1227667" y="9355667"/>
              <a:ext cx="3503084" cy="44416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=1−</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𝑆𝑒𝑣𝑒𝑟𝑖𝑡𝑦</m:t>
                        </m:r>
                      </m:num>
                      <m:den>
                        <m:r>
                          <m:rPr>
                            <m:sty m:val="p"/>
                          </m:rPr>
                          <a:rPr lang="en-US" sz="1100">
                            <a:solidFill>
                              <a:schemeClr val="tx1"/>
                            </a:solidFill>
                            <a:effectLst/>
                            <a:latin typeface="Cambria Math" panose="02040503050406030204" pitchFamily="18" charset="0"/>
                            <a:ea typeface="+mn-ea"/>
                            <a:cs typeface="+mn-cs"/>
                          </a:rPr>
                          <m:t>E</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𝑈𝑛𝑙𝑖𝑚𝑖𝑡𝑒𝑑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m:t>
                        </m:r>
                      </m:den>
                    </m:f>
                  </m:oMath>
                </m:oMathPara>
              </a14:m>
              <a:endParaRPr lang="en-US" sz="1100">
                <a:solidFill>
                  <a:schemeClr val="tx1"/>
                </a:solidFill>
                <a:effectLst/>
                <a:latin typeface="+mn-lt"/>
                <a:ea typeface="+mn-ea"/>
                <a:cs typeface="+mn-cs"/>
              </a:endParaRPr>
            </a:p>
          </xdr:txBody>
        </xdr:sp>
      </mc:Choice>
      <mc:Fallback xmlns="">
        <xdr:sp macro="" textlink="">
          <xdr:nvSpPr>
            <xdr:cNvPr id="14" name="TextBox 2">
              <a:extLst>
                <a:ext uri="{FF2B5EF4-FFF2-40B4-BE49-F238E27FC236}">
                  <a16:creationId xmlns:a16="http://schemas.microsoft.com/office/drawing/2014/main" id="{AB64F516-FB31-E44C-BC50-D18B1F8DFF20}"/>
                </a:ext>
              </a:extLst>
            </xdr:cNvPr>
            <xdr:cNvSpPr txBox="1"/>
          </xdr:nvSpPr>
          <xdr:spPr>
            <a:xfrm>
              <a:off x="1227667" y="9355667"/>
              <a:ext cx="3503084" cy="44416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%𝐿𝑜𝑠𝑠 𝐸𝑥𝑐𝑒𝑠𝑠 𝐷𝑒𝑑𝑢𝑐𝑡𝑖𝑏𝑙𝑒=1−(𝐿𝑖𝑚𝑖𝑡𝑒𝑑 𝑆𝑒𝑣𝑒𝑟𝑖𝑡𝑦)/(E[𝑈𝑛𝑙𝑖𝑚𝑖𝑡𝑒𝑑 𝑆𝑒𝑣𝑒𝑟𝑖𝑡𝑦])</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338667</xdr:colOff>
      <xdr:row>57</xdr:row>
      <xdr:rowOff>169333</xdr:rowOff>
    </xdr:from>
    <xdr:to>
      <xdr:col>5</xdr:col>
      <xdr:colOff>169333</xdr:colOff>
      <xdr:row>60</xdr:row>
      <xdr:rowOff>0</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20E9C4EE-4DD3-004A-AFCD-3E00A0B5B865}"/>
                </a:ext>
              </a:extLst>
            </xdr:cNvPr>
            <xdr:cNvSpPr txBox="1"/>
          </xdr:nvSpPr>
          <xdr:spPr>
            <a:xfrm>
              <a:off x="1164167" y="10773833"/>
              <a:ext cx="3132666" cy="4339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𝐴𝑑𝑗𝑢𝑠𝑡𝑚𝑒𝑛𝑡</m:t>
                    </m:r>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1+.8×%</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𝐷𝑒𝑑𝑢𝑐𝑡𝑖𝑏𝑙𝑒</m:t>
                        </m:r>
                      </m:num>
                      <m:den>
                        <m:r>
                          <a:rPr lang="en-US" sz="1100" i="1">
                            <a:solidFill>
                              <a:schemeClr val="tx1"/>
                            </a:solidFill>
                            <a:effectLst/>
                            <a:latin typeface="Cambria Math" panose="02040503050406030204" pitchFamily="18" charset="0"/>
                            <a:ea typeface="+mn-ea"/>
                            <a:cs typeface="+mn-cs"/>
                          </a:rPr>
                          <m:t>1−%</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𝐸𝑥𝑐𝑒𝑠𝑠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𝐷𝑒𝑑𝑢𝑐𝑡𝑖𝑏𝑙𝑒</m:t>
                        </m:r>
                      </m:den>
                    </m:f>
                  </m:oMath>
                </m:oMathPara>
              </a14:m>
              <a:endParaRPr lang="en-US" sz="1100">
                <a:solidFill>
                  <a:schemeClr val="tx1"/>
                </a:solidFill>
                <a:effectLst/>
                <a:latin typeface="+mn-lt"/>
                <a:ea typeface="+mn-ea"/>
                <a:cs typeface="+mn-cs"/>
              </a:endParaRPr>
            </a:p>
          </xdr:txBody>
        </xdr:sp>
      </mc:Choice>
      <mc:Fallback xmlns="">
        <xdr:sp macro="" textlink="">
          <xdr:nvSpPr>
            <xdr:cNvPr id="16" name="TextBox 2">
              <a:extLst>
                <a:ext uri="{FF2B5EF4-FFF2-40B4-BE49-F238E27FC236}">
                  <a16:creationId xmlns:a16="http://schemas.microsoft.com/office/drawing/2014/main" id="{20E9C4EE-4DD3-004A-AFCD-3E00A0B5B865}"/>
                </a:ext>
              </a:extLst>
            </xdr:cNvPr>
            <xdr:cNvSpPr txBox="1"/>
          </xdr:nvSpPr>
          <xdr:spPr>
            <a:xfrm>
              <a:off x="1164167" y="10773833"/>
              <a:ext cx="3132666" cy="4339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𝐴𝑑𝑗𝑢𝑠𝑡𝑚𝑒𝑛𝑡=(1+.8×%𝐿𝑜𝑠𝑠 𝐸𝑥𝑐𝑒𝑠𝑠 𝐷𝑒𝑑𝑢𝑐𝑡𝑖𝑏𝑙𝑒)/(1−%𝐿𝑜𝑠𝑠 𝐸𝑥𝑐𝑒𝑠𝑠 𝐷𝑒𝑑𝑢𝑐𝑡𝑖𝑏𝑙𝑒)</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359833</xdr:colOff>
      <xdr:row>67</xdr:row>
      <xdr:rowOff>169335</xdr:rowOff>
    </xdr:from>
    <xdr:to>
      <xdr:col>5</xdr:col>
      <xdr:colOff>455083</xdr:colOff>
      <xdr:row>69</xdr:row>
      <xdr:rowOff>31599</xdr:rowOff>
    </xdr:to>
    <mc:AlternateContent xmlns:mc="http://schemas.openxmlformats.org/markup-compatibility/2006" xmlns:a14="http://schemas.microsoft.com/office/drawing/2010/main">
      <mc:Choice Requires="a14">
        <xdr:sp macro="" textlink="">
          <xdr:nvSpPr>
            <xdr:cNvPr id="17" name="TextBox 2">
              <a:extLst>
                <a:ext uri="{FF2B5EF4-FFF2-40B4-BE49-F238E27FC236}">
                  <a16:creationId xmlns:a16="http://schemas.microsoft.com/office/drawing/2014/main" id="{043D8829-69F4-0446-AFAA-10AED0694AEA}"/>
                </a:ext>
              </a:extLst>
            </xdr:cNvPr>
            <xdr:cNvSpPr txBox="1"/>
          </xdr:nvSpPr>
          <xdr:spPr>
            <a:xfrm>
              <a:off x="1185333" y="13821835"/>
              <a:ext cx="339725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𝐴𝑑𝑗</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𝑈𝑛𝑙𝑖𝑚𝑖𝑡𝑒𝑑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𝐴𝑑𝑗𝑢𝑠𝑡𝑚𝑒𝑛𝑡</m:t>
                    </m:r>
                  </m:oMath>
                </m:oMathPara>
              </a14:m>
              <a:endParaRPr lang="en-US" sz="1100">
                <a:solidFill>
                  <a:schemeClr val="tx1"/>
                </a:solidFill>
                <a:effectLst/>
                <a:latin typeface="+mn-lt"/>
                <a:ea typeface="+mn-ea"/>
                <a:cs typeface="+mn-cs"/>
              </a:endParaRPr>
            </a:p>
          </xdr:txBody>
        </xdr:sp>
      </mc:Choice>
      <mc:Fallback xmlns="">
        <xdr:sp macro="" textlink="">
          <xdr:nvSpPr>
            <xdr:cNvPr id="17" name="TextBox 2">
              <a:extLst>
                <a:ext uri="{FF2B5EF4-FFF2-40B4-BE49-F238E27FC236}">
                  <a16:creationId xmlns:a16="http://schemas.microsoft.com/office/drawing/2014/main" id="{043D8829-69F4-0446-AFAA-10AED0694AEA}"/>
                </a:ext>
              </a:extLst>
            </xdr:cNvPr>
            <xdr:cNvSpPr txBox="1"/>
          </xdr:nvSpPr>
          <xdr:spPr>
            <a:xfrm>
              <a:off x="1185333" y="13821835"/>
              <a:ext cx="339725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𝐴𝑑𝑗. 𝐿𝑖𝑚𝑖𝑡𝑒𝑑 𝐿𝑜𝑠𝑠=E[𝑈𝑛𝑙𝑖𝑚𝑖𝑡𝑒𝑑 𝐿𝑜𝑠𝑠]×𝐴𝑑𝑗𝑢𝑠𝑡𝑚𝑒𝑛𝑡</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380999</xdr:colOff>
      <xdr:row>82</xdr:row>
      <xdr:rowOff>137585</xdr:rowOff>
    </xdr:from>
    <xdr:to>
      <xdr:col>6</xdr:col>
      <xdr:colOff>116416</xdr:colOff>
      <xdr:row>83</xdr:row>
      <xdr:rowOff>200933</xdr:rowOff>
    </xdr:to>
    <mc:AlternateContent xmlns:mc="http://schemas.openxmlformats.org/markup-compatibility/2006" xmlns:a14="http://schemas.microsoft.com/office/drawing/2010/main">
      <mc:Choice Requires="a14">
        <xdr:sp macro="" textlink="">
          <xdr:nvSpPr>
            <xdr:cNvPr id="20" name="TextBox 2">
              <a:extLst>
                <a:ext uri="{FF2B5EF4-FFF2-40B4-BE49-F238E27FC236}">
                  <a16:creationId xmlns:a16="http://schemas.microsoft.com/office/drawing/2014/main" id="{22E5C394-8E74-2040-90D2-10FE60C4259E}"/>
                </a:ext>
              </a:extLst>
            </xdr:cNvPr>
            <xdr:cNvSpPr txBox="1"/>
          </xdr:nvSpPr>
          <xdr:spPr>
            <a:xfrm>
              <a:off x="1206499" y="17018002"/>
              <a:ext cx="386291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𝐼𝑛𝑠𝑢𝑟𝑎𝑛𝑐𝑒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𝐶h𝑎𝑟𝑔𝑒</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𝐼𝑛𝑠𝑢𝑟𝑎𝑛𝑐𝑒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𝐶h𝑎𝑟𝑔𝑒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𝑅𝑎𝑡𝑖𝑜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oMath>
                </m:oMathPara>
              </a14:m>
              <a:endParaRPr lang="en-US" sz="1100">
                <a:solidFill>
                  <a:schemeClr val="tx1"/>
                </a:solidFill>
                <a:effectLst/>
                <a:latin typeface="+mn-lt"/>
                <a:ea typeface="+mn-ea"/>
                <a:cs typeface="+mn-cs"/>
              </a:endParaRPr>
            </a:p>
          </xdr:txBody>
        </xdr:sp>
      </mc:Choice>
      <mc:Fallback xmlns="">
        <xdr:sp macro="" textlink="">
          <xdr:nvSpPr>
            <xdr:cNvPr id="20" name="TextBox 2">
              <a:extLst>
                <a:ext uri="{FF2B5EF4-FFF2-40B4-BE49-F238E27FC236}">
                  <a16:creationId xmlns:a16="http://schemas.microsoft.com/office/drawing/2014/main" id="{22E5C394-8E74-2040-90D2-10FE60C4259E}"/>
                </a:ext>
              </a:extLst>
            </xdr:cNvPr>
            <xdr:cNvSpPr txBox="1"/>
          </xdr:nvSpPr>
          <xdr:spPr>
            <a:xfrm>
              <a:off x="1206499" y="17018002"/>
              <a:ext cx="3862917"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𝐼𝑛𝑠𝑢𝑟𝑎𝑛𝑐𝑒 𝐶ℎ𝑎𝑟𝑔𝑒=𝐼𝑛𝑠𝑢𝑟𝑎𝑛𝑐𝑒 𝐶ℎ𝑎𝑟𝑔𝑒 𝑅𝑎𝑡𝑖𝑜 ×𝐿𝑖𝑚𝑖𝑡𝑒𝑑 𝐿𝑜𝑠𝑠</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338667</xdr:colOff>
      <xdr:row>102</xdr:row>
      <xdr:rowOff>169334</xdr:rowOff>
    </xdr:from>
    <xdr:to>
      <xdr:col>5</xdr:col>
      <xdr:colOff>243417</xdr:colOff>
      <xdr:row>104</xdr:row>
      <xdr:rowOff>10432</xdr:rowOff>
    </xdr:to>
    <mc:AlternateContent xmlns:mc="http://schemas.openxmlformats.org/markup-compatibility/2006" xmlns:a14="http://schemas.microsoft.com/office/drawing/2010/main">
      <mc:Choice Requires="a14">
        <xdr:sp macro="" textlink="">
          <xdr:nvSpPr>
            <xdr:cNvPr id="22" name="TextBox 2">
              <a:extLst>
                <a:ext uri="{FF2B5EF4-FFF2-40B4-BE49-F238E27FC236}">
                  <a16:creationId xmlns:a16="http://schemas.microsoft.com/office/drawing/2014/main" id="{1BBB79C3-3053-1D45-9C2F-2D4696D53AAC}"/>
                </a:ext>
              </a:extLst>
            </xdr:cNvPr>
            <xdr:cNvSpPr txBox="1"/>
          </xdr:nvSpPr>
          <xdr:spPr>
            <a:xfrm>
              <a:off x="1164167" y="18552584"/>
              <a:ext cx="320675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𝐼𝐵𝑁𝑅</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𝐼𝑛𝑠𝑢𝑟𝑎𝑛𝑐𝑒</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𝐶h𝑎𝑟𝑔𝑒</m:t>
                        </m:r>
                      </m:e>
                      <m:sub>
                        <m:argPr>
                          <m:argSz m:val="-2"/>
                        </m:argPr>
                        <m:r>
                          <a:rPr lang="en-US" sz="1100" i="1">
                            <a:solidFill>
                              <a:schemeClr val="tx1"/>
                            </a:solidFill>
                            <a:effectLst/>
                            <a:latin typeface="Cambria Math" panose="02040503050406030204" pitchFamily="18" charset="0"/>
                            <a:ea typeface="+mn-ea"/>
                            <a:cs typeface="+mn-cs"/>
                          </a:rPr>
                          <m:t>𝑈𝑙𝑡</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𝐼𝑛𝑠𝑢𝑟𝑎𝑛𝑐𝑒𝐶h𝑎𝑟𝑔𝑒</m:t>
                        </m:r>
                      </m:e>
                      <m:sub>
                        <m:argPr>
                          <m:argSz m:val="-1"/>
                        </m:argPr>
                        <m:r>
                          <a:rPr lang="en-US" sz="1100" i="1">
                            <a:solidFill>
                              <a:schemeClr val="tx1"/>
                            </a:solidFill>
                            <a:effectLst/>
                            <a:latin typeface="Cambria Math" panose="02040503050406030204" pitchFamily="18" charset="0"/>
                            <a:ea typeface="+mn-ea"/>
                            <a:cs typeface="+mn-cs"/>
                          </a:rPr>
                          <m:t>𝑡</m:t>
                        </m:r>
                      </m:sub>
                    </m:sSub>
                  </m:oMath>
                </m:oMathPara>
              </a14:m>
              <a:endParaRPr lang="en-US" sz="1100">
                <a:solidFill>
                  <a:schemeClr val="tx1"/>
                </a:solidFill>
                <a:effectLst/>
                <a:latin typeface="+mn-lt"/>
                <a:ea typeface="+mn-ea"/>
                <a:cs typeface="+mn-cs"/>
              </a:endParaRPr>
            </a:p>
          </xdr:txBody>
        </xdr:sp>
      </mc:Choice>
      <mc:Fallback xmlns="">
        <xdr:sp macro="" textlink="">
          <xdr:nvSpPr>
            <xdr:cNvPr id="22" name="TextBox 2">
              <a:extLst>
                <a:ext uri="{FF2B5EF4-FFF2-40B4-BE49-F238E27FC236}">
                  <a16:creationId xmlns:a16="http://schemas.microsoft.com/office/drawing/2014/main" id="{1BBB79C3-3053-1D45-9C2F-2D4696D53AAC}"/>
                </a:ext>
              </a:extLst>
            </xdr:cNvPr>
            <xdr:cNvSpPr txBox="1"/>
          </xdr:nvSpPr>
          <xdr:spPr>
            <a:xfrm>
              <a:off x="1164167" y="18552584"/>
              <a:ext cx="320675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𝐼𝐵𝑁𝑅=𝐼𝑛𝑠𝑢𝑟𝑎𝑛𝑐𝑒 〖𝐶ℎ𝑎𝑟𝑔𝑒〗_𝑈𝑙𝑡−〖𝐼𝑛𝑠𝑢𝑟𝑎𝑛𝑐𝑒𝐶ℎ𝑎𝑟𝑔𝑒〗_𝑡</a:t>
              </a:r>
              <a:endParaRPr lang="en-US" sz="1100">
                <a:solidFill>
                  <a:schemeClr val="tx1"/>
                </a:solidFill>
                <a:effectLst/>
                <a:latin typeface="+mn-lt"/>
                <a:ea typeface="+mn-ea"/>
                <a:cs typeface="+mn-cs"/>
              </a:endParaRP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306916</xdr:colOff>
      <xdr:row>44</xdr:row>
      <xdr:rowOff>84668</xdr:rowOff>
    </xdr:from>
    <xdr:to>
      <xdr:col>3</xdr:col>
      <xdr:colOff>52916</xdr:colOff>
      <xdr:row>46</xdr:row>
      <xdr:rowOff>166545</xdr:rowOff>
    </xdr:to>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FAACD25C-FF08-9D40-9520-2E62150658A5}"/>
                </a:ext>
              </a:extLst>
            </xdr:cNvPr>
            <xdr:cNvSpPr txBox="1"/>
          </xdr:nvSpPr>
          <xdr:spPr>
            <a:xfrm>
              <a:off x="1132416" y="9091085"/>
              <a:ext cx="1397000" cy="48404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2"/>
                        </m:argP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2"/>
                            </m:argPr>
                            <m:r>
                              <a:rPr lang="en-US" sz="1100" i="1">
                                <a:solidFill>
                                  <a:schemeClr val="tx1"/>
                                </a:solidFill>
                                <a:effectLst/>
                                <a:latin typeface="Cambria Math" panose="02040503050406030204" pitchFamily="18" charset="0"/>
                                <a:ea typeface="+mn-ea"/>
                                <a:cs typeface="+mn-cs"/>
                              </a:rPr>
                              <m:t>𝑡</m:t>
                            </m:r>
                          </m:e>
                          <m:sub>
                            <m:argPr>
                              <m:argSz m:val="-2"/>
                            </m:argPr>
                            <m:r>
                              <a:rPr lang="en-US" sz="1100" i="1">
                                <a:solidFill>
                                  <a:schemeClr val="tx1"/>
                                </a:solidFill>
                                <a:effectLst/>
                                <a:latin typeface="Cambria Math" panose="02040503050406030204" pitchFamily="18" charset="0"/>
                                <a:ea typeface="+mn-ea"/>
                                <a:cs typeface="+mn-cs"/>
                              </a:rPr>
                              <m:t>2</m:t>
                            </m:r>
                          </m:sub>
                        </m:sSub>
                      </m:sub>
                      <m:sup>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𝑆𝑒𝑣𝑒𝑟𝑖𝑡𝑦</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1"/>
                            </m:argPr>
                            <m:r>
                              <a:rPr lang="en-US" sz="1100" i="1">
                                <a:solidFill>
                                  <a:schemeClr val="tx1"/>
                                </a:solidFill>
                                <a:effectLst/>
                                <a:latin typeface="Cambria Math" panose="02040503050406030204" pitchFamily="18" charset="0"/>
                                <a:ea typeface="+mn-ea"/>
                                <a:cs typeface="+mn-cs"/>
                              </a:rPr>
                              <m:t>𝐿</m:t>
                            </m:r>
                          </m:sup>
                        </m:sSubSup>
                      </m:num>
                      <m:den>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𝑆𝑒𝑣𝑒𝑟𝑖𝑡𝑦</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sub>
                          <m:sup>
                            <m:argPr>
                              <m:argSz m:val="-1"/>
                            </m:argPr>
                            <m:r>
                              <a:rPr lang="en-US" sz="1100" i="1">
                                <a:solidFill>
                                  <a:schemeClr val="tx1"/>
                                </a:solidFill>
                                <a:effectLst/>
                                <a:latin typeface="Cambria Math" panose="02040503050406030204" pitchFamily="18" charset="0"/>
                                <a:ea typeface="+mn-ea"/>
                                <a:cs typeface="+mn-cs"/>
                              </a:rPr>
                              <m:t>𝐿</m:t>
                            </m:r>
                          </m:sup>
                        </m:sSubSup>
                      </m:den>
                    </m:f>
                  </m:oMath>
                </m:oMathPara>
              </a14:m>
              <a:endParaRPr lang="en-US" sz="1100">
                <a:solidFill>
                  <a:schemeClr val="tx1"/>
                </a:solidFill>
                <a:effectLst/>
                <a:latin typeface="+mn-lt"/>
                <a:ea typeface="+mn-ea"/>
                <a:cs typeface="+mn-cs"/>
              </a:endParaRPr>
            </a:p>
          </xdr:txBody>
        </xdr:sp>
      </mc:Choice>
      <mc:Fallback xmlns="">
        <xdr:sp macro="" textlink="">
          <xdr:nvSpPr>
            <xdr:cNvPr id="10" name="TextBox 2">
              <a:extLst>
                <a:ext uri="{FF2B5EF4-FFF2-40B4-BE49-F238E27FC236}">
                  <a16:creationId xmlns:a16="http://schemas.microsoft.com/office/drawing/2014/main" id="{FAACD25C-FF08-9D40-9520-2E62150658A5}"/>
                </a:ext>
              </a:extLst>
            </xdr:cNvPr>
            <xdr:cNvSpPr txBox="1"/>
          </xdr:nvSpPr>
          <xdr:spPr>
            <a:xfrm>
              <a:off x="1132416" y="9091085"/>
              <a:ext cx="1397000" cy="484043"/>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r>
                <a:rPr lang="en-US" sz="1100" i="0">
                  <a:solidFill>
                    <a:schemeClr val="tx1"/>
                  </a:solidFill>
                  <a:effectLst/>
                  <a:latin typeface="+mn-lt"/>
                  <a:ea typeface="+mn-ea"/>
                  <a:cs typeface="+mn-cs"/>
                </a:rPr>
                <a:t>〖𝐿𝐷𝐹〗_(𝑡_1−𝑡_2)^𝐿=(〖𝑆𝑒𝑣𝑒𝑟𝑖𝑡𝑦〗_(𝑡_2)^𝐿)/(〖𝑆𝑒𝑣𝑒𝑟𝑖𝑡𝑦〗_(𝑡_1)^𝐿 )</a:t>
              </a:r>
              <a:endParaRPr lang="en-US" sz="1100">
                <a:solidFill>
                  <a:schemeClr val="tx1"/>
                </a:solidFill>
                <a:effectLst/>
                <a:latin typeface="+mn-lt"/>
                <a:ea typeface="+mn-ea"/>
                <a:cs typeface="+mn-cs"/>
              </a:endParaRPr>
            </a:p>
          </xdr:txBody>
        </xdr:sp>
      </mc:Fallback>
    </mc:AlternateContent>
    <xdr:clientData/>
  </xdr:twoCellAnchor>
  <xdr:oneCellAnchor>
    <xdr:from>
      <xdr:col>4</xdr:col>
      <xdr:colOff>761998</xdr:colOff>
      <xdr:row>44</xdr:row>
      <xdr:rowOff>158750</xdr:rowOff>
    </xdr:from>
    <xdr:ext cx="3041858" cy="35035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134F81C-F852-AD4D-A7A4-799B3D7F98D6}"/>
                </a:ext>
              </a:extLst>
            </xdr:cNvPr>
            <xdr:cNvSpPr txBox="1"/>
          </xdr:nvSpPr>
          <xdr:spPr>
            <a:xfrm>
              <a:off x="4063998" y="9165167"/>
              <a:ext cx="3041858"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1"/>
                        </m:argP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rgPr>
                              <m:argSz m:val="-1"/>
                            </m:argPr>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sub>
                      <m:sup>
                        <m:argPr>
                          <m:argSz m:val="-2"/>
                        </m:argPr>
                        <m:r>
                          <a:rPr lang="en-US" sz="1100" i="1">
                            <a:solidFill>
                              <a:schemeClr val="tx1"/>
                            </a:solidFill>
                            <a:effectLst/>
                            <a:latin typeface="Cambria Math" panose="02040503050406030204" pitchFamily="18" charset="0"/>
                            <a:ea typeface="+mn-ea"/>
                            <a:cs typeface="+mn-cs"/>
                          </a:rPr>
                          <m:t>𝐿𝑖𝑚𝑖𝑡</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𝑆𝑒𝑣𝑒𝑟𝑖𝑡𝑦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2</m:t>
                            </m:r>
                          </m:sub>
                        </m:sSub>
                      </m:num>
                      <m:den>
                        <m:r>
                          <a:rPr lang="en-US" sz="1100" b="0" i="1">
                            <a:solidFill>
                              <a:schemeClr val="tx1"/>
                            </a:solidFill>
                            <a:effectLst/>
                            <a:latin typeface="Cambria Math" panose="02040503050406030204" pitchFamily="18" charset="0"/>
                            <a:ea typeface="+mn-ea"/>
                            <a:cs typeface="+mn-cs"/>
                          </a:rPr>
                          <m:t>𝑆</m:t>
                        </m:r>
                        <m:r>
                          <a:rPr lang="en-US" sz="1100" i="1">
                            <a:solidFill>
                              <a:schemeClr val="tx1"/>
                            </a:solidFill>
                            <a:effectLst/>
                            <a:latin typeface="Cambria Math" panose="02040503050406030204" pitchFamily="18" charset="0"/>
                            <a:ea typeface="+mn-ea"/>
                            <a:cs typeface="+mn-cs"/>
                          </a:rPr>
                          <m:t>𝑒𝑣𝑒𝑟𝑖𝑡𝑦</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𝑡𝑜</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argPr>
                              <m:argSz m:val="-1"/>
                            </m:argPr>
                            <m:r>
                              <a:rPr lang="en-US" sz="1100" i="1">
                                <a:solidFill>
                                  <a:schemeClr val="tx1"/>
                                </a:solidFill>
                                <a:effectLst/>
                                <a:latin typeface="Cambria Math" panose="02040503050406030204" pitchFamily="18" charset="0"/>
                                <a:ea typeface="+mn-ea"/>
                                <a:cs typeface="+mn-cs"/>
                              </a:rPr>
                              <m:t>1</m:t>
                            </m:r>
                          </m:sub>
                        </m:sSub>
                      </m:den>
                    </m:f>
                    <m:r>
                      <m:rPr>
                        <m:nor/>
                      </m:rPr>
                      <a:rPr lang="en-US" i="0">
                        <a:effectLst/>
                      </a:rPr>
                      <m:t> </m:t>
                    </m:r>
                  </m:oMath>
                </m:oMathPara>
              </a14:m>
              <a:endParaRPr lang="en-US" sz="1100">
                <a:solidFill>
                  <a:schemeClr val="tx1"/>
                </a:solidFill>
              </a:endParaRPr>
            </a:p>
          </xdr:txBody>
        </xdr:sp>
      </mc:Choice>
      <mc:Fallback xmlns="">
        <xdr:sp macro="" textlink="">
          <xdr:nvSpPr>
            <xdr:cNvPr id="11" name="TextBox 10">
              <a:extLst>
                <a:ext uri="{FF2B5EF4-FFF2-40B4-BE49-F238E27FC236}">
                  <a16:creationId xmlns:a16="http://schemas.microsoft.com/office/drawing/2014/main" id="{E134F81C-F852-AD4D-A7A4-799B3D7F98D6}"/>
                </a:ext>
              </a:extLst>
            </xdr:cNvPr>
            <xdr:cNvSpPr txBox="1"/>
          </xdr:nvSpPr>
          <xdr:spPr>
            <a:xfrm>
              <a:off x="4063998" y="9165167"/>
              <a:ext cx="3041858"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Cambria Math" panose="02040503050406030204" pitchFamily="18" charset="0"/>
                  <a:ea typeface="+mn-ea"/>
                  <a:cs typeface="+mn-cs"/>
                </a:rPr>
                <a:t>〖𝐿𝐷𝐹〗_(𝑡_1−𝑡_2)^𝐿𝑖𝑚𝑖𝑡=(𝑆𝑒𝑣𝑒𝑟𝑖𝑡𝑦 𝐿𝑖𝑚𝑖𝑡𝑒𝑑 𝑡𝑜 𝐷𝑒𝑑𝑢𝑐𝑡𝑖𝑏𝑙𝑒 𝑎𝑡 𝑡_2)/(</a:t>
              </a:r>
              <a:r>
                <a:rPr lang="en-US" sz="1100" b="0" i="0">
                  <a:solidFill>
                    <a:schemeClr val="tx1"/>
                  </a:solidFill>
                  <a:effectLst/>
                  <a:latin typeface="Cambria Math" panose="02040503050406030204" pitchFamily="18" charset="0"/>
                  <a:ea typeface="+mn-ea"/>
                  <a:cs typeface="+mn-cs"/>
                </a:rPr>
                <a:t>𝑆</a:t>
              </a:r>
              <a:r>
                <a:rPr lang="en-US" sz="1100" i="0">
                  <a:solidFill>
                    <a:schemeClr val="tx1"/>
                  </a:solidFill>
                  <a:effectLst/>
                  <a:latin typeface="Cambria Math" panose="02040503050406030204" pitchFamily="18" charset="0"/>
                  <a:ea typeface="+mn-ea"/>
                  <a:cs typeface="+mn-cs"/>
                </a:rPr>
                <a:t>𝑒𝑣𝑒𝑟𝑖𝑡𝑦 𝐿𝑖𝑚𝑖𝑡𝑒𝑑 𝑡𝑜 𝐷𝑒𝑑𝑢𝑐𝑡𝑖𝑏𝑙𝑒 𝑎𝑡 𝑡_1 ) "</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264583</xdr:colOff>
      <xdr:row>52</xdr:row>
      <xdr:rowOff>116415</xdr:rowOff>
    </xdr:from>
    <xdr:to>
      <xdr:col>4</xdr:col>
      <xdr:colOff>433916</xdr:colOff>
      <xdr:row>53</xdr:row>
      <xdr:rowOff>180020</xdr:rowOff>
    </xdr:to>
    <mc:AlternateContent xmlns:mc="http://schemas.openxmlformats.org/markup-compatibility/2006" xmlns:a14="http://schemas.microsoft.com/office/drawing/2010/main">
      <mc:Choice Requires="a14">
        <xdr:sp macro="" textlink="">
          <xdr:nvSpPr>
            <xdr:cNvPr id="12" name="TextBox 2">
              <a:extLst>
                <a:ext uri="{FF2B5EF4-FFF2-40B4-BE49-F238E27FC236}">
                  <a16:creationId xmlns:a16="http://schemas.microsoft.com/office/drawing/2014/main" id="{F086E3E8-23FB-E248-98E7-78622C093628}"/>
                </a:ext>
              </a:extLst>
            </xdr:cNvPr>
            <xdr:cNvSpPr txBox="1"/>
          </xdr:nvSpPr>
          <xdr:spPr>
            <a:xfrm>
              <a:off x="1090083" y="11980332"/>
              <a:ext cx="2645833" cy="26468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𝐷𝑒𝑑𝑢𝑐𝑡𝑖𝑏𝑙𝑒</m:t>
                        </m:r>
                      </m:sup>
                    </m:s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𝑡</m:t>
                        </m:r>
                      </m:sub>
                      <m:sup>
                        <m:argPr>
                          <m:argSz m:val="-2"/>
                        </m:argPr>
                        <m:r>
                          <a:rPr lang="en-US" sz="1100" i="1">
                            <a:solidFill>
                              <a:schemeClr val="tx1"/>
                            </a:solidFill>
                            <a:effectLst/>
                            <a:latin typeface="Cambria Math" panose="02040503050406030204" pitchFamily="18" charset="0"/>
                            <a:ea typeface="+mn-ea"/>
                            <a:cs typeface="+mn-cs"/>
                          </a:rPr>
                          <m:t>𝐷𝑒𝑑𝑢𝑐𝑡𝑖𝑏𝑙𝑒</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1"/>
                        </m:argP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sub>
                      <m:sup>
                        <m:argPr>
                          <m:argSz m:val="-1"/>
                        </m:argPr>
                        <m:r>
                          <a:rPr lang="en-US" sz="1100" i="1">
                            <a:solidFill>
                              <a:schemeClr val="tx1"/>
                            </a:solidFill>
                            <a:effectLst/>
                            <a:latin typeface="Cambria Math" panose="02040503050406030204" pitchFamily="18" charset="0"/>
                            <a:ea typeface="+mn-ea"/>
                            <a:cs typeface="+mn-cs"/>
                          </a:rPr>
                          <m:t>𝐷𝑒𝑑𝑢𝑐𝑡𝑖𝑏𝑙𝑒</m:t>
                        </m:r>
                      </m:sup>
                    </m:sSubSup>
                  </m:oMath>
                </m:oMathPara>
              </a14:m>
              <a:endParaRPr lang="en-US" sz="1100">
                <a:solidFill>
                  <a:schemeClr val="tx1"/>
                </a:solidFill>
                <a:effectLst/>
                <a:latin typeface="+mn-lt"/>
                <a:ea typeface="+mn-ea"/>
                <a:cs typeface="+mn-cs"/>
              </a:endParaRPr>
            </a:p>
          </xdr:txBody>
        </xdr:sp>
      </mc:Choice>
      <mc:Fallback xmlns="">
        <xdr:sp macro="" textlink="">
          <xdr:nvSpPr>
            <xdr:cNvPr id="12" name="TextBox 2">
              <a:extLst>
                <a:ext uri="{FF2B5EF4-FFF2-40B4-BE49-F238E27FC236}">
                  <a16:creationId xmlns:a16="http://schemas.microsoft.com/office/drawing/2014/main" id="{F086E3E8-23FB-E248-98E7-78622C093628}"/>
                </a:ext>
              </a:extLst>
            </xdr:cNvPr>
            <xdr:cNvSpPr txBox="1"/>
          </xdr:nvSpPr>
          <xdr:spPr>
            <a:xfrm>
              <a:off x="1090083" y="11980332"/>
              <a:ext cx="2645833" cy="26468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〖𝑈𝑙𝑡〗^𝐷𝑒𝑑𝑢𝑐𝑡𝑖𝑏𝑙𝑒=〖𝐿𝑜𝑠𝑠〗_𝑡^𝐷𝑒𝑑𝑢𝑐𝑡𝑖𝑏𝑙𝑒×〖𝐿𝐷𝐹〗_(𝑡−𝑈𝑙𝑡)^𝐷𝑒𝑑𝑢𝑐𝑡𝑖𝑏𝑙𝑒</a:t>
              </a:r>
              <a:endParaRPr lang="en-US" sz="1100">
                <a:solidFill>
                  <a:schemeClr val="tx1"/>
                </a:solidFill>
                <a:effectLst/>
                <a:latin typeface="+mn-lt"/>
                <a:ea typeface="+mn-ea"/>
                <a:cs typeface="+mn-cs"/>
              </a:endParaRPr>
            </a:p>
          </xdr:txBody>
        </xdr:sp>
      </mc:Fallback>
    </mc:AlternateContent>
    <xdr:clientData/>
  </xdr:twoCellAnchor>
  <xdr:twoCellAnchor>
    <xdr:from>
      <xdr:col>1</xdr:col>
      <xdr:colOff>296332</xdr:colOff>
      <xdr:row>68</xdr:row>
      <xdr:rowOff>148168</xdr:rowOff>
    </xdr:from>
    <xdr:to>
      <xdr:col>4</xdr:col>
      <xdr:colOff>804333</xdr:colOff>
      <xdr:row>70</xdr:row>
      <xdr:rowOff>25052</xdr:rowOff>
    </xdr:to>
    <mc:AlternateContent xmlns:mc="http://schemas.openxmlformats.org/markup-compatibility/2006" xmlns:a14="http://schemas.microsoft.com/office/drawing/2010/main">
      <mc:Choice Requires="a14">
        <xdr:sp macro="" textlink="">
          <xdr:nvSpPr>
            <xdr:cNvPr id="13" name="TextBox 2">
              <a:extLst>
                <a:ext uri="{FF2B5EF4-FFF2-40B4-BE49-F238E27FC236}">
                  <a16:creationId xmlns:a16="http://schemas.microsoft.com/office/drawing/2014/main" id="{EF201C1E-1438-9646-8AC7-97657CFCD31E}"/>
                </a:ext>
              </a:extLst>
            </xdr:cNvPr>
            <xdr:cNvSpPr txBox="1"/>
          </xdr:nvSpPr>
          <xdr:spPr>
            <a:xfrm>
              <a:off x="1121832" y="15070668"/>
              <a:ext cx="2984501" cy="27905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𝑡</m:t>
                        </m:r>
                      </m:sub>
                      <m:sup>
                        <m:argPr>
                          <m:argSz m:val="-2"/>
                        </m:argPr>
                        <m:r>
                          <a:rPr lang="en-US" sz="1100" i="1">
                            <a:solidFill>
                              <a:schemeClr val="tx1"/>
                            </a:solidFill>
                            <a:effectLst/>
                            <a:latin typeface="Cambria Math" panose="02040503050406030204" pitchFamily="18" charset="0"/>
                            <a:ea typeface="+mn-ea"/>
                            <a:cs typeface="+mn-cs"/>
                          </a:rPr>
                          <m:t>𝐷𝑒𝑑𝑢𝑐𝑡𝑖𝑏𝑙𝑒</m:t>
                        </m:r>
                      </m:sup>
                    </m:sSub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𝐴𝑔𝑔𝑟𝑒𝑔𝑎𝑡𝑒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𝐿𝑖𝑚𝑖𝑡</m:t>
                    </m:r>
                  </m:oMath>
                </m:oMathPara>
              </a14:m>
              <a:endParaRPr lang="en-US" sz="1100">
                <a:solidFill>
                  <a:schemeClr val="tx1"/>
                </a:solidFill>
                <a:effectLst/>
                <a:latin typeface="+mn-lt"/>
                <a:ea typeface="+mn-ea"/>
                <a:cs typeface="+mn-cs"/>
              </a:endParaRPr>
            </a:p>
          </xdr:txBody>
        </xdr:sp>
      </mc:Choice>
      <mc:Fallback xmlns="">
        <xdr:sp macro="" textlink="">
          <xdr:nvSpPr>
            <xdr:cNvPr id="13" name="TextBox 2">
              <a:extLst>
                <a:ext uri="{FF2B5EF4-FFF2-40B4-BE49-F238E27FC236}">
                  <a16:creationId xmlns:a16="http://schemas.microsoft.com/office/drawing/2014/main" id="{EF201C1E-1438-9646-8AC7-97657CFCD31E}"/>
                </a:ext>
              </a:extLst>
            </xdr:cNvPr>
            <xdr:cNvSpPr txBox="1"/>
          </xdr:nvSpPr>
          <xdr:spPr>
            <a:xfrm>
              <a:off x="1121832" y="15070668"/>
              <a:ext cx="2984501" cy="27905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〖𝐿𝑜𝑠𝑠〗_𝑡^(𝑋𝑆 𝐴𝑔𝑔)=〖𝐿𝑜𝑠𝑠〗_𝑡^𝐷𝑒𝑑𝑢𝑐𝑡𝑖𝑏𝑙𝑒−𝐴𝑔𝑔𝑟𝑒𝑔𝑎𝑡𝑒 𝐿𝑖𝑚𝑖𝑡</a:t>
              </a:r>
              <a:endParaRPr lang="en-US" sz="1100">
                <a:solidFill>
                  <a:schemeClr val="tx1"/>
                </a:solidFill>
                <a:effectLst/>
                <a:latin typeface="+mn-lt"/>
                <a:ea typeface="+mn-ea"/>
                <a:cs typeface="+mn-cs"/>
              </a:endParaRPr>
            </a:p>
          </xdr:txBody>
        </xdr:sp>
      </mc:Fallback>
    </mc:AlternateContent>
    <xdr:clientData/>
  </xdr:twoCellAnchor>
  <xdr:oneCellAnchor>
    <xdr:from>
      <xdr:col>5</xdr:col>
      <xdr:colOff>52914</xdr:colOff>
      <xdr:row>69</xdr:row>
      <xdr:rowOff>10584</xdr:rowOff>
    </xdr:from>
    <xdr:ext cx="4152099" cy="172098"/>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40CBDAA4-6C67-6049-9D83-1D525F4D5054}"/>
                </a:ext>
              </a:extLst>
            </xdr:cNvPr>
            <xdr:cNvSpPr txBox="1"/>
          </xdr:nvSpPr>
          <xdr:spPr>
            <a:xfrm>
              <a:off x="4233331" y="15134167"/>
              <a:ext cx="4152099"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solidFill>
                          <a:schemeClr val="tx1"/>
                        </a:solidFill>
                        <a:effectLst/>
                        <a:latin typeface="Cambria Math" panose="02040503050406030204" pitchFamily="18" charset="0"/>
                        <a:ea typeface="+mn-ea"/>
                        <a:cs typeface="+mn-cs"/>
                      </a:rPr>
                      <m:t>𝐿</m:t>
                    </m:r>
                    <m:r>
                      <a:rPr lang="en-US" sz="1100" i="1">
                        <a:solidFill>
                          <a:schemeClr val="tx1"/>
                        </a:solidFill>
                        <a:effectLst/>
                        <a:latin typeface="Cambria Math" panose="02040503050406030204" pitchFamily="18" charset="0"/>
                        <a:ea typeface="+mn-ea"/>
                        <a:cs typeface="+mn-cs"/>
                      </a:rPr>
                      <m:t>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𝑎𝑔𝑔𝑟𝑒𝑔𝑎𝑡𝑒</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𝑖𝑛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𝑑𝑒𝑑𝑢𝑐𝑡𝑖𝑏𝑙𝑒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𝑙𝑎𝑦𝑒𝑟</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𝑎𝑔𝑔𝑟𝑒𝑔𝑎𝑡𝑒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r>
                      <m:rPr>
                        <m:nor/>
                      </m:rPr>
                      <a:rPr lang="en-US" i="0">
                        <a:effectLst/>
                      </a:rPr>
                      <m:t> </m:t>
                    </m:r>
                  </m:oMath>
                </m:oMathPara>
              </a14:m>
              <a:endParaRPr lang="en-US" sz="1100">
                <a:solidFill>
                  <a:schemeClr val="tx1"/>
                </a:solidFill>
              </a:endParaRPr>
            </a:p>
          </xdr:txBody>
        </xdr:sp>
      </mc:Choice>
      <mc:Fallback xmlns="">
        <xdr:sp macro="" textlink="">
          <xdr:nvSpPr>
            <xdr:cNvPr id="14" name="TextBox 13">
              <a:extLst>
                <a:ext uri="{FF2B5EF4-FFF2-40B4-BE49-F238E27FC236}">
                  <a16:creationId xmlns:a16="http://schemas.microsoft.com/office/drawing/2014/main" id="{40CBDAA4-6C67-6049-9D83-1D525F4D5054}"/>
                </a:ext>
              </a:extLst>
            </xdr:cNvPr>
            <xdr:cNvSpPr txBox="1"/>
          </xdr:nvSpPr>
          <xdr:spPr>
            <a:xfrm>
              <a:off x="4233331" y="15134167"/>
              <a:ext cx="4152099"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effectLst/>
                  <a:latin typeface="Cambria Math" panose="02040503050406030204" pitchFamily="18" charset="0"/>
                  <a:ea typeface="+mn-ea"/>
                  <a:cs typeface="+mn-cs"/>
                </a:rPr>
                <a:t>𝐿</a:t>
              </a:r>
              <a:r>
                <a:rPr lang="en-US" sz="1100" i="0">
                  <a:solidFill>
                    <a:schemeClr val="tx1"/>
                  </a:solidFill>
                  <a:effectLst/>
                  <a:latin typeface="Cambria Math" panose="02040503050406030204" pitchFamily="18" charset="0"/>
                  <a:ea typeface="+mn-ea"/>
                  <a:cs typeface="+mn-cs"/>
                </a:rPr>
                <a:t>𝑜𝑠𝑠 𝑋𝑆 𝑎𝑔𝑔𝑟𝑒𝑔𝑎𝑡𝑒=𝐿𝑜𝑠𝑠 𝑖𝑛 𝑑𝑒𝑑𝑢𝑐𝑡𝑖𝑏𝑙𝑒 𝑙𝑎𝑦𝑒𝑟−𝑎𝑔𝑔𝑟𝑒𝑔𝑎𝑡𝑒 𝑙𝑖𝑚𝑖𝑡"</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338667</xdr:colOff>
      <xdr:row>79</xdr:row>
      <xdr:rowOff>169333</xdr:rowOff>
    </xdr:from>
    <xdr:to>
      <xdr:col>3</xdr:col>
      <xdr:colOff>402167</xdr:colOff>
      <xdr:row>82</xdr:row>
      <xdr:rowOff>70388</xdr:rowOff>
    </xdr:to>
    <mc:AlternateContent xmlns:mc="http://schemas.openxmlformats.org/markup-compatibility/2006" xmlns:a14="http://schemas.microsoft.com/office/drawing/2010/main">
      <mc:Choice Requires="a14">
        <xdr:sp macro="" textlink="">
          <xdr:nvSpPr>
            <xdr:cNvPr id="15" name="TextBox 2">
              <a:extLst>
                <a:ext uri="{FF2B5EF4-FFF2-40B4-BE49-F238E27FC236}">
                  <a16:creationId xmlns:a16="http://schemas.microsoft.com/office/drawing/2014/main" id="{A6462515-0C5C-D041-84B5-4E795634166A}"/>
                </a:ext>
              </a:extLst>
            </xdr:cNvPr>
            <xdr:cNvSpPr txBox="1"/>
          </xdr:nvSpPr>
          <xdr:spPr>
            <a:xfrm>
              <a:off x="1164167" y="18309166"/>
              <a:ext cx="1714500" cy="50430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2"/>
                        </m:argP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1"/>
                                </m:argPr>
                                <m:r>
                                  <a:rPr lang="en-US" sz="1100" i="1">
                                    <a:solidFill>
                                      <a:schemeClr val="tx1"/>
                                    </a:solidFill>
                                    <a:effectLst/>
                                    <a:latin typeface="Cambria Math" panose="02040503050406030204" pitchFamily="18" charset="0"/>
                                    <a:ea typeface="+mn-ea"/>
                                    <a:cs typeface="+mn-cs"/>
                                  </a:rPr>
                                  <m:t>𝑢𝑙𝑡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e>
                        </m:d>
                      </m:num>
                      <m:den>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r>
                                  <a:rPr lang="en-US" sz="1100" i="1">
                                    <a:solidFill>
                                      <a:schemeClr val="tx1"/>
                                    </a:solidFill>
                                    <a:effectLst/>
                                    <a:latin typeface="Cambria Math" panose="02040503050406030204" pitchFamily="18" charset="0"/>
                                    <a:ea typeface="+mn-ea"/>
                                    <a:cs typeface="+mn-cs"/>
                                  </a:rPr>
                                  <m:t>𝑡</m:t>
                                </m:r>
                              </m:sub>
                              <m:sup>
                                <m:argPr>
                                  <m:argSz m:val="-1"/>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e>
                        </m:d>
                      </m:den>
                    </m:f>
                  </m:oMath>
                </m:oMathPara>
              </a14:m>
              <a:endParaRPr lang="en-US" sz="1100">
                <a:solidFill>
                  <a:schemeClr val="tx1"/>
                </a:solidFill>
                <a:effectLst/>
                <a:latin typeface="+mn-lt"/>
                <a:ea typeface="+mn-ea"/>
                <a:cs typeface="+mn-cs"/>
              </a:endParaRPr>
            </a:p>
          </xdr:txBody>
        </xdr:sp>
      </mc:Choice>
      <mc:Fallback xmlns="">
        <xdr:sp macro="" textlink="">
          <xdr:nvSpPr>
            <xdr:cNvPr id="15" name="TextBox 2">
              <a:extLst>
                <a:ext uri="{FF2B5EF4-FFF2-40B4-BE49-F238E27FC236}">
                  <a16:creationId xmlns:a16="http://schemas.microsoft.com/office/drawing/2014/main" id="{A6462515-0C5C-D041-84B5-4E795634166A}"/>
                </a:ext>
              </a:extLst>
            </xdr:cNvPr>
            <xdr:cNvSpPr txBox="1"/>
          </xdr:nvSpPr>
          <xdr:spPr>
            <a:xfrm>
              <a:off x="1164167" y="18309166"/>
              <a:ext cx="1714500" cy="50430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〖𝐿𝐷𝐹〗_(𝑡−𝑈𝑙𝑡)^(𝑋𝑆 𝐴𝑔𝑔)=E[〖𝐿𝑜𝑠𝑠〗_𝑢𝑙𝑡^(𝑋𝑆 𝐴𝑔𝑔) ]/E[〖𝐿𝑜𝑠𝑠〗_𝑡^(𝑋𝑆 𝐴𝑔𝑔) ] </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359833</xdr:colOff>
      <xdr:row>87</xdr:row>
      <xdr:rowOff>169335</xdr:rowOff>
    </xdr:from>
    <xdr:to>
      <xdr:col>5</xdr:col>
      <xdr:colOff>508000</xdr:colOff>
      <xdr:row>89</xdr:row>
      <xdr:rowOff>181064</xdr:rowOff>
    </xdr:to>
    <mc:AlternateContent xmlns:mc="http://schemas.openxmlformats.org/markup-compatibility/2006" xmlns:a14="http://schemas.microsoft.com/office/drawing/2010/main">
      <mc:Choice Requires="a14">
        <xdr:sp macro="" textlink="">
          <xdr:nvSpPr>
            <xdr:cNvPr id="16" name="TextBox 2">
              <a:extLst>
                <a:ext uri="{FF2B5EF4-FFF2-40B4-BE49-F238E27FC236}">
                  <a16:creationId xmlns:a16="http://schemas.microsoft.com/office/drawing/2014/main" id="{B87C799C-0CC0-8D47-8357-46E6856C1CCF}"/>
                </a:ext>
              </a:extLst>
            </xdr:cNvPr>
            <xdr:cNvSpPr txBox="1"/>
          </xdr:nvSpPr>
          <xdr:spPr>
            <a:xfrm>
              <a:off x="1185333" y="21124335"/>
              <a:ext cx="3503084" cy="41389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𝐿𝑜𝑠𝑠</m:t>
                        </m:r>
                      </m:e>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𝐿𝐷𝐹</m:t>
                                </m:r>
                              </m:e>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den>
                        </m:f>
                      </m:e>
                    </m:d>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m:t>
                    </m:r>
                    <m:d>
                      <m:dPr>
                        <m:begChr m:val="["/>
                        <m:endChr m:val="]"/>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𝐿𝑜𝑠𝑠</m:t>
                            </m:r>
                          </m:e>
                          <m:sub>
                            <m:argPr>
                              <m:argSz m:val="-2"/>
                            </m:argPr>
                            <m:r>
                              <a:rPr lang="en-US" sz="1100" i="1">
                                <a:solidFill>
                                  <a:schemeClr val="tx1"/>
                                </a:solidFill>
                                <a:effectLst/>
                                <a:latin typeface="Cambria Math" panose="02040503050406030204" pitchFamily="18" charset="0"/>
                                <a:ea typeface="+mn-ea"/>
                                <a:cs typeface="+mn-cs"/>
                              </a:rPr>
                              <m:t>𝑢𝑙𝑡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e>
                    </m:d>
                  </m:oMath>
                </m:oMathPara>
              </a14:m>
              <a:endParaRPr lang="en-US" sz="1100">
                <a:solidFill>
                  <a:schemeClr val="tx1"/>
                </a:solidFill>
                <a:effectLst/>
                <a:latin typeface="+mn-lt"/>
                <a:ea typeface="+mn-ea"/>
                <a:cs typeface="+mn-cs"/>
              </a:endParaRPr>
            </a:p>
          </xdr:txBody>
        </xdr:sp>
      </mc:Choice>
      <mc:Fallback xmlns="">
        <xdr:sp macro="" textlink="">
          <xdr:nvSpPr>
            <xdr:cNvPr id="16" name="TextBox 2">
              <a:extLst>
                <a:ext uri="{FF2B5EF4-FFF2-40B4-BE49-F238E27FC236}">
                  <a16:creationId xmlns:a16="http://schemas.microsoft.com/office/drawing/2014/main" id="{B87C799C-0CC0-8D47-8357-46E6856C1CCF}"/>
                </a:ext>
              </a:extLst>
            </xdr:cNvPr>
            <xdr:cNvSpPr txBox="1"/>
          </xdr:nvSpPr>
          <xdr:spPr>
            <a:xfrm>
              <a:off x="1185333" y="21124335"/>
              <a:ext cx="3503084" cy="413896"/>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〖𝑈𝑙𝑡〗^(𝑋𝑆 𝐴𝑔𝑔)=〖𝐿𝑜𝑠𝑠〗^(𝑋𝑆 𝐴𝑔𝑔)+(1−1/〖𝐿𝐷𝐹〗^(𝑋𝑆 𝐴𝑔𝑔) )×𝐸[〖𝐿𝑜𝑠𝑠〗_𝑢𝑙𝑡^(𝑋𝑆 𝐴𝑔𝑔) ]</a:t>
              </a:r>
              <a:endParaRPr lang="en-US" sz="1100">
                <a:solidFill>
                  <a:schemeClr val="tx1"/>
                </a:solidFill>
                <a:effectLst/>
                <a:latin typeface="+mn-lt"/>
                <a:ea typeface="+mn-ea"/>
                <a:cs typeface="+mn-cs"/>
              </a:endParaRPr>
            </a:p>
          </xdr:txBody>
        </xdr:sp>
      </mc:Fallback>
    </mc:AlternateContent>
    <xdr:clientData/>
  </xdr:twoCellAnchor>
  <xdr:oneCellAnchor>
    <xdr:from>
      <xdr:col>1</xdr:col>
      <xdr:colOff>370415</xdr:colOff>
      <xdr:row>90</xdr:row>
      <xdr:rowOff>190503</xdr:rowOff>
    </xdr:from>
    <xdr:ext cx="4911473" cy="17209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D7D7DCF6-8D00-B748-9DBF-50890F976958}"/>
                </a:ext>
              </a:extLst>
            </xdr:cNvPr>
            <xdr:cNvSpPr txBox="1"/>
          </xdr:nvSpPr>
          <xdr:spPr>
            <a:xfrm>
              <a:off x="1195915" y="17885836"/>
              <a:ext cx="491147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𝑎𝑔𝑔</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𝑎𝑔𝑔</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𝑈𝑛𝑝𝑎𝑖𝑑</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𝐸𝑥𝑝𝑒𝑐𝑡𝑒𝑑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𝑎𝑔𝑔</m:t>
                    </m:r>
                    <m:r>
                      <m:rPr>
                        <m:nor/>
                      </m:rPr>
                      <a:rPr lang="en-US" i="0">
                        <a:effectLst/>
                      </a:rPr>
                      <m:t> </m:t>
                    </m:r>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D7D7DCF6-8D00-B748-9DBF-50890F976958}"/>
                </a:ext>
              </a:extLst>
            </xdr:cNvPr>
            <xdr:cNvSpPr txBox="1"/>
          </xdr:nvSpPr>
          <xdr:spPr>
            <a:xfrm>
              <a:off x="1195915" y="17885836"/>
              <a:ext cx="4911473"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solidFill>
                    <a:schemeClr val="tx1"/>
                  </a:solidFill>
                  <a:effectLst/>
                  <a:latin typeface="+mn-lt"/>
                  <a:ea typeface="+mn-ea"/>
                  <a:cs typeface="+mn-cs"/>
                </a:rPr>
                <a:t>𝑈𝑙𝑡 𝐿𝑜𝑠𝑠 𝑒𝑥𝑐𝑒𝑠𝑠 𝑎𝑔𝑔=𝐿𝑜𝑠𝑠 𝑒𝑥𝑐𝑒𝑠𝑠 𝑎𝑔𝑔+%𝑈𝑛𝑝𝑎𝑖𝑑×𝐸𝑥𝑝𝑒𝑐𝑡𝑒𝑑 𝑈𝑙𝑡 𝑒𝑥𝑐𝑒𝑠𝑠 𝑎𝑔𝑔</a:t>
              </a:r>
              <a:r>
                <a:rPr lang="en-US" sz="1100" i="0">
                  <a:solidFill>
                    <a:schemeClr val="tx1"/>
                  </a:solidFill>
                  <a:effectLst/>
                  <a:latin typeface="Cambria Math" panose="02040503050406030204" pitchFamily="18" charset="0"/>
                  <a:ea typeface="+mn-ea"/>
                  <a:cs typeface="+mn-cs"/>
                </a:rPr>
                <a:t>"</a:t>
              </a:r>
              <a:r>
                <a:rPr lang="en-US" i="0">
                  <a:effectLst/>
                  <a:latin typeface="Cambria Math" panose="02040503050406030204" pitchFamily="18" charset="0"/>
                </a:rPr>
                <a:t> </a:t>
              </a:r>
              <a:r>
                <a:rPr lang="en-US" i="0">
                  <a:effectLst/>
                </a:rPr>
                <a:t>"</a:t>
              </a:r>
              <a:endParaRPr lang="en-US" sz="1100">
                <a:solidFill>
                  <a:schemeClr val="tx1"/>
                </a:solidFill>
              </a:endParaRPr>
            </a:p>
          </xdr:txBody>
        </xdr:sp>
      </mc:Fallback>
    </mc:AlternateContent>
    <xdr:clientData/>
  </xdr:oneCellAnchor>
  <xdr:twoCellAnchor>
    <xdr:from>
      <xdr:col>1</xdr:col>
      <xdr:colOff>338666</xdr:colOff>
      <xdr:row>106</xdr:row>
      <xdr:rowOff>169334</xdr:rowOff>
    </xdr:from>
    <xdr:to>
      <xdr:col>4</xdr:col>
      <xdr:colOff>613833</xdr:colOff>
      <xdr:row>108</xdr:row>
      <xdr:rowOff>31599</xdr:rowOff>
    </xdr:to>
    <mc:AlternateContent xmlns:mc="http://schemas.openxmlformats.org/markup-compatibility/2006" xmlns:a14="http://schemas.microsoft.com/office/drawing/2010/main">
      <mc:Choice Requires="a14">
        <xdr:sp macro="" textlink="">
          <xdr:nvSpPr>
            <xdr:cNvPr id="18" name="TextBox 2">
              <a:extLst>
                <a:ext uri="{FF2B5EF4-FFF2-40B4-BE49-F238E27FC236}">
                  <a16:creationId xmlns:a16="http://schemas.microsoft.com/office/drawing/2014/main" id="{9373E645-B1B3-884E-8F5E-80BD1787C0A0}"/>
                </a:ext>
              </a:extLst>
            </xdr:cNvPr>
            <xdr:cNvSpPr txBox="1"/>
          </xdr:nvSpPr>
          <xdr:spPr>
            <a:xfrm>
              <a:off x="1164166" y="24585084"/>
              <a:ext cx="2751667" cy="26443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𝐷𝑒𝑑𝑢𝑐𝑡𝑖𝑏𝑙𝑒</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oMath>
                </m:oMathPara>
              </a14:m>
              <a:endParaRPr lang="en-US" sz="1100">
                <a:solidFill>
                  <a:schemeClr val="tx1"/>
                </a:solidFill>
                <a:effectLst/>
                <a:latin typeface="+mn-lt"/>
                <a:ea typeface="+mn-ea"/>
                <a:cs typeface="+mn-cs"/>
              </a:endParaRPr>
            </a:p>
          </xdr:txBody>
        </xdr:sp>
      </mc:Choice>
      <mc:Fallback xmlns="">
        <xdr:sp macro="" textlink="">
          <xdr:nvSpPr>
            <xdr:cNvPr id="18" name="TextBox 2">
              <a:extLst>
                <a:ext uri="{FF2B5EF4-FFF2-40B4-BE49-F238E27FC236}">
                  <a16:creationId xmlns:a16="http://schemas.microsoft.com/office/drawing/2014/main" id="{9373E645-B1B3-884E-8F5E-80BD1787C0A0}"/>
                </a:ext>
              </a:extLst>
            </xdr:cNvPr>
            <xdr:cNvSpPr txBox="1"/>
          </xdr:nvSpPr>
          <xdr:spPr>
            <a:xfrm>
              <a:off x="1164166" y="24585084"/>
              <a:ext cx="2751667" cy="26443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〖𝑈𝑙𝑡〗^(𝐷𝑒𝑑𝑢𝑐𝑡𝑖𝑏𝑙𝑒 𝑁𝑒𝑡 𝐴𝑔𝑔)=〖𝑈𝑙𝑡〗^𝐷𝑒𝑑𝑢𝑐𝑡𝑖𝑏𝑙𝑒−〖𝑈𝑙𝑡〗^(𝑋𝑆 𝐴𝑔𝑔)</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359833</xdr:colOff>
      <xdr:row>113</xdr:row>
      <xdr:rowOff>169335</xdr:rowOff>
    </xdr:from>
    <xdr:to>
      <xdr:col>5</xdr:col>
      <xdr:colOff>243416</xdr:colOff>
      <xdr:row>115</xdr:row>
      <xdr:rowOff>31599</xdr:rowOff>
    </xdr:to>
    <mc:AlternateContent xmlns:mc="http://schemas.openxmlformats.org/markup-compatibility/2006" xmlns:a14="http://schemas.microsoft.com/office/drawing/2010/main">
      <mc:Choice Requires="a14">
        <xdr:sp macro="" textlink="">
          <xdr:nvSpPr>
            <xdr:cNvPr id="19" name="TextBox 2">
              <a:extLst>
                <a:ext uri="{FF2B5EF4-FFF2-40B4-BE49-F238E27FC236}">
                  <a16:creationId xmlns:a16="http://schemas.microsoft.com/office/drawing/2014/main" id="{7F7E8114-0D0A-5C42-9DBA-4C04CF8D2BAC}"/>
                </a:ext>
              </a:extLst>
            </xdr:cNvPr>
            <xdr:cNvSpPr txBox="1"/>
          </xdr:nvSpPr>
          <xdr:spPr>
            <a:xfrm>
              <a:off x="1185333" y="22330835"/>
              <a:ext cx="323850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𝑅𝑒𝑐𝑜𝑣𝑒𝑟𝑎𝑏𝑙𝑒𝑠</m:t>
                        </m:r>
                      </m:sup>
                    </m:s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1"/>
                        </m:argPr>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𝑁𝑒𝑡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𝑀𝑢𝑙𝑡𝑖𝑝𝑙𝑖𝑒𝑟</m:t>
                    </m:r>
                  </m:oMath>
                </m:oMathPara>
              </a14:m>
              <a:endParaRPr lang="en-US" sz="1100">
                <a:solidFill>
                  <a:schemeClr val="tx1"/>
                </a:solidFill>
                <a:effectLst/>
                <a:latin typeface="+mn-lt"/>
                <a:ea typeface="+mn-ea"/>
                <a:cs typeface="+mn-cs"/>
              </a:endParaRPr>
            </a:p>
          </xdr:txBody>
        </xdr:sp>
      </mc:Choice>
      <mc:Fallback xmlns="">
        <xdr:sp macro="" textlink="">
          <xdr:nvSpPr>
            <xdr:cNvPr id="19" name="TextBox 2">
              <a:extLst>
                <a:ext uri="{FF2B5EF4-FFF2-40B4-BE49-F238E27FC236}">
                  <a16:creationId xmlns:a16="http://schemas.microsoft.com/office/drawing/2014/main" id="{7F7E8114-0D0A-5C42-9DBA-4C04CF8D2BAC}"/>
                </a:ext>
              </a:extLst>
            </xdr:cNvPr>
            <xdr:cNvSpPr txBox="1"/>
          </xdr:nvSpPr>
          <xdr:spPr>
            <a:xfrm>
              <a:off x="1185333" y="22330835"/>
              <a:ext cx="3238500"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US" sz="1100" i="0">
                  <a:solidFill>
                    <a:schemeClr val="tx1"/>
                  </a:solidFill>
                  <a:effectLst/>
                  <a:latin typeface="Cambria Math" panose="02040503050406030204" pitchFamily="18" charset="0"/>
                  <a:ea typeface="+mn-ea"/>
                  <a:cs typeface="+mn-cs"/>
                </a:rPr>
                <a:t>〖𝑈𝑙𝑡〗^𝑅𝑒𝑐𝑜𝑣𝑒𝑟𝑎𝑏𝑙𝑒𝑠=〖𝑈𝑙𝑡〗^(𝐷𝑒𝑑𝑢𝑐𝑡𝑖𝑏𝑙𝑒 𝑁𝑒𝑡 𝐴𝑔𝑔)×𝐿𝑜𝑠𝑠 𝑀𝑢𝑙𝑡𝑖𝑝𝑙𝑖𝑒𝑟</a:t>
              </a:r>
              <a:endParaRPr lang="en-US" sz="1100">
                <a:solidFill>
                  <a:schemeClr val="tx1"/>
                </a:solidFill>
                <a:effectLst/>
                <a:latin typeface="+mn-lt"/>
                <a:ea typeface="+mn-ea"/>
                <a:cs typeface="+mn-cs"/>
              </a:endParaRPr>
            </a:p>
          </xdr:txBody>
        </xdr:sp>
      </mc:Fallback>
    </mc:AlternateContent>
    <xdr:clientData/>
  </xdr:twoCellAnchor>
  <xdr:twoCellAnchor>
    <xdr:from>
      <xdr:col>1</xdr:col>
      <xdr:colOff>338666</xdr:colOff>
      <xdr:row>120</xdr:row>
      <xdr:rowOff>169333</xdr:rowOff>
    </xdr:from>
    <xdr:to>
      <xdr:col>5</xdr:col>
      <xdr:colOff>804332</xdr:colOff>
      <xdr:row>122</xdr:row>
      <xdr:rowOff>31597</xdr:rowOff>
    </xdr:to>
    <mc:AlternateContent xmlns:mc="http://schemas.openxmlformats.org/markup-compatibility/2006" xmlns:a14="http://schemas.microsoft.com/office/drawing/2010/main">
      <mc:Choice Requires="a14">
        <xdr:sp macro="" textlink="">
          <xdr:nvSpPr>
            <xdr:cNvPr id="21" name="TextBox 2">
              <a:extLst>
                <a:ext uri="{FF2B5EF4-FFF2-40B4-BE49-F238E27FC236}">
                  <a16:creationId xmlns:a16="http://schemas.microsoft.com/office/drawing/2014/main" id="{906E446F-9B6C-2B40-9F59-9734EBEE89CD}"/>
                </a:ext>
              </a:extLst>
            </xdr:cNvPr>
            <xdr:cNvSpPr txBox="1"/>
          </xdr:nvSpPr>
          <xdr:spPr>
            <a:xfrm>
              <a:off x="1164166" y="24341666"/>
              <a:ext cx="382058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𝑆𝑒𝑟𝑣𝑖𝑐𝑒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𝑅𝑒𝑣𝑒𝑛𝑢𝑒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𝐴𝑠𝑠𝑒𝑡</m:t>
                    </m:r>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𝑈𝑙𝑡</m:t>
                        </m:r>
                      </m:e>
                      <m:sup>
                        <m:argPr>
                          <m:argSz m:val="-2"/>
                        </m:argPr>
                        <m:r>
                          <a:rPr lang="en-US" sz="1100" i="1">
                            <a:solidFill>
                              <a:schemeClr val="tx1"/>
                            </a:solidFill>
                            <a:effectLst/>
                            <a:latin typeface="Cambria Math" panose="02040503050406030204" pitchFamily="18" charset="0"/>
                            <a:ea typeface="+mn-ea"/>
                            <a:cs typeface="+mn-cs"/>
                          </a:rPr>
                          <m:t>𝑅𝑒𝑐𝑜𝑣𝑒𝑟𝑎𝑏𝑙𝑒𝑠</m:t>
                        </m:r>
                      </m:sup>
                    </m:sSup>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𝐾𝑛𝑜𝑤𝑛</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𝑅𝑒𝑐𝑜𝑣𝑒𝑟𝑖𝑒𝑠</m:t>
                    </m:r>
                  </m:oMath>
                </m:oMathPara>
              </a14:m>
              <a:endParaRPr lang="en-US" sz="1100">
                <a:solidFill>
                  <a:schemeClr val="tx1"/>
                </a:solidFill>
                <a:effectLst/>
                <a:latin typeface="+mn-lt"/>
                <a:ea typeface="+mn-ea"/>
                <a:cs typeface="+mn-cs"/>
              </a:endParaRPr>
            </a:p>
          </xdr:txBody>
        </xdr:sp>
      </mc:Choice>
      <mc:Fallback xmlns="">
        <xdr:sp macro="" textlink="">
          <xdr:nvSpPr>
            <xdr:cNvPr id="21" name="TextBox 2">
              <a:extLst>
                <a:ext uri="{FF2B5EF4-FFF2-40B4-BE49-F238E27FC236}">
                  <a16:creationId xmlns:a16="http://schemas.microsoft.com/office/drawing/2014/main" id="{906E446F-9B6C-2B40-9F59-9734EBEE89CD}"/>
                </a:ext>
              </a:extLst>
            </xdr:cNvPr>
            <xdr:cNvSpPr txBox="1"/>
          </xdr:nvSpPr>
          <xdr:spPr>
            <a:xfrm>
              <a:off x="1164166" y="24341666"/>
              <a:ext cx="3820583"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𝑆𝑒𝑟𝑣𝑖𝑐𝑒 𝑅𝑒𝑣𝑒𝑛𝑢𝑒 𝐴𝑠𝑠𝑒𝑡=〖𝑈𝑙𝑡〗^𝑅𝑒𝑐𝑜𝑣𝑒𝑟𝑎𝑏𝑙𝑒𝑠−𝐾𝑛𝑜𝑤𝑛 𝑅𝑒𝑐𝑜𝑣𝑒𝑟𝑖𝑒𝑠</a:t>
              </a:r>
              <a:endParaRPr lang="en-US" sz="1100">
                <a:solidFill>
                  <a:schemeClr val="tx1"/>
                </a:solidFill>
                <a:effectLst/>
                <a:latin typeface="+mn-lt"/>
                <a:ea typeface="+mn-ea"/>
                <a:cs typeface="+mn-cs"/>
              </a:endParaRPr>
            </a:p>
          </xdr:txBody>
        </xdr:sp>
      </mc:Fallback>
    </mc:AlternateContent>
    <xdr:clientData/>
  </xdr:twoCellAnchor>
  <xdr:oneCellAnchor>
    <xdr:from>
      <xdr:col>4</xdr:col>
      <xdr:colOff>740834</xdr:colOff>
      <xdr:row>52</xdr:row>
      <xdr:rowOff>190499</xdr:rowOff>
    </xdr:from>
    <xdr:ext cx="3415294" cy="172098"/>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23675594-AAB4-BB43-912E-4DCFEFFEC62C}"/>
                </a:ext>
              </a:extLst>
            </xdr:cNvPr>
            <xdr:cNvSpPr txBox="1"/>
          </xdr:nvSpPr>
          <xdr:spPr>
            <a:xfrm>
              <a:off x="4042834" y="12054416"/>
              <a:ext cx="341529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solidFill>
                          <a:schemeClr val="tx1"/>
                        </a:solidFill>
                        <a:effectLst/>
                        <a:latin typeface="Cambria Math" panose="02040503050406030204" pitchFamily="18" charset="0"/>
                        <a:ea typeface="+mn-ea"/>
                        <a:cs typeface="+mn-cs"/>
                      </a:rPr>
                      <m:t>𝑈𝑙𝑡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𝐷𝑒𝑑𝑢𝑐𝑡𝑖𝑏𝑙𝑒</m:t>
                    </m:r>
                    <m:r>
                      <a:rPr lang="en-US"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𝐿𝑜𝑠𝑠𝑒𝑠</m:t>
                        </m:r>
                      </m:e>
                      <m:sub>
                        <m:r>
                          <a:rPr lang="en-US"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1"/>
                        </m:argP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sub>
                      <m:sup>
                        <m:argPr>
                          <m:argSz m:val="-2"/>
                        </m:argPr>
                        <m:r>
                          <a:rPr lang="en-US" sz="1100" i="1">
                            <a:solidFill>
                              <a:schemeClr val="tx1"/>
                            </a:solidFill>
                            <a:effectLst/>
                            <a:latin typeface="Cambria Math" panose="02040503050406030204" pitchFamily="18" charset="0"/>
                            <a:ea typeface="+mn-ea"/>
                            <a:cs typeface="+mn-cs"/>
                          </a:rPr>
                          <m:t>𝐷𝑒𝑑𝑢𝑐𝑡𝑖𝑏𝑙𝑒</m:t>
                        </m:r>
                      </m:sup>
                    </m:sSubSup>
                  </m:oMath>
                </m:oMathPara>
              </a14:m>
              <a:endParaRPr lang="en-US" sz="1100">
                <a:solidFill>
                  <a:schemeClr val="tx1"/>
                </a:solidFill>
                <a:effectLst/>
                <a:latin typeface="+mn-lt"/>
                <a:ea typeface="+mn-ea"/>
                <a:cs typeface="+mn-cs"/>
              </a:endParaRPr>
            </a:p>
          </xdr:txBody>
        </xdr:sp>
      </mc:Choice>
      <mc:Fallback xmlns="">
        <xdr:sp macro="" textlink="">
          <xdr:nvSpPr>
            <xdr:cNvPr id="22" name="TextBox 21">
              <a:extLst>
                <a:ext uri="{FF2B5EF4-FFF2-40B4-BE49-F238E27FC236}">
                  <a16:creationId xmlns:a16="http://schemas.microsoft.com/office/drawing/2014/main" id="{23675594-AAB4-BB43-912E-4DCFEFFEC62C}"/>
                </a:ext>
              </a:extLst>
            </xdr:cNvPr>
            <xdr:cNvSpPr txBox="1"/>
          </xdr:nvSpPr>
          <xdr:spPr>
            <a:xfrm>
              <a:off x="4042834" y="12054416"/>
              <a:ext cx="3415294" cy="172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𝑈𝑙𝑡 𝐷𝑒𝑑𝑢𝑐𝑡𝑖𝑏𝑙𝑒 𝐿𝑜𝑠𝑠=𝐷𝑒𝑑𝑢𝑐𝑡𝑖𝑏𝑙𝑒 〖𝐿𝑜𝑠𝑠𝑒𝑠〗_𝑡×〖𝐿𝐷𝐹〗_(𝑡−𝑈𝑙𝑡)^𝐷𝑒𝑑𝑢𝑐𝑡𝑖𝑏𝑙𝑒</a:t>
              </a:r>
              <a:endParaRPr lang="en-US" sz="1100">
                <a:solidFill>
                  <a:schemeClr val="tx1"/>
                </a:solidFill>
                <a:effectLst/>
                <a:latin typeface="+mn-lt"/>
                <a:ea typeface="+mn-ea"/>
                <a:cs typeface="+mn-cs"/>
              </a:endParaRPr>
            </a:p>
          </xdr:txBody>
        </xdr:sp>
      </mc:Fallback>
    </mc:AlternateContent>
    <xdr:clientData/>
  </xdr:oneCellAnchor>
  <xdr:oneCellAnchor>
    <xdr:from>
      <xdr:col>4</xdr:col>
      <xdr:colOff>793750</xdr:colOff>
      <xdr:row>80</xdr:row>
      <xdr:rowOff>74083</xdr:rowOff>
    </xdr:from>
    <xdr:ext cx="3057439" cy="352404"/>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411FAF48-AE9E-2A4C-90D2-E489D65B22E8}"/>
                </a:ext>
              </a:extLst>
            </xdr:cNvPr>
            <xdr:cNvSpPr txBox="1"/>
          </xdr:nvSpPr>
          <xdr:spPr>
            <a:xfrm>
              <a:off x="4095750" y="15557500"/>
              <a:ext cx="3057439" cy="352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argPr>
                          <m:argSz m:val="-2"/>
                        </m:argPr>
                        <m:r>
                          <a:rPr lang="en-US"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𝑈𝑙𝑡</m:t>
                        </m:r>
                      </m:sub>
                      <m:sup>
                        <m:argPr>
                          <m:argSz m:val="-2"/>
                        </m:argPr>
                        <m:r>
                          <a:rPr lang="en-US" sz="1100" i="1">
                            <a:solidFill>
                              <a:schemeClr val="tx1"/>
                            </a:solidFill>
                            <a:effectLst/>
                            <a:latin typeface="Cambria Math" panose="02040503050406030204" pitchFamily="18" charset="0"/>
                            <a:ea typeface="+mn-ea"/>
                            <a:cs typeface="+mn-cs"/>
                          </a:rPr>
                          <m:t>𝑋𝑆</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sup>
                    </m:sSubSup>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m:rPr>
                            <m:sty m:val="p"/>
                          </m:rPr>
                          <a:rPr lang="en-US" sz="1100">
                            <a:solidFill>
                              <a:schemeClr val="tx1"/>
                            </a:solidFill>
                            <a:effectLst/>
                            <a:latin typeface="Cambria Math" panose="02040503050406030204" pitchFamily="18" charset="0"/>
                            <a:ea typeface="+mn-ea"/>
                            <a:cs typeface="+mn-cs"/>
                          </a:rPr>
                          <m:t>E</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𝑢𝑙𝑡𝑖𝑚𝑎𝑡𝑒</m:t>
                        </m:r>
                        <m:r>
                          <a:rPr lang="en-US" sz="1100" i="1">
                            <a:solidFill>
                              <a:schemeClr val="tx1"/>
                            </a:solidFill>
                            <a:effectLst/>
                            <a:latin typeface="Cambria Math" panose="02040503050406030204" pitchFamily="18" charset="0"/>
                            <a:ea typeface="+mn-ea"/>
                            <a:cs typeface="+mn-cs"/>
                          </a:rPr>
                          <m:t>]</m:t>
                        </m:r>
                      </m:num>
                      <m:den>
                        <m:r>
                          <m:rPr>
                            <m:sty m:val="p"/>
                          </m:rPr>
                          <a:rPr lang="en-US" sz="1100">
                            <a:solidFill>
                              <a:schemeClr val="tx1"/>
                            </a:solidFill>
                            <a:effectLst/>
                            <a:latin typeface="Cambria Math" panose="02040503050406030204" pitchFamily="18" charset="0"/>
                            <a:ea typeface="+mn-ea"/>
                            <a:cs typeface="+mn-cs"/>
                          </a:rPr>
                          <m:t>E</m:t>
                        </m:r>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𝐿𝑜𝑠𝑠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𝑒𝑥𝑐𝑒𝑠𝑠</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𝐴𝑔𝑔</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𝑙𝑖𝑚𝑖𝑡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𝑎𝑡</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𝑡𝑖𝑚𝑒</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𝑡</m:t>
                            </m:r>
                          </m:e>
                        </m:d>
                      </m:den>
                    </m:f>
                  </m:oMath>
                </m:oMathPara>
              </a14:m>
              <a:endParaRPr lang="en-US" sz="1100">
                <a:solidFill>
                  <a:schemeClr val="tx1"/>
                </a:solidFill>
                <a:effectLst/>
                <a:latin typeface="+mn-lt"/>
                <a:ea typeface="+mn-ea"/>
                <a:cs typeface="+mn-cs"/>
              </a:endParaRPr>
            </a:p>
          </xdr:txBody>
        </xdr:sp>
      </mc:Choice>
      <mc:Fallback xmlns="">
        <xdr:sp macro="" textlink="">
          <xdr:nvSpPr>
            <xdr:cNvPr id="23" name="TextBox 22">
              <a:extLst>
                <a:ext uri="{FF2B5EF4-FFF2-40B4-BE49-F238E27FC236}">
                  <a16:creationId xmlns:a16="http://schemas.microsoft.com/office/drawing/2014/main" id="{411FAF48-AE9E-2A4C-90D2-E489D65B22E8}"/>
                </a:ext>
              </a:extLst>
            </xdr:cNvPr>
            <xdr:cNvSpPr txBox="1"/>
          </xdr:nvSpPr>
          <xdr:spPr>
            <a:xfrm>
              <a:off x="4095750" y="15557500"/>
              <a:ext cx="3057439" cy="352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mn-lt"/>
                  <a:ea typeface="+mn-ea"/>
                  <a:cs typeface="+mn-cs"/>
                </a:rPr>
                <a:t>〖𝐿𝐷𝐹〗_(𝑡−𝑈𝑙𝑡)^(𝑋𝑆 𝐴𝑔𝑔)=(E[𝐿𝑜𝑠𝑠 𝑒𝑥𝑐𝑒𝑠𝑠 𝐴𝑔𝑔 𝑙𝑖𝑚𝑖𝑡 𝑎𝑡 𝑢𝑙𝑡𝑖𝑚𝑎𝑡𝑒])/E[𝐿𝑜𝑠𝑠 𝑒𝑥𝑐𝑒𝑠𝑠 𝐴𝑔𝑔 𝑙𝑖𝑚𝑖𝑡 𝑎𝑡 𝑡𝑖𝑚𝑒 𝑡] </a:t>
              </a:r>
              <a:endParaRPr lang="en-US" sz="1100">
                <a:solidFill>
                  <a:schemeClr val="tx1"/>
                </a:solidFill>
                <a:effectLst/>
                <a:latin typeface="+mn-lt"/>
                <a:ea typeface="+mn-ea"/>
                <a:cs typeface="+mn-cs"/>
              </a:endParaRPr>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M184"/>
  <sheetViews>
    <sheetView showGridLines="0" tabSelected="1" zoomScale="120" zoomScaleNormal="120" workbookViewId="0"/>
  </sheetViews>
  <sheetFormatPr baseColWidth="10" defaultColWidth="10.83203125" defaultRowHeight="16" x14ac:dyDescent="0.2"/>
  <cols>
    <col min="1" max="1" width="10.83203125" style="94"/>
    <col min="2" max="9" width="10.83203125" style="94" customWidth="1"/>
    <col min="10" max="16384" width="10.83203125" style="94"/>
  </cols>
  <sheetData>
    <row r="1" spans="1:10" ht="19" x14ac:dyDescent="0.25">
      <c r="A1" s="1" t="s">
        <v>192</v>
      </c>
      <c r="B1" s="92"/>
      <c r="C1" s="92"/>
      <c r="D1" s="92"/>
      <c r="E1" s="92"/>
      <c r="F1" s="92"/>
      <c r="G1" s="92"/>
      <c r="H1" s="92"/>
      <c r="I1" s="92"/>
      <c r="J1" s="93"/>
    </row>
    <row r="2" spans="1:10" x14ac:dyDescent="0.2">
      <c r="A2" s="5"/>
      <c r="B2" s="92"/>
      <c r="C2" s="92"/>
      <c r="D2" s="92"/>
      <c r="E2" s="92"/>
      <c r="F2" s="92"/>
      <c r="G2" s="92"/>
      <c r="H2" s="92"/>
      <c r="I2" s="92"/>
      <c r="J2" s="93"/>
    </row>
    <row r="3" spans="1:10" x14ac:dyDescent="0.2">
      <c r="A3" s="5"/>
      <c r="B3" s="92" t="s">
        <v>43</v>
      </c>
      <c r="C3" s="92"/>
      <c r="D3" s="92"/>
      <c r="E3" s="92"/>
      <c r="F3" s="92"/>
      <c r="G3" s="92"/>
      <c r="H3" s="92"/>
      <c r="I3" s="92"/>
      <c r="J3" s="93"/>
    </row>
    <row r="4" spans="1:10" x14ac:dyDescent="0.2">
      <c r="A4" s="5"/>
      <c r="B4" s="92"/>
      <c r="C4" s="92"/>
      <c r="D4" s="92"/>
      <c r="E4" s="92"/>
      <c r="F4" s="92"/>
      <c r="G4" s="92"/>
      <c r="H4" s="92"/>
      <c r="I4" s="92"/>
      <c r="J4" s="93"/>
    </row>
    <row r="5" spans="1:10" x14ac:dyDescent="0.2">
      <c r="A5" s="5"/>
      <c r="B5" s="183" t="s">
        <v>227</v>
      </c>
      <c r="C5" s="96"/>
      <c r="D5" s="96"/>
      <c r="E5" s="96">
        <v>15000000</v>
      </c>
      <c r="F5" s="92"/>
      <c r="G5" s="92"/>
      <c r="H5" s="92"/>
      <c r="I5" s="92"/>
      <c r="J5" s="93"/>
    </row>
    <row r="6" spans="1:10" x14ac:dyDescent="0.2">
      <c r="A6" s="5"/>
      <c r="B6" s="95" t="s">
        <v>216</v>
      </c>
      <c r="C6" s="96"/>
      <c r="D6" s="97"/>
      <c r="E6" s="97">
        <v>0.65</v>
      </c>
      <c r="F6" s="92"/>
      <c r="G6" s="92"/>
      <c r="H6" s="92"/>
      <c r="I6" s="92"/>
      <c r="J6" s="93"/>
    </row>
    <row r="7" spans="1:10" x14ac:dyDescent="0.2">
      <c r="A7" s="5"/>
      <c r="B7" s="92"/>
      <c r="C7" s="92"/>
      <c r="D7" s="92"/>
      <c r="E7" s="92"/>
      <c r="F7" s="92"/>
      <c r="G7" s="92"/>
      <c r="H7" s="92"/>
      <c r="I7" s="92"/>
      <c r="J7" s="93"/>
    </row>
    <row r="8" spans="1:10" x14ac:dyDescent="0.2">
      <c r="A8" s="5"/>
      <c r="B8" s="231" t="s">
        <v>342</v>
      </c>
      <c r="C8" s="92"/>
      <c r="D8" s="92"/>
      <c r="E8" s="92"/>
      <c r="F8" s="92"/>
      <c r="G8" s="92"/>
      <c r="H8" s="92"/>
      <c r="I8" s="92"/>
      <c r="J8" s="93"/>
    </row>
    <row r="9" spans="1:10" x14ac:dyDescent="0.2">
      <c r="A9" s="5"/>
      <c r="B9" s="231" t="s">
        <v>343</v>
      </c>
      <c r="C9" s="92"/>
      <c r="D9" s="92"/>
      <c r="E9" s="92"/>
      <c r="F9" s="92"/>
      <c r="G9" s="92"/>
      <c r="H9" s="92"/>
      <c r="I9" s="92"/>
      <c r="J9" s="93"/>
    </row>
    <row r="10" spans="1:10" x14ac:dyDescent="0.2">
      <c r="A10" s="5"/>
      <c r="B10" s="92"/>
      <c r="C10" s="92"/>
      <c r="D10" s="92"/>
      <c r="E10" s="92"/>
      <c r="F10" s="92"/>
      <c r="G10" s="92"/>
      <c r="H10" s="92"/>
      <c r="I10" s="92"/>
      <c r="J10" s="93"/>
    </row>
    <row r="11" spans="1:10" x14ac:dyDescent="0.2">
      <c r="A11" s="5"/>
      <c r="B11" s="95" t="s">
        <v>217</v>
      </c>
      <c r="C11" s="92"/>
      <c r="D11" s="92"/>
      <c r="E11" s="92">
        <v>0.45</v>
      </c>
      <c r="F11" s="92"/>
      <c r="G11" s="92"/>
      <c r="H11" s="92"/>
      <c r="I11" s="92"/>
      <c r="J11" s="93"/>
    </row>
    <row r="12" spans="1:10" x14ac:dyDescent="0.2">
      <c r="A12" s="5"/>
      <c r="B12" s="95" t="s">
        <v>218</v>
      </c>
      <c r="C12" s="92"/>
      <c r="D12" s="92"/>
      <c r="E12" s="92">
        <v>0.04</v>
      </c>
      <c r="F12" s="92"/>
      <c r="G12" s="92"/>
      <c r="H12" s="92"/>
      <c r="I12" s="92"/>
      <c r="J12" s="93"/>
    </row>
    <row r="13" spans="1:10" x14ac:dyDescent="0.2">
      <c r="A13" s="5"/>
      <c r="B13" s="92"/>
      <c r="C13" s="92"/>
      <c r="D13" s="92"/>
      <c r="E13" s="92"/>
      <c r="F13" s="92"/>
      <c r="G13" s="92"/>
      <c r="H13" s="92"/>
      <c r="I13" s="92"/>
      <c r="J13" s="93"/>
    </row>
    <row r="14" spans="1:10" x14ac:dyDescent="0.2">
      <c r="A14" s="5"/>
      <c r="B14" s="92"/>
      <c r="C14" s="92"/>
      <c r="D14" s="92"/>
      <c r="E14" s="92"/>
      <c r="F14" s="92"/>
      <c r="G14" s="92"/>
      <c r="H14" s="92"/>
      <c r="I14" s="92"/>
      <c r="J14" s="93"/>
    </row>
    <row r="15" spans="1:10" x14ac:dyDescent="0.2">
      <c r="A15" s="5"/>
      <c r="B15" s="92" t="s">
        <v>44</v>
      </c>
      <c r="C15" s="92"/>
      <c r="D15" s="92"/>
      <c r="E15" s="92"/>
      <c r="F15" s="92"/>
      <c r="G15" s="92"/>
      <c r="H15" s="92"/>
      <c r="I15" s="92"/>
      <c r="J15" s="93"/>
    </row>
    <row r="16" spans="1:10" ht="17" thickBot="1" x14ac:dyDescent="0.25">
      <c r="A16" s="98"/>
      <c r="B16" s="99"/>
      <c r="C16" s="100"/>
      <c r="D16" s="100"/>
      <c r="E16" s="100"/>
      <c r="F16" s="99"/>
      <c r="G16" s="99"/>
      <c r="H16" s="99"/>
      <c r="I16" s="99"/>
      <c r="J16" s="101"/>
    </row>
    <row r="18" spans="1:12" ht="19" x14ac:dyDescent="0.25">
      <c r="A18" s="2" t="s">
        <v>3</v>
      </c>
    </row>
    <row r="19" spans="1:12" x14ac:dyDescent="0.2">
      <c r="A19" s="102" t="s">
        <v>189</v>
      </c>
      <c r="B19" s="13" t="s">
        <v>235</v>
      </c>
      <c r="C19" s="103"/>
    </row>
    <row r="20" spans="1:12" ht="17" thickBot="1" x14ac:dyDescent="0.25">
      <c r="A20" s="3"/>
      <c r="C20" s="103"/>
    </row>
    <row r="21" spans="1:12" ht="17" thickBot="1" x14ac:dyDescent="0.25">
      <c r="F21" s="238" t="s">
        <v>239</v>
      </c>
      <c r="G21" s="239"/>
      <c r="H21" s="181">
        <f>E5*E6*E11</f>
        <v>4387500</v>
      </c>
    </row>
    <row r="22" spans="1:12" x14ac:dyDescent="0.2">
      <c r="L22" s="4"/>
    </row>
    <row r="23" spans="1:12" x14ac:dyDescent="0.2">
      <c r="L23" s="4"/>
    </row>
    <row r="24" spans="1:12" x14ac:dyDescent="0.2">
      <c r="L24" s="4"/>
    </row>
    <row r="25" spans="1:12" x14ac:dyDescent="0.2">
      <c r="A25" s="102" t="s">
        <v>201</v>
      </c>
      <c r="B25" s="13" t="s">
        <v>236</v>
      </c>
      <c r="L25" s="4"/>
    </row>
    <row r="26" spans="1:12" x14ac:dyDescent="0.2">
      <c r="B26" s="13"/>
      <c r="L26" s="4"/>
    </row>
    <row r="27" spans="1:12" x14ac:dyDescent="0.2">
      <c r="B27" s="13"/>
      <c r="L27" s="4"/>
    </row>
    <row r="28" spans="1:12" ht="17" thickBot="1" x14ac:dyDescent="0.25">
      <c r="B28" s="13"/>
      <c r="L28" s="4"/>
    </row>
    <row r="29" spans="1:12" ht="17" thickBot="1" x14ac:dyDescent="0.25">
      <c r="B29" s="13"/>
      <c r="F29" s="238" t="s">
        <v>238</v>
      </c>
      <c r="G29" s="239"/>
      <c r="H29" s="181">
        <f>E5*E6*(1-E11)*$E$12</f>
        <v>214500</v>
      </c>
      <c r="L29" s="4"/>
    </row>
    <row r="30" spans="1:12" x14ac:dyDescent="0.2">
      <c r="B30" s="13"/>
      <c r="L30" s="4"/>
    </row>
    <row r="31" spans="1:12" x14ac:dyDescent="0.2">
      <c r="A31" s="102" t="s">
        <v>190</v>
      </c>
      <c r="B31" s="13" t="s">
        <v>237</v>
      </c>
      <c r="L31" s="4"/>
    </row>
    <row r="32" spans="1:12" x14ac:dyDescent="0.2">
      <c r="B32" s="13"/>
      <c r="L32" s="4"/>
    </row>
    <row r="33" spans="1:14" x14ac:dyDescent="0.2">
      <c r="B33" s="13"/>
      <c r="L33" s="4"/>
    </row>
    <row r="34" spans="1:14" ht="17" thickBot="1" x14ac:dyDescent="0.25">
      <c r="B34" s="13"/>
      <c r="L34" s="4"/>
    </row>
    <row r="35" spans="1:14" ht="17" thickBot="1" x14ac:dyDescent="0.25">
      <c r="F35" s="238" t="s">
        <v>6</v>
      </c>
      <c r="G35" s="239"/>
      <c r="H35" s="181">
        <f>H21+H29</f>
        <v>4602000</v>
      </c>
    </row>
    <row r="36" spans="1:14" x14ac:dyDescent="0.2">
      <c r="L36" s="4"/>
    </row>
    <row r="37" spans="1:14" ht="19" x14ac:dyDescent="0.25">
      <c r="A37" s="2" t="s">
        <v>115</v>
      </c>
    </row>
    <row r="38" spans="1:14" x14ac:dyDescent="0.2">
      <c r="B38" s="240" t="s">
        <v>344</v>
      </c>
      <c r="C38" s="240"/>
      <c r="D38" s="240"/>
      <c r="E38" s="240"/>
      <c r="F38" s="240"/>
      <c r="G38" s="240"/>
      <c r="H38" s="240"/>
      <c r="I38" s="240"/>
    </row>
    <row r="39" spans="1:14" x14ac:dyDescent="0.2">
      <c r="B39" s="240"/>
      <c r="C39" s="240"/>
      <c r="D39" s="240"/>
      <c r="E39" s="240"/>
      <c r="F39" s="240"/>
      <c r="G39" s="240"/>
      <c r="H39" s="240"/>
      <c r="I39" s="240"/>
    </row>
    <row r="40" spans="1:14" x14ac:dyDescent="0.2">
      <c r="A40" s="3"/>
      <c r="B40" s="240"/>
      <c r="C40" s="240"/>
      <c r="D40" s="240"/>
      <c r="E40" s="240"/>
      <c r="F40" s="240"/>
      <c r="G40" s="240"/>
      <c r="H40" s="240"/>
      <c r="I40" s="240"/>
    </row>
    <row r="41" spans="1:14" x14ac:dyDescent="0.2">
      <c r="B41" s="240"/>
      <c r="C41" s="240"/>
      <c r="D41" s="240"/>
      <c r="E41" s="240"/>
      <c r="F41" s="240"/>
      <c r="G41" s="240"/>
      <c r="H41" s="240"/>
      <c r="I41" s="240"/>
      <c r="M41" s="103"/>
    </row>
    <row r="42" spans="1:14" x14ac:dyDescent="0.2">
      <c r="B42" s="240"/>
      <c r="C42" s="240"/>
      <c r="D42" s="240"/>
      <c r="E42" s="240"/>
      <c r="F42" s="240"/>
      <c r="G42" s="240"/>
      <c r="H42" s="240"/>
      <c r="I42" s="240"/>
      <c r="L42" s="4"/>
      <c r="M42" s="4"/>
      <c r="N42" s="4"/>
    </row>
    <row r="43" spans="1:14" x14ac:dyDescent="0.2">
      <c r="B43" s="240"/>
      <c r="C43" s="240"/>
      <c r="D43" s="240"/>
      <c r="E43" s="240"/>
      <c r="F43" s="240"/>
      <c r="G43" s="240"/>
      <c r="H43" s="240"/>
      <c r="I43" s="240"/>
      <c r="L43" s="4"/>
      <c r="M43" s="4"/>
      <c r="N43" s="4"/>
    </row>
    <row r="44" spans="1:14" x14ac:dyDescent="0.2">
      <c r="B44" s="240"/>
      <c r="C44" s="240"/>
      <c r="D44" s="240"/>
      <c r="E44" s="240"/>
      <c r="F44" s="240"/>
      <c r="G44" s="240"/>
      <c r="H44" s="240"/>
      <c r="I44" s="240"/>
      <c r="L44" s="4"/>
      <c r="M44" s="4"/>
      <c r="N44" s="4"/>
    </row>
    <row r="45" spans="1:14" x14ac:dyDescent="0.2">
      <c r="B45" s="240"/>
      <c r="C45" s="240"/>
      <c r="D45" s="240"/>
      <c r="E45" s="240"/>
      <c r="F45" s="240"/>
      <c r="G45" s="240"/>
      <c r="H45" s="240"/>
      <c r="I45" s="240"/>
      <c r="L45" s="4"/>
      <c r="M45" s="4"/>
      <c r="N45" s="4"/>
    </row>
    <row r="46" spans="1:14" x14ac:dyDescent="0.2">
      <c r="B46" s="240"/>
      <c r="C46" s="240"/>
      <c r="D46" s="240"/>
      <c r="E46" s="240"/>
      <c r="F46" s="240"/>
      <c r="G46" s="240"/>
      <c r="H46" s="240"/>
      <c r="I46" s="240"/>
      <c r="L46" s="4"/>
      <c r="M46" s="4"/>
      <c r="N46" s="4"/>
    </row>
    <row r="47" spans="1:14" x14ac:dyDescent="0.2">
      <c r="L47" s="4"/>
      <c r="M47" s="4"/>
      <c r="N47" s="4"/>
    </row>
    <row r="48" spans="1:14" x14ac:dyDescent="0.2">
      <c r="B48" s="94" t="s">
        <v>116</v>
      </c>
      <c r="L48" s="4"/>
      <c r="M48" s="4"/>
      <c r="N48" s="4"/>
    </row>
    <row r="49" spans="1:14" x14ac:dyDescent="0.2">
      <c r="B49" s="94" t="s">
        <v>117</v>
      </c>
      <c r="L49" s="4"/>
      <c r="M49" s="4"/>
      <c r="N49" s="4"/>
    </row>
    <row r="50" spans="1:14" x14ac:dyDescent="0.2">
      <c r="B50" s="94" t="s">
        <v>118</v>
      </c>
      <c r="L50" s="4"/>
      <c r="M50" s="4"/>
      <c r="N50" s="4"/>
    </row>
    <row r="51" spans="1:14" x14ac:dyDescent="0.2">
      <c r="B51" s="94" t="s">
        <v>119</v>
      </c>
      <c r="L51" s="4"/>
      <c r="M51" s="4"/>
      <c r="N51" s="4"/>
    </row>
    <row r="52" spans="1:14" x14ac:dyDescent="0.2">
      <c r="M52" s="103"/>
    </row>
    <row r="53" spans="1:14" x14ac:dyDescent="0.2">
      <c r="B53" s="3" t="s">
        <v>120</v>
      </c>
      <c r="L53" s="4"/>
      <c r="M53" s="4"/>
      <c r="N53" s="4"/>
    </row>
    <row r="54" spans="1:14" x14ac:dyDescent="0.2">
      <c r="B54" s="94" t="s">
        <v>121</v>
      </c>
      <c r="L54" s="4"/>
      <c r="M54" s="4"/>
      <c r="N54" s="4"/>
    </row>
    <row r="55" spans="1:14" x14ac:dyDescent="0.2">
      <c r="B55" s="94" t="s">
        <v>122</v>
      </c>
      <c r="L55" s="4"/>
      <c r="M55" s="4"/>
      <c r="N55" s="4"/>
    </row>
    <row r="56" spans="1:14" x14ac:dyDescent="0.2">
      <c r="L56" s="4"/>
      <c r="M56" s="4"/>
      <c r="N56" s="4"/>
    </row>
    <row r="57" spans="1:14" x14ac:dyDescent="0.2">
      <c r="B57" s="3" t="s">
        <v>123</v>
      </c>
      <c r="L57" s="4"/>
      <c r="M57" s="4"/>
      <c r="N57" s="4"/>
    </row>
    <row r="58" spans="1:14" x14ac:dyDescent="0.2">
      <c r="B58" s="94" t="s">
        <v>124</v>
      </c>
      <c r="L58" s="4"/>
      <c r="M58" s="4"/>
      <c r="N58" s="4"/>
    </row>
    <row r="59" spans="1:14" x14ac:dyDescent="0.2">
      <c r="B59" s="94" t="s">
        <v>184</v>
      </c>
      <c r="L59" s="4"/>
      <c r="M59" s="4"/>
      <c r="N59" s="4"/>
    </row>
    <row r="60" spans="1:14" x14ac:dyDescent="0.2">
      <c r="L60" s="4"/>
      <c r="M60" s="4"/>
      <c r="N60" s="4"/>
    </row>
    <row r="61" spans="1:14" ht="19" x14ac:dyDescent="0.25">
      <c r="A61" s="2" t="s">
        <v>125</v>
      </c>
      <c r="L61" s="4"/>
      <c r="M61" s="4"/>
      <c r="N61" s="4"/>
    </row>
    <row r="62" spans="1:14" x14ac:dyDescent="0.2">
      <c r="B62" s="94" t="s">
        <v>126</v>
      </c>
      <c r="M62" s="103"/>
    </row>
    <row r="63" spans="1:14" x14ac:dyDescent="0.2">
      <c r="L63" s="4"/>
      <c r="M63" s="4"/>
      <c r="N63" s="4"/>
    </row>
    <row r="64" spans="1:14" ht="19" x14ac:dyDescent="0.25">
      <c r="A64" s="2" t="s">
        <v>127</v>
      </c>
      <c r="L64" s="4"/>
      <c r="M64" s="4"/>
      <c r="N64" s="4"/>
    </row>
    <row r="65" spans="2:14" x14ac:dyDescent="0.2">
      <c r="B65" s="94" t="s">
        <v>128</v>
      </c>
      <c r="D65" s="94" t="s">
        <v>131</v>
      </c>
      <c r="L65" s="4"/>
      <c r="M65" s="4"/>
      <c r="N65" s="4"/>
    </row>
    <row r="66" spans="2:14" x14ac:dyDescent="0.2">
      <c r="B66" s="94" t="s">
        <v>129</v>
      </c>
      <c r="L66" s="4"/>
      <c r="M66" s="4"/>
      <c r="N66" s="4"/>
    </row>
    <row r="67" spans="2:14" x14ac:dyDescent="0.2">
      <c r="B67" s="94" t="s">
        <v>130</v>
      </c>
      <c r="L67" s="4"/>
      <c r="M67" s="4"/>
      <c r="N67" s="4"/>
    </row>
    <row r="68" spans="2:14" x14ac:dyDescent="0.2">
      <c r="L68" s="4"/>
      <c r="M68" s="4"/>
      <c r="N68" s="4"/>
    </row>
    <row r="69" spans="2:14" x14ac:dyDescent="0.2">
      <c r="L69" s="4"/>
      <c r="M69" s="4"/>
      <c r="N69" s="4"/>
    </row>
    <row r="70" spans="2:14" x14ac:dyDescent="0.2">
      <c r="L70" s="4"/>
      <c r="M70" s="4"/>
      <c r="N70" s="4"/>
    </row>
    <row r="71" spans="2:14" x14ac:dyDescent="0.2">
      <c r="L71" s="4"/>
      <c r="M71" s="4"/>
      <c r="N71" s="4"/>
    </row>
    <row r="72" spans="2:14" x14ac:dyDescent="0.2">
      <c r="M72" s="103"/>
    </row>
    <row r="73" spans="2:14" x14ac:dyDescent="0.2">
      <c r="L73" s="4"/>
      <c r="M73" s="4"/>
      <c r="N73" s="4"/>
    </row>
    <row r="74" spans="2:14" x14ac:dyDescent="0.2">
      <c r="L74" s="4"/>
      <c r="M74" s="4"/>
      <c r="N74" s="4"/>
    </row>
    <row r="75" spans="2:14" x14ac:dyDescent="0.2">
      <c r="L75" s="4"/>
      <c r="M75" s="4"/>
      <c r="N75" s="4"/>
    </row>
    <row r="76" spans="2:14" x14ac:dyDescent="0.2">
      <c r="L76" s="4"/>
      <c r="M76" s="4"/>
      <c r="N76" s="4"/>
    </row>
    <row r="77" spans="2:14" x14ac:dyDescent="0.2">
      <c r="L77" s="4"/>
      <c r="M77" s="4"/>
      <c r="N77" s="4"/>
    </row>
    <row r="78" spans="2:14" x14ac:dyDescent="0.2">
      <c r="L78" s="4"/>
      <c r="M78" s="4"/>
      <c r="N78" s="4"/>
    </row>
    <row r="79" spans="2:14" x14ac:dyDescent="0.2">
      <c r="L79" s="4"/>
      <c r="M79" s="4"/>
      <c r="N79" s="4"/>
    </row>
    <row r="80" spans="2:14" x14ac:dyDescent="0.2">
      <c r="L80" s="4"/>
      <c r="M80" s="4"/>
      <c r="N80" s="4"/>
    </row>
    <row r="81" spans="1:65" x14ac:dyDescent="0.2">
      <c r="L81" s="4"/>
      <c r="M81" s="4"/>
      <c r="N81" s="4"/>
    </row>
    <row r="82" spans="1:65" x14ac:dyDescent="0.2">
      <c r="M82" s="103"/>
    </row>
    <row r="83" spans="1:65"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row>
    <row r="84" spans="1:65"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row>
    <row r="85" spans="1:65"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row>
    <row r="86" spans="1:65"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row>
    <row r="87" spans="1:65"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row>
    <row r="88" spans="1:65"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row>
    <row r="89" spans="1:65"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row>
    <row r="90" spans="1:65"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row>
    <row r="91" spans="1:65"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row>
    <row r="92" spans="1:65"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row>
    <row r="93" spans="1:65"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1:65"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1:65"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sheetData>
  <mergeCells count="4">
    <mergeCell ref="F35:G35"/>
    <mergeCell ref="F21:G21"/>
    <mergeCell ref="F29:G29"/>
    <mergeCell ref="B38:I46"/>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M207"/>
  <sheetViews>
    <sheetView showGridLines="0" zoomScale="120" zoomScaleNormal="120" workbookViewId="0"/>
  </sheetViews>
  <sheetFormatPr baseColWidth="10" defaultColWidth="10.83203125" defaultRowHeight="16" x14ac:dyDescent="0.2"/>
  <cols>
    <col min="1" max="1" width="10.83203125" style="94"/>
    <col min="2" max="6" width="10.83203125" style="94" customWidth="1"/>
    <col min="7" max="16384" width="10.83203125" style="94"/>
  </cols>
  <sheetData>
    <row r="1" spans="1:10" ht="19" x14ac:dyDescent="0.25">
      <c r="A1" s="1" t="s">
        <v>193</v>
      </c>
      <c r="B1" s="92"/>
      <c r="C1" s="92"/>
      <c r="D1" s="92"/>
      <c r="E1" s="92"/>
      <c r="F1" s="92"/>
      <c r="G1" s="92"/>
      <c r="H1" s="92"/>
      <c r="I1" s="92"/>
      <c r="J1" s="93"/>
    </row>
    <row r="2" spans="1:10" x14ac:dyDescent="0.2">
      <c r="A2" s="5"/>
      <c r="B2" s="92"/>
      <c r="C2" s="92"/>
      <c r="D2" s="92"/>
      <c r="E2" s="92"/>
      <c r="F2" s="92"/>
      <c r="G2" s="92"/>
      <c r="H2" s="92"/>
      <c r="I2" s="92"/>
      <c r="J2" s="93"/>
    </row>
    <row r="3" spans="1:10" x14ac:dyDescent="0.2">
      <c r="A3" s="5"/>
      <c r="B3" s="92" t="s">
        <v>45</v>
      </c>
      <c r="C3" s="92"/>
      <c r="D3" s="92"/>
      <c r="E3" s="92"/>
      <c r="F3" s="92"/>
      <c r="G3" s="92"/>
      <c r="H3" s="92"/>
      <c r="I3" s="92"/>
      <c r="J3" s="93"/>
    </row>
    <row r="4" spans="1:10" x14ac:dyDescent="0.2">
      <c r="A4" s="5"/>
      <c r="B4" s="92"/>
      <c r="C4" s="92"/>
      <c r="D4" s="92"/>
      <c r="E4" s="92"/>
      <c r="F4" s="92"/>
      <c r="G4" s="92"/>
      <c r="H4" s="92"/>
      <c r="I4" s="92"/>
      <c r="J4" s="93"/>
    </row>
    <row r="5" spans="1:10" x14ac:dyDescent="0.2">
      <c r="A5" s="5"/>
      <c r="B5" s="92"/>
      <c r="C5" s="248" t="s">
        <v>7</v>
      </c>
      <c r="D5" s="249"/>
      <c r="E5" s="249"/>
      <c r="F5" s="250"/>
      <c r="G5" s="92"/>
      <c r="H5" s="92"/>
      <c r="I5" s="92"/>
      <c r="J5" s="93"/>
    </row>
    <row r="6" spans="1:10" x14ac:dyDescent="0.2">
      <c r="A6" s="5"/>
      <c r="B6" s="92"/>
      <c r="C6" s="251" t="s">
        <v>8</v>
      </c>
      <c r="D6" s="23"/>
      <c r="E6" s="24"/>
      <c r="F6" s="25"/>
      <c r="G6" s="92"/>
      <c r="H6" s="92"/>
      <c r="I6" s="92"/>
      <c r="J6" s="93"/>
    </row>
    <row r="7" spans="1:10" ht="17" x14ac:dyDescent="0.2">
      <c r="A7" s="5"/>
      <c r="B7" s="92"/>
      <c r="C7" s="252"/>
      <c r="D7" s="158" t="s">
        <v>9</v>
      </c>
      <c r="E7" s="159" t="s">
        <v>10</v>
      </c>
      <c r="F7" s="160" t="s">
        <v>11</v>
      </c>
      <c r="G7" s="92"/>
      <c r="H7" s="92"/>
      <c r="I7" s="92"/>
      <c r="J7" s="93"/>
    </row>
    <row r="8" spans="1:10" x14ac:dyDescent="0.2">
      <c r="A8" s="5"/>
      <c r="B8" s="92"/>
      <c r="C8" s="161">
        <v>2021</v>
      </c>
      <c r="D8" s="162">
        <v>3390</v>
      </c>
      <c r="E8" s="163">
        <v>4540</v>
      </c>
      <c r="F8" s="164">
        <v>5790</v>
      </c>
      <c r="G8" s="92"/>
      <c r="H8" s="92"/>
      <c r="I8" s="92"/>
      <c r="J8" s="93"/>
    </row>
    <row r="9" spans="1:10" x14ac:dyDescent="0.2">
      <c r="A9" s="5"/>
      <c r="B9" s="92"/>
      <c r="C9" s="165">
        <v>2022</v>
      </c>
      <c r="D9" s="166">
        <v>3670</v>
      </c>
      <c r="E9" s="167">
        <v>5100</v>
      </c>
      <c r="F9" s="168"/>
      <c r="G9" s="92"/>
      <c r="H9" s="92"/>
      <c r="I9" s="92"/>
      <c r="J9" s="93"/>
    </row>
    <row r="10" spans="1:10" x14ac:dyDescent="0.2">
      <c r="A10" s="5"/>
      <c r="B10" s="92"/>
      <c r="C10" s="169">
        <v>2023</v>
      </c>
      <c r="D10" s="170">
        <v>3550</v>
      </c>
      <c r="E10" s="171"/>
      <c r="F10" s="172"/>
      <c r="G10" s="92"/>
      <c r="H10" s="92"/>
      <c r="I10" s="92"/>
      <c r="J10" s="93"/>
    </row>
    <row r="11" spans="1:10" x14ac:dyDescent="0.2">
      <c r="A11" s="5"/>
      <c r="B11" s="92"/>
      <c r="C11" s="92"/>
      <c r="D11" s="92"/>
      <c r="E11" s="92"/>
      <c r="F11" s="92"/>
      <c r="G11" s="92"/>
      <c r="H11" s="92"/>
      <c r="I11" s="92"/>
      <c r="J11" s="93"/>
    </row>
    <row r="12" spans="1:10" x14ac:dyDescent="0.2">
      <c r="A12" s="5"/>
      <c r="B12" s="92"/>
      <c r="C12" s="248" t="s">
        <v>224</v>
      </c>
      <c r="D12" s="249"/>
      <c r="E12" s="249"/>
      <c r="F12" s="250"/>
      <c r="G12" s="92"/>
      <c r="H12" s="92"/>
      <c r="I12" s="92"/>
      <c r="J12" s="93"/>
    </row>
    <row r="13" spans="1:10" x14ac:dyDescent="0.2">
      <c r="A13" s="5"/>
      <c r="B13" s="92"/>
      <c r="C13" s="251" t="s">
        <v>8</v>
      </c>
      <c r="D13" s="23"/>
      <c r="E13" s="24"/>
      <c r="F13" s="25"/>
      <c r="G13" s="92"/>
      <c r="H13" s="92"/>
      <c r="I13" s="92"/>
      <c r="J13" s="93"/>
    </row>
    <row r="14" spans="1:10" ht="17" x14ac:dyDescent="0.2">
      <c r="A14" s="5"/>
      <c r="B14" s="92"/>
      <c r="C14" s="252"/>
      <c r="D14" s="158" t="s">
        <v>9</v>
      </c>
      <c r="E14" s="159" t="s">
        <v>10</v>
      </c>
      <c r="F14" s="160" t="s">
        <v>11</v>
      </c>
      <c r="G14" s="92"/>
      <c r="H14" s="92"/>
      <c r="I14" s="92"/>
      <c r="J14" s="93"/>
    </row>
    <row r="15" spans="1:10" x14ac:dyDescent="0.2">
      <c r="A15" s="5"/>
      <c r="B15" s="92"/>
      <c r="C15" s="161">
        <f>C8</f>
        <v>2021</v>
      </c>
      <c r="D15" s="162">
        <v>2570</v>
      </c>
      <c r="E15" s="163">
        <v>3130</v>
      </c>
      <c r="F15" s="164">
        <v>3590</v>
      </c>
      <c r="G15" s="92"/>
      <c r="H15" s="92"/>
      <c r="I15" s="92"/>
      <c r="J15" s="93"/>
    </row>
    <row r="16" spans="1:10" x14ac:dyDescent="0.2">
      <c r="A16" s="5"/>
      <c r="B16" s="92"/>
      <c r="C16" s="165">
        <f t="shared" ref="C16:C17" si="0">C9</f>
        <v>2022</v>
      </c>
      <c r="D16" s="166">
        <v>2750</v>
      </c>
      <c r="E16" s="167">
        <v>3450</v>
      </c>
      <c r="F16" s="168"/>
      <c r="G16" s="92"/>
      <c r="H16" s="92"/>
      <c r="I16" s="92"/>
      <c r="J16" s="93"/>
    </row>
    <row r="17" spans="1:10" x14ac:dyDescent="0.2">
      <c r="A17" s="5"/>
      <c r="B17" s="92"/>
      <c r="C17" s="169">
        <f t="shared" si="0"/>
        <v>2023</v>
      </c>
      <c r="D17" s="170">
        <v>2590</v>
      </c>
      <c r="E17" s="171"/>
      <c r="F17" s="172"/>
      <c r="G17" s="92"/>
      <c r="H17" s="92"/>
      <c r="I17" s="92"/>
      <c r="J17" s="93"/>
    </row>
    <row r="18" spans="1:10" x14ac:dyDescent="0.2">
      <c r="A18" s="5"/>
      <c r="B18" s="92"/>
      <c r="C18" s="92"/>
      <c r="D18" s="92"/>
      <c r="E18" s="92"/>
      <c r="F18" s="92"/>
      <c r="G18" s="92"/>
      <c r="H18" s="92"/>
      <c r="I18" s="92"/>
      <c r="J18" s="93"/>
    </row>
    <row r="19" spans="1:10" x14ac:dyDescent="0.2">
      <c r="A19" s="5"/>
      <c r="B19" s="95" t="s">
        <v>214</v>
      </c>
      <c r="C19" s="92"/>
      <c r="D19" s="92"/>
      <c r="E19" s="92"/>
      <c r="F19" s="92"/>
      <c r="G19" s="92"/>
      <c r="H19" s="92"/>
      <c r="I19" s="92"/>
      <c r="J19" s="93"/>
    </row>
    <row r="20" spans="1:10" x14ac:dyDescent="0.2">
      <c r="A20" s="5"/>
      <c r="B20" s="95" t="s">
        <v>215</v>
      </c>
      <c r="C20" s="92"/>
      <c r="D20" s="92"/>
      <c r="E20" s="92"/>
      <c r="F20" s="92"/>
      <c r="G20" s="92"/>
      <c r="H20" s="92"/>
      <c r="I20" s="92"/>
      <c r="J20" s="93"/>
    </row>
    <row r="21" spans="1:10" x14ac:dyDescent="0.2">
      <c r="A21" s="5"/>
      <c r="B21" s="92"/>
      <c r="C21" s="92"/>
      <c r="D21" s="92"/>
      <c r="E21" s="92"/>
      <c r="F21" s="92"/>
      <c r="G21" s="92"/>
      <c r="H21" s="92"/>
      <c r="I21" s="92"/>
      <c r="J21" s="93"/>
    </row>
    <row r="22" spans="1:10" x14ac:dyDescent="0.2">
      <c r="A22" s="5"/>
      <c r="B22" s="92"/>
      <c r="C22" s="92"/>
      <c r="D22" s="92"/>
      <c r="E22" s="92"/>
      <c r="F22" s="92"/>
      <c r="G22" s="92"/>
      <c r="H22" s="92"/>
      <c r="I22" s="92"/>
      <c r="J22" s="93"/>
    </row>
    <row r="23" spans="1:10" x14ac:dyDescent="0.2">
      <c r="A23" s="5"/>
      <c r="B23" s="243" t="s">
        <v>286</v>
      </c>
      <c r="C23" s="243"/>
      <c r="D23" s="243"/>
      <c r="E23" s="243"/>
      <c r="F23" s="243"/>
      <c r="G23" s="243"/>
      <c r="H23" s="243"/>
      <c r="I23" s="243"/>
      <c r="J23" s="93"/>
    </row>
    <row r="24" spans="1:10" x14ac:dyDescent="0.2">
      <c r="A24" s="5"/>
      <c r="B24" s="243"/>
      <c r="C24" s="243"/>
      <c r="D24" s="243"/>
      <c r="E24" s="243"/>
      <c r="F24" s="243"/>
      <c r="G24" s="243"/>
      <c r="H24" s="243"/>
      <c r="I24" s="243"/>
      <c r="J24" s="93"/>
    </row>
    <row r="25" spans="1:10" ht="17" thickBot="1" x14ac:dyDescent="0.25">
      <c r="A25" s="98"/>
      <c r="B25" s="99"/>
      <c r="C25" s="100"/>
      <c r="D25" s="100"/>
      <c r="E25" s="100"/>
      <c r="F25" s="99"/>
      <c r="G25" s="99"/>
      <c r="H25" s="99"/>
      <c r="I25" s="99"/>
      <c r="J25" s="101"/>
    </row>
    <row r="27" spans="1:10" ht="19" x14ac:dyDescent="0.25">
      <c r="A27" s="2" t="s">
        <v>3</v>
      </c>
    </row>
    <row r="28" spans="1:10" x14ac:dyDescent="0.2">
      <c r="A28" s="102" t="s">
        <v>189</v>
      </c>
      <c r="B28" s="240" t="s">
        <v>240</v>
      </c>
      <c r="C28" s="240"/>
      <c r="D28" s="240"/>
      <c r="E28" s="240"/>
      <c r="F28" s="240"/>
      <c r="G28" s="240"/>
      <c r="H28" s="240"/>
      <c r="I28" s="240"/>
    </row>
    <row r="29" spans="1:10" x14ac:dyDescent="0.2">
      <c r="A29" s="102"/>
      <c r="B29" s="240"/>
      <c r="C29" s="240"/>
      <c r="D29" s="240"/>
      <c r="E29" s="240"/>
      <c r="F29" s="240"/>
      <c r="G29" s="240"/>
      <c r="H29" s="240"/>
      <c r="I29" s="240"/>
    </row>
    <row r="31" spans="1:10" x14ac:dyDescent="0.2">
      <c r="C31" s="244" t="s">
        <v>291</v>
      </c>
      <c r="D31" s="244"/>
      <c r="E31" s="244"/>
    </row>
    <row r="32" spans="1:10" ht="17" x14ac:dyDescent="0.2">
      <c r="C32" s="176"/>
      <c r="D32" s="177" t="s">
        <v>13</v>
      </c>
      <c r="E32" s="178" t="s">
        <v>14</v>
      </c>
    </row>
    <row r="33" spans="1:12" x14ac:dyDescent="0.2">
      <c r="C33" s="189" t="s">
        <v>22</v>
      </c>
      <c r="D33" s="179">
        <f>SUM(E8:E9)/SUM(D8:D9)</f>
        <v>1.3654390934844192</v>
      </c>
      <c r="E33" s="179">
        <f>F8/E8</f>
        <v>1.275330396475771</v>
      </c>
    </row>
    <row r="34" spans="1:12" x14ac:dyDescent="0.2">
      <c r="C34" s="189" t="s">
        <v>287</v>
      </c>
      <c r="D34" s="187">
        <f>PRODUCT(D33:E33)</f>
        <v>1.7413859804570015</v>
      </c>
      <c r="E34" s="187">
        <f>E33</f>
        <v>1.275330396475771</v>
      </c>
    </row>
    <row r="35" spans="1:12" ht="17" thickBot="1" x14ac:dyDescent="0.25"/>
    <row r="36" spans="1:12" ht="17" thickBot="1" x14ac:dyDescent="0.25">
      <c r="C36" s="186" t="s">
        <v>288</v>
      </c>
      <c r="D36" s="180"/>
      <c r="E36" s="181">
        <f>D34*D10</f>
        <v>6181.9202306223551</v>
      </c>
    </row>
    <row r="38" spans="1:12" x14ac:dyDescent="0.2">
      <c r="A38" s="102" t="s">
        <v>201</v>
      </c>
      <c r="B38" s="13" t="s">
        <v>241</v>
      </c>
    </row>
    <row r="39" spans="1:12" x14ac:dyDescent="0.2">
      <c r="A39" s="102"/>
      <c r="B39" s="13"/>
    </row>
    <row r="40" spans="1:12" x14ac:dyDescent="0.2">
      <c r="A40" s="102"/>
      <c r="B40" s="13"/>
      <c r="C40" s="244" t="s">
        <v>290</v>
      </c>
      <c r="D40" s="244"/>
      <c r="E40" s="244"/>
    </row>
    <row r="41" spans="1:12" ht="17" x14ac:dyDescent="0.2">
      <c r="A41" s="102"/>
      <c r="B41" s="13"/>
      <c r="C41" s="176"/>
      <c r="D41" s="177" t="s">
        <v>13</v>
      </c>
      <c r="E41" s="178" t="s">
        <v>14</v>
      </c>
    </row>
    <row r="42" spans="1:12" x14ac:dyDescent="0.2">
      <c r="A42" s="102"/>
      <c r="B42" s="13"/>
      <c r="C42" s="189" t="s">
        <v>22</v>
      </c>
      <c r="D42" s="179">
        <f>SUM(E15:E16)/SUM(D15:D16)</f>
        <v>1.236842105263158</v>
      </c>
      <c r="E42" s="179">
        <f>F15/E15</f>
        <v>1.1469648562300319</v>
      </c>
    </row>
    <row r="43" spans="1:12" x14ac:dyDescent="0.2">
      <c r="C43" s="189" t="s">
        <v>287</v>
      </c>
      <c r="D43" s="187">
        <f>PRODUCT(D42:E42)</f>
        <v>1.418614427442408</v>
      </c>
      <c r="E43" s="187">
        <f>E42</f>
        <v>1.1469648562300319</v>
      </c>
      <c r="L43" s="4"/>
    </row>
    <row r="44" spans="1:12" ht="17" thickBot="1" x14ac:dyDescent="0.25">
      <c r="L44" s="4"/>
    </row>
    <row r="45" spans="1:12" ht="17" thickBot="1" x14ac:dyDescent="0.25">
      <c r="C45" s="186" t="s">
        <v>289</v>
      </c>
      <c r="D45" s="180"/>
      <c r="E45" s="181">
        <f>D43*D17</f>
        <v>3674.2113670758367</v>
      </c>
      <c r="L45" s="4"/>
    </row>
    <row r="46" spans="1:12" x14ac:dyDescent="0.2">
      <c r="L46" s="4"/>
    </row>
    <row r="47" spans="1:12" x14ac:dyDescent="0.2">
      <c r="A47" s="102" t="s">
        <v>190</v>
      </c>
      <c r="B47" s="240" t="s">
        <v>242</v>
      </c>
      <c r="C47" s="240"/>
      <c r="D47" s="240"/>
      <c r="E47" s="240"/>
      <c r="F47" s="240"/>
      <c r="G47" s="240"/>
      <c r="H47" s="240"/>
      <c r="I47" s="240"/>
      <c r="L47" s="4"/>
    </row>
    <row r="48" spans="1:12" x14ac:dyDescent="0.2">
      <c r="A48" s="102"/>
      <c r="B48" s="240"/>
      <c r="C48" s="240"/>
      <c r="D48" s="240"/>
      <c r="E48" s="240"/>
      <c r="F48" s="240"/>
      <c r="G48" s="240"/>
      <c r="H48" s="240"/>
      <c r="I48" s="240"/>
      <c r="L48" s="4"/>
    </row>
    <row r="49" spans="1:12" x14ac:dyDescent="0.2">
      <c r="L49" s="4"/>
    </row>
    <row r="50" spans="1:12" x14ac:dyDescent="0.2">
      <c r="F50" s="185" t="s">
        <v>243</v>
      </c>
      <c r="L50" s="4"/>
    </row>
    <row r="51" spans="1:12" x14ac:dyDescent="0.2">
      <c r="F51" s="185"/>
      <c r="L51" s="4"/>
    </row>
    <row r="52" spans="1:12" x14ac:dyDescent="0.2">
      <c r="F52" s="247" t="s">
        <v>292</v>
      </c>
      <c r="G52" s="247"/>
      <c r="H52" s="106">
        <f>E36-E45</f>
        <v>2507.7088635465184</v>
      </c>
      <c r="L52" s="4"/>
    </row>
    <row r="53" spans="1:12" ht="17" thickBot="1" x14ac:dyDescent="0.25">
      <c r="H53" s="108"/>
      <c r="L53" s="4"/>
    </row>
    <row r="54" spans="1:12" ht="17" thickBot="1" x14ac:dyDescent="0.25">
      <c r="F54" s="245" t="s">
        <v>293</v>
      </c>
      <c r="G54" s="246"/>
      <c r="H54" s="181">
        <f>H52-(D10-D17)</f>
        <v>1547.7088635465184</v>
      </c>
      <c r="I54" s="141" t="s">
        <v>18</v>
      </c>
      <c r="L54" s="4"/>
    </row>
    <row r="55" spans="1:12" x14ac:dyDescent="0.2">
      <c r="L55" s="4"/>
    </row>
    <row r="56" spans="1:12" x14ac:dyDescent="0.2">
      <c r="L56" s="4"/>
    </row>
    <row r="57" spans="1:12" ht="19" x14ac:dyDescent="0.25">
      <c r="A57" s="2" t="s">
        <v>115</v>
      </c>
    </row>
    <row r="58" spans="1:12" ht="16" customHeight="1" x14ac:dyDescent="0.25">
      <c r="A58" s="2"/>
      <c r="B58" s="241" t="s">
        <v>345</v>
      </c>
      <c r="C58" s="242"/>
      <c r="D58" s="242"/>
      <c r="E58" s="242"/>
      <c r="F58" s="242"/>
      <c r="G58" s="242"/>
      <c r="H58" s="242"/>
      <c r="I58" s="242"/>
    </row>
    <row r="59" spans="1:12" ht="16" customHeight="1" x14ac:dyDescent="0.25">
      <c r="A59" s="2"/>
      <c r="B59" s="242"/>
      <c r="C59" s="242"/>
      <c r="D59" s="242"/>
      <c r="E59" s="242"/>
      <c r="F59" s="242"/>
      <c r="G59" s="242"/>
      <c r="H59" s="242"/>
      <c r="I59" s="242"/>
    </row>
    <row r="60" spans="1:12" ht="16" customHeight="1" x14ac:dyDescent="0.25">
      <c r="A60" s="2"/>
      <c r="B60" s="242"/>
      <c r="C60" s="242"/>
      <c r="D60" s="242"/>
      <c r="E60" s="242"/>
      <c r="F60" s="242"/>
      <c r="G60" s="242"/>
      <c r="H60" s="242"/>
      <c r="I60" s="242"/>
    </row>
    <row r="61" spans="1:12" ht="16" customHeight="1" x14ac:dyDescent="0.25">
      <c r="A61" s="2"/>
      <c r="B61" s="242"/>
      <c r="C61" s="242"/>
      <c r="D61" s="242"/>
      <c r="E61" s="242"/>
      <c r="F61" s="242"/>
      <c r="G61" s="242"/>
      <c r="H61" s="242"/>
      <c r="I61" s="242"/>
    </row>
    <row r="62" spans="1:12" ht="16" customHeight="1" x14ac:dyDescent="0.25">
      <c r="A62" s="2"/>
      <c r="B62" s="242"/>
      <c r="C62" s="242"/>
      <c r="D62" s="242"/>
      <c r="E62" s="242"/>
      <c r="F62" s="242"/>
      <c r="G62" s="242"/>
      <c r="H62" s="242"/>
      <c r="I62" s="242"/>
    </row>
    <row r="63" spans="1:12" ht="16" customHeight="1" x14ac:dyDescent="0.25">
      <c r="A63" s="2"/>
      <c r="B63" s="242"/>
      <c r="C63" s="242"/>
      <c r="D63" s="242"/>
      <c r="E63" s="242"/>
      <c r="F63" s="242"/>
      <c r="G63" s="242"/>
      <c r="H63" s="242"/>
      <c r="I63" s="242"/>
    </row>
    <row r="64" spans="1:12" ht="16" customHeight="1" x14ac:dyDescent="0.25">
      <c r="A64" s="2"/>
      <c r="B64" s="242"/>
      <c r="C64" s="242"/>
      <c r="D64" s="242"/>
      <c r="E64" s="242"/>
      <c r="F64" s="242"/>
      <c r="G64" s="242"/>
      <c r="H64" s="242"/>
      <c r="I64" s="242"/>
    </row>
    <row r="65" spans="1:14" ht="16" customHeight="1" x14ac:dyDescent="0.25">
      <c r="A65" s="2"/>
    </row>
    <row r="66" spans="1:14" ht="16" customHeight="1" x14ac:dyDescent="0.25">
      <c r="A66" s="2"/>
      <c r="B66" s="3" t="s">
        <v>120</v>
      </c>
    </row>
    <row r="67" spans="1:14" ht="16" customHeight="1" x14ac:dyDescent="0.25">
      <c r="A67" s="2"/>
      <c r="B67" s="94" t="s">
        <v>132</v>
      </c>
    </row>
    <row r="68" spans="1:14" ht="16" customHeight="1" x14ac:dyDescent="0.25">
      <c r="A68" s="2"/>
      <c r="B68" s="94" t="s">
        <v>133</v>
      </c>
    </row>
    <row r="69" spans="1:14" ht="16" customHeight="1" x14ac:dyDescent="0.25">
      <c r="A69" s="2"/>
    </row>
    <row r="70" spans="1:14" ht="16" customHeight="1" x14ac:dyDescent="0.25">
      <c r="A70" s="2"/>
      <c r="B70" s="3" t="s">
        <v>123</v>
      </c>
    </row>
    <row r="71" spans="1:14" ht="16" customHeight="1" x14ac:dyDescent="0.25">
      <c r="A71" s="2"/>
      <c r="B71" s="94" t="s">
        <v>134</v>
      </c>
    </row>
    <row r="72" spans="1:14" ht="16" customHeight="1" x14ac:dyDescent="0.25">
      <c r="A72" s="2"/>
    </row>
    <row r="73" spans="1:14" ht="19" x14ac:dyDescent="0.25">
      <c r="A73" s="2" t="s">
        <v>125</v>
      </c>
      <c r="L73" s="4"/>
      <c r="M73" s="4"/>
      <c r="N73" s="4"/>
    </row>
    <row r="74" spans="1:14" x14ac:dyDescent="0.2">
      <c r="B74" s="94" t="s">
        <v>135</v>
      </c>
      <c r="L74" s="4"/>
      <c r="M74" s="4"/>
      <c r="N74" s="4"/>
    </row>
    <row r="75" spans="1:14" x14ac:dyDescent="0.2">
      <c r="M75" s="103"/>
    </row>
    <row r="76" spans="1:14" ht="19" x14ac:dyDescent="0.25">
      <c r="A76" s="2" t="s">
        <v>127</v>
      </c>
      <c r="L76" s="4"/>
      <c r="M76" s="4"/>
      <c r="N76" s="4"/>
    </row>
    <row r="77" spans="1:14" x14ac:dyDescent="0.2">
      <c r="B77" s="94" t="s">
        <v>130</v>
      </c>
      <c r="D77" s="94" t="s">
        <v>136</v>
      </c>
      <c r="L77" s="4"/>
      <c r="M77" s="4"/>
      <c r="N77" s="4"/>
    </row>
    <row r="78" spans="1:14" x14ac:dyDescent="0.2">
      <c r="L78" s="4"/>
      <c r="M78" s="4"/>
      <c r="N78" s="4"/>
    </row>
    <row r="79" spans="1:14" x14ac:dyDescent="0.2">
      <c r="L79" s="4"/>
      <c r="M79" s="4"/>
      <c r="N79" s="4"/>
    </row>
    <row r="80" spans="1:14" x14ac:dyDescent="0.2">
      <c r="L80" s="4"/>
      <c r="M80" s="4"/>
      <c r="N80" s="4"/>
    </row>
    <row r="81" spans="12:14" x14ac:dyDescent="0.2">
      <c r="L81" s="4"/>
      <c r="M81" s="4"/>
      <c r="N81" s="4"/>
    </row>
    <row r="82" spans="12:14" x14ac:dyDescent="0.2">
      <c r="L82" s="4"/>
      <c r="M82" s="4"/>
      <c r="N82" s="4"/>
    </row>
    <row r="83" spans="12:14" x14ac:dyDescent="0.2">
      <c r="L83" s="4"/>
      <c r="M83" s="4"/>
      <c r="N83" s="4"/>
    </row>
    <row r="84" spans="12:14" x14ac:dyDescent="0.2">
      <c r="L84" s="4"/>
      <c r="M84" s="4"/>
      <c r="N84" s="4"/>
    </row>
    <row r="85" spans="12:14" x14ac:dyDescent="0.2">
      <c r="M85" s="103"/>
    </row>
    <row r="86" spans="12:14" x14ac:dyDescent="0.2">
      <c r="L86" s="4"/>
      <c r="M86" s="4"/>
      <c r="N86" s="4"/>
    </row>
    <row r="87" spans="12:14" x14ac:dyDescent="0.2">
      <c r="L87" s="4"/>
      <c r="M87" s="4"/>
      <c r="N87" s="4"/>
    </row>
    <row r="88" spans="12:14" x14ac:dyDescent="0.2">
      <c r="L88" s="4"/>
      <c r="M88" s="4"/>
      <c r="N88" s="4"/>
    </row>
    <row r="89" spans="12:14" x14ac:dyDescent="0.2">
      <c r="L89" s="4"/>
      <c r="M89" s="4"/>
      <c r="N89" s="4"/>
    </row>
    <row r="90" spans="12:14" x14ac:dyDescent="0.2">
      <c r="L90" s="4"/>
      <c r="M90" s="4"/>
      <c r="N90" s="4"/>
    </row>
    <row r="91" spans="12:14" x14ac:dyDescent="0.2">
      <c r="L91" s="4"/>
      <c r="M91" s="4"/>
      <c r="N91" s="4"/>
    </row>
    <row r="92" spans="12:14" x14ac:dyDescent="0.2">
      <c r="L92" s="4"/>
      <c r="M92" s="4"/>
      <c r="N92" s="4"/>
    </row>
    <row r="93" spans="12:14" x14ac:dyDescent="0.2">
      <c r="L93" s="4"/>
      <c r="M93" s="4"/>
      <c r="N93" s="4"/>
    </row>
    <row r="94" spans="12:14" x14ac:dyDescent="0.2">
      <c r="L94" s="4"/>
      <c r="M94" s="4"/>
      <c r="N94" s="4"/>
    </row>
    <row r="95" spans="12:14" x14ac:dyDescent="0.2">
      <c r="M95" s="103"/>
    </row>
    <row r="96" spans="12:14" x14ac:dyDescent="0.2">
      <c r="L96" s="4"/>
      <c r="M96" s="4"/>
      <c r="N96" s="4"/>
    </row>
    <row r="97" spans="1:65" x14ac:dyDescent="0.2">
      <c r="L97" s="4"/>
      <c r="M97" s="4"/>
      <c r="N97" s="4"/>
    </row>
    <row r="98" spans="1:65" x14ac:dyDescent="0.2">
      <c r="L98" s="4"/>
      <c r="M98" s="4"/>
      <c r="N98" s="4"/>
    </row>
    <row r="99" spans="1:65" x14ac:dyDescent="0.2">
      <c r="L99" s="4"/>
      <c r="M99" s="4"/>
      <c r="N99" s="4"/>
    </row>
    <row r="100" spans="1:65" x14ac:dyDescent="0.2">
      <c r="L100" s="4"/>
      <c r="M100" s="4"/>
      <c r="N100" s="4"/>
    </row>
    <row r="101" spans="1:65" x14ac:dyDescent="0.2">
      <c r="L101" s="4"/>
      <c r="M101" s="4"/>
      <c r="N101" s="4"/>
    </row>
    <row r="102" spans="1:65" x14ac:dyDescent="0.2">
      <c r="L102" s="4"/>
      <c r="M102" s="4"/>
      <c r="N102" s="4"/>
    </row>
    <row r="103" spans="1:65" x14ac:dyDescent="0.2">
      <c r="L103" s="4"/>
      <c r="M103" s="4"/>
      <c r="N103" s="4"/>
    </row>
    <row r="104" spans="1:65" x14ac:dyDescent="0.2">
      <c r="L104" s="4"/>
      <c r="M104" s="4"/>
      <c r="N104" s="4"/>
    </row>
    <row r="105" spans="1:65" x14ac:dyDescent="0.2">
      <c r="M105" s="103"/>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sheetData>
  <mergeCells count="12">
    <mergeCell ref="C5:F5"/>
    <mergeCell ref="C12:F12"/>
    <mergeCell ref="C6:C7"/>
    <mergeCell ref="C13:C14"/>
    <mergeCell ref="B28:I29"/>
    <mergeCell ref="B58:I64"/>
    <mergeCell ref="B47:I48"/>
    <mergeCell ref="B23:I24"/>
    <mergeCell ref="C31:E31"/>
    <mergeCell ref="C40:E40"/>
    <mergeCell ref="F54:G54"/>
    <mergeCell ref="F52:G5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M198"/>
  <sheetViews>
    <sheetView showGridLines="0" zoomScale="120" zoomScaleNormal="120" workbookViewId="0"/>
  </sheetViews>
  <sheetFormatPr baseColWidth="10" defaultColWidth="10.83203125" defaultRowHeight="16" x14ac:dyDescent="0.2"/>
  <cols>
    <col min="1" max="1" width="10.83203125" style="94"/>
    <col min="2" max="3" width="10.83203125" style="94" customWidth="1"/>
    <col min="4" max="16384" width="10.83203125" style="94"/>
  </cols>
  <sheetData>
    <row r="1" spans="1:10" ht="19" x14ac:dyDescent="0.25">
      <c r="A1" s="1" t="s">
        <v>194</v>
      </c>
      <c r="B1" s="92"/>
      <c r="C1" s="92"/>
      <c r="D1" s="92"/>
      <c r="E1" s="92"/>
      <c r="F1" s="92"/>
      <c r="G1" s="92"/>
      <c r="H1" s="92"/>
      <c r="I1" s="92"/>
      <c r="J1" s="93"/>
    </row>
    <row r="2" spans="1:10" x14ac:dyDescent="0.2">
      <c r="A2" s="5"/>
      <c r="B2" s="92"/>
      <c r="C2" s="92"/>
      <c r="D2" s="92"/>
      <c r="E2" s="92"/>
      <c r="F2" s="92"/>
      <c r="G2" s="92"/>
      <c r="H2" s="92"/>
      <c r="I2" s="92"/>
      <c r="J2" s="93"/>
    </row>
    <row r="3" spans="1:10" x14ac:dyDescent="0.2">
      <c r="A3" s="5"/>
      <c r="B3" s="92" t="s">
        <v>45</v>
      </c>
      <c r="C3" s="92"/>
      <c r="D3" s="92"/>
      <c r="E3" s="92"/>
      <c r="F3" s="92"/>
      <c r="G3" s="92"/>
      <c r="H3" s="92"/>
      <c r="I3" s="92"/>
      <c r="J3" s="93"/>
    </row>
    <row r="4" spans="1:10" x14ac:dyDescent="0.2">
      <c r="A4" s="5"/>
      <c r="B4" s="92"/>
      <c r="C4" s="92"/>
      <c r="D4" s="92"/>
      <c r="E4" s="92"/>
      <c r="F4" s="92"/>
      <c r="G4" s="92"/>
      <c r="H4" s="92"/>
      <c r="I4" s="92"/>
      <c r="J4" s="93"/>
    </row>
    <row r="5" spans="1:10" x14ac:dyDescent="0.2">
      <c r="A5" s="5"/>
      <c r="B5" s="92"/>
      <c r="C5" s="248" t="s">
        <v>7</v>
      </c>
      <c r="D5" s="249"/>
      <c r="E5" s="249"/>
      <c r="F5" s="250"/>
      <c r="G5" s="92"/>
      <c r="H5" s="92"/>
      <c r="I5" s="92"/>
      <c r="J5" s="93"/>
    </row>
    <row r="6" spans="1:10" x14ac:dyDescent="0.2">
      <c r="A6" s="5"/>
      <c r="B6" s="92"/>
      <c r="C6" s="260" t="s">
        <v>8</v>
      </c>
      <c r="D6" s="23"/>
      <c r="E6" s="24"/>
      <c r="F6" s="25"/>
      <c r="G6" s="92"/>
      <c r="H6" s="92"/>
      <c r="I6" s="92"/>
      <c r="J6" s="93"/>
    </row>
    <row r="7" spans="1:10" ht="17" x14ac:dyDescent="0.2">
      <c r="A7" s="5"/>
      <c r="B7" s="92"/>
      <c r="C7" s="261"/>
      <c r="D7" s="158" t="s">
        <v>9</v>
      </c>
      <c r="E7" s="159" t="s">
        <v>10</v>
      </c>
      <c r="F7" s="160" t="s">
        <v>11</v>
      </c>
      <c r="G7" s="92"/>
      <c r="H7" s="92"/>
      <c r="I7" s="92"/>
      <c r="J7" s="93"/>
    </row>
    <row r="8" spans="1:10" x14ac:dyDescent="0.2">
      <c r="A8" s="5"/>
      <c r="B8" s="92"/>
      <c r="C8" s="161">
        <v>2021</v>
      </c>
      <c r="D8" s="162">
        <v>1650</v>
      </c>
      <c r="E8" s="163">
        <v>2270</v>
      </c>
      <c r="F8" s="164">
        <v>2890</v>
      </c>
      <c r="G8" s="92"/>
      <c r="H8" s="92"/>
      <c r="I8" s="92"/>
      <c r="J8" s="93"/>
    </row>
    <row r="9" spans="1:10" x14ac:dyDescent="0.2">
      <c r="A9" s="5"/>
      <c r="B9" s="92"/>
      <c r="C9" s="165">
        <v>2022</v>
      </c>
      <c r="D9" s="166">
        <v>1750</v>
      </c>
      <c r="E9" s="167">
        <v>2550</v>
      </c>
      <c r="F9" s="168"/>
      <c r="G9" s="92"/>
      <c r="H9" s="92"/>
      <c r="I9" s="92"/>
      <c r="J9" s="93"/>
    </row>
    <row r="10" spans="1:10" x14ac:dyDescent="0.2">
      <c r="A10" s="5"/>
      <c r="B10" s="92"/>
      <c r="C10" s="169">
        <v>2023</v>
      </c>
      <c r="D10" s="170">
        <v>1870</v>
      </c>
      <c r="E10" s="171"/>
      <c r="F10" s="172"/>
      <c r="G10" s="92"/>
      <c r="H10" s="92"/>
      <c r="I10" s="92"/>
      <c r="J10" s="93"/>
    </row>
    <row r="11" spans="1:10" x14ac:dyDescent="0.2">
      <c r="A11" s="5"/>
      <c r="B11" s="92"/>
      <c r="C11" s="92"/>
      <c r="D11" s="92"/>
      <c r="E11" s="92"/>
      <c r="F11" s="92"/>
      <c r="G11" s="92"/>
      <c r="H11" s="92"/>
      <c r="I11" s="92"/>
      <c r="J11" s="93"/>
    </row>
    <row r="12" spans="1:10" x14ac:dyDescent="0.2">
      <c r="A12" s="5"/>
      <c r="B12" s="92"/>
      <c r="C12" s="145"/>
      <c r="D12" s="258" t="s">
        <v>19</v>
      </c>
      <c r="E12" s="256" t="s">
        <v>20</v>
      </c>
      <c r="F12" s="254" t="s">
        <v>21</v>
      </c>
      <c r="G12" s="92"/>
      <c r="H12" s="92"/>
      <c r="I12" s="92"/>
      <c r="J12" s="93"/>
    </row>
    <row r="13" spans="1:10" x14ac:dyDescent="0.2">
      <c r="A13" s="5"/>
      <c r="B13" s="92"/>
      <c r="C13" s="67"/>
      <c r="D13" s="259"/>
      <c r="E13" s="257"/>
      <c r="F13" s="255"/>
      <c r="G13" s="92"/>
      <c r="H13" s="92"/>
      <c r="I13" s="92"/>
      <c r="J13" s="93"/>
    </row>
    <row r="14" spans="1:10" ht="17" x14ac:dyDescent="0.2">
      <c r="A14" s="5"/>
      <c r="B14" s="92"/>
      <c r="C14" s="68" t="s">
        <v>22</v>
      </c>
      <c r="D14" s="69">
        <v>1.4179999999999999</v>
      </c>
      <c r="E14" s="81">
        <v>1.2729999999999999</v>
      </c>
      <c r="F14" s="82">
        <v>1.25</v>
      </c>
      <c r="G14" s="92"/>
      <c r="H14" s="92"/>
      <c r="I14" s="92"/>
      <c r="J14" s="93"/>
    </row>
    <row r="15" spans="1:10" x14ac:dyDescent="0.2">
      <c r="A15" s="5"/>
      <c r="B15" s="92"/>
      <c r="C15" s="92"/>
      <c r="D15" s="92"/>
      <c r="E15" s="92"/>
      <c r="F15" s="92"/>
      <c r="G15" s="92"/>
      <c r="H15" s="92"/>
      <c r="I15" s="92"/>
      <c r="J15" s="93"/>
    </row>
    <row r="16" spans="1:10" x14ac:dyDescent="0.2">
      <c r="A16" s="5"/>
      <c r="B16" s="92"/>
      <c r="C16" s="173" t="s">
        <v>223</v>
      </c>
      <c r="D16" s="87"/>
      <c r="E16" s="87"/>
      <c r="F16" s="88"/>
      <c r="G16" s="92"/>
      <c r="H16" s="92"/>
      <c r="I16" s="92"/>
      <c r="J16" s="93"/>
    </row>
    <row r="17" spans="1:10" x14ac:dyDescent="0.2">
      <c r="A17" s="5"/>
      <c r="B17" s="92"/>
      <c r="C17" s="260" t="s">
        <v>8</v>
      </c>
      <c r="D17" s="89"/>
      <c r="E17" s="90"/>
      <c r="F17" s="91"/>
      <c r="G17" s="92"/>
      <c r="H17" s="92"/>
      <c r="I17" s="92"/>
      <c r="J17" s="93"/>
    </row>
    <row r="18" spans="1:10" ht="17" x14ac:dyDescent="0.2">
      <c r="A18" s="5"/>
      <c r="B18" s="92"/>
      <c r="C18" s="261"/>
      <c r="D18" s="158" t="s">
        <v>9</v>
      </c>
      <c r="E18" s="159" t="s">
        <v>10</v>
      </c>
      <c r="F18" s="160" t="s">
        <v>11</v>
      </c>
      <c r="G18" s="92"/>
      <c r="H18" s="92"/>
      <c r="I18" s="92"/>
      <c r="J18" s="93"/>
    </row>
    <row r="19" spans="1:10" x14ac:dyDescent="0.2">
      <c r="A19" s="5"/>
      <c r="B19" s="92"/>
      <c r="C19" s="161">
        <v>2021</v>
      </c>
      <c r="D19" s="162">
        <v>1280</v>
      </c>
      <c r="E19" s="163">
        <v>1490</v>
      </c>
      <c r="F19" s="164">
        <v>1620</v>
      </c>
      <c r="G19" s="92"/>
      <c r="H19" s="92"/>
      <c r="I19" s="92"/>
      <c r="J19" s="93"/>
    </row>
    <row r="20" spans="1:10" x14ac:dyDescent="0.2">
      <c r="A20" s="5"/>
      <c r="B20" s="92"/>
      <c r="C20" s="165">
        <v>2022</v>
      </c>
      <c r="D20" s="166">
        <v>1310</v>
      </c>
      <c r="E20" s="167">
        <v>1600</v>
      </c>
      <c r="F20" s="168"/>
      <c r="G20" s="92"/>
      <c r="H20" s="92"/>
      <c r="I20" s="92"/>
      <c r="J20" s="93"/>
    </row>
    <row r="21" spans="1:10" x14ac:dyDescent="0.2">
      <c r="A21" s="5"/>
      <c r="B21" s="92"/>
      <c r="C21" s="169">
        <v>2023</v>
      </c>
      <c r="D21" s="170">
        <v>1330</v>
      </c>
      <c r="E21" s="171"/>
      <c r="F21" s="172"/>
      <c r="G21" s="92"/>
      <c r="H21" s="92"/>
      <c r="I21" s="92"/>
      <c r="J21" s="93"/>
    </row>
    <row r="22" spans="1:10" x14ac:dyDescent="0.2">
      <c r="A22" s="5"/>
      <c r="B22" s="92"/>
      <c r="C22" s="92"/>
      <c r="D22" s="92"/>
      <c r="E22" s="92"/>
      <c r="F22" s="92"/>
      <c r="G22" s="92"/>
      <c r="H22" s="92"/>
      <c r="I22" s="92"/>
      <c r="J22" s="93"/>
    </row>
    <row r="23" spans="1:10" x14ac:dyDescent="0.2">
      <c r="A23" s="5"/>
      <c r="B23" s="92"/>
      <c r="C23" s="145"/>
      <c r="D23" s="258" t="s">
        <v>19</v>
      </c>
      <c r="E23" s="256" t="s">
        <v>20</v>
      </c>
      <c r="F23" s="254" t="s">
        <v>21</v>
      </c>
      <c r="G23" s="92"/>
      <c r="H23" s="92"/>
      <c r="I23" s="92"/>
      <c r="J23" s="93"/>
    </row>
    <row r="24" spans="1:10" x14ac:dyDescent="0.2">
      <c r="A24" s="5"/>
      <c r="B24" s="92"/>
      <c r="C24" s="67"/>
      <c r="D24" s="259"/>
      <c r="E24" s="257"/>
      <c r="F24" s="255"/>
      <c r="G24" s="92"/>
      <c r="H24" s="92"/>
      <c r="I24" s="92"/>
      <c r="J24" s="93"/>
    </row>
    <row r="25" spans="1:10" ht="20" x14ac:dyDescent="0.2">
      <c r="A25" s="5"/>
      <c r="B25" s="92"/>
      <c r="C25" s="68" t="s">
        <v>23</v>
      </c>
      <c r="D25" s="69">
        <v>1.1930000000000001</v>
      </c>
      <c r="E25" s="81">
        <v>1.087</v>
      </c>
      <c r="F25" s="82">
        <v>1.1499999999999999</v>
      </c>
      <c r="G25" s="92"/>
      <c r="H25" s="92"/>
      <c r="I25" s="92"/>
      <c r="J25" s="93"/>
    </row>
    <row r="26" spans="1:10" x14ac:dyDescent="0.2">
      <c r="A26" s="5"/>
      <c r="B26" s="92"/>
      <c r="C26" s="92"/>
      <c r="D26" s="92"/>
      <c r="E26" s="92"/>
      <c r="F26" s="92"/>
      <c r="G26" s="92"/>
      <c r="H26" s="92"/>
      <c r="I26" s="92"/>
      <c r="J26" s="93"/>
    </row>
    <row r="27" spans="1:10" x14ac:dyDescent="0.2">
      <c r="A27" s="5"/>
      <c r="B27" s="92"/>
      <c r="C27" s="92"/>
      <c r="D27" s="92"/>
      <c r="E27" s="92"/>
      <c r="F27" s="92"/>
      <c r="G27" s="92"/>
      <c r="H27" s="92"/>
      <c r="I27" s="92"/>
      <c r="J27" s="93"/>
    </row>
    <row r="28" spans="1:10" x14ac:dyDescent="0.2">
      <c r="A28" s="5"/>
      <c r="B28" s="92" t="s">
        <v>24</v>
      </c>
      <c r="C28" s="92"/>
      <c r="D28" s="92"/>
      <c r="E28" s="92"/>
      <c r="F28" s="92"/>
      <c r="G28" s="92"/>
      <c r="H28" s="92"/>
      <c r="I28" s="92"/>
      <c r="J28" s="93"/>
    </row>
    <row r="29" spans="1:10" x14ac:dyDescent="0.2">
      <c r="A29" s="5"/>
      <c r="B29" s="92" t="s">
        <v>46</v>
      </c>
      <c r="C29" s="92"/>
      <c r="D29" s="174">
        <v>0.7</v>
      </c>
      <c r="E29" s="92"/>
      <c r="F29" s="92"/>
      <c r="G29" s="92"/>
      <c r="H29" s="92"/>
      <c r="I29" s="92"/>
      <c r="J29" s="93"/>
    </row>
    <row r="30" spans="1:10" x14ac:dyDescent="0.2">
      <c r="A30" s="5"/>
      <c r="B30" s="92"/>
      <c r="C30" s="92"/>
      <c r="D30" s="92"/>
      <c r="E30" s="92"/>
      <c r="F30" s="92"/>
      <c r="G30" s="92"/>
      <c r="H30" s="92"/>
      <c r="I30" s="92"/>
      <c r="J30" s="93"/>
    </row>
    <row r="31" spans="1:10" x14ac:dyDescent="0.2">
      <c r="A31" s="5"/>
      <c r="B31" s="92"/>
      <c r="C31" s="92"/>
      <c r="D31" s="92"/>
      <c r="E31" s="92"/>
      <c r="F31" s="92"/>
      <c r="G31" s="92"/>
      <c r="H31" s="92"/>
      <c r="I31" s="92"/>
      <c r="J31" s="93"/>
    </row>
    <row r="32" spans="1:10" x14ac:dyDescent="0.2">
      <c r="A32" s="5"/>
      <c r="B32" s="188" t="s">
        <v>230</v>
      </c>
      <c r="C32" s="92"/>
      <c r="D32" s="92"/>
      <c r="E32" s="92"/>
      <c r="F32" s="92"/>
      <c r="G32" s="92"/>
      <c r="H32" s="92"/>
      <c r="I32" s="92"/>
      <c r="J32" s="93"/>
    </row>
    <row r="33" spans="1:12" x14ac:dyDescent="0.2">
      <c r="A33" s="5"/>
      <c r="B33" s="92" t="s">
        <v>42</v>
      </c>
      <c r="C33" s="92"/>
      <c r="D33" s="92"/>
      <c r="E33" s="92"/>
      <c r="F33" s="92"/>
      <c r="G33" s="92"/>
      <c r="H33" s="92"/>
      <c r="I33" s="92"/>
      <c r="J33" s="93"/>
    </row>
    <row r="34" spans="1:12" ht="17" thickBot="1" x14ac:dyDescent="0.25">
      <c r="A34" s="98"/>
      <c r="B34" s="99"/>
      <c r="C34" s="100"/>
      <c r="D34" s="100"/>
      <c r="E34" s="100"/>
      <c r="F34" s="99"/>
      <c r="G34" s="99"/>
      <c r="H34" s="99"/>
      <c r="I34" s="99"/>
      <c r="J34" s="101"/>
    </row>
    <row r="36" spans="1:12" ht="19" x14ac:dyDescent="0.25">
      <c r="A36" s="2" t="s">
        <v>3</v>
      </c>
    </row>
    <row r="37" spans="1:12" x14ac:dyDescent="0.2">
      <c r="A37" s="102" t="s">
        <v>189</v>
      </c>
      <c r="B37" s="13" t="s">
        <v>244</v>
      </c>
    </row>
    <row r="38" spans="1:12" x14ac:dyDescent="0.2">
      <c r="A38" s="102"/>
      <c r="B38" s="13"/>
    </row>
    <row r="39" spans="1:12" x14ac:dyDescent="0.2">
      <c r="A39" s="102"/>
      <c r="B39" s="13"/>
      <c r="F39" s="190"/>
      <c r="G39" s="192" t="s">
        <v>246</v>
      </c>
    </row>
    <row r="40" spans="1:12" x14ac:dyDescent="0.2">
      <c r="A40" s="102"/>
      <c r="B40" s="13"/>
      <c r="F40" s="196" t="s">
        <v>22</v>
      </c>
      <c r="G40" s="193">
        <f>PRODUCT(D14:F14)</f>
        <v>2.2563925</v>
      </c>
    </row>
    <row r="41" spans="1:12" x14ac:dyDescent="0.2">
      <c r="F41" s="197" t="s">
        <v>247</v>
      </c>
      <c r="G41" s="187">
        <f>PRODUCT(D25:F25)</f>
        <v>1.4913096499999998</v>
      </c>
      <c r="L41" s="4"/>
    </row>
    <row r="42" spans="1:12" x14ac:dyDescent="0.2">
      <c r="F42" s="197" t="s">
        <v>248</v>
      </c>
      <c r="G42" s="194">
        <f>(G40-$D$29*G41)/(1-$D$29)</f>
        <v>4.0415858166666663</v>
      </c>
      <c r="L42" s="4"/>
    </row>
    <row r="43" spans="1:12" x14ac:dyDescent="0.2">
      <c r="L43" s="4"/>
    </row>
    <row r="44" spans="1:12" x14ac:dyDescent="0.2">
      <c r="L44" s="4"/>
    </row>
    <row r="45" spans="1:12" x14ac:dyDescent="0.2">
      <c r="L45" s="4"/>
    </row>
    <row r="46" spans="1:12" x14ac:dyDescent="0.2">
      <c r="L46" s="4"/>
    </row>
    <row r="47" spans="1:12" x14ac:dyDescent="0.2">
      <c r="L47" s="4"/>
    </row>
    <row r="48" spans="1:12" x14ac:dyDescent="0.2">
      <c r="A48" s="102" t="s">
        <v>201</v>
      </c>
      <c r="B48" s="13" t="s">
        <v>245</v>
      </c>
      <c r="L48" s="4"/>
    </row>
    <row r="49" spans="1:14" ht="17" thickBot="1" x14ac:dyDescent="0.25">
      <c r="A49" s="102"/>
      <c r="B49" s="13"/>
      <c r="L49" s="4"/>
    </row>
    <row r="50" spans="1:14" ht="17" thickBot="1" x14ac:dyDescent="0.25">
      <c r="A50" s="102"/>
      <c r="B50" s="13"/>
      <c r="F50" s="143" t="s">
        <v>25</v>
      </c>
      <c r="G50" s="181">
        <f>G42*(D10-D21)</f>
        <v>2182.4563409999996</v>
      </c>
      <c r="H50" s="141" t="s">
        <v>18</v>
      </c>
      <c r="L50" s="4"/>
    </row>
    <row r="51" spans="1:14" x14ac:dyDescent="0.2">
      <c r="A51" s="102"/>
      <c r="B51" s="13"/>
      <c r="L51" s="4"/>
    </row>
    <row r="52" spans="1:14" x14ac:dyDescent="0.2">
      <c r="L52" s="4"/>
    </row>
    <row r="53" spans="1:14" x14ac:dyDescent="0.2">
      <c r="L53" s="4"/>
    </row>
    <row r="54" spans="1:14" ht="19" x14ac:dyDescent="0.25">
      <c r="A54" s="2" t="s">
        <v>115</v>
      </c>
      <c r="C54" s="103"/>
    </row>
    <row r="55" spans="1:14" x14ac:dyDescent="0.2">
      <c r="B55" s="253" t="s">
        <v>294</v>
      </c>
      <c r="C55" s="242"/>
      <c r="D55" s="242"/>
      <c r="E55" s="242"/>
      <c r="F55" s="242"/>
      <c r="G55" s="242"/>
      <c r="H55" s="242"/>
      <c r="I55" s="242"/>
    </row>
    <row r="56" spans="1:14" x14ac:dyDescent="0.2">
      <c r="A56" s="3"/>
      <c r="B56" s="242"/>
      <c r="C56" s="242"/>
      <c r="D56" s="242"/>
      <c r="E56" s="242"/>
      <c r="F56" s="242"/>
      <c r="G56" s="242"/>
      <c r="H56" s="242"/>
      <c r="I56" s="242"/>
    </row>
    <row r="57" spans="1:14" x14ac:dyDescent="0.2">
      <c r="B57" s="242"/>
      <c r="C57" s="242"/>
      <c r="D57" s="242"/>
      <c r="E57" s="242"/>
      <c r="F57" s="242"/>
      <c r="G57" s="242"/>
      <c r="H57" s="242"/>
      <c r="I57" s="242"/>
      <c r="M57" s="103"/>
    </row>
    <row r="58" spans="1:14" x14ac:dyDescent="0.2">
      <c r="L58" s="4"/>
      <c r="M58" s="4"/>
      <c r="N58" s="4"/>
    </row>
    <row r="59" spans="1:14" x14ac:dyDescent="0.2">
      <c r="B59" s="3" t="s">
        <v>120</v>
      </c>
      <c r="L59" s="4"/>
      <c r="M59" s="4"/>
      <c r="N59" s="4"/>
    </row>
    <row r="60" spans="1:14" x14ac:dyDescent="0.2">
      <c r="B60" s="94" t="s">
        <v>137</v>
      </c>
      <c r="L60" s="4"/>
      <c r="M60" s="4"/>
      <c r="N60" s="4"/>
    </row>
    <row r="61" spans="1:14" x14ac:dyDescent="0.2">
      <c r="L61" s="4"/>
      <c r="M61" s="4"/>
      <c r="N61" s="4"/>
    </row>
    <row r="62" spans="1:14" x14ac:dyDescent="0.2">
      <c r="B62" s="3" t="s">
        <v>123</v>
      </c>
      <c r="L62" s="4"/>
      <c r="M62" s="4"/>
      <c r="N62" s="4"/>
    </row>
    <row r="63" spans="1:14" x14ac:dyDescent="0.2">
      <c r="B63" s="94" t="s">
        <v>138</v>
      </c>
      <c r="L63" s="4"/>
      <c r="M63" s="4"/>
      <c r="N63" s="4"/>
    </row>
    <row r="64" spans="1:14" x14ac:dyDescent="0.2">
      <c r="B64" s="94" t="s">
        <v>139</v>
      </c>
      <c r="L64" s="4"/>
      <c r="M64" s="4"/>
      <c r="N64" s="4"/>
    </row>
    <row r="65" spans="1:14" x14ac:dyDescent="0.2">
      <c r="L65" s="4"/>
      <c r="M65" s="4"/>
      <c r="N65" s="4"/>
    </row>
    <row r="66" spans="1:14" ht="19" x14ac:dyDescent="0.25">
      <c r="A66" s="2" t="s">
        <v>125</v>
      </c>
      <c r="M66" s="103"/>
    </row>
    <row r="67" spans="1:14" x14ac:dyDescent="0.2">
      <c r="B67" s="94" t="s">
        <v>140</v>
      </c>
      <c r="L67" s="4"/>
      <c r="M67" s="4"/>
      <c r="N67" s="4"/>
    </row>
    <row r="68" spans="1:14" x14ac:dyDescent="0.2">
      <c r="L68" s="4"/>
      <c r="M68" s="4"/>
      <c r="N68" s="4"/>
    </row>
    <row r="69" spans="1:14" ht="19" x14ac:dyDescent="0.25">
      <c r="A69" s="2" t="s">
        <v>127</v>
      </c>
      <c r="L69" s="4"/>
      <c r="M69" s="4"/>
      <c r="N69" s="4"/>
    </row>
    <row r="70" spans="1:14" x14ac:dyDescent="0.2">
      <c r="B70" s="94" t="s">
        <v>128</v>
      </c>
      <c r="D70" s="94" t="s">
        <v>143</v>
      </c>
      <c r="L70" s="4"/>
      <c r="M70" s="4"/>
      <c r="N70" s="4"/>
    </row>
    <row r="71" spans="1:14" x14ac:dyDescent="0.2">
      <c r="B71" s="94" t="s">
        <v>141</v>
      </c>
      <c r="L71" s="4"/>
      <c r="M71" s="4"/>
      <c r="N71" s="4"/>
    </row>
    <row r="72" spans="1:14" x14ac:dyDescent="0.2">
      <c r="B72" s="94" t="s">
        <v>129</v>
      </c>
      <c r="L72" s="4"/>
      <c r="M72" s="4"/>
      <c r="N72" s="4"/>
    </row>
    <row r="73" spans="1:14" x14ac:dyDescent="0.2">
      <c r="B73" s="94" t="s">
        <v>130</v>
      </c>
      <c r="L73" s="4"/>
      <c r="M73" s="4"/>
      <c r="N73" s="4"/>
    </row>
    <row r="74" spans="1:14" x14ac:dyDescent="0.2">
      <c r="B74" s="94" t="s">
        <v>142</v>
      </c>
      <c r="L74" s="4"/>
      <c r="M74" s="4"/>
      <c r="N74" s="4"/>
    </row>
    <row r="75" spans="1:14" x14ac:dyDescent="0.2">
      <c r="L75" s="4"/>
      <c r="M75" s="4"/>
      <c r="N75" s="4"/>
    </row>
    <row r="76" spans="1:14" x14ac:dyDescent="0.2">
      <c r="M76" s="103"/>
    </row>
    <row r="77" spans="1:14" x14ac:dyDescent="0.2">
      <c r="L77" s="4"/>
      <c r="M77" s="4"/>
      <c r="N77" s="4"/>
    </row>
    <row r="78" spans="1:14" x14ac:dyDescent="0.2">
      <c r="L78" s="4"/>
      <c r="M78" s="4"/>
      <c r="N78" s="4"/>
    </row>
    <row r="79" spans="1:14" x14ac:dyDescent="0.2">
      <c r="L79" s="4"/>
      <c r="M79" s="4"/>
      <c r="N79" s="4"/>
    </row>
    <row r="80" spans="1:14" x14ac:dyDescent="0.2">
      <c r="L80" s="4"/>
      <c r="M80" s="4"/>
      <c r="N80" s="4"/>
    </row>
    <row r="81" spans="12:14" x14ac:dyDescent="0.2">
      <c r="L81" s="4"/>
      <c r="M81" s="4"/>
      <c r="N81" s="4"/>
    </row>
    <row r="82" spans="12:14" x14ac:dyDescent="0.2">
      <c r="L82" s="4"/>
      <c r="M82" s="4"/>
      <c r="N82" s="4"/>
    </row>
    <row r="83" spans="12:14" x14ac:dyDescent="0.2">
      <c r="L83" s="4"/>
      <c r="M83" s="4"/>
      <c r="N83" s="4"/>
    </row>
    <row r="84" spans="12:14" x14ac:dyDescent="0.2">
      <c r="L84" s="4"/>
      <c r="M84" s="4"/>
      <c r="N84" s="4"/>
    </row>
    <row r="85" spans="12:14" x14ac:dyDescent="0.2">
      <c r="L85" s="4"/>
      <c r="M85" s="4"/>
      <c r="N85" s="4"/>
    </row>
    <row r="86" spans="12:14" x14ac:dyDescent="0.2">
      <c r="M86" s="103"/>
    </row>
    <row r="87" spans="12:14" x14ac:dyDescent="0.2">
      <c r="L87" s="4"/>
      <c r="M87" s="4"/>
      <c r="N87" s="4"/>
    </row>
    <row r="88" spans="12:14" x14ac:dyDescent="0.2">
      <c r="L88" s="4"/>
      <c r="M88" s="4"/>
      <c r="N88" s="4"/>
    </row>
    <row r="89" spans="12:14" x14ac:dyDescent="0.2">
      <c r="L89" s="4"/>
      <c r="M89" s="4"/>
      <c r="N89" s="4"/>
    </row>
    <row r="90" spans="12:14" x14ac:dyDescent="0.2">
      <c r="L90" s="4"/>
      <c r="M90" s="4"/>
      <c r="N90" s="4"/>
    </row>
    <row r="91" spans="12:14" x14ac:dyDescent="0.2">
      <c r="L91" s="4"/>
      <c r="M91" s="4"/>
      <c r="N91" s="4"/>
    </row>
    <row r="92" spans="12:14" x14ac:dyDescent="0.2">
      <c r="L92" s="4"/>
      <c r="M92" s="4"/>
      <c r="N92" s="4"/>
    </row>
    <row r="93" spans="12:14" x14ac:dyDescent="0.2">
      <c r="L93" s="4"/>
      <c r="M93" s="4"/>
      <c r="N93" s="4"/>
    </row>
    <row r="94" spans="12:14" x14ac:dyDescent="0.2">
      <c r="L94" s="4"/>
      <c r="M94" s="4"/>
      <c r="N94" s="4"/>
    </row>
    <row r="95" spans="12:14" x14ac:dyDescent="0.2">
      <c r="L95" s="4"/>
      <c r="M95" s="4"/>
      <c r="N95" s="4"/>
    </row>
    <row r="96" spans="12:14" x14ac:dyDescent="0.2">
      <c r="M96" s="103"/>
    </row>
    <row r="97" spans="1:6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sheetData>
  <mergeCells count="10">
    <mergeCell ref="B55:I57"/>
    <mergeCell ref="C5:F5"/>
    <mergeCell ref="F23:F24"/>
    <mergeCell ref="E23:E24"/>
    <mergeCell ref="D23:D24"/>
    <mergeCell ref="C17:C18"/>
    <mergeCell ref="F12:F13"/>
    <mergeCell ref="E12:E13"/>
    <mergeCell ref="D12:D13"/>
    <mergeCell ref="C6:C7"/>
  </mergeCells>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M199"/>
  <sheetViews>
    <sheetView showGridLines="0" zoomScale="120" zoomScaleNormal="120" workbookViewId="0"/>
  </sheetViews>
  <sheetFormatPr baseColWidth="10" defaultColWidth="10.83203125" defaultRowHeight="16" x14ac:dyDescent="0.2"/>
  <cols>
    <col min="1" max="1" width="10.83203125" style="94"/>
    <col min="2" max="3" width="10.83203125" style="94" customWidth="1"/>
    <col min="4" max="4" width="10.83203125" style="94"/>
    <col min="5" max="7" width="10.83203125" style="94" customWidth="1"/>
    <col min="8" max="16384" width="10.83203125" style="94"/>
  </cols>
  <sheetData>
    <row r="1" spans="1:10" ht="19" x14ac:dyDescent="0.25">
      <c r="A1" s="1" t="s">
        <v>195</v>
      </c>
      <c r="B1" s="92"/>
      <c r="C1" s="92"/>
      <c r="D1" s="92"/>
      <c r="E1" s="92"/>
      <c r="F1" s="92"/>
      <c r="G1" s="92"/>
      <c r="H1" s="92"/>
      <c r="I1" s="92"/>
      <c r="J1" s="93"/>
    </row>
    <row r="2" spans="1:10" x14ac:dyDescent="0.2">
      <c r="A2" s="5"/>
      <c r="B2" s="92"/>
      <c r="C2" s="92"/>
      <c r="D2" s="92"/>
      <c r="E2" s="92"/>
      <c r="F2" s="92"/>
      <c r="G2" s="92"/>
      <c r="H2" s="92"/>
      <c r="I2" s="92"/>
      <c r="J2" s="93"/>
    </row>
    <row r="3" spans="1:10" x14ac:dyDescent="0.2">
      <c r="A3" s="5"/>
      <c r="B3" s="92" t="s">
        <v>47</v>
      </c>
      <c r="C3" s="92"/>
      <c r="D3" s="92"/>
      <c r="E3" s="92"/>
      <c r="F3" s="92"/>
      <c r="G3" s="92"/>
      <c r="H3" s="92"/>
      <c r="I3" s="92"/>
      <c r="J3" s="93"/>
    </row>
    <row r="4" spans="1:10" x14ac:dyDescent="0.2">
      <c r="A4" s="5"/>
      <c r="B4" s="92"/>
      <c r="C4" s="92"/>
      <c r="D4" s="92"/>
      <c r="E4" s="92"/>
      <c r="F4" s="92"/>
      <c r="G4" s="92"/>
      <c r="H4" s="92"/>
      <c r="I4" s="92"/>
      <c r="J4" s="93"/>
    </row>
    <row r="5" spans="1:10" x14ac:dyDescent="0.2">
      <c r="A5" s="5"/>
      <c r="B5" s="92"/>
      <c r="C5" s="248" t="s">
        <v>26</v>
      </c>
      <c r="D5" s="249"/>
      <c r="E5" s="249"/>
      <c r="F5" s="249"/>
      <c r="G5" s="250"/>
      <c r="H5" s="92"/>
      <c r="I5" s="92"/>
      <c r="J5" s="93"/>
    </row>
    <row r="6" spans="1:10" ht="17" x14ac:dyDescent="0.2">
      <c r="A6" s="5"/>
      <c r="B6" s="92"/>
      <c r="C6" s="68"/>
      <c r="D6" s="86" t="s">
        <v>13</v>
      </c>
      <c r="E6" s="81" t="s">
        <v>14</v>
      </c>
      <c r="F6" s="81" t="s">
        <v>15</v>
      </c>
      <c r="G6" s="82" t="s">
        <v>16</v>
      </c>
      <c r="H6" s="92"/>
      <c r="I6" s="92"/>
      <c r="J6" s="93"/>
    </row>
    <row r="7" spans="1:10" ht="17" x14ac:dyDescent="0.2">
      <c r="A7" s="5"/>
      <c r="B7" s="92"/>
      <c r="C7" s="68" t="s">
        <v>17</v>
      </c>
      <c r="D7" s="69">
        <v>2.15</v>
      </c>
      <c r="E7" s="81">
        <v>1.635</v>
      </c>
      <c r="F7" s="81">
        <v>1.2150000000000001</v>
      </c>
      <c r="G7" s="82">
        <v>1.25</v>
      </c>
      <c r="H7" s="92"/>
      <c r="I7" s="92"/>
      <c r="J7" s="93"/>
    </row>
    <row r="8" spans="1:10" x14ac:dyDescent="0.2">
      <c r="A8" s="5"/>
      <c r="B8" s="92"/>
      <c r="C8" s="92"/>
      <c r="D8" s="92"/>
      <c r="E8" s="92"/>
      <c r="F8" s="92"/>
      <c r="G8" s="92"/>
      <c r="H8" s="92"/>
      <c r="I8" s="92"/>
      <c r="J8" s="93"/>
    </row>
    <row r="9" spans="1:10" x14ac:dyDescent="0.2">
      <c r="A9" s="5"/>
      <c r="B9" s="92"/>
      <c r="C9" s="248" t="s">
        <v>49</v>
      </c>
      <c r="D9" s="249"/>
      <c r="E9" s="249"/>
      <c r="F9" s="249"/>
      <c r="G9" s="249"/>
      <c r="H9" s="250"/>
      <c r="I9" s="92"/>
      <c r="J9" s="93"/>
    </row>
    <row r="10" spans="1:10" ht="17" x14ac:dyDescent="0.2">
      <c r="A10" s="5"/>
      <c r="B10" s="92"/>
      <c r="C10" s="68"/>
      <c r="D10" s="69" t="s">
        <v>9</v>
      </c>
      <c r="E10" s="85" t="s">
        <v>10</v>
      </c>
      <c r="F10" s="81" t="s">
        <v>11</v>
      </c>
      <c r="G10" s="81" t="s">
        <v>12</v>
      </c>
      <c r="H10" s="82" t="s">
        <v>48</v>
      </c>
      <c r="I10" s="92"/>
      <c r="J10" s="93"/>
    </row>
    <row r="11" spans="1:10" ht="21" x14ac:dyDescent="0.2">
      <c r="A11" s="5"/>
      <c r="B11" s="92"/>
      <c r="C11" s="68" t="s">
        <v>231</v>
      </c>
      <c r="D11" s="69">
        <v>0.96</v>
      </c>
      <c r="E11" s="81">
        <v>0.95</v>
      </c>
      <c r="F11" s="81">
        <v>0.93500000000000005</v>
      </c>
      <c r="G11" s="81">
        <v>0.92</v>
      </c>
      <c r="H11" s="82">
        <v>0.91</v>
      </c>
      <c r="I11" s="92"/>
      <c r="J11" s="93"/>
    </row>
    <row r="12" spans="1:10" x14ac:dyDescent="0.2">
      <c r="A12" s="5"/>
      <c r="B12" s="92"/>
      <c r="C12" s="92"/>
      <c r="D12" s="92"/>
      <c r="E12" s="92"/>
      <c r="F12" s="92"/>
      <c r="G12" s="92"/>
      <c r="H12" s="92"/>
      <c r="I12" s="92"/>
      <c r="J12" s="93"/>
    </row>
    <row r="13" spans="1:10" x14ac:dyDescent="0.2">
      <c r="A13" s="5"/>
      <c r="B13" s="92"/>
      <c r="C13" s="92"/>
      <c r="D13" s="92"/>
      <c r="E13" s="92"/>
      <c r="F13" s="92"/>
      <c r="G13" s="92"/>
      <c r="H13" s="92"/>
      <c r="I13" s="92"/>
      <c r="J13" s="93"/>
    </row>
    <row r="14" spans="1:10" x14ac:dyDescent="0.2">
      <c r="A14" s="5"/>
      <c r="B14" s="188" t="s">
        <v>295</v>
      </c>
      <c r="C14" s="92"/>
      <c r="D14" s="92"/>
      <c r="E14" s="156">
        <v>35000000</v>
      </c>
      <c r="F14" s="92"/>
      <c r="G14" s="92"/>
      <c r="H14" s="92"/>
      <c r="I14" s="92"/>
      <c r="J14" s="93"/>
    </row>
    <row r="15" spans="1:10" x14ac:dyDescent="0.2">
      <c r="A15" s="5"/>
      <c r="B15" s="92" t="s">
        <v>212</v>
      </c>
      <c r="C15" s="92"/>
      <c r="D15" s="92"/>
      <c r="E15" s="104">
        <v>0.7</v>
      </c>
      <c r="F15" s="92"/>
      <c r="G15" s="92"/>
      <c r="H15" s="92"/>
      <c r="I15" s="92"/>
      <c r="J15" s="93"/>
    </row>
    <row r="16" spans="1:10" x14ac:dyDescent="0.2">
      <c r="A16" s="5"/>
      <c r="B16" s="92" t="s">
        <v>213</v>
      </c>
      <c r="C16" s="92"/>
      <c r="D16" s="92"/>
      <c r="E16" s="157">
        <v>0.38</v>
      </c>
      <c r="F16" s="92"/>
      <c r="G16" s="92"/>
      <c r="H16" s="92"/>
      <c r="I16" s="92"/>
      <c r="J16" s="93"/>
    </row>
    <row r="17" spans="1:12" x14ac:dyDescent="0.2">
      <c r="A17" s="5"/>
      <c r="B17" s="92"/>
      <c r="C17" s="92"/>
      <c r="D17" s="92"/>
      <c r="E17" s="92"/>
      <c r="F17" s="92"/>
      <c r="G17" s="92"/>
      <c r="H17" s="92"/>
      <c r="I17" s="92"/>
      <c r="J17" s="93"/>
    </row>
    <row r="18" spans="1:12" x14ac:dyDescent="0.2">
      <c r="A18" s="5"/>
      <c r="B18" s="188" t="s">
        <v>296</v>
      </c>
      <c r="C18" s="92"/>
      <c r="D18" s="92"/>
      <c r="E18" s="92"/>
      <c r="F18" s="92"/>
      <c r="G18" s="96">
        <v>865000</v>
      </c>
      <c r="H18" s="92"/>
      <c r="I18" s="92"/>
      <c r="J18" s="93"/>
    </row>
    <row r="19" spans="1:12" x14ac:dyDescent="0.2">
      <c r="A19" s="5"/>
      <c r="B19" s="92"/>
      <c r="C19" s="92"/>
      <c r="D19" s="92"/>
      <c r="E19" s="92"/>
      <c r="F19" s="92"/>
      <c r="G19" s="92"/>
      <c r="H19" s="92"/>
      <c r="I19" s="92"/>
      <c r="J19" s="93"/>
    </row>
    <row r="20" spans="1:12" x14ac:dyDescent="0.2">
      <c r="A20" s="5"/>
      <c r="B20" s="92"/>
      <c r="C20" s="92"/>
      <c r="D20" s="92"/>
      <c r="E20" s="92"/>
      <c r="F20" s="92"/>
      <c r="G20" s="92"/>
      <c r="H20" s="92"/>
      <c r="I20" s="92"/>
      <c r="J20" s="93"/>
    </row>
    <row r="21" spans="1:12" x14ac:dyDescent="0.2">
      <c r="A21" s="5"/>
      <c r="B21" s="188" t="s">
        <v>232</v>
      </c>
      <c r="C21" s="92"/>
      <c r="D21" s="92"/>
      <c r="E21" s="92"/>
      <c r="F21" s="92"/>
      <c r="G21" s="92"/>
      <c r="H21" s="92"/>
      <c r="I21" s="92"/>
      <c r="J21" s="93"/>
    </row>
    <row r="22" spans="1:12" x14ac:dyDescent="0.2">
      <c r="A22" s="5"/>
      <c r="B22" s="92" t="s">
        <v>50</v>
      </c>
      <c r="C22" s="92"/>
      <c r="D22" s="92"/>
      <c r="E22" s="92"/>
      <c r="F22" s="92"/>
      <c r="G22" s="92"/>
      <c r="H22" s="92"/>
      <c r="I22" s="92"/>
      <c r="J22" s="93"/>
    </row>
    <row r="23" spans="1:12" ht="17" thickBot="1" x14ac:dyDescent="0.25">
      <c r="A23" s="98"/>
      <c r="B23" s="99"/>
      <c r="C23" s="100"/>
      <c r="D23" s="100"/>
      <c r="E23" s="100"/>
      <c r="F23" s="99"/>
      <c r="G23" s="99"/>
      <c r="H23" s="99"/>
      <c r="I23" s="99"/>
      <c r="J23" s="101"/>
    </row>
    <row r="25" spans="1:12" ht="19" x14ac:dyDescent="0.25">
      <c r="A25" s="2" t="s">
        <v>3</v>
      </c>
    </row>
    <row r="26" spans="1:12" x14ac:dyDescent="0.2">
      <c r="A26" s="102" t="s">
        <v>189</v>
      </c>
      <c r="B26" s="240" t="s">
        <v>249</v>
      </c>
      <c r="C26" s="240"/>
      <c r="D26" s="240"/>
      <c r="E26" s="240"/>
      <c r="F26" s="240"/>
      <c r="G26" s="240"/>
      <c r="H26" s="240"/>
      <c r="I26" s="240"/>
    </row>
    <row r="27" spans="1:12" x14ac:dyDescent="0.2">
      <c r="A27" s="102"/>
      <c r="B27" s="240"/>
      <c r="C27" s="240"/>
      <c r="D27" s="240"/>
      <c r="E27" s="240"/>
      <c r="F27" s="240"/>
      <c r="G27" s="240"/>
      <c r="H27" s="240"/>
      <c r="I27" s="240"/>
    </row>
    <row r="28" spans="1:12" x14ac:dyDescent="0.2">
      <c r="A28" s="102"/>
      <c r="B28" s="13"/>
      <c r="C28" s="103"/>
    </row>
    <row r="29" spans="1:12" x14ac:dyDescent="0.2">
      <c r="A29" s="102"/>
      <c r="B29" s="13"/>
      <c r="C29" s="103"/>
    </row>
    <row r="30" spans="1:12" x14ac:dyDescent="0.2">
      <c r="A30" s="102"/>
      <c r="B30" s="13"/>
      <c r="C30" s="103"/>
    </row>
    <row r="31" spans="1:12" x14ac:dyDescent="0.2">
      <c r="B31" s="152"/>
    </row>
    <row r="32" spans="1:12" x14ac:dyDescent="0.2">
      <c r="C32" s="206"/>
      <c r="D32" s="192" t="s">
        <v>246</v>
      </c>
      <c r="L32" s="4"/>
    </row>
    <row r="33" spans="1:12" ht="17" thickBot="1" x14ac:dyDescent="0.25">
      <c r="C33" s="197" t="s">
        <v>22</v>
      </c>
      <c r="D33" s="187">
        <f>PRODUCT(D7:G7)</f>
        <v>5.3387859375</v>
      </c>
      <c r="L33" s="4"/>
    </row>
    <row r="34" spans="1:12" ht="17" thickBot="1" x14ac:dyDescent="0.25">
      <c r="C34" s="207" t="s">
        <v>248</v>
      </c>
      <c r="D34" s="208">
        <f>D33*(1-H11)/(1-D11)</f>
        <v>12.012268359374985</v>
      </c>
      <c r="L34" s="4"/>
    </row>
    <row r="35" spans="1:12" x14ac:dyDescent="0.2">
      <c r="L35" s="4"/>
    </row>
    <row r="36" spans="1:12" x14ac:dyDescent="0.2">
      <c r="L36" s="4"/>
    </row>
    <row r="37" spans="1:12" x14ac:dyDescent="0.2">
      <c r="A37" s="102" t="s">
        <v>201</v>
      </c>
      <c r="B37" s="240" t="s">
        <v>51</v>
      </c>
      <c r="C37" s="240"/>
      <c r="D37" s="240"/>
      <c r="E37" s="240"/>
      <c r="F37" s="240"/>
      <c r="G37" s="240"/>
      <c r="H37" s="240"/>
      <c r="I37" s="240"/>
      <c r="L37" s="4"/>
    </row>
    <row r="38" spans="1:12" x14ac:dyDescent="0.2">
      <c r="A38" s="102"/>
      <c r="B38" s="240"/>
      <c r="C38" s="240"/>
      <c r="D38" s="240"/>
      <c r="E38" s="240"/>
      <c r="F38" s="240"/>
      <c r="G38" s="240"/>
      <c r="H38" s="240"/>
      <c r="I38" s="240"/>
      <c r="L38" s="4"/>
    </row>
    <row r="39" spans="1:12" x14ac:dyDescent="0.2">
      <c r="A39" s="102"/>
      <c r="B39" s="13"/>
      <c r="L39" s="4"/>
    </row>
    <row r="40" spans="1:12" x14ac:dyDescent="0.2">
      <c r="A40" s="102"/>
      <c r="B40" s="13"/>
      <c r="L40" s="4"/>
    </row>
    <row r="41" spans="1:12" ht="17" thickBot="1" x14ac:dyDescent="0.25">
      <c r="A41" s="102"/>
      <c r="B41" s="13"/>
      <c r="L41" s="4"/>
    </row>
    <row r="42" spans="1:12" ht="17" thickBot="1" x14ac:dyDescent="0.25">
      <c r="C42" s="155" t="s">
        <v>52</v>
      </c>
      <c r="D42" s="209">
        <f>E14*E15*E16</f>
        <v>9310000</v>
      </c>
      <c r="L42" s="4"/>
    </row>
    <row r="43" spans="1:12" x14ac:dyDescent="0.2">
      <c r="L43" s="4"/>
    </row>
    <row r="44" spans="1:12" x14ac:dyDescent="0.2">
      <c r="L44" s="4"/>
    </row>
    <row r="45" spans="1:12" x14ac:dyDescent="0.2">
      <c r="A45" s="102" t="s">
        <v>190</v>
      </c>
      <c r="B45" s="240" t="s">
        <v>250</v>
      </c>
      <c r="C45" s="240"/>
      <c r="D45" s="240"/>
      <c r="E45" s="240"/>
      <c r="F45" s="240"/>
      <c r="G45" s="240"/>
      <c r="H45" s="240"/>
      <c r="I45" s="240"/>
    </row>
    <row r="46" spans="1:12" x14ac:dyDescent="0.2">
      <c r="A46" s="102"/>
      <c r="B46" s="240"/>
      <c r="C46" s="240"/>
      <c r="D46" s="240"/>
      <c r="E46" s="240"/>
      <c r="F46" s="240"/>
      <c r="G46" s="240"/>
      <c r="H46" s="240"/>
      <c r="I46" s="240"/>
    </row>
    <row r="47" spans="1:12" x14ac:dyDescent="0.2">
      <c r="A47" s="102"/>
      <c r="B47" s="13"/>
    </row>
    <row r="48" spans="1:12" x14ac:dyDescent="0.2">
      <c r="A48" s="102"/>
      <c r="B48" s="13"/>
    </row>
    <row r="49" spans="1:14" x14ac:dyDescent="0.2">
      <c r="A49" s="102"/>
      <c r="B49" s="13"/>
    </row>
    <row r="52" spans="1:14" x14ac:dyDescent="0.2">
      <c r="C52" s="185" t="s">
        <v>243</v>
      </c>
    </row>
    <row r="54" spans="1:14" ht="18" x14ac:dyDescent="0.25">
      <c r="C54" s="199" t="s">
        <v>297</v>
      </c>
      <c r="D54" s="210">
        <f>1/D34</f>
        <v>8.3248223406493335E-2</v>
      </c>
    </row>
    <row r="55" spans="1:14" x14ac:dyDescent="0.2">
      <c r="B55" s="152"/>
      <c r="C55" s="199" t="s">
        <v>25</v>
      </c>
      <c r="D55" s="213">
        <f>D54*G18*D34+(1-D54)*D42</f>
        <v>9399959.0400855467</v>
      </c>
    </row>
    <row r="56" spans="1:14" ht="17" thickBot="1" x14ac:dyDescent="0.25"/>
    <row r="57" spans="1:14" ht="17" thickBot="1" x14ac:dyDescent="0.25">
      <c r="C57" s="211" t="s">
        <v>298</v>
      </c>
      <c r="D57" s="212">
        <f>D55-G18</f>
        <v>8534959.0400855467</v>
      </c>
    </row>
    <row r="59" spans="1:14" ht="19" x14ac:dyDescent="0.25">
      <c r="A59" s="2" t="s">
        <v>115</v>
      </c>
      <c r="L59" s="4"/>
      <c r="M59" s="4"/>
      <c r="N59" s="4"/>
    </row>
    <row r="60" spans="1:14" ht="19" x14ac:dyDescent="0.25">
      <c r="A60" s="2"/>
      <c r="B60" s="22" t="s">
        <v>202</v>
      </c>
      <c r="L60" s="4"/>
      <c r="M60" s="4"/>
      <c r="N60" s="4"/>
    </row>
    <row r="61" spans="1:14" x14ac:dyDescent="0.2">
      <c r="B61" s="253" t="s">
        <v>299</v>
      </c>
      <c r="C61" s="242"/>
      <c r="D61" s="242"/>
      <c r="E61" s="242"/>
      <c r="F61" s="242"/>
      <c r="G61" s="242"/>
      <c r="H61" s="242"/>
      <c r="I61" s="242"/>
      <c r="L61" s="4"/>
      <c r="M61" s="4"/>
      <c r="N61" s="4"/>
    </row>
    <row r="62" spans="1:14" x14ac:dyDescent="0.2">
      <c r="B62" s="242"/>
      <c r="C62" s="242"/>
      <c r="D62" s="242"/>
      <c r="E62" s="242"/>
      <c r="F62" s="242"/>
      <c r="G62" s="242"/>
      <c r="H62" s="242"/>
      <c r="I62" s="242"/>
      <c r="L62" s="4"/>
      <c r="M62" s="4"/>
      <c r="N62" s="4"/>
    </row>
    <row r="63" spans="1:14" x14ac:dyDescent="0.2">
      <c r="B63" s="242"/>
      <c r="C63" s="242"/>
      <c r="D63" s="242"/>
      <c r="E63" s="242"/>
      <c r="F63" s="242"/>
      <c r="G63" s="242"/>
      <c r="H63" s="242"/>
      <c r="I63" s="242"/>
      <c r="L63" s="4"/>
      <c r="M63" s="4"/>
      <c r="N63" s="4"/>
    </row>
    <row r="64" spans="1:14" x14ac:dyDescent="0.2">
      <c r="M64" s="103"/>
    </row>
    <row r="65" spans="1:14" x14ac:dyDescent="0.2">
      <c r="L65" s="4"/>
      <c r="M65" s="4"/>
      <c r="N65" s="4"/>
    </row>
    <row r="66" spans="1:14" x14ac:dyDescent="0.2">
      <c r="L66" s="4"/>
      <c r="M66" s="4"/>
      <c r="N66" s="4"/>
    </row>
    <row r="67" spans="1:14" x14ac:dyDescent="0.2">
      <c r="C67" s="199" t="s">
        <v>25</v>
      </c>
      <c r="D67" s="154">
        <f>$G$18+(1-$D$54)*$D$42</f>
        <v>9399959.0400855467</v>
      </c>
      <c r="E67" s="94" t="s">
        <v>185</v>
      </c>
      <c r="L67" s="4"/>
      <c r="M67" s="4"/>
      <c r="N67" s="4"/>
    </row>
    <row r="68" spans="1:14" ht="17" thickBot="1" x14ac:dyDescent="0.25">
      <c r="C68" s="199"/>
      <c r="D68" s="154"/>
      <c r="L68" s="4"/>
      <c r="M68" s="4"/>
      <c r="N68" s="4"/>
    </row>
    <row r="69" spans="1:14" ht="17" thickBot="1" x14ac:dyDescent="0.25">
      <c r="C69" s="211" t="s">
        <v>298</v>
      </c>
      <c r="D69" s="212">
        <f>(1-1/D34)*D42</f>
        <v>8534959.0400855467</v>
      </c>
      <c r="L69" s="4"/>
      <c r="M69" s="4"/>
      <c r="N69" s="4"/>
    </row>
    <row r="70" spans="1:14" x14ac:dyDescent="0.2">
      <c r="L70" s="4"/>
      <c r="M70" s="4"/>
      <c r="N70" s="4"/>
    </row>
    <row r="71" spans="1:14" x14ac:dyDescent="0.2">
      <c r="B71" s="3" t="s">
        <v>120</v>
      </c>
      <c r="L71" s="4"/>
      <c r="M71" s="4"/>
      <c r="N71" s="4"/>
    </row>
    <row r="72" spans="1:14" x14ac:dyDescent="0.2">
      <c r="B72" s="94" t="s">
        <v>166</v>
      </c>
      <c r="L72" s="4"/>
      <c r="M72" s="4"/>
      <c r="N72" s="4"/>
    </row>
    <row r="73" spans="1:14" x14ac:dyDescent="0.2">
      <c r="B73" s="94" t="s">
        <v>167</v>
      </c>
      <c r="L73" s="4"/>
      <c r="M73" s="4"/>
      <c r="N73" s="4"/>
    </row>
    <row r="74" spans="1:14" x14ac:dyDescent="0.2">
      <c r="L74" s="4"/>
      <c r="M74" s="4"/>
      <c r="N74" s="4"/>
    </row>
    <row r="75" spans="1:14" x14ac:dyDescent="0.2">
      <c r="B75" s="3" t="s">
        <v>123</v>
      </c>
      <c r="L75" s="4"/>
      <c r="M75" s="4"/>
      <c r="N75" s="4"/>
    </row>
    <row r="76" spans="1:14" x14ac:dyDescent="0.2">
      <c r="B76" s="94" t="s">
        <v>168</v>
      </c>
      <c r="L76" s="4"/>
      <c r="M76" s="4"/>
      <c r="N76" s="4"/>
    </row>
    <row r="77" spans="1:14" x14ac:dyDescent="0.2">
      <c r="M77" s="103"/>
    </row>
    <row r="78" spans="1:14" ht="19" x14ac:dyDescent="0.25">
      <c r="A78" s="2" t="s">
        <v>125</v>
      </c>
      <c r="L78" s="4"/>
      <c r="M78" s="4"/>
      <c r="N78" s="4"/>
    </row>
    <row r="79" spans="1:14" x14ac:dyDescent="0.2">
      <c r="B79" s="94" t="s">
        <v>169</v>
      </c>
      <c r="L79" s="4"/>
      <c r="M79" s="4"/>
      <c r="N79" s="4"/>
    </row>
    <row r="80" spans="1:14" x14ac:dyDescent="0.2">
      <c r="L80" s="4"/>
      <c r="M80" s="4"/>
      <c r="N80" s="4"/>
    </row>
    <row r="81" spans="1:14" ht="19" x14ac:dyDescent="0.25">
      <c r="A81" s="2" t="s">
        <v>127</v>
      </c>
      <c r="L81" s="4"/>
      <c r="M81" s="4"/>
      <c r="N81" s="4"/>
    </row>
    <row r="82" spans="1:14" x14ac:dyDescent="0.2">
      <c r="B82" s="94" t="s">
        <v>142</v>
      </c>
      <c r="D82" s="94" t="s">
        <v>170</v>
      </c>
      <c r="L82" s="4"/>
      <c r="M82" s="4"/>
      <c r="N82" s="4"/>
    </row>
    <row r="83" spans="1:14" x14ac:dyDescent="0.2">
      <c r="L83" s="4"/>
      <c r="M83" s="4"/>
      <c r="N83" s="4"/>
    </row>
    <row r="84" spans="1:14" x14ac:dyDescent="0.2">
      <c r="L84" s="4"/>
      <c r="M84" s="4"/>
      <c r="N84" s="4"/>
    </row>
    <row r="85" spans="1:14" x14ac:dyDescent="0.2">
      <c r="L85" s="4"/>
      <c r="M85" s="4"/>
      <c r="N85" s="4"/>
    </row>
    <row r="86" spans="1:14" x14ac:dyDescent="0.2">
      <c r="L86" s="4"/>
      <c r="M86" s="4"/>
      <c r="N86" s="4"/>
    </row>
    <row r="87" spans="1:14" x14ac:dyDescent="0.2">
      <c r="M87" s="103"/>
    </row>
    <row r="88" spans="1:14" x14ac:dyDescent="0.2">
      <c r="L88" s="4"/>
      <c r="M88" s="4"/>
      <c r="N88" s="4"/>
    </row>
    <row r="89" spans="1:14" x14ac:dyDescent="0.2">
      <c r="L89" s="4"/>
      <c r="M89" s="4"/>
      <c r="N89" s="4"/>
    </row>
    <row r="90" spans="1:14" x14ac:dyDescent="0.2">
      <c r="L90" s="4"/>
      <c r="M90" s="4"/>
      <c r="N90" s="4"/>
    </row>
    <row r="91" spans="1:14" x14ac:dyDescent="0.2">
      <c r="L91" s="4"/>
      <c r="M91" s="4"/>
      <c r="N91" s="4"/>
    </row>
    <row r="92" spans="1:14" x14ac:dyDescent="0.2">
      <c r="L92" s="4"/>
      <c r="M92" s="4"/>
      <c r="N92" s="4"/>
    </row>
    <row r="93" spans="1:14" x14ac:dyDescent="0.2">
      <c r="L93" s="4"/>
      <c r="M93" s="4"/>
      <c r="N93" s="4"/>
    </row>
    <row r="94" spans="1:14" x14ac:dyDescent="0.2">
      <c r="L94" s="4"/>
      <c r="M94" s="4"/>
      <c r="N94" s="4"/>
    </row>
    <row r="95" spans="1:14" x14ac:dyDescent="0.2">
      <c r="L95" s="4"/>
      <c r="M95" s="4"/>
      <c r="N95" s="4"/>
    </row>
    <row r="96" spans="1:14" x14ac:dyDescent="0.2">
      <c r="L96" s="4"/>
      <c r="M96" s="4"/>
      <c r="N96" s="4"/>
    </row>
    <row r="97" spans="1:65" x14ac:dyDescent="0.2">
      <c r="M97" s="103"/>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sheetData>
  <mergeCells count="6">
    <mergeCell ref="B45:I46"/>
    <mergeCell ref="B61:I63"/>
    <mergeCell ref="C5:G5"/>
    <mergeCell ref="C9:H9"/>
    <mergeCell ref="B26:I27"/>
    <mergeCell ref="B37:I3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M207"/>
  <sheetViews>
    <sheetView showGridLines="0" zoomScale="120" zoomScaleNormal="120" workbookViewId="0"/>
  </sheetViews>
  <sheetFormatPr baseColWidth="10" defaultColWidth="10.83203125" defaultRowHeight="16" x14ac:dyDescent="0.2"/>
  <cols>
    <col min="1" max="1" width="10.83203125" style="94"/>
    <col min="2" max="2" width="10.83203125" style="94" customWidth="1"/>
    <col min="3" max="3" width="11.33203125" style="94" customWidth="1"/>
    <col min="4" max="4" width="11" style="94" bestFit="1" customWidth="1"/>
    <col min="5" max="5" width="12" style="94" bestFit="1" customWidth="1"/>
    <col min="6" max="6" width="11" style="94" bestFit="1" customWidth="1"/>
    <col min="7" max="16384" width="10.83203125" style="94"/>
  </cols>
  <sheetData>
    <row r="1" spans="1:10" ht="19" x14ac:dyDescent="0.25">
      <c r="A1" s="1" t="s">
        <v>196</v>
      </c>
      <c r="B1" s="92"/>
      <c r="C1" s="92"/>
      <c r="D1" s="92"/>
      <c r="E1" s="92"/>
      <c r="F1" s="92"/>
      <c r="G1" s="92"/>
      <c r="H1" s="92"/>
      <c r="I1" s="92"/>
      <c r="J1" s="93"/>
    </row>
    <row r="2" spans="1:10" x14ac:dyDescent="0.2">
      <c r="A2" s="5"/>
      <c r="B2" s="92"/>
      <c r="C2" s="92"/>
      <c r="D2" s="92"/>
      <c r="E2" s="92"/>
      <c r="F2" s="92"/>
      <c r="G2" s="92"/>
      <c r="H2" s="92"/>
      <c r="I2" s="92"/>
      <c r="J2" s="93"/>
    </row>
    <row r="3" spans="1:10" x14ac:dyDescent="0.2">
      <c r="A3" s="5"/>
      <c r="B3" s="92" t="s">
        <v>53</v>
      </c>
      <c r="C3" s="92"/>
      <c r="D3" s="92"/>
      <c r="E3" s="92"/>
      <c r="F3" s="92"/>
      <c r="G3" s="92"/>
      <c r="H3" s="92"/>
      <c r="I3" s="92"/>
      <c r="J3" s="93"/>
    </row>
    <row r="4" spans="1:10" x14ac:dyDescent="0.2">
      <c r="A4" s="5"/>
      <c r="B4" s="92" t="s">
        <v>54</v>
      </c>
      <c r="C4" s="92"/>
      <c r="D4" s="92"/>
      <c r="E4" s="92"/>
      <c r="F4" s="92"/>
      <c r="G4" s="92"/>
      <c r="H4" s="92"/>
      <c r="I4" s="92"/>
      <c r="J4" s="93"/>
    </row>
    <row r="5" spans="1:10" x14ac:dyDescent="0.2">
      <c r="A5" s="5"/>
      <c r="B5" s="92"/>
      <c r="C5" s="92"/>
      <c r="D5" s="92"/>
      <c r="E5" s="92"/>
      <c r="F5" s="92"/>
      <c r="G5" s="92"/>
      <c r="H5" s="92"/>
      <c r="I5" s="92"/>
      <c r="J5" s="93"/>
    </row>
    <row r="6" spans="1:10" x14ac:dyDescent="0.2">
      <c r="A6" s="5"/>
      <c r="B6" s="92"/>
      <c r="C6" s="248" t="s">
        <v>55</v>
      </c>
      <c r="D6" s="249"/>
      <c r="E6" s="249"/>
      <c r="F6" s="250"/>
      <c r="G6" s="92"/>
      <c r="H6" s="92"/>
      <c r="I6" s="92"/>
      <c r="J6" s="93"/>
    </row>
    <row r="7" spans="1:10" ht="17" x14ac:dyDescent="0.2">
      <c r="A7" s="5"/>
      <c r="B7" s="92"/>
      <c r="C7" s="68"/>
      <c r="D7" s="69" t="s">
        <v>17</v>
      </c>
      <c r="E7" s="70">
        <v>1000000</v>
      </c>
      <c r="F7" s="71">
        <v>250000</v>
      </c>
      <c r="G7" s="6"/>
      <c r="H7" s="92"/>
      <c r="I7" s="92"/>
      <c r="J7" s="93"/>
    </row>
    <row r="8" spans="1:10" ht="17" x14ac:dyDescent="0.2">
      <c r="A8" s="5"/>
      <c r="B8" s="92"/>
      <c r="C8" s="65" t="s">
        <v>27</v>
      </c>
      <c r="D8" s="39">
        <v>6580</v>
      </c>
      <c r="E8" s="40">
        <v>6185</v>
      </c>
      <c r="F8" s="41">
        <v>5020</v>
      </c>
      <c r="G8" s="6"/>
      <c r="H8" s="92"/>
      <c r="I8" s="92"/>
      <c r="J8" s="93"/>
    </row>
    <row r="9" spans="1:10" x14ac:dyDescent="0.2">
      <c r="A9" s="5"/>
      <c r="B9" s="92"/>
      <c r="C9" s="78" t="s">
        <v>56</v>
      </c>
      <c r="D9" s="42">
        <v>5884</v>
      </c>
      <c r="E9" s="6">
        <v>5612</v>
      </c>
      <c r="F9" s="21">
        <v>4732</v>
      </c>
      <c r="G9" s="6"/>
      <c r="H9" s="92"/>
      <c r="I9" s="92"/>
      <c r="J9" s="93"/>
    </row>
    <row r="10" spans="1:10" x14ac:dyDescent="0.2">
      <c r="A10" s="5"/>
      <c r="B10" s="92"/>
      <c r="C10" s="79" t="s">
        <v>57</v>
      </c>
      <c r="D10" s="43">
        <v>5420</v>
      </c>
      <c r="E10" s="44">
        <v>5230</v>
      </c>
      <c r="F10" s="45">
        <v>4540</v>
      </c>
      <c r="G10" s="92"/>
      <c r="H10" s="92"/>
      <c r="I10" s="92"/>
      <c r="J10" s="93"/>
    </row>
    <row r="11" spans="1:10" x14ac:dyDescent="0.2">
      <c r="A11" s="5"/>
      <c r="B11" s="92"/>
      <c r="C11" s="92"/>
      <c r="D11" s="92"/>
      <c r="E11" s="92"/>
      <c r="F11" s="92"/>
      <c r="G11" s="92"/>
      <c r="H11" s="92"/>
      <c r="I11" s="92"/>
      <c r="J11" s="93"/>
    </row>
    <row r="12" spans="1:10" x14ac:dyDescent="0.2">
      <c r="A12" s="5"/>
      <c r="B12" s="92" t="s">
        <v>58</v>
      </c>
      <c r="C12" s="92"/>
      <c r="D12" s="92"/>
      <c r="E12" s="92"/>
      <c r="F12" s="92"/>
      <c r="G12" s="92"/>
      <c r="H12" s="92"/>
      <c r="I12" s="92"/>
      <c r="J12" s="93"/>
    </row>
    <row r="13" spans="1:10" x14ac:dyDescent="0.2">
      <c r="A13" s="5"/>
      <c r="B13" s="92"/>
      <c r="C13" s="92"/>
      <c r="D13" s="92"/>
      <c r="E13" s="92"/>
      <c r="F13" s="92"/>
      <c r="G13" s="92"/>
      <c r="H13" s="92"/>
      <c r="I13" s="92"/>
      <c r="J13" s="93"/>
    </row>
    <row r="14" spans="1:10" x14ac:dyDescent="0.2">
      <c r="A14" s="5"/>
      <c r="B14" s="92"/>
      <c r="C14" s="145"/>
      <c r="D14" s="258" t="s">
        <v>19</v>
      </c>
      <c r="E14" s="256" t="s">
        <v>20</v>
      </c>
      <c r="F14" s="254" t="s">
        <v>59</v>
      </c>
      <c r="G14" s="92"/>
      <c r="H14" s="92"/>
      <c r="I14" s="92"/>
      <c r="J14" s="93"/>
    </row>
    <row r="15" spans="1:10" x14ac:dyDescent="0.2">
      <c r="A15" s="5"/>
      <c r="B15" s="92"/>
      <c r="C15" s="67"/>
      <c r="D15" s="259"/>
      <c r="E15" s="257"/>
      <c r="F15" s="255"/>
      <c r="G15" s="92"/>
      <c r="H15" s="92"/>
      <c r="I15" s="92"/>
      <c r="J15" s="93"/>
    </row>
    <row r="16" spans="1:10" x14ac:dyDescent="0.2">
      <c r="A16" s="5"/>
      <c r="B16" s="92"/>
      <c r="C16" s="80" t="s">
        <v>60</v>
      </c>
      <c r="D16" s="69">
        <v>1.84</v>
      </c>
      <c r="E16" s="81">
        <v>1.1950000000000001</v>
      </c>
      <c r="F16" s="82">
        <v>1.05</v>
      </c>
      <c r="G16" s="92"/>
      <c r="H16" s="92"/>
      <c r="I16" s="92"/>
      <c r="J16" s="93"/>
    </row>
    <row r="17" spans="1:10" x14ac:dyDescent="0.2">
      <c r="A17" s="5"/>
      <c r="B17" s="92"/>
      <c r="C17" s="92"/>
      <c r="D17" s="92"/>
      <c r="E17" s="92"/>
      <c r="F17" s="92"/>
      <c r="G17" s="92"/>
      <c r="H17" s="92"/>
      <c r="I17" s="92"/>
      <c r="J17" s="93"/>
    </row>
    <row r="18" spans="1:10" x14ac:dyDescent="0.2">
      <c r="A18" s="5"/>
      <c r="B18" s="92"/>
      <c r="C18" s="92"/>
      <c r="D18" s="92"/>
      <c r="E18" s="92"/>
      <c r="F18" s="92"/>
      <c r="G18" s="92"/>
      <c r="H18" s="92"/>
      <c r="I18" s="92"/>
      <c r="J18" s="93"/>
    </row>
    <row r="19" spans="1:10" x14ac:dyDescent="0.2">
      <c r="A19" s="5"/>
      <c r="B19" s="92" t="s">
        <v>0</v>
      </c>
      <c r="C19" s="92"/>
      <c r="D19" s="92"/>
      <c r="E19" s="92"/>
      <c r="F19" s="92"/>
      <c r="G19" s="92"/>
      <c r="H19" s="92"/>
      <c r="I19" s="92"/>
      <c r="J19" s="93"/>
    </row>
    <row r="20" spans="1:10" x14ac:dyDescent="0.2">
      <c r="A20" s="5"/>
      <c r="B20" s="92" t="s">
        <v>61</v>
      </c>
      <c r="C20" s="92"/>
      <c r="D20" s="92"/>
      <c r="E20" s="92"/>
      <c r="F20" s="92"/>
      <c r="G20" s="92"/>
      <c r="H20" s="92"/>
      <c r="I20" s="92"/>
      <c r="J20" s="93"/>
    </row>
    <row r="21" spans="1:10" x14ac:dyDescent="0.2">
      <c r="A21" s="5"/>
      <c r="B21" s="92"/>
      <c r="C21" s="92"/>
      <c r="D21" s="92"/>
      <c r="E21" s="92"/>
      <c r="F21" s="92"/>
      <c r="G21" s="92"/>
      <c r="H21" s="92"/>
      <c r="I21" s="92"/>
      <c r="J21" s="93"/>
    </row>
    <row r="22" spans="1:10" x14ac:dyDescent="0.2">
      <c r="A22" s="5"/>
      <c r="B22" s="92" t="s">
        <v>1</v>
      </c>
      <c r="C22" s="92"/>
      <c r="D22" s="92"/>
      <c r="E22" s="92"/>
      <c r="F22" s="92"/>
      <c r="G22" s="92"/>
      <c r="H22" s="92"/>
      <c r="I22" s="92"/>
      <c r="J22" s="93"/>
    </row>
    <row r="23" spans="1:10" x14ac:dyDescent="0.2">
      <c r="A23" s="5"/>
      <c r="B23" s="92" t="s">
        <v>62</v>
      </c>
      <c r="C23" s="92"/>
      <c r="D23" s="92"/>
      <c r="E23" s="92"/>
      <c r="F23" s="92"/>
      <c r="G23" s="92"/>
      <c r="H23" s="92"/>
      <c r="I23" s="92"/>
      <c r="J23" s="93"/>
    </row>
    <row r="24" spans="1:10" x14ac:dyDescent="0.2">
      <c r="A24" s="5"/>
      <c r="B24" s="92"/>
      <c r="C24" s="92"/>
      <c r="D24" s="92"/>
      <c r="E24" s="92"/>
      <c r="F24" s="92"/>
      <c r="G24" s="92"/>
      <c r="H24" s="92"/>
      <c r="I24" s="92"/>
      <c r="J24" s="93"/>
    </row>
    <row r="25" spans="1:10" x14ac:dyDescent="0.2">
      <c r="A25" s="5"/>
      <c r="B25" s="92" t="s">
        <v>2</v>
      </c>
      <c r="C25" s="92"/>
      <c r="D25" s="92"/>
      <c r="E25" s="92"/>
      <c r="F25" s="92"/>
      <c r="G25" s="92"/>
      <c r="H25" s="92"/>
      <c r="I25" s="92"/>
      <c r="J25" s="93"/>
    </row>
    <row r="26" spans="1:10" x14ac:dyDescent="0.2">
      <c r="A26" s="5"/>
      <c r="B26" s="243" t="s">
        <v>300</v>
      </c>
      <c r="C26" s="262"/>
      <c r="D26" s="262"/>
      <c r="E26" s="262"/>
      <c r="F26" s="262"/>
      <c r="G26" s="262"/>
      <c r="H26" s="262"/>
      <c r="I26" s="262"/>
      <c r="J26" s="93"/>
    </row>
    <row r="27" spans="1:10" x14ac:dyDescent="0.2">
      <c r="A27" s="5"/>
      <c r="B27" s="262"/>
      <c r="C27" s="262"/>
      <c r="D27" s="262"/>
      <c r="E27" s="262"/>
      <c r="F27" s="262"/>
      <c r="G27" s="262"/>
      <c r="H27" s="262"/>
      <c r="I27" s="262"/>
      <c r="J27" s="93"/>
    </row>
    <row r="28" spans="1:10" ht="17" thickBot="1" x14ac:dyDescent="0.25">
      <c r="A28" s="98"/>
      <c r="B28" s="99"/>
      <c r="C28" s="100"/>
      <c r="D28" s="100"/>
      <c r="E28" s="100"/>
      <c r="F28" s="99"/>
      <c r="G28" s="99"/>
      <c r="H28" s="99"/>
      <c r="I28" s="99"/>
      <c r="J28" s="101"/>
    </row>
    <row r="30" spans="1:10" ht="19" x14ac:dyDescent="0.25">
      <c r="A30" s="2" t="s">
        <v>3</v>
      </c>
    </row>
    <row r="31" spans="1:10" x14ac:dyDescent="0.2">
      <c r="A31" s="3" t="s">
        <v>186</v>
      </c>
      <c r="C31" s="103"/>
    </row>
    <row r="32" spans="1:10" ht="20" x14ac:dyDescent="0.25">
      <c r="A32" s="14" t="s">
        <v>189</v>
      </c>
      <c r="B32" s="13" t="s">
        <v>251</v>
      </c>
      <c r="C32" s="103"/>
    </row>
    <row r="33" spans="1:12" x14ac:dyDescent="0.2">
      <c r="A33" s="14"/>
      <c r="B33" s="13"/>
      <c r="C33" s="103"/>
    </row>
    <row r="34" spans="1:12" x14ac:dyDescent="0.2">
      <c r="A34" s="14"/>
      <c r="B34" s="13"/>
      <c r="C34" s="103"/>
    </row>
    <row r="35" spans="1:12" x14ac:dyDescent="0.2">
      <c r="A35" s="14"/>
      <c r="B35" s="13"/>
      <c r="C35" s="103"/>
    </row>
    <row r="36" spans="1:12" x14ac:dyDescent="0.2">
      <c r="A36" s="3"/>
      <c r="C36" s="103"/>
    </row>
    <row r="37" spans="1:12" ht="20" x14ac:dyDescent="0.25">
      <c r="A37" s="3"/>
      <c r="C37" s="196" t="s">
        <v>302</v>
      </c>
      <c r="D37" s="192" t="s">
        <v>318</v>
      </c>
    </row>
    <row r="38" spans="1:12" x14ac:dyDescent="0.2">
      <c r="A38" s="3"/>
      <c r="C38" s="197" t="s">
        <v>27</v>
      </c>
      <c r="D38" s="214">
        <f>F8/D8</f>
        <v>0.76291793313069911</v>
      </c>
    </row>
    <row r="39" spans="1:12" x14ac:dyDescent="0.2">
      <c r="A39" s="3"/>
      <c r="C39" s="197" t="s">
        <v>10</v>
      </c>
      <c r="D39" s="214">
        <f>F10/D10</f>
        <v>0.83763837638376382</v>
      </c>
    </row>
    <row r="40" spans="1:12" x14ac:dyDescent="0.2">
      <c r="L40" s="4"/>
    </row>
    <row r="41" spans="1:12" ht="18" x14ac:dyDescent="0.25">
      <c r="A41" s="14" t="s">
        <v>201</v>
      </c>
      <c r="B41" s="13" t="s">
        <v>252</v>
      </c>
      <c r="L41" s="4"/>
    </row>
    <row r="42" spans="1:12" x14ac:dyDescent="0.2">
      <c r="A42" s="14"/>
      <c r="B42" s="13"/>
      <c r="L42" s="4"/>
    </row>
    <row r="43" spans="1:12" x14ac:dyDescent="0.2">
      <c r="A43" s="14"/>
      <c r="B43" s="13"/>
      <c r="L43" s="4"/>
    </row>
    <row r="44" spans="1:12" x14ac:dyDescent="0.2">
      <c r="A44" s="14"/>
      <c r="B44" s="13"/>
      <c r="L44" s="4"/>
    </row>
    <row r="45" spans="1:12" x14ac:dyDescent="0.2">
      <c r="L45" s="4"/>
    </row>
    <row r="46" spans="1:12" x14ac:dyDescent="0.2">
      <c r="L46" s="4"/>
    </row>
    <row r="47" spans="1:12" x14ac:dyDescent="0.2">
      <c r="C47" s="190"/>
      <c r="D47" s="192" t="s">
        <v>301</v>
      </c>
      <c r="L47" s="4"/>
    </row>
    <row r="48" spans="1:12" ht="17" thickBot="1" x14ac:dyDescent="0.25">
      <c r="C48" s="197" t="s">
        <v>22</v>
      </c>
      <c r="D48" s="187">
        <f>E16*F16</f>
        <v>1.25475</v>
      </c>
      <c r="L48" s="4"/>
    </row>
    <row r="49" spans="1:12" ht="17" thickBot="1" x14ac:dyDescent="0.25">
      <c r="C49" s="207" t="s">
        <v>248</v>
      </c>
      <c r="D49" s="208">
        <f>D48*(1-D38)/(1-D39)</f>
        <v>1.8321985009671176</v>
      </c>
      <c r="L49" s="4"/>
    </row>
    <row r="50" spans="1:12" x14ac:dyDescent="0.2">
      <c r="L50" s="4"/>
    </row>
    <row r="51" spans="1:12" x14ac:dyDescent="0.2">
      <c r="L51" s="4"/>
    </row>
    <row r="52" spans="1:12" x14ac:dyDescent="0.2">
      <c r="A52" s="3" t="s">
        <v>187</v>
      </c>
    </row>
    <row r="53" spans="1:12" ht="18" x14ac:dyDescent="0.25">
      <c r="A53" s="102" t="s">
        <v>190</v>
      </c>
      <c r="B53" s="13" t="s">
        <v>253</v>
      </c>
    </row>
    <row r="54" spans="1:12" x14ac:dyDescent="0.2">
      <c r="A54" s="102"/>
      <c r="B54" s="13"/>
    </row>
    <row r="55" spans="1:12" x14ac:dyDescent="0.2">
      <c r="A55" s="102"/>
      <c r="B55" s="13"/>
    </row>
    <row r="56" spans="1:12" x14ac:dyDescent="0.2">
      <c r="A56" s="102"/>
      <c r="B56" s="13"/>
    </row>
    <row r="57" spans="1:12" x14ac:dyDescent="0.2">
      <c r="B57" s="13"/>
    </row>
    <row r="58" spans="1:12" x14ac:dyDescent="0.2">
      <c r="B58" s="152"/>
    </row>
    <row r="59" spans="1:12" ht="17" thickBot="1" x14ac:dyDescent="0.25">
      <c r="B59" s="147"/>
      <c r="C59" s="105"/>
      <c r="D59" s="215" t="s">
        <v>301</v>
      </c>
    </row>
    <row r="60" spans="1:12" ht="17" thickBot="1" x14ac:dyDescent="0.25">
      <c r="C60" s="207" t="s">
        <v>247</v>
      </c>
      <c r="D60" s="216">
        <f>D48*(D38)/(D39)</f>
        <v>1.1428216562002063</v>
      </c>
    </row>
    <row r="62" spans="1:12" x14ac:dyDescent="0.2">
      <c r="A62" s="3" t="s">
        <v>188</v>
      </c>
    </row>
    <row r="63" spans="1:12" x14ac:dyDescent="0.2">
      <c r="A63" s="102" t="s">
        <v>191</v>
      </c>
      <c r="B63" s="240" t="s">
        <v>254</v>
      </c>
      <c r="C63" s="240"/>
      <c r="D63" s="240"/>
      <c r="E63" s="240"/>
      <c r="F63" s="240"/>
      <c r="G63" s="240"/>
      <c r="H63" s="240"/>
      <c r="I63" s="240"/>
    </row>
    <row r="64" spans="1:12" x14ac:dyDescent="0.2">
      <c r="A64" s="102"/>
      <c r="B64" s="240"/>
      <c r="C64" s="240"/>
      <c r="D64" s="240"/>
      <c r="E64" s="240"/>
      <c r="F64" s="240"/>
      <c r="G64" s="240"/>
      <c r="H64" s="240"/>
      <c r="I64" s="240"/>
    </row>
    <row r="65" spans="1:14" x14ac:dyDescent="0.2">
      <c r="A65" s="102"/>
      <c r="B65" s="13"/>
    </row>
    <row r="66" spans="1:14" x14ac:dyDescent="0.2">
      <c r="A66" s="102"/>
      <c r="B66" s="13"/>
    </row>
    <row r="67" spans="1:14" x14ac:dyDescent="0.2">
      <c r="A67" s="102"/>
      <c r="B67" s="13"/>
    </row>
    <row r="68" spans="1:14" x14ac:dyDescent="0.2">
      <c r="A68" s="3"/>
      <c r="B68" s="13"/>
    </row>
    <row r="69" spans="1:14" x14ac:dyDescent="0.2">
      <c r="M69" s="103"/>
    </row>
    <row r="70" spans="1:14" ht="17" thickBot="1" x14ac:dyDescent="0.25">
      <c r="C70" s="105"/>
      <c r="D70" s="215" t="s">
        <v>301</v>
      </c>
      <c r="M70" s="103"/>
    </row>
    <row r="71" spans="1:14" ht="17" thickBot="1" x14ac:dyDescent="0.25">
      <c r="C71" s="207" t="s">
        <v>22</v>
      </c>
      <c r="D71" s="217">
        <f>D39*D60+(1-D39)*D49</f>
        <v>1.25475</v>
      </c>
      <c r="M71" s="103"/>
    </row>
    <row r="72" spans="1:14" x14ac:dyDescent="0.2">
      <c r="M72" s="103"/>
    </row>
    <row r="73" spans="1:14" x14ac:dyDescent="0.2">
      <c r="C73" s="152" t="s">
        <v>63</v>
      </c>
      <c r="L73" s="4"/>
      <c r="M73" s="4"/>
      <c r="N73" s="4"/>
    </row>
    <row r="74" spans="1:14" x14ac:dyDescent="0.2">
      <c r="M74" s="103"/>
    </row>
    <row r="75" spans="1:14" ht="19" x14ac:dyDescent="0.25">
      <c r="A75" s="2" t="s">
        <v>115</v>
      </c>
      <c r="L75" s="4"/>
      <c r="M75" s="4"/>
      <c r="N75" s="4"/>
    </row>
    <row r="76" spans="1:14" x14ac:dyDescent="0.2">
      <c r="B76" s="253" t="s">
        <v>303</v>
      </c>
      <c r="C76" s="242"/>
      <c r="D76" s="242"/>
      <c r="E76" s="242"/>
      <c r="F76" s="242"/>
      <c r="G76" s="242"/>
      <c r="H76" s="242"/>
      <c r="I76" s="242"/>
      <c r="L76" s="4"/>
      <c r="M76" s="4"/>
      <c r="N76" s="4"/>
    </row>
    <row r="77" spans="1:14" x14ac:dyDescent="0.2">
      <c r="B77" s="242"/>
      <c r="C77" s="242"/>
      <c r="D77" s="242"/>
      <c r="E77" s="242"/>
      <c r="F77" s="242"/>
      <c r="G77" s="242"/>
      <c r="H77" s="242"/>
      <c r="I77" s="242"/>
      <c r="L77" s="4"/>
      <c r="M77" s="4"/>
      <c r="N77" s="4"/>
    </row>
    <row r="78" spans="1:14" x14ac:dyDescent="0.2">
      <c r="B78" s="242"/>
      <c r="C78" s="242"/>
      <c r="D78" s="242"/>
      <c r="E78" s="242"/>
      <c r="F78" s="242"/>
      <c r="G78" s="242"/>
      <c r="H78" s="242"/>
      <c r="I78" s="242"/>
      <c r="M78" s="103"/>
    </row>
    <row r="79" spans="1:14" x14ac:dyDescent="0.2">
      <c r="B79" s="16"/>
      <c r="L79" s="4"/>
      <c r="M79" s="4"/>
      <c r="N79" s="4"/>
    </row>
    <row r="80" spans="1:14" ht="19" x14ac:dyDescent="0.25">
      <c r="B80" s="22" t="s">
        <v>144</v>
      </c>
      <c r="L80" s="4"/>
      <c r="M80" s="4"/>
      <c r="N80" s="4"/>
    </row>
    <row r="81" spans="2:14" x14ac:dyDescent="0.2">
      <c r="B81" s="308" t="s">
        <v>366</v>
      </c>
      <c r="C81" s="242"/>
      <c r="D81" s="242"/>
      <c r="E81" s="242"/>
      <c r="F81" s="242"/>
      <c r="G81" s="242"/>
      <c r="H81" s="242"/>
      <c r="I81" s="242"/>
      <c r="L81" s="4"/>
      <c r="M81" s="4"/>
      <c r="N81" s="4"/>
    </row>
    <row r="82" spans="2:14" x14ac:dyDescent="0.2">
      <c r="B82" s="242"/>
      <c r="C82" s="242"/>
      <c r="D82" s="242"/>
      <c r="E82" s="242"/>
      <c r="F82" s="242"/>
      <c r="G82" s="242"/>
      <c r="H82" s="242"/>
      <c r="I82" s="242"/>
      <c r="L82" s="4"/>
      <c r="M82" s="4"/>
      <c r="N82" s="4"/>
    </row>
    <row r="83" spans="2:14" x14ac:dyDescent="0.2">
      <c r="L83" s="4"/>
      <c r="M83" s="4"/>
      <c r="N83" s="4"/>
    </row>
    <row r="84" spans="2:14" ht="18" x14ac:dyDescent="0.25">
      <c r="C84" s="199" t="s">
        <v>304</v>
      </c>
      <c r="D84" s="214">
        <f>F9/D9</f>
        <v>0.80421481985044185</v>
      </c>
      <c r="L84" s="4"/>
      <c r="M84" s="4"/>
      <c r="N84" s="4"/>
    </row>
    <row r="85" spans="2:14" x14ac:dyDescent="0.2">
      <c r="L85" s="4"/>
      <c r="M85" s="4"/>
      <c r="N85" s="4"/>
    </row>
    <row r="86" spans="2:14" x14ac:dyDescent="0.2">
      <c r="C86" s="206"/>
      <c r="D86" s="192" t="s">
        <v>305</v>
      </c>
      <c r="L86" s="4"/>
      <c r="M86" s="4"/>
      <c r="N86" s="4"/>
    </row>
    <row r="87" spans="2:14" x14ac:dyDescent="0.2">
      <c r="C87" s="197" t="s">
        <v>248</v>
      </c>
      <c r="D87" s="187">
        <f>E16*(1-D84)/(1-D39)</f>
        <v>1.441001174216674</v>
      </c>
      <c r="L87" s="4"/>
      <c r="M87" s="4"/>
      <c r="N87" s="4"/>
    </row>
    <row r="88" spans="2:14" x14ac:dyDescent="0.2">
      <c r="C88" s="197" t="s">
        <v>247</v>
      </c>
      <c r="D88" s="187">
        <f>E16*D84/D39</f>
        <v>1.1473169530152703</v>
      </c>
      <c r="L88" s="4"/>
      <c r="M88" s="4"/>
      <c r="N88" s="4"/>
    </row>
    <row r="89" spans="2:14" x14ac:dyDescent="0.2">
      <c r="C89" s="197" t="s">
        <v>22</v>
      </c>
      <c r="D89" s="187">
        <f>D39*D88+(1-D39)*D87</f>
        <v>1.1950000000000001</v>
      </c>
      <c r="M89" s="103"/>
    </row>
    <row r="90" spans="2:14" x14ac:dyDescent="0.2">
      <c r="L90" s="4"/>
      <c r="M90" s="4"/>
      <c r="N90" s="4"/>
    </row>
    <row r="91" spans="2:14" ht="19" x14ac:dyDescent="0.25">
      <c r="B91" s="22" t="s">
        <v>145</v>
      </c>
      <c r="L91" s="4"/>
      <c r="M91" s="4"/>
      <c r="N91" s="4"/>
    </row>
    <row r="92" spans="2:14" x14ac:dyDescent="0.2">
      <c r="B92" s="253" t="s">
        <v>312</v>
      </c>
      <c r="C92" s="242"/>
      <c r="D92" s="242"/>
      <c r="E92" s="242"/>
      <c r="F92" s="242"/>
      <c r="G92" s="242"/>
      <c r="H92" s="242"/>
      <c r="I92" s="242"/>
      <c r="L92" s="4"/>
      <c r="M92" s="4"/>
      <c r="N92" s="4"/>
    </row>
    <row r="93" spans="2:14" x14ac:dyDescent="0.2">
      <c r="B93" s="242"/>
      <c r="C93" s="242"/>
      <c r="D93" s="242"/>
      <c r="E93" s="242"/>
      <c r="F93" s="242"/>
      <c r="G93" s="242"/>
      <c r="H93" s="242"/>
      <c r="I93" s="242"/>
      <c r="J93" s="185"/>
      <c r="L93" s="4"/>
      <c r="M93" s="4"/>
      <c r="N93" s="4"/>
    </row>
    <row r="94" spans="2:14" x14ac:dyDescent="0.2">
      <c r="B94" s="185"/>
      <c r="C94" s="185"/>
      <c r="D94" s="185"/>
      <c r="E94" s="185"/>
      <c r="F94" s="185"/>
      <c r="G94" s="185"/>
      <c r="H94" s="185"/>
      <c r="I94" s="185"/>
      <c r="J94" s="185"/>
      <c r="L94" s="4"/>
      <c r="M94" s="4"/>
      <c r="N94" s="4"/>
    </row>
    <row r="95" spans="2:14" x14ac:dyDescent="0.2">
      <c r="B95" s="185"/>
      <c r="C95" s="185"/>
      <c r="D95" s="185"/>
      <c r="E95" s="185"/>
      <c r="F95" s="185"/>
      <c r="G95" s="185"/>
      <c r="H95" s="185"/>
      <c r="I95" s="185"/>
      <c r="J95" s="185"/>
      <c r="L95" s="4"/>
      <c r="M95" s="4"/>
      <c r="N95" s="4"/>
    </row>
    <row r="96" spans="2:14" x14ac:dyDescent="0.2">
      <c r="B96" s="185"/>
      <c r="C96" s="185"/>
      <c r="D96" s="185"/>
      <c r="E96" s="185"/>
      <c r="F96" s="185"/>
      <c r="G96" s="185"/>
      <c r="H96" s="185"/>
      <c r="I96" s="185"/>
      <c r="J96" s="185"/>
      <c r="L96" s="4"/>
      <c r="M96" s="4"/>
      <c r="N96" s="4"/>
    </row>
    <row r="97" spans="1:65" x14ac:dyDescent="0.2">
      <c r="B97" s="185"/>
      <c r="C97" s="185"/>
      <c r="D97" s="185"/>
      <c r="E97" s="185"/>
      <c r="F97" s="185"/>
      <c r="G97" s="185"/>
      <c r="H97" s="185"/>
      <c r="I97" s="185"/>
      <c r="J97" s="185"/>
      <c r="L97" s="4"/>
      <c r="M97" s="4"/>
      <c r="N97" s="4"/>
    </row>
    <row r="98" spans="1:65" x14ac:dyDescent="0.2">
      <c r="B98" s="185"/>
      <c r="C98" s="185"/>
      <c r="D98" s="185"/>
      <c r="E98" s="185"/>
      <c r="F98" s="185"/>
      <c r="G98" s="185"/>
      <c r="H98" s="185"/>
      <c r="I98" s="185"/>
      <c r="J98" s="185"/>
      <c r="M98" s="103"/>
    </row>
    <row r="99" spans="1:65" x14ac:dyDescent="0.2">
      <c r="A99" s="4"/>
      <c r="B99" s="185"/>
      <c r="C99" s="185"/>
      <c r="D99" s="185"/>
      <c r="E99" s="185"/>
      <c r="F99" s="185"/>
      <c r="G99" s="185"/>
      <c r="H99" s="185"/>
      <c r="I99" s="185"/>
      <c r="J99" s="185"/>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185"/>
      <c r="C100" s="185"/>
      <c r="D100" s="185"/>
      <c r="E100" s="185"/>
      <c r="F100" s="185"/>
      <c r="G100" s="185"/>
      <c r="H100" s="185"/>
      <c r="I100" s="185"/>
      <c r="J100" s="185"/>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253" t="s">
        <v>313</v>
      </c>
      <c r="C101" s="242"/>
      <c r="D101" s="242"/>
      <c r="E101" s="242"/>
      <c r="F101" s="242"/>
      <c r="G101" s="242"/>
      <c r="H101" s="242"/>
      <c r="I101" s="242"/>
      <c r="J101" s="185"/>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242"/>
      <c r="C102" s="242"/>
      <c r="D102" s="242"/>
      <c r="E102" s="242"/>
      <c r="F102" s="242"/>
      <c r="G102" s="242"/>
      <c r="H102" s="242"/>
      <c r="I102" s="242"/>
      <c r="J102" s="185"/>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ht="17" thickBot="1" x14ac:dyDescent="0.25">
      <c r="A103" s="4"/>
      <c r="B103" s="185"/>
      <c r="C103" s="185"/>
      <c r="D103" s="185"/>
      <c r="E103" s="185"/>
      <c r="F103" s="185"/>
      <c r="G103" s="185"/>
      <c r="H103" s="185"/>
      <c r="I103" s="185"/>
      <c r="J103" s="185"/>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ht="17" thickBot="1" x14ac:dyDescent="0.25">
      <c r="A104" s="4"/>
      <c r="B104" s="185"/>
      <c r="C104" s="186" t="s">
        <v>306</v>
      </c>
      <c r="D104" s="204"/>
      <c r="E104" s="218">
        <f>1-1/D71</f>
        <v>0.20302849173142057</v>
      </c>
      <c r="F104" s="185" t="s">
        <v>307</v>
      </c>
      <c r="G104" s="185"/>
      <c r="H104" s="185"/>
      <c r="I104" s="185"/>
      <c r="J104" s="185"/>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185"/>
      <c r="C105" s="185"/>
      <c r="D105" s="185"/>
      <c r="E105" s="185"/>
      <c r="F105" s="185"/>
      <c r="G105" s="185"/>
      <c r="H105" s="185"/>
      <c r="I105" s="185"/>
      <c r="J105" s="185"/>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253" t="s">
        <v>314</v>
      </c>
      <c r="C106" s="242"/>
      <c r="D106" s="242"/>
      <c r="E106" s="242"/>
      <c r="F106" s="242"/>
      <c r="G106" s="242"/>
      <c r="H106" s="242"/>
      <c r="I106" s="242"/>
      <c r="J106" s="185"/>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242"/>
      <c r="C107" s="242"/>
      <c r="D107" s="242"/>
      <c r="E107" s="242"/>
      <c r="F107" s="242"/>
      <c r="G107" s="242"/>
      <c r="H107" s="242"/>
      <c r="I107" s="242"/>
      <c r="J107" s="185"/>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185"/>
      <c r="C108" s="185"/>
      <c r="D108" s="185"/>
      <c r="E108" s="185"/>
      <c r="F108" s="185"/>
      <c r="G108" s="185"/>
      <c r="H108" s="185"/>
      <c r="I108" s="185"/>
      <c r="J108" s="185"/>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185"/>
      <c r="C109" s="185"/>
      <c r="D109" s="185"/>
      <c r="E109" s="185"/>
      <c r="F109" s="185"/>
      <c r="G109" s="185"/>
      <c r="H109" s="185"/>
      <c r="I109" s="185"/>
      <c r="J109" s="185"/>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185"/>
      <c r="C110" s="185"/>
      <c r="D110" s="185"/>
      <c r="E110" s="185"/>
      <c r="F110" s="185"/>
      <c r="G110" s="185"/>
      <c r="H110" s="185"/>
      <c r="I110" s="185"/>
      <c r="J110" s="185"/>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185"/>
      <c r="C111" s="185"/>
      <c r="D111" s="185"/>
      <c r="E111" s="185"/>
      <c r="F111" s="185"/>
      <c r="G111" s="185"/>
      <c r="H111" s="185"/>
      <c r="I111" s="185"/>
      <c r="J111" s="185"/>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185"/>
      <c r="C112" s="195"/>
      <c r="D112" s="191" t="s">
        <v>310</v>
      </c>
      <c r="E112" s="185"/>
      <c r="F112" s="185"/>
      <c r="G112" s="185"/>
      <c r="H112" s="185"/>
      <c r="I112" s="185"/>
      <c r="J112" s="185"/>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185"/>
      <c r="C113" s="197" t="s">
        <v>308</v>
      </c>
      <c r="D113" s="219">
        <f>D39*(D60-1)/D71</f>
        <v>9.5344012920486859E-2</v>
      </c>
      <c r="E113" s="185"/>
      <c r="F113" s="185"/>
      <c r="G113" s="185"/>
      <c r="H113" s="185"/>
      <c r="I113" s="185"/>
      <c r="J113" s="185"/>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185"/>
      <c r="C114" s="196" t="s">
        <v>309</v>
      </c>
      <c r="D114" s="220">
        <f>(1-D39)*(D49-1)/D71</f>
        <v>0.10768447881093374</v>
      </c>
      <c r="E114" s="185"/>
      <c r="F114" s="185"/>
      <c r="G114" s="185"/>
      <c r="H114" s="185"/>
      <c r="I114" s="185"/>
      <c r="J114" s="185"/>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185"/>
      <c r="C115" s="197" t="s">
        <v>220</v>
      </c>
      <c r="D115" s="219">
        <f>SUM(D113:D114)</f>
        <v>0.2030284917314206</v>
      </c>
      <c r="E115" s="185"/>
      <c r="F115" s="185"/>
      <c r="G115" s="185"/>
      <c r="H115" s="185"/>
      <c r="I115" s="185"/>
      <c r="J115" s="185"/>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185"/>
      <c r="C116" s="185"/>
      <c r="D116" s="185"/>
      <c r="E116" s="185"/>
      <c r="F116" s="185"/>
      <c r="G116" s="185"/>
      <c r="H116" s="185"/>
      <c r="I116" s="185"/>
      <c r="J116" s="185"/>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13" t="s">
        <v>146</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253" t="s">
        <v>311</v>
      </c>
      <c r="C118" s="242"/>
      <c r="D118" s="242"/>
      <c r="E118" s="242"/>
      <c r="F118" s="242"/>
      <c r="G118" s="242"/>
      <c r="H118" s="242"/>
      <c r="I118" s="242"/>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242"/>
      <c r="C119" s="242"/>
      <c r="D119" s="242"/>
      <c r="E119" s="242"/>
      <c r="F119" s="242"/>
      <c r="G119" s="242"/>
      <c r="H119" s="242"/>
      <c r="I119" s="242"/>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242"/>
      <c r="C120" s="242"/>
      <c r="D120" s="242"/>
      <c r="E120" s="242"/>
      <c r="F120" s="242"/>
      <c r="G120" s="242"/>
      <c r="H120" s="242"/>
      <c r="I120" s="242"/>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13" t="s">
        <v>255</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185" t="s">
        <v>256</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ht="19" x14ac:dyDescent="0.25">
      <c r="A125" s="2" t="s">
        <v>125</v>
      </c>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94" t="s">
        <v>147</v>
      </c>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ht="19" x14ac:dyDescent="0.25">
      <c r="A128" s="2" t="s">
        <v>127</v>
      </c>
      <c r="B128" s="4"/>
      <c r="C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94" t="s">
        <v>128</v>
      </c>
      <c r="D129" s="94" t="s">
        <v>150</v>
      </c>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94" t="s">
        <v>141</v>
      </c>
      <c r="D130" s="94" t="s">
        <v>151</v>
      </c>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94" t="s">
        <v>130</v>
      </c>
      <c r="D131" s="94" t="s">
        <v>152</v>
      </c>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94" t="s">
        <v>148</v>
      </c>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94" t="s">
        <v>149</v>
      </c>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sheetData>
  <mergeCells count="12">
    <mergeCell ref="C6:F6"/>
    <mergeCell ref="F14:F15"/>
    <mergeCell ref="E14:E15"/>
    <mergeCell ref="D14:D15"/>
    <mergeCell ref="B63:I64"/>
    <mergeCell ref="B26:I27"/>
    <mergeCell ref="B76:I78"/>
    <mergeCell ref="B81:I82"/>
    <mergeCell ref="B118:I120"/>
    <mergeCell ref="B92:I93"/>
    <mergeCell ref="B101:I102"/>
    <mergeCell ref="B106:I10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M212"/>
  <sheetViews>
    <sheetView showGridLines="0" zoomScale="120" zoomScaleNormal="120" workbookViewId="0"/>
  </sheetViews>
  <sheetFormatPr baseColWidth="10" defaultColWidth="10.83203125" defaultRowHeight="16" x14ac:dyDescent="0.2"/>
  <cols>
    <col min="1" max="1" width="10.83203125" style="94"/>
    <col min="2" max="5" width="10.83203125" style="94" customWidth="1"/>
    <col min="6" max="6" width="11" style="94" bestFit="1" customWidth="1"/>
    <col min="7" max="7" width="12.1640625" style="94" bestFit="1" customWidth="1"/>
    <col min="8" max="8" width="11" style="94" bestFit="1" customWidth="1"/>
    <col min="9" max="16384" width="10.83203125" style="94"/>
  </cols>
  <sheetData>
    <row r="1" spans="1:10" ht="19" x14ac:dyDescent="0.25">
      <c r="A1" s="1" t="s">
        <v>197</v>
      </c>
      <c r="B1" s="92"/>
      <c r="C1" s="92"/>
      <c r="D1" s="92"/>
      <c r="E1" s="92"/>
      <c r="F1" s="92"/>
      <c r="G1" s="92"/>
      <c r="H1" s="92"/>
      <c r="I1" s="92"/>
      <c r="J1" s="93"/>
    </row>
    <row r="2" spans="1:10" x14ac:dyDescent="0.2">
      <c r="A2" s="5"/>
      <c r="B2" s="92"/>
      <c r="C2" s="92"/>
      <c r="D2" s="92"/>
      <c r="E2" s="92"/>
      <c r="F2" s="92"/>
      <c r="G2" s="92"/>
      <c r="H2" s="92"/>
      <c r="I2" s="92"/>
      <c r="J2" s="93"/>
    </row>
    <row r="3" spans="1:10" x14ac:dyDescent="0.2">
      <c r="A3" s="5"/>
      <c r="B3" s="188" t="s">
        <v>233</v>
      </c>
      <c r="C3" s="92"/>
      <c r="D3" s="92"/>
      <c r="E3" s="92"/>
      <c r="F3" s="92"/>
      <c r="G3" s="92"/>
      <c r="H3" s="92"/>
      <c r="I3" s="92"/>
      <c r="J3" s="93"/>
    </row>
    <row r="4" spans="1:10" x14ac:dyDescent="0.2">
      <c r="A4" s="5"/>
      <c r="B4" s="92"/>
      <c r="C4" s="92"/>
      <c r="D4" s="92"/>
      <c r="E4" s="92"/>
      <c r="F4" s="92"/>
      <c r="G4" s="92"/>
      <c r="H4" s="92"/>
      <c r="I4" s="92"/>
      <c r="J4" s="93"/>
    </row>
    <row r="5" spans="1:10" x14ac:dyDescent="0.2">
      <c r="A5" s="5"/>
      <c r="B5" s="95" t="s">
        <v>211</v>
      </c>
      <c r="C5" s="92"/>
      <c r="D5" s="92"/>
      <c r="E5" s="92"/>
      <c r="F5" s="96"/>
      <c r="G5" s="92"/>
      <c r="H5" s="92"/>
      <c r="I5" s="92"/>
      <c r="J5" s="93"/>
    </row>
    <row r="6" spans="1:10" x14ac:dyDescent="0.2">
      <c r="A6" s="5"/>
      <c r="B6" s="95" t="s">
        <v>203</v>
      </c>
      <c r="C6" s="92"/>
      <c r="D6" s="92"/>
      <c r="E6" s="92"/>
      <c r="F6" s="96"/>
      <c r="G6" s="92"/>
      <c r="H6" s="92"/>
      <c r="I6" s="92"/>
      <c r="J6" s="93"/>
    </row>
    <row r="7" spans="1:10" x14ac:dyDescent="0.2">
      <c r="A7" s="5"/>
      <c r="B7" s="92"/>
      <c r="C7" s="92"/>
      <c r="D7" s="92"/>
      <c r="E7" s="92"/>
      <c r="F7" s="92"/>
      <c r="G7" s="92"/>
      <c r="H7" s="92"/>
      <c r="I7" s="92"/>
      <c r="J7" s="93"/>
    </row>
    <row r="8" spans="1:10" x14ac:dyDescent="0.2">
      <c r="A8" s="5"/>
      <c r="B8" s="243" t="s">
        <v>315</v>
      </c>
      <c r="C8" s="262"/>
      <c r="D8" s="262"/>
      <c r="E8" s="262"/>
      <c r="F8" s="262"/>
      <c r="G8" s="262"/>
      <c r="H8" s="262"/>
      <c r="I8" s="262"/>
      <c r="J8" s="93"/>
    </row>
    <row r="9" spans="1:10" x14ac:dyDescent="0.2">
      <c r="A9" s="5"/>
      <c r="B9" s="262"/>
      <c r="C9" s="262"/>
      <c r="D9" s="262"/>
      <c r="E9" s="262"/>
      <c r="F9" s="262"/>
      <c r="G9" s="262"/>
      <c r="H9" s="262"/>
      <c r="I9" s="262"/>
      <c r="J9" s="93"/>
    </row>
    <row r="10" spans="1:10" x14ac:dyDescent="0.2">
      <c r="A10" s="5"/>
      <c r="B10" s="262"/>
      <c r="C10" s="262"/>
      <c r="D10" s="262"/>
      <c r="E10" s="262"/>
      <c r="F10" s="262"/>
      <c r="G10" s="262"/>
      <c r="H10" s="262"/>
      <c r="I10" s="262"/>
      <c r="J10" s="93"/>
    </row>
    <row r="11" spans="1:10" x14ac:dyDescent="0.2">
      <c r="A11" s="5"/>
      <c r="B11" s="262"/>
      <c r="C11" s="262"/>
      <c r="D11" s="262"/>
      <c r="E11" s="262"/>
      <c r="F11" s="262"/>
      <c r="G11" s="262"/>
      <c r="H11" s="262"/>
      <c r="I11" s="262"/>
      <c r="J11" s="93"/>
    </row>
    <row r="12" spans="1:10" x14ac:dyDescent="0.2">
      <c r="A12" s="5"/>
      <c r="B12" s="92"/>
      <c r="C12" s="92"/>
      <c r="D12" s="92"/>
      <c r="E12" s="92"/>
      <c r="F12" s="92"/>
      <c r="G12" s="92"/>
      <c r="H12" s="92"/>
      <c r="I12" s="92"/>
      <c r="J12" s="93"/>
    </row>
    <row r="13" spans="1:10" x14ac:dyDescent="0.2">
      <c r="A13" s="5"/>
      <c r="B13" s="92" t="s">
        <v>64</v>
      </c>
      <c r="C13" s="92"/>
      <c r="D13" s="92"/>
      <c r="E13" s="92"/>
      <c r="F13" s="92"/>
      <c r="G13" s="92"/>
      <c r="H13" s="92"/>
      <c r="I13" s="92"/>
      <c r="J13" s="93"/>
    </row>
    <row r="14" spans="1:10" x14ac:dyDescent="0.2">
      <c r="A14" s="5"/>
      <c r="B14" s="92"/>
      <c r="C14" s="92"/>
      <c r="D14" s="92"/>
      <c r="E14" s="92"/>
      <c r="F14" s="92"/>
      <c r="G14" s="92"/>
      <c r="H14" s="92"/>
      <c r="I14" s="92"/>
      <c r="J14" s="93"/>
    </row>
    <row r="15" spans="1:10" x14ac:dyDescent="0.2">
      <c r="A15" s="5"/>
      <c r="B15" s="92"/>
      <c r="C15" s="263" t="s">
        <v>65</v>
      </c>
      <c r="D15" s="267" t="s">
        <v>346</v>
      </c>
      <c r="E15" s="249"/>
      <c r="F15" s="250"/>
      <c r="G15" s="92"/>
      <c r="H15" s="92"/>
      <c r="I15" s="92"/>
      <c r="J15" s="93"/>
    </row>
    <row r="16" spans="1:10" ht="17" x14ac:dyDescent="0.2">
      <c r="A16" s="5"/>
      <c r="B16" s="92"/>
      <c r="C16" s="264"/>
      <c r="D16" s="81" t="s">
        <v>11</v>
      </c>
      <c r="E16" s="70" t="s">
        <v>12</v>
      </c>
      <c r="F16" s="71" t="s">
        <v>27</v>
      </c>
      <c r="G16" s="92"/>
      <c r="H16" s="92"/>
      <c r="I16" s="92"/>
      <c r="J16" s="93"/>
    </row>
    <row r="17" spans="1:10" ht="17" x14ac:dyDescent="0.2">
      <c r="A17" s="5"/>
      <c r="B17" s="92"/>
      <c r="C17" s="65" t="s">
        <v>17</v>
      </c>
      <c r="D17" s="39">
        <v>6941</v>
      </c>
      <c r="E17" s="40">
        <v>8231</v>
      </c>
      <c r="F17" s="41">
        <v>10460</v>
      </c>
      <c r="G17" s="92"/>
      <c r="H17" s="92"/>
      <c r="I17" s="92"/>
      <c r="J17" s="93"/>
    </row>
    <row r="18" spans="1:10" x14ac:dyDescent="0.2">
      <c r="A18" s="5"/>
      <c r="B18" s="92"/>
      <c r="C18" s="63">
        <v>500000</v>
      </c>
      <c r="D18" s="42">
        <v>6494</v>
      </c>
      <c r="E18" s="6">
        <v>7331</v>
      </c>
      <c r="F18" s="21">
        <v>8193</v>
      </c>
      <c r="G18" s="92"/>
      <c r="H18" s="92"/>
      <c r="I18" s="92"/>
      <c r="J18" s="93"/>
    </row>
    <row r="19" spans="1:10" x14ac:dyDescent="0.2">
      <c r="A19" s="5"/>
      <c r="B19" s="92"/>
      <c r="C19" s="63">
        <v>250000</v>
      </c>
      <c r="D19" s="42">
        <v>5968</v>
      </c>
      <c r="E19" s="6">
        <v>6543</v>
      </c>
      <c r="F19" s="21">
        <v>6959</v>
      </c>
      <c r="G19" s="92"/>
      <c r="H19" s="92"/>
      <c r="I19" s="92"/>
      <c r="J19" s="93"/>
    </row>
    <row r="20" spans="1:10" x14ac:dyDescent="0.2">
      <c r="A20" s="5"/>
      <c r="B20" s="92"/>
      <c r="C20" s="64">
        <v>100000</v>
      </c>
      <c r="D20" s="43">
        <v>4904</v>
      </c>
      <c r="E20" s="44">
        <v>5164</v>
      </c>
      <c r="F20" s="45">
        <v>5166</v>
      </c>
      <c r="G20" s="92"/>
      <c r="H20" s="92"/>
      <c r="I20" s="92"/>
      <c r="J20" s="93"/>
    </row>
    <row r="21" spans="1:10" x14ac:dyDescent="0.2">
      <c r="A21" s="5"/>
      <c r="B21" s="95"/>
      <c r="C21" s="92"/>
      <c r="D21" s="92"/>
      <c r="E21" s="92"/>
      <c r="F21" s="92"/>
      <c r="G21" s="92"/>
      <c r="H21" s="92"/>
      <c r="I21" s="92"/>
      <c r="J21" s="93"/>
    </row>
    <row r="22" spans="1:10" x14ac:dyDescent="0.2">
      <c r="A22" s="5"/>
      <c r="B22" s="183" t="s">
        <v>234</v>
      </c>
      <c r="C22" s="92"/>
      <c r="D22" s="92"/>
      <c r="E22" s="92"/>
      <c r="F22" s="92"/>
      <c r="G22" s="96">
        <v>1476000</v>
      </c>
      <c r="H22" s="92"/>
      <c r="I22" s="92"/>
      <c r="J22" s="93"/>
    </row>
    <row r="23" spans="1:10" x14ac:dyDescent="0.2">
      <c r="A23" s="5"/>
      <c r="B23" s="92"/>
      <c r="C23" s="92"/>
      <c r="D23" s="92"/>
      <c r="E23" s="92"/>
      <c r="F23" s="92"/>
      <c r="G23" s="92"/>
      <c r="H23" s="92"/>
      <c r="I23" s="92"/>
      <c r="J23" s="93"/>
    </row>
    <row r="24" spans="1:10" x14ac:dyDescent="0.2">
      <c r="A24" s="5"/>
      <c r="B24" s="92" t="s">
        <v>66</v>
      </c>
      <c r="C24" s="92"/>
      <c r="D24" s="92"/>
      <c r="E24" s="92"/>
      <c r="F24" s="92"/>
      <c r="G24" s="92"/>
      <c r="H24" s="92"/>
      <c r="I24" s="92"/>
      <c r="J24" s="93"/>
    </row>
    <row r="25" spans="1:10" x14ac:dyDescent="0.2">
      <c r="A25" s="5"/>
      <c r="B25" s="92"/>
      <c r="C25" s="92"/>
      <c r="D25" s="92"/>
      <c r="E25" s="92"/>
      <c r="F25" s="92"/>
      <c r="G25" s="92"/>
      <c r="H25" s="92"/>
      <c r="I25" s="92"/>
      <c r="J25" s="93"/>
    </row>
    <row r="26" spans="1:10" x14ac:dyDescent="0.2">
      <c r="A26" s="5"/>
      <c r="B26" s="92"/>
      <c r="C26" s="145"/>
      <c r="D26" s="263" t="s">
        <v>68</v>
      </c>
      <c r="E26" s="92"/>
      <c r="F26" s="92"/>
      <c r="G26" s="92"/>
      <c r="H26" s="92"/>
      <c r="I26" s="92"/>
      <c r="J26" s="93"/>
    </row>
    <row r="27" spans="1:10" ht="17" x14ac:dyDescent="0.2">
      <c r="A27" s="5"/>
      <c r="B27" s="92"/>
      <c r="C27" s="67" t="s">
        <v>67</v>
      </c>
      <c r="D27" s="264"/>
      <c r="E27" s="92"/>
      <c r="F27" s="92"/>
      <c r="G27" s="92"/>
      <c r="H27" s="92"/>
      <c r="I27" s="92"/>
      <c r="J27" s="93"/>
    </row>
    <row r="28" spans="1:10" x14ac:dyDescent="0.2">
      <c r="A28" s="5"/>
      <c r="B28" s="92"/>
      <c r="C28" s="72">
        <v>44282</v>
      </c>
      <c r="D28" s="75">
        <v>210000</v>
      </c>
      <c r="E28" s="92"/>
      <c r="F28" s="92"/>
      <c r="G28" s="92"/>
      <c r="H28" s="92"/>
      <c r="I28" s="92"/>
      <c r="J28" s="93"/>
    </row>
    <row r="29" spans="1:10" x14ac:dyDescent="0.2">
      <c r="A29" s="5"/>
      <c r="B29" s="92"/>
      <c r="C29" s="73">
        <v>44358</v>
      </c>
      <c r="D29" s="76">
        <v>128200</v>
      </c>
      <c r="E29" s="92"/>
      <c r="F29" s="92"/>
      <c r="G29" s="92"/>
      <c r="H29" s="92"/>
      <c r="I29" s="92"/>
      <c r="J29" s="93"/>
    </row>
    <row r="30" spans="1:10" x14ac:dyDescent="0.2">
      <c r="A30" s="5"/>
      <c r="B30" s="92"/>
      <c r="C30" s="74">
        <v>44429</v>
      </c>
      <c r="D30" s="77">
        <v>561600</v>
      </c>
      <c r="E30" s="92"/>
      <c r="F30" s="92"/>
      <c r="G30" s="92"/>
      <c r="H30" s="92"/>
      <c r="I30" s="92"/>
      <c r="J30" s="93"/>
    </row>
    <row r="31" spans="1:10" x14ac:dyDescent="0.2">
      <c r="A31" s="5"/>
      <c r="B31" s="92"/>
      <c r="C31" s="150"/>
      <c r="D31" s="151"/>
      <c r="E31" s="92"/>
      <c r="F31" s="92"/>
      <c r="G31" s="92"/>
      <c r="H31" s="92"/>
      <c r="I31" s="92"/>
      <c r="J31" s="93"/>
    </row>
    <row r="32" spans="1:10" x14ac:dyDescent="0.2">
      <c r="A32" s="5"/>
      <c r="B32" s="243" t="s">
        <v>316</v>
      </c>
      <c r="C32" s="243"/>
      <c r="D32" s="243"/>
      <c r="E32" s="243"/>
      <c r="F32" s="243"/>
      <c r="G32" s="243"/>
      <c r="H32" s="243"/>
      <c r="I32" s="243"/>
      <c r="J32" s="93"/>
    </row>
    <row r="33" spans="1:12" x14ac:dyDescent="0.2">
      <c r="A33" s="5"/>
      <c r="B33" s="243"/>
      <c r="C33" s="243"/>
      <c r="D33" s="243"/>
      <c r="E33" s="243"/>
      <c r="F33" s="243"/>
      <c r="G33" s="243"/>
      <c r="H33" s="243"/>
      <c r="I33" s="243"/>
      <c r="J33" s="93"/>
    </row>
    <row r="34" spans="1:12" ht="17" thickBot="1" x14ac:dyDescent="0.25">
      <c r="A34" s="98"/>
      <c r="B34" s="99"/>
      <c r="C34" s="100"/>
      <c r="D34" s="100"/>
      <c r="E34" s="100"/>
      <c r="F34" s="99"/>
      <c r="G34" s="99"/>
      <c r="H34" s="99"/>
      <c r="I34" s="99"/>
      <c r="J34" s="101"/>
    </row>
    <row r="36" spans="1:12" ht="19" x14ac:dyDescent="0.25">
      <c r="A36" s="2" t="s">
        <v>3</v>
      </c>
    </row>
    <row r="37" spans="1:12" x14ac:dyDescent="0.2">
      <c r="A37" s="14" t="s">
        <v>189</v>
      </c>
      <c r="B37" s="240" t="s">
        <v>257</v>
      </c>
      <c r="C37" s="240"/>
      <c r="D37" s="240"/>
      <c r="E37" s="240"/>
      <c r="F37" s="240"/>
      <c r="G37" s="240"/>
      <c r="H37" s="240"/>
      <c r="I37" s="240"/>
    </row>
    <row r="38" spans="1:12" x14ac:dyDescent="0.2">
      <c r="A38" s="14"/>
      <c r="B38" s="240"/>
      <c r="C38" s="240"/>
      <c r="D38" s="240"/>
      <c r="E38" s="240"/>
      <c r="F38" s="240"/>
      <c r="G38" s="240"/>
      <c r="H38" s="240"/>
      <c r="I38" s="240"/>
    </row>
    <row r="39" spans="1:12" ht="17" thickBot="1" x14ac:dyDescent="0.25">
      <c r="A39" s="14"/>
      <c r="B39" s="13"/>
    </row>
    <row r="40" spans="1:12" ht="17" thickBot="1" x14ac:dyDescent="0.25">
      <c r="A40" s="14"/>
      <c r="B40" s="13"/>
      <c r="F40" s="186" t="s">
        <v>317</v>
      </c>
      <c r="G40" s="208">
        <f>F17/D17</f>
        <v>1.5069874657830284</v>
      </c>
    </row>
    <row r="41" spans="1:12" x14ac:dyDescent="0.2">
      <c r="A41" s="14"/>
      <c r="B41" s="13"/>
    </row>
    <row r="42" spans="1:12" x14ac:dyDescent="0.2">
      <c r="F42" s="13" t="s">
        <v>261</v>
      </c>
      <c r="L42" s="4"/>
    </row>
    <row r="43" spans="1:12" x14ac:dyDescent="0.2">
      <c r="F43" s="185" t="s">
        <v>260</v>
      </c>
      <c r="L43" s="4"/>
    </row>
    <row r="44" spans="1:12" x14ac:dyDescent="0.2">
      <c r="L44" s="4"/>
    </row>
    <row r="45" spans="1:12" x14ac:dyDescent="0.2">
      <c r="A45" s="14" t="s">
        <v>201</v>
      </c>
      <c r="B45" s="240" t="s">
        <v>258</v>
      </c>
      <c r="C45" s="240"/>
      <c r="D45" s="240"/>
      <c r="E45" s="240"/>
      <c r="F45" s="240"/>
      <c r="G45" s="240"/>
      <c r="H45" s="240"/>
      <c r="I45" s="240"/>
      <c r="L45" s="4"/>
    </row>
    <row r="46" spans="1:12" x14ac:dyDescent="0.2">
      <c r="A46" s="14"/>
      <c r="B46" s="240"/>
      <c r="C46" s="240"/>
      <c r="D46" s="240"/>
      <c r="E46" s="240"/>
      <c r="F46" s="240"/>
      <c r="G46" s="240"/>
      <c r="H46" s="240"/>
      <c r="I46" s="240"/>
      <c r="L46" s="4"/>
    </row>
    <row r="47" spans="1:12" x14ac:dyDescent="0.2">
      <c r="L47" s="4"/>
    </row>
    <row r="48" spans="1:12" x14ac:dyDescent="0.2">
      <c r="B48" s="16" t="s">
        <v>69</v>
      </c>
      <c r="F48" s="16" t="s">
        <v>70</v>
      </c>
      <c r="L48" s="4"/>
    </row>
    <row r="49" spans="1:12" x14ac:dyDescent="0.2">
      <c r="L49" s="4"/>
    </row>
    <row r="50" spans="1:12" x14ac:dyDescent="0.2">
      <c r="B50" s="152"/>
      <c r="L50" s="4"/>
    </row>
    <row r="51" spans="1:12" x14ac:dyDescent="0.2">
      <c r="L51" s="4"/>
    </row>
    <row r="52" spans="1:12" x14ac:dyDescent="0.2">
      <c r="L52" s="4"/>
    </row>
    <row r="53" spans="1:12" ht="20" x14ac:dyDescent="0.25">
      <c r="G53" s="196" t="s">
        <v>302</v>
      </c>
      <c r="H53" s="192" t="s">
        <v>318</v>
      </c>
      <c r="L53" s="4"/>
    </row>
    <row r="54" spans="1:12" ht="17" thickBot="1" x14ac:dyDescent="0.25">
      <c r="C54" s="105"/>
      <c r="D54" s="199" t="s">
        <v>21</v>
      </c>
      <c r="G54" s="197" t="s">
        <v>27</v>
      </c>
      <c r="H54" s="187">
        <f>F19/F17</f>
        <v>0.6652963671128107</v>
      </c>
      <c r="L54" s="4"/>
    </row>
    <row r="55" spans="1:12" ht="17" thickBot="1" x14ac:dyDescent="0.25">
      <c r="C55" s="207" t="s">
        <v>247</v>
      </c>
      <c r="D55" s="208">
        <f>F19/D19</f>
        <v>1.1660522788203753</v>
      </c>
      <c r="G55" s="197" t="s">
        <v>11</v>
      </c>
      <c r="H55" s="187">
        <f>D19/D17</f>
        <v>0.85981846996110067</v>
      </c>
      <c r="L55" s="4"/>
    </row>
    <row r="57" spans="1:12" ht="17" thickBot="1" x14ac:dyDescent="0.25">
      <c r="G57" s="105"/>
      <c r="H57" s="199" t="s">
        <v>21</v>
      </c>
    </row>
    <row r="58" spans="1:12" ht="17" thickBot="1" x14ac:dyDescent="0.25">
      <c r="G58" s="207" t="s">
        <v>247</v>
      </c>
      <c r="H58" s="208">
        <f>G40*(H54)/(H55)</f>
        <v>1.1660522788203755</v>
      </c>
    </row>
    <row r="60" spans="1:12" x14ac:dyDescent="0.2">
      <c r="A60" s="102" t="s">
        <v>190</v>
      </c>
      <c r="B60" s="240" t="s">
        <v>71</v>
      </c>
      <c r="C60" s="240"/>
      <c r="D60" s="240"/>
      <c r="E60" s="240"/>
      <c r="F60" s="240"/>
      <c r="G60" s="240"/>
      <c r="H60" s="240"/>
      <c r="I60" s="240"/>
    </row>
    <row r="61" spans="1:12" x14ac:dyDescent="0.2">
      <c r="A61" s="102"/>
      <c r="B61" s="240"/>
      <c r="C61" s="240"/>
      <c r="D61" s="240"/>
      <c r="E61" s="240"/>
      <c r="F61" s="240"/>
      <c r="G61" s="240"/>
      <c r="H61" s="240"/>
      <c r="I61" s="240"/>
    </row>
    <row r="62" spans="1:12" x14ac:dyDescent="0.2">
      <c r="A62" s="102"/>
      <c r="B62" s="13"/>
    </row>
    <row r="63" spans="1:12" x14ac:dyDescent="0.2">
      <c r="A63" s="102"/>
      <c r="B63" s="13"/>
      <c r="C63" s="105"/>
      <c r="D63" s="265" t="s">
        <v>68</v>
      </c>
      <c r="E63" s="265" t="s">
        <v>319</v>
      </c>
    </row>
    <row r="64" spans="1:12" ht="17" x14ac:dyDescent="0.2">
      <c r="C64" s="7" t="s">
        <v>67</v>
      </c>
      <c r="D64" s="266"/>
      <c r="E64" s="266"/>
    </row>
    <row r="65" spans="1:14" x14ac:dyDescent="0.2">
      <c r="C65" s="84">
        <f>C28</f>
        <v>44282</v>
      </c>
      <c r="D65" s="9">
        <f>D28</f>
        <v>210000</v>
      </c>
      <c r="E65" s="153">
        <f>MAX(D65-250000,0)</f>
        <v>0</v>
      </c>
    </row>
    <row r="66" spans="1:14" x14ac:dyDescent="0.2">
      <c r="C66" s="84">
        <f>C29</f>
        <v>44358</v>
      </c>
      <c r="D66" s="9">
        <f t="shared" ref="D66:D67" si="0">D29</f>
        <v>128200</v>
      </c>
      <c r="E66" s="153">
        <f>MAX(D66-250000,0)</f>
        <v>0</v>
      </c>
    </row>
    <row r="67" spans="1:14" x14ac:dyDescent="0.2">
      <c r="C67" s="84">
        <f>C30</f>
        <v>44429</v>
      </c>
      <c r="D67" s="9">
        <f t="shared" si="0"/>
        <v>561600</v>
      </c>
      <c r="E67" s="153">
        <f>MAX(D67-250000,0)</f>
        <v>311600</v>
      </c>
    </row>
    <row r="68" spans="1:14" ht="17" thickBot="1" x14ac:dyDescent="0.25"/>
    <row r="69" spans="1:14" ht="17" thickBot="1" x14ac:dyDescent="0.25">
      <c r="C69" s="143" t="s">
        <v>72</v>
      </c>
      <c r="D69" s="180"/>
      <c r="E69" s="175">
        <f>G22-SUM(E65:E67)</f>
        <v>1164400</v>
      </c>
    </row>
    <row r="71" spans="1:14" x14ac:dyDescent="0.2">
      <c r="A71" s="102" t="s">
        <v>191</v>
      </c>
      <c r="B71" s="240" t="s">
        <v>259</v>
      </c>
      <c r="C71" s="240"/>
      <c r="D71" s="240"/>
      <c r="E71" s="240"/>
      <c r="F71" s="240"/>
      <c r="G71" s="240"/>
      <c r="H71" s="240"/>
      <c r="I71" s="240"/>
      <c r="M71" s="103"/>
    </row>
    <row r="72" spans="1:14" x14ac:dyDescent="0.2">
      <c r="B72" s="240"/>
      <c r="C72" s="240"/>
      <c r="D72" s="240"/>
      <c r="E72" s="240"/>
      <c r="F72" s="240"/>
      <c r="G72" s="240"/>
      <c r="H72" s="240"/>
      <c r="I72" s="240"/>
      <c r="L72" s="4"/>
      <c r="M72" s="4"/>
      <c r="N72" s="4"/>
    </row>
    <row r="73" spans="1:14" x14ac:dyDescent="0.2">
      <c r="B73" s="13"/>
      <c r="L73" s="4"/>
      <c r="M73" s="4"/>
      <c r="N73" s="4"/>
    </row>
    <row r="74" spans="1:14" x14ac:dyDescent="0.2">
      <c r="B74" s="13"/>
      <c r="L74" s="4"/>
      <c r="M74" s="4"/>
      <c r="N74" s="4"/>
    </row>
    <row r="75" spans="1:14" x14ac:dyDescent="0.2">
      <c r="B75" s="13"/>
      <c r="L75" s="4"/>
      <c r="M75" s="4"/>
      <c r="N75" s="4"/>
    </row>
    <row r="76" spans="1:14" x14ac:dyDescent="0.2">
      <c r="L76" s="4"/>
      <c r="M76" s="4"/>
      <c r="N76" s="4"/>
    </row>
    <row r="77" spans="1:14" x14ac:dyDescent="0.2">
      <c r="C77" s="196"/>
      <c r="D77" s="192" t="s">
        <v>27</v>
      </c>
      <c r="L77" s="4"/>
      <c r="M77" s="4"/>
      <c r="N77" s="4"/>
    </row>
    <row r="78" spans="1:14" x14ac:dyDescent="0.2">
      <c r="C78" s="197" t="s">
        <v>17</v>
      </c>
      <c r="D78" s="154">
        <f>G22*G40</f>
        <v>2224313.4994957498</v>
      </c>
      <c r="L78" s="4"/>
      <c r="M78" s="4"/>
      <c r="N78" s="4"/>
    </row>
    <row r="79" spans="1:14" ht="17" thickBot="1" x14ac:dyDescent="0.25">
      <c r="C79" s="197" t="s">
        <v>320</v>
      </c>
      <c r="D79" s="154">
        <f>E69*D55</f>
        <v>1357751.273458445</v>
      </c>
      <c r="L79" s="4"/>
      <c r="M79" s="4"/>
      <c r="N79" s="4"/>
    </row>
    <row r="80" spans="1:14" ht="17" thickBot="1" x14ac:dyDescent="0.25">
      <c r="B80" s="147"/>
      <c r="C80" s="207" t="s">
        <v>321</v>
      </c>
      <c r="D80" s="17">
        <f>D78-D79</f>
        <v>866562.22603730485</v>
      </c>
      <c r="L80" s="4"/>
      <c r="M80" s="4"/>
      <c r="N80" s="4"/>
    </row>
    <row r="81" spans="1:14" x14ac:dyDescent="0.2">
      <c r="L81" s="4"/>
      <c r="M81" s="4"/>
      <c r="N81" s="4"/>
    </row>
    <row r="82" spans="1:14" ht="19" x14ac:dyDescent="0.25">
      <c r="A82" s="2" t="s">
        <v>3</v>
      </c>
      <c r="L82" s="4"/>
      <c r="M82" s="4"/>
      <c r="N82" s="4"/>
    </row>
    <row r="83" spans="1:14" x14ac:dyDescent="0.2">
      <c r="B83" s="94" t="s">
        <v>171</v>
      </c>
      <c r="M83" s="103"/>
    </row>
    <row r="84" spans="1:14" x14ac:dyDescent="0.2">
      <c r="B84" s="94" t="s">
        <v>172</v>
      </c>
      <c r="L84" s="4"/>
      <c r="M84" s="4"/>
      <c r="N84" s="4"/>
    </row>
    <row r="85" spans="1:14" x14ac:dyDescent="0.2">
      <c r="B85" s="94" t="s">
        <v>173</v>
      </c>
      <c r="L85" s="4"/>
      <c r="M85" s="4"/>
      <c r="N85" s="4"/>
    </row>
    <row r="86" spans="1:14" x14ac:dyDescent="0.2">
      <c r="B86" s="16"/>
      <c r="L86" s="4"/>
      <c r="M86" s="4"/>
      <c r="N86" s="4"/>
    </row>
    <row r="87" spans="1:14" ht="19" x14ac:dyDescent="0.25">
      <c r="B87" s="22" t="s">
        <v>153</v>
      </c>
      <c r="L87" s="4"/>
      <c r="M87" s="4"/>
      <c r="N87" s="4"/>
    </row>
    <row r="88" spans="1:14" x14ac:dyDescent="0.2">
      <c r="B88" s="94" t="s">
        <v>174</v>
      </c>
      <c r="L88" s="4"/>
      <c r="M88" s="4"/>
      <c r="N88" s="4"/>
    </row>
    <row r="89" spans="1:14" x14ac:dyDescent="0.2">
      <c r="B89" s="94" t="s">
        <v>175</v>
      </c>
      <c r="L89" s="4"/>
      <c r="M89" s="4"/>
      <c r="N89" s="4"/>
    </row>
    <row r="90" spans="1:14" x14ac:dyDescent="0.2">
      <c r="B90" s="94" t="s">
        <v>176</v>
      </c>
      <c r="L90" s="4"/>
      <c r="M90" s="4"/>
      <c r="N90" s="4"/>
    </row>
    <row r="91" spans="1:14" x14ac:dyDescent="0.2">
      <c r="B91" s="94" t="s">
        <v>180</v>
      </c>
      <c r="L91" s="4"/>
      <c r="M91" s="4"/>
      <c r="N91" s="4"/>
    </row>
    <row r="92" spans="1:14" x14ac:dyDescent="0.2">
      <c r="B92" s="94" t="s">
        <v>181</v>
      </c>
      <c r="L92" s="4"/>
      <c r="M92" s="4"/>
      <c r="N92" s="4"/>
    </row>
    <row r="93" spans="1:14" x14ac:dyDescent="0.2">
      <c r="L93" s="4"/>
      <c r="M93" s="4"/>
      <c r="N93" s="4"/>
    </row>
    <row r="94" spans="1:14" x14ac:dyDescent="0.2">
      <c r="B94" s="94" t="s">
        <v>177</v>
      </c>
      <c r="M94" s="103"/>
    </row>
    <row r="95" spans="1:14" x14ac:dyDescent="0.2">
      <c r="B95" s="94" t="s">
        <v>178</v>
      </c>
      <c r="L95" s="4"/>
      <c r="M95" s="4"/>
      <c r="N95" s="4"/>
    </row>
    <row r="96" spans="1:14" x14ac:dyDescent="0.2">
      <c r="B96" s="94" t="s">
        <v>179</v>
      </c>
      <c r="L96" s="4"/>
      <c r="M96" s="4"/>
      <c r="N96" s="4"/>
    </row>
    <row r="97" spans="1:65" x14ac:dyDescent="0.2">
      <c r="L97" s="4"/>
      <c r="M97" s="4"/>
      <c r="N97" s="4"/>
    </row>
    <row r="98" spans="1:65" ht="19" x14ac:dyDescent="0.25">
      <c r="B98" s="22" t="s">
        <v>154</v>
      </c>
      <c r="L98" s="4"/>
      <c r="M98" s="4"/>
      <c r="N98" s="4"/>
    </row>
    <row r="99" spans="1:65" x14ac:dyDescent="0.2">
      <c r="B99" s="94" t="s">
        <v>155</v>
      </c>
      <c r="L99" s="4"/>
      <c r="M99" s="4"/>
      <c r="N99" s="4"/>
    </row>
    <row r="100" spans="1:65" x14ac:dyDescent="0.2">
      <c r="L100" s="4"/>
      <c r="M100" s="4"/>
      <c r="N100" s="4"/>
    </row>
    <row r="101" spans="1:65" x14ac:dyDescent="0.2">
      <c r="B101" s="94" t="s">
        <v>156</v>
      </c>
      <c r="L101" s="4"/>
      <c r="M101" s="4"/>
      <c r="N101" s="4"/>
    </row>
    <row r="102" spans="1:65" x14ac:dyDescent="0.2">
      <c r="L102" s="4"/>
      <c r="M102" s="4"/>
      <c r="N102" s="4"/>
    </row>
    <row r="103" spans="1:65" x14ac:dyDescent="0.2">
      <c r="L103" s="4"/>
      <c r="M103" s="4"/>
      <c r="N103" s="4"/>
    </row>
    <row r="104" spans="1:65" x14ac:dyDescent="0.2">
      <c r="L104" s="4"/>
      <c r="M104" s="4"/>
      <c r="N104" s="4"/>
    </row>
    <row r="105" spans="1:65" x14ac:dyDescent="0.2">
      <c r="L105" s="4"/>
      <c r="M105" s="4"/>
      <c r="N105" s="4"/>
    </row>
    <row r="106" spans="1:65" x14ac:dyDescent="0.2">
      <c r="C106" s="185" t="s">
        <v>317</v>
      </c>
      <c r="D106" s="187">
        <f>F17/D17*(220/200)</f>
        <v>1.6576862123613314</v>
      </c>
      <c r="E106" s="185" t="s">
        <v>324</v>
      </c>
      <c r="L106" s="4"/>
      <c r="M106" s="4"/>
      <c r="N106" s="4"/>
    </row>
    <row r="107" spans="1:65" x14ac:dyDescent="0.2">
      <c r="L107" s="4"/>
      <c r="M107" s="4"/>
      <c r="N107" s="4"/>
    </row>
    <row r="108" spans="1:65" x14ac:dyDescent="0.2">
      <c r="C108" s="185" t="s">
        <v>322</v>
      </c>
      <c r="D108" s="187">
        <f>D106*H54/H55</f>
        <v>1.2826575067024131</v>
      </c>
      <c r="E108" s="185" t="s">
        <v>323</v>
      </c>
      <c r="L108" s="4"/>
      <c r="M108" s="4"/>
      <c r="N108" s="4"/>
    </row>
    <row r="109" spans="1:65" x14ac:dyDescent="0.2">
      <c r="L109" s="4"/>
      <c r="M109" s="4"/>
      <c r="N109" s="4"/>
    </row>
    <row r="110" spans="1:65" x14ac:dyDescent="0.2">
      <c r="C110" s="196"/>
      <c r="D110" s="192" t="s">
        <v>27</v>
      </c>
      <c r="M110" s="103"/>
    </row>
    <row r="111" spans="1:65" x14ac:dyDescent="0.2">
      <c r="A111" s="4"/>
      <c r="B111" s="4"/>
      <c r="C111" s="197" t="s">
        <v>17</v>
      </c>
      <c r="D111" s="154">
        <f>G22*D106</f>
        <v>2446744.8494453253</v>
      </c>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ht="17" thickBot="1" x14ac:dyDescent="0.25">
      <c r="A112" s="4"/>
      <c r="B112" s="4"/>
      <c r="C112" s="197" t="s">
        <v>320</v>
      </c>
      <c r="D112" s="154">
        <f>E69*D108</f>
        <v>1493526.4008042898</v>
      </c>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ht="17" thickBot="1" x14ac:dyDescent="0.25">
      <c r="A113" s="4"/>
      <c r="B113" s="4"/>
      <c r="C113" s="207" t="s">
        <v>321</v>
      </c>
      <c r="D113" s="17">
        <f>D111-D112</f>
        <v>953218.44864103547</v>
      </c>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ht="19" x14ac:dyDescent="0.25">
      <c r="A115" s="2" t="s">
        <v>125</v>
      </c>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94" t="s">
        <v>157</v>
      </c>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ht="19" x14ac:dyDescent="0.25">
      <c r="A118" s="2" t="s">
        <v>127</v>
      </c>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94" t="s">
        <v>128</v>
      </c>
      <c r="C119" s="4"/>
      <c r="D119" s="94" t="s">
        <v>152</v>
      </c>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sheetData>
  <mergeCells count="11">
    <mergeCell ref="B8:I11"/>
    <mergeCell ref="B32:I33"/>
    <mergeCell ref="D26:D27"/>
    <mergeCell ref="B71:I72"/>
    <mergeCell ref="B60:I61"/>
    <mergeCell ref="B45:I46"/>
    <mergeCell ref="B37:I38"/>
    <mergeCell ref="E63:E64"/>
    <mergeCell ref="D63:D64"/>
    <mergeCell ref="C15:C16"/>
    <mergeCell ref="D15:F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XFD217"/>
  <sheetViews>
    <sheetView showGridLines="0" zoomScale="120" zoomScaleNormal="120" workbookViewId="0"/>
  </sheetViews>
  <sheetFormatPr baseColWidth="10" defaultColWidth="10.83203125" defaultRowHeight="16" x14ac:dyDescent="0.2"/>
  <cols>
    <col min="1" max="1" width="10.83203125" style="94"/>
    <col min="2" max="2" width="10.83203125" style="94" customWidth="1"/>
    <col min="3" max="5" width="10.83203125" style="94"/>
    <col min="6" max="7" width="10.83203125" style="94" customWidth="1"/>
    <col min="8" max="16384" width="10.83203125" style="94"/>
  </cols>
  <sheetData>
    <row r="1" spans="1:10" ht="19" x14ac:dyDescent="0.25">
      <c r="A1" s="1" t="s">
        <v>198</v>
      </c>
      <c r="B1" s="92"/>
      <c r="C1" s="92"/>
      <c r="D1" s="92"/>
      <c r="E1" s="92"/>
      <c r="F1" s="92"/>
      <c r="G1" s="92"/>
      <c r="H1" s="92"/>
      <c r="I1" s="92"/>
      <c r="J1" s="93"/>
    </row>
    <row r="2" spans="1:10" x14ac:dyDescent="0.2">
      <c r="A2" s="5"/>
      <c r="B2" s="92"/>
      <c r="C2" s="92"/>
      <c r="D2" s="92"/>
      <c r="E2" s="92"/>
      <c r="F2" s="92"/>
      <c r="G2" s="92"/>
      <c r="H2" s="92"/>
      <c r="I2" s="92"/>
      <c r="J2" s="93"/>
    </row>
    <row r="3" spans="1:10" x14ac:dyDescent="0.2">
      <c r="A3" s="5"/>
      <c r="B3" s="92" t="s">
        <v>73</v>
      </c>
      <c r="C3" s="92"/>
      <c r="D3" s="92"/>
      <c r="E3" s="92"/>
      <c r="F3" s="92"/>
      <c r="G3" s="92"/>
      <c r="H3" s="92"/>
      <c r="I3" s="92"/>
      <c r="J3" s="93"/>
    </row>
    <row r="4" spans="1:10" x14ac:dyDescent="0.2">
      <c r="A4" s="5"/>
      <c r="B4" s="92" t="s">
        <v>74</v>
      </c>
      <c r="C4" s="92"/>
      <c r="D4" s="92"/>
      <c r="E4" s="92"/>
      <c r="F4" s="92"/>
      <c r="G4" s="92"/>
      <c r="H4" s="92"/>
      <c r="I4" s="92"/>
      <c r="J4" s="93"/>
    </row>
    <row r="5" spans="1:10" x14ac:dyDescent="0.2">
      <c r="A5" s="5"/>
      <c r="B5" s="92"/>
      <c r="C5" s="92"/>
      <c r="D5" s="92"/>
      <c r="E5" s="92"/>
      <c r="F5" s="92"/>
      <c r="G5" s="92"/>
      <c r="H5" s="92"/>
      <c r="I5" s="92"/>
      <c r="J5" s="93"/>
    </row>
    <row r="6" spans="1:10" x14ac:dyDescent="0.2">
      <c r="A6" s="5"/>
      <c r="B6" s="92" t="s">
        <v>75</v>
      </c>
      <c r="C6" s="92"/>
      <c r="D6" s="92"/>
      <c r="E6" s="92"/>
      <c r="F6" s="92"/>
      <c r="G6" s="92"/>
      <c r="H6" s="92"/>
      <c r="I6" s="92"/>
      <c r="J6" s="93"/>
    </row>
    <row r="7" spans="1:10" x14ac:dyDescent="0.2">
      <c r="A7" s="5"/>
      <c r="B7" s="92"/>
      <c r="C7" s="92"/>
      <c r="D7" s="92"/>
      <c r="E7" s="92"/>
      <c r="F7" s="92"/>
      <c r="G7" s="92"/>
      <c r="H7" s="92"/>
      <c r="I7" s="92"/>
      <c r="J7" s="93"/>
    </row>
    <row r="8" spans="1:10" ht="16" customHeight="1" x14ac:dyDescent="0.2">
      <c r="A8" s="5"/>
      <c r="B8" s="92"/>
      <c r="C8" s="270" t="s">
        <v>5</v>
      </c>
      <c r="D8" s="144"/>
      <c r="E8" s="258" t="s">
        <v>29</v>
      </c>
      <c r="F8" s="256" t="s">
        <v>30</v>
      </c>
      <c r="G8" s="254" t="s">
        <v>31</v>
      </c>
      <c r="H8" s="92"/>
      <c r="I8" s="92"/>
      <c r="J8" s="93"/>
    </row>
    <row r="9" spans="1:10" ht="17" x14ac:dyDescent="0.2">
      <c r="A9" s="5"/>
      <c r="B9" s="92"/>
      <c r="C9" s="271"/>
      <c r="D9" s="58" t="s">
        <v>4</v>
      </c>
      <c r="E9" s="259"/>
      <c r="F9" s="257"/>
      <c r="G9" s="255"/>
      <c r="H9" s="92"/>
      <c r="I9" s="92"/>
      <c r="J9" s="93"/>
    </row>
    <row r="10" spans="1:10" x14ac:dyDescent="0.2">
      <c r="A10" s="5"/>
      <c r="B10" s="92"/>
      <c r="C10" s="62">
        <v>500000</v>
      </c>
      <c r="D10" s="62">
        <v>250000</v>
      </c>
      <c r="E10" s="39">
        <v>22883</v>
      </c>
      <c r="F10" s="40">
        <v>228070</v>
      </c>
      <c r="G10" s="41">
        <v>274760</v>
      </c>
      <c r="H10" s="92"/>
      <c r="I10" s="92"/>
      <c r="J10" s="93"/>
    </row>
    <row r="11" spans="1:10" x14ac:dyDescent="0.2">
      <c r="A11" s="5"/>
      <c r="B11" s="92"/>
      <c r="C11" s="63">
        <v>500000</v>
      </c>
      <c r="D11" s="63">
        <v>500000</v>
      </c>
      <c r="E11" s="42">
        <v>28654</v>
      </c>
      <c r="F11" s="6">
        <v>289390</v>
      </c>
      <c r="G11" s="21">
        <v>379790</v>
      </c>
      <c r="H11" s="92"/>
      <c r="I11" s="92"/>
      <c r="J11" s="93"/>
    </row>
    <row r="12" spans="1:10" x14ac:dyDescent="0.2">
      <c r="A12" s="5"/>
      <c r="B12" s="92"/>
      <c r="C12" s="63">
        <v>750000</v>
      </c>
      <c r="D12" s="63">
        <v>250000</v>
      </c>
      <c r="E12" s="42">
        <v>1845</v>
      </c>
      <c r="F12" s="6">
        <v>84475</v>
      </c>
      <c r="G12" s="21">
        <v>117788</v>
      </c>
      <c r="H12" s="92"/>
      <c r="I12" s="92"/>
      <c r="J12" s="93"/>
    </row>
    <row r="13" spans="1:10" x14ac:dyDescent="0.2">
      <c r="A13" s="5"/>
      <c r="B13" s="92"/>
      <c r="C13" s="64">
        <v>750000</v>
      </c>
      <c r="D13" s="64">
        <v>500000</v>
      </c>
      <c r="E13" s="43">
        <v>4257</v>
      </c>
      <c r="F13" s="44">
        <v>138526</v>
      </c>
      <c r="G13" s="45">
        <v>211852</v>
      </c>
      <c r="H13" s="92"/>
      <c r="I13" s="92"/>
      <c r="J13" s="93"/>
    </row>
    <row r="14" spans="1:10" x14ac:dyDescent="0.2">
      <c r="A14" s="5"/>
      <c r="B14" s="92"/>
      <c r="C14" s="92"/>
      <c r="D14" s="92"/>
      <c r="E14" s="92"/>
      <c r="F14" s="92"/>
      <c r="G14" s="92"/>
      <c r="H14" s="92"/>
      <c r="I14" s="92"/>
      <c r="J14" s="93"/>
    </row>
    <row r="15" spans="1:10" x14ac:dyDescent="0.2">
      <c r="A15" s="5"/>
      <c r="B15" s="95" t="s">
        <v>210</v>
      </c>
      <c r="C15" s="92"/>
      <c r="D15" s="92"/>
      <c r="E15" s="92"/>
      <c r="F15" s="96"/>
      <c r="G15" s="92"/>
      <c r="H15" s="92"/>
      <c r="I15" s="92"/>
      <c r="J15" s="93"/>
    </row>
    <row r="16" spans="1:10" x14ac:dyDescent="0.2">
      <c r="A16" s="5"/>
      <c r="B16" s="92"/>
      <c r="C16" s="92"/>
      <c r="D16" s="92"/>
      <c r="E16" s="92"/>
      <c r="F16" s="92"/>
      <c r="G16" s="92"/>
      <c r="H16" s="92"/>
      <c r="I16" s="92"/>
      <c r="J16" s="93"/>
    </row>
    <row r="17" spans="1:10" ht="16" customHeight="1" x14ac:dyDescent="0.2">
      <c r="A17" s="5"/>
      <c r="B17" s="92"/>
      <c r="C17" s="145"/>
      <c r="D17" s="120"/>
      <c r="E17" s="144"/>
      <c r="F17" s="254" t="s">
        <v>76</v>
      </c>
      <c r="G17" s="92"/>
      <c r="H17" s="92"/>
      <c r="I17" s="92"/>
      <c r="J17" s="93"/>
    </row>
    <row r="18" spans="1:10" ht="16" customHeight="1" x14ac:dyDescent="0.2">
      <c r="A18" s="5"/>
      <c r="B18" s="92"/>
      <c r="C18" s="146"/>
      <c r="D18" s="272" t="s">
        <v>5</v>
      </c>
      <c r="E18" s="92"/>
      <c r="F18" s="273"/>
      <c r="G18" s="92"/>
      <c r="H18" s="92"/>
      <c r="I18" s="92"/>
      <c r="J18" s="93"/>
    </row>
    <row r="19" spans="1:10" ht="17" x14ac:dyDescent="0.2">
      <c r="A19" s="5"/>
      <c r="B19" s="92"/>
      <c r="C19" s="59" t="s">
        <v>32</v>
      </c>
      <c r="D19" s="259"/>
      <c r="E19" s="60" t="s">
        <v>4</v>
      </c>
      <c r="F19" s="255"/>
      <c r="G19" s="92"/>
      <c r="H19" s="92"/>
      <c r="I19" s="92"/>
      <c r="J19" s="93"/>
    </row>
    <row r="20" spans="1:10" ht="17" x14ac:dyDescent="0.2">
      <c r="A20" s="5"/>
      <c r="B20" s="92"/>
      <c r="C20" s="65" t="s">
        <v>33</v>
      </c>
      <c r="D20" s="39">
        <v>500000</v>
      </c>
      <c r="E20" s="40">
        <v>250000</v>
      </c>
      <c r="F20" s="41">
        <v>563000</v>
      </c>
      <c r="G20" s="92"/>
      <c r="H20" s="92"/>
      <c r="I20" s="92"/>
      <c r="J20" s="93"/>
    </row>
    <row r="21" spans="1:10" ht="17" x14ac:dyDescent="0.2">
      <c r="A21" s="5"/>
      <c r="B21" s="92"/>
      <c r="C21" s="66" t="s">
        <v>34</v>
      </c>
      <c r="D21" s="42">
        <v>500000</v>
      </c>
      <c r="E21" s="6">
        <v>500000</v>
      </c>
      <c r="F21" s="21">
        <v>479600</v>
      </c>
      <c r="G21" s="92"/>
      <c r="H21" s="92"/>
      <c r="I21" s="92"/>
      <c r="J21" s="93"/>
    </row>
    <row r="22" spans="1:10" ht="17" x14ac:dyDescent="0.2">
      <c r="A22" s="5"/>
      <c r="B22" s="92"/>
      <c r="C22" s="67" t="s">
        <v>35</v>
      </c>
      <c r="D22" s="43">
        <v>750000</v>
      </c>
      <c r="E22" s="44">
        <v>500000</v>
      </c>
      <c r="F22" s="45">
        <v>884000</v>
      </c>
      <c r="G22" s="92"/>
      <c r="H22" s="92"/>
      <c r="I22" s="92"/>
      <c r="J22" s="93"/>
    </row>
    <row r="23" spans="1:10" x14ac:dyDescent="0.2">
      <c r="A23" s="5"/>
      <c r="B23" s="92"/>
      <c r="C23" s="92"/>
      <c r="D23" s="92"/>
      <c r="E23" s="92"/>
      <c r="F23" s="92"/>
      <c r="G23" s="92"/>
      <c r="H23" s="92"/>
      <c r="I23" s="92"/>
      <c r="J23" s="93"/>
    </row>
    <row r="24" spans="1:10" x14ac:dyDescent="0.2">
      <c r="A24" s="5"/>
      <c r="B24" s="92" t="s">
        <v>36</v>
      </c>
      <c r="C24" s="92"/>
      <c r="D24" s="92"/>
      <c r="E24" s="92"/>
      <c r="F24" s="92"/>
      <c r="G24" s="92"/>
      <c r="H24" s="92"/>
      <c r="I24" s="92"/>
      <c r="J24" s="93"/>
    </row>
    <row r="25" spans="1:10" x14ac:dyDescent="0.2">
      <c r="A25" s="5"/>
      <c r="B25" s="92" t="s">
        <v>28</v>
      </c>
      <c r="C25" s="92"/>
      <c r="D25" s="92"/>
      <c r="E25" s="92"/>
      <c r="F25" s="92"/>
      <c r="G25" s="92"/>
      <c r="H25" s="92"/>
      <c r="I25" s="92"/>
      <c r="J25" s="93"/>
    </row>
    <row r="26" spans="1:10" ht="17" thickBot="1" x14ac:dyDescent="0.25">
      <c r="A26" s="98"/>
      <c r="B26" s="99"/>
      <c r="C26" s="100"/>
      <c r="D26" s="100"/>
      <c r="E26" s="100"/>
      <c r="F26" s="99"/>
      <c r="G26" s="99"/>
      <c r="H26" s="99"/>
      <c r="I26" s="99"/>
      <c r="J26" s="101"/>
    </row>
    <row r="28" spans="1:10" ht="19" x14ac:dyDescent="0.25">
      <c r="A28" s="2" t="s">
        <v>3</v>
      </c>
    </row>
    <row r="29" spans="1:10" x14ac:dyDescent="0.2">
      <c r="A29" s="102" t="s">
        <v>189</v>
      </c>
      <c r="B29" s="13" t="s">
        <v>262</v>
      </c>
    </row>
    <row r="30" spans="1:10" x14ac:dyDescent="0.2">
      <c r="A30" s="102"/>
      <c r="B30" s="13"/>
    </row>
    <row r="31" spans="1:10" x14ac:dyDescent="0.2">
      <c r="A31" s="102"/>
      <c r="B31" s="13"/>
    </row>
    <row r="32" spans="1:10" ht="16" customHeight="1" x14ac:dyDescent="0.2">
      <c r="A32" s="102"/>
      <c r="B32" s="13"/>
    </row>
    <row r="33" spans="1:9" ht="16" customHeight="1" x14ac:dyDescent="0.25">
      <c r="A33" s="2"/>
    </row>
    <row r="34" spans="1:9" ht="16" customHeight="1" x14ac:dyDescent="0.25">
      <c r="A34" s="2"/>
      <c r="C34" s="268" t="s">
        <v>32</v>
      </c>
      <c r="D34" s="265" t="s">
        <v>37</v>
      </c>
      <c r="E34" s="268" t="s">
        <v>4</v>
      </c>
      <c r="F34" s="29" t="s">
        <v>38</v>
      </c>
    </row>
    <row r="35" spans="1:9" ht="16" customHeight="1" x14ac:dyDescent="0.25">
      <c r="A35" s="2"/>
      <c r="C35" s="269"/>
      <c r="D35" s="266"/>
      <c r="E35" s="269"/>
      <c r="F35" s="8" t="s">
        <v>40</v>
      </c>
    </row>
    <row r="36" spans="1:9" ht="16" customHeight="1" x14ac:dyDescent="0.25">
      <c r="A36" s="2"/>
      <c r="C36" s="11" t="s">
        <v>33</v>
      </c>
      <c r="D36" s="12">
        <f t="shared" ref="D36:E38" si="0">D20</f>
        <v>500000</v>
      </c>
      <c r="E36" s="26">
        <f t="shared" si="0"/>
        <v>250000</v>
      </c>
      <c r="F36" s="12">
        <f>MAX(F20-D20,0)</f>
        <v>63000</v>
      </c>
    </row>
    <row r="37" spans="1:9" ht="16" customHeight="1" x14ac:dyDescent="0.25">
      <c r="A37" s="2"/>
      <c r="C37" s="11" t="s">
        <v>34</v>
      </c>
      <c r="D37" s="12">
        <f t="shared" si="0"/>
        <v>500000</v>
      </c>
      <c r="E37" s="26">
        <f t="shared" si="0"/>
        <v>500000</v>
      </c>
      <c r="F37" s="12">
        <f>MAX(F21-D21,0)</f>
        <v>0</v>
      </c>
    </row>
    <row r="38" spans="1:9" ht="16" customHeight="1" x14ac:dyDescent="0.25">
      <c r="A38" s="2"/>
      <c r="C38" s="27" t="s">
        <v>35</v>
      </c>
      <c r="D38" s="28">
        <f t="shared" si="0"/>
        <v>750000</v>
      </c>
      <c r="E38" s="221">
        <f t="shared" si="0"/>
        <v>500000</v>
      </c>
      <c r="F38" s="28">
        <f>MAX(F22-D22,0)</f>
        <v>134000</v>
      </c>
    </row>
    <row r="39" spans="1:9" ht="16" customHeight="1" x14ac:dyDescent="0.2">
      <c r="A39" s="3"/>
      <c r="C39" s="149" t="s">
        <v>220</v>
      </c>
      <c r="E39" s="105"/>
      <c r="F39" s="106">
        <f>SUM(F36:F38)</f>
        <v>197000</v>
      </c>
    </row>
    <row r="40" spans="1:9" ht="16" customHeight="1" x14ac:dyDescent="0.2">
      <c r="A40" s="3"/>
      <c r="C40" s="108"/>
    </row>
    <row r="41" spans="1:9" ht="16" customHeight="1" x14ac:dyDescent="0.2">
      <c r="A41" s="3"/>
      <c r="B41" s="13" t="s">
        <v>261</v>
      </c>
    </row>
    <row r="42" spans="1:9" ht="16" customHeight="1" x14ac:dyDescent="0.2">
      <c r="B42" s="185" t="s">
        <v>285</v>
      </c>
    </row>
    <row r="43" spans="1:9" ht="16" customHeight="1" x14ac:dyDescent="0.2"/>
    <row r="44" spans="1:9" ht="16" customHeight="1" x14ac:dyDescent="0.2">
      <c r="A44" s="102" t="s">
        <v>201</v>
      </c>
      <c r="B44" s="240" t="s">
        <v>326</v>
      </c>
      <c r="C44" s="240"/>
      <c r="D44" s="240"/>
      <c r="E44" s="240"/>
      <c r="F44" s="240"/>
      <c r="G44" s="240"/>
      <c r="H44" s="240"/>
      <c r="I44" s="240"/>
    </row>
    <row r="45" spans="1:9" ht="16" customHeight="1" x14ac:dyDescent="0.2">
      <c r="A45" s="102"/>
      <c r="B45" s="240"/>
      <c r="C45" s="240"/>
      <c r="D45" s="240"/>
      <c r="E45" s="240"/>
      <c r="F45" s="240"/>
      <c r="G45" s="240"/>
      <c r="H45" s="240"/>
      <c r="I45" s="240"/>
    </row>
    <row r="46" spans="1:9" ht="16" customHeight="1" x14ac:dyDescent="0.2">
      <c r="A46" s="102"/>
      <c r="B46" s="240"/>
      <c r="C46" s="240"/>
      <c r="D46" s="240"/>
      <c r="E46" s="240"/>
      <c r="F46" s="240"/>
      <c r="G46" s="240"/>
      <c r="H46" s="240"/>
      <c r="I46" s="240"/>
    </row>
    <row r="47" spans="1:9" ht="16" customHeight="1" x14ac:dyDescent="0.2">
      <c r="A47" s="102"/>
      <c r="B47" s="13"/>
    </row>
    <row r="48" spans="1:9" ht="16" customHeight="1" x14ac:dyDescent="0.2">
      <c r="A48" s="102"/>
      <c r="B48" s="13"/>
    </row>
    <row r="49" spans="1:12 16384:16384" ht="16" customHeight="1" x14ac:dyDescent="0.2"/>
    <row r="50" spans="1:12 16384:16384" ht="16" customHeight="1" x14ac:dyDescent="0.2"/>
    <row r="51" spans="1:12 16384:16384" ht="16" customHeight="1" x14ac:dyDescent="0.2"/>
    <row r="52" spans="1:12 16384:16384" ht="16" customHeight="1" x14ac:dyDescent="0.2">
      <c r="C52" s="268" t="s">
        <v>32</v>
      </c>
      <c r="D52" s="265" t="s">
        <v>327</v>
      </c>
      <c r="E52" s="265" t="s">
        <v>325</v>
      </c>
    </row>
    <row r="53" spans="1:12 16384:16384" ht="16" customHeight="1" x14ac:dyDescent="0.2">
      <c r="C53" s="269"/>
      <c r="D53" s="266"/>
      <c r="E53" s="266"/>
    </row>
    <row r="54" spans="1:12 16384:16384" ht="17" x14ac:dyDescent="0.2">
      <c r="C54" s="11" t="s">
        <v>33</v>
      </c>
      <c r="D54" s="18">
        <f>G10/F10</f>
        <v>1.2047178497829614</v>
      </c>
      <c r="E54" s="12">
        <f>G10</f>
        <v>274760</v>
      </c>
    </row>
    <row r="55" spans="1:12 16384:16384" ht="17" x14ac:dyDescent="0.2">
      <c r="C55" s="11" t="s">
        <v>34</v>
      </c>
      <c r="D55" s="18">
        <f>G11/F11</f>
        <v>1.3123812156605272</v>
      </c>
      <c r="E55" s="12">
        <f>G11</f>
        <v>379790</v>
      </c>
    </row>
    <row r="56" spans="1:12 16384:16384" ht="17" x14ac:dyDescent="0.2">
      <c r="C56" s="27" t="s">
        <v>35</v>
      </c>
      <c r="D56" s="83">
        <f>G13/F13</f>
        <v>1.529330234035488</v>
      </c>
      <c r="E56" s="28">
        <f>G13</f>
        <v>211852</v>
      </c>
    </row>
    <row r="57" spans="1:12 16384:16384" x14ac:dyDescent="0.2">
      <c r="C57" s="149" t="s">
        <v>220</v>
      </c>
    </row>
    <row r="59" spans="1:12 16384:16384" x14ac:dyDescent="0.2">
      <c r="A59" s="102" t="s">
        <v>190</v>
      </c>
      <c r="B59" s="13" t="s">
        <v>263</v>
      </c>
      <c r="L59" s="4"/>
    </row>
    <row r="60" spans="1:12 16384:16384" x14ac:dyDescent="0.2">
      <c r="A60" s="102"/>
      <c r="B60" s="13"/>
      <c r="L60" s="4"/>
    </row>
    <row r="61" spans="1:12 16384:16384" x14ac:dyDescent="0.2">
      <c r="A61" s="102"/>
      <c r="B61" s="13"/>
      <c r="L61" s="4"/>
    </row>
    <row r="62" spans="1:12 16384:16384" x14ac:dyDescent="0.2">
      <c r="A62" s="102"/>
      <c r="B62" s="13"/>
      <c r="L62" s="4"/>
    </row>
    <row r="64" spans="1:12 16384:16384" x14ac:dyDescent="0.2">
      <c r="XFD64" s="148"/>
    </row>
    <row r="65" spans="1:14 16384:16384" x14ac:dyDescent="0.2">
      <c r="XFD65" s="148"/>
    </row>
    <row r="66" spans="1:14 16384:16384" ht="17" customHeight="1" x14ac:dyDescent="0.2">
      <c r="C66" s="7" t="s">
        <v>32</v>
      </c>
      <c r="D66" s="8" t="s">
        <v>39</v>
      </c>
    </row>
    <row r="67" spans="1:14 16384:16384" ht="17" x14ac:dyDescent="0.2">
      <c r="C67" s="11" t="s">
        <v>33</v>
      </c>
      <c r="D67" s="12">
        <f>F36+(1-1/D54)*E54</f>
        <v>109690</v>
      </c>
    </row>
    <row r="68" spans="1:14 16384:16384" ht="17" x14ac:dyDescent="0.2">
      <c r="C68" s="11" t="s">
        <v>34</v>
      </c>
      <c r="D68" s="12">
        <f>F37+(1-1/D55)*E55</f>
        <v>90399.999999999985</v>
      </c>
    </row>
    <row r="69" spans="1:14 16384:16384" ht="17" x14ac:dyDescent="0.2">
      <c r="C69" s="27" t="s">
        <v>35</v>
      </c>
      <c r="D69" s="28">
        <f>F38+(1-1/D56)*E56</f>
        <v>207326</v>
      </c>
    </row>
    <row r="70" spans="1:14 16384:16384" x14ac:dyDescent="0.2">
      <c r="C70" s="149" t="s">
        <v>220</v>
      </c>
      <c r="D70" s="19">
        <f>SUM(D67:D69)</f>
        <v>407416</v>
      </c>
    </row>
    <row r="72" spans="1:14 16384:16384" x14ac:dyDescent="0.2">
      <c r="B72" s="15" t="s">
        <v>328</v>
      </c>
    </row>
    <row r="73" spans="1:14 16384:16384" x14ac:dyDescent="0.2">
      <c r="A73" s="3"/>
      <c r="C73" s="103"/>
    </row>
    <row r="74" spans="1:14 16384:16384" ht="19" x14ac:dyDescent="0.25">
      <c r="A74" s="2" t="s">
        <v>115</v>
      </c>
      <c r="M74" s="103"/>
    </row>
    <row r="75" spans="1:14 16384:16384" x14ac:dyDescent="0.2">
      <c r="B75" s="253" t="s">
        <v>329</v>
      </c>
      <c r="C75" s="242"/>
      <c r="D75" s="242"/>
      <c r="E75" s="242"/>
      <c r="F75" s="242"/>
      <c r="G75" s="242"/>
      <c r="H75" s="242"/>
      <c r="I75" s="242"/>
      <c r="L75" s="4"/>
      <c r="M75" s="4"/>
      <c r="N75" s="4"/>
    </row>
    <row r="76" spans="1:14 16384:16384" x14ac:dyDescent="0.2">
      <c r="B76" s="242"/>
      <c r="C76" s="242"/>
      <c r="D76" s="242"/>
      <c r="E76" s="242"/>
      <c r="F76" s="242"/>
      <c r="G76" s="242"/>
      <c r="H76" s="242"/>
      <c r="I76" s="242"/>
      <c r="L76" s="4"/>
      <c r="M76" s="4"/>
      <c r="N76" s="4"/>
    </row>
    <row r="77" spans="1:14 16384:16384" x14ac:dyDescent="0.2">
      <c r="B77" s="242"/>
      <c r="C77" s="242"/>
      <c r="D77" s="242"/>
      <c r="E77" s="242"/>
      <c r="F77" s="242"/>
      <c r="G77" s="242"/>
      <c r="H77" s="242"/>
      <c r="I77" s="242"/>
      <c r="L77" s="4"/>
      <c r="M77" s="4"/>
      <c r="N77" s="4"/>
    </row>
    <row r="78" spans="1:14 16384:16384" x14ac:dyDescent="0.2">
      <c r="L78" s="4"/>
      <c r="M78" s="4"/>
      <c r="N78" s="4"/>
    </row>
    <row r="79" spans="1:14 16384:16384" ht="19" x14ac:dyDescent="0.25">
      <c r="B79" s="22" t="s">
        <v>158</v>
      </c>
      <c r="L79" s="4"/>
      <c r="M79" s="4"/>
      <c r="N79" s="4"/>
    </row>
    <row r="80" spans="1:14 16384:16384" x14ac:dyDescent="0.2">
      <c r="B80" s="94" t="s">
        <v>159</v>
      </c>
      <c r="L80" s="4"/>
      <c r="M80" s="4"/>
      <c r="N80" s="4"/>
    </row>
    <row r="81" spans="1:14" x14ac:dyDescent="0.2">
      <c r="L81" s="4"/>
      <c r="M81" s="4"/>
      <c r="N81" s="4"/>
    </row>
    <row r="82" spans="1:14" x14ac:dyDescent="0.2">
      <c r="B82" s="13" t="s">
        <v>333</v>
      </c>
      <c r="L82" s="4"/>
      <c r="M82" s="4"/>
      <c r="N82" s="4"/>
    </row>
    <row r="83" spans="1:14" x14ac:dyDescent="0.2">
      <c r="B83" s="147" t="s">
        <v>331</v>
      </c>
      <c r="C83" s="185" t="s">
        <v>332</v>
      </c>
      <c r="M83" s="103"/>
    </row>
    <row r="84" spans="1:14" x14ac:dyDescent="0.2">
      <c r="C84" s="94" t="s">
        <v>182</v>
      </c>
      <c r="L84" s="4"/>
      <c r="M84" s="4"/>
      <c r="N84" s="4"/>
    </row>
    <row r="85" spans="1:14" x14ac:dyDescent="0.2">
      <c r="L85" s="4"/>
      <c r="M85" s="4"/>
      <c r="N85" s="4"/>
    </row>
    <row r="86" spans="1:14" x14ac:dyDescent="0.2">
      <c r="B86" s="13" t="s">
        <v>160</v>
      </c>
      <c r="L86" s="4"/>
      <c r="M86" s="4"/>
      <c r="N86" s="4"/>
    </row>
    <row r="87" spans="1:14" x14ac:dyDescent="0.2">
      <c r="B87" s="147" t="s">
        <v>331</v>
      </c>
      <c r="C87" s="185" t="s">
        <v>330</v>
      </c>
      <c r="L87" s="4"/>
      <c r="M87" s="4"/>
      <c r="N87" s="4"/>
    </row>
    <row r="88" spans="1:14" x14ac:dyDescent="0.2">
      <c r="C88" s="94" t="s">
        <v>183</v>
      </c>
      <c r="L88" s="4"/>
      <c r="M88" s="4"/>
      <c r="N88" s="4"/>
    </row>
    <row r="89" spans="1:14" x14ac:dyDescent="0.2">
      <c r="L89" s="4"/>
      <c r="M89" s="4"/>
      <c r="N89" s="4"/>
    </row>
    <row r="90" spans="1:14" x14ac:dyDescent="0.2">
      <c r="B90" s="185" t="s">
        <v>334</v>
      </c>
      <c r="L90" s="4"/>
      <c r="M90" s="4"/>
      <c r="N90" s="4"/>
    </row>
    <row r="91" spans="1:14" x14ac:dyDescent="0.2">
      <c r="L91" s="4"/>
      <c r="M91" s="4"/>
      <c r="N91" s="4"/>
    </row>
    <row r="92" spans="1:14" ht="19" x14ac:dyDescent="0.25">
      <c r="A92" s="2" t="s">
        <v>125</v>
      </c>
      <c r="L92" s="4"/>
      <c r="M92" s="4"/>
      <c r="N92" s="4"/>
    </row>
    <row r="93" spans="1:14" x14ac:dyDescent="0.2">
      <c r="B93" s="94" t="s">
        <v>161</v>
      </c>
      <c r="L93" s="4"/>
      <c r="M93" s="4"/>
      <c r="N93" s="4"/>
    </row>
    <row r="94" spans="1:14" x14ac:dyDescent="0.2">
      <c r="L94" s="4"/>
      <c r="M94" s="4"/>
      <c r="N94" s="4"/>
    </row>
    <row r="95" spans="1:14" ht="19" x14ac:dyDescent="0.25">
      <c r="A95" s="2" t="s">
        <v>127</v>
      </c>
      <c r="M95" s="103"/>
    </row>
    <row r="96" spans="1:14" x14ac:dyDescent="0.2">
      <c r="B96" s="94" t="s">
        <v>162</v>
      </c>
      <c r="L96" s="4"/>
      <c r="M96" s="4"/>
      <c r="N96" s="4"/>
    </row>
    <row r="97" spans="12:14" x14ac:dyDescent="0.2">
      <c r="L97" s="4"/>
      <c r="M97" s="4"/>
      <c r="N97" s="4"/>
    </row>
    <row r="98" spans="12:14" x14ac:dyDescent="0.2">
      <c r="L98" s="4"/>
      <c r="M98" s="4"/>
      <c r="N98" s="4"/>
    </row>
    <row r="99" spans="12:14" x14ac:dyDescent="0.2">
      <c r="L99" s="4"/>
      <c r="M99" s="4"/>
      <c r="N99" s="4"/>
    </row>
    <row r="100" spans="12:14" x14ac:dyDescent="0.2">
      <c r="L100" s="4"/>
      <c r="M100" s="4"/>
      <c r="N100" s="4"/>
    </row>
    <row r="101" spans="12:14" x14ac:dyDescent="0.2">
      <c r="L101" s="4"/>
      <c r="M101" s="4"/>
      <c r="N101" s="4"/>
    </row>
    <row r="102" spans="12:14" x14ac:dyDescent="0.2">
      <c r="L102" s="4"/>
      <c r="M102" s="4"/>
      <c r="N102" s="4"/>
    </row>
    <row r="103" spans="12:14" x14ac:dyDescent="0.2">
      <c r="L103" s="4"/>
      <c r="M103" s="4"/>
      <c r="N103" s="4"/>
    </row>
    <row r="104" spans="12:14" x14ac:dyDescent="0.2">
      <c r="L104" s="4"/>
      <c r="M104" s="4"/>
      <c r="N104" s="4"/>
    </row>
    <row r="105" spans="12:14" x14ac:dyDescent="0.2">
      <c r="M105" s="103"/>
    </row>
    <row r="106" spans="12:14" x14ac:dyDescent="0.2">
      <c r="L106" s="4"/>
      <c r="M106" s="4"/>
      <c r="N106" s="4"/>
    </row>
    <row r="107" spans="12:14" x14ac:dyDescent="0.2">
      <c r="L107" s="4"/>
      <c r="M107" s="4"/>
      <c r="N107" s="4"/>
    </row>
    <row r="108" spans="12:14" x14ac:dyDescent="0.2">
      <c r="L108" s="4"/>
      <c r="M108" s="4"/>
      <c r="N108" s="4"/>
    </row>
    <row r="109" spans="12:14" x14ac:dyDescent="0.2">
      <c r="L109" s="4"/>
      <c r="M109" s="4"/>
      <c r="N109" s="4"/>
    </row>
    <row r="110" spans="12:14" x14ac:dyDescent="0.2">
      <c r="L110" s="4"/>
      <c r="M110" s="4"/>
      <c r="N110" s="4"/>
    </row>
    <row r="111" spans="12:14" x14ac:dyDescent="0.2">
      <c r="L111" s="4"/>
      <c r="M111" s="4"/>
      <c r="N111" s="4"/>
    </row>
    <row r="112" spans="12:14" x14ac:dyDescent="0.2">
      <c r="L112" s="4"/>
      <c r="M112" s="4"/>
      <c r="N112" s="4"/>
    </row>
    <row r="113" spans="1:65" x14ac:dyDescent="0.2">
      <c r="L113" s="4"/>
      <c r="M113" s="4"/>
      <c r="N113" s="4"/>
    </row>
    <row r="114" spans="1:65" x14ac:dyDescent="0.2">
      <c r="L114" s="4"/>
      <c r="M114" s="4"/>
      <c r="N114" s="4"/>
    </row>
    <row r="115" spans="1:65" x14ac:dyDescent="0.2">
      <c r="M115" s="103"/>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sheetData>
  <mergeCells count="14">
    <mergeCell ref="B44:I46"/>
    <mergeCell ref="C52:C53"/>
    <mergeCell ref="B75:I77"/>
    <mergeCell ref="C8:C9"/>
    <mergeCell ref="D18:D19"/>
    <mergeCell ref="F17:F19"/>
    <mergeCell ref="G8:G9"/>
    <mergeCell ref="F8:F9"/>
    <mergeCell ref="E8:E9"/>
    <mergeCell ref="C34:C35"/>
    <mergeCell ref="D34:D35"/>
    <mergeCell ref="E34:E35"/>
    <mergeCell ref="E52:E53"/>
    <mergeCell ref="D52:D53"/>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M254"/>
  <sheetViews>
    <sheetView showGridLines="0" zoomScale="120" zoomScaleNormal="120" workbookViewId="0"/>
  </sheetViews>
  <sheetFormatPr baseColWidth="10" defaultColWidth="10.83203125" defaultRowHeight="16" x14ac:dyDescent="0.2"/>
  <cols>
    <col min="1" max="1" width="10.83203125" style="94"/>
    <col min="2" max="2" width="10.83203125" style="94" customWidth="1"/>
    <col min="3" max="3" width="10.83203125" style="94"/>
    <col min="4" max="5" width="10.83203125" style="94" customWidth="1"/>
    <col min="6" max="16384" width="10.83203125" style="94"/>
  </cols>
  <sheetData>
    <row r="1" spans="1:10" ht="19" x14ac:dyDescent="0.25">
      <c r="A1" s="1" t="s">
        <v>199</v>
      </c>
      <c r="B1" s="92"/>
      <c r="C1" s="92"/>
      <c r="D1" s="92"/>
      <c r="E1" s="92"/>
      <c r="F1" s="92"/>
      <c r="G1" s="92"/>
      <c r="H1" s="92"/>
      <c r="I1" s="92"/>
      <c r="J1" s="93"/>
    </row>
    <row r="2" spans="1:10" x14ac:dyDescent="0.2">
      <c r="A2" s="109"/>
      <c r="B2" s="92"/>
      <c r="C2" s="92"/>
      <c r="D2" s="92"/>
      <c r="E2" s="92"/>
      <c r="F2" s="92"/>
      <c r="G2" s="92"/>
      <c r="H2" s="92"/>
      <c r="I2" s="92"/>
      <c r="J2" s="93"/>
    </row>
    <row r="3" spans="1:10" x14ac:dyDescent="0.2">
      <c r="A3" s="109"/>
      <c r="B3" s="92" t="s">
        <v>92</v>
      </c>
      <c r="C3" s="92"/>
      <c r="D3" s="92"/>
      <c r="E3" s="92"/>
      <c r="F3" s="92"/>
      <c r="G3" s="92"/>
      <c r="H3" s="92"/>
      <c r="I3" s="92"/>
      <c r="J3" s="93"/>
    </row>
    <row r="4" spans="1:10" x14ac:dyDescent="0.2">
      <c r="A4" s="109"/>
      <c r="B4" s="92" t="s">
        <v>93</v>
      </c>
      <c r="C4" s="92"/>
      <c r="D4" s="92"/>
      <c r="E4" s="92"/>
      <c r="F4" s="92"/>
      <c r="G4" s="92"/>
      <c r="H4" s="92"/>
      <c r="I4" s="92"/>
      <c r="J4" s="93"/>
    </row>
    <row r="5" spans="1:10" x14ac:dyDescent="0.2">
      <c r="A5" s="109"/>
      <c r="B5" s="92"/>
      <c r="C5" s="92"/>
      <c r="D5" s="92"/>
      <c r="E5" s="92"/>
      <c r="F5" s="92"/>
      <c r="G5" s="92"/>
      <c r="H5" s="92"/>
      <c r="I5" s="92"/>
      <c r="J5" s="93"/>
    </row>
    <row r="6" spans="1:10" x14ac:dyDescent="0.2">
      <c r="A6" s="109"/>
      <c r="B6" s="92"/>
      <c r="C6" s="274" t="s">
        <v>55</v>
      </c>
      <c r="D6" s="275"/>
      <c r="E6" s="275"/>
      <c r="F6" s="276"/>
      <c r="G6" s="92"/>
      <c r="H6" s="92"/>
      <c r="I6" s="92"/>
      <c r="J6" s="93"/>
    </row>
    <row r="7" spans="1:10" ht="17" x14ac:dyDescent="0.2">
      <c r="A7" s="109"/>
      <c r="B7" s="92"/>
      <c r="C7" s="110"/>
      <c r="D7" s="111" t="s">
        <v>17</v>
      </c>
      <c r="E7" s="112">
        <v>1000000</v>
      </c>
      <c r="F7" s="113">
        <v>250000</v>
      </c>
      <c r="G7" s="92"/>
      <c r="H7" s="92"/>
      <c r="I7" s="92"/>
      <c r="J7" s="93"/>
    </row>
    <row r="8" spans="1:10" ht="17" x14ac:dyDescent="0.2">
      <c r="A8" s="109"/>
      <c r="B8" s="92"/>
      <c r="C8" s="31" t="s">
        <v>27</v>
      </c>
      <c r="D8" s="114">
        <v>6846.4</v>
      </c>
      <c r="E8" s="115">
        <v>6159.6</v>
      </c>
      <c r="F8" s="116">
        <v>5064.3999999999996</v>
      </c>
      <c r="G8" s="92"/>
      <c r="H8" s="92"/>
      <c r="I8" s="92"/>
      <c r="J8" s="93"/>
    </row>
    <row r="9" spans="1:10" ht="17" x14ac:dyDescent="0.2">
      <c r="A9" s="109"/>
      <c r="B9" s="92"/>
      <c r="C9" s="32" t="s">
        <v>94</v>
      </c>
      <c r="D9" s="117">
        <v>5530.7</v>
      </c>
      <c r="E9" s="118">
        <v>5380.3</v>
      </c>
      <c r="F9" s="119">
        <v>4722.3999999999996</v>
      </c>
      <c r="G9" s="92"/>
      <c r="H9" s="92"/>
      <c r="I9" s="92"/>
      <c r="J9" s="93"/>
    </row>
    <row r="10" spans="1:10" x14ac:dyDescent="0.2">
      <c r="A10" s="109"/>
      <c r="B10" s="92"/>
      <c r="C10" s="92"/>
      <c r="D10" s="92"/>
      <c r="E10" s="92"/>
      <c r="F10" s="92"/>
      <c r="G10" s="92"/>
      <c r="H10" s="92"/>
      <c r="I10" s="92"/>
      <c r="J10" s="93"/>
    </row>
    <row r="11" spans="1:10" x14ac:dyDescent="0.2">
      <c r="A11" s="109"/>
      <c r="B11" s="95" t="s">
        <v>206</v>
      </c>
      <c r="C11" s="92"/>
      <c r="D11" s="92"/>
      <c r="E11" s="92"/>
      <c r="F11" s="92">
        <v>365.2</v>
      </c>
      <c r="G11" s="92"/>
      <c r="H11" s="92"/>
      <c r="I11" s="92"/>
      <c r="J11" s="93"/>
    </row>
    <row r="12" spans="1:10" x14ac:dyDescent="0.2">
      <c r="A12" s="109"/>
      <c r="B12" s="92"/>
      <c r="C12" s="92"/>
      <c r="D12" s="92"/>
      <c r="E12" s="92"/>
      <c r="F12" s="92"/>
      <c r="G12" s="92"/>
      <c r="H12" s="92"/>
      <c r="I12" s="92"/>
      <c r="J12" s="93"/>
    </row>
    <row r="13" spans="1:10" x14ac:dyDescent="0.2">
      <c r="A13" s="109"/>
      <c r="B13" s="92" t="s">
        <v>95</v>
      </c>
      <c r="C13" s="92"/>
      <c r="D13" s="92"/>
      <c r="E13" s="92"/>
      <c r="F13" s="92"/>
      <c r="G13" s="92"/>
      <c r="H13" s="92"/>
      <c r="I13" s="92"/>
      <c r="J13" s="93"/>
    </row>
    <row r="14" spans="1:10" x14ac:dyDescent="0.2">
      <c r="A14" s="109"/>
      <c r="B14" s="95" t="s">
        <v>207</v>
      </c>
      <c r="C14" s="92"/>
      <c r="D14" s="96">
        <v>2500000</v>
      </c>
      <c r="E14" s="92"/>
      <c r="F14" s="92"/>
      <c r="G14" s="92"/>
      <c r="H14" s="92"/>
      <c r="I14" s="92"/>
      <c r="J14" s="93"/>
    </row>
    <row r="15" spans="1:10" x14ac:dyDescent="0.2">
      <c r="A15" s="109"/>
      <c r="B15" s="95" t="s">
        <v>208</v>
      </c>
      <c r="C15" s="92"/>
      <c r="D15" s="96">
        <v>1250000</v>
      </c>
      <c r="E15" s="92"/>
      <c r="F15" s="92"/>
      <c r="G15" s="92"/>
      <c r="H15" s="92"/>
      <c r="I15" s="92"/>
      <c r="J15" s="93"/>
    </row>
    <row r="16" spans="1:10" x14ac:dyDescent="0.2">
      <c r="A16" s="109"/>
      <c r="B16" s="95" t="s">
        <v>209</v>
      </c>
      <c r="C16" s="92"/>
      <c r="D16" s="96">
        <v>250000</v>
      </c>
      <c r="E16" s="92"/>
      <c r="F16" s="92"/>
      <c r="G16" s="92"/>
      <c r="H16" s="92"/>
      <c r="I16" s="92"/>
      <c r="J16" s="93"/>
    </row>
    <row r="17" spans="1:10" x14ac:dyDescent="0.2">
      <c r="A17" s="109"/>
      <c r="B17" s="92"/>
      <c r="C17" s="92"/>
      <c r="D17" s="92"/>
      <c r="E17" s="92"/>
      <c r="F17" s="92"/>
      <c r="G17" s="92"/>
      <c r="H17" s="92"/>
      <c r="I17" s="92"/>
      <c r="J17" s="93"/>
    </row>
    <row r="18" spans="1:10" x14ac:dyDescent="0.2">
      <c r="A18" s="109"/>
      <c r="B18" s="92" t="s">
        <v>96</v>
      </c>
      <c r="C18" s="92"/>
      <c r="D18" s="92"/>
      <c r="E18" s="92"/>
      <c r="F18" s="92"/>
      <c r="G18" s="92"/>
      <c r="H18" s="92"/>
      <c r="I18" s="92"/>
      <c r="J18" s="93"/>
    </row>
    <row r="19" spans="1:10" x14ac:dyDescent="0.2">
      <c r="A19" s="109"/>
      <c r="B19" s="92"/>
      <c r="C19" s="92"/>
      <c r="D19" s="92"/>
      <c r="E19" s="92"/>
      <c r="F19" s="92"/>
      <c r="G19" s="120"/>
      <c r="H19" s="121"/>
      <c r="I19" s="270" t="s">
        <v>102</v>
      </c>
      <c r="J19" s="93"/>
    </row>
    <row r="20" spans="1:10" ht="17" x14ac:dyDescent="0.2">
      <c r="A20" s="109"/>
      <c r="B20" s="122" t="s">
        <v>97</v>
      </c>
      <c r="C20" s="123" t="s">
        <v>98</v>
      </c>
      <c r="D20" s="124" t="s">
        <v>99</v>
      </c>
      <c r="E20" s="125" t="s">
        <v>100</v>
      </c>
      <c r="F20" s="92"/>
      <c r="G20" s="259" t="s">
        <v>106</v>
      </c>
      <c r="H20" s="255"/>
      <c r="I20" s="271"/>
      <c r="J20" s="93"/>
    </row>
    <row r="21" spans="1:10" x14ac:dyDescent="0.2">
      <c r="A21" s="109"/>
      <c r="B21" s="61">
        <v>0.68</v>
      </c>
      <c r="C21" s="126">
        <v>0.375</v>
      </c>
      <c r="D21" s="127">
        <v>0.36899999999999999</v>
      </c>
      <c r="E21" s="128">
        <v>0.36</v>
      </c>
      <c r="F21" s="92"/>
      <c r="G21" s="277" t="s">
        <v>103</v>
      </c>
      <c r="H21" s="254"/>
      <c r="I21" s="61">
        <v>20</v>
      </c>
      <c r="J21" s="93"/>
    </row>
    <row r="22" spans="1:10" x14ac:dyDescent="0.2">
      <c r="A22" s="109"/>
      <c r="B22" s="129">
        <v>0.69</v>
      </c>
      <c r="C22" s="130">
        <v>0.37</v>
      </c>
      <c r="D22" s="131">
        <v>0.36199999999999999</v>
      </c>
      <c r="E22" s="132">
        <v>0.35499999999999998</v>
      </c>
      <c r="F22" s="92"/>
      <c r="G22" s="278" t="s">
        <v>104</v>
      </c>
      <c r="H22" s="273"/>
      <c r="I22" s="129">
        <v>19</v>
      </c>
      <c r="J22" s="93"/>
    </row>
    <row r="23" spans="1:10" x14ac:dyDescent="0.2">
      <c r="A23" s="109"/>
      <c r="B23" s="133">
        <v>0.7</v>
      </c>
      <c r="C23" s="130">
        <v>0.36499999999999999</v>
      </c>
      <c r="D23" s="131">
        <v>0.35699999999999998</v>
      </c>
      <c r="E23" s="132">
        <v>0.34899999999999998</v>
      </c>
      <c r="F23" s="92"/>
      <c r="G23" s="279" t="s">
        <v>105</v>
      </c>
      <c r="H23" s="255"/>
      <c r="I23" s="59">
        <v>18</v>
      </c>
      <c r="J23" s="93"/>
    </row>
    <row r="24" spans="1:10" x14ac:dyDescent="0.2">
      <c r="A24" s="109"/>
      <c r="B24" s="129">
        <v>0.71</v>
      </c>
      <c r="C24" s="130">
        <v>0.35899999999999999</v>
      </c>
      <c r="D24" s="131">
        <v>0.35099999999999998</v>
      </c>
      <c r="E24" s="132">
        <v>0.34300000000000003</v>
      </c>
      <c r="F24" s="92"/>
      <c r="G24" s="92"/>
      <c r="H24" s="92"/>
      <c r="I24" s="92"/>
      <c r="J24" s="93"/>
    </row>
    <row r="25" spans="1:10" x14ac:dyDescent="0.2">
      <c r="A25" s="109"/>
      <c r="B25" s="59">
        <v>0.72</v>
      </c>
      <c r="C25" s="134">
        <v>0.35399999999999998</v>
      </c>
      <c r="D25" s="135">
        <v>0.34599999999999997</v>
      </c>
      <c r="E25" s="136">
        <v>0.33600000000000002</v>
      </c>
      <c r="F25" s="92"/>
      <c r="G25" s="92"/>
      <c r="H25" s="92"/>
      <c r="I25" s="92"/>
      <c r="J25" s="93"/>
    </row>
    <row r="26" spans="1:10" x14ac:dyDescent="0.2">
      <c r="A26" s="109"/>
      <c r="B26" s="92"/>
      <c r="C26" s="92"/>
      <c r="D26" s="92"/>
      <c r="E26" s="92"/>
      <c r="F26" s="92"/>
      <c r="G26" s="92"/>
      <c r="H26" s="92"/>
      <c r="I26" s="92"/>
      <c r="J26" s="93"/>
    </row>
    <row r="27" spans="1:10" x14ac:dyDescent="0.2">
      <c r="A27" s="109"/>
      <c r="B27" s="92"/>
      <c r="C27" s="92"/>
      <c r="D27" s="92"/>
      <c r="E27" s="92"/>
      <c r="F27" s="92"/>
      <c r="G27" s="92"/>
      <c r="H27" s="92"/>
      <c r="I27" s="92"/>
      <c r="J27" s="93"/>
    </row>
    <row r="28" spans="1:10" x14ac:dyDescent="0.2">
      <c r="A28" s="109"/>
      <c r="B28" s="92" t="s">
        <v>107</v>
      </c>
      <c r="C28" s="92"/>
      <c r="D28" s="92"/>
      <c r="E28" s="92"/>
      <c r="F28" s="92"/>
      <c r="G28" s="92"/>
      <c r="H28" s="92"/>
      <c r="I28" s="92"/>
      <c r="J28" s="93"/>
    </row>
    <row r="29" spans="1:10" x14ac:dyDescent="0.2">
      <c r="A29" s="109"/>
      <c r="B29" s="92" t="s">
        <v>108</v>
      </c>
      <c r="C29" s="92"/>
      <c r="D29" s="92"/>
      <c r="E29" s="92"/>
      <c r="F29" s="92"/>
      <c r="G29" s="92"/>
      <c r="H29" s="92"/>
      <c r="I29" s="92"/>
      <c r="J29" s="93"/>
    </row>
    <row r="30" spans="1:10" ht="17" thickBot="1" x14ac:dyDescent="0.25">
      <c r="A30" s="98"/>
      <c r="B30" s="99"/>
      <c r="C30" s="100"/>
      <c r="D30" s="100"/>
      <c r="E30" s="100"/>
      <c r="F30" s="99"/>
      <c r="G30" s="99"/>
      <c r="H30" s="99"/>
      <c r="I30" s="99"/>
      <c r="J30" s="101"/>
    </row>
    <row r="32" spans="1:10" ht="19" x14ac:dyDescent="0.25">
      <c r="A32" s="2" t="s">
        <v>3</v>
      </c>
    </row>
    <row r="33" spans="1:9" x14ac:dyDescent="0.2">
      <c r="A33" s="14" t="s">
        <v>189</v>
      </c>
      <c r="B33" s="13" t="s">
        <v>264</v>
      </c>
      <c r="C33" s="184"/>
      <c r="D33" s="185"/>
      <c r="E33" s="185"/>
      <c r="F33" s="185"/>
      <c r="G33" s="185"/>
      <c r="H33" s="185"/>
      <c r="I33" s="185"/>
    </row>
    <row r="34" spans="1:9" x14ac:dyDescent="0.2">
      <c r="A34" s="14"/>
      <c r="B34" s="185"/>
      <c r="C34" s="185"/>
      <c r="D34" s="185"/>
      <c r="E34" s="185"/>
      <c r="F34" s="185"/>
      <c r="G34" s="185"/>
      <c r="H34" s="185"/>
      <c r="I34" s="185"/>
    </row>
    <row r="35" spans="1:9" x14ac:dyDescent="0.2">
      <c r="A35" s="14"/>
      <c r="B35" s="185"/>
      <c r="C35" s="185"/>
      <c r="D35" s="185"/>
      <c r="E35" s="185"/>
      <c r="F35" s="185"/>
      <c r="G35" s="185"/>
      <c r="H35" s="185"/>
      <c r="I35" s="185"/>
    </row>
    <row r="36" spans="1:9" x14ac:dyDescent="0.2">
      <c r="A36" s="14"/>
      <c r="B36" s="185"/>
      <c r="C36" s="185"/>
      <c r="D36" s="185"/>
      <c r="E36" s="185"/>
      <c r="F36" s="185"/>
      <c r="G36" s="185"/>
      <c r="H36" s="185"/>
      <c r="I36" s="185"/>
    </row>
    <row r="37" spans="1:9" ht="17" x14ac:dyDescent="0.2">
      <c r="A37" s="14"/>
      <c r="B37" s="185"/>
      <c r="C37" s="195"/>
      <c r="D37" s="139" t="s">
        <v>12</v>
      </c>
      <c r="E37" s="139" t="s">
        <v>27</v>
      </c>
      <c r="F37" s="185"/>
      <c r="G37" s="185"/>
      <c r="H37" s="185"/>
      <c r="I37" s="185"/>
    </row>
    <row r="38" spans="1:9" x14ac:dyDescent="0.2">
      <c r="A38" s="14"/>
      <c r="B38" s="185"/>
      <c r="C38" s="201" t="s">
        <v>101</v>
      </c>
      <c r="D38" s="12">
        <f>$F$9*$F$11</f>
        <v>1724620.4799999997</v>
      </c>
      <c r="E38" s="12">
        <f>$F$8*$F$11</f>
        <v>1849518.88</v>
      </c>
      <c r="F38" s="185"/>
      <c r="G38" s="185"/>
      <c r="H38" s="185"/>
      <c r="I38" s="185"/>
    </row>
    <row r="39" spans="1:9" x14ac:dyDescent="0.2">
      <c r="A39" s="14"/>
      <c r="B39" s="185"/>
      <c r="C39" s="185"/>
      <c r="D39" s="185"/>
      <c r="E39" s="185"/>
      <c r="F39" s="185"/>
      <c r="G39" s="185"/>
      <c r="H39" s="185"/>
      <c r="I39" s="185"/>
    </row>
    <row r="40" spans="1:9" ht="16" customHeight="1" x14ac:dyDescent="0.2">
      <c r="A40" s="14" t="s">
        <v>201</v>
      </c>
      <c r="B40" s="198" t="s">
        <v>265</v>
      </c>
      <c r="C40" s="198"/>
      <c r="D40" s="198"/>
      <c r="E40" s="198"/>
      <c r="F40" s="198"/>
      <c r="G40" s="198"/>
      <c r="H40" s="198"/>
      <c r="I40" s="198"/>
    </row>
    <row r="41" spans="1:9" x14ac:dyDescent="0.2">
      <c r="A41" s="14"/>
      <c r="B41" s="185"/>
      <c r="C41" s="185"/>
      <c r="D41" s="185"/>
      <c r="E41" s="185"/>
      <c r="F41" s="185"/>
      <c r="G41" s="185"/>
      <c r="H41" s="185"/>
      <c r="I41" s="185"/>
    </row>
    <row r="42" spans="1:9" x14ac:dyDescent="0.2">
      <c r="A42" s="14"/>
      <c r="B42" s="185"/>
      <c r="C42" s="185"/>
      <c r="D42" s="185"/>
      <c r="F42" s="185"/>
      <c r="G42" s="185"/>
      <c r="H42" s="185"/>
      <c r="I42" s="185"/>
    </row>
    <row r="43" spans="1:9" x14ac:dyDescent="0.2">
      <c r="A43" s="14"/>
      <c r="B43" s="185"/>
      <c r="C43" s="185"/>
      <c r="D43" s="185"/>
      <c r="E43" s="185"/>
      <c r="F43" s="185"/>
      <c r="G43" s="185"/>
      <c r="H43" s="185"/>
      <c r="I43" s="185"/>
    </row>
    <row r="44" spans="1:9" x14ac:dyDescent="0.2">
      <c r="A44" s="14"/>
      <c r="B44" s="185"/>
      <c r="F44" s="185"/>
      <c r="G44" s="185"/>
      <c r="H44" s="185"/>
      <c r="I44" s="185"/>
    </row>
    <row r="45" spans="1:9" ht="17" x14ac:dyDescent="0.2">
      <c r="A45" s="14"/>
      <c r="B45" s="185"/>
      <c r="C45" s="195"/>
      <c r="D45" s="139" t="s">
        <v>12</v>
      </c>
      <c r="E45" s="139" t="s">
        <v>27</v>
      </c>
      <c r="F45" s="185"/>
      <c r="G45" s="185"/>
      <c r="H45" s="185"/>
      <c r="I45" s="185"/>
    </row>
    <row r="46" spans="1:9" x14ac:dyDescent="0.2">
      <c r="A46" s="14"/>
      <c r="B46" s="185"/>
      <c r="C46" s="201" t="s">
        <v>97</v>
      </c>
      <c r="D46" s="142">
        <f>$D$15/D38</f>
        <v>0.72479714493475123</v>
      </c>
      <c r="E46" s="142">
        <f>$D$15/E38</f>
        <v>0.67585144088931937</v>
      </c>
      <c r="F46" s="185"/>
      <c r="G46" s="185"/>
      <c r="H46" s="185"/>
      <c r="I46" s="185"/>
    </row>
    <row r="47" spans="1:9" x14ac:dyDescent="0.2">
      <c r="A47" s="14"/>
      <c r="B47" s="185"/>
      <c r="C47" s="185"/>
      <c r="D47" s="185"/>
      <c r="E47" s="185"/>
      <c r="F47" s="185"/>
      <c r="G47" s="185"/>
      <c r="H47" s="185"/>
      <c r="I47" s="185"/>
    </row>
    <row r="48" spans="1:9" x14ac:dyDescent="0.2">
      <c r="A48" s="14" t="s">
        <v>190</v>
      </c>
      <c r="B48" s="240" t="s">
        <v>266</v>
      </c>
      <c r="C48" s="240"/>
      <c r="D48" s="240"/>
      <c r="E48" s="240"/>
      <c r="F48" s="240"/>
      <c r="G48" s="240"/>
      <c r="H48" s="240"/>
      <c r="I48" s="240"/>
    </row>
    <row r="49" spans="1:9" x14ac:dyDescent="0.2">
      <c r="A49" s="14"/>
      <c r="B49" s="240"/>
      <c r="C49" s="240"/>
      <c r="D49" s="240"/>
      <c r="E49" s="240"/>
      <c r="F49" s="240"/>
      <c r="G49" s="240"/>
      <c r="H49" s="240"/>
      <c r="I49" s="240"/>
    </row>
    <row r="50" spans="1:9" x14ac:dyDescent="0.2">
      <c r="A50" s="14"/>
      <c r="B50" s="185"/>
      <c r="C50" s="185"/>
      <c r="D50" s="185"/>
      <c r="E50" s="185"/>
      <c r="F50" s="185"/>
      <c r="G50" s="185"/>
      <c r="H50" s="185"/>
      <c r="I50" s="185"/>
    </row>
    <row r="51" spans="1:9" x14ac:dyDescent="0.2">
      <c r="A51" s="14"/>
      <c r="B51" s="185"/>
      <c r="C51" s="185"/>
      <c r="D51" s="185"/>
      <c r="E51" s="185"/>
      <c r="F51" s="185"/>
      <c r="G51" s="185"/>
      <c r="H51" s="185"/>
      <c r="I51" s="185"/>
    </row>
    <row r="52" spans="1:9" x14ac:dyDescent="0.2">
      <c r="A52" s="14"/>
      <c r="B52" s="185"/>
      <c r="C52" s="185"/>
      <c r="D52" s="185"/>
      <c r="E52" s="185"/>
      <c r="F52" s="185"/>
      <c r="G52" s="185"/>
      <c r="H52" s="185"/>
      <c r="I52" s="185"/>
    </row>
    <row r="53" spans="1:9" x14ac:dyDescent="0.2">
      <c r="A53" s="14"/>
      <c r="B53" s="185"/>
      <c r="C53" s="185"/>
      <c r="D53" s="185"/>
      <c r="E53" s="185"/>
      <c r="F53" s="185"/>
      <c r="G53" s="185"/>
      <c r="H53" s="185"/>
      <c r="I53" s="185"/>
    </row>
    <row r="54" spans="1:9" ht="17" x14ac:dyDescent="0.2">
      <c r="A54" s="14"/>
      <c r="B54" s="185"/>
      <c r="C54" s="195"/>
      <c r="D54" s="139" t="s">
        <v>12</v>
      </c>
      <c r="E54" s="139" t="s">
        <v>27</v>
      </c>
      <c r="F54" s="185"/>
      <c r="G54" s="185"/>
      <c r="H54" s="185"/>
      <c r="I54" s="185"/>
    </row>
    <row r="55" spans="1:9" x14ac:dyDescent="0.2">
      <c r="A55" s="14"/>
      <c r="B55" s="185"/>
      <c r="C55" s="202" t="s">
        <v>278</v>
      </c>
      <c r="D55" s="142">
        <f>1-$F$9/$D$8</f>
        <v>0.31023603645711617</v>
      </c>
      <c r="E55" s="142">
        <f>1-$F$8/$D$8</f>
        <v>0.26028277634961439</v>
      </c>
      <c r="F55" s="185"/>
      <c r="G55" s="185"/>
      <c r="H55" s="185"/>
      <c r="I55" s="185"/>
    </row>
    <row r="56" spans="1:9" x14ac:dyDescent="0.2">
      <c r="A56" s="14"/>
      <c r="B56" s="185"/>
      <c r="C56" s="185"/>
      <c r="D56" s="185"/>
      <c r="E56" s="185"/>
      <c r="F56" s="185"/>
      <c r="G56" s="185"/>
      <c r="H56" s="185"/>
      <c r="I56" s="185"/>
    </row>
    <row r="57" spans="1:9" ht="16" customHeight="1" x14ac:dyDescent="0.2">
      <c r="A57" s="14" t="s">
        <v>191</v>
      </c>
      <c r="B57" s="198" t="s">
        <v>267</v>
      </c>
      <c r="C57" s="198"/>
      <c r="D57" s="198"/>
      <c r="E57" s="198"/>
      <c r="F57" s="198"/>
      <c r="G57" s="198"/>
      <c r="H57" s="198"/>
      <c r="I57" s="198"/>
    </row>
    <row r="58" spans="1:9" x14ac:dyDescent="0.2">
      <c r="A58" s="14"/>
      <c r="B58" s="185"/>
      <c r="C58" s="185"/>
      <c r="D58" s="185"/>
      <c r="E58" s="185"/>
      <c r="F58" s="185"/>
      <c r="G58" s="185"/>
      <c r="H58" s="185"/>
      <c r="I58" s="185"/>
    </row>
    <row r="59" spans="1:9" x14ac:dyDescent="0.2">
      <c r="A59" s="14"/>
      <c r="B59" s="185"/>
      <c r="C59" s="185"/>
      <c r="D59" s="185"/>
      <c r="E59" s="185"/>
      <c r="F59" s="185"/>
      <c r="G59" s="185"/>
      <c r="H59" s="185"/>
      <c r="I59" s="185"/>
    </row>
    <row r="60" spans="1:9" x14ac:dyDescent="0.2">
      <c r="A60" s="14"/>
      <c r="B60" s="185"/>
      <c r="C60" s="185"/>
      <c r="D60" s="185"/>
      <c r="E60" s="185"/>
      <c r="F60" s="185"/>
      <c r="G60" s="185"/>
      <c r="H60" s="185"/>
      <c r="I60" s="185"/>
    </row>
    <row r="61" spans="1:9" x14ac:dyDescent="0.2">
      <c r="A61" s="14"/>
      <c r="B61" s="185"/>
      <c r="C61" s="185"/>
      <c r="D61" s="185"/>
      <c r="E61" s="185"/>
      <c r="F61" s="185"/>
      <c r="G61" s="185"/>
      <c r="H61" s="185"/>
      <c r="I61" s="185"/>
    </row>
    <row r="62" spans="1:9" ht="17" x14ac:dyDescent="0.2">
      <c r="A62" s="14"/>
      <c r="B62" s="185"/>
      <c r="C62" s="195"/>
      <c r="D62" s="139" t="s">
        <v>12</v>
      </c>
      <c r="E62" s="139" t="s">
        <v>27</v>
      </c>
      <c r="F62" s="185"/>
      <c r="G62" s="185"/>
      <c r="H62" s="185"/>
      <c r="I62" s="185"/>
    </row>
    <row r="63" spans="1:9" x14ac:dyDescent="0.2">
      <c r="A63" s="14"/>
      <c r="B63" s="185"/>
      <c r="C63" s="201" t="s">
        <v>277</v>
      </c>
      <c r="D63" s="18">
        <f>(1+0.8*D55)/(1-D55)</f>
        <v>1.8095883449093682</v>
      </c>
      <c r="E63" s="18">
        <f>(1+0.8*E55)/(1-E55)</f>
        <v>1.6333622936576888</v>
      </c>
      <c r="F63" s="185"/>
      <c r="G63" s="185"/>
      <c r="H63" s="185"/>
      <c r="I63" s="185"/>
    </row>
    <row r="64" spans="1:9" x14ac:dyDescent="0.2">
      <c r="A64" s="14"/>
      <c r="B64" s="185"/>
      <c r="C64" s="185"/>
      <c r="D64" s="185"/>
      <c r="E64" s="185"/>
      <c r="F64" s="185"/>
      <c r="G64" s="185"/>
      <c r="H64" s="185"/>
      <c r="I64" s="185"/>
    </row>
    <row r="65" spans="1:9" ht="16" customHeight="1" x14ac:dyDescent="0.2">
      <c r="A65" s="14" t="s">
        <v>228</v>
      </c>
      <c r="B65" s="240" t="s">
        <v>268</v>
      </c>
      <c r="C65" s="240"/>
      <c r="D65" s="240"/>
      <c r="E65" s="240"/>
      <c r="F65" s="240"/>
      <c r="G65" s="240"/>
      <c r="H65" s="240"/>
      <c r="I65" s="240"/>
    </row>
    <row r="66" spans="1:9" x14ac:dyDescent="0.2">
      <c r="A66" s="14"/>
      <c r="B66" s="240"/>
      <c r="C66" s="240"/>
      <c r="D66" s="240"/>
      <c r="E66" s="240"/>
      <c r="F66" s="240"/>
      <c r="G66" s="240"/>
      <c r="H66" s="240"/>
      <c r="I66" s="240"/>
    </row>
    <row r="67" spans="1:9" x14ac:dyDescent="0.2">
      <c r="A67" s="14"/>
      <c r="B67" s="240"/>
      <c r="C67" s="240"/>
      <c r="D67" s="240"/>
      <c r="E67" s="240"/>
      <c r="F67" s="240"/>
      <c r="G67" s="240"/>
      <c r="H67" s="240"/>
      <c r="I67" s="240"/>
    </row>
    <row r="68" spans="1:9" x14ac:dyDescent="0.2">
      <c r="A68" s="14"/>
      <c r="B68" s="185"/>
      <c r="C68" s="185"/>
      <c r="D68" s="185"/>
      <c r="E68" s="185"/>
      <c r="F68" s="185"/>
      <c r="G68" s="185"/>
      <c r="H68" s="185"/>
      <c r="I68" s="185"/>
    </row>
    <row r="69" spans="1:9" x14ac:dyDescent="0.2">
      <c r="A69" s="14"/>
      <c r="B69" s="185"/>
      <c r="C69" s="185"/>
      <c r="D69" s="185"/>
      <c r="E69" s="185"/>
      <c r="F69" s="185"/>
      <c r="G69" s="185"/>
      <c r="H69" s="185"/>
      <c r="I69" s="185"/>
    </row>
    <row r="70" spans="1:9" x14ac:dyDescent="0.2">
      <c r="A70" s="14"/>
      <c r="B70" s="185"/>
      <c r="C70" s="185"/>
      <c r="D70" s="185"/>
      <c r="E70" s="185"/>
      <c r="F70" s="185"/>
      <c r="G70" s="185"/>
      <c r="H70" s="185"/>
      <c r="I70" s="185"/>
    </row>
    <row r="71" spans="1:9" x14ac:dyDescent="0.2">
      <c r="A71" s="14"/>
      <c r="B71" s="185"/>
      <c r="C71" s="185"/>
      <c r="D71" s="185"/>
      <c r="E71" s="185"/>
      <c r="F71" s="185"/>
      <c r="G71" s="185"/>
      <c r="H71" s="185"/>
      <c r="I71" s="185"/>
    </row>
    <row r="72" spans="1:9" ht="17" x14ac:dyDescent="0.2">
      <c r="A72" s="14"/>
      <c r="B72" s="185"/>
      <c r="C72" s="195"/>
      <c r="D72" s="139" t="s">
        <v>12</v>
      </c>
      <c r="E72" s="139" t="s">
        <v>27</v>
      </c>
      <c r="F72" s="185"/>
      <c r="G72" s="185"/>
      <c r="H72" s="185"/>
      <c r="I72" s="185"/>
    </row>
    <row r="73" spans="1:9" x14ac:dyDescent="0.2">
      <c r="A73" s="14"/>
      <c r="B73" s="185"/>
      <c r="C73" s="202" t="s">
        <v>276</v>
      </c>
      <c r="D73" s="12">
        <f>$D$14*D63</f>
        <v>4523970.8622734202</v>
      </c>
      <c r="E73" s="12">
        <f>$D$14*E63</f>
        <v>4083405.734144222</v>
      </c>
      <c r="F73" s="185"/>
      <c r="G73" s="185"/>
      <c r="H73" s="185"/>
      <c r="I73" s="185"/>
    </row>
    <row r="74" spans="1:9" x14ac:dyDescent="0.2">
      <c r="A74" s="14"/>
      <c r="B74" s="185"/>
      <c r="C74" s="197" t="s">
        <v>274</v>
      </c>
      <c r="D74" s="12">
        <f>I22</f>
        <v>19</v>
      </c>
      <c r="E74" s="12">
        <f>I21</f>
        <v>20</v>
      </c>
      <c r="F74" s="185"/>
      <c r="G74" s="185"/>
      <c r="H74" s="185"/>
      <c r="I74" s="185"/>
    </row>
    <row r="75" spans="1:9" x14ac:dyDescent="0.2">
      <c r="A75" s="14"/>
      <c r="B75" s="185"/>
      <c r="C75" s="185"/>
      <c r="D75" s="185"/>
      <c r="E75" s="185"/>
      <c r="F75" s="185"/>
      <c r="G75" s="185"/>
      <c r="H75" s="185"/>
      <c r="I75" s="185"/>
    </row>
    <row r="76" spans="1:9" ht="16" customHeight="1" x14ac:dyDescent="0.2">
      <c r="A76" s="14" t="s">
        <v>229</v>
      </c>
      <c r="B76" s="240" t="s">
        <v>269</v>
      </c>
      <c r="C76" s="240"/>
      <c r="D76" s="240"/>
      <c r="E76" s="240"/>
      <c r="F76" s="240"/>
      <c r="G76" s="240"/>
      <c r="H76" s="240"/>
      <c r="I76" s="240"/>
    </row>
    <row r="77" spans="1:9" ht="16" customHeight="1" x14ac:dyDescent="0.2">
      <c r="A77" s="14"/>
      <c r="B77" s="240"/>
      <c r="C77" s="240"/>
      <c r="D77" s="240"/>
      <c r="E77" s="240"/>
      <c r="F77" s="240"/>
      <c r="G77" s="240"/>
      <c r="H77" s="240"/>
      <c r="I77" s="240"/>
    </row>
    <row r="78" spans="1:9" ht="16" customHeight="1" x14ac:dyDescent="0.2">
      <c r="A78" s="14"/>
      <c r="B78" s="185"/>
      <c r="C78" s="185"/>
      <c r="D78" s="185"/>
      <c r="E78" s="185"/>
      <c r="F78" s="185"/>
      <c r="G78" s="185"/>
      <c r="H78" s="185"/>
      <c r="I78" s="185"/>
    </row>
    <row r="79" spans="1:9" ht="16" customHeight="1" x14ac:dyDescent="0.2">
      <c r="C79" s="195"/>
      <c r="D79" s="139" t="s">
        <v>12</v>
      </c>
      <c r="E79" s="139" t="s">
        <v>27</v>
      </c>
    </row>
    <row r="80" spans="1:9" ht="16" customHeight="1" x14ac:dyDescent="0.2">
      <c r="C80" s="202" t="s">
        <v>275</v>
      </c>
      <c r="D80" s="18">
        <f>E25</f>
        <v>0.33600000000000002</v>
      </c>
      <c r="E80" s="18">
        <f>D21</f>
        <v>0.36899999999999999</v>
      </c>
    </row>
    <row r="81" spans="1:13" ht="16" customHeight="1" x14ac:dyDescent="0.2"/>
    <row r="82" spans="1:13" s="185" customFormat="1" x14ac:dyDescent="0.2">
      <c r="A82" s="14" t="s">
        <v>270</v>
      </c>
      <c r="B82" s="13" t="s">
        <v>272</v>
      </c>
      <c r="C82" s="184"/>
    </row>
    <row r="83" spans="1:13" s="185" customFormat="1" x14ac:dyDescent="0.2">
      <c r="A83" s="14"/>
      <c r="L83" s="4"/>
    </row>
    <row r="84" spans="1:13" s="185" customFormat="1" x14ac:dyDescent="0.2">
      <c r="A84" s="14"/>
      <c r="L84" s="4"/>
    </row>
    <row r="85" spans="1:13" s="185" customFormat="1" x14ac:dyDescent="0.2">
      <c r="A85" s="14"/>
      <c r="L85" s="4"/>
    </row>
    <row r="86" spans="1:13" s="185" customFormat="1" ht="17" x14ac:dyDescent="0.2">
      <c r="A86" s="14"/>
      <c r="C86" s="195"/>
      <c r="D86" s="139" t="s">
        <v>12</v>
      </c>
      <c r="E86" s="139" t="s">
        <v>27</v>
      </c>
      <c r="L86" s="4"/>
    </row>
    <row r="87" spans="1:13" x14ac:dyDescent="0.2">
      <c r="C87" s="202" t="s">
        <v>112</v>
      </c>
      <c r="D87" s="12">
        <f>D80*D38</f>
        <v>579472.48127999995</v>
      </c>
      <c r="E87" s="12">
        <f>E80*E38</f>
        <v>682472.46671999991</v>
      </c>
      <c r="L87" s="4"/>
    </row>
    <row r="88" spans="1:13" x14ac:dyDescent="0.2">
      <c r="L88" s="4"/>
    </row>
    <row r="89" spans="1:13" x14ac:dyDescent="0.2">
      <c r="L89" s="4"/>
    </row>
    <row r="90" spans="1:13" x14ac:dyDescent="0.2">
      <c r="C90" s="244" t="s">
        <v>273</v>
      </c>
      <c r="D90" s="244"/>
      <c r="E90" s="244"/>
      <c r="F90" s="244"/>
      <c r="M90" s="4"/>
    </row>
    <row r="91" spans="1:13" ht="17" x14ac:dyDescent="0.2">
      <c r="C91" s="137"/>
      <c r="D91" s="138"/>
      <c r="E91" s="139" t="s">
        <v>12</v>
      </c>
      <c r="F91" s="139" t="s">
        <v>27</v>
      </c>
      <c r="M91" s="4"/>
    </row>
    <row r="92" spans="1:13" x14ac:dyDescent="0.2">
      <c r="D92" s="140" t="s">
        <v>101</v>
      </c>
      <c r="E92" s="106">
        <f>D38</f>
        <v>1724620.4799999997</v>
      </c>
      <c r="F92" s="106">
        <f>E38</f>
        <v>1849518.88</v>
      </c>
      <c r="M92" s="4"/>
    </row>
    <row r="93" spans="1:13" x14ac:dyDescent="0.2">
      <c r="D93" s="140" t="s">
        <v>97</v>
      </c>
      <c r="E93" s="203">
        <f>D46</f>
        <v>0.72479714493475123</v>
      </c>
      <c r="F93" s="203">
        <f>E46</f>
        <v>0.67585144088931937</v>
      </c>
      <c r="M93" s="4"/>
    </row>
    <row r="94" spans="1:13" x14ac:dyDescent="0.2">
      <c r="D94" s="140" t="s">
        <v>109</v>
      </c>
      <c r="E94" s="203">
        <f>D55</f>
        <v>0.31023603645711617</v>
      </c>
      <c r="F94" s="203">
        <f>E55</f>
        <v>0.26028277634961439</v>
      </c>
      <c r="M94" s="4"/>
    </row>
    <row r="95" spans="1:13" x14ac:dyDescent="0.2">
      <c r="D95" s="140" t="s">
        <v>110</v>
      </c>
      <c r="E95" s="187">
        <f>D63</f>
        <v>1.8095883449093682</v>
      </c>
      <c r="F95" s="187">
        <f>E63</f>
        <v>1.6333622936576888</v>
      </c>
      <c r="M95" s="4"/>
    </row>
    <row r="96" spans="1:13" x14ac:dyDescent="0.2">
      <c r="B96" s="3"/>
      <c r="D96" s="140" t="s">
        <v>106</v>
      </c>
      <c r="E96" s="106">
        <f>D73</f>
        <v>4523970.8622734202</v>
      </c>
      <c r="F96" s="106">
        <f>E73</f>
        <v>4083405.734144222</v>
      </c>
    </row>
    <row r="97" spans="1:14" x14ac:dyDescent="0.2">
      <c r="D97" s="140" t="s">
        <v>102</v>
      </c>
      <c r="E97" s="12">
        <f>D74</f>
        <v>19</v>
      </c>
      <c r="F97" s="12">
        <f>E74</f>
        <v>20</v>
      </c>
    </row>
    <row r="98" spans="1:14" x14ac:dyDescent="0.2">
      <c r="D98" s="140" t="s">
        <v>111</v>
      </c>
      <c r="E98" s="187">
        <f>D80</f>
        <v>0.33600000000000002</v>
      </c>
      <c r="F98" s="187">
        <f>E80</f>
        <v>0.36899999999999999</v>
      </c>
    </row>
    <row r="99" spans="1:14" x14ac:dyDescent="0.2">
      <c r="D99" s="140" t="s">
        <v>112</v>
      </c>
      <c r="E99" s="106">
        <f>D87</f>
        <v>579472.48127999995</v>
      </c>
      <c r="F99" s="106">
        <f>E87</f>
        <v>682472.46671999991</v>
      </c>
    </row>
    <row r="100" spans="1:14" s="185" customFormat="1" x14ac:dyDescent="0.2">
      <c r="A100" s="14"/>
      <c r="L100" s="4"/>
    </row>
    <row r="101" spans="1:14" s="185" customFormat="1" x14ac:dyDescent="0.2">
      <c r="A101" s="14" t="s">
        <v>271</v>
      </c>
      <c r="B101" s="240" t="s">
        <v>114</v>
      </c>
      <c r="C101" s="240"/>
      <c r="D101" s="240"/>
      <c r="E101" s="240"/>
      <c r="F101" s="240"/>
      <c r="G101" s="240"/>
      <c r="H101" s="240"/>
      <c r="I101" s="240"/>
    </row>
    <row r="102" spans="1:14" s="185" customFormat="1" x14ac:dyDescent="0.2">
      <c r="A102" s="14"/>
      <c r="B102" s="240"/>
      <c r="C102" s="240"/>
      <c r="D102" s="240"/>
      <c r="E102" s="240"/>
      <c r="F102" s="240"/>
      <c r="G102" s="240"/>
      <c r="H102" s="240"/>
      <c r="I102" s="240"/>
      <c r="L102" s="4"/>
    </row>
    <row r="103" spans="1:14" s="185" customFormat="1" x14ac:dyDescent="0.2">
      <c r="A103" s="14"/>
      <c r="L103" s="4"/>
    </row>
    <row r="104" spans="1:14" s="185" customFormat="1" x14ac:dyDescent="0.2">
      <c r="A104" s="14"/>
      <c r="L104" s="4"/>
    </row>
    <row r="105" spans="1:14" s="185" customFormat="1" ht="17" thickBot="1" x14ac:dyDescent="0.25">
      <c r="A105" s="14"/>
      <c r="L105" s="4"/>
    </row>
    <row r="106" spans="1:14" ht="17" thickBot="1" x14ac:dyDescent="0.25">
      <c r="E106" s="200" t="s">
        <v>113</v>
      </c>
      <c r="F106" s="181">
        <f>F99-E99</f>
        <v>102999.98543999996</v>
      </c>
    </row>
    <row r="108" spans="1:14" ht="19" x14ac:dyDescent="0.25">
      <c r="A108" s="2" t="s">
        <v>115</v>
      </c>
    </row>
    <row r="109" spans="1:14" x14ac:dyDescent="0.2">
      <c r="A109" s="3"/>
      <c r="B109" s="253" t="s">
        <v>335</v>
      </c>
      <c r="C109" s="242"/>
      <c r="D109" s="242"/>
      <c r="E109" s="242"/>
      <c r="F109" s="242"/>
      <c r="G109" s="242"/>
      <c r="H109" s="242"/>
      <c r="I109" s="242"/>
    </row>
    <row r="110" spans="1:14" x14ac:dyDescent="0.2">
      <c r="B110" s="242"/>
      <c r="C110" s="242"/>
      <c r="D110" s="242"/>
      <c r="E110" s="242"/>
      <c r="F110" s="242"/>
      <c r="G110" s="242"/>
      <c r="H110" s="242"/>
      <c r="I110" s="242"/>
      <c r="M110" s="103"/>
    </row>
    <row r="111" spans="1:14" x14ac:dyDescent="0.2">
      <c r="B111" s="242"/>
      <c r="C111" s="242"/>
      <c r="D111" s="242"/>
      <c r="E111" s="242"/>
      <c r="F111" s="242"/>
      <c r="G111" s="242"/>
      <c r="H111" s="242"/>
      <c r="I111" s="242"/>
      <c r="L111" s="4"/>
      <c r="M111" s="4"/>
      <c r="N111" s="4"/>
    </row>
    <row r="112" spans="1:14" x14ac:dyDescent="0.2">
      <c r="B112" s="242"/>
      <c r="C112" s="242"/>
      <c r="D112" s="242"/>
      <c r="E112" s="242"/>
      <c r="F112" s="242"/>
      <c r="G112" s="242"/>
      <c r="H112" s="242"/>
      <c r="I112" s="242"/>
      <c r="L112" s="4"/>
      <c r="M112" s="4"/>
      <c r="N112" s="4"/>
    </row>
    <row r="113" spans="1:14" x14ac:dyDescent="0.2">
      <c r="B113" s="242"/>
      <c r="C113" s="242"/>
      <c r="D113" s="242"/>
      <c r="E113" s="242"/>
      <c r="F113" s="242"/>
      <c r="G113" s="242"/>
      <c r="H113" s="242"/>
      <c r="I113" s="242"/>
      <c r="L113" s="4"/>
      <c r="M113" s="4"/>
      <c r="N113" s="4"/>
    </row>
    <row r="114" spans="1:14" x14ac:dyDescent="0.2">
      <c r="B114" s="242"/>
      <c r="C114" s="242"/>
      <c r="D114" s="242"/>
      <c r="E114" s="242"/>
      <c r="F114" s="242"/>
      <c r="G114" s="242"/>
      <c r="H114" s="242"/>
      <c r="I114" s="242"/>
      <c r="L114" s="4"/>
      <c r="M114" s="4"/>
      <c r="N114" s="4"/>
    </row>
    <row r="115" spans="1:14" x14ac:dyDescent="0.2">
      <c r="L115" s="4"/>
      <c r="M115" s="4"/>
      <c r="N115" s="4"/>
    </row>
    <row r="116" spans="1:14" ht="19" x14ac:dyDescent="0.25">
      <c r="B116" s="22" t="s">
        <v>337</v>
      </c>
      <c r="L116" s="4"/>
      <c r="M116" s="4"/>
      <c r="N116" s="4"/>
    </row>
    <row r="117" spans="1:14" x14ac:dyDescent="0.2">
      <c r="B117" s="253" t="s">
        <v>336</v>
      </c>
      <c r="C117" s="242"/>
      <c r="D117" s="242"/>
      <c r="E117" s="242"/>
      <c r="F117" s="242"/>
      <c r="G117" s="242"/>
      <c r="H117" s="242"/>
      <c r="I117" s="242"/>
      <c r="L117" s="4"/>
      <c r="M117" s="4"/>
      <c r="N117" s="4"/>
    </row>
    <row r="118" spans="1:14" x14ac:dyDescent="0.2">
      <c r="B118" s="242"/>
      <c r="C118" s="242"/>
      <c r="D118" s="242"/>
      <c r="E118" s="242"/>
      <c r="F118" s="242"/>
      <c r="G118" s="242"/>
      <c r="H118" s="242"/>
      <c r="I118" s="242"/>
      <c r="L118" s="4"/>
      <c r="M118" s="4"/>
      <c r="N118" s="4"/>
    </row>
    <row r="119" spans="1:14" x14ac:dyDescent="0.2">
      <c r="B119" s="242"/>
      <c r="C119" s="242"/>
      <c r="D119" s="242"/>
      <c r="E119" s="242"/>
      <c r="F119" s="242"/>
      <c r="G119" s="242"/>
      <c r="H119" s="242"/>
      <c r="I119" s="242"/>
      <c r="L119" s="4"/>
      <c r="M119" s="4"/>
      <c r="N119" s="4"/>
    </row>
    <row r="120" spans="1:14" x14ac:dyDescent="0.2">
      <c r="B120" s="242"/>
      <c r="C120" s="242"/>
      <c r="D120" s="242"/>
      <c r="E120" s="242"/>
      <c r="F120" s="242"/>
      <c r="G120" s="242"/>
      <c r="H120" s="242"/>
      <c r="I120" s="242"/>
      <c r="M120" s="103"/>
    </row>
    <row r="121" spans="1:14" x14ac:dyDescent="0.2">
      <c r="B121" s="242"/>
      <c r="C121" s="242"/>
      <c r="D121" s="242"/>
      <c r="E121" s="242"/>
      <c r="F121" s="242"/>
      <c r="G121" s="242"/>
      <c r="H121" s="242"/>
      <c r="I121" s="242"/>
      <c r="L121" s="4"/>
      <c r="M121" s="4"/>
      <c r="N121" s="4"/>
    </row>
    <row r="122" spans="1:14" x14ac:dyDescent="0.2">
      <c r="B122" s="242"/>
      <c r="C122" s="242"/>
      <c r="D122" s="242"/>
      <c r="E122" s="242"/>
      <c r="F122" s="242"/>
      <c r="G122" s="242"/>
      <c r="H122" s="242"/>
      <c r="I122" s="242"/>
      <c r="L122" s="4"/>
      <c r="M122" s="4"/>
      <c r="N122" s="4"/>
    </row>
    <row r="123" spans="1:14" x14ac:dyDescent="0.2">
      <c r="B123" s="242"/>
      <c r="C123" s="242"/>
      <c r="D123" s="242"/>
      <c r="E123" s="242"/>
      <c r="F123" s="242"/>
      <c r="G123" s="242"/>
      <c r="H123" s="242"/>
      <c r="I123" s="242"/>
      <c r="L123" s="4"/>
      <c r="M123" s="4"/>
      <c r="N123" s="4"/>
    </row>
    <row r="124" spans="1:14" x14ac:dyDescent="0.2">
      <c r="B124" s="242"/>
      <c r="C124" s="242"/>
      <c r="D124" s="242"/>
      <c r="E124" s="242"/>
      <c r="F124" s="242"/>
      <c r="G124" s="242"/>
      <c r="H124" s="242"/>
      <c r="I124" s="242"/>
      <c r="L124" s="4"/>
      <c r="M124" s="4"/>
      <c r="N124" s="4"/>
    </row>
    <row r="125" spans="1:14" x14ac:dyDescent="0.2">
      <c r="B125" s="242"/>
      <c r="C125" s="242"/>
      <c r="D125" s="242"/>
      <c r="E125" s="242"/>
      <c r="F125" s="242"/>
      <c r="G125" s="242"/>
      <c r="H125" s="242"/>
      <c r="I125" s="242"/>
      <c r="L125" s="4"/>
      <c r="M125" s="4"/>
      <c r="N125" s="4"/>
    </row>
    <row r="126" spans="1:14" x14ac:dyDescent="0.2">
      <c r="B126" s="242"/>
      <c r="C126" s="242"/>
      <c r="D126" s="242"/>
      <c r="E126" s="242"/>
      <c r="F126" s="242"/>
      <c r="G126" s="242"/>
      <c r="H126" s="242"/>
      <c r="I126" s="242"/>
      <c r="L126" s="4"/>
      <c r="M126" s="4"/>
      <c r="N126" s="4"/>
    </row>
    <row r="127" spans="1:14" x14ac:dyDescent="0.2">
      <c r="L127" s="4"/>
      <c r="M127" s="4"/>
      <c r="N127" s="4"/>
    </row>
    <row r="128" spans="1:14" ht="19" x14ac:dyDescent="0.25">
      <c r="A128" s="2" t="s">
        <v>125</v>
      </c>
      <c r="L128" s="4"/>
      <c r="M128" s="4"/>
      <c r="N128" s="4"/>
    </row>
    <row r="129" spans="2:14" x14ac:dyDescent="0.2">
      <c r="B129" s="94" t="s">
        <v>163</v>
      </c>
      <c r="L129" s="4"/>
      <c r="M129" s="4"/>
      <c r="N129" s="4"/>
    </row>
    <row r="130" spans="2:14" x14ac:dyDescent="0.2">
      <c r="L130" s="4"/>
      <c r="M130" s="4"/>
      <c r="N130" s="4"/>
    </row>
    <row r="131" spans="2:14" x14ac:dyDescent="0.2">
      <c r="L131" s="4"/>
      <c r="M131" s="4"/>
      <c r="N131" s="4"/>
    </row>
    <row r="132" spans="2:14" x14ac:dyDescent="0.2">
      <c r="M132" s="103"/>
    </row>
    <row r="133" spans="2:14" x14ac:dyDescent="0.2">
      <c r="L133" s="4"/>
      <c r="M133" s="4"/>
      <c r="N133" s="4"/>
    </row>
    <row r="134" spans="2:14" x14ac:dyDescent="0.2">
      <c r="L134" s="4"/>
      <c r="M134" s="4"/>
      <c r="N134" s="4"/>
    </row>
    <row r="135" spans="2:14" x14ac:dyDescent="0.2">
      <c r="L135" s="4"/>
      <c r="M135" s="4"/>
      <c r="N135" s="4"/>
    </row>
    <row r="136" spans="2:14" x14ac:dyDescent="0.2">
      <c r="L136" s="4"/>
      <c r="M136" s="4"/>
      <c r="N136" s="4"/>
    </row>
    <row r="137" spans="2:14" x14ac:dyDescent="0.2">
      <c r="L137" s="4"/>
      <c r="M137" s="4"/>
      <c r="N137" s="4"/>
    </row>
    <row r="138" spans="2:14" x14ac:dyDescent="0.2">
      <c r="L138" s="4"/>
      <c r="M138" s="4"/>
      <c r="N138" s="4"/>
    </row>
    <row r="139" spans="2:14" x14ac:dyDescent="0.2">
      <c r="L139" s="4"/>
      <c r="M139" s="4"/>
      <c r="N139" s="4"/>
    </row>
    <row r="140" spans="2:14" x14ac:dyDescent="0.2">
      <c r="L140" s="4"/>
      <c r="M140" s="4"/>
      <c r="N140" s="4"/>
    </row>
    <row r="141" spans="2:14" x14ac:dyDescent="0.2">
      <c r="L141" s="4"/>
      <c r="M141" s="4"/>
      <c r="N141" s="4"/>
    </row>
    <row r="142" spans="2:14" x14ac:dyDescent="0.2">
      <c r="M142" s="103"/>
    </row>
    <row r="143" spans="2:14" x14ac:dyDescent="0.2">
      <c r="L143" s="4"/>
      <c r="M143" s="4"/>
      <c r="N143" s="4"/>
    </row>
    <row r="144" spans="2:14" x14ac:dyDescent="0.2">
      <c r="L144" s="4"/>
      <c r="M144" s="4"/>
      <c r="N144" s="4"/>
    </row>
    <row r="145" spans="1:65" x14ac:dyDescent="0.2">
      <c r="L145" s="4"/>
      <c r="M145" s="4"/>
      <c r="N145" s="4"/>
    </row>
    <row r="146" spans="1:65" x14ac:dyDescent="0.2">
      <c r="L146" s="4"/>
      <c r="M146" s="4"/>
      <c r="N146" s="4"/>
    </row>
    <row r="147" spans="1:65" x14ac:dyDescent="0.2">
      <c r="L147" s="4"/>
      <c r="M147" s="4"/>
      <c r="N147" s="4"/>
    </row>
    <row r="148" spans="1:65" x14ac:dyDescent="0.2">
      <c r="L148" s="4"/>
      <c r="M148" s="4"/>
      <c r="N148" s="4"/>
    </row>
    <row r="149" spans="1:65" x14ac:dyDescent="0.2">
      <c r="L149" s="4"/>
      <c r="M149" s="4"/>
      <c r="N149" s="4"/>
    </row>
    <row r="150" spans="1:65" x14ac:dyDescent="0.2">
      <c r="L150" s="4"/>
      <c r="M150" s="4"/>
      <c r="N150" s="4"/>
    </row>
    <row r="151" spans="1:65" x14ac:dyDescent="0.2">
      <c r="L151" s="4"/>
      <c r="M151" s="4"/>
      <c r="N151" s="4"/>
    </row>
    <row r="152" spans="1:65" x14ac:dyDescent="0.2">
      <c r="M152" s="103"/>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row r="237" spans="1:6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row>
    <row r="238" spans="1:6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row>
    <row r="239" spans="1:6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row>
    <row r="240" spans="1:6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row>
    <row r="241" spans="1:6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row>
    <row r="242" spans="1:6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row>
    <row r="243" spans="1:6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row>
    <row r="244" spans="1:6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row>
    <row r="245" spans="1:6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row>
    <row r="246" spans="1:6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row>
    <row r="247" spans="1:6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row>
    <row r="248" spans="1:6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row>
    <row r="249" spans="1:6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row>
    <row r="250" spans="1:6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row>
    <row r="251" spans="1:6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row>
    <row r="252" spans="1:6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row>
    <row r="253" spans="1:6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row>
    <row r="254" spans="1:6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row>
  </sheetData>
  <mergeCells count="13">
    <mergeCell ref="B48:I49"/>
    <mergeCell ref="B65:I67"/>
    <mergeCell ref="I19:I20"/>
    <mergeCell ref="C6:F6"/>
    <mergeCell ref="G21:H21"/>
    <mergeCell ref="G22:H22"/>
    <mergeCell ref="G23:H23"/>
    <mergeCell ref="G20:H20"/>
    <mergeCell ref="B101:I102"/>
    <mergeCell ref="C90:F90"/>
    <mergeCell ref="B117:I126"/>
    <mergeCell ref="B109:I114"/>
    <mergeCell ref="B76:I77"/>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M310"/>
  <sheetViews>
    <sheetView showGridLines="0" zoomScale="120" zoomScaleNormal="120" workbookViewId="0"/>
  </sheetViews>
  <sheetFormatPr baseColWidth="10" defaultColWidth="10.83203125" defaultRowHeight="16" x14ac:dyDescent="0.2"/>
  <cols>
    <col min="1" max="2" width="10.83203125" style="94"/>
    <col min="3" max="4" width="10.83203125" style="94" customWidth="1"/>
    <col min="5" max="5" width="11.5" style="94" customWidth="1"/>
    <col min="6" max="8" width="10.83203125" style="94" customWidth="1"/>
    <col min="9" max="16384" width="10.83203125" style="94"/>
  </cols>
  <sheetData>
    <row r="1" spans="1:10" ht="19" x14ac:dyDescent="0.25">
      <c r="A1" s="1" t="s">
        <v>200</v>
      </c>
      <c r="B1" s="92"/>
      <c r="C1" s="92"/>
      <c r="D1" s="92"/>
      <c r="E1" s="92"/>
      <c r="F1" s="92"/>
      <c r="G1" s="92"/>
      <c r="H1" s="92"/>
      <c r="I1" s="92"/>
      <c r="J1" s="93"/>
    </row>
    <row r="2" spans="1:10" x14ac:dyDescent="0.2">
      <c r="A2" s="5"/>
      <c r="B2" s="92"/>
      <c r="C2" s="92"/>
      <c r="D2" s="92"/>
      <c r="E2" s="92"/>
      <c r="F2" s="92"/>
      <c r="G2" s="92"/>
      <c r="H2" s="92"/>
      <c r="I2" s="92"/>
      <c r="J2" s="93"/>
    </row>
    <row r="3" spans="1:10" x14ac:dyDescent="0.2">
      <c r="A3" s="5"/>
      <c r="B3" s="182" t="s">
        <v>225</v>
      </c>
      <c r="C3" s="92"/>
      <c r="D3" s="92"/>
      <c r="E3" s="92"/>
      <c r="F3" s="92"/>
      <c r="G3" s="92"/>
      <c r="H3" s="92"/>
      <c r="I3" s="92"/>
      <c r="J3" s="93"/>
    </row>
    <row r="4" spans="1:10" x14ac:dyDescent="0.2">
      <c r="A4" s="5"/>
      <c r="B4" s="92"/>
      <c r="C4" s="92"/>
      <c r="D4" s="92"/>
      <c r="E4" s="92"/>
      <c r="F4" s="92"/>
      <c r="G4" s="92"/>
      <c r="H4" s="92"/>
      <c r="I4" s="92"/>
      <c r="J4" s="93"/>
    </row>
    <row r="5" spans="1:10" x14ac:dyDescent="0.2">
      <c r="A5" s="5"/>
      <c r="B5" s="92"/>
      <c r="C5" s="296" t="s">
        <v>32</v>
      </c>
      <c r="D5" s="288" t="s">
        <v>5</v>
      </c>
      <c r="E5" s="285" t="s">
        <v>4</v>
      </c>
      <c r="F5" s="280" t="s">
        <v>77</v>
      </c>
      <c r="G5" s="282" t="s">
        <v>78</v>
      </c>
      <c r="H5" s="92"/>
      <c r="I5" s="92"/>
      <c r="J5" s="93"/>
    </row>
    <row r="6" spans="1:10" ht="16" customHeight="1" x14ac:dyDescent="0.2">
      <c r="A6" s="5"/>
      <c r="B6" s="92"/>
      <c r="C6" s="297"/>
      <c r="D6" s="289"/>
      <c r="E6" s="286"/>
      <c r="F6" s="281"/>
      <c r="G6" s="283"/>
      <c r="H6" s="92"/>
      <c r="I6" s="92"/>
      <c r="J6" s="93"/>
    </row>
    <row r="7" spans="1:10" ht="17" x14ac:dyDescent="0.2">
      <c r="A7" s="5"/>
      <c r="B7" s="92"/>
      <c r="C7" s="298"/>
      <c r="D7" s="290"/>
      <c r="E7" s="287"/>
      <c r="F7" s="57" t="s">
        <v>219</v>
      </c>
      <c r="G7" s="284"/>
      <c r="H7" s="92"/>
      <c r="I7" s="92"/>
      <c r="J7" s="93"/>
    </row>
    <row r="8" spans="1:10" ht="17" x14ac:dyDescent="0.2">
      <c r="A8" s="5"/>
      <c r="B8" s="92"/>
      <c r="C8" s="46" t="s">
        <v>33</v>
      </c>
      <c r="D8" s="49">
        <v>750000</v>
      </c>
      <c r="E8" s="50">
        <v>100000</v>
      </c>
      <c r="F8" s="50">
        <v>590000</v>
      </c>
      <c r="G8" s="51">
        <v>37000</v>
      </c>
      <c r="H8" s="92"/>
      <c r="I8" s="92"/>
      <c r="J8" s="93"/>
    </row>
    <row r="9" spans="1:10" ht="17" x14ac:dyDescent="0.2">
      <c r="A9" s="5"/>
      <c r="B9" s="92"/>
      <c r="C9" s="47" t="s">
        <v>34</v>
      </c>
      <c r="D9" s="52">
        <v>750000</v>
      </c>
      <c r="E9" s="30">
        <v>250000</v>
      </c>
      <c r="F9" s="30">
        <v>837000</v>
      </c>
      <c r="G9" s="53">
        <v>43000</v>
      </c>
      <c r="H9" s="92"/>
      <c r="I9" s="92"/>
      <c r="J9" s="93"/>
    </row>
    <row r="10" spans="1:10" ht="17" x14ac:dyDescent="0.2">
      <c r="A10" s="5"/>
      <c r="B10" s="92"/>
      <c r="C10" s="48" t="s">
        <v>35</v>
      </c>
      <c r="D10" s="54">
        <v>1250000</v>
      </c>
      <c r="E10" s="55">
        <v>250000</v>
      </c>
      <c r="F10" s="55">
        <v>1220000</v>
      </c>
      <c r="G10" s="56">
        <v>82000</v>
      </c>
      <c r="H10" s="92"/>
      <c r="I10" s="92"/>
      <c r="J10" s="93"/>
    </row>
    <row r="11" spans="1:10" x14ac:dyDescent="0.2">
      <c r="A11" s="5"/>
      <c r="B11" s="92"/>
      <c r="C11" s="92"/>
      <c r="D11" s="92"/>
      <c r="E11" s="92"/>
      <c r="F11" s="92"/>
      <c r="G11" s="92"/>
      <c r="H11" s="92"/>
      <c r="I11" s="92"/>
      <c r="J11" s="93"/>
    </row>
    <row r="12" spans="1:10" x14ac:dyDescent="0.2">
      <c r="A12" s="5"/>
      <c r="B12" s="95" t="s">
        <v>204</v>
      </c>
      <c r="C12" s="92"/>
      <c r="D12" s="104">
        <v>0.08</v>
      </c>
      <c r="E12" s="92"/>
      <c r="F12" s="92"/>
      <c r="G12" s="92"/>
      <c r="H12" s="92"/>
      <c r="I12" s="92"/>
      <c r="J12" s="93"/>
    </row>
    <row r="13" spans="1:10" x14ac:dyDescent="0.2">
      <c r="A13" s="5"/>
      <c r="B13" s="95" t="s">
        <v>205</v>
      </c>
      <c r="C13" s="92"/>
      <c r="D13" s="92"/>
      <c r="E13" s="92"/>
      <c r="F13" s="92"/>
      <c r="G13" s="92"/>
      <c r="H13" s="92"/>
      <c r="I13" s="92"/>
      <c r="J13" s="93"/>
    </row>
    <row r="14" spans="1:10" x14ac:dyDescent="0.2">
      <c r="A14" s="5"/>
      <c r="B14" s="92"/>
      <c r="C14" s="92"/>
      <c r="D14" s="92"/>
      <c r="E14" s="92"/>
      <c r="F14" s="92"/>
      <c r="G14" s="92"/>
      <c r="H14" s="92"/>
      <c r="I14" s="92"/>
      <c r="J14" s="93"/>
    </row>
    <row r="15" spans="1:10" ht="16" customHeight="1" x14ac:dyDescent="0.2">
      <c r="A15" s="5"/>
      <c r="B15" s="296" t="s">
        <v>65</v>
      </c>
      <c r="C15" s="306" t="s">
        <v>11</v>
      </c>
      <c r="D15" s="307"/>
      <c r="E15" s="306" t="s">
        <v>12</v>
      </c>
      <c r="F15" s="307"/>
      <c r="G15" s="306" t="s">
        <v>27</v>
      </c>
      <c r="H15" s="307"/>
      <c r="I15" s="92"/>
      <c r="J15" s="93"/>
    </row>
    <row r="16" spans="1:10" x14ac:dyDescent="0.2">
      <c r="A16" s="5"/>
      <c r="B16" s="297"/>
      <c r="C16" s="299" t="s">
        <v>55</v>
      </c>
      <c r="D16" s="282" t="s">
        <v>79</v>
      </c>
      <c r="E16" s="299" t="s">
        <v>55</v>
      </c>
      <c r="F16" s="282" t="s">
        <v>79</v>
      </c>
      <c r="G16" s="299" t="s">
        <v>55</v>
      </c>
      <c r="H16" s="282" t="s">
        <v>79</v>
      </c>
      <c r="I16" s="92"/>
      <c r="J16" s="93"/>
    </row>
    <row r="17" spans="1:10" x14ac:dyDescent="0.2">
      <c r="A17" s="5"/>
      <c r="B17" s="298"/>
      <c r="C17" s="300"/>
      <c r="D17" s="284"/>
      <c r="E17" s="300"/>
      <c r="F17" s="284"/>
      <c r="G17" s="300"/>
      <c r="H17" s="284"/>
      <c r="I17" s="92"/>
      <c r="J17" s="93"/>
    </row>
    <row r="18" spans="1:10" ht="17" x14ac:dyDescent="0.2">
      <c r="A18" s="5"/>
      <c r="B18" s="46" t="s">
        <v>17</v>
      </c>
      <c r="C18" s="42">
        <v>6169</v>
      </c>
      <c r="D18" s="20" t="s">
        <v>80</v>
      </c>
      <c r="E18" s="42">
        <v>6780</v>
      </c>
      <c r="F18" s="20" t="s">
        <v>80</v>
      </c>
      <c r="G18" s="42">
        <v>8876</v>
      </c>
      <c r="H18" s="20" t="s">
        <v>80</v>
      </c>
      <c r="I18" s="92"/>
      <c r="J18" s="93"/>
    </row>
    <row r="19" spans="1:10" x14ac:dyDescent="0.2">
      <c r="A19" s="5"/>
      <c r="B19" s="34">
        <v>500000</v>
      </c>
      <c r="C19" s="42">
        <v>5830</v>
      </c>
      <c r="D19" s="20">
        <v>340</v>
      </c>
      <c r="E19" s="42">
        <v>6207</v>
      </c>
      <c r="F19" s="20">
        <v>573</v>
      </c>
      <c r="G19" s="42">
        <v>7234</v>
      </c>
      <c r="H19" s="21">
        <v>1642</v>
      </c>
      <c r="I19" s="92"/>
      <c r="J19" s="93"/>
    </row>
    <row r="20" spans="1:10" x14ac:dyDescent="0.2">
      <c r="A20" s="5"/>
      <c r="B20" s="34">
        <v>250000</v>
      </c>
      <c r="C20" s="42">
        <v>5401</v>
      </c>
      <c r="D20" s="20">
        <v>768</v>
      </c>
      <c r="E20" s="42">
        <v>5633</v>
      </c>
      <c r="F20" s="21">
        <v>1146</v>
      </c>
      <c r="G20" s="42">
        <v>6237</v>
      </c>
      <c r="H20" s="21">
        <v>2639</v>
      </c>
      <c r="I20" s="92"/>
      <c r="J20" s="93"/>
    </row>
    <row r="21" spans="1:10" x14ac:dyDescent="0.2">
      <c r="A21" s="5"/>
      <c r="B21" s="35">
        <v>100000</v>
      </c>
      <c r="C21" s="43">
        <v>4497</v>
      </c>
      <c r="D21" s="45">
        <v>1672</v>
      </c>
      <c r="E21" s="43">
        <v>4557</v>
      </c>
      <c r="F21" s="45">
        <v>2222</v>
      </c>
      <c r="G21" s="43">
        <v>4723</v>
      </c>
      <c r="H21" s="45">
        <v>4153</v>
      </c>
      <c r="I21" s="92"/>
      <c r="J21" s="93"/>
    </row>
    <row r="22" spans="1:10" x14ac:dyDescent="0.2">
      <c r="A22" s="5"/>
      <c r="B22" s="92"/>
      <c r="C22" s="92"/>
      <c r="D22" s="92"/>
      <c r="E22" s="92"/>
      <c r="F22" s="92"/>
      <c r="G22" s="92"/>
      <c r="H22" s="92"/>
      <c r="I22" s="92"/>
      <c r="J22" s="93"/>
    </row>
    <row r="23" spans="1:10" x14ac:dyDescent="0.2">
      <c r="A23" s="5"/>
      <c r="B23" s="92" t="s">
        <v>81</v>
      </c>
      <c r="C23" s="92"/>
      <c r="D23" s="92"/>
      <c r="E23" s="92"/>
      <c r="F23" s="92"/>
      <c r="G23" s="92"/>
      <c r="H23" s="92"/>
      <c r="I23" s="92"/>
      <c r="J23" s="93"/>
    </row>
    <row r="24" spans="1:10" x14ac:dyDescent="0.2">
      <c r="A24" s="5"/>
      <c r="B24" s="92" t="s">
        <v>82</v>
      </c>
      <c r="C24" s="92"/>
      <c r="D24" s="92"/>
      <c r="E24" s="92"/>
      <c r="F24" s="92"/>
      <c r="G24" s="92"/>
      <c r="H24" s="92"/>
      <c r="I24" s="92"/>
      <c r="J24" s="93"/>
    </row>
    <row r="25" spans="1:10" x14ac:dyDescent="0.2">
      <c r="A25" s="5"/>
      <c r="B25" s="92"/>
      <c r="C25" s="92"/>
      <c r="D25" s="92"/>
      <c r="E25" s="92"/>
      <c r="F25" s="92"/>
      <c r="G25" s="92"/>
      <c r="H25" s="92"/>
      <c r="I25" s="92"/>
      <c r="J25" s="93"/>
    </row>
    <row r="26" spans="1:10" x14ac:dyDescent="0.2">
      <c r="A26" s="5"/>
      <c r="B26" s="92"/>
      <c r="C26" s="296" t="s">
        <v>5</v>
      </c>
      <c r="D26" s="291" t="s">
        <v>4</v>
      </c>
      <c r="E26" s="248" t="s">
        <v>83</v>
      </c>
      <c r="F26" s="249"/>
      <c r="G26" s="250"/>
      <c r="H26" s="92"/>
      <c r="I26" s="92"/>
      <c r="J26" s="93"/>
    </row>
    <row r="27" spans="1:10" ht="16" customHeight="1" x14ac:dyDescent="0.2">
      <c r="A27" s="5"/>
      <c r="B27" s="92"/>
      <c r="C27" s="297"/>
      <c r="D27" s="292"/>
      <c r="E27" s="23"/>
      <c r="F27" s="24"/>
      <c r="G27" s="25"/>
      <c r="H27" s="92"/>
      <c r="I27" s="92"/>
      <c r="J27" s="93"/>
    </row>
    <row r="28" spans="1:10" ht="17" x14ac:dyDescent="0.2">
      <c r="A28" s="5"/>
      <c r="B28" s="92"/>
      <c r="C28" s="298"/>
      <c r="D28" s="293"/>
      <c r="E28" s="36" t="s">
        <v>11</v>
      </c>
      <c r="F28" s="37" t="s">
        <v>12</v>
      </c>
      <c r="G28" s="38" t="s">
        <v>27</v>
      </c>
      <c r="H28" s="92"/>
      <c r="I28" s="92"/>
      <c r="J28" s="93"/>
    </row>
    <row r="29" spans="1:10" x14ac:dyDescent="0.2">
      <c r="A29" s="5"/>
      <c r="B29" s="92"/>
      <c r="C29" s="301">
        <v>750000</v>
      </c>
      <c r="D29" s="33">
        <v>100000</v>
      </c>
      <c r="E29" s="39">
        <v>274174</v>
      </c>
      <c r="F29" s="40">
        <v>287745</v>
      </c>
      <c r="G29" s="41">
        <v>316669</v>
      </c>
      <c r="H29" s="92"/>
      <c r="I29" s="92"/>
      <c r="J29" s="93"/>
    </row>
    <row r="30" spans="1:10" x14ac:dyDescent="0.2">
      <c r="A30" s="5"/>
      <c r="B30" s="92"/>
      <c r="C30" s="302"/>
      <c r="D30" s="34">
        <v>250000</v>
      </c>
      <c r="E30" s="42">
        <v>464963</v>
      </c>
      <c r="F30" s="6">
        <v>521755</v>
      </c>
      <c r="G30" s="21">
        <v>663244</v>
      </c>
      <c r="H30" s="92"/>
      <c r="I30" s="92"/>
      <c r="J30" s="93"/>
    </row>
    <row r="31" spans="1:10" x14ac:dyDescent="0.2">
      <c r="A31" s="5"/>
      <c r="B31" s="92"/>
      <c r="C31" s="303"/>
      <c r="D31" s="35">
        <v>500000</v>
      </c>
      <c r="E31" s="43">
        <v>568793</v>
      </c>
      <c r="F31" s="44">
        <v>651426</v>
      </c>
      <c r="G31" s="45">
        <v>870464</v>
      </c>
      <c r="H31" s="92"/>
      <c r="I31" s="92"/>
      <c r="J31" s="93"/>
    </row>
    <row r="32" spans="1:10" x14ac:dyDescent="0.2">
      <c r="A32" s="5"/>
      <c r="B32" s="92"/>
      <c r="C32" s="301">
        <v>1250000</v>
      </c>
      <c r="D32" s="33">
        <v>100000</v>
      </c>
      <c r="E32" s="39">
        <v>20964</v>
      </c>
      <c r="F32" s="40">
        <v>25223</v>
      </c>
      <c r="G32" s="41">
        <v>37741</v>
      </c>
      <c r="H32" s="92"/>
      <c r="I32" s="92"/>
      <c r="J32" s="93"/>
    </row>
    <row r="33" spans="1:12" x14ac:dyDescent="0.2">
      <c r="A33" s="5"/>
      <c r="B33" s="92"/>
      <c r="C33" s="302"/>
      <c r="D33" s="34">
        <v>250000</v>
      </c>
      <c r="E33" s="42">
        <v>115500</v>
      </c>
      <c r="F33" s="6">
        <v>151547</v>
      </c>
      <c r="G33" s="21">
        <v>242766</v>
      </c>
      <c r="H33" s="92"/>
      <c r="I33" s="92"/>
      <c r="J33" s="93"/>
    </row>
    <row r="34" spans="1:12" x14ac:dyDescent="0.2">
      <c r="A34" s="5"/>
      <c r="B34" s="92"/>
      <c r="C34" s="303"/>
      <c r="D34" s="35">
        <v>500000</v>
      </c>
      <c r="E34" s="43">
        <v>197338</v>
      </c>
      <c r="F34" s="44">
        <v>254226</v>
      </c>
      <c r="G34" s="45">
        <v>447640</v>
      </c>
      <c r="H34" s="92"/>
      <c r="I34" s="92"/>
      <c r="J34" s="93"/>
    </row>
    <row r="35" spans="1:12" x14ac:dyDescent="0.2">
      <c r="A35" s="92"/>
      <c r="B35" s="92"/>
      <c r="C35" s="92"/>
      <c r="D35" s="92"/>
      <c r="E35" s="92"/>
      <c r="F35" s="92"/>
      <c r="G35" s="92"/>
      <c r="H35" s="92"/>
      <c r="I35" s="92"/>
      <c r="J35" s="93"/>
    </row>
    <row r="36" spans="1:12" x14ac:dyDescent="0.2">
      <c r="A36" s="92"/>
      <c r="B36" s="95" t="s">
        <v>203</v>
      </c>
      <c r="C36" s="92"/>
      <c r="D36" s="92"/>
      <c r="E36" s="92"/>
      <c r="F36" s="92"/>
      <c r="G36" s="92"/>
      <c r="H36" s="92"/>
      <c r="I36" s="92"/>
      <c r="J36" s="93"/>
    </row>
    <row r="37" spans="1:12" x14ac:dyDescent="0.2">
      <c r="A37" s="92"/>
      <c r="B37" s="95"/>
      <c r="C37" s="92"/>
      <c r="D37" s="92"/>
      <c r="E37" s="92"/>
      <c r="F37" s="92"/>
      <c r="G37" s="92"/>
      <c r="H37" s="92"/>
      <c r="I37" s="92"/>
      <c r="J37" s="93"/>
    </row>
    <row r="38" spans="1:12" x14ac:dyDescent="0.2">
      <c r="A38" s="5"/>
      <c r="B38" s="182" t="s">
        <v>226</v>
      </c>
      <c r="C38" s="92"/>
      <c r="D38" s="92"/>
      <c r="E38" s="92"/>
      <c r="F38" s="92"/>
      <c r="G38" s="92"/>
      <c r="H38" s="92"/>
      <c r="I38" s="92"/>
      <c r="J38" s="93"/>
    </row>
    <row r="39" spans="1:12" ht="17" thickBot="1" x14ac:dyDescent="0.25">
      <c r="A39" s="98"/>
      <c r="B39" s="99"/>
      <c r="C39" s="100"/>
      <c r="D39" s="100"/>
      <c r="E39" s="100"/>
      <c r="F39" s="99"/>
      <c r="G39" s="99"/>
      <c r="H39" s="99"/>
      <c r="I39" s="99"/>
      <c r="J39" s="101"/>
    </row>
    <row r="41" spans="1:12" ht="19" x14ac:dyDescent="0.25">
      <c r="A41" s="2" t="s">
        <v>3</v>
      </c>
    </row>
    <row r="42" spans="1:12" ht="16" customHeight="1" x14ac:dyDescent="0.25">
      <c r="A42" s="2"/>
      <c r="B42" s="22" t="s">
        <v>352</v>
      </c>
    </row>
    <row r="43" spans="1:12" s="185" customFormat="1" x14ac:dyDescent="0.2">
      <c r="A43" s="14" t="s">
        <v>189</v>
      </c>
      <c r="B43" s="240" t="s">
        <v>279</v>
      </c>
      <c r="C43" s="240"/>
      <c r="D43" s="240"/>
      <c r="E43" s="240"/>
      <c r="F43" s="240"/>
      <c r="G43" s="240"/>
      <c r="H43" s="240"/>
      <c r="I43" s="240"/>
    </row>
    <row r="44" spans="1:12" s="185" customFormat="1" x14ac:dyDescent="0.2">
      <c r="A44" s="14"/>
      <c r="B44" s="240"/>
      <c r="C44" s="240"/>
      <c r="D44" s="240"/>
      <c r="E44" s="240"/>
      <c r="F44" s="240"/>
      <c r="G44" s="240"/>
      <c r="H44" s="240"/>
      <c r="I44" s="240"/>
    </row>
    <row r="45" spans="1:12" s="185" customFormat="1" x14ac:dyDescent="0.2">
      <c r="A45" s="14"/>
      <c r="L45" s="4"/>
    </row>
    <row r="46" spans="1:12" s="185" customFormat="1" x14ac:dyDescent="0.2">
      <c r="A46" s="14"/>
      <c r="L46" s="4"/>
    </row>
    <row r="47" spans="1:12" s="185" customFormat="1" x14ac:dyDescent="0.2">
      <c r="A47" s="14"/>
      <c r="L47" s="4"/>
    </row>
    <row r="48" spans="1:12" s="185" customFormat="1" ht="17" customHeight="1" x14ac:dyDescent="0.2">
      <c r="A48" s="14"/>
      <c r="L48" s="4"/>
    </row>
    <row r="49" spans="1:14" s="185" customFormat="1" x14ac:dyDescent="0.2">
      <c r="A49" s="14"/>
      <c r="B49" s="234" t="s">
        <v>347</v>
      </c>
      <c r="L49" s="4"/>
    </row>
    <row r="50" spans="1:14" s="185" customFormat="1" x14ac:dyDescent="0.2">
      <c r="A50" s="14"/>
      <c r="L50" s="4"/>
    </row>
    <row r="51" spans="1:14" s="185" customFormat="1" x14ac:dyDescent="0.2">
      <c r="A51" s="14" t="s">
        <v>201</v>
      </c>
      <c r="B51" s="240" t="s">
        <v>280</v>
      </c>
      <c r="C51" s="240"/>
      <c r="D51" s="240"/>
      <c r="E51" s="240"/>
      <c r="F51" s="240"/>
      <c r="G51" s="240"/>
      <c r="H51" s="240"/>
      <c r="I51" s="240"/>
    </row>
    <row r="52" spans="1:14" s="185" customFormat="1" x14ac:dyDescent="0.2">
      <c r="A52" s="14"/>
      <c r="B52" s="240"/>
      <c r="C52" s="240"/>
      <c r="D52" s="240"/>
      <c r="E52" s="240"/>
      <c r="F52" s="240"/>
      <c r="G52" s="240"/>
      <c r="H52" s="240"/>
      <c r="I52" s="240"/>
      <c r="L52" s="4"/>
    </row>
    <row r="53" spans="1:14" s="185" customFormat="1" x14ac:dyDescent="0.2">
      <c r="A53" s="14"/>
      <c r="L53" s="4"/>
    </row>
    <row r="54" spans="1:14" s="185" customFormat="1" x14ac:dyDescent="0.2">
      <c r="A54" s="14"/>
      <c r="L54" s="4"/>
    </row>
    <row r="55" spans="1:14" s="185" customFormat="1" x14ac:dyDescent="0.2">
      <c r="A55" s="14"/>
      <c r="L55" s="4"/>
    </row>
    <row r="56" spans="1:14" s="185" customFormat="1" x14ac:dyDescent="0.2">
      <c r="A56" s="14"/>
      <c r="L56" s="4"/>
    </row>
    <row r="57" spans="1:14" s="185" customFormat="1" x14ac:dyDescent="0.2">
      <c r="A57" s="14"/>
      <c r="C57" s="222"/>
      <c r="E57" s="222"/>
      <c r="F57" s="265" t="s">
        <v>85</v>
      </c>
      <c r="G57" s="265" t="s">
        <v>222</v>
      </c>
      <c r="N57" s="4"/>
    </row>
    <row r="58" spans="1:14" s="185" customFormat="1" x14ac:dyDescent="0.2">
      <c r="A58" s="14"/>
      <c r="C58" s="105"/>
      <c r="D58" s="103"/>
      <c r="E58" s="268" t="s">
        <v>84</v>
      </c>
      <c r="F58" s="265"/>
      <c r="G58" s="265"/>
      <c r="N58" s="4"/>
    </row>
    <row r="59" spans="1:14" s="185" customFormat="1" ht="17" x14ac:dyDescent="0.2">
      <c r="A59" s="14"/>
      <c r="C59" s="7" t="s">
        <v>32</v>
      </c>
      <c r="D59" s="8" t="s">
        <v>4</v>
      </c>
      <c r="E59" s="269"/>
      <c r="F59" s="266"/>
      <c r="G59" s="266"/>
      <c r="N59" s="4"/>
    </row>
    <row r="60" spans="1:14" s="185" customFormat="1" ht="17" x14ac:dyDescent="0.2">
      <c r="A60" s="14"/>
      <c r="C60" s="11" t="s">
        <v>33</v>
      </c>
      <c r="D60" s="12">
        <f>E8</f>
        <v>100000</v>
      </c>
      <c r="E60" s="232">
        <f>G21/C21</f>
        <v>1.0502557260395819</v>
      </c>
      <c r="F60" s="12">
        <f>F8</f>
        <v>590000</v>
      </c>
      <c r="G60" s="12">
        <f>E60*F60</f>
        <v>619650.87836335332</v>
      </c>
      <c r="N60" s="4"/>
    </row>
    <row r="61" spans="1:14" s="185" customFormat="1" ht="17" x14ac:dyDescent="0.2">
      <c r="A61" s="14"/>
      <c r="C61" s="11" t="s">
        <v>34</v>
      </c>
      <c r="D61" s="12">
        <f>E9</f>
        <v>250000</v>
      </c>
      <c r="E61" s="232">
        <f>G20/C20</f>
        <v>1.154786150712831</v>
      </c>
      <c r="F61" s="12">
        <f>F9</f>
        <v>837000</v>
      </c>
      <c r="G61" s="12">
        <f>E61*F61</f>
        <v>966556.00814663956</v>
      </c>
      <c r="N61" s="4"/>
    </row>
    <row r="62" spans="1:14" s="185" customFormat="1" ht="17" x14ac:dyDescent="0.2">
      <c r="A62" s="14"/>
      <c r="C62" s="27" t="s">
        <v>35</v>
      </c>
      <c r="D62" s="28">
        <f>E10</f>
        <v>250000</v>
      </c>
      <c r="E62" s="233">
        <f>G20/C20</f>
        <v>1.154786150712831</v>
      </c>
      <c r="F62" s="28">
        <f>F10</f>
        <v>1220000</v>
      </c>
      <c r="G62" s="28">
        <f>E62*F62</f>
        <v>1408839.1038696538</v>
      </c>
      <c r="N62" s="4"/>
    </row>
    <row r="63" spans="1:14" s="185" customFormat="1" ht="17" x14ac:dyDescent="0.2">
      <c r="A63" s="14"/>
      <c r="C63" s="11" t="s">
        <v>220</v>
      </c>
      <c r="D63" s="10"/>
      <c r="E63" s="11"/>
      <c r="F63" s="224">
        <f>SUM(F60:F62)</f>
        <v>2647000</v>
      </c>
      <c r="G63" s="224">
        <f>SUM(G60:G62)</f>
        <v>2995045.9903796464</v>
      </c>
      <c r="N63" s="4"/>
    </row>
    <row r="64" spans="1:14" s="185" customFormat="1" x14ac:dyDescent="0.2">
      <c r="A64" s="14"/>
      <c r="C64" s="10"/>
      <c r="L64" s="4"/>
    </row>
    <row r="65" spans="1:12" s="185" customFormat="1" ht="19" x14ac:dyDescent="0.25">
      <c r="A65" s="14"/>
      <c r="B65" s="22" t="s">
        <v>353</v>
      </c>
      <c r="L65" s="4"/>
    </row>
    <row r="66" spans="1:12" s="185" customFormat="1" x14ac:dyDescent="0.2">
      <c r="A66" s="14"/>
      <c r="B66" s="185" t="s">
        <v>284</v>
      </c>
      <c r="L66" s="4"/>
    </row>
    <row r="67" spans="1:12" s="185" customFormat="1" x14ac:dyDescent="0.2">
      <c r="A67" s="14"/>
      <c r="L67" s="4"/>
    </row>
    <row r="68" spans="1:12" s="185" customFormat="1" x14ac:dyDescent="0.2">
      <c r="A68" s="14" t="s">
        <v>190</v>
      </c>
      <c r="B68" s="13" t="s">
        <v>262</v>
      </c>
      <c r="C68" s="184"/>
    </row>
    <row r="69" spans="1:12" s="185" customFormat="1" x14ac:dyDescent="0.2">
      <c r="A69" s="14"/>
      <c r="L69" s="4"/>
    </row>
    <row r="70" spans="1:12" s="185" customFormat="1" x14ac:dyDescent="0.2">
      <c r="A70" s="14"/>
      <c r="L70" s="4"/>
    </row>
    <row r="71" spans="1:12" s="185" customFormat="1" x14ac:dyDescent="0.2">
      <c r="A71" s="14"/>
      <c r="L71" s="4"/>
    </row>
    <row r="72" spans="1:12" s="185" customFormat="1" x14ac:dyDescent="0.2">
      <c r="A72" s="14"/>
      <c r="B72" s="13" t="s">
        <v>261</v>
      </c>
      <c r="L72" s="4"/>
    </row>
    <row r="73" spans="1:12" s="185" customFormat="1" x14ac:dyDescent="0.2">
      <c r="A73" s="14"/>
      <c r="B73" s="185" t="s">
        <v>285</v>
      </c>
      <c r="L73" s="4"/>
    </row>
    <row r="75" spans="1:12" x14ac:dyDescent="0.2">
      <c r="B75" s="234" t="s">
        <v>348</v>
      </c>
    </row>
    <row r="77" spans="1:12" s="185" customFormat="1" x14ac:dyDescent="0.2">
      <c r="A77" s="14" t="s">
        <v>191</v>
      </c>
      <c r="B77" s="240" t="s">
        <v>326</v>
      </c>
      <c r="C77" s="240"/>
      <c r="D77" s="240"/>
      <c r="E77" s="240"/>
      <c r="F77" s="240"/>
      <c r="G77" s="240"/>
      <c r="H77" s="240"/>
      <c r="I77" s="240"/>
    </row>
    <row r="78" spans="1:12" s="185" customFormat="1" x14ac:dyDescent="0.2">
      <c r="A78" s="14"/>
      <c r="B78" s="240"/>
      <c r="C78" s="240"/>
      <c r="D78" s="240"/>
      <c r="E78" s="240"/>
      <c r="F78" s="240"/>
      <c r="G78" s="240"/>
      <c r="H78" s="240"/>
      <c r="I78" s="240"/>
    </row>
    <row r="79" spans="1:12" s="185" customFormat="1" x14ac:dyDescent="0.2">
      <c r="A79" s="14"/>
      <c r="B79" s="240"/>
      <c r="C79" s="240"/>
      <c r="D79" s="240"/>
      <c r="E79" s="240"/>
      <c r="F79" s="240"/>
      <c r="G79" s="240"/>
      <c r="H79" s="240"/>
      <c r="I79" s="240"/>
      <c r="L79" s="4"/>
    </row>
    <row r="80" spans="1:12" s="185" customFormat="1" x14ac:dyDescent="0.2">
      <c r="A80" s="14"/>
      <c r="L80" s="4"/>
    </row>
    <row r="81" spans="1:12" s="185" customFormat="1" x14ac:dyDescent="0.2">
      <c r="A81" s="14"/>
      <c r="L81" s="4"/>
    </row>
    <row r="82" spans="1:12" s="185" customFormat="1" x14ac:dyDescent="0.2">
      <c r="A82" s="14"/>
      <c r="L82" s="4"/>
    </row>
    <row r="83" spans="1:12" s="185" customFormat="1" x14ac:dyDescent="0.2">
      <c r="A83" s="14"/>
      <c r="L83" s="4"/>
    </row>
    <row r="84" spans="1:12" s="185" customFormat="1" x14ac:dyDescent="0.2">
      <c r="A84" s="14"/>
      <c r="L84" s="4"/>
    </row>
    <row r="85" spans="1:12" s="185" customFormat="1" x14ac:dyDescent="0.2">
      <c r="A85" s="14"/>
      <c r="B85" s="234" t="s">
        <v>348</v>
      </c>
      <c r="L85" s="4"/>
    </row>
    <row r="86" spans="1:12" s="185" customFormat="1" x14ac:dyDescent="0.2">
      <c r="A86" s="14"/>
      <c r="L86" s="4"/>
    </row>
    <row r="87" spans="1:12" s="185" customFormat="1" x14ac:dyDescent="0.2">
      <c r="A87" s="14" t="s">
        <v>228</v>
      </c>
      <c r="B87" s="13" t="s">
        <v>263</v>
      </c>
      <c r="C87" s="184"/>
    </row>
    <row r="88" spans="1:12" s="185" customFormat="1" x14ac:dyDescent="0.2">
      <c r="A88" s="14"/>
      <c r="L88" s="4"/>
    </row>
    <row r="89" spans="1:12" s="185" customFormat="1" x14ac:dyDescent="0.2">
      <c r="A89" s="14"/>
      <c r="L89" s="4"/>
    </row>
    <row r="90" spans="1:12" s="185" customFormat="1" x14ac:dyDescent="0.2">
      <c r="A90" s="14"/>
      <c r="L90" s="4"/>
    </row>
    <row r="91" spans="1:12" s="185" customFormat="1" x14ac:dyDescent="0.2">
      <c r="A91" s="14"/>
      <c r="L91" s="4"/>
    </row>
    <row r="92" spans="1:12" s="185" customFormat="1" x14ac:dyDescent="0.2">
      <c r="A92" s="14"/>
      <c r="L92" s="4"/>
    </row>
    <row r="93" spans="1:12" s="185" customFormat="1" x14ac:dyDescent="0.2">
      <c r="A93" s="14"/>
      <c r="K93" s="4"/>
    </row>
    <row r="94" spans="1:12" s="185" customFormat="1" x14ac:dyDescent="0.2">
      <c r="A94" s="14"/>
      <c r="E94" s="237" t="s">
        <v>349</v>
      </c>
      <c r="G94" s="237" t="s">
        <v>350</v>
      </c>
      <c r="H94" s="237" t="s">
        <v>351</v>
      </c>
      <c r="K94" s="4"/>
    </row>
    <row r="95" spans="1:12" s="185" customFormat="1" x14ac:dyDescent="0.2">
      <c r="A95" s="14"/>
      <c r="C95" s="103"/>
      <c r="D95" s="222"/>
      <c r="E95" s="265" t="s">
        <v>86</v>
      </c>
      <c r="G95" s="222"/>
      <c r="H95" s="265" t="s">
        <v>338</v>
      </c>
      <c r="K95" s="4"/>
    </row>
    <row r="96" spans="1:12" s="185" customFormat="1" x14ac:dyDescent="0.2">
      <c r="A96" s="14"/>
      <c r="B96" s="105"/>
      <c r="C96" s="294" t="s">
        <v>88</v>
      </c>
      <c r="D96" s="105"/>
      <c r="E96" s="265"/>
      <c r="F96" s="265" t="s">
        <v>87</v>
      </c>
      <c r="G96" s="268" t="s">
        <v>89</v>
      </c>
      <c r="H96" s="265"/>
      <c r="K96" s="4"/>
    </row>
    <row r="97" spans="1:14" s="185" customFormat="1" ht="17" x14ac:dyDescent="0.2">
      <c r="A97" s="14"/>
      <c r="B97" s="7" t="s">
        <v>32</v>
      </c>
      <c r="C97" s="295"/>
      <c r="D97" s="7" t="s">
        <v>4</v>
      </c>
      <c r="E97" s="266"/>
      <c r="F97" s="266"/>
      <c r="G97" s="269"/>
      <c r="H97" s="266"/>
      <c r="K97" s="4"/>
    </row>
    <row r="98" spans="1:14" s="185" customFormat="1" ht="17" x14ac:dyDescent="0.2">
      <c r="A98" s="14"/>
      <c r="B98" s="11" t="s">
        <v>33</v>
      </c>
      <c r="C98" s="226">
        <f t="shared" ref="C98:D100" si="0">D8</f>
        <v>750000</v>
      </c>
      <c r="D98" s="229">
        <f t="shared" si="0"/>
        <v>100000</v>
      </c>
      <c r="E98" s="225">
        <f>MAX(F60-C98,0)</f>
        <v>0</v>
      </c>
      <c r="F98" s="12">
        <f>G29</f>
        <v>316669</v>
      </c>
      <c r="G98" s="235">
        <f>G29/E29</f>
        <v>1.1549928147818538</v>
      </c>
      <c r="H98" s="12">
        <f>E98+(1-1/G98)*F98</f>
        <v>42494.999999999985</v>
      </c>
      <c r="K98" s="4"/>
    </row>
    <row r="99" spans="1:14" s="185" customFormat="1" ht="17" x14ac:dyDescent="0.2">
      <c r="A99" s="14"/>
      <c r="B99" s="11" t="s">
        <v>34</v>
      </c>
      <c r="C99" s="226">
        <f t="shared" si="0"/>
        <v>750000</v>
      </c>
      <c r="D99" s="26">
        <f t="shared" si="0"/>
        <v>250000</v>
      </c>
      <c r="E99" s="225">
        <f>MAX(F61-C99,0)</f>
        <v>87000</v>
      </c>
      <c r="F99" s="12">
        <f>G30</f>
        <v>663244</v>
      </c>
      <c r="G99" s="235">
        <f>G30/E30</f>
        <v>1.4264446848458909</v>
      </c>
      <c r="H99" s="12">
        <f>E99+(1-1/G99)*F99</f>
        <v>285281</v>
      </c>
      <c r="K99" s="4"/>
    </row>
    <row r="100" spans="1:14" s="185" customFormat="1" ht="17" x14ac:dyDescent="0.2">
      <c r="A100" s="14"/>
      <c r="B100" s="27" t="s">
        <v>35</v>
      </c>
      <c r="C100" s="227">
        <f t="shared" si="0"/>
        <v>1250000</v>
      </c>
      <c r="D100" s="227">
        <f t="shared" si="0"/>
        <v>250000</v>
      </c>
      <c r="E100" s="28">
        <f>MAX(F62-C100,0)</f>
        <v>0</v>
      </c>
      <c r="F100" s="28">
        <f>G33</f>
        <v>242766</v>
      </c>
      <c r="G100" s="236">
        <f>G33/E33</f>
        <v>2.1018701298701297</v>
      </c>
      <c r="H100" s="28">
        <f>E100+(1-1/G100)*F100</f>
        <v>127266</v>
      </c>
      <c r="K100" s="4"/>
    </row>
    <row r="101" spans="1:14" s="185" customFormat="1" ht="17" x14ac:dyDescent="0.2">
      <c r="A101" s="14"/>
      <c r="B101" s="11" t="s">
        <v>220</v>
      </c>
      <c r="C101" s="228"/>
      <c r="E101" s="224">
        <f>SUM(E98:E100)</f>
        <v>87000</v>
      </c>
      <c r="G101" s="222"/>
      <c r="H101" s="224">
        <f>SUM(H98:H100)</f>
        <v>455042</v>
      </c>
      <c r="K101" s="4"/>
    </row>
    <row r="102" spans="1:14" s="185" customFormat="1" x14ac:dyDescent="0.2">
      <c r="A102" s="14"/>
      <c r="C102" s="10"/>
      <c r="L102" s="4"/>
    </row>
    <row r="103" spans="1:14" s="185" customFormat="1" ht="19" x14ac:dyDescent="0.25">
      <c r="A103" s="14"/>
      <c r="B103" s="22" t="s">
        <v>354</v>
      </c>
      <c r="L103" s="4"/>
    </row>
    <row r="104" spans="1:14" s="185" customFormat="1" x14ac:dyDescent="0.2">
      <c r="A104" s="14" t="s">
        <v>229</v>
      </c>
      <c r="B104" s="240" t="s">
        <v>281</v>
      </c>
      <c r="C104" s="240"/>
      <c r="D104" s="240"/>
      <c r="E104" s="240"/>
      <c r="F104" s="240"/>
      <c r="G104" s="240"/>
      <c r="H104" s="240"/>
      <c r="I104" s="240"/>
    </row>
    <row r="105" spans="1:14" s="185" customFormat="1" x14ac:dyDescent="0.2">
      <c r="A105" s="14"/>
      <c r="B105" s="240"/>
      <c r="C105" s="240"/>
      <c r="D105" s="240"/>
      <c r="E105" s="240"/>
      <c r="F105" s="240"/>
      <c r="G105" s="240"/>
      <c r="H105" s="240"/>
      <c r="I105" s="240"/>
    </row>
    <row r="106" spans="1:14" s="185" customFormat="1" x14ac:dyDescent="0.2">
      <c r="A106" s="14"/>
      <c r="B106" s="240"/>
      <c r="C106" s="240"/>
      <c r="D106" s="240"/>
      <c r="E106" s="240"/>
      <c r="F106" s="240"/>
      <c r="G106" s="240"/>
      <c r="H106" s="240"/>
      <c r="I106" s="240"/>
      <c r="L106" s="4"/>
    </row>
    <row r="107" spans="1:14" s="185" customFormat="1" x14ac:dyDescent="0.2">
      <c r="A107" s="14"/>
      <c r="L107" s="4"/>
    </row>
    <row r="108" spans="1:14" s="185" customFormat="1" x14ac:dyDescent="0.2">
      <c r="A108" s="14"/>
      <c r="L108" s="4"/>
    </row>
    <row r="109" spans="1:14" s="185" customFormat="1" x14ac:dyDescent="0.2">
      <c r="A109" s="14"/>
      <c r="L109" s="4"/>
    </row>
    <row r="110" spans="1:14" s="185" customFormat="1" x14ac:dyDescent="0.2">
      <c r="A110" s="14"/>
      <c r="B110" s="234" t="s">
        <v>360</v>
      </c>
      <c r="L110" s="4"/>
    </row>
    <row r="111" spans="1:14" s="185" customFormat="1" x14ac:dyDescent="0.2">
      <c r="A111" s="4"/>
      <c r="B111" s="4"/>
      <c r="C111" s="10"/>
      <c r="D111" s="10"/>
      <c r="E111" s="10"/>
      <c r="F111" s="10"/>
      <c r="G111" s="4"/>
      <c r="H111" s="4"/>
      <c r="I111" s="4"/>
      <c r="L111" s="4"/>
      <c r="M111" s="4"/>
      <c r="N111" s="4"/>
    </row>
    <row r="112" spans="1:14" s="185" customFormat="1" x14ac:dyDescent="0.2">
      <c r="A112" s="14" t="s">
        <v>270</v>
      </c>
      <c r="B112" s="240" t="s">
        <v>282</v>
      </c>
      <c r="C112" s="240"/>
      <c r="D112" s="240"/>
      <c r="E112" s="240"/>
      <c r="F112" s="240"/>
      <c r="G112" s="240"/>
      <c r="H112" s="240"/>
      <c r="I112" s="240"/>
    </row>
    <row r="113" spans="1:12" s="185" customFormat="1" x14ac:dyDescent="0.2">
      <c r="A113" s="14"/>
      <c r="B113" s="240"/>
      <c r="C113" s="240"/>
      <c r="D113" s="240"/>
      <c r="E113" s="240"/>
      <c r="F113" s="240"/>
      <c r="G113" s="240"/>
      <c r="H113" s="240"/>
      <c r="I113" s="240"/>
    </row>
    <row r="114" spans="1:12" s="185" customFormat="1" x14ac:dyDescent="0.2">
      <c r="A114" s="14"/>
      <c r="L114" s="4"/>
    </row>
    <row r="115" spans="1:12" s="185" customFormat="1" x14ac:dyDescent="0.2">
      <c r="A115" s="14"/>
      <c r="L115" s="4"/>
    </row>
    <row r="116" spans="1:12" s="185" customFormat="1" x14ac:dyDescent="0.2">
      <c r="A116" s="14"/>
      <c r="L116" s="4"/>
    </row>
    <row r="117" spans="1:12" s="185" customFormat="1" x14ac:dyDescent="0.2">
      <c r="A117" s="14"/>
      <c r="B117" s="234" t="s">
        <v>360</v>
      </c>
      <c r="L117" s="4"/>
    </row>
    <row r="118" spans="1:12" s="185" customFormat="1" x14ac:dyDescent="0.2">
      <c r="A118" s="14"/>
      <c r="C118" s="230"/>
      <c r="D118" s="12"/>
      <c r="L118" s="4"/>
    </row>
    <row r="119" spans="1:12" s="185" customFormat="1" x14ac:dyDescent="0.2">
      <c r="A119" s="14" t="s">
        <v>271</v>
      </c>
      <c r="B119" s="240" t="s">
        <v>283</v>
      </c>
      <c r="C119" s="240"/>
      <c r="D119" s="240"/>
      <c r="E119" s="240"/>
      <c r="F119" s="240"/>
      <c r="G119" s="240"/>
      <c r="H119" s="240"/>
      <c r="I119" s="240"/>
    </row>
    <row r="120" spans="1:12" s="185" customFormat="1" x14ac:dyDescent="0.2">
      <c r="A120" s="14"/>
      <c r="B120" s="240"/>
      <c r="C120" s="240"/>
      <c r="D120" s="240"/>
      <c r="E120" s="240"/>
      <c r="F120" s="240"/>
      <c r="G120" s="240"/>
      <c r="H120" s="240"/>
      <c r="I120" s="240"/>
      <c r="L120" s="4"/>
    </row>
    <row r="121" spans="1:12" s="185" customFormat="1" x14ac:dyDescent="0.2">
      <c r="A121" s="14"/>
      <c r="L121" s="4"/>
    </row>
    <row r="122" spans="1:12" s="185" customFormat="1" x14ac:dyDescent="0.2">
      <c r="A122" s="14"/>
      <c r="L122" s="4"/>
    </row>
    <row r="123" spans="1:12" s="185" customFormat="1" x14ac:dyDescent="0.2">
      <c r="A123" s="14"/>
      <c r="L123" s="4"/>
    </row>
    <row r="124" spans="1:12" x14ac:dyDescent="0.2">
      <c r="A124" s="102"/>
      <c r="B124" s="13"/>
      <c r="C124" s="237" t="s">
        <v>355</v>
      </c>
      <c r="D124" s="237" t="s">
        <v>356</v>
      </c>
      <c r="E124" s="237" t="s">
        <v>357</v>
      </c>
      <c r="F124" s="237" t="s">
        <v>358</v>
      </c>
      <c r="G124" s="185"/>
      <c r="H124" s="237" t="s">
        <v>359</v>
      </c>
    </row>
    <row r="125" spans="1:12" x14ac:dyDescent="0.2">
      <c r="A125" s="102"/>
      <c r="B125" s="105"/>
      <c r="C125" s="265" t="s">
        <v>339</v>
      </c>
      <c r="D125" s="268" t="s">
        <v>338</v>
      </c>
      <c r="E125" s="265" t="s">
        <v>340</v>
      </c>
      <c r="F125" s="185"/>
      <c r="H125" s="265" t="s">
        <v>91</v>
      </c>
    </row>
    <row r="126" spans="1:12" x14ac:dyDescent="0.2">
      <c r="A126" s="102"/>
      <c r="B126" s="105"/>
      <c r="C126" s="265"/>
      <c r="D126" s="268"/>
      <c r="E126" s="265"/>
      <c r="F126" s="265" t="s">
        <v>221</v>
      </c>
      <c r="G126" s="265" t="s">
        <v>90</v>
      </c>
      <c r="H126" s="265"/>
    </row>
    <row r="127" spans="1:12" ht="17" x14ac:dyDescent="0.2">
      <c r="A127" s="102"/>
      <c r="B127" s="7" t="s">
        <v>32</v>
      </c>
      <c r="C127" s="266"/>
      <c r="D127" s="269"/>
      <c r="E127" s="266"/>
      <c r="F127" s="266"/>
      <c r="G127" s="266"/>
      <c r="H127" s="266"/>
    </row>
    <row r="128" spans="1:12" ht="17" x14ac:dyDescent="0.2">
      <c r="A128" s="102"/>
      <c r="B128" s="11" t="s">
        <v>33</v>
      </c>
      <c r="C128" s="12">
        <f>G60</f>
        <v>619650.87836335332</v>
      </c>
      <c r="D128" s="26">
        <f>H98</f>
        <v>42494.999999999985</v>
      </c>
      <c r="E128" s="12">
        <f>C128-D128</f>
        <v>577155.87836335332</v>
      </c>
      <c r="F128" s="12">
        <f>E128*$D$12</f>
        <v>46172.470269068268</v>
      </c>
      <c r="G128" s="106">
        <f>G8</f>
        <v>37000</v>
      </c>
      <c r="H128" s="106">
        <f>F128-G128</f>
        <v>9172.470269068268</v>
      </c>
    </row>
    <row r="129" spans="1:14" ht="17" x14ac:dyDescent="0.2">
      <c r="A129" s="102"/>
      <c r="B129" s="11" t="s">
        <v>34</v>
      </c>
      <c r="C129" s="12">
        <f>G61</f>
        <v>966556.00814663956</v>
      </c>
      <c r="D129" s="26">
        <f>H99</f>
        <v>285281</v>
      </c>
      <c r="E129" s="12">
        <f t="shared" ref="E129" si="1">C129-D129</f>
        <v>681275.00814663956</v>
      </c>
      <c r="F129" s="12">
        <f>E129*$D$12</f>
        <v>54502.000651731163</v>
      </c>
      <c r="G129" s="106">
        <f>G9</f>
        <v>43000</v>
      </c>
      <c r="H129" s="106">
        <f>F129-G129</f>
        <v>11502.000651731163</v>
      </c>
    </row>
    <row r="130" spans="1:14" ht="17" x14ac:dyDescent="0.2">
      <c r="A130" s="102"/>
      <c r="B130" s="27" t="s">
        <v>35</v>
      </c>
      <c r="C130" s="28">
        <f>G62</f>
        <v>1408839.1038696538</v>
      </c>
      <c r="D130" s="221">
        <f>H100</f>
        <v>127266</v>
      </c>
      <c r="E130" s="28">
        <f>C130-D130</f>
        <v>1281573.1038696538</v>
      </c>
      <c r="F130" s="28">
        <f>E130*$D$12</f>
        <v>102525.84830957231</v>
      </c>
      <c r="G130" s="107">
        <f>G10</f>
        <v>82000</v>
      </c>
      <c r="H130" s="107">
        <f>F130-G130</f>
        <v>20525.848309572306</v>
      </c>
    </row>
    <row r="131" spans="1:14" x14ac:dyDescent="0.2">
      <c r="A131" s="102"/>
      <c r="B131" s="223" t="s">
        <v>220</v>
      </c>
      <c r="C131" s="12">
        <f t="shared" ref="C131:D131" si="2">SUM(C128:C130)</f>
        <v>2995045.9903796464</v>
      </c>
      <c r="D131" s="26">
        <f t="shared" si="2"/>
        <v>455042</v>
      </c>
      <c r="E131" s="224">
        <f>SUM(E128:E130)</f>
        <v>2540003.9903796464</v>
      </c>
      <c r="F131" s="12">
        <f>SUM(F128:F130)</f>
        <v>203200.31923037174</v>
      </c>
      <c r="G131" s="106">
        <f>SUM(G128:G130)</f>
        <v>162000</v>
      </c>
      <c r="H131" s="19">
        <f>SUM(H128:H130)</f>
        <v>41200.319230371737</v>
      </c>
    </row>
    <row r="132" spans="1:14" ht="17" thickBot="1" x14ac:dyDescent="0.25">
      <c r="A132" s="102"/>
      <c r="B132" s="13"/>
      <c r="C132" s="12"/>
    </row>
    <row r="133" spans="1:14" ht="17" thickBot="1" x14ac:dyDescent="0.25">
      <c r="A133" s="102"/>
      <c r="B133" s="13"/>
      <c r="C133" s="186" t="s">
        <v>41</v>
      </c>
      <c r="D133" s="204"/>
      <c r="E133" s="205">
        <f>H131</f>
        <v>41200.319230371737</v>
      </c>
    </row>
    <row r="134" spans="1:14" x14ac:dyDescent="0.2">
      <c r="A134" s="3"/>
      <c r="C134" s="103"/>
    </row>
    <row r="135" spans="1:14" x14ac:dyDescent="0.2">
      <c r="A135" s="3"/>
      <c r="B135" s="13" t="s">
        <v>261</v>
      </c>
      <c r="C135" s="103"/>
    </row>
    <row r="136" spans="1:14" x14ac:dyDescent="0.2">
      <c r="A136" s="3"/>
      <c r="B136" s="304" t="s">
        <v>361</v>
      </c>
      <c r="C136" s="304"/>
      <c r="D136" s="304"/>
      <c r="E136" s="304"/>
      <c r="F136" s="304"/>
      <c r="G136" s="304"/>
      <c r="H136" s="304"/>
      <c r="I136" s="304"/>
    </row>
    <row r="137" spans="1:14" x14ac:dyDescent="0.2">
      <c r="A137" s="3"/>
      <c r="B137" s="304"/>
      <c r="C137" s="304"/>
      <c r="D137" s="304"/>
      <c r="E137" s="304"/>
      <c r="F137" s="304"/>
      <c r="G137" s="304"/>
      <c r="H137" s="304"/>
      <c r="I137" s="304"/>
    </row>
    <row r="138" spans="1:14" x14ac:dyDescent="0.2">
      <c r="A138" s="3"/>
      <c r="C138" s="103"/>
    </row>
    <row r="139" spans="1:14" ht="19" x14ac:dyDescent="0.25">
      <c r="A139" s="2" t="s">
        <v>115</v>
      </c>
    </row>
    <row r="140" spans="1:14" x14ac:dyDescent="0.2">
      <c r="B140" s="305" t="s">
        <v>341</v>
      </c>
      <c r="C140" s="242"/>
      <c r="D140" s="242"/>
      <c r="E140" s="242"/>
      <c r="F140" s="242"/>
      <c r="G140" s="242"/>
      <c r="H140" s="242"/>
      <c r="I140" s="242"/>
    </row>
    <row r="141" spans="1:14" x14ac:dyDescent="0.2">
      <c r="A141" s="3"/>
      <c r="B141" s="242"/>
      <c r="C141" s="242"/>
      <c r="D141" s="242"/>
      <c r="E141" s="242"/>
      <c r="F141" s="242"/>
      <c r="G141" s="242"/>
      <c r="H141" s="242"/>
      <c r="I141" s="242"/>
    </row>
    <row r="142" spans="1:14" x14ac:dyDescent="0.2">
      <c r="B142" s="242"/>
      <c r="C142" s="242"/>
      <c r="D142" s="242"/>
      <c r="E142" s="242"/>
      <c r="F142" s="242"/>
      <c r="G142" s="242"/>
      <c r="H142" s="242"/>
      <c r="I142" s="242"/>
      <c r="M142" s="103"/>
    </row>
    <row r="143" spans="1:14" x14ac:dyDescent="0.2">
      <c r="B143" s="242"/>
      <c r="C143" s="242"/>
      <c r="D143" s="242"/>
      <c r="E143" s="242"/>
      <c r="F143" s="242"/>
      <c r="G143" s="242"/>
      <c r="H143" s="242"/>
      <c r="I143" s="242"/>
      <c r="L143" s="4"/>
      <c r="M143" s="4"/>
      <c r="N143" s="4"/>
    </row>
    <row r="144" spans="1:14" x14ac:dyDescent="0.2">
      <c r="B144" s="242"/>
      <c r="C144" s="242"/>
      <c r="D144" s="242"/>
      <c r="E144" s="242"/>
      <c r="F144" s="242"/>
      <c r="G144" s="242"/>
      <c r="H144" s="242"/>
      <c r="I144" s="242"/>
      <c r="L144" s="4"/>
      <c r="M144" s="4"/>
      <c r="N144" s="4"/>
    </row>
    <row r="145" spans="2:14" x14ac:dyDescent="0.2">
      <c r="B145" s="242"/>
      <c r="C145" s="242"/>
      <c r="D145" s="242"/>
      <c r="E145" s="242"/>
      <c r="F145" s="242"/>
      <c r="G145" s="242"/>
      <c r="H145" s="242"/>
      <c r="I145" s="242"/>
      <c r="L145" s="4"/>
      <c r="M145" s="4"/>
      <c r="N145" s="4"/>
    </row>
    <row r="146" spans="2:14" x14ac:dyDescent="0.2">
      <c r="B146" s="242"/>
      <c r="C146" s="242"/>
      <c r="D146" s="242"/>
      <c r="E146" s="242"/>
      <c r="F146" s="242"/>
      <c r="G146" s="242"/>
      <c r="H146" s="242"/>
      <c r="I146" s="242"/>
      <c r="L146" s="4"/>
      <c r="M146" s="4"/>
      <c r="N146" s="4"/>
    </row>
    <row r="147" spans="2:14" x14ac:dyDescent="0.2">
      <c r="B147" s="242"/>
      <c r="C147" s="242"/>
      <c r="D147" s="242"/>
      <c r="E147" s="242"/>
      <c r="F147" s="242"/>
      <c r="G147" s="242"/>
      <c r="H147" s="242"/>
      <c r="I147" s="242"/>
      <c r="L147" s="4"/>
      <c r="M147" s="4"/>
      <c r="N147" s="4"/>
    </row>
    <row r="148" spans="2:14" x14ac:dyDescent="0.2">
      <c r="B148" s="242"/>
      <c r="C148" s="242"/>
      <c r="D148" s="242"/>
      <c r="E148" s="242"/>
      <c r="F148" s="242"/>
      <c r="G148" s="242"/>
      <c r="H148" s="242"/>
      <c r="I148" s="242"/>
      <c r="L148" s="4"/>
      <c r="M148" s="4"/>
      <c r="N148" s="4"/>
    </row>
    <row r="149" spans="2:14" x14ac:dyDescent="0.2">
      <c r="B149" s="242"/>
      <c r="C149" s="242"/>
      <c r="D149" s="242"/>
      <c r="E149" s="242"/>
      <c r="F149" s="242"/>
      <c r="G149" s="242"/>
      <c r="H149" s="242"/>
      <c r="I149" s="242"/>
      <c r="L149" s="4"/>
      <c r="M149" s="4"/>
      <c r="N149" s="4"/>
    </row>
    <row r="150" spans="2:14" x14ac:dyDescent="0.2">
      <c r="B150" s="242"/>
      <c r="C150" s="242"/>
      <c r="D150" s="242"/>
      <c r="E150" s="242"/>
      <c r="F150" s="242"/>
      <c r="G150" s="242"/>
      <c r="H150" s="242"/>
      <c r="I150" s="242"/>
      <c r="L150" s="4"/>
      <c r="M150" s="4"/>
      <c r="N150" s="4"/>
    </row>
    <row r="151" spans="2:14" x14ac:dyDescent="0.2">
      <c r="B151" s="242"/>
      <c r="C151" s="242"/>
      <c r="D151" s="242"/>
      <c r="E151" s="242"/>
      <c r="F151" s="242"/>
      <c r="G151" s="242"/>
      <c r="H151" s="242"/>
      <c r="I151" s="242"/>
      <c r="L151" s="4"/>
      <c r="M151" s="4"/>
      <c r="N151" s="4"/>
    </row>
    <row r="152" spans="2:14" x14ac:dyDescent="0.2">
      <c r="B152" s="242"/>
      <c r="C152" s="242"/>
      <c r="D152" s="242"/>
      <c r="E152" s="242"/>
      <c r="F152" s="242"/>
      <c r="G152" s="242"/>
      <c r="H152" s="242"/>
      <c r="I152" s="242"/>
      <c r="L152" s="4"/>
      <c r="M152" s="4"/>
      <c r="N152" s="4"/>
    </row>
    <row r="153" spans="2:14" x14ac:dyDescent="0.2">
      <c r="L153" s="4"/>
      <c r="M153" s="4"/>
      <c r="N153" s="4"/>
    </row>
    <row r="154" spans="2:14" ht="19" x14ac:dyDescent="0.25">
      <c r="B154" s="22" t="s">
        <v>362</v>
      </c>
      <c r="L154" s="4"/>
      <c r="M154" s="4"/>
      <c r="N154" s="4"/>
    </row>
    <row r="155" spans="2:14" x14ac:dyDescent="0.2">
      <c r="B155" s="304" t="s">
        <v>363</v>
      </c>
      <c r="C155" s="242"/>
      <c r="D155" s="242"/>
      <c r="E155" s="242"/>
      <c r="F155" s="242"/>
      <c r="G155" s="242"/>
      <c r="H155" s="242"/>
      <c r="I155" s="242"/>
      <c r="L155" s="4"/>
      <c r="M155" s="4"/>
      <c r="N155" s="4"/>
    </row>
    <row r="156" spans="2:14" x14ac:dyDescent="0.2">
      <c r="B156" s="242"/>
      <c r="C156" s="242"/>
      <c r="D156" s="242"/>
      <c r="E156" s="242"/>
      <c r="F156" s="242"/>
      <c r="G156" s="242"/>
      <c r="H156" s="242"/>
      <c r="I156" s="242"/>
      <c r="L156" s="4"/>
      <c r="M156" s="4"/>
      <c r="N156" s="4"/>
    </row>
    <row r="157" spans="2:14" x14ac:dyDescent="0.2">
      <c r="B157" s="242"/>
      <c r="C157" s="242"/>
      <c r="D157" s="242"/>
      <c r="E157" s="242"/>
      <c r="F157" s="242"/>
      <c r="G157" s="242"/>
      <c r="H157" s="242"/>
      <c r="I157" s="242"/>
      <c r="L157" s="4"/>
      <c r="M157" s="4"/>
      <c r="N157" s="4"/>
    </row>
    <row r="158" spans="2:14" x14ac:dyDescent="0.2">
      <c r="B158" s="242"/>
      <c r="C158" s="242"/>
      <c r="D158" s="242"/>
      <c r="E158" s="242"/>
      <c r="F158" s="242"/>
      <c r="G158" s="242"/>
      <c r="H158" s="242"/>
      <c r="I158" s="242"/>
      <c r="L158" s="4"/>
      <c r="M158" s="4"/>
      <c r="N158" s="4"/>
    </row>
    <row r="159" spans="2:14" x14ac:dyDescent="0.2">
      <c r="B159" s="242"/>
      <c r="C159" s="242"/>
      <c r="D159" s="242"/>
      <c r="E159" s="242"/>
      <c r="F159" s="242"/>
      <c r="G159" s="242"/>
      <c r="H159" s="242"/>
      <c r="I159" s="242"/>
      <c r="L159" s="4"/>
      <c r="M159" s="4"/>
      <c r="N159" s="4"/>
    </row>
    <row r="160" spans="2:14" x14ac:dyDescent="0.2">
      <c r="B160" s="242"/>
      <c r="C160" s="242"/>
      <c r="D160" s="242"/>
      <c r="E160" s="242"/>
      <c r="F160" s="242"/>
      <c r="G160" s="242"/>
      <c r="H160" s="242"/>
      <c r="I160" s="242"/>
      <c r="L160" s="4"/>
      <c r="M160" s="4"/>
      <c r="N160" s="4"/>
    </row>
    <row r="161" spans="2:14" x14ac:dyDescent="0.2">
      <c r="B161" s="242"/>
      <c r="C161" s="242"/>
      <c r="D161" s="242"/>
      <c r="E161" s="242"/>
      <c r="F161" s="242"/>
      <c r="G161" s="242"/>
      <c r="H161" s="242"/>
      <c r="I161" s="242"/>
      <c r="L161" s="4"/>
      <c r="M161" s="4"/>
      <c r="N161" s="4"/>
    </row>
    <row r="162" spans="2:14" x14ac:dyDescent="0.2">
      <c r="B162" s="242"/>
      <c r="C162" s="242"/>
      <c r="D162" s="242"/>
      <c r="E162" s="242"/>
      <c r="F162" s="242"/>
      <c r="G162" s="242"/>
      <c r="H162" s="242"/>
      <c r="I162" s="242"/>
      <c r="L162" s="4"/>
      <c r="M162" s="4"/>
      <c r="N162" s="4"/>
    </row>
    <row r="163" spans="2:14" x14ac:dyDescent="0.2">
      <c r="B163" s="242"/>
      <c r="C163" s="242"/>
      <c r="D163" s="242"/>
      <c r="E163" s="242"/>
      <c r="F163" s="242"/>
      <c r="G163" s="242"/>
      <c r="H163" s="242"/>
      <c r="I163" s="242"/>
      <c r="L163" s="4"/>
      <c r="M163" s="4"/>
      <c r="N163" s="4"/>
    </row>
    <row r="164" spans="2:14" x14ac:dyDescent="0.2">
      <c r="C164" s="304" t="s">
        <v>364</v>
      </c>
      <c r="D164" s="242"/>
      <c r="E164" s="242"/>
      <c r="F164" s="242"/>
      <c r="G164" s="242"/>
      <c r="H164" s="242"/>
      <c r="L164" s="4"/>
      <c r="M164" s="4"/>
      <c r="N164" s="4"/>
    </row>
    <row r="165" spans="2:14" x14ac:dyDescent="0.2">
      <c r="C165" s="242"/>
      <c r="D165" s="242"/>
      <c r="E165" s="242"/>
      <c r="F165" s="242"/>
      <c r="G165" s="242"/>
      <c r="H165" s="242"/>
      <c r="L165" s="4"/>
      <c r="M165" s="4"/>
      <c r="N165" s="4"/>
    </row>
    <row r="166" spans="2:14" x14ac:dyDescent="0.2">
      <c r="C166" s="242"/>
      <c r="D166" s="242"/>
      <c r="E166" s="242"/>
      <c r="F166" s="242"/>
      <c r="G166" s="242"/>
      <c r="H166" s="242"/>
      <c r="L166" s="4"/>
      <c r="M166" s="4"/>
      <c r="N166" s="4"/>
    </row>
    <row r="167" spans="2:14" x14ac:dyDescent="0.2">
      <c r="C167" s="242"/>
      <c r="D167" s="242"/>
      <c r="E167" s="242"/>
      <c r="F167" s="242"/>
      <c r="G167" s="242"/>
      <c r="H167" s="242"/>
      <c r="L167" s="4"/>
      <c r="M167" s="4"/>
      <c r="N167" s="4"/>
    </row>
    <row r="168" spans="2:14" x14ac:dyDescent="0.2">
      <c r="C168" s="242"/>
      <c r="D168" s="242"/>
      <c r="E168" s="242"/>
      <c r="F168" s="242"/>
      <c r="G168" s="242"/>
      <c r="H168" s="242"/>
      <c r="L168" s="4"/>
      <c r="M168" s="4"/>
      <c r="N168" s="4"/>
    </row>
    <row r="169" spans="2:14" x14ac:dyDescent="0.2">
      <c r="C169" s="242"/>
      <c r="D169" s="242"/>
      <c r="E169" s="242"/>
      <c r="F169" s="242"/>
      <c r="G169" s="242"/>
      <c r="H169" s="242"/>
      <c r="L169" s="4"/>
      <c r="M169" s="4"/>
      <c r="N169" s="4"/>
    </row>
    <row r="170" spans="2:14" x14ac:dyDescent="0.2">
      <c r="C170" s="242"/>
      <c r="D170" s="242"/>
      <c r="E170" s="242"/>
      <c r="F170" s="242"/>
      <c r="G170" s="242"/>
      <c r="H170" s="242"/>
      <c r="L170" s="4"/>
      <c r="M170" s="4"/>
      <c r="N170" s="4"/>
    </row>
    <row r="171" spans="2:14" x14ac:dyDescent="0.2">
      <c r="C171" s="242"/>
      <c r="D171" s="242"/>
      <c r="E171" s="242"/>
      <c r="F171" s="242"/>
      <c r="G171" s="242"/>
      <c r="H171" s="242"/>
      <c r="L171" s="4"/>
      <c r="M171" s="4"/>
      <c r="N171" s="4"/>
    </row>
    <row r="172" spans="2:14" x14ac:dyDescent="0.2">
      <c r="C172" s="242"/>
      <c r="D172" s="242"/>
      <c r="E172" s="242"/>
      <c r="F172" s="242"/>
      <c r="G172" s="242"/>
      <c r="H172" s="242"/>
      <c r="L172" s="4"/>
      <c r="M172" s="4"/>
      <c r="N172" s="4"/>
    </row>
    <row r="173" spans="2:14" x14ac:dyDescent="0.2">
      <c r="C173" s="242"/>
      <c r="D173" s="242"/>
      <c r="E173" s="242"/>
      <c r="F173" s="242"/>
      <c r="G173" s="242"/>
      <c r="H173" s="242"/>
      <c r="L173" s="4"/>
      <c r="M173" s="4"/>
      <c r="N173" s="4"/>
    </row>
    <row r="174" spans="2:14" x14ac:dyDescent="0.2">
      <c r="C174" s="242"/>
      <c r="D174" s="242"/>
      <c r="E174" s="242"/>
      <c r="F174" s="242"/>
      <c r="G174" s="242"/>
      <c r="H174" s="242"/>
      <c r="L174" s="4"/>
      <c r="M174" s="4"/>
      <c r="N174" s="4"/>
    </row>
    <row r="175" spans="2:14" x14ac:dyDescent="0.2">
      <c r="C175" s="242"/>
      <c r="D175" s="242"/>
      <c r="E175" s="242"/>
      <c r="F175" s="242"/>
      <c r="G175" s="242"/>
      <c r="H175" s="242"/>
      <c r="L175" s="4"/>
      <c r="M175" s="4"/>
      <c r="N175" s="4"/>
    </row>
    <row r="176" spans="2:14" x14ac:dyDescent="0.2">
      <c r="L176" s="4"/>
      <c r="M176" s="4"/>
      <c r="N176" s="4"/>
    </row>
    <row r="177" spans="1:14" x14ac:dyDescent="0.2">
      <c r="B177" s="304" t="s">
        <v>365</v>
      </c>
      <c r="C177" s="242"/>
      <c r="D177" s="242"/>
      <c r="E177" s="242"/>
      <c r="F177" s="242"/>
      <c r="G177" s="242"/>
      <c r="H177" s="242"/>
      <c r="I177" s="242"/>
      <c r="L177" s="4"/>
      <c r="M177" s="4"/>
      <c r="N177" s="4"/>
    </row>
    <row r="178" spans="1:14" x14ac:dyDescent="0.2">
      <c r="B178" s="242"/>
      <c r="C178" s="242"/>
      <c r="D178" s="242"/>
      <c r="E178" s="242"/>
      <c r="F178" s="242"/>
      <c r="G178" s="242"/>
      <c r="H178" s="242"/>
      <c r="I178" s="242"/>
      <c r="L178" s="4"/>
      <c r="M178" s="4"/>
      <c r="N178" s="4"/>
    </row>
    <row r="179" spans="1:14" x14ac:dyDescent="0.2">
      <c r="B179" s="242"/>
      <c r="C179" s="242"/>
      <c r="D179" s="242"/>
      <c r="E179" s="242"/>
      <c r="F179" s="242"/>
      <c r="G179" s="242"/>
      <c r="H179" s="242"/>
      <c r="I179" s="242"/>
      <c r="L179" s="4"/>
      <c r="M179" s="4"/>
      <c r="N179" s="4"/>
    </row>
    <row r="180" spans="1:14" ht="19" x14ac:dyDescent="0.25">
      <c r="A180" s="2" t="s">
        <v>125</v>
      </c>
      <c r="L180" s="4"/>
      <c r="M180" s="4"/>
      <c r="N180" s="4"/>
    </row>
    <row r="181" spans="1:14" x14ac:dyDescent="0.2">
      <c r="B181" s="94" t="s">
        <v>164</v>
      </c>
      <c r="L181" s="4"/>
      <c r="M181" s="4"/>
      <c r="N181" s="4"/>
    </row>
    <row r="182" spans="1:14" x14ac:dyDescent="0.2">
      <c r="L182" s="4"/>
      <c r="M182" s="4"/>
      <c r="N182" s="4"/>
    </row>
    <row r="183" spans="1:14" ht="19" x14ac:dyDescent="0.25">
      <c r="A183" s="2" t="s">
        <v>127</v>
      </c>
      <c r="L183" s="4"/>
      <c r="M183" s="4"/>
      <c r="N183" s="4"/>
    </row>
    <row r="184" spans="1:14" x14ac:dyDescent="0.2">
      <c r="B184" s="94" t="s">
        <v>165</v>
      </c>
      <c r="L184" s="4"/>
      <c r="M184" s="4"/>
      <c r="N184" s="4"/>
    </row>
    <row r="185" spans="1:14" x14ac:dyDescent="0.2">
      <c r="L185" s="4"/>
      <c r="M185" s="4"/>
      <c r="N185" s="4"/>
    </row>
    <row r="186" spans="1:14" x14ac:dyDescent="0.2">
      <c r="L186" s="4"/>
      <c r="M186" s="4"/>
      <c r="N186" s="4"/>
    </row>
    <row r="187" spans="1:14" x14ac:dyDescent="0.2">
      <c r="L187" s="4"/>
      <c r="M187" s="4"/>
      <c r="N187" s="4"/>
    </row>
    <row r="188" spans="1:14" x14ac:dyDescent="0.2">
      <c r="M188" s="103"/>
    </row>
    <row r="189" spans="1:14" x14ac:dyDescent="0.2">
      <c r="L189" s="4"/>
      <c r="M189" s="4"/>
      <c r="N189" s="4"/>
    </row>
    <row r="190" spans="1:14" x14ac:dyDescent="0.2">
      <c r="L190" s="4"/>
      <c r="M190" s="4"/>
      <c r="N190" s="4"/>
    </row>
    <row r="191" spans="1:14" x14ac:dyDescent="0.2">
      <c r="L191" s="4"/>
      <c r="M191" s="4"/>
      <c r="N191" s="4"/>
    </row>
    <row r="192" spans="1:14" x14ac:dyDescent="0.2">
      <c r="L192" s="4"/>
      <c r="M192" s="4"/>
      <c r="N192" s="4"/>
    </row>
    <row r="193" spans="12:14" x14ac:dyDescent="0.2">
      <c r="L193" s="4"/>
      <c r="M193" s="4"/>
      <c r="N193" s="4"/>
    </row>
    <row r="194" spans="12:14" x14ac:dyDescent="0.2">
      <c r="L194" s="4"/>
      <c r="M194" s="4"/>
      <c r="N194" s="4"/>
    </row>
    <row r="195" spans="12:14" x14ac:dyDescent="0.2">
      <c r="L195" s="4"/>
      <c r="M195" s="4"/>
      <c r="N195" s="4"/>
    </row>
    <row r="196" spans="12:14" x14ac:dyDescent="0.2">
      <c r="L196" s="4"/>
      <c r="M196" s="4"/>
      <c r="N196" s="4"/>
    </row>
    <row r="197" spans="12:14" x14ac:dyDescent="0.2">
      <c r="L197" s="4"/>
      <c r="M197" s="4"/>
      <c r="N197" s="4"/>
    </row>
    <row r="198" spans="12:14" x14ac:dyDescent="0.2">
      <c r="M198" s="103"/>
    </row>
    <row r="199" spans="12:14" x14ac:dyDescent="0.2">
      <c r="L199" s="4"/>
      <c r="M199" s="4"/>
      <c r="N199" s="4"/>
    </row>
    <row r="200" spans="12:14" x14ac:dyDescent="0.2">
      <c r="L200" s="4"/>
      <c r="M200" s="4"/>
      <c r="N200" s="4"/>
    </row>
    <row r="201" spans="12:14" x14ac:dyDescent="0.2">
      <c r="L201" s="4"/>
      <c r="M201" s="4"/>
      <c r="N201" s="4"/>
    </row>
    <row r="202" spans="12:14" x14ac:dyDescent="0.2">
      <c r="L202" s="4"/>
      <c r="M202" s="4"/>
      <c r="N202" s="4"/>
    </row>
    <row r="203" spans="12:14" x14ac:dyDescent="0.2">
      <c r="L203" s="4"/>
      <c r="M203" s="4"/>
      <c r="N203" s="4"/>
    </row>
    <row r="204" spans="12:14" x14ac:dyDescent="0.2">
      <c r="L204" s="4"/>
      <c r="M204" s="4"/>
      <c r="N204" s="4"/>
    </row>
    <row r="205" spans="12:14" x14ac:dyDescent="0.2">
      <c r="L205" s="4"/>
      <c r="M205" s="4"/>
      <c r="N205" s="4"/>
    </row>
    <row r="206" spans="12:14" x14ac:dyDescent="0.2">
      <c r="L206" s="4"/>
      <c r="M206" s="4"/>
      <c r="N206" s="4"/>
    </row>
    <row r="207" spans="12:14" x14ac:dyDescent="0.2">
      <c r="L207" s="4"/>
      <c r="M207" s="4"/>
      <c r="N207" s="4"/>
    </row>
    <row r="208" spans="12:14" x14ac:dyDescent="0.2">
      <c r="M208" s="103"/>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row r="235" spans="1:6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row>
    <row r="236" spans="1:6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row>
    <row r="237" spans="1:6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row>
    <row r="238" spans="1:6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row>
    <row r="239" spans="1:6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row>
    <row r="240" spans="1:6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row>
    <row r="241" spans="1:6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row>
    <row r="242" spans="1:6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row>
    <row r="243" spans="1:6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row>
    <row r="244" spans="1:6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row>
    <row r="245" spans="1:6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row>
    <row r="246" spans="1:6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row>
    <row r="247" spans="1:6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row>
    <row r="248" spans="1:6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row>
    <row r="249" spans="1:6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row>
    <row r="250" spans="1:6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row>
    <row r="251" spans="1:6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row>
    <row r="252" spans="1:6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row>
    <row r="253" spans="1:6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row>
    <row r="254" spans="1:6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row>
    <row r="255" spans="1:6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row>
    <row r="256" spans="1:6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row>
    <row r="257" spans="1:6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row>
    <row r="258" spans="1:6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row>
    <row r="259" spans="1:6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row>
    <row r="260" spans="1:6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row>
    <row r="261" spans="1:6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row>
    <row r="262" spans="1:6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row>
    <row r="263" spans="1:6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row>
    <row r="264" spans="1:6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row>
    <row r="265" spans="1:6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row>
    <row r="266" spans="1:6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row>
    <row r="267" spans="1:6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row>
    <row r="268" spans="1:6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row>
    <row r="269" spans="1:6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row>
    <row r="270" spans="1:6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row>
    <row r="271" spans="1:6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row>
    <row r="272" spans="1:6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row>
    <row r="273" spans="1:6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row>
    <row r="274" spans="1:6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row>
    <row r="275" spans="1:6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row>
    <row r="276" spans="1:6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row>
    <row r="277" spans="1:6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row>
    <row r="278" spans="1:6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row>
    <row r="279" spans="1:6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row>
    <row r="280" spans="1:6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row>
    <row r="281" spans="1:6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row>
    <row r="282" spans="1:6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row>
    <row r="283" spans="1:6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row>
    <row r="284" spans="1:6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row>
    <row r="285" spans="1:6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row>
    <row r="286" spans="1:6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row>
    <row r="287" spans="1:6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row>
    <row r="288" spans="1:6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row>
    <row r="289" spans="1:6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row>
    <row r="290" spans="1:6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row>
    <row r="291" spans="1:6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row>
    <row r="292" spans="1:6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row>
    <row r="293" spans="1:6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row>
    <row r="294" spans="1:6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row>
    <row r="295" spans="1:6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row>
    <row r="296" spans="1:6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row>
    <row r="297" spans="1:6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row>
    <row r="298" spans="1:6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row>
    <row r="299" spans="1:6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row>
    <row r="300" spans="1:6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row>
    <row r="301" spans="1:6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row>
    <row r="302" spans="1:6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row>
    <row r="303" spans="1:6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row>
    <row r="304" spans="1:6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row>
    <row r="305" spans="1:6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row>
    <row r="306" spans="1:6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row>
    <row r="307" spans="1:6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row>
    <row r="308" spans="1:6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row>
    <row r="309" spans="1:6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row>
    <row r="310" spans="1:6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row>
  </sheetData>
  <mergeCells count="45">
    <mergeCell ref="B136:I137"/>
    <mergeCell ref="B155:I163"/>
    <mergeCell ref="C164:H175"/>
    <mergeCell ref="B177:I179"/>
    <mergeCell ref="C5:C7"/>
    <mergeCell ref="B140:I152"/>
    <mergeCell ref="D125:D127"/>
    <mergeCell ref="B15:B17"/>
    <mergeCell ref="C15:D15"/>
    <mergeCell ref="E15:F15"/>
    <mergeCell ref="G15:H15"/>
    <mergeCell ref="C29:C31"/>
    <mergeCell ref="H16:H17"/>
    <mergeCell ref="G16:G17"/>
    <mergeCell ref="F16:F17"/>
    <mergeCell ref="E16:E17"/>
    <mergeCell ref="D16:D17"/>
    <mergeCell ref="C16:C17"/>
    <mergeCell ref="H125:H127"/>
    <mergeCell ref="G126:G127"/>
    <mergeCell ref="H95:H97"/>
    <mergeCell ref="G96:G97"/>
    <mergeCell ref="F96:F97"/>
    <mergeCell ref="C32:C34"/>
    <mergeCell ref="E26:G26"/>
    <mergeCell ref="B51:I52"/>
    <mergeCell ref="E58:E59"/>
    <mergeCell ref="F57:F59"/>
    <mergeCell ref="B43:I44"/>
    <mergeCell ref="F5:F6"/>
    <mergeCell ref="G5:G7"/>
    <mergeCell ref="E5:E7"/>
    <mergeCell ref="D5:D7"/>
    <mergeCell ref="F126:F127"/>
    <mergeCell ref="D26:D28"/>
    <mergeCell ref="B77:I79"/>
    <mergeCell ref="B104:I106"/>
    <mergeCell ref="B119:I120"/>
    <mergeCell ref="B112:I113"/>
    <mergeCell ref="E95:E97"/>
    <mergeCell ref="C96:C97"/>
    <mergeCell ref="G57:G59"/>
    <mergeCell ref="E125:E127"/>
    <mergeCell ref="C125:C127"/>
    <mergeCell ref="C26:C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Loss Ratio Method</vt:lpstr>
      <vt:lpstr>Implied Development</vt:lpstr>
      <vt:lpstr>Direct Development</vt:lpstr>
      <vt:lpstr>Cred Weighted</vt:lpstr>
      <vt:lpstr>LDF Relationships</vt:lpstr>
      <vt:lpstr>Distributional Model</vt:lpstr>
      <vt:lpstr>Agg Excess Ultimate</vt:lpstr>
      <vt:lpstr>Agg Excess Table M</vt:lpstr>
      <vt:lpstr>Service Revenue Asset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2026-07-21T14:16:58Z</dcterms:modified>
</cp:coreProperties>
</file>