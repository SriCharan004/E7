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AB79EA65-A8C1-9545-9053-339E01EEBD9E}" xr6:coauthVersionLast="47" xr6:coauthVersionMax="47" xr10:uidLastSave="{00000000-0000-0000-0000-000000000000}"/>
  <bookViews>
    <workbookView xWindow="1080" yWindow="500" windowWidth="17460" windowHeight="21100" xr2:uid="{00000000-000D-0000-FFFF-FFFF00000000}"/>
  </bookViews>
  <sheets>
    <sheet name="ODP GLM Setup" sheetId="17" r:id="rId1"/>
    <sheet name="Expected Loss from GLM" sheetId="18" r:id="rId2"/>
    <sheet name="ODP Bootstrap Model" sheetId="20" r:id="rId3"/>
    <sheet name="Std Pearson Residuals" sheetId="19" r:id="rId4"/>
    <sheet name="Negative Inc Values" sheetId="21" r:id="rId5"/>
    <sheet name="Heteroscedasticity-SD" sheetId="22" r:id="rId6"/>
    <sheet name="Heteroscedast-Scale" sheetId="25" r:id="rId7"/>
    <sheet name="Mult Models Same Vars" sheetId="23" r:id="rId8"/>
    <sheet name="Mult Models Indep Vars" sheetId="24" r:id="rId9"/>
  </sheets>
  <externalReferences>
    <externalReference r:id="rId10"/>
  </externalReferences>
  <definedNames>
    <definedName name="DesignMatrix">[1]Data!$B$39:$F$44</definedName>
    <definedName name="WeightMatrix">'Std Pearson Residuals'!$A$2:$F$7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22" l="1"/>
  <c r="C15" i="22"/>
  <c r="D78" i="22"/>
  <c r="E64" i="22"/>
  <c r="D52" i="22"/>
  <c r="D76" i="22"/>
  <c r="H19" i="22" l="1"/>
  <c r="C17" i="22"/>
  <c r="F56" i="24"/>
  <c r="E56" i="24"/>
  <c r="D56" i="24"/>
  <c r="F55" i="24"/>
  <c r="E55" i="24"/>
  <c r="D55" i="24"/>
  <c r="F54" i="24"/>
  <c r="E54" i="24"/>
  <c r="D54" i="24"/>
  <c r="F82" i="24"/>
  <c r="E82" i="24"/>
  <c r="D82" i="24"/>
  <c r="F81" i="24"/>
  <c r="E81" i="24"/>
  <c r="D81" i="24"/>
  <c r="F80" i="24"/>
  <c r="E80" i="24"/>
  <c r="D80" i="24"/>
  <c r="C81" i="24"/>
  <c r="C82" i="24"/>
  <c r="C75" i="24"/>
  <c r="C76" i="24"/>
  <c r="C80" i="24"/>
  <c r="C74" i="24"/>
  <c r="E17" i="22"/>
  <c r="E27" i="19"/>
  <c r="I27" i="18" l="1"/>
  <c r="D51" i="22"/>
  <c r="C51" i="22"/>
  <c r="G17" i="22"/>
  <c r="F17" i="22"/>
  <c r="H78" i="19"/>
  <c r="G35" i="17"/>
  <c r="G34" i="17"/>
  <c r="G33" i="17"/>
  <c r="I23" i="17"/>
  <c r="H23" i="17"/>
  <c r="G25" i="17"/>
  <c r="G24" i="17"/>
  <c r="G23" i="17"/>
  <c r="F45" i="21"/>
  <c r="E46" i="21"/>
  <c r="E45" i="21"/>
  <c r="D46" i="21"/>
  <c r="D47" i="21"/>
  <c r="D45" i="21"/>
  <c r="G15" i="22"/>
  <c r="F15" i="22"/>
  <c r="E15" i="22"/>
  <c r="D15" i="22"/>
  <c r="D46" i="24"/>
  <c r="C15" i="25"/>
  <c r="D15" i="25"/>
  <c r="E15" i="25"/>
  <c r="F15" i="25"/>
  <c r="G15" i="25"/>
  <c r="H15" i="25"/>
  <c r="F18" i="25"/>
  <c r="E50" i="25"/>
  <c r="D50" i="25"/>
  <c r="D38" i="25"/>
  <c r="D37" i="25"/>
  <c r="D88" i="21"/>
  <c r="D100" i="21" s="1"/>
  <c r="D89" i="21"/>
  <c r="D101" i="21" s="1"/>
  <c r="D67" i="21"/>
  <c r="D75" i="21" s="1"/>
  <c r="E66" i="21"/>
  <c r="E74" i="21" s="1"/>
  <c r="D66" i="21"/>
  <c r="D74" i="21" s="1"/>
  <c r="F65" i="21"/>
  <c r="F73" i="21" s="1"/>
  <c r="E65" i="21"/>
  <c r="D65" i="21"/>
  <c r="D73" i="21" s="1"/>
  <c r="E87" i="21" l="1"/>
  <c r="E99" i="21" s="1"/>
  <c r="G138" i="21" s="1"/>
  <c r="C52" i="22"/>
  <c r="E51" i="25"/>
  <c r="E88" i="21"/>
  <c r="E100" i="21" s="1"/>
  <c r="D51" i="25"/>
  <c r="D40" i="25"/>
  <c r="F87" i="21"/>
  <c r="F99" i="21" s="1"/>
  <c r="D87" i="21"/>
  <c r="D99" i="21" s="1"/>
  <c r="C66" i="22" l="1"/>
  <c r="C64" i="22"/>
  <c r="G62" i="22"/>
  <c r="F62" i="22"/>
  <c r="F63" i="22"/>
  <c r="G63" i="22"/>
  <c r="F64" i="22"/>
  <c r="E63" i="22"/>
  <c r="E62" i="22"/>
  <c r="C63" i="22"/>
  <c r="D62" i="22"/>
  <c r="D64" i="22"/>
  <c r="E60" i="25"/>
  <c r="D60" i="25"/>
  <c r="C62" i="22"/>
  <c r="E65" i="22"/>
  <c r="C43" i="20" l="1"/>
  <c r="C51" i="20" s="1"/>
  <c r="C44" i="20"/>
  <c r="C52" i="20" s="1"/>
  <c r="D43" i="20"/>
  <c r="E42" i="20"/>
  <c r="D42" i="20"/>
  <c r="C42" i="20"/>
  <c r="C50" i="20" s="1"/>
  <c r="C66" i="20" s="1"/>
  <c r="H27" i="18"/>
  <c r="D38" i="18" s="1"/>
  <c r="H28" i="18"/>
  <c r="D39" i="18" s="1"/>
  <c r="I26" i="18"/>
  <c r="E37" i="18" s="1"/>
  <c r="H26" i="18"/>
  <c r="D37" i="18" s="1"/>
  <c r="J26" i="18"/>
  <c r="F37" i="18" s="1"/>
  <c r="F48" i="24"/>
  <c r="E48" i="24"/>
  <c r="D48" i="24"/>
  <c r="F47" i="24"/>
  <c r="E47" i="24"/>
  <c r="D47" i="24"/>
  <c r="F46" i="24"/>
  <c r="E46" i="24"/>
  <c r="J47" i="23"/>
  <c r="I47" i="23"/>
  <c r="E47" i="23"/>
  <c r="D47" i="23"/>
  <c r="J46" i="23"/>
  <c r="E46" i="23"/>
  <c r="C67" i="22"/>
  <c r="F105" i="19"/>
  <c r="H80" i="19"/>
  <c r="I79" i="19"/>
  <c r="E93" i="19" s="1"/>
  <c r="H79" i="19"/>
  <c r="D93" i="19" s="1"/>
  <c r="J78" i="19"/>
  <c r="I78" i="19"/>
  <c r="E92" i="19" s="1"/>
  <c r="D92" i="19"/>
  <c r="D29" i="19"/>
  <c r="C47" i="19" s="1"/>
  <c r="H47" i="19" s="1"/>
  <c r="F59" i="19" s="1"/>
  <c r="D107" i="19" s="1"/>
  <c r="E28" i="19"/>
  <c r="D46" i="19" s="1"/>
  <c r="D28" i="19"/>
  <c r="F27" i="19"/>
  <c r="D27" i="19"/>
  <c r="E38" i="18"/>
  <c r="H25" i="17"/>
  <c r="H35" i="17" s="1"/>
  <c r="B65" i="17" s="1"/>
  <c r="I24" i="17"/>
  <c r="I34" i="17" s="1"/>
  <c r="B67" i="17" s="1"/>
  <c r="H24" i="17"/>
  <c r="H34" i="17" s="1"/>
  <c r="B64" i="17" s="1"/>
  <c r="J23" i="17"/>
  <c r="J33" i="17" s="1"/>
  <c r="B68" i="17" s="1"/>
  <c r="I33" i="17"/>
  <c r="B66" i="17" s="1"/>
  <c r="H33" i="17"/>
  <c r="B63" i="17" s="1"/>
  <c r="C68" i="20" l="1"/>
  <c r="H52" i="20"/>
  <c r="D51" i="20"/>
  <c r="C67" i="20"/>
  <c r="E54" i="23"/>
  <c r="D54" i="23"/>
  <c r="H62" i="22"/>
  <c r="D50" i="20"/>
  <c r="D32" i="19"/>
  <c r="E32" i="19"/>
  <c r="E45" i="19"/>
  <c r="D63" i="22"/>
  <c r="C65" i="22"/>
  <c r="D66" i="22"/>
  <c r="D65" i="22"/>
  <c r="H51" i="20" l="1"/>
  <c r="D67" i="20"/>
  <c r="E50" i="20"/>
  <c r="D66" i="20"/>
  <c r="C55" i="20"/>
  <c r="D68" i="20" s="1"/>
  <c r="D45" i="19"/>
  <c r="C45" i="19" s="1"/>
  <c r="C46" i="19"/>
  <c r="H46" i="19" s="1"/>
  <c r="F58" i="19" s="1"/>
  <c r="D106" i="19" s="1"/>
  <c r="I68" i="20" l="1"/>
  <c r="D95" i="20" s="1"/>
  <c r="D55" i="20"/>
  <c r="E68" i="20" s="1"/>
  <c r="H50" i="20"/>
  <c r="E66" i="20"/>
  <c r="J45" i="19"/>
  <c r="I46" i="19"/>
  <c r="G58" i="19" s="1"/>
  <c r="E106" i="19" s="1"/>
  <c r="H45" i="19"/>
  <c r="F57" i="19" s="1"/>
  <c r="J68" i="20" l="1"/>
  <c r="D56" i="20"/>
  <c r="E67" i="20"/>
  <c r="D105" i="19"/>
  <c r="I45" i="19"/>
  <c r="E95" i="20" l="1"/>
  <c r="H95" i="20" s="1"/>
  <c r="J67" i="20"/>
  <c r="I51" i="20"/>
  <c r="J51" i="20" s="1"/>
  <c r="C56" i="20"/>
  <c r="I52" i="20" s="1"/>
  <c r="J52" i="20" s="1"/>
  <c r="G57" i="19"/>
  <c r="E105" i="19" s="1"/>
  <c r="G70" i="19"/>
  <c r="E94" i="20" l="1"/>
  <c r="H94" i="20" s="1"/>
  <c r="H96" i="20" s="1"/>
  <c r="J5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E73" authorId="0" shapeId="0" xr:uid="{840E0FFA-EFD1-B943-B91B-A1F991F44D82}">
      <text>
        <r>
          <rPr>
            <b/>
            <sz val="10"/>
            <color rgb="FF000000"/>
            <rFont val="Tahoma"/>
            <family val="2"/>
          </rPr>
          <t>Rising Fellow:</t>
        </r>
        <r>
          <rPr>
            <sz val="10"/>
            <color rgb="FF000000"/>
            <rFont val="Tahoma"/>
            <family val="2"/>
          </rPr>
          <t xml:space="preserve">
</t>
        </r>
        <r>
          <rPr>
            <sz val="10"/>
            <color rgb="FF000000"/>
            <rFont val="Calibri"/>
            <family val="2"/>
            <scheme val="minor"/>
          </rPr>
          <t>Set ln(0) = 0</t>
        </r>
      </text>
    </comment>
  </commentList>
</comments>
</file>

<file path=xl/sharedStrings.xml><?xml version="1.0" encoding="utf-8"?>
<sst xmlns="http://schemas.openxmlformats.org/spreadsheetml/2006/main" count="580" uniqueCount="391">
  <si>
    <t>a.</t>
  </si>
  <si>
    <t>b.</t>
  </si>
  <si>
    <t>Solution</t>
  </si>
  <si>
    <t>Accident Year</t>
  </si>
  <si>
    <t>12 Months</t>
  </si>
  <si>
    <t>24 Months</t>
  </si>
  <si>
    <t>36 Months</t>
  </si>
  <si>
    <t>AY</t>
  </si>
  <si>
    <t>Y</t>
  </si>
  <si>
    <t>=</t>
  </si>
  <si>
    <t>X</t>
  </si>
  <si>
    <t>x</t>
  </si>
  <si>
    <t>A</t>
  </si>
  <si>
    <t>-</t>
  </si>
  <si>
    <t>⍺_1</t>
  </si>
  <si>
    <t>⍺_2</t>
  </si>
  <si>
    <t>β_2</t>
  </si>
  <si>
    <t>β_3</t>
  </si>
  <si>
    <t>Model Parameters</t>
  </si>
  <si>
    <t>Parameter</t>
  </si>
  <si>
    <t>Coefficient</t>
  </si>
  <si>
    <t>Calculate the expected incremental loss triangle.</t>
  </si>
  <si>
    <t>Given the following information from an Over-Dispersed Poisson bootstrap model:</t>
  </si>
  <si>
    <t>Incremental Losses</t>
  </si>
  <si>
    <t>Hat Matrix</t>
  </si>
  <si>
    <t>Calculate the scale parameter for the model and the standardized Pearson residuals.</t>
  </si>
  <si>
    <t>Cumulative Losses</t>
  </si>
  <si>
    <t>1 - 2</t>
  </si>
  <si>
    <t>2 - 3</t>
  </si>
  <si>
    <t>LDF</t>
  </si>
  <si>
    <t>Fitted Incremental Losses</t>
  </si>
  <si>
    <t>Unscaled Pearson Residuals</t>
  </si>
  <si>
    <t>Given the following information for an Over-Dispersed Poisson bootstrap model:</t>
  </si>
  <si>
    <t>Standardized Pearson Residuals</t>
  </si>
  <si>
    <t>Sampled Standardized</t>
  </si>
  <si>
    <t>Pearson Residual Locations</t>
  </si>
  <si>
    <t>Calculate the unpaid loss estimate for accident years 2-3 from this bootstrap simulation before process</t>
  </si>
  <si>
    <t>variance is added to the simulated losses.</t>
  </si>
  <si>
    <t>1-2</t>
  </si>
  <si>
    <t>2-3</t>
  </si>
  <si>
    <t>CDF</t>
  </si>
  <si>
    <t>Total</t>
  </si>
  <si>
    <t>Projected Cumulative Losses</t>
  </si>
  <si>
    <t>Incremental Data w/ Process Variance</t>
  </si>
  <si>
    <t>bootstrap model.</t>
  </si>
  <si>
    <t xml:space="preserve"> </t>
  </si>
  <si>
    <t>Two bootstrap models using the chain ladder and Bornhuetter-Ferguson methods were run to estimate</t>
  </si>
  <si>
    <t>Chain Ladder Model</t>
  </si>
  <si>
    <t xml:space="preserve"> Iteration 1</t>
  </si>
  <si>
    <t xml:space="preserve"> Iteration 2</t>
  </si>
  <si>
    <t>Bornhuetter-Ferguson Model</t>
  </si>
  <si>
    <t>Model Weights by Accident Year</t>
  </si>
  <si>
    <t>Chain Ladder</t>
  </si>
  <si>
    <t>Bornhuetter-Ferguson</t>
  </si>
  <si>
    <t>Calculate the total unpaid loss for each iteration after weighting the chain ladder and Bornhuetter-Ferguson models.</t>
  </si>
  <si>
    <t xml:space="preserve">Iteration Unpaid Losses ($000) </t>
  </si>
  <si>
    <t xml:space="preserve">Total Unpaid </t>
  </si>
  <si>
    <t>Bootstrap Model Unpaid Losses ($000)</t>
  </si>
  <si>
    <t>Chain</t>
  </si>
  <si>
    <t>Bornhuetter-</t>
  </si>
  <si>
    <t>Ladder</t>
  </si>
  <si>
    <t>Ferguson</t>
  </si>
  <si>
    <t>Below are random values from [0,1] for each accident year and iteration to mix the two models:</t>
  </si>
  <si>
    <t>Reported Losses</t>
  </si>
  <si>
    <t>A GLM with a log-link function and an Over-Dispersed Poisson model is fit to the data.</t>
  </si>
  <si>
    <t>Specify the model in Matrix notation and briefly discuss how the parameters are solved for.</t>
  </si>
  <si>
    <t>⍺_3</t>
  </si>
  <si>
    <t>An actuary fit a GLM with a log-link function and Over-Dispersed Poisson error distribution to a triangle</t>
  </si>
  <si>
    <t>of incremental losses. The fitted model parameters are below:</t>
  </si>
  <si>
    <t>Standardized Pearson residuals are sampled with replacement for the bootstrap model. Below is a random</t>
  </si>
  <si>
    <t>sampling of the residuals for a particular simulation.</t>
  </si>
  <si>
    <t>Describe how process variance can be incorporated in the simulation of incremental losses.</t>
  </si>
  <si>
    <t>Est. Unpaid</t>
  </si>
  <si>
    <t>Calculate the projected cumulative losses and incremental losses for the sampled triangle using the LDFs.</t>
  </si>
  <si>
    <t>A GLM bootstrap model with a log-link function and an Over-Dispersed Poisson error distribution is used</t>
  </si>
  <si>
    <t>on the following triangle of incremental losses.</t>
  </si>
  <si>
    <t>Demonstrate how to adjust the model to handle the negative incremental value.</t>
  </si>
  <si>
    <t>Demonstrate how to adjust the model to handle the negative incremental value if the incremental value</t>
  </si>
  <si>
    <t>Incremental Losses (part b)</t>
  </si>
  <si>
    <t>The GLM was fit on the log-link triangle  adjusted with ψ = -350.</t>
  </si>
  <si>
    <t>Part a: Sum of the incremental losses in the development column is &gt; 0</t>
  </si>
  <si>
    <t>Part b: Sum of the development column is &lt; 0</t>
  </si>
  <si>
    <t>After adjusting the log-link triangle, proceed normally with the rest of the bootstrap model.</t>
  </si>
  <si>
    <t xml:space="preserve">ψ = </t>
  </si>
  <si>
    <t>Adjusted Incremental Losses</t>
  </si>
  <si>
    <t>After running the GLM and backing out the adjustment factor to get the fitted incremental values, proceed</t>
  </si>
  <si>
    <t>with calculating the residuals for the bootstrap model.</t>
  </si>
  <si>
    <t>Given the following information from a bootstrap model using a GLM with a log link function and</t>
  </si>
  <si>
    <t>Over-Dispersed Poisson error distribution:</t>
  </si>
  <si>
    <t>For iteration #183 of the bootstrap model, the following standardized residuals adjusted for</t>
  </si>
  <si>
    <t>heteroscedasticity were sampled for accident year 4.</t>
  </si>
  <si>
    <t>Calculate the standardized Pearson residuals for accident year 3, adjusting for heteroscedasticity.</t>
  </si>
  <si>
    <t>Calculate the simulated incremental loss for accident year 4 at age 2 that is used in iteration #183 of the</t>
  </si>
  <si>
    <t>Calculate hetero-adjustment factors for each group</t>
  </si>
  <si>
    <t>3-5</t>
  </si>
  <si>
    <t>Calculate the sample incremental loss triangle with the hetero-adjustment factor backed out.</t>
  </si>
  <si>
    <t xml:space="preserve">Given the following information from a bootstrap model using a GLM with a log link function and </t>
  </si>
  <si>
    <t>Calculate the hetero-adjustment factors for the two heteroscedasticity groups, using different scale</t>
  </si>
  <si>
    <t>parameters for each group.</t>
  </si>
  <si>
    <t>Discuss how the hetero-adjustment factors should be used in a bootstrap model using the GLM framework.</t>
  </si>
  <si>
    <t>3-6</t>
  </si>
  <si>
    <t xml:space="preserve">N = </t>
  </si>
  <si>
    <t xml:space="preserve">p = </t>
  </si>
  <si>
    <t>(6 AYs, 5 LDFs and 1 hetero parameter)</t>
  </si>
  <si>
    <t>3 - When adding process variance to the forecasted incremental losses, use the group’s scale parameter:</t>
  </si>
  <si>
    <t>unpaid losses. Below are the unpaid incremental losses ($000) from the first two iterations of the models.</t>
  </si>
  <si>
    <t>Calculate weighted incremental losses for each iteration by accident year.</t>
  </si>
  <si>
    <t>Calculate the total unpaid loss for each iteration.</t>
  </si>
  <si>
    <t>Both a chain ladder and Bornhuetter-Ferguson bootstrap model were run with independent random</t>
  </si>
  <si>
    <t>variables. Below are the total unpaid losses by accident year for the first three iterations of the two models.</t>
  </si>
  <si>
    <t>Calculate the unpaid losses by accident year for the three iterations as a weighted mixture of the two</t>
  </si>
  <si>
    <t>bootstrap models.</t>
  </si>
  <si>
    <t>Randomly select a model for each iteration by accident year using the selected weights.</t>
  </si>
  <si>
    <t>Iteration Unpaid Losses ($000)</t>
  </si>
  <si>
    <t>Discussion</t>
  </si>
  <si>
    <t>Error distribution</t>
  </si>
  <si>
    <t>z</t>
  </si>
  <si>
    <t>Normal</t>
  </si>
  <si>
    <t>Poisson</t>
  </si>
  <si>
    <t>Gamma</t>
  </si>
  <si>
    <t>Shapland – pg. 8-10</t>
  </si>
  <si>
    <t>More Practice</t>
  </si>
  <si>
    <t xml:space="preserve">CAS 2018 – 13 </t>
  </si>
  <si>
    <t>CAS 2013 – 7</t>
  </si>
  <si>
    <t>CAS 2011 – 7</t>
  </si>
  <si>
    <t>RF Shapland – 1</t>
  </si>
  <si>
    <t>Source</t>
  </si>
  <si>
    <t>Shapland – pg. 10</t>
  </si>
  <si>
    <t>RF Shapland – 2</t>
  </si>
  <si>
    <t>RF Shapland – 10</t>
  </si>
  <si>
    <t>Heteroscedasticity (when standardized Pearson residuals still have different variability)</t>
  </si>
  <si>
    <t>Difference between Scaled and Standardized Pearson Residuals</t>
  </si>
  <si>
    <t>Shapland – pg. 11-13</t>
  </si>
  <si>
    <t>RF Shapland – 3</t>
  </si>
  <si>
    <t>Negative Values during Simulation</t>
  </si>
  <si>
    <t>Option 1: Change the sign of the simulated value</t>
  </si>
  <si>
    <r>
      <t>Distribution based on the absolute value of m</t>
    </r>
    <r>
      <rPr>
        <u/>
        <vertAlign val="subscript"/>
        <sz val="14"/>
        <color theme="1"/>
        <rFont val="Calibri"/>
        <family val="2"/>
      </rPr>
      <t>w,d</t>
    </r>
  </si>
  <si>
    <r>
      <t>Option 2: Shift the entire distribution to have a mean of m</t>
    </r>
    <r>
      <rPr>
        <u/>
        <vertAlign val="subscript"/>
        <sz val="14"/>
        <color theme="1"/>
        <rFont val="Calibri"/>
        <family val="2"/>
      </rPr>
      <t>w,d</t>
    </r>
  </si>
  <si>
    <t xml:space="preserve">CAS 2018 – 1 </t>
  </si>
  <si>
    <t>RF Shapland – 4</t>
  </si>
  <si>
    <t>RF Shapland – 9</t>
  </si>
  <si>
    <t>Two Types of Adjustments</t>
  </si>
  <si>
    <t>Sum of the development column is &gt; 0:</t>
  </si>
  <si>
    <t>Sum of the development column is &lt; 0:</t>
  </si>
  <si>
    <t>Why we can’t use negative incremental losses in the GLM</t>
  </si>
  <si>
    <t>Unscaled Pearson Residual - Adjustment for Negative Fitted Incremental Losses</t>
  </si>
  <si>
    <r>
      <t>If m</t>
    </r>
    <r>
      <rPr>
        <vertAlign val="subscript"/>
        <sz val="12"/>
        <color theme="1"/>
        <rFont val="Calibri"/>
        <family val="2"/>
      </rPr>
      <t>w,d</t>
    </r>
    <r>
      <rPr>
        <sz val="12"/>
        <color theme="1"/>
        <rFont val="Calibri"/>
        <family val="2"/>
      </rPr>
      <t xml:space="preserve"> &lt;0, then we need to use the following unscaled Pearson residual formula:</t>
    </r>
  </si>
  <si>
    <t>Example calculation based on part b:</t>
  </si>
  <si>
    <t>Shapland – pg. 20-22</t>
  </si>
  <si>
    <t>CAS 2015 – 11</t>
  </si>
  <si>
    <t>RF Shapland – 5</t>
  </si>
  <si>
    <t xml:space="preserve">Here’s what it’d look like if we didn’t do the adjustment:   </t>
  </si>
  <si>
    <t xml:space="preserve">   </t>
  </si>
  <si>
    <t>Heteroscedasticity Adjustment in the Bootstrap Model</t>
  </si>
  <si>
    <t>Standardized Residuals and the Heteroscedasticity Adjustment</t>
  </si>
  <si>
    <t>Shapland – pg. 25-27</t>
  </si>
  <si>
    <t xml:space="preserve">CAS 2019 – 10 </t>
  </si>
  <si>
    <t xml:space="preserve">CAS 2018 – 11 </t>
  </si>
  <si>
    <t>CAS 2016 – 14</t>
  </si>
  <si>
    <t>CAS 2015 – 10</t>
  </si>
  <si>
    <t>CAS 2014 – 7</t>
  </si>
  <si>
    <t>RF Shapland – 6</t>
  </si>
  <si>
    <t>Shapland – pg. 27</t>
  </si>
  <si>
    <t xml:space="preserve">When the same random variables are used to sample the residuals for each model, weight together </t>
  </si>
  <si>
    <t xml:space="preserve">different models at the iteration level. </t>
  </si>
  <si>
    <t>Shapland – pg. 45-47</t>
  </si>
  <si>
    <t>RF Shapland – 7</t>
  </si>
  <si>
    <t xml:space="preserve">Alternative Solution </t>
  </si>
  <si>
    <t>The selected models for this alternative solution would be:</t>
  </si>
  <si>
    <t>BF</t>
  </si>
  <si>
    <t>CL</t>
  </si>
  <si>
    <t>RF Shapland – 8</t>
  </si>
  <si>
    <t>Part a - ODP Bootstrap Simulation Reserve Estimate</t>
  </si>
  <si>
    <t>Part b - Incorporating Process Variance in an ODP Bootstrap Model</t>
  </si>
  <si>
    <t>Part a - Adjust the residual triangle for heteroscedasticity before sampling</t>
  </si>
  <si>
    <t>Part b - Backing out the heteroscedasticity adjustment</t>
  </si>
  <si>
    <t xml:space="preserve">Part b - Backing out the heteroscedasticity adjustment </t>
  </si>
  <si>
    <t>1)</t>
  </si>
  <si>
    <t>2)</t>
  </si>
  <si>
    <t>3)</t>
  </si>
  <si>
    <t>4)</t>
  </si>
  <si>
    <t>5)</t>
  </si>
  <si>
    <t>6)</t>
  </si>
  <si>
    <t>7)</t>
  </si>
  <si>
    <t>Shapland - Over-Dispersed Poisson GLM Setup</t>
  </si>
  <si>
    <t>Shapland - Expected Incremental Losses from GLM</t>
  </si>
  <si>
    <t>Shapland - Standardized Pearson Residuals</t>
  </si>
  <si>
    <t>Shapland - ODP Bootstrap Model</t>
  </si>
  <si>
    <t>Shapland - Negative Incremental Values</t>
  </si>
  <si>
    <t>Shapland - Heteroscedasticity Fix: Standard Deviation</t>
  </si>
  <si>
    <t>Shapland - Heteroscedasticity Fix: Scale Parameter</t>
  </si>
  <si>
    <t>Shapland - Multiple Models: Same Random Variables</t>
  </si>
  <si>
    <t>Shapland - Multiple Models: Independent Variables</t>
  </si>
  <si>
    <t>•  Both bootstrap models used the same random variables to simulate losses</t>
  </si>
  <si>
    <t>•  The total sum squared of residuals for the loss triangle is:</t>
  </si>
  <si>
    <t>•  The standard deviation of the standardized Pearson residuals is:</t>
  </si>
  <si>
    <t>•  Assume losses are fully developed at development period 3.</t>
  </si>
  <si>
    <t>•  The scale parameter for the Over-Dispersed Poisson model is 1.31.</t>
  </si>
  <si>
    <t>Accident 
Year</t>
  </si>
  <si>
    <t>Standardized Pearson Residuals - r(H)</t>
  </si>
  <si>
    <t>Hetero Group (i)</t>
  </si>
  <si>
    <t>Sum Squared residuals</t>
  </si>
  <si>
    <t>Unscaled Pearson Residuals - r(w,d)</t>
  </si>
  <si>
    <t>Calculate the incremental loss triangle, q(w,d).</t>
  </si>
  <si>
    <t>Calculate the log-link triangle.</t>
  </si>
  <si>
    <t>Incremental Loss</t>
  </si>
  <si>
    <t>q(1,1)</t>
  </si>
  <si>
    <t>q(2,1)</t>
  </si>
  <si>
    <t>q(3,1)</t>
  </si>
  <si>
    <t>q(1,2)</t>
  </si>
  <si>
    <t>q(1,3)</t>
  </si>
  <si>
    <t>q(2,2)</t>
  </si>
  <si>
    <t>Log Loss</t>
  </si>
  <si>
    <t>ln[q(1,1)]</t>
  </si>
  <si>
    <t>ln[q(2,1)]</t>
  </si>
  <si>
    <t>ln[q(3,1)]</t>
  </si>
  <si>
    <t>ln[q(1,2)]</t>
  </si>
  <si>
    <t>ln[q(2,2)]</t>
  </si>
  <si>
    <t>ln[q(1,3)]</t>
  </si>
  <si>
    <t xml:space="preserve">Specify the model framework. </t>
  </si>
  <si>
    <t>Note:</t>
  </si>
  <si>
    <t>This assumes an OPD error distribution</t>
  </si>
  <si>
    <t>Expected Losses</t>
  </si>
  <si>
    <t>Variance</t>
  </si>
  <si>
    <t>Specify the model in matrix notation to solve.</t>
  </si>
  <si>
    <r>
      <t xml:space="preserve">Y </t>
    </r>
    <r>
      <rPr>
        <sz val="12"/>
        <color theme="1"/>
        <rFont val="Calibri"/>
        <family val="2"/>
      </rPr>
      <t>– Vector of  the log-link triangle</t>
    </r>
  </si>
  <si>
    <r>
      <t xml:space="preserve">A </t>
    </r>
    <r>
      <rPr>
        <sz val="12"/>
        <color theme="1"/>
        <rFont val="Calibri"/>
        <family val="2"/>
      </rPr>
      <t xml:space="preserve">– Vector of the α and β model parameters </t>
    </r>
  </si>
  <si>
    <r>
      <t xml:space="preserve">X </t>
    </r>
    <r>
      <rPr>
        <sz val="12"/>
        <color theme="1"/>
        <rFont val="Calibri"/>
        <family val="2"/>
      </rPr>
      <t>– Design Matrix to solve the specified model</t>
    </r>
  </si>
  <si>
    <r>
      <t>α</t>
    </r>
    <r>
      <rPr>
        <vertAlign val="subscript"/>
        <sz val="12"/>
        <color theme="1"/>
        <rFont val="Calibri"/>
        <family val="2"/>
      </rPr>
      <t>1</t>
    </r>
  </si>
  <si>
    <r>
      <t>α</t>
    </r>
    <r>
      <rPr>
        <vertAlign val="subscript"/>
        <sz val="12"/>
        <color theme="1"/>
        <rFont val="Calibri"/>
        <family val="2"/>
      </rPr>
      <t>2</t>
    </r>
  </si>
  <si>
    <r>
      <t>α</t>
    </r>
    <r>
      <rPr>
        <vertAlign val="subscript"/>
        <sz val="12"/>
        <color theme="1"/>
        <rFont val="Calibri"/>
        <family val="2"/>
      </rPr>
      <t>3</t>
    </r>
  </si>
  <si>
    <t>Accident Year 2021 at 36 months (w=1, d=3):</t>
  </si>
  <si>
    <t>Set up the Solution Matrix (Weight Matrix).</t>
  </si>
  <si>
    <r>
      <rPr>
        <b/>
        <sz val="12"/>
        <color theme="1"/>
        <rFont val="Calibri"/>
        <family val="2"/>
      </rPr>
      <t>Solution Matrix</t>
    </r>
    <r>
      <rPr>
        <sz val="12"/>
        <color theme="1"/>
        <rFont val="Calibri"/>
        <family val="2"/>
      </rPr>
      <t xml:space="preserve"> – Vector of </t>
    </r>
  </si>
  <si>
    <r>
      <rPr>
        <b/>
        <sz val="12"/>
        <color theme="1"/>
        <rFont val="Calibri"/>
        <family val="2"/>
      </rPr>
      <t>A</t>
    </r>
    <r>
      <rPr>
        <sz val="12"/>
        <color theme="1"/>
        <rFont val="Calibri"/>
        <family val="2"/>
      </rPr>
      <t xml:space="preserve"> – Vector of the fitted α and β model parameters</t>
    </r>
  </si>
  <si>
    <t>Discuss how the α and β parameters are solved for.</t>
  </si>
  <si>
    <r>
      <t xml:space="preserve">The model is fitted by solving for the parameters in vector </t>
    </r>
    <r>
      <rPr>
        <b/>
        <sz val="12"/>
        <color theme="1"/>
        <rFont val="Calibri"/>
        <family val="2"/>
      </rPr>
      <t>A</t>
    </r>
    <r>
      <rPr>
        <sz val="12"/>
        <color theme="1"/>
        <rFont val="Calibri"/>
        <family val="2"/>
      </rPr>
      <t xml:space="preserve"> that minimize the squared difference between the vector of the log of </t>
    </r>
    <r>
      <rPr>
        <i/>
        <u/>
        <sz val="12"/>
        <color theme="1"/>
        <rFont val="Calibri"/>
        <family val="2"/>
      </rPr>
      <t>actual</t>
    </r>
    <r>
      <rPr>
        <sz val="12"/>
        <color theme="1"/>
        <rFont val="Calibri"/>
        <family val="2"/>
      </rPr>
      <t xml:space="preserve"> incremental losses (</t>
    </r>
    <r>
      <rPr>
        <b/>
        <sz val="12"/>
        <color theme="1"/>
        <rFont val="Calibri"/>
        <family val="2"/>
      </rPr>
      <t>Y</t>
    </r>
    <r>
      <rPr>
        <sz val="12"/>
        <color theme="1"/>
        <rFont val="Calibri"/>
        <family val="2"/>
      </rPr>
      <t xml:space="preserve">) and the log of </t>
    </r>
    <r>
      <rPr>
        <i/>
        <u/>
        <sz val="12"/>
        <color theme="1"/>
        <rFont val="Calibri"/>
        <family val="2"/>
      </rPr>
      <t>expected</t>
    </r>
    <r>
      <rPr>
        <sz val="12"/>
        <color theme="1"/>
        <rFont val="Calibri"/>
        <family val="2"/>
      </rPr>
      <t xml:space="preserve"> incremental losses (</t>
    </r>
    <r>
      <rPr>
        <b/>
        <sz val="12"/>
        <color theme="1"/>
        <rFont val="Calibri"/>
        <family val="2"/>
      </rPr>
      <t>Solution Matrix</t>
    </r>
    <r>
      <rPr>
        <sz val="12"/>
        <color theme="1"/>
        <rFont val="Calibri"/>
        <family val="2"/>
      </rPr>
      <t xml:space="preserve">). </t>
    </r>
  </si>
  <si>
    <r>
      <t xml:space="preserve">Solve for the parameters in </t>
    </r>
    <r>
      <rPr>
        <b/>
        <sz val="12"/>
        <color theme="1"/>
        <rFont val="Calibri"/>
        <family val="2"/>
      </rPr>
      <t>A</t>
    </r>
    <r>
      <rPr>
        <sz val="12"/>
        <color theme="1"/>
        <rFont val="Calibri"/>
        <family val="2"/>
      </rPr>
      <t xml:space="preserve"> iteratively with weighted least squares, maximum likelihood or with the Newton-Raphson method.</t>
    </r>
  </si>
  <si>
    <t xml:space="preserve">A twist to this question would be to use a different error distribution. If a different error distribution is used, the variance equation is: </t>
  </si>
  <si>
    <r>
      <t>Another twist is that the model could be specified differently due to the flexibility of the GLM framework. For example, there could be one accident year α</t>
    </r>
    <r>
      <rPr>
        <vertAlign val="subscript"/>
        <sz val="12"/>
        <color theme="1"/>
        <rFont val="Calibri"/>
        <family val="2"/>
      </rPr>
      <t xml:space="preserve">1 </t>
    </r>
    <r>
      <rPr>
        <sz val="12"/>
        <color theme="1"/>
        <rFont val="Calibri"/>
        <family val="2"/>
      </rPr>
      <t>parameter used for all accident years or a calendar-year parameter, γ</t>
    </r>
    <r>
      <rPr>
        <vertAlign val="subscript"/>
        <sz val="12"/>
        <color theme="1"/>
        <rFont val="Calibri"/>
        <family val="2"/>
      </rPr>
      <t>k</t>
    </r>
    <r>
      <rPr>
        <sz val="12"/>
        <color theme="1"/>
        <rFont val="Calibri"/>
        <family val="2"/>
      </rPr>
      <t xml:space="preserve">  , could be included. In this case, adjust the design matrix and vector A.</t>
    </r>
  </si>
  <si>
    <r>
      <t>Calculate η</t>
    </r>
    <r>
      <rPr>
        <b/>
        <vertAlign val="subscript"/>
        <sz val="12"/>
        <color theme="1"/>
        <rFont val="Calibri"/>
        <family val="2"/>
      </rPr>
      <t>w,d</t>
    </r>
    <r>
      <rPr>
        <b/>
        <sz val="12"/>
        <color theme="1"/>
        <rFont val="Calibri"/>
        <family val="2"/>
      </rPr>
      <t>, the log of the expected incremental losses.</t>
    </r>
  </si>
  <si>
    <r>
      <t>η</t>
    </r>
    <r>
      <rPr>
        <vertAlign val="subscript"/>
        <sz val="12"/>
        <color theme="1"/>
        <rFont val="Calibri"/>
        <family val="2"/>
      </rPr>
      <t>w,d</t>
    </r>
  </si>
  <si>
    <r>
      <t>α</t>
    </r>
    <r>
      <rPr>
        <vertAlign val="subscript"/>
        <sz val="12"/>
        <color theme="1"/>
        <rFont val="Calibri"/>
        <family val="2"/>
      </rPr>
      <t>1</t>
    </r>
    <r>
      <rPr>
        <sz val="12"/>
        <color theme="1"/>
        <rFont val="Calibri"/>
        <family val="2"/>
      </rPr>
      <t>+β</t>
    </r>
    <r>
      <rPr>
        <vertAlign val="subscript"/>
        <sz val="12"/>
        <color theme="1"/>
        <rFont val="Calibri"/>
        <family val="2"/>
      </rPr>
      <t>2</t>
    </r>
  </si>
  <si>
    <r>
      <t>α</t>
    </r>
    <r>
      <rPr>
        <vertAlign val="subscript"/>
        <sz val="12"/>
        <color theme="1"/>
        <rFont val="Calibri"/>
        <family val="2"/>
      </rPr>
      <t>2</t>
    </r>
    <r>
      <rPr>
        <sz val="12"/>
        <color theme="1"/>
        <rFont val="Calibri"/>
        <family val="2"/>
      </rPr>
      <t>+β</t>
    </r>
    <r>
      <rPr>
        <vertAlign val="subscript"/>
        <sz val="12"/>
        <color theme="1"/>
        <rFont val="Calibri"/>
        <family val="2"/>
      </rPr>
      <t>2</t>
    </r>
  </si>
  <si>
    <r>
      <t>α</t>
    </r>
    <r>
      <rPr>
        <vertAlign val="subscript"/>
        <sz val="12"/>
        <color theme="1"/>
        <rFont val="Calibri"/>
        <family val="2"/>
      </rPr>
      <t>1</t>
    </r>
    <r>
      <rPr>
        <sz val="12"/>
        <color theme="1"/>
        <rFont val="Calibri"/>
        <family val="2"/>
      </rPr>
      <t>+β</t>
    </r>
    <r>
      <rPr>
        <vertAlign val="subscript"/>
        <sz val="12"/>
        <color theme="1"/>
        <rFont val="Calibri"/>
        <family val="2"/>
      </rPr>
      <t>2</t>
    </r>
    <r>
      <rPr>
        <sz val="12"/>
        <color theme="1"/>
        <rFont val="Calibri"/>
        <family val="2"/>
      </rPr>
      <t>+β</t>
    </r>
    <r>
      <rPr>
        <vertAlign val="subscript"/>
        <sz val="12"/>
        <color theme="1"/>
        <rFont val="Calibri"/>
        <family val="2"/>
      </rPr>
      <t>3</t>
    </r>
  </si>
  <si>
    <r>
      <t>Calculate m</t>
    </r>
    <r>
      <rPr>
        <b/>
        <vertAlign val="subscript"/>
        <sz val="12"/>
        <color theme="1"/>
        <rFont val="Calibri"/>
        <family val="2"/>
      </rPr>
      <t>w,d</t>
    </r>
    <r>
      <rPr>
        <b/>
        <sz val="12"/>
        <color theme="1"/>
        <rFont val="Calibri"/>
        <family val="2"/>
      </rPr>
      <t>, the expected incremental loss triangle.</t>
    </r>
  </si>
  <si>
    <r>
      <t>Expected Incremental Losses, m</t>
    </r>
    <r>
      <rPr>
        <u/>
        <vertAlign val="subscript"/>
        <sz val="12"/>
        <color theme="1"/>
        <rFont val="Calibri"/>
        <family val="2"/>
      </rPr>
      <t>w,d</t>
    </r>
  </si>
  <si>
    <r>
      <t>Log of Expected Incremental Losses, η</t>
    </r>
    <r>
      <rPr>
        <u/>
        <vertAlign val="subscript"/>
        <sz val="12"/>
        <color theme="1"/>
        <rFont val="Calibri"/>
        <family val="2"/>
      </rPr>
      <t>w,d</t>
    </r>
  </si>
  <si>
    <t xml:space="preserve">Use the fitted parameters from the model to calculate the expected incremental losses with the GLM framework. </t>
  </si>
  <si>
    <r>
      <t>A potential twist to this problem is if the parameters include a constant term. In this case, the formula for  n</t>
    </r>
    <r>
      <rPr>
        <vertAlign val="subscript"/>
        <sz val="12"/>
        <color theme="1"/>
        <rFont val="Calibri"/>
        <family val="2"/>
      </rPr>
      <t>w,d</t>
    </r>
    <r>
      <rPr>
        <sz val="12"/>
        <color theme="1"/>
        <rFont val="Calibri"/>
        <family val="2"/>
      </rPr>
      <t xml:space="preserve"> is:</t>
    </r>
  </si>
  <si>
    <t>Start with the latest diagonal and divide out the LDFs to calculate the fitted cumulative losses for each cell of the triangle.</t>
  </si>
  <si>
    <t xml:space="preserve">Fitted Cumulative Losses </t>
  </si>
  <si>
    <t xml:space="preserve">Fitted Incremental Losses </t>
  </si>
  <si>
    <t>Calculate the unscaled Pearson residuals.</t>
  </si>
  <si>
    <t>Poisson (ODP)</t>
  </si>
  <si>
    <t>For a simple GLM:</t>
  </si>
  <si>
    <t>𝜙 =</t>
  </si>
  <si>
    <t>Re-order the Hat Matrix diagonal into a triangle. This will be used to adjust the residuals for each cell.</t>
  </si>
  <si>
    <t>Hat Matrix Triangle</t>
  </si>
  <si>
    <r>
      <t>H</t>
    </r>
    <r>
      <rPr>
        <vertAlign val="subscript"/>
        <sz val="12"/>
        <color theme="1"/>
        <rFont val="Calibri"/>
        <family val="2"/>
      </rPr>
      <t>1,1</t>
    </r>
  </si>
  <si>
    <r>
      <t>H</t>
    </r>
    <r>
      <rPr>
        <vertAlign val="subscript"/>
        <sz val="12"/>
        <color theme="1"/>
        <rFont val="Calibri"/>
        <family val="2"/>
      </rPr>
      <t>2,2</t>
    </r>
  </si>
  <si>
    <r>
      <t>H</t>
    </r>
    <r>
      <rPr>
        <vertAlign val="subscript"/>
        <sz val="12"/>
        <color theme="1"/>
        <rFont val="Calibri"/>
        <family val="2"/>
      </rPr>
      <t>3,3</t>
    </r>
  </si>
  <si>
    <r>
      <t>H</t>
    </r>
    <r>
      <rPr>
        <vertAlign val="subscript"/>
        <sz val="12"/>
        <color theme="1"/>
        <rFont val="Calibri"/>
        <family val="2"/>
      </rPr>
      <t>4,4</t>
    </r>
  </si>
  <si>
    <r>
      <t>H</t>
    </r>
    <r>
      <rPr>
        <vertAlign val="subscript"/>
        <sz val="12"/>
        <color theme="1"/>
        <rFont val="Calibri"/>
        <family val="2"/>
      </rPr>
      <t>5,5</t>
    </r>
  </si>
  <si>
    <r>
      <t>H</t>
    </r>
    <r>
      <rPr>
        <vertAlign val="subscript"/>
        <sz val="12"/>
        <color theme="1"/>
        <rFont val="Calibri"/>
        <family val="2"/>
      </rPr>
      <t>6,6</t>
    </r>
  </si>
  <si>
    <t>Calculate the Hat Matrix adjustment factors,</t>
  </si>
  <si>
    <t xml:space="preserve">Calculate the standardized Pearson residuals by applying the Hat Matrix adjustment factors. </t>
  </si>
  <si>
    <r>
      <t xml:space="preserve">The bootstrap model simulates losses by sampling with replacement from the standardized Pearson residuals. Sampling with replacement assumes that the residuals are independent and identically distributed (iid). The adjustments above to calculate the standardized Pearson residuals put the residuals on the same scale with </t>
    </r>
    <r>
      <rPr>
        <i/>
        <u/>
        <sz val="12"/>
        <color theme="1"/>
        <rFont val="Calibri"/>
        <family val="2"/>
      </rPr>
      <t>theoretically</t>
    </r>
    <r>
      <rPr>
        <sz val="12"/>
        <color theme="1"/>
        <rFont val="Calibri"/>
        <family val="2"/>
      </rPr>
      <t xml:space="preserve"> the same variance so that the bootstrap model can sample residuals from the entire triangle (except the corners). </t>
    </r>
  </si>
  <si>
    <r>
      <t xml:space="preserve">With real-life data, different age (or accident year) groups may </t>
    </r>
    <r>
      <rPr>
        <i/>
        <u/>
        <sz val="12"/>
        <color theme="1"/>
        <rFont val="Calibri"/>
        <family val="2"/>
      </rPr>
      <t>still</t>
    </r>
    <r>
      <rPr>
        <sz val="12"/>
        <color theme="1"/>
        <rFont val="Calibri"/>
        <family val="2"/>
      </rPr>
      <t xml:space="preserve"> have standardized Pearson residuals with different variance levels. This is known as Heteroscedasticity in Shapland. If this is the case, a further adjustment (see the “Heteroscedasticity Adjustment” recipes) is needed so that the residuals are iid.</t>
    </r>
  </si>
  <si>
    <r>
      <t xml:space="preserve">An important note is that the bootstrap model should </t>
    </r>
    <r>
      <rPr>
        <i/>
        <u/>
        <sz val="12"/>
        <color theme="1"/>
        <rFont val="Calibri"/>
        <family val="2"/>
      </rPr>
      <t>not</t>
    </r>
    <r>
      <rPr>
        <sz val="12"/>
        <color theme="1"/>
        <rFont val="Calibri"/>
        <family val="2"/>
      </rPr>
      <t xml:space="preserve"> sample standardized Pearson residuals from the two corners that have zeros. Those cells do have some variance, but we don’t know how much.</t>
    </r>
  </si>
  <si>
    <r>
      <t>On page 14 of the Shapland paper, there is a formula (3.25) for the approximate scale parameter,  φ</t>
    </r>
    <r>
      <rPr>
        <vertAlign val="superscript"/>
        <sz val="12"/>
        <color theme="1"/>
        <rFont val="Calibri"/>
        <family val="2"/>
      </rPr>
      <t>H</t>
    </r>
    <r>
      <rPr>
        <sz val="12"/>
        <color theme="1"/>
        <rFont val="Calibri"/>
        <family val="2"/>
      </rPr>
      <t xml:space="preserve">, that is calculated with the standardized Pearson residuals. </t>
    </r>
    <r>
      <rPr>
        <i/>
        <u/>
        <sz val="12"/>
        <color theme="1"/>
        <rFont val="Calibri"/>
        <family val="2"/>
      </rPr>
      <t>Don’t use this formula</t>
    </r>
    <r>
      <rPr>
        <sz val="12"/>
        <color theme="1"/>
        <rFont val="Calibri"/>
        <family val="2"/>
      </rPr>
      <t xml:space="preserve"> for the scale parameter. Use the formula in the recipe above, which is shown on page 11 of the Shapland paper (formula 3.17). This is the scale parameter that is used later in the paper and in the bootstrap model.</t>
    </r>
  </si>
  <si>
    <t>Shapland says on pg. 13 that “the hat matrix adjustment factor is a replacement for, and an improvement on, the degree of freedom factor.” This is why we use the standardized Pearson residuals.</t>
  </si>
  <si>
    <t>Calculate the simulated incremental losses using the sampled standardized Pearson residuals.</t>
  </si>
  <si>
    <t>Calculate LDFs from the simulated loss triangle and calculate the simulation unpaid losses.</t>
  </si>
  <si>
    <t>Simulated Cumulative Losses</t>
  </si>
  <si>
    <t>Simulated Loss</t>
  </si>
  <si>
    <t>Estimated Unpaid Loss</t>
  </si>
  <si>
    <t>Square the simulated cumulative loss triangle with the LDFs calculated from the simulated triangle.</t>
  </si>
  <si>
    <t xml:space="preserve">Projected Incremental Losses, </t>
  </si>
  <si>
    <t>Simulate future incremental losses from a Gamma distribution specified for each incremental loss based on the projected incremental loss.</t>
  </si>
  <si>
    <t>Distributions for simulated incremental losses:</t>
  </si>
  <si>
    <r>
      <t>q</t>
    </r>
    <r>
      <rPr>
        <vertAlign val="superscript"/>
        <sz val="12"/>
        <color rgb="FF000000"/>
        <rFont val="Calibri"/>
        <family val="2"/>
      </rPr>
      <t>sim</t>
    </r>
    <r>
      <rPr>
        <sz val="12"/>
        <color rgb="FF000000"/>
        <rFont val="Calibri"/>
        <family val="2"/>
      </rPr>
      <t xml:space="preserve"> (2,3)</t>
    </r>
  </si>
  <si>
    <r>
      <t>q</t>
    </r>
    <r>
      <rPr>
        <vertAlign val="superscript"/>
        <sz val="12"/>
        <color rgb="FF000000"/>
        <rFont val="Calibri"/>
        <family val="2"/>
      </rPr>
      <t>sim</t>
    </r>
    <r>
      <rPr>
        <sz val="12"/>
        <color rgb="FF000000"/>
        <rFont val="Calibri"/>
        <family val="2"/>
      </rPr>
      <t xml:space="preserve"> (3,2)</t>
    </r>
  </si>
  <si>
    <r>
      <t>q</t>
    </r>
    <r>
      <rPr>
        <vertAlign val="superscript"/>
        <sz val="12"/>
        <color rgb="FF000000"/>
        <rFont val="Calibri"/>
        <family val="2"/>
      </rPr>
      <t>sim</t>
    </r>
    <r>
      <rPr>
        <sz val="12"/>
        <color rgb="FF000000"/>
        <rFont val="Calibri"/>
        <family val="2"/>
      </rPr>
      <t xml:space="preserve"> (3,3)</t>
    </r>
  </si>
  <si>
    <t>Excel Function</t>
  </si>
  <si>
    <r>
      <t>Fundamentally, the goal of the bootstrap model is to take the expected incremental losses, m</t>
    </r>
    <r>
      <rPr>
        <vertAlign val="subscript"/>
        <sz val="12"/>
        <color theme="1"/>
        <rFont val="Calibri"/>
        <family val="2"/>
      </rPr>
      <t>w,d</t>
    </r>
    <r>
      <rPr>
        <sz val="12"/>
        <color theme="1"/>
        <rFont val="Calibri"/>
        <family val="2"/>
      </rPr>
      <t xml:space="preserve"> , and use random samples of standardized Pearson residuals to create new, simulated triangles. This is done in step 1 of the recipe.</t>
    </r>
  </si>
  <si>
    <t>Develop each simulated triangle to ultimate with the Chain Ladder method. Then, calculate the estimated unpaid losses for the simulation. We can easily create a distribution of reserves by running thousands of simulations and estimating unpaid losses for each one.</t>
  </si>
  <si>
    <r>
      <t xml:space="preserve">Part b of this recipe incorporates process variance into the simulation of </t>
    </r>
    <r>
      <rPr>
        <i/>
        <u/>
        <sz val="12"/>
        <color theme="1"/>
        <rFont val="Calibri"/>
        <family val="2"/>
      </rPr>
      <t>future</t>
    </r>
    <r>
      <rPr>
        <sz val="12"/>
        <color theme="1"/>
        <rFont val="Calibri"/>
        <family val="2"/>
      </rPr>
      <t xml:space="preserve"> incremental losses. This is important because the point estimate of the projected incremental losses for a given simulation is just the </t>
    </r>
    <r>
      <rPr>
        <i/>
        <u/>
        <sz val="12"/>
        <color theme="1"/>
        <rFont val="Calibri"/>
        <family val="2"/>
      </rPr>
      <t>expected value</t>
    </r>
    <r>
      <rPr>
        <sz val="12"/>
        <color theme="1"/>
        <rFont val="Calibri"/>
        <family val="2"/>
      </rPr>
      <t xml:space="preserve"> given the simulated loss triangle. There will be inherent randomness in those future incremental losses. Process variance is incorporated by drawing random projected incremental losses from the Gamma distribution (as opposed to simply applying the LDF as shown in step 3). </t>
    </r>
  </si>
  <si>
    <r>
      <t>An issue that can arise is if the model simulates negative incremental losses, m</t>
    </r>
    <r>
      <rPr>
        <vertAlign val="subscript"/>
        <sz val="12"/>
        <color theme="1"/>
        <rFont val="Calibri"/>
        <family val="2"/>
      </rPr>
      <t>w,d</t>
    </r>
    <r>
      <rPr>
        <sz val="12"/>
        <color theme="1"/>
        <rFont val="Calibri"/>
        <family val="2"/>
      </rPr>
      <t>. This is a problem because the process variance step can’t handle negative incremental losses because the variance of the Gamma distribution would be negative.</t>
    </r>
  </si>
  <si>
    <t>Shapland – pg. 12, 21-22</t>
  </si>
  <si>
    <t xml:space="preserve">Calculate the log-link triangle but adjust the calculation for negative incremental losses to </t>
  </si>
  <si>
    <t>.</t>
  </si>
  <si>
    <t>Log-Link Triangle</t>
  </si>
  <si>
    <r>
      <t xml:space="preserve">Calculate the adjusted incremental triangle by shifting all incremental losses </t>
    </r>
    <r>
      <rPr>
        <b/>
        <i/>
        <u/>
        <sz val="12"/>
        <color theme="1"/>
        <rFont val="Calibri"/>
        <family val="2"/>
      </rPr>
      <t>up</t>
    </r>
    <r>
      <rPr>
        <b/>
        <sz val="12"/>
        <color theme="1"/>
        <rFont val="Calibri"/>
        <family val="2"/>
      </rPr>
      <t xml:space="preserve"> by the size of the largest negative incremental value.</t>
    </r>
  </si>
  <si>
    <t>For part b of this problem, we’re given:</t>
  </si>
  <si>
    <t>Calculate the log-link triangle from the adjusted incremental loss triangle as normal.</t>
  </si>
  <si>
    <t>Since the adjusted incremental loss for AY 2021 at 24 months is zero, we just set the value as zero in the log-link triangle.</t>
  </si>
  <si>
    <r>
      <t>⍺</t>
    </r>
    <r>
      <rPr>
        <vertAlign val="subscript"/>
        <sz val="12"/>
        <color rgb="FF000000"/>
        <rFont val="Calibri"/>
        <family val="2"/>
      </rPr>
      <t>2021</t>
    </r>
  </si>
  <si>
    <r>
      <t>⍺</t>
    </r>
    <r>
      <rPr>
        <vertAlign val="subscript"/>
        <sz val="12"/>
        <color rgb="FF000000"/>
        <rFont val="Calibri"/>
        <family val="2"/>
      </rPr>
      <t>2022</t>
    </r>
  </si>
  <si>
    <r>
      <t>⍺</t>
    </r>
    <r>
      <rPr>
        <vertAlign val="subscript"/>
        <sz val="12"/>
        <color rgb="FF000000"/>
        <rFont val="Calibri"/>
        <family val="2"/>
      </rPr>
      <t>2023</t>
    </r>
  </si>
  <si>
    <r>
      <t>β</t>
    </r>
    <r>
      <rPr>
        <vertAlign val="subscript"/>
        <sz val="12"/>
        <color rgb="FF000000"/>
        <rFont val="Calibri"/>
        <family val="2"/>
      </rPr>
      <t>24</t>
    </r>
  </si>
  <si>
    <r>
      <t>β</t>
    </r>
    <r>
      <rPr>
        <vertAlign val="subscript"/>
        <sz val="12"/>
        <color rgb="FF000000"/>
        <rFont val="Calibri"/>
        <family val="2"/>
      </rPr>
      <t>36</t>
    </r>
  </si>
  <si>
    <r>
      <t xml:space="preserve">Shift all fitted incremental losses </t>
    </r>
    <r>
      <rPr>
        <b/>
        <i/>
        <u/>
        <sz val="12"/>
        <color theme="1"/>
        <rFont val="Calibri"/>
        <family val="2"/>
      </rPr>
      <t>down</t>
    </r>
    <r>
      <rPr>
        <b/>
        <sz val="12"/>
        <color theme="1"/>
        <rFont val="Calibri"/>
        <family val="2"/>
      </rPr>
      <t xml:space="preserve"> by backing out the adjustment value Ψ.</t>
    </r>
  </si>
  <si>
    <r>
      <t xml:space="preserve">                </t>
    </r>
    <r>
      <rPr>
        <u/>
        <sz val="12"/>
        <color theme="1"/>
        <rFont val="Calibri"/>
        <family val="2"/>
      </rPr>
      <t>Fitted incremental losses</t>
    </r>
  </si>
  <si>
    <r>
      <rPr>
        <u/>
        <sz val="12"/>
        <color theme="1"/>
        <rFont val="Calibri"/>
        <family val="2"/>
      </rPr>
      <t>Fitted incremental losses</t>
    </r>
    <r>
      <rPr>
        <sz val="12"/>
        <color theme="1"/>
        <rFont val="Calibri"/>
        <family val="2"/>
      </rPr>
      <t xml:space="preserve"> - m</t>
    </r>
    <r>
      <rPr>
        <vertAlign val="subscript"/>
        <sz val="12"/>
        <color theme="1"/>
        <rFont val="Calibri"/>
        <family val="2"/>
      </rPr>
      <t>w,d</t>
    </r>
  </si>
  <si>
    <t>The GLM can’t predict negative fitted incremental losses with the log-link function, which is why we need to make this adjustment.</t>
  </si>
  <si>
    <t xml:space="preserve">The simple adjustment in Part a is appropriate if the sum of the incremental losses for the development period is positive. </t>
  </si>
  <si>
    <r>
      <t xml:space="preserve">In this case the simple adjustment won’t work (see note below). Instead, shift </t>
    </r>
    <r>
      <rPr>
        <i/>
        <u/>
        <sz val="12"/>
        <color theme="1"/>
        <rFont val="Calibri"/>
        <family val="2"/>
      </rPr>
      <t>all</t>
    </r>
    <r>
      <rPr>
        <sz val="12"/>
        <color theme="1"/>
        <rFont val="Calibri"/>
        <family val="2"/>
      </rPr>
      <t xml:space="preserve"> of the incremental losses in the triangle </t>
    </r>
    <r>
      <rPr>
        <i/>
        <u/>
        <sz val="12"/>
        <color theme="1"/>
        <rFont val="Calibri"/>
        <family val="2"/>
      </rPr>
      <t>up</t>
    </r>
    <r>
      <rPr>
        <sz val="12"/>
        <color theme="1"/>
        <rFont val="Calibri"/>
        <family val="2"/>
      </rPr>
      <t>. Then, run the GLM to calculate the fitted incremental losses (this was given). Finally, back out the adjustment to bring the triangle down to the original level.</t>
    </r>
  </si>
  <si>
    <t>The GLM here uses a log-link function and simply can't predict negative fitted incremental losses. This is because mw,d = eƞw,d and for ƞw,d on (-∞,+∞), the GLM will only calculate fitted incremental losses on (0,+∞).</t>
  </si>
  <si>
    <t xml:space="preserve">A column of negative incremental losses going into the GLM will cause the algorithm to break because there's no way to find parameters that will calculate a negative fitted incremental loss for that development column. The GLM iterations will diverge and not find a solution. </t>
  </si>
  <si>
    <t>Group together ages with similar standard deviations of residuals and calculate the standard deviation of the combined groups of residuals. Also calculate the standard deviation of the residuals in the total triangle.</t>
  </si>
  <si>
    <t xml:space="preserve">Given in problem </t>
  </si>
  <si>
    <t>Calculate the scaled residuals adjusted for heteroscedasticity by applying the hetero-adjustment factors to the standardized Pearson residuals. The bootstrap model then samples residuals from the adjusted triangle.</t>
  </si>
  <si>
    <t xml:space="preserve">Standardized Pearson Residuals </t>
  </si>
  <si>
    <t xml:space="preserve">Adjusted for Heteroscedasticity </t>
  </si>
  <si>
    <t>Back out the hetero-adjustment factor and then calculate the simulated incremental loss using the expected incremental loss of 44.87 (given).</t>
  </si>
  <si>
    <t xml:space="preserve">Heteroscedasticity is when standardized Pearson residuals still have different levels of variability at different ages. You can see this in the raw standard deviation of the original residuals at the different ages. Ages 1-2 have noticeably higher variance than ages 3-5. </t>
  </si>
  <si>
    <t xml:space="preserve">Since the age 3-5 group has a lower variance than the 1-2 group, using the unadjusted residual results in a simulated incremental loss that’s much closer to the expected incremental loss of 44.87. </t>
  </si>
  <si>
    <t>This is a problem for the bootstrap model because the model assumes that standardized Pearson residuals are independent and identically distributed (iid). Simulating incremental losses in ages 1-2 using sampled residuals from ages 3-5 would result in too low of a variance of simulated incremental losses. This is why the heteroscedasticity adjustment is necessary to put all the residuals at a common level of variance before sampling.</t>
  </si>
  <si>
    <r>
      <t xml:space="preserve">The hetero-adjustment factor adjusts the standardized Pearson residuals to the average residual standard deviation for the triangle as a whole. With all the residuals at the same level of variability, the bootstrap model can sample residuals from the </t>
    </r>
    <r>
      <rPr>
        <i/>
        <u/>
        <sz val="12"/>
        <color theme="1"/>
        <rFont val="Calibri"/>
        <family val="2"/>
      </rPr>
      <t>entire</t>
    </r>
    <r>
      <rPr>
        <sz val="12"/>
        <color theme="1"/>
        <rFont val="Calibri"/>
        <family val="2"/>
      </rPr>
      <t xml:space="preserve"> triangle. </t>
    </r>
  </si>
  <si>
    <t>Then, when calculating the simulated incremental losses, the hetero-adjustment factor is divided out to bring the sampled residual back to the appropriate level of variability.</t>
  </si>
  <si>
    <r>
      <t xml:space="preserve">Using hetero-adjustment groups </t>
    </r>
    <r>
      <rPr>
        <i/>
        <u/>
        <sz val="12"/>
        <color theme="1"/>
        <rFont val="Calibri"/>
        <family val="2"/>
      </rPr>
      <t>adds parameters</t>
    </r>
    <r>
      <rPr>
        <sz val="12"/>
        <color theme="1"/>
        <rFont val="Calibri"/>
        <family val="2"/>
      </rPr>
      <t xml:space="preserve"> to the model when calculating the scale parameter:</t>
    </r>
  </si>
  <si>
    <t xml:space="preserve">Lastly, the hetero-adjustment factor should be used to adjust the scale parameter by development age when adding process variance to simulated future incremental losses: </t>
  </si>
  <si>
    <t>If this is the case, the variance of the standardized residuals may still be different for different age (or accident year) groups. This is heteroscedasticity and we need to further adjust the standardized Pearson residuals using the heteroscedasticity adjustment so that they can be resampled in the bootstrap.</t>
  </si>
  <si>
    <t>Calculate the scale parameters for each heteroscedasticity group.</t>
  </si>
  <si>
    <t>We verified with Shapland about including zeros.</t>
  </si>
  <si>
    <r>
      <t>n</t>
    </r>
    <r>
      <rPr>
        <vertAlign val="subscript"/>
        <sz val="12"/>
        <color rgb="FF000000"/>
        <rFont val="Calibri"/>
        <family val="2"/>
      </rPr>
      <t>i</t>
    </r>
  </si>
  <si>
    <r>
      <t>Calculate the hetero-adjustment factor, h</t>
    </r>
    <r>
      <rPr>
        <b/>
        <vertAlign val="subscript"/>
        <sz val="12"/>
        <color theme="1"/>
        <rFont val="Calibri"/>
        <family val="2"/>
      </rPr>
      <t>i</t>
    </r>
    <r>
      <rPr>
        <b/>
        <sz val="12"/>
        <color theme="1"/>
        <rFont val="Calibri"/>
        <family val="2"/>
      </rPr>
      <t>, using the overall and group scale parameters.</t>
    </r>
  </si>
  <si>
    <r>
      <t>h</t>
    </r>
    <r>
      <rPr>
        <vertAlign val="subscript"/>
        <sz val="12"/>
        <color rgb="FF000000"/>
        <rFont val="Calibri"/>
        <family val="2"/>
      </rPr>
      <t>i</t>
    </r>
  </si>
  <si>
    <t>1 - Multiply the standardized Pearson residuals by the hetero-adjustment factors to get all the residuals to the same level of variance as the overall residual triangle variance.</t>
  </si>
  <si>
    <t>2 - Simulate from the adjusted residuals with replacement and calculate the sample incremental loss triangle with the hetero-adjustment factors backed out.</t>
  </si>
  <si>
    <t>Once we’ve calculated the hetero-adjustment factors, they’re used exactly the same as the standard deviation-based hetero-adjustment factors.</t>
  </si>
  <si>
    <t>Remember, use the unscaled Pearson residuals to calculate the scale parameters and sample from the (hetero-adjusted) standardized Pearson residuals to create the sample loss triangles.</t>
  </si>
  <si>
    <t>Look at each iteration separately when calculating a weighted average of the models. The weights may vary by accident year.</t>
  </si>
  <si>
    <t>Use the random values to select which model is used for each iteration and accident year based on the selected weights.</t>
  </si>
  <si>
    <t>Selected Models</t>
  </si>
  <si>
    <t xml:space="preserve">If the models are run separately with different random variables to sample the residuals, the models can’t be averaged together with the model weights. Instead, use the model weights by accident year to randomly select a model for each iteration and accident year. </t>
  </si>
  <si>
    <t xml:space="preserve">Alternatively, you could apply the model weights in the other “direction.” The solution for these particular iterations will be different, but the important thing is that each model receives the correct weighting overall (e.g. 70% weight on CL and 30% weight on BF for 2021).  </t>
  </si>
  <si>
    <t>Given the following information:</t>
  </si>
  <si>
    <t>Triangle of incremental losses:</t>
  </si>
  <si>
    <t>Solution Matrix = X × A</t>
  </si>
  <si>
    <r>
      <t>⍺</t>
    </r>
    <r>
      <rPr>
        <vertAlign val="subscript"/>
        <sz val="12"/>
        <color rgb="FF000000"/>
        <rFont val="Calibri"/>
        <family val="2"/>
      </rPr>
      <t>1</t>
    </r>
  </si>
  <si>
    <r>
      <t>⍺</t>
    </r>
    <r>
      <rPr>
        <vertAlign val="subscript"/>
        <sz val="12"/>
        <color rgb="FF000000"/>
        <rFont val="Calibri"/>
        <family val="2"/>
      </rPr>
      <t>2</t>
    </r>
  </si>
  <si>
    <r>
      <t>⍺</t>
    </r>
    <r>
      <rPr>
        <vertAlign val="subscript"/>
        <sz val="12"/>
        <color rgb="FF000000"/>
        <rFont val="Calibri"/>
        <family val="2"/>
      </rPr>
      <t>3</t>
    </r>
  </si>
  <si>
    <r>
      <t>β</t>
    </r>
    <r>
      <rPr>
        <vertAlign val="subscript"/>
        <sz val="12"/>
        <color rgb="FF000000"/>
        <rFont val="Calibri"/>
        <family val="2"/>
      </rPr>
      <t>2</t>
    </r>
  </si>
  <si>
    <r>
      <t>β</t>
    </r>
    <r>
      <rPr>
        <vertAlign val="subscript"/>
        <sz val="12"/>
        <color rgb="FF000000"/>
        <rFont val="Calibri"/>
        <family val="2"/>
      </rPr>
      <t>3</t>
    </r>
  </si>
  <si>
    <r>
      <t>If m</t>
    </r>
    <r>
      <rPr>
        <vertAlign val="subscript"/>
        <sz val="12"/>
        <color theme="1"/>
        <rFont val="Calibri"/>
        <family val="2"/>
      </rPr>
      <t>w,d</t>
    </r>
    <r>
      <rPr>
        <sz val="12"/>
        <color theme="1"/>
        <rFont val="Calibri"/>
        <family val="2"/>
      </rPr>
      <t>&lt;0, use this formula:</t>
    </r>
  </si>
  <si>
    <t>for accident year 2022 at 24 months is 200. The new incremental loss triangle is below:</t>
  </si>
  <si>
    <t xml:space="preserve">Adjusted Log-Link Triangle </t>
  </si>
  <si>
    <r>
      <t>Std Dev (r</t>
    </r>
    <r>
      <rPr>
        <vertAlign val="superscript"/>
        <sz val="12"/>
        <color theme="1"/>
        <rFont val="Calibri"/>
        <family val="2"/>
      </rPr>
      <t>H</t>
    </r>
    <r>
      <rPr>
        <sz val="12"/>
        <color theme="1"/>
        <rFont val="Calibri"/>
        <family val="2"/>
      </rPr>
      <t>)</t>
    </r>
  </si>
  <si>
    <t>Heteroscedasticity Group (i)</t>
  </si>
  <si>
    <r>
      <t>Group Std Dev (r</t>
    </r>
    <r>
      <rPr>
        <vertAlign val="subscript"/>
        <sz val="12"/>
        <color theme="1"/>
        <rFont val="Calibri"/>
        <family val="2"/>
      </rPr>
      <t>H</t>
    </r>
    <r>
      <rPr>
        <sz val="12"/>
        <color theme="1"/>
        <rFont val="Calibri"/>
        <family val="2"/>
      </rPr>
      <t>)</t>
    </r>
  </si>
  <si>
    <r>
      <t>•  The expected incremental loss from the GLM for accident year 4 at age 2, m</t>
    </r>
    <r>
      <rPr>
        <vertAlign val="subscript"/>
        <sz val="12"/>
        <color theme="1"/>
        <rFont val="Calibri"/>
        <family val="2"/>
      </rPr>
      <t>4,2</t>
    </r>
    <r>
      <rPr>
        <sz val="12"/>
        <color theme="1"/>
        <rFont val="Calibri"/>
        <family val="2"/>
      </rPr>
      <t xml:space="preserve"> is:</t>
    </r>
  </si>
  <si>
    <t xml:space="preserve">Locations of Sampled Residuals, </t>
  </si>
  <si>
    <r>
      <t>Std Dev(r</t>
    </r>
    <r>
      <rPr>
        <vertAlign val="subscript"/>
        <sz val="12"/>
        <color rgb="FF000000"/>
        <rFont val="Calibri"/>
        <family val="2"/>
      </rPr>
      <t>iH</t>
    </r>
    <r>
      <rPr>
        <sz val="12"/>
        <color rgb="FF000000"/>
        <rFont val="Calibri"/>
        <family val="2"/>
      </rPr>
      <t>)</t>
    </r>
  </si>
  <si>
    <r>
      <rPr>
        <b/>
        <sz val="12"/>
        <color theme="1"/>
        <rFont val="Calibri"/>
        <family val="2"/>
      </rPr>
      <t>X</t>
    </r>
    <r>
      <rPr>
        <sz val="12"/>
        <color theme="1"/>
        <rFont val="Calibri"/>
        <family val="2"/>
      </rPr>
      <t xml:space="preserve"> – Design Matrix to solve the specified model (above)</t>
    </r>
  </si>
  <si>
    <t xml:space="preserve">Shapland uses a generalized linear model(GLM) with a log-link function and an Over-Dispersed Poisson(ODP) error distribution to model incremental losses. Using a log-link function means that the model describes the log of expected incremental losses as a linear combination of the α and β parameters. The ODP error distribution describes the variance of the incremental losses in the model. </t>
  </si>
  <si>
    <t>Calculate the loss development factors from the cumulative loss triangle.</t>
  </si>
  <si>
    <t>Calculate the scale parameter, 𝜙 , using the unscaled Pearson residuals.</t>
  </si>
  <si>
    <r>
      <t>On pg. 13 in Shapland, there is a formula for scaled Pearson residuals. Similar to standardized Pearson residuals, this formula corrects the unscaled residuals for bias but uses a degree of freedom adjustment factor, f</t>
    </r>
    <r>
      <rPr>
        <vertAlign val="subscript"/>
        <sz val="12"/>
        <color theme="1"/>
        <rFont val="Calibri"/>
        <family val="2"/>
      </rPr>
      <t>DOF</t>
    </r>
    <r>
      <rPr>
        <sz val="12"/>
        <color theme="1"/>
        <rFont val="Calibri"/>
        <family val="2"/>
      </rPr>
      <t xml:space="preserve"> = SQRT(N / N - p) , instead of the hat matrix adjustment , f</t>
    </r>
    <r>
      <rPr>
        <vertAlign val="superscript"/>
        <sz val="12"/>
        <color theme="1"/>
        <rFont val="Calibri"/>
        <family val="2"/>
      </rPr>
      <t>H</t>
    </r>
    <r>
      <rPr>
        <vertAlign val="subscript"/>
        <sz val="12"/>
        <color theme="1"/>
        <rFont val="Calibri"/>
        <family val="2"/>
      </rPr>
      <t>w,d</t>
    </r>
    <r>
      <rPr>
        <sz val="12"/>
        <color theme="1"/>
        <rFont val="Calibri"/>
        <family val="2"/>
      </rPr>
      <t xml:space="preserve"> . </t>
    </r>
  </si>
  <si>
    <t>GAMMA.INV(probability, α, β)</t>
  </si>
  <si>
    <t>β = 𝜙</t>
  </si>
  <si>
    <t>α = m / 𝜙</t>
  </si>
  <si>
    <t xml:space="preserve">Scale Parameter = </t>
  </si>
  <si>
    <t>Unpaid Losses 
with Process Variance</t>
  </si>
  <si>
    <t>probability = RAND()</t>
  </si>
  <si>
    <t>In Excel, the input for the gamma function are the alpha and beta parameters (not the mean/variance directly).
However, the excel gamma function uses different nomenclature, so the beta in the gamma.inv() excel formula is 1/beta for the normal formulation of the gamma distribution. 
Because of this, the scale parameter(phi) = Beta(Excel) and we get alpha = mean / phi.</t>
  </si>
  <si>
    <t>Important note about the GAMMA.INV() function in Excel:</t>
  </si>
  <si>
    <r>
      <t>Shapland shows two possible ways to adjust the model to handle negative m</t>
    </r>
    <r>
      <rPr>
        <vertAlign val="subscript"/>
        <sz val="12"/>
        <color theme="1"/>
        <rFont val="Calibri"/>
        <family val="2"/>
      </rPr>
      <t>w,d</t>
    </r>
    <r>
      <rPr>
        <sz val="12"/>
        <color theme="1"/>
        <rFont val="Calibri"/>
        <family val="2"/>
      </rPr>
      <t xml:space="preserve"> values during simulation on pg. 21-22. For both options, a value is simulated from a modified version of the Gamma distribution, using the absolute value of the negative expected loss m</t>
    </r>
    <r>
      <rPr>
        <vertAlign val="subscript"/>
        <sz val="12"/>
        <color theme="1"/>
        <rFont val="Calibri"/>
        <family val="2"/>
      </rPr>
      <t>w,d</t>
    </r>
    <r>
      <rPr>
        <sz val="12"/>
        <color theme="1"/>
        <rFont val="Calibri"/>
        <family val="2"/>
      </rPr>
      <t>. Both options transform the distribution so that the simulated value has an expected value equal to the negative incremental loss m</t>
    </r>
    <r>
      <rPr>
        <vertAlign val="subscript"/>
        <sz val="12"/>
        <color theme="1"/>
        <rFont val="Calibri"/>
        <family val="2"/>
      </rPr>
      <t>w,d</t>
    </r>
    <r>
      <rPr>
        <sz val="12"/>
        <color theme="1"/>
        <rFont val="Calibri"/>
        <family val="2"/>
      </rPr>
      <t>. Below is a graphical view of how these two adjustments work:</t>
    </r>
  </si>
  <si>
    <r>
      <t>If you’re adjusting for heteroscedasticity, use the scale parameter for the development period of the incremental loss, 𝜙</t>
    </r>
    <r>
      <rPr>
        <vertAlign val="subscript"/>
        <sz val="12"/>
        <color theme="1"/>
        <rFont val="Calibri"/>
        <family val="2"/>
      </rPr>
      <t>i</t>
    </r>
    <r>
      <rPr>
        <sz val="12"/>
        <color theme="1"/>
        <rFont val="Calibri"/>
        <family val="2"/>
      </rPr>
      <t>.</t>
    </r>
  </si>
  <si>
    <t xml:space="preserve">r(2021,24) = </t>
  </si>
  <si>
    <t>Run the GLM and calculate fitted incremental values from the GLM parameters.</t>
  </si>
  <si>
    <t>Given the fitted GLM parameters:</t>
  </si>
  <si>
    <r>
      <t>𝜙</t>
    </r>
    <r>
      <rPr>
        <vertAlign val="subscript"/>
        <sz val="12"/>
        <color rgb="FF000000"/>
        <rFont val="Calibri"/>
        <family val="2"/>
      </rPr>
      <t>i</t>
    </r>
  </si>
  <si>
    <t>Calculate the overall scale parametersof the triangle.</t>
  </si>
  <si>
    <t>This problem-type is similar in concept to the hetero-adjustment factor based on the standard deviations. Instead of using standard deviations of residuals, we’re using the differences between the overall scale parameter and the scale parameter for groups based on age.</t>
  </si>
  <si>
    <t>Select the unpaid losses from the appropriate models by accident year for each iteration.</t>
  </si>
  <si>
    <t>e.g. For AY 2021, select the chain ladder estimate for iterations with a random value  ≤0.70. Otherwise, select the BF estimate.</t>
  </si>
  <si>
    <r>
      <t xml:space="preserve">For example in AY 2021, select the </t>
    </r>
    <r>
      <rPr>
        <i/>
        <u/>
        <sz val="12"/>
        <color theme="1"/>
        <rFont val="Calibri"/>
        <family val="2"/>
      </rPr>
      <t>BF</t>
    </r>
    <r>
      <rPr>
        <sz val="12"/>
        <color theme="1"/>
        <rFont val="Calibri"/>
        <family val="2"/>
      </rPr>
      <t xml:space="preserve"> estimate for iterations with a random value  ≤0.30. Otherwise, select the CL estimate for random values &gt;0.30. </t>
    </r>
  </si>
  <si>
    <r>
      <t>m</t>
    </r>
    <r>
      <rPr>
        <vertAlign val="subscript"/>
        <sz val="12"/>
        <color theme="1"/>
        <rFont val="Calibri"/>
        <family val="2"/>
      </rPr>
      <t>4,2</t>
    </r>
    <r>
      <rPr>
        <sz val="12"/>
        <color theme="1"/>
        <rFont val="Calibri"/>
        <family val="2"/>
      </rPr>
      <t xml:space="preserve"> =</t>
    </r>
  </si>
  <si>
    <r>
      <t>q*</t>
    </r>
    <r>
      <rPr>
        <vertAlign val="subscript"/>
        <sz val="12"/>
        <color theme="1"/>
        <rFont val="Calibri"/>
        <family val="2"/>
      </rPr>
      <t>4,2</t>
    </r>
    <r>
      <rPr>
        <sz val="12"/>
        <color theme="1"/>
        <rFont val="Calibri"/>
        <family val="2"/>
      </rPr>
      <t xml:space="preserve"> =</t>
    </r>
  </si>
  <si>
    <r>
      <t xml:space="preserve">Theoretically, the standardized residuals should be independent and identically distributed (iid). However, if the real-life underlying data doesn’t conform to some underlying statistical assumptions (that the </t>
    </r>
    <r>
      <rPr>
        <i/>
        <u/>
        <sz val="12"/>
        <color theme="1"/>
        <rFont val="Calibri"/>
        <family val="2"/>
      </rPr>
      <t>errors</t>
    </r>
    <r>
      <rPr>
        <sz val="12"/>
        <color theme="1"/>
        <rFont val="Calibri"/>
        <family val="2"/>
      </rPr>
      <t xml:space="preserve"> are independent with the same variance), then the standardized residuals won’t be iid.</t>
    </r>
  </si>
  <si>
    <r>
      <rPr>
        <b/>
        <sz val="12"/>
        <color theme="1"/>
        <rFont val="Calibri"/>
        <family val="2"/>
      </rPr>
      <t xml:space="preserve">Note: 
</t>
    </r>
    <r>
      <rPr>
        <sz val="12"/>
        <color theme="1"/>
        <rFont val="Calibri"/>
        <family val="2"/>
      </rPr>
      <t>Iteration #183 samples the residual from AY 3, age 4 to calculate the simulated incremental loss at AY 4, age 2 (r</t>
    </r>
    <r>
      <rPr>
        <vertAlign val="subscript"/>
        <sz val="12"/>
        <color theme="1"/>
        <rFont val="Calibri"/>
        <family val="2"/>
      </rPr>
      <t>4,2</t>
    </r>
    <r>
      <rPr>
        <vertAlign val="superscript"/>
        <sz val="12"/>
        <color theme="1"/>
        <rFont val="Calibri"/>
        <family val="2"/>
      </rPr>
      <t>*</t>
    </r>
    <r>
      <rPr>
        <sz val="12"/>
        <color theme="1"/>
        <rFont val="Calibri"/>
        <family val="2"/>
      </rPr>
      <t>=-1.270, residual r</t>
    </r>
    <r>
      <rPr>
        <vertAlign val="subscript"/>
        <sz val="12"/>
        <color theme="1"/>
        <rFont val="Calibri"/>
        <family val="2"/>
      </rPr>
      <t>3,4</t>
    </r>
    <r>
      <rPr>
        <sz val="12"/>
        <color theme="1"/>
        <rFont val="Calibri"/>
        <family val="2"/>
      </rPr>
      <t xml:space="preserve"> from step 3). Age 2 is in the Age 1-2 hetero-adjustment group with a h</t>
    </r>
    <r>
      <rPr>
        <vertAlign val="subscript"/>
        <sz val="12"/>
        <color theme="1"/>
        <rFont val="Calibri"/>
        <family val="2"/>
      </rPr>
      <t>1-2</t>
    </r>
    <r>
      <rPr>
        <sz val="12"/>
        <color theme="1"/>
        <rFont val="Calibri"/>
        <family val="2"/>
      </rPr>
      <t xml:space="preserve"> = 0.791 (step 2). </t>
    </r>
  </si>
  <si>
    <t>Note About the Process Variance Distribution</t>
  </si>
  <si>
    <r>
      <t xml:space="preserve">This method uses a </t>
    </r>
    <r>
      <rPr>
        <i/>
        <u/>
        <sz val="12"/>
        <color theme="1"/>
        <rFont val="Calibri"/>
        <family val="2"/>
      </rPr>
      <t>Gamma distribution</t>
    </r>
    <r>
      <rPr>
        <sz val="12"/>
        <color theme="1"/>
        <rFont val="Calibri"/>
        <family val="2"/>
      </rPr>
      <t xml:space="preserve"> to add process variance to prospective future incremental losses. The rest of the bootstrapping model uses an </t>
    </r>
    <r>
      <rPr>
        <i/>
        <u/>
        <sz val="12"/>
        <color theme="1"/>
        <rFont val="Calibri"/>
        <family val="2"/>
      </rPr>
      <t>ODP error distribution</t>
    </r>
    <r>
      <rPr>
        <sz val="12"/>
        <color theme="1"/>
        <rFont val="Calibri"/>
        <family val="2"/>
      </rPr>
      <t xml:space="preserve"> when calculating the fitted incrementals for each simulation.
See pg. 12 in Shapland. In the footnote he notes that the Gamma error distribution is used for the process variance step because the ODP error distribution is much slower for the process variance, which must be calculated for each iteration. That's the reason for the difference. For the exam, you should just use the approach as it's used in the Shapland paper.</t>
    </r>
  </si>
  <si>
    <r>
      <t>The constant c is added to all 𝜂</t>
    </r>
    <r>
      <rPr>
        <vertAlign val="subscript"/>
        <sz val="12"/>
        <color theme="1"/>
        <rFont val="Calibri"/>
        <family val="2"/>
      </rPr>
      <t>w,d</t>
    </r>
    <r>
      <rPr>
        <sz val="12"/>
        <color theme="1"/>
        <rFont val="Calibri"/>
        <family val="2"/>
      </rPr>
      <t>. In this case, there is no α</t>
    </r>
    <r>
      <rPr>
        <vertAlign val="subscript"/>
        <sz val="12"/>
        <color theme="1"/>
        <rFont val="Calibri"/>
        <family val="2"/>
      </rPr>
      <t>1</t>
    </r>
    <r>
      <rPr>
        <sz val="12"/>
        <color theme="1"/>
        <rFont val="Calibri"/>
        <family val="2"/>
      </rPr>
      <t xml:space="preserve"> parameter so that the model isn’t over-parameterized and</t>
    </r>
  </si>
  <si>
    <r>
      <t>Another twist is that the model could be specified differently. In this case, take care in step 1 to calculate 𝜂</t>
    </r>
    <r>
      <rPr>
        <vertAlign val="subscript"/>
        <sz val="12"/>
        <color theme="1"/>
        <rFont val="Calibri"/>
        <family val="2"/>
      </rPr>
      <t>w,d</t>
    </r>
    <r>
      <rPr>
        <sz val="12"/>
        <color theme="1"/>
        <rFont val="Calibri"/>
        <family val="2"/>
      </rPr>
      <t xml:space="preserve"> with the appropriate parameters for each cell of the triangle. </t>
    </r>
  </si>
  <si>
    <t>Calculate the fitted cumulative and incremental loss triangles from the LDFs. This is the ODP Bootstrap approach.</t>
  </si>
  <si>
    <r>
      <t xml:space="preserve">If the Shapland GLM framework is used with the ODP error distribution, we can get the </t>
    </r>
    <r>
      <rPr>
        <i/>
        <sz val="12"/>
        <color theme="1"/>
        <rFont val="Calibri"/>
        <family val="2"/>
      </rPr>
      <t>same</t>
    </r>
    <r>
      <rPr>
        <sz val="12"/>
        <color theme="1"/>
        <rFont val="Calibri"/>
        <family val="2"/>
      </rPr>
      <t xml:space="preserve"> results by using the chain ladder method with volume-weighted LDFs. This is referred to as the “ODP Bootstrap.” This is particularly beneficial if there are negative incremental losses because the GLM won’t work (because you can’t take the log of a negative), but you can still use the chain ladder method.	</t>
    </r>
  </si>
  <si>
    <r>
      <t xml:space="preserve">However, the ODP Bootstrap using the chain ladder method can be still be used. With the ODP Bootstrap, we don’t need to adjust the triangle. You would calculate the fitted incremental losses by starting with the latest diagonal of </t>
    </r>
    <r>
      <rPr>
        <i/>
        <u/>
        <sz val="12"/>
        <color theme="1"/>
        <rFont val="Calibri"/>
        <family val="2"/>
      </rPr>
      <t>cumulative</t>
    </r>
    <r>
      <rPr>
        <sz val="12"/>
        <color theme="1"/>
        <rFont val="Calibri"/>
        <family val="2"/>
      </rPr>
      <t xml:space="preserve"> losses and backing out the LDFs.</t>
    </r>
  </si>
  <si>
    <t>In Exam Spreadsheet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</si>
</sst>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quot;$&quot;* #,##0_);_(&quot;$&quot;* \(#,##0\);_(&quot;$&quot;* &quot;-&quot;??_);_(@_)"/>
    <numFmt numFmtId="165" formatCode="0.000"/>
    <numFmt numFmtId="166" formatCode="_(* #,##0.000_);_(* \(#,##0.000\);_(* &quot;-&quot;??_);_(@_)"/>
    <numFmt numFmtId="167" formatCode="0.0"/>
    <numFmt numFmtId="168" formatCode="#,##0.0"/>
    <numFmt numFmtId="169" formatCode="#,##0.000"/>
  </numFmts>
  <fonts count="39"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FF0000"/>
      <name val="Calibri"/>
      <family val="2"/>
    </font>
    <font>
      <u/>
      <sz val="12"/>
      <color theme="1"/>
      <name val="Calibri"/>
      <family val="2"/>
    </font>
    <font>
      <sz val="12"/>
      <color rgb="FF000000"/>
      <name val="Calibri"/>
      <family val="2"/>
    </font>
    <font>
      <b/>
      <sz val="12"/>
      <color theme="1"/>
      <name val="Calibri"/>
      <family val="2"/>
    </font>
    <font>
      <sz val="12"/>
      <name val="Calibri"/>
      <family val="2"/>
    </font>
    <font>
      <sz val="8"/>
      <name val="Calibri"/>
      <family val="2"/>
      <scheme val="minor"/>
    </font>
    <font>
      <b/>
      <sz val="12"/>
      <color rgb="FF000000"/>
      <name val="Calibri"/>
      <family val="2"/>
    </font>
    <font>
      <vertAlign val="subscript"/>
      <sz val="12"/>
      <color theme="1"/>
      <name val="Calibri"/>
      <family val="2"/>
    </font>
    <font>
      <i/>
      <sz val="12"/>
      <color theme="1"/>
      <name val="Calibri"/>
      <family val="2"/>
    </font>
    <font>
      <u/>
      <sz val="14"/>
      <color theme="1"/>
      <name val="Calibri"/>
      <family val="2"/>
    </font>
    <font>
      <i/>
      <u/>
      <sz val="12"/>
      <color theme="1"/>
      <name val="Calibri"/>
      <family val="2"/>
    </font>
    <font>
      <vertAlign val="superscript"/>
      <sz val="12"/>
      <color theme="1"/>
      <name val="Calibri"/>
      <family val="2"/>
    </font>
    <font>
      <u/>
      <vertAlign val="subscript"/>
      <sz val="14"/>
      <color theme="1"/>
      <name val="Calibri"/>
      <family val="2"/>
    </font>
    <font>
      <b/>
      <sz val="14"/>
      <color rgb="FF000000"/>
      <name val="Calibri"/>
      <family val="2"/>
    </font>
    <font>
      <b/>
      <vertAlign val="subscript"/>
      <sz val="12"/>
      <color theme="1"/>
      <name val="Calibri"/>
      <family val="2"/>
    </font>
    <font>
      <u/>
      <vertAlign val="subscript"/>
      <sz val="12"/>
      <color theme="1"/>
      <name val="Calibri"/>
      <family val="2"/>
    </font>
    <font>
      <i/>
      <sz val="12"/>
      <color theme="1" tint="0.499984740745262"/>
      <name val="Calibri"/>
      <family val="2"/>
    </font>
    <font>
      <vertAlign val="superscript"/>
      <sz val="12"/>
      <color rgb="FF000000"/>
      <name val="Calibri"/>
      <family val="2"/>
    </font>
    <font>
      <sz val="11"/>
      <name val="Cambria"/>
      <family val="1"/>
    </font>
    <font>
      <b/>
      <i/>
      <u/>
      <sz val="12"/>
      <color theme="1"/>
      <name val="Calibri"/>
      <family val="2"/>
    </font>
    <font>
      <vertAlign val="subscript"/>
      <sz val="12"/>
      <color rgb="FF000000"/>
      <name val="Calibri"/>
      <family val="2"/>
    </font>
    <font>
      <u/>
      <sz val="12"/>
      <name val="Calibri"/>
      <family val="2"/>
    </font>
    <font>
      <b/>
      <sz val="12"/>
      <name val="Calibri"/>
      <family val="2"/>
    </font>
    <font>
      <sz val="12"/>
      <color theme="0" tint="-0.499984740745262"/>
      <name val="Calibri"/>
      <family val="2"/>
    </font>
    <font>
      <sz val="10"/>
      <color rgb="FF000000"/>
      <name val="Tahoma"/>
      <family val="2"/>
    </font>
    <font>
      <b/>
      <sz val="10"/>
      <color rgb="FF000000"/>
      <name val="Tahoma"/>
      <family val="2"/>
    </font>
    <font>
      <sz val="10"/>
      <color rgb="FF00000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8" tint="0.59999389629810485"/>
        <bgColor indexed="64"/>
      </patternFill>
    </fill>
  </fills>
  <borders count="3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top/>
      <bottom style="mediumDashed">
        <color indexed="64"/>
      </bottom>
      <diagonal/>
    </border>
    <border>
      <left/>
      <right style="mediumDashed">
        <color indexed="64"/>
      </right>
      <top/>
      <bottom style="mediumDashed">
        <color indexed="64"/>
      </bottom>
      <diagonal/>
    </border>
    <border>
      <left/>
      <right style="mediumDashed">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mediumDashed">
        <color indexed="64"/>
      </bottom>
      <diagonal/>
    </border>
    <border>
      <left/>
      <right style="mediumDashed">
        <color indexed="64"/>
      </right>
      <top/>
      <bottom style="thin">
        <color indexed="64"/>
      </bottom>
      <diagonal/>
    </border>
  </borders>
  <cellStyleXfs count="3">
    <xf numFmtId="0" fontId="0" fillId="0" borderId="0"/>
    <xf numFmtId="44" fontId="8" fillId="0" borderId="0" applyFont="0" applyFill="0" applyBorder="0" applyAlignment="0" applyProtection="0"/>
    <xf numFmtId="43" fontId="8" fillId="0" borderId="0" applyFont="0" applyFill="0" applyBorder="0" applyAlignment="0" applyProtection="0"/>
  </cellStyleXfs>
  <cellXfs count="193">
    <xf numFmtId="0" fontId="0" fillId="0" borderId="0" xfId="0"/>
    <xf numFmtId="0" fontId="9" fillId="2" borderId="1" xfId="0" applyFont="1" applyFill="1" applyBorder="1"/>
    <xf numFmtId="0" fontId="9" fillId="0" borderId="0" xfId="0" applyFont="1"/>
    <xf numFmtId="0" fontId="10" fillId="0" borderId="0" xfId="0" applyFont="1"/>
    <xf numFmtId="0" fontId="11" fillId="0" borderId="0" xfId="0" applyFont="1"/>
    <xf numFmtId="2" fontId="12" fillId="2" borderId="1" xfId="0" applyNumberFormat="1" applyFont="1" applyFill="1" applyBorder="1" applyAlignment="1">
      <alignment horizontal="left"/>
    </xf>
    <xf numFmtId="3" fontId="1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3" fontId="14" fillId="0" borderId="0" xfId="0" applyNumberFormat="1" applyFont="1" applyAlignment="1">
      <alignment horizontal="center" vertical="center" wrapText="1"/>
    </xf>
    <xf numFmtId="4"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5" fillId="0" borderId="0" xfId="0" applyFont="1"/>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167" fontId="15" fillId="0" borderId="0" xfId="0" applyNumberFormat="1" applyFont="1" applyAlignment="1">
      <alignment horizontal="center"/>
    </xf>
    <xf numFmtId="0" fontId="14" fillId="0" borderId="14" xfId="0" applyFont="1" applyBorder="1" applyAlignment="1">
      <alignment horizontal="center" vertical="center" wrapText="1"/>
    </xf>
    <xf numFmtId="167" fontId="14" fillId="0" borderId="15" xfId="0" applyNumberFormat="1" applyFont="1" applyBorder="1" applyAlignment="1">
      <alignment horizontal="center" vertical="center" wrapText="1"/>
    </xf>
    <xf numFmtId="167" fontId="14" fillId="0" borderId="0" xfId="0" applyNumberFormat="1" applyFont="1" applyAlignment="1">
      <alignment horizontal="center" vertical="center" wrapText="1"/>
    </xf>
    <xf numFmtId="0" fontId="14" fillId="0" borderId="16" xfId="0" applyFont="1" applyBorder="1" applyAlignment="1">
      <alignment horizontal="center" vertical="center" wrapText="1"/>
    </xf>
    <xf numFmtId="16" fontId="14" fillId="0" borderId="7" xfId="0" quotePrefix="1" applyNumberFormat="1" applyFont="1" applyBorder="1" applyAlignment="1">
      <alignment horizontal="center" vertical="center" wrapText="1"/>
    </xf>
    <xf numFmtId="0" fontId="13" fillId="2" borderId="0" xfId="0" applyFont="1" applyFill="1" applyAlignment="1">
      <alignment horizontal="center"/>
    </xf>
    <xf numFmtId="0" fontId="14" fillId="2" borderId="15" xfId="0" applyFont="1" applyFill="1" applyBorder="1" applyAlignment="1">
      <alignment horizontal="center" vertical="center" wrapText="1"/>
    </xf>
    <xf numFmtId="168" fontId="14" fillId="0" borderId="0" xfId="0" applyNumberFormat="1" applyFont="1" applyAlignment="1">
      <alignment horizontal="center" vertical="center" wrapText="1"/>
    </xf>
    <xf numFmtId="169" fontId="14" fillId="0" borderId="0" xfId="0" applyNumberFormat="1" applyFont="1" applyAlignment="1">
      <alignment horizontal="center" vertical="center" wrapText="1"/>
    </xf>
    <xf numFmtId="0" fontId="14" fillId="0" borderId="0" xfId="0" applyFont="1" applyAlignment="1">
      <alignment horizontal="left" vertical="center"/>
    </xf>
    <xf numFmtId="165" fontId="14" fillId="0" borderId="0" xfId="0" quotePrefix="1" applyNumberFormat="1" applyFont="1" applyAlignment="1">
      <alignment horizontal="center" vertical="center" wrapText="1"/>
    </xf>
    <xf numFmtId="0" fontId="15" fillId="0" borderId="0" xfId="0" quotePrefix="1" applyFont="1"/>
    <xf numFmtId="0" fontId="21" fillId="0" borderId="0" xfId="0" applyFont="1"/>
    <xf numFmtId="0" fontId="15" fillId="0" borderId="0" xfId="0" applyFont="1" applyAlignment="1">
      <alignment horizontal="right"/>
    </xf>
    <xf numFmtId="3" fontId="14" fillId="2" borderId="20" xfId="0" applyNumberFormat="1" applyFont="1" applyFill="1" applyBorder="1" applyAlignment="1">
      <alignment horizontal="center" vertical="center" wrapText="1"/>
    </xf>
    <xf numFmtId="3" fontId="14" fillId="2" borderId="13" xfId="0" applyNumberFormat="1" applyFont="1" applyFill="1" applyBorder="1" applyAlignment="1">
      <alignment horizontal="center" vertical="center" wrapText="1"/>
    </xf>
    <xf numFmtId="3" fontId="14" fillId="2" borderId="7" xfId="0" applyNumberFormat="1"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22" xfId="0" applyFont="1" applyFill="1" applyBorder="1" applyAlignment="1">
      <alignment horizontal="center" wrapText="1"/>
    </xf>
    <xf numFmtId="0" fontId="18" fillId="2" borderId="0" xfId="0" applyFont="1" applyFill="1" applyAlignment="1">
      <alignment horizontal="center" vertical="center" wrapText="1"/>
    </xf>
    <xf numFmtId="0" fontId="14" fillId="2" borderId="19" xfId="0" applyFont="1" applyFill="1" applyBorder="1" applyAlignment="1">
      <alignment horizontal="center" wrapText="1"/>
    </xf>
    <xf numFmtId="0" fontId="14" fillId="2" borderId="20"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9" fontId="14" fillId="2" borderId="0" xfId="0" applyNumberFormat="1" applyFont="1" applyFill="1" applyAlignment="1">
      <alignment horizontal="center" vertical="center" wrapText="1"/>
    </xf>
    <xf numFmtId="9" fontId="14" fillId="2" borderId="8" xfId="0" applyNumberFormat="1" applyFont="1" applyFill="1" applyBorder="1" applyAlignment="1">
      <alignment horizontal="center" vertical="center" wrapText="1"/>
    </xf>
    <xf numFmtId="9" fontId="14" fillId="2" borderId="7" xfId="0" applyNumberFormat="1" applyFont="1" applyFill="1" applyBorder="1" applyAlignment="1">
      <alignment horizontal="center" vertical="center" wrapText="1"/>
    </xf>
    <xf numFmtId="9" fontId="14" fillId="2" borderId="6" xfId="0" applyNumberFormat="1" applyFont="1" applyFill="1" applyBorder="1" applyAlignment="1">
      <alignment horizontal="center" vertical="center" wrapText="1"/>
    </xf>
    <xf numFmtId="0" fontId="14" fillId="2" borderId="13" xfId="0" applyFont="1" applyFill="1" applyBorder="1" applyAlignment="1">
      <alignment horizontal="center" vertical="center" wrapText="1"/>
    </xf>
    <xf numFmtId="3" fontId="14" fillId="2" borderId="6" xfId="0" applyNumberFormat="1" applyFont="1" applyFill="1" applyBorder="1" applyAlignment="1">
      <alignment horizontal="center" vertical="center" wrapText="1"/>
    </xf>
    <xf numFmtId="9" fontId="14" fillId="2" borderId="20"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0" fontId="13" fillId="0" borderId="0" xfId="0" applyFont="1" applyAlignment="1">
      <alignment horizontal="center"/>
    </xf>
    <xf numFmtId="0" fontId="7" fillId="2" borderId="0" xfId="0" applyFont="1" applyFill="1"/>
    <xf numFmtId="0" fontId="7" fillId="2" borderId="2" xfId="0" applyFont="1" applyFill="1" applyBorder="1"/>
    <xf numFmtId="0" fontId="7" fillId="0" borderId="0" xfId="0" applyFont="1"/>
    <xf numFmtId="0" fontId="7" fillId="2" borderId="3" xfId="0" applyFont="1" applyFill="1" applyBorder="1"/>
    <xf numFmtId="0" fontId="7" fillId="2" borderId="4" xfId="0" applyFont="1" applyFill="1" applyBorder="1"/>
    <xf numFmtId="164" fontId="7" fillId="2" borderId="4" xfId="1" applyNumberFormat="1" applyFont="1" applyFill="1" applyBorder="1"/>
    <xf numFmtId="0" fontId="7" fillId="2" borderId="5" xfId="0" applyFont="1" applyFill="1" applyBorder="1"/>
    <xf numFmtId="165" fontId="7" fillId="0" borderId="0" xfId="0" applyNumberFormat="1" applyFont="1"/>
    <xf numFmtId="0" fontId="7" fillId="0" borderId="0" xfId="0" applyFont="1" applyAlignment="1">
      <alignment horizontal="center"/>
    </xf>
    <xf numFmtId="0" fontId="7" fillId="0" borderId="8" xfId="0" applyFont="1" applyBorder="1" applyAlignment="1">
      <alignment horizontal="center"/>
    </xf>
    <xf numFmtId="0" fontId="18" fillId="0" borderId="0" xfId="0" applyFont="1" applyAlignment="1">
      <alignment horizontal="right"/>
    </xf>
    <xf numFmtId="0" fontId="7" fillId="0" borderId="0" xfId="0" applyFont="1" applyAlignment="1">
      <alignment horizontal="left" wrapTex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25" fillId="3" borderId="1" xfId="0" applyFont="1" applyFill="1" applyBorder="1"/>
    <xf numFmtId="0" fontId="7" fillId="2" borderId="0" xfId="0" applyFont="1" applyFill="1" applyAlignment="1">
      <alignment horizontal="center"/>
    </xf>
    <xf numFmtId="0" fontId="7" fillId="2" borderId="0" xfId="0" quotePrefix="1" applyFont="1" applyFill="1"/>
    <xf numFmtId="2" fontId="7" fillId="2" borderId="20" xfId="0" applyNumberFormat="1" applyFont="1" applyFill="1" applyBorder="1" applyAlignment="1">
      <alignment horizontal="center"/>
    </xf>
    <xf numFmtId="2" fontId="7" fillId="2" borderId="13" xfId="0" applyNumberFormat="1" applyFont="1" applyFill="1" applyBorder="1" applyAlignment="1">
      <alignment horizontal="center"/>
    </xf>
    <xf numFmtId="0" fontId="7" fillId="2" borderId="25" xfId="0" applyFont="1" applyFill="1" applyBorder="1" applyAlignment="1">
      <alignment horizontal="right"/>
    </xf>
    <xf numFmtId="0" fontId="7" fillId="2" borderId="7" xfId="0" applyFont="1" applyFill="1" applyBorder="1" applyAlignment="1">
      <alignment horizontal="center"/>
    </xf>
    <xf numFmtId="0" fontId="7" fillId="2" borderId="6" xfId="0" applyFont="1" applyFill="1" applyBorder="1" applyAlignment="1">
      <alignment horizontal="center"/>
    </xf>
    <xf numFmtId="167" fontId="7" fillId="2" borderId="0" xfId="0" applyNumberFormat="1" applyFont="1" applyFill="1" applyAlignment="1">
      <alignment horizontal="center"/>
    </xf>
    <xf numFmtId="2" fontId="7" fillId="0" borderId="0" xfId="0" applyNumberFormat="1" applyFont="1" applyAlignment="1">
      <alignment horizontal="center"/>
    </xf>
    <xf numFmtId="2" fontId="7" fillId="0" borderId="0" xfId="0" applyNumberFormat="1" applyFont="1"/>
    <xf numFmtId="0" fontId="7" fillId="2" borderId="24" xfId="0" applyFont="1" applyFill="1" applyBorder="1" applyAlignment="1">
      <alignment horizontal="center"/>
    </xf>
    <xf numFmtId="0" fontId="7" fillId="2" borderId="25" xfId="0" applyFont="1" applyFill="1" applyBorder="1" applyAlignment="1">
      <alignment horizontal="center"/>
    </xf>
    <xf numFmtId="2" fontId="7" fillId="2" borderId="7" xfId="0" applyNumberFormat="1" applyFont="1" applyFill="1" applyBorder="1" applyAlignment="1">
      <alignment horizontal="center"/>
    </xf>
    <xf numFmtId="2" fontId="7" fillId="2" borderId="0" xfId="0" applyNumberFormat="1" applyFont="1" applyFill="1" applyAlignment="1">
      <alignment horizontal="center"/>
    </xf>
    <xf numFmtId="0" fontId="14" fillId="3" borderId="7" xfId="0" applyFont="1" applyFill="1" applyBorder="1" applyAlignment="1">
      <alignment horizontal="center" vertical="center" wrapText="1"/>
    </xf>
    <xf numFmtId="0" fontId="7" fillId="0" borderId="6" xfId="0" applyFont="1" applyBorder="1" applyAlignment="1">
      <alignment horizontal="center"/>
    </xf>
    <xf numFmtId="0" fontId="7" fillId="0" borderId="7" xfId="0" applyFont="1" applyBorder="1" applyAlignment="1">
      <alignment horizontal="center"/>
    </xf>
    <xf numFmtId="165" fontId="7" fillId="0" borderId="0" xfId="0" applyNumberFormat="1" applyFont="1" applyAlignment="1">
      <alignment horizontal="center"/>
    </xf>
    <xf numFmtId="167" fontId="7" fillId="0" borderId="0" xfId="0" applyNumberFormat="1" applyFont="1" applyAlignment="1">
      <alignment horizontal="center"/>
    </xf>
    <xf numFmtId="167" fontId="7" fillId="0" borderId="7" xfId="0" applyNumberFormat="1" applyFont="1" applyBorder="1" applyAlignment="1">
      <alignment horizontal="center"/>
    </xf>
    <xf numFmtId="166" fontId="7" fillId="2" borderId="10" xfId="2" applyNumberFormat="1" applyFont="1" applyFill="1" applyBorder="1"/>
    <xf numFmtId="166" fontId="7" fillId="2" borderId="0" xfId="2" applyNumberFormat="1" applyFont="1" applyFill="1"/>
    <xf numFmtId="166" fontId="7" fillId="2" borderId="8" xfId="2" applyNumberFormat="1" applyFont="1" applyFill="1" applyBorder="1"/>
    <xf numFmtId="16" fontId="7" fillId="0" borderId="7" xfId="0" quotePrefix="1" applyNumberFormat="1" applyFont="1" applyBorder="1" applyAlignment="1">
      <alignment horizontal="center"/>
    </xf>
    <xf numFmtId="37" fontId="7" fillId="0" borderId="0" xfId="2" applyNumberFormat="1" applyFont="1" applyAlignment="1">
      <alignment horizontal="center"/>
    </xf>
    <xf numFmtId="0" fontId="7" fillId="0" borderId="0" xfId="0" applyFont="1" applyAlignment="1">
      <alignment horizontal="left"/>
    </xf>
    <xf numFmtId="0" fontId="7" fillId="0" borderId="0" xfId="0" applyFont="1" applyAlignment="1">
      <alignment wrapText="1"/>
    </xf>
    <xf numFmtId="0" fontId="15" fillId="0" borderId="0" xfId="0" applyFont="1" applyAlignment="1">
      <alignment horizontal="left" wrapText="1"/>
    </xf>
    <xf numFmtId="165" fontId="7" fillId="0" borderId="0" xfId="0" applyNumberFormat="1" applyFont="1" applyAlignment="1">
      <alignment horizontal="center" vertical="center"/>
    </xf>
    <xf numFmtId="0" fontId="7" fillId="0" borderId="6" xfId="0" applyFont="1" applyBorder="1" applyAlignment="1">
      <alignment horizontal="center" vertical="center"/>
    </xf>
    <xf numFmtId="0" fontId="7" fillId="0" borderId="7" xfId="0" quotePrefix="1" applyFont="1" applyBorder="1" applyAlignment="1">
      <alignment horizontal="center" vertical="center"/>
    </xf>
    <xf numFmtId="165" fontId="7" fillId="0" borderId="8" xfId="0" applyNumberFormat="1" applyFont="1" applyBorder="1" applyAlignment="1">
      <alignment horizontal="center"/>
    </xf>
    <xf numFmtId="165" fontId="7" fillId="0" borderId="6" xfId="0" applyNumberFormat="1" applyFont="1" applyBorder="1" applyAlignment="1">
      <alignment horizontal="center"/>
    </xf>
    <xf numFmtId="167" fontId="28" fillId="0" borderId="0" xfId="0" applyNumberFormat="1" applyFont="1" applyAlignment="1">
      <alignment horizontal="center" vertical="center" wrapText="1"/>
    </xf>
    <xf numFmtId="167" fontId="28" fillId="0" borderId="16" xfId="0" applyNumberFormat="1" applyFont="1" applyBorder="1" applyAlignment="1">
      <alignment horizontal="center" vertical="center" wrapText="1"/>
    </xf>
    <xf numFmtId="167" fontId="28" fillId="0" borderId="15" xfId="0" applyNumberFormat="1" applyFont="1" applyBorder="1" applyAlignment="1">
      <alignment horizontal="center" vertical="center" wrapText="1"/>
    </xf>
    <xf numFmtId="0" fontId="13" fillId="0" borderId="0" xfId="0" applyFont="1"/>
    <xf numFmtId="0" fontId="30" fillId="0" borderId="0" xfId="0" applyFont="1"/>
    <xf numFmtId="0" fontId="15" fillId="0" borderId="0" xfId="0" applyFont="1" applyAlignment="1">
      <alignment horizontal="left"/>
    </xf>
    <xf numFmtId="2" fontId="7" fillId="0" borderId="0" xfId="0" applyNumberFormat="1" applyFont="1" applyAlignment="1">
      <alignment horizontal="center" vertical="center"/>
    </xf>
    <xf numFmtId="166" fontId="7" fillId="0" borderId="0" xfId="0" applyNumberFormat="1" applyFont="1" applyAlignment="1">
      <alignment vertical="top"/>
    </xf>
    <xf numFmtId="0" fontId="7" fillId="0" borderId="0" xfId="0" applyFont="1" applyAlignment="1">
      <alignment vertical="top"/>
    </xf>
    <xf numFmtId="0" fontId="7" fillId="2" borderId="9" xfId="0" applyFont="1" applyFill="1" applyBorder="1" applyAlignment="1">
      <alignment horizontal="center" vertical="center" wrapText="1"/>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15" fillId="0" borderId="0" xfId="0" applyFont="1" applyAlignment="1">
      <alignment horizontal="center"/>
    </xf>
    <xf numFmtId="4" fontId="7" fillId="0" borderId="9" xfId="0" applyNumberFormat="1" applyFont="1" applyBorder="1" applyAlignment="1">
      <alignment horizontal="center"/>
    </xf>
    <xf numFmtId="0" fontId="7" fillId="0" borderId="10" xfId="0" applyFont="1" applyBorder="1" applyAlignment="1">
      <alignment horizontal="center"/>
    </xf>
    <xf numFmtId="0" fontId="7" fillId="0" borderId="9" xfId="0" applyFont="1" applyBorder="1" applyAlignment="1">
      <alignment horizontal="center"/>
    </xf>
    <xf numFmtId="0" fontId="6" fillId="0" borderId="0" xfId="0" applyFont="1"/>
    <xf numFmtId="0" fontId="6" fillId="0" borderId="0" xfId="0" applyFont="1" applyAlignment="1">
      <alignment horizontal="center"/>
    </xf>
    <xf numFmtId="167" fontId="28" fillId="0" borderId="14" xfId="0" applyNumberFormat="1" applyFont="1" applyBorder="1" applyAlignment="1">
      <alignment horizontal="center" vertical="center" wrapText="1"/>
    </xf>
    <xf numFmtId="0" fontId="7" fillId="0" borderId="0" xfId="0" applyFont="1" applyAlignment="1">
      <alignment vertical="center" wrapText="1"/>
    </xf>
    <xf numFmtId="0" fontId="6" fillId="0" borderId="0" xfId="0" applyFont="1" applyAlignment="1">
      <alignment horizontal="left" indent="2"/>
    </xf>
    <xf numFmtId="0" fontId="16" fillId="0" borderId="0" xfId="0" applyFont="1"/>
    <xf numFmtId="0" fontId="6" fillId="0" borderId="6" xfId="0" applyFont="1" applyBorder="1" applyAlignment="1">
      <alignment horizontal="center"/>
    </xf>
    <xf numFmtId="0" fontId="6" fillId="0" borderId="7" xfId="0" applyFont="1" applyBorder="1" applyAlignment="1">
      <alignment horizontal="center"/>
    </xf>
    <xf numFmtId="0" fontId="34" fillId="0" borderId="0" xfId="0" applyFont="1" applyAlignment="1">
      <alignment horizontal="center" vertical="center" wrapText="1"/>
    </xf>
    <xf numFmtId="0" fontId="6" fillId="0" borderId="8" xfId="0" applyFont="1" applyBorder="1" applyAlignment="1">
      <alignment horizontal="center"/>
    </xf>
    <xf numFmtId="2" fontId="35" fillId="0" borderId="0" xfId="0" applyNumberFormat="1" applyFont="1" applyAlignment="1">
      <alignment horizontal="center" vertical="center" wrapText="1"/>
    </xf>
    <xf numFmtId="167" fontId="6" fillId="0" borderId="0" xfId="0" applyNumberFormat="1" applyFont="1" applyAlignment="1">
      <alignment horizontal="center"/>
    </xf>
    <xf numFmtId="2" fontId="16" fillId="0" borderId="0" xfId="0" applyNumberFormat="1" applyFont="1" applyAlignment="1">
      <alignment horizontal="center" vertical="center" wrapText="1"/>
    </xf>
    <xf numFmtId="167" fontId="6" fillId="0" borderId="7" xfId="0" applyNumberFormat="1" applyFont="1" applyBorder="1" applyAlignment="1">
      <alignment horizontal="center"/>
    </xf>
    <xf numFmtId="0" fontId="15" fillId="0" borderId="13" xfId="0" applyFont="1" applyBorder="1" applyAlignment="1">
      <alignment horizontal="center"/>
    </xf>
    <xf numFmtId="2" fontId="7" fillId="4" borderId="0" xfId="0" applyNumberFormat="1" applyFont="1" applyFill="1" applyAlignment="1">
      <alignment horizontal="center"/>
    </xf>
    <xf numFmtId="2" fontId="12" fillId="2" borderId="0" xfId="0" applyNumberFormat="1" applyFont="1" applyFill="1" applyAlignment="1">
      <alignment horizontal="left"/>
    </xf>
    <xf numFmtId="4" fontId="14" fillId="4" borderId="0" xfId="0" applyNumberFormat="1" applyFont="1" applyFill="1" applyAlignment="1">
      <alignment horizontal="center" vertical="center" wrapText="1"/>
    </xf>
    <xf numFmtId="0" fontId="6" fillId="2" borderId="24" xfId="0" applyFont="1" applyFill="1" applyBorder="1" applyAlignment="1">
      <alignment horizontal="right"/>
    </xf>
    <xf numFmtId="0" fontId="6" fillId="0" borderId="11" xfId="0" applyFont="1" applyBorder="1" applyAlignment="1">
      <alignment horizontal="center"/>
    </xf>
    <xf numFmtId="2" fontId="7" fillId="0" borderId="12" xfId="0" applyNumberFormat="1" applyFont="1" applyBorder="1" applyAlignment="1">
      <alignment horizontal="center"/>
    </xf>
    <xf numFmtId="1" fontId="14" fillId="0" borderId="0" xfId="0" quotePrefix="1" applyNumberFormat="1" applyFont="1" applyAlignment="1">
      <alignment horizontal="center" vertical="center" wrapText="1"/>
    </xf>
    <xf numFmtId="0" fontId="16" fillId="0" borderId="8" xfId="0" applyFont="1" applyBorder="1" applyAlignment="1">
      <alignment horizontal="right" vertical="center"/>
    </xf>
    <xf numFmtId="2" fontId="7" fillId="2" borderId="6" xfId="0" applyNumberFormat="1" applyFont="1" applyFill="1" applyBorder="1" applyAlignment="1">
      <alignment horizontal="center"/>
    </xf>
    <xf numFmtId="165" fontId="14" fillId="0" borderId="0" xfId="0" applyNumberFormat="1" applyFont="1" applyAlignment="1">
      <alignment horizontal="center" vertical="center" wrapText="1"/>
    </xf>
    <xf numFmtId="2" fontId="14" fillId="0" borderId="0" xfId="0" applyNumberFormat="1" applyFont="1" applyAlignment="1">
      <alignment horizontal="center" vertical="center" wrapText="1"/>
    </xf>
    <xf numFmtId="0" fontId="14" fillId="0" borderId="17" xfId="0" applyFont="1" applyBorder="1" applyAlignment="1">
      <alignment horizontal="center" vertical="center" wrapText="1"/>
    </xf>
    <xf numFmtId="165" fontId="14" fillId="0" borderId="18" xfId="0" applyNumberFormat="1" applyFont="1" applyBorder="1" applyAlignment="1">
      <alignment horizontal="center" vertical="center" wrapText="1"/>
    </xf>
    <xf numFmtId="167" fontId="7" fillId="0" borderId="12" xfId="0" applyNumberFormat="1" applyFont="1" applyBorder="1" applyAlignment="1">
      <alignment horizontal="center"/>
    </xf>
    <xf numFmtId="0" fontId="5" fillId="0" borderId="0" xfId="0" applyFont="1" applyAlignment="1">
      <alignment horizontal="center"/>
    </xf>
    <xf numFmtId="0" fontId="5" fillId="0" borderId="11" xfId="0" applyFont="1" applyBorder="1" applyAlignment="1">
      <alignment horizontal="center"/>
    </xf>
    <xf numFmtId="165" fontId="14" fillId="4" borderId="12" xfId="0" applyNumberFormat="1" applyFont="1" applyFill="1" applyBorder="1" applyAlignment="1">
      <alignment horizontal="center" vertical="center" wrapText="1"/>
    </xf>
    <xf numFmtId="0" fontId="15" fillId="0" borderId="0" xfId="0" applyFont="1" applyAlignment="1">
      <alignment horizontal="center"/>
    </xf>
    <xf numFmtId="0" fontId="7" fillId="2" borderId="23" xfId="0" applyFont="1" applyFill="1" applyBorder="1" applyAlignment="1">
      <alignment horizontal="center"/>
    </xf>
    <xf numFmtId="0" fontId="7" fillId="2" borderId="21" xfId="0" applyFont="1" applyFill="1" applyBorder="1" applyAlignment="1">
      <alignment horizontal="center"/>
    </xf>
    <xf numFmtId="0" fontId="7" fillId="2" borderId="22" xfId="0" applyFont="1" applyFill="1" applyBorder="1" applyAlignment="1">
      <alignment horizontal="center"/>
    </xf>
    <xf numFmtId="0" fontId="13" fillId="0" borderId="0" xfId="0" applyFont="1" applyAlignment="1">
      <alignment horizontal="center"/>
    </xf>
    <xf numFmtId="0" fontId="7" fillId="0" borderId="0" xfId="0" applyFont="1" applyAlignment="1">
      <alignment horizontal="left" wrapText="1"/>
    </xf>
    <xf numFmtId="0" fontId="6" fillId="0" borderId="0" xfId="0" applyFont="1" applyAlignment="1">
      <alignment horizontal="left" wrapText="1"/>
    </xf>
    <xf numFmtId="0" fontId="2" fillId="0" borderId="0" xfId="0" applyFont="1" applyAlignment="1">
      <alignment horizontal="left"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3" fillId="0" borderId="0" xfId="0" applyFont="1" applyAlignment="1">
      <alignment horizontal="left" wrapText="1"/>
    </xf>
    <xf numFmtId="0" fontId="7" fillId="0" borderId="0" xfId="0" applyFont="1" applyAlignment="1">
      <alignment horizontal="center"/>
    </xf>
    <xf numFmtId="0" fontId="4" fillId="0" borderId="0" xfId="0" applyFont="1" applyAlignment="1">
      <alignment horizontal="left" vertical="top" wrapText="1"/>
    </xf>
    <xf numFmtId="0" fontId="7" fillId="2" borderId="26" xfId="0" applyFont="1" applyFill="1" applyBorder="1" applyAlignment="1">
      <alignment horizontal="center"/>
    </xf>
    <xf numFmtId="0" fontId="7" fillId="2" borderId="20" xfId="0" applyFont="1" applyFill="1" applyBorder="1" applyAlignment="1">
      <alignment horizontal="center"/>
    </xf>
    <xf numFmtId="0" fontId="7" fillId="2" borderId="13" xfId="0" applyFont="1" applyFill="1" applyBorder="1" applyAlignment="1">
      <alignment horizontal="center"/>
    </xf>
    <xf numFmtId="0" fontId="7" fillId="2" borderId="27" xfId="0" applyFont="1" applyFill="1" applyBorder="1" applyAlignment="1">
      <alignment horizontal="center"/>
    </xf>
    <xf numFmtId="0" fontId="7" fillId="2" borderId="7" xfId="0" applyFont="1" applyFill="1" applyBorder="1" applyAlignment="1">
      <alignment horizontal="center"/>
    </xf>
    <xf numFmtId="0" fontId="7" fillId="2" borderId="6" xfId="0" applyFont="1" applyFill="1" applyBorder="1" applyAlignment="1">
      <alignment horizontal="center"/>
    </xf>
    <xf numFmtId="0" fontId="7" fillId="0" borderId="10" xfId="0" applyFont="1" applyBorder="1" applyAlignment="1">
      <alignment horizontal="center" wrapText="1"/>
    </xf>
    <xf numFmtId="0" fontId="7" fillId="0" borderId="27" xfId="0" applyFont="1" applyBorder="1" applyAlignment="1">
      <alignment horizontal="center" wrapText="1"/>
    </xf>
    <xf numFmtId="0" fontId="7" fillId="0" borderId="8" xfId="0" applyFont="1" applyBorder="1" applyAlignment="1">
      <alignment horizontal="center"/>
    </xf>
    <xf numFmtId="0" fontId="7" fillId="0" borderId="6" xfId="0" applyFont="1" applyBorder="1" applyAlignment="1">
      <alignment horizontal="center"/>
    </xf>
    <xf numFmtId="0" fontId="7" fillId="0" borderId="8" xfId="0" applyFont="1" applyBorder="1" applyAlignment="1">
      <alignment horizontal="center" wrapText="1"/>
    </xf>
    <xf numFmtId="0" fontId="7" fillId="0" borderId="6" xfId="0" applyFont="1" applyBorder="1" applyAlignment="1">
      <alignment horizontal="center" wrapText="1"/>
    </xf>
    <xf numFmtId="0" fontId="6" fillId="0" borderId="0" xfId="0" applyFont="1" applyAlignment="1">
      <alignment horizontal="left" vertical="top" wrapText="1"/>
    </xf>
    <xf numFmtId="0" fontId="7" fillId="0" borderId="0" xfId="0" applyFont="1" applyAlignment="1">
      <alignment horizontal="left" vertical="top" wrapText="1"/>
    </xf>
    <xf numFmtId="0" fontId="33" fillId="0" borderId="0" xfId="0" applyFont="1" applyAlignment="1">
      <alignment horizontal="center"/>
    </xf>
    <xf numFmtId="0" fontId="13" fillId="0" borderId="0" xfId="0" applyFont="1" applyAlignment="1">
      <alignment horizontal="center" wrapText="1"/>
    </xf>
    <xf numFmtId="0" fontId="15" fillId="0" borderId="0" xfId="0" applyFont="1" applyAlignment="1">
      <alignment horizontal="left" wrapText="1"/>
    </xf>
    <xf numFmtId="0" fontId="13" fillId="2" borderId="0" xfId="0" applyFont="1" applyFill="1" applyAlignment="1">
      <alignment horizontal="center"/>
    </xf>
    <xf numFmtId="0" fontId="7" fillId="0" borderId="10" xfId="0" applyFont="1" applyBorder="1" applyAlignment="1">
      <alignment horizontal="center" vertical="center"/>
    </xf>
    <xf numFmtId="0" fontId="7" fillId="0" borderId="27" xfId="0" applyFont="1" applyBorder="1" applyAlignment="1">
      <alignment horizontal="center" vertical="center"/>
    </xf>
    <xf numFmtId="0" fontId="7" fillId="0" borderId="0" xfId="0" applyFont="1" applyAlignment="1">
      <alignment horizontal="left"/>
    </xf>
    <xf numFmtId="0" fontId="5" fillId="0" borderId="0" xfId="0" applyFont="1" applyAlignment="1">
      <alignment horizontal="left" wrapText="1"/>
    </xf>
    <xf numFmtId="0" fontId="6" fillId="0" borderId="0" xfId="0" applyFont="1" applyAlignment="1">
      <alignment horizontal="left"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285261</xdr:colOff>
      <xdr:row>107</xdr:row>
      <xdr:rowOff>50231</xdr:rowOff>
    </xdr:from>
    <xdr:ext cx="1528047" cy="18133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10761" y="21936564"/>
              <a:ext cx="1528047" cy="181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𝑉𝑎𝑟</m:t>
                    </m:r>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𝑞</m:t>
                        </m:r>
                        <m:d>
                          <m:dPr>
                            <m:ctrlPr>
                              <a:rPr lang="en-US" sz="1100" b="0" i="1">
                                <a:latin typeface="Cambria Math" panose="02040503050406030204" pitchFamily="18" charset="0"/>
                              </a:rPr>
                            </m:ctrlPr>
                          </m:dPr>
                          <m:e>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e>
                        </m:d>
                      </m:e>
                    </m:d>
                    <m:r>
                      <a:rPr lang="en-US" sz="1100" b="0" i="1">
                        <a:latin typeface="Cambria Math" panose="02040503050406030204" pitchFamily="18" charset="0"/>
                      </a:rPr>
                      <m:t>= </m:t>
                    </m:r>
                    <m:r>
                      <a:rPr lang="en-PH" sz="1100" i="1">
                        <a:solidFill>
                          <a:schemeClr val="tx1"/>
                        </a:solidFill>
                        <a:effectLst/>
                        <a:latin typeface="Cambria Math" panose="02040503050406030204" pitchFamily="18" charset="0"/>
                        <a:ea typeface="+mn-ea"/>
                        <a:cs typeface="+mn-cs"/>
                      </a:rPr>
                      <m:t>𝜙</m:t>
                    </m:r>
                    <m:r>
                      <a:rPr lang="en-US" sz="1100" b="0" i="1">
                        <a:solidFill>
                          <a:schemeClr val="tx1"/>
                        </a:solidFill>
                        <a:effectLst/>
                        <a:latin typeface="Cambria Math" panose="02040503050406030204" pitchFamily="18" charset="0"/>
                        <a:ea typeface="Cambria Math" panose="02040503050406030204" pitchFamily="18" charset="0"/>
                        <a:cs typeface="+mn-cs"/>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𝑚</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𝑧</m:t>
                        </m:r>
                      </m:sup>
                    </m:sSubSup>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10761" y="21936564"/>
              <a:ext cx="1528047" cy="181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𝑉𝑎𝑟[𝑞(𝑤,𝑑)]= </a:t>
              </a:r>
              <a:r>
                <a:rPr lang="en-PH" sz="1100" i="0">
                  <a:solidFill>
                    <a:schemeClr val="tx1"/>
                  </a:solidFill>
                  <a:effectLst/>
                  <a:latin typeface="Cambria Math" panose="02040503050406030204" pitchFamily="18" charset="0"/>
                  <a:ea typeface="+mn-ea"/>
                  <a:cs typeface="+mn-cs"/>
                </a:rPr>
                <a:t>𝜙</a:t>
              </a:r>
              <a:r>
                <a:rPr lang="en-US" sz="1100" b="0" i="0">
                  <a:solidFill>
                    <a:schemeClr val="tx1"/>
                  </a:solidFill>
                  <a:effectLst/>
                  <a:latin typeface="Cambria Math" panose="02040503050406030204" pitchFamily="18" charset="0"/>
                  <a:ea typeface="Cambria Math" panose="02040503050406030204" pitchFamily="18" charset="0"/>
                  <a:cs typeface="+mn-cs"/>
                </a:rPr>
                <a:t>×</a:t>
              </a:r>
              <a:r>
                <a:rPr lang="en-US" sz="1100" b="0" i="0">
                  <a:latin typeface="Cambria Math" panose="02040503050406030204" pitchFamily="18" charset="0"/>
                  <a:ea typeface="Cambria Math" panose="02040503050406030204" pitchFamily="18" charset="0"/>
                </a:rPr>
                <a:t>𝑚_(𝑤,𝑑)^𝑧</a:t>
              </a:r>
              <a:endParaRPr lang="en-US" sz="1100"/>
            </a:p>
          </xdr:txBody>
        </xdr:sp>
      </mc:Fallback>
    </mc:AlternateContent>
    <xdr:clientData/>
  </xdr:oneCellAnchor>
  <xdr:oneCellAnchor>
    <xdr:from>
      <xdr:col>1</xdr:col>
      <xdr:colOff>59121</xdr:colOff>
      <xdr:row>19</xdr:row>
      <xdr:rowOff>107657</xdr:rowOff>
    </xdr:from>
    <xdr:ext cx="1330364" cy="1744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F2020B-7FD0-4008-B2DB-13B61A193AF2}"/>
                </a:ext>
              </a:extLst>
            </xdr:cNvPr>
            <xdr:cNvSpPr txBox="1"/>
          </xdr:nvSpPr>
          <xdr:spPr>
            <a:xfrm>
              <a:off x="884621" y="4055240"/>
              <a:ext cx="1330364"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𝐼𝑛𝑐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E8F2020B-7FD0-4008-B2DB-13B61A193AF2}"/>
                </a:ext>
              </a:extLst>
            </xdr:cNvPr>
            <xdr:cNvSpPr txBox="1"/>
          </xdr:nvSpPr>
          <xdr:spPr>
            <a:xfrm>
              <a:off x="884621" y="4055240"/>
              <a:ext cx="1330364"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𝑞(𝑤,𝑑)→𝐼𝑛𝑐〖𝐿𝑜𝑠𝑠〗_(𝐴𝑌,𝑑)</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27</xdr:row>
      <xdr:rowOff>122256</xdr:rowOff>
    </xdr:from>
    <xdr:ext cx="1019638" cy="19107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4EC0DD7-CD08-4892-84E5-32B872BC243B}"/>
                </a:ext>
              </a:extLst>
            </xdr:cNvPr>
            <xdr:cNvSpPr txBox="1"/>
          </xdr:nvSpPr>
          <xdr:spPr>
            <a:xfrm>
              <a:off x="825500" y="5720839"/>
              <a:ext cx="1019638"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e>
                    </m:func>
                    <m:r>
                      <a:rPr lang="en-PH"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44EC0DD7-CD08-4892-84E5-32B872BC243B}"/>
                </a:ext>
              </a:extLst>
            </xdr:cNvPr>
            <xdr:cNvSpPr txBox="1"/>
          </xdr:nvSpPr>
          <xdr:spPr>
            <a:xfrm>
              <a:off x="825500" y="5720839"/>
              <a:ext cx="1019638"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ln⁡(𝐼𝑛𝑐〖𝐿𝑜𝑠𝑠〗_(𝐴𝑌,𝑑) ):</a:t>
              </a:r>
              <a:endParaRPr lang="en-US" sz="1100">
                <a:solidFill>
                  <a:schemeClr val="tx1"/>
                </a:solidFill>
              </a:endParaRPr>
            </a:p>
          </xdr:txBody>
        </xdr:sp>
      </mc:Fallback>
    </mc:AlternateContent>
    <xdr:clientData/>
  </xdr:oneCellAnchor>
  <xdr:oneCellAnchor>
    <xdr:from>
      <xdr:col>1</xdr:col>
      <xdr:colOff>0</xdr:colOff>
      <xdr:row>29</xdr:row>
      <xdr:rowOff>0</xdr:rowOff>
    </xdr:from>
    <xdr:ext cx="1789272" cy="19107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98AC510-20AA-4E73-B589-687E97E9E7D7}"/>
                </a:ext>
              </a:extLst>
            </xdr:cNvPr>
            <xdr:cNvSpPr txBox="1"/>
          </xdr:nvSpPr>
          <xdr:spPr>
            <a:xfrm>
              <a:off x="826595" y="6558017"/>
              <a:ext cx="1789272"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e>
                        </m:d>
                      </m:e>
                    </m:func>
                    <m:r>
                      <a:rPr lang="en-PH" sz="1100" i="1">
                        <a:solidFill>
                          <a:schemeClr val="tx1"/>
                        </a:solidFill>
                        <a:effectLst/>
                        <a:latin typeface="Cambria Math" panose="02040503050406030204" pitchFamily="18" charset="0"/>
                        <a:ea typeface="+mn-ea"/>
                        <a:cs typeface="+mn-cs"/>
                      </a:rPr>
                      <m:t>→</m:t>
                    </m:r>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e>
                    </m:func>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D98AC510-20AA-4E73-B589-687E97E9E7D7}"/>
                </a:ext>
              </a:extLst>
            </xdr:cNvPr>
            <xdr:cNvSpPr txBox="1"/>
          </xdr:nvSpPr>
          <xdr:spPr>
            <a:xfrm>
              <a:off x="826595" y="6558017"/>
              <a:ext cx="1789272"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ln⁡[𝑞(𝑤,𝑑)]→ln⁡[𝐼𝑛𝑐〖𝐿𝑜𝑠𝑠〗_(𝐴𝑌,𝑑) ]</a:t>
              </a:r>
              <a:endParaRPr lang="en-US" sz="1100">
                <a:solidFill>
                  <a:schemeClr val="tx1"/>
                </a:solidFill>
              </a:endParaRPr>
            </a:p>
          </xdr:txBody>
        </xdr:sp>
      </mc:Fallback>
    </mc:AlternateContent>
    <xdr:clientData/>
  </xdr:oneCellAnchor>
  <xdr:twoCellAnchor>
    <xdr:from>
      <xdr:col>1</xdr:col>
      <xdr:colOff>148167</xdr:colOff>
      <xdr:row>39</xdr:row>
      <xdr:rowOff>148167</xdr:rowOff>
    </xdr:from>
    <xdr:to>
      <xdr:col>3</xdr:col>
      <xdr:colOff>31750</xdr:colOff>
      <xdr:row>44</xdr:row>
      <xdr:rowOff>194063</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C14B55B1-DE75-4FC5-890B-44569CCBB706}"/>
                </a:ext>
              </a:extLst>
            </xdr:cNvPr>
            <xdr:cNvSpPr txBox="1"/>
          </xdr:nvSpPr>
          <xdr:spPr>
            <a:xfrm>
              <a:off x="973667" y="8403167"/>
              <a:ext cx="1534583" cy="10513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lnSpc>
                  <a:spcPct val="150000"/>
                </a:lnSpc>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a:p>
              <a:pPr>
                <a:lnSpc>
                  <a:spcPct val="150000"/>
                </a:lnSpc>
              </a:pPr>
              <a14:m>
                <m:oMathPara xmlns:m="http://schemas.openxmlformats.org/officeDocument/2006/math">
                  <m:oMathParaPr>
                    <m:jc m:val="centerGroup"/>
                  </m:oMathParaPr>
                  <m:oMath xmlns:m="http://schemas.openxmlformats.org/officeDocument/2006/math">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e>
                    </m:func>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𝜂</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US" sz="1100">
                <a:solidFill>
                  <a:schemeClr val="tx1"/>
                </a:solidFill>
                <a:effectLst/>
                <a:latin typeface="+mn-lt"/>
                <a:ea typeface="+mn-ea"/>
                <a:cs typeface="+mn-cs"/>
              </a:endParaRPr>
            </a:p>
            <a:p>
              <a:pPr>
                <a:lnSpc>
                  <a:spcPct val="100000"/>
                </a:lnSpc>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𝜂</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𝑤</m:t>
                        </m:r>
                      </m:sub>
                    </m:sSub>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1"/>
                        </m:argP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=2</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𝑑</m:t>
                            </m:r>
                          </m:sub>
                        </m:sSub>
                      </m:e>
                    </m:nary>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C14B55B1-DE75-4FC5-890B-44569CCBB706}"/>
                </a:ext>
              </a:extLst>
            </xdr:cNvPr>
            <xdr:cNvSpPr txBox="1"/>
          </xdr:nvSpPr>
          <xdr:spPr>
            <a:xfrm>
              <a:off x="973667" y="8403167"/>
              <a:ext cx="1534583" cy="10513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lnSpc>
                  <a:spcPct val="150000"/>
                </a:lnSpc>
              </a:pPr>
              <a:r>
                <a:rPr lang="en-PH" sz="1100" i="0">
                  <a:solidFill>
                    <a:schemeClr val="tx1"/>
                  </a:solidFill>
                  <a:effectLst/>
                  <a:latin typeface="Cambria Math" panose="02040503050406030204" pitchFamily="18" charset="0"/>
                  <a:ea typeface="+mn-ea"/>
                  <a:cs typeface="+mn-cs"/>
                </a:rPr>
                <a:t>E[𝑞(𝑤,𝑑)]=𝑚_(𝑤,𝑑)</a:t>
              </a:r>
              <a:endParaRPr lang="en-PH" sz="1100">
                <a:solidFill>
                  <a:schemeClr val="tx1"/>
                </a:solidFill>
                <a:effectLst/>
                <a:latin typeface="+mn-lt"/>
                <a:ea typeface="+mn-ea"/>
                <a:cs typeface="+mn-cs"/>
              </a:endParaRPr>
            </a:p>
            <a:p>
              <a:pPr>
                <a:lnSpc>
                  <a:spcPct val="150000"/>
                </a:lnSpc>
              </a:pPr>
              <a:r>
                <a:rPr lang="en-PH" sz="1100" i="0">
                  <a:solidFill>
                    <a:schemeClr val="tx1"/>
                  </a:solidFill>
                  <a:effectLst/>
                  <a:latin typeface="Cambria Math" panose="02040503050406030204" pitchFamily="18" charset="0"/>
                  <a:ea typeface="+mn-ea"/>
                  <a:cs typeface="+mn-cs"/>
                </a:rPr>
                <a:t>ln⁡(𝑚_(𝑤,𝑑) )=𝜂_(𝑤,𝑑)</a:t>
              </a:r>
              <a:endParaRPr lang="en-US" sz="1100">
                <a:solidFill>
                  <a:schemeClr val="tx1"/>
                </a:solidFill>
                <a:effectLst/>
                <a:latin typeface="+mn-lt"/>
                <a:ea typeface="+mn-ea"/>
                <a:cs typeface="+mn-cs"/>
              </a:endParaRPr>
            </a:p>
            <a:p>
              <a:pPr>
                <a:lnSpc>
                  <a:spcPct val="100000"/>
                </a:lnSpc>
              </a:pPr>
              <a:r>
                <a:rPr lang="en-PH" sz="1100" i="0">
                  <a:solidFill>
                    <a:schemeClr val="tx1"/>
                  </a:solidFill>
                  <a:effectLst/>
                  <a:latin typeface="Cambria Math" panose="02040503050406030204" pitchFamily="18" charset="0"/>
                  <a:ea typeface="+mn-ea"/>
                  <a:cs typeface="+mn-cs"/>
                </a:rPr>
                <a:t>𝜂_(𝑤,𝑑)=𝛼_𝑤+∑1_(𝑑=2)▒𝛽_𝑑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243418</xdr:colOff>
      <xdr:row>45</xdr:row>
      <xdr:rowOff>169333</xdr:rowOff>
    </xdr:from>
    <xdr:ext cx="1349857" cy="19107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B77C66AE-3CC8-4E1D-8842-4827B3EAE9D6}"/>
                </a:ext>
              </a:extLst>
            </xdr:cNvPr>
            <xdr:cNvSpPr txBox="1"/>
          </xdr:nvSpPr>
          <xdr:spPr>
            <a:xfrm>
              <a:off x="1068918" y="9630833"/>
              <a:ext cx="1349857"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B77C66AE-3CC8-4E1D-8842-4827B3EAE9D6}"/>
                </a:ext>
              </a:extLst>
            </xdr:cNvPr>
            <xdr:cNvSpPr txBox="1"/>
          </xdr:nvSpPr>
          <xdr:spPr>
            <a:xfrm>
              <a:off x="1068918" y="9630833"/>
              <a:ext cx="1349857"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E[𝐼𝑛𝑐〖𝐿𝑜𝑠𝑠〗_(𝐴𝑌,𝑑) ]=𝑚_(𝐴𝑌,𝑑)</a:t>
              </a:r>
              <a:endParaRPr lang="en-PH" sz="1100">
                <a:solidFill>
                  <a:schemeClr val="tx1"/>
                </a:solidFill>
                <a:effectLst/>
                <a:latin typeface="+mn-lt"/>
                <a:ea typeface="+mn-ea"/>
                <a:cs typeface="+mn-cs"/>
              </a:endParaRPr>
            </a:p>
          </xdr:txBody>
        </xdr:sp>
      </mc:Fallback>
    </mc:AlternateContent>
    <xdr:clientData/>
  </xdr:oneCellAnchor>
  <xdr:oneCellAnchor>
    <xdr:from>
      <xdr:col>1</xdr:col>
      <xdr:colOff>180282</xdr:colOff>
      <xdr:row>47</xdr:row>
      <xdr:rowOff>102550</xdr:rowOff>
    </xdr:from>
    <xdr:ext cx="2506392" cy="410753"/>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574F3FF6-56D3-437E-A1FC-FED4849A5F01}"/>
                </a:ext>
              </a:extLst>
            </xdr:cNvPr>
            <xdr:cNvSpPr txBox="1"/>
          </xdr:nvSpPr>
          <xdr:spPr>
            <a:xfrm>
              <a:off x="1005782" y="9966217"/>
              <a:ext cx="2506392"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𝑙𝑛𝑐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𝜂</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2"/>
                            </m:argPr>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1"/>
                            </m:argP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=2</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𝑑</m:t>
                                </m:r>
                              </m:sub>
                            </m:sSub>
                          </m:e>
                        </m:nary>
                      </m:e>
                    </m:func>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574F3FF6-56D3-437E-A1FC-FED4849A5F01}"/>
                </a:ext>
              </a:extLst>
            </xdr:cNvPr>
            <xdr:cNvSpPr txBox="1"/>
          </xdr:nvSpPr>
          <xdr:spPr>
            <a:xfrm>
              <a:off x="1005782" y="9966217"/>
              <a:ext cx="2506392"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ln⁡〖(E[𝑙𝑛𝑐〖𝐿𝑜𝑠𝑠〗_(𝐴𝑌,𝑑) ])=𝜂_(𝐴𝑌,𝑑)=𝛼_𝐴𝑌+∑1_(𝑑=2)▒𝛽_𝑑 〗</a:t>
              </a:r>
              <a:endParaRPr lang="en-US" sz="1100">
                <a:solidFill>
                  <a:schemeClr val="tx1"/>
                </a:solidFill>
              </a:endParaRPr>
            </a:p>
          </xdr:txBody>
        </xdr:sp>
      </mc:Fallback>
    </mc:AlternateContent>
    <xdr:clientData/>
  </xdr:oneCellAnchor>
  <xdr:twoCellAnchor>
    <xdr:from>
      <xdr:col>5</xdr:col>
      <xdr:colOff>105835</xdr:colOff>
      <xdr:row>39</xdr:row>
      <xdr:rowOff>137582</xdr:rowOff>
    </xdr:from>
    <xdr:to>
      <xdr:col>7</xdr:col>
      <xdr:colOff>166050</xdr:colOff>
      <xdr:row>41</xdr:row>
      <xdr:rowOff>761</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5CF60FFD-C8E1-45BD-99CD-720EEE9BA811}"/>
                </a:ext>
              </a:extLst>
            </xdr:cNvPr>
            <xdr:cNvSpPr txBox="1"/>
          </xdr:nvSpPr>
          <xdr:spPr>
            <a:xfrm>
              <a:off x="4233335" y="8392582"/>
              <a:ext cx="1711215" cy="2653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Var</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𝜙</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5CF60FFD-C8E1-45BD-99CD-720EEE9BA811}"/>
                </a:ext>
              </a:extLst>
            </xdr:cNvPr>
            <xdr:cNvSpPr txBox="1"/>
          </xdr:nvSpPr>
          <xdr:spPr>
            <a:xfrm>
              <a:off x="4233335" y="8392582"/>
              <a:ext cx="1711215" cy="2653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Var[𝑞(𝑤,𝑑)]=𝜙×𝑚_(𝑤,𝑑)</a:t>
              </a:r>
              <a:endParaRPr lang="en-PH" sz="1100">
                <a:solidFill>
                  <a:schemeClr val="tx1"/>
                </a:solidFill>
                <a:effectLst/>
                <a:latin typeface="+mn-lt"/>
                <a:ea typeface="+mn-ea"/>
                <a:cs typeface="+mn-cs"/>
              </a:endParaRPr>
            </a:p>
          </xdr:txBody>
        </xdr:sp>
      </mc:Fallback>
    </mc:AlternateContent>
    <xdr:clientData/>
  </xdr:twoCellAnchor>
  <xdr:oneCellAnchor>
    <xdr:from>
      <xdr:col>5</xdr:col>
      <xdr:colOff>0</xdr:colOff>
      <xdr:row>42</xdr:row>
      <xdr:rowOff>0</xdr:rowOff>
    </xdr:from>
    <xdr:ext cx="3046219" cy="1930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5A45F3A2-8AEA-4959-932C-44BEE035AE70}"/>
                </a:ext>
              </a:extLst>
            </xdr:cNvPr>
            <xdr:cNvSpPr txBox="1"/>
          </xdr:nvSpPr>
          <xdr:spPr>
            <a:xfrm>
              <a:off x="4132975" y="9191078"/>
              <a:ext cx="3046219"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Var</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𝑠𝑐𝑎𝑙𝑒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𝑝𝑎𝑟𝑎𝑚</m:t>
                    </m:r>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oMath>
                </m:oMathPara>
              </a14:m>
              <a:endParaRPr lang="en-PH"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5A45F3A2-8AEA-4959-932C-44BEE035AE70}"/>
                </a:ext>
              </a:extLst>
            </xdr:cNvPr>
            <xdr:cNvSpPr txBox="1"/>
          </xdr:nvSpPr>
          <xdr:spPr>
            <a:xfrm>
              <a:off x="4132975" y="9191078"/>
              <a:ext cx="3046219"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Var(〖𝐼𝑛𝑐𝐿𝑜𝑠𝑠〗_(𝐴𝑌,𝑑) )=𝑠𝑐𝑎𝑙𝑒 𝑝𝑎𝑟𝑎𝑚×E[𝐼𝑛𝑐〖𝐿𝑜𝑠𝑠〗_(𝐴𝑌,𝑑) ]</a:t>
              </a:r>
              <a:endParaRPr lang="en-PH" sz="1100">
                <a:solidFill>
                  <a:schemeClr val="tx1"/>
                </a:solidFill>
                <a:effectLst/>
                <a:latin typeface="+mn-lt"/>
                <a:ea typeface="+mn-ea"/>
                <a:cs typeface="+mn-cs"/>
              </a:endParaRPr>
            </a:p>
          </xdr:txBody>
        </xdr:sp>
      </mc:Fallback>
    </mc:AlternateContent>
    <xdr:clientData/>
  </xdr:oneCellAnchor>
  <xdr:oneCellAnchor>
    <xdr:from>
      <xdr:col>3</xdr:col>
      <xdr:colOff>89045</xdr:colOff>
      <xdr:row>72</xdr:row>
      <xdr:rowOff>11313</xdr:rowOff>
    </xdr:from>
    <xdr:ext cx="1131528"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BFD02F8D-2357-4BEF-8CEC-DED4BE9FFAA7}"/>
                </a:ext>
              </a:extLst>
            </xdr:cNvPr>
            <xdr:cNvSpPr txBox="1"/>
          </xdr:nvSpPr>
          <xdr:spPr>
            <a:xfrm>
              <a:off x="2565545" y="14902063"/>
              <a:ext cx="1131528"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𝑙𝑛𝑐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e>
                        </m:d>
                      </m:e>
                    </m:func>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BFD02F8D-2357-4BEF-8CEC-DED4BE9FFAA7}"/>
                </a:ext>
              </a:extLst>
            </xdr:cNvPr>
            <xdr:cNvSpPr txBox="1"/>
          </xdr:nvSpPr>
          <xdr:spPr>
            <a:xfrm>
              <a:off x="2565545" y="14902063"/>
              <a:ext cx="1131528"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ln⁡(E[𝑙𝑛𝑐〖𝐿𝑜𝑠𝑠〗_(𝐴𝑌,𝑑) ])</a:t>
              </a:r>
              <a:endParaRPr lang="en-US" sz="1100">
                <a:solidFill>
                  <a:schemeClr val="tx1"/>
                </a:solidFill>
              </a:endParaRPr>
            </a:p>
          </xdr:txBody>
        </xdr:sp>
      </mc:Fallback>
    </mc:AlternateContent>
    <xdr:clientData/>
  </xdr:oneCellAnchor>
  <xdr:oneCellAnchor>
    <xdr:from>
      <xdr:col>5</xdr:col>
      <xdr:colOff>63176</xdr:colOff>
      <xdr:row>79</xdr:row>
      <xdr:rowOff>110632</xdr:rowOff>
    </xdr:from>
    <xdr:ext cx="1400190"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EC28859-03FD-44D5-8099-EDA9B55E6CAD}"/>
                </a:ext>
              </a:extLst>
            </xdr:cNvPr>
            <xdr:cNvSpPr txBox="1"/>
          </xdr:nvSpPr>
          <xdr:spPr>
            <a:xfrm>
              <a:off x="4190676" y="16408965"/>
              <a:ext cx="140019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1,3</m:t>
                                </m:r>
                              </m:sub>
                            </m:sSub>
                          </m:e>
                        </m:d>
                      </m:e>
                    </m:func>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1</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2</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3</m:t>
                        </m:r>
                      </m:sub>
                    </m:sSub>
                  </m:oMath>
                </m:oMathPara>
              </a14:m>
              <a:endParaRPr lang="en-PH"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4EC28859-03FD-44D5-8099-EDA9B55E6CAD}"/>
                </a:ext>
              </a:extLst>
            </xdr:cNvPr>
            <xdr:cNvSpPr txBox="1"/>
          </xdr:nvSpPr>
          <xdr:spPr>
            <a:xfrm>
              <a:off x="4190676" y="16408965"/>
              <a:ext cx="140019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ln⁡[𝑚_1,3 ]=𝛼_1+𝛽_2+𝛽_3</a:t>
              </a:r>
              <a:endParaRPr lang="en-PH" sz="1100">
                <a:solidFill>
                  <a:schemeClr val="tx1"/>
                </a:solidFill>
                <a:effectLst/>
                <a:latin typeface="+mn-lt"/>
                <a:ea typeface="+mn-ea"/>
                <a:cs typeface="+mn-cs"/>
              </a:endParaRPr>
            </a:p>
          </xdr:txBody>
        </xdr:sp>
      </mc:Fallback>
    </mc:AlternateContent>
    <xdr:clientData/>
  </xdr:oneCellAnchor>
  <xdr:oneCellAnchor>
    <xdr:from>
      <xdr:col>5</xdr:col>
      <xdr:colOff>343105</xdr:colOff>
      <xdr:row>52</xdr:row>
      <xdr:rowOff>104812</xdr:rowOff>
    </xdr:from>
    <xdr:ext cx="2505686" cy="106792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FA21BAF-C397-4C72-9B1A-2AA1F39A8C9E}"/>
                </a:ext>
              </a:extLst>
            </xdr:cNvPr>
            <xdr:cNvSpPr txBox="1"/>
          </xdr:nvSpPr>
          <xdr:spPr>
            <a:xfrm>
              <a:off x="4470605" y="10973895"/>
              <a:ext cx="2505686" cy="106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r>
                                <m:rPr>
                                  <m:sty m:val="p"/>
                                </m:rPr>
                                <a:rPr lang="en-PH" sz="1100">
                                  <a:solidFill>
                                    <a:schemeClr val="tx1"/>
                                  </a:solidFill>
                                  <a:effectLst/>
                                  <a:latin typeface="Cambria Math" panose="02040503050406030204" pitchFamily="18" charset="0"/>
                                  <a:ea typeface="+mn-ea"/>
                                  <a:cs typeface="+mn-cs"/>
                                </a:rPr>
                                <m:t>ln</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(1,1)</m:t>
                                  </m:r>
                                </m:e>
                              </m:d>
                            </m:e>
                          </m:mr>
                          <m:mr>
                            <m:e>
                              <m:r>
                                <m:rPr>
                                  <m:sty m:val="p"/>
                                </m:rPr>
                                <a:rPr lang="en-PH" sz="1100">
                                  <a:solidFill>
                                    <a:schemeClr val="tx1"/>
                                  </a:solidFill>
                                  <a:effectLst/>
                                  <a:latin typeface="Cambria Math" panose="02040503050406030204" pitchFamily="18" charset="0"/>
                                  <a:ea typeface="+mn-ea"/>
                                  <a:cs typeface="+mn-cs"/>
                                </a:rPr>
                                <m:t>ln</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(2,1)</m:t>
                                  </m:r>
                                </m:e>
                              </m:d>
                            </m:e>
                          </m:mr>
                          <m:mr>
                            <m:e>
                              <m:r>
                                <m:rPr>
                                  <m:sty m:val="p"/>
                                </m:rPr>
                                <a:rPr lang="en-PH" sz="1100">
                                  <a:solidFill>
                                    <a:schemeClr val="tx1"/>
                                  </a:solidFill>
                                  <a:effectLst/>
                                  <a:latin typeface="Cambria Math" panose="02040503050406030204" pitchFamily="18" charset="0"/>
                                  <a:ea typeface="+mn-ea"/>
                                  <a:cs typeface="+mn-cs"/>
                                </a:rPr>
                                <m:t>ln</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(3,1)</m:t>
                                  </m:r>
                                </m:e>
                              </m:d>
                            </m:e>
                          </m:mr>
                          <m:mr>
                            <m:e>
                              <m:r>
                                <m:rPr>
                                  <m:sty m:val="p"/>
                                </m:rPr>
                                <a:rPr lang="en-PH" sz="1100">
                                  <a:solidFill>
                                    <a:schemeClr val="tx1"/>
                                  </a:solidFill>
                                  <a:effectLst/>
                                  <a:latin typeface="Cambria Math" panose="02040503050406030204" pitchFamily="18" charset="0"/>
                                  <a:ea typeface="+mn-ea"/>
                                  <a:cs typeface="+mn-cs"/>
                                </a:rPr>
                                <m:t>ln</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(1,2)</m:t>
                                  </m:r>
                                </m:e>
                              </m:d>
                            </m:e>
                          </m:mr>
                          <m:mr>
                            <m:e>
                              <m:r>
                                <m:rPr>
                                  <m:sty m:val="p"/>
                                </m:rPr>
                                <a:rPr lang="en-PH" sz="1100">
                                  <a:solidFill>
                                    <a:schemeClr val="tx1"/>
                                  </a:solidFill>
                                  <a:effectLst/>
                                  <a:latin typeface="Cambria Math" panose="02040503050406030204" pitchFamily="18" charset="0"/>
                                  <a:ea typeface="+mn-ea"/>
                                  <a:cs typeface="+mn-cs"/>
                                </a:rPr>
                                <m:t>ln</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(2,2)</m:t>
                                  </m:r>
                                </m:e>
                              </m:d>
                            </m:e>
                          </m:mr>
                          <m:mr>
                            <m:e>
                              <m:r>
                                <m:rPr>
                                  <m:sty m:val="p"/>
                                </m:rPr>
                                <a:rPr lang="en-PH" sz="1100">
                                  <a:solidFill>
                                    <a:schemeClr val="tx1"/>
                                  </a:solidFill>
                                  <a:effectLst/>
                                  <a:latin typeface="Cambria Math" panose="02040503050406030204" pitchFamily="18" charset="0"/>
                                  <a:ea typeface="+mn-ea"/>
                                  <a:cs typeface="+mn-cs"/>
                                </a:rPr>
                                <m:t>ln</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(1,3)</m:t>
                                  </m:r>
                                </m:e>
                              </m:d>
                            </m:e>
                          </m:mr>
                        </m:m>
                      </m:e>
                    </m:d>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5"/>
                                  <m:mcJc m:val="center"/>
                                </m:mcPr>
                              </m:mc>
                            </m:mcs>
                            <m:ctrlPr>
                              <a:rPr lang="en-PH" sz="1100" i="1">
                                <a:solidFill>
                                  <a:schemeClr val="tx1"/>
                                </a:solidFill>
                                <a:effectLst/>
                                <a:latin typeface="Cambria Math" panose="02040503050406030204" pitchFamily="18" charset="0"/>
                                <a:ea typeface="+mn-ea"/>
                                <a:cs typeface="+mn-cs"/>
                              </a:rPr>
                            </m:ctrlPr>
                          </m:mP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1</m:t>
                              </m:r>
                            </m:e>
                          </m:mr>
                        </m:m>
                      </m:e>
                    </m:d>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1</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2</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3</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2</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2"/>
                                  </m:argPr>
                                  <m:r>
                                    <a:rPr lang="en-PH" sz="1100" i="1">
                                      <a:solidFill>
                                        <a:schemeClr val="tx1"/>
                                      </a:solidFill>
                                      <a:effectLst/>
                                      <a:latin typeface="Cambria Math" panose="02040503050406030204" pitchFamily="18" charset="0"/>
                                      <a:ea typeface="+mn-ea"/>
                                      <a:cs typeface="+mn-cs"/>
                                    </a:rPr>
                                    <m:t>3</m:t>
                                  </m:r>
                                </m:sub>
                              </m:sSub>
                            </m:e>
                          </m:mr>
                        </m:m>
                      </m:e>
                    </m:d>
                  </m:oMath>
                </m:oMathPara>
              </a14:m>
              <a:endParaRPr lang="en-PH"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1FA21BAF-C397-4C72-9B1A-2AA1F39A8C9E}"/>
                </a:ext>
              </a:extLst>
            </xdr:cNvPr>
            <xdr:cNvSpPr txBox="1"/>
          </xdr:nvSpPr>
          <xdr:spPr>
            <a:xfrm>
              <a:off x="4470605" y="10973895"/>
              <a:ext cx="2505686" cy="106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[■8(ln[𝑞(1,1)]@ln[𝑞(2,1)]@ln[𝑞(3,1)]@ln[𝑞(1,2)]@ln[𝑞(2,2)]@ln[𝑞(1,3)] )]=[■8(1&amp;−&amp;−&amp;−&amp;−@−&amp;1&amp;−&amp;−&amp;−@−&amp;−&amp;1&amp;−&amp;−@1&amp;−&amp;−&amp;1&amp;−@−&amp;1&amp;−&amp;1&amp;−@1&amp;−&amp;−&amp;1&amp;1)]×[■8(𝛼_1@𝛼_2@𝛼_3@𝛽_2@𝛽_3 )]</a:t>
              </a:r>
              <a:endParaRPr lang="en-PH" sz="1100">
                <a:solidFill>
                  <a:schemeClr val="tx1"/>
                </a:solidFill>
                <a:effectLst/>
                <a:latin typeface="+mn-lt"/>
                <a:ea typeface="+mn-ea"/>
                <a:cs typeface="+mn-cs"/>
              </a:endParaRPr>
            </a:p>
          </xdr:txBody>
        </xdr:sp>
      </mc:Fallback>
    </mc:AlternateContent>
    <xdr:clientData/>
  </xdr:oneCellAnchor>
  <xdr:oneCellAnchor>
    <xdr:from>
      <xdr:col>1</xdr:col>
      <xdr:colOff>180445</xdr:colOff>
      <xdr:row>77</xdr:row>
      <xdr:rowOff>58737</xdr:rowOff>
    </xdr:from>
    <xdr:ext cx="2366995" cy="1267976"/>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DCBFF05-AA90-43E0-88FC-B22089F39594}"/>
                </a:ext>
              </a:extLst>
            </xdr:cNvPr>
            <xdr:cNvSpPr txBox="1"/>
          </xdr:nvSpPr>
          <xdr:spPr>
            <a:xfrm>
              <a:off x="1005945" y="15954904"/>
              <a:ext cx="2366995" cy="1267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1,1</m:t>
                                          </m:r>
                                        </m:sub>
                                      </m:sSub>
                                    </m:e>
                                  </m:d>
                                </m:e>
                              </m:func>
                            </m:e>
                          </m:mr>
                          <m:m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2,1</m:t>
                                          </m:r>
                                        </m:sub>
                                      </m:sSub>
                                    </m:e>
                                  </m:d>
                                </m:e>
                              </m:func>
                            </m:e>
                          </m:mr>
                          <m:m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3,1</m:t>
                                          </m:r>
                                        </m:sub>
                                      </m:sSub>
                                    </m:e>
                                  </m:d>
                                </m:e>
                              </m:func>
                            </m:e>
                          </m:mr>
                          <m:m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1,2</m:t>
                                          </m:r>
                                        </m:sub>
                                      </m:sSub>
                                    </m:e>
                                  </m:d>
                                </m:e>
                              </m:func>
                            </m:e>
                          </m:mr>
                          <m:m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2,2</m:t>
                                          </m:r>
                                        </m:sub>
                                      </m:sSub>
                                    </m:e>
                                  </m:d>
                                </m:e>
                              </m:func>
                            </m:e>
                          </m:mr>
                          <m:m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1,3</m:t>
                                          </m:r>
                                        </m:sub>
                                      </m:sSub>
                                    </m:e>
                                  </m:d>
                                </m:e>
                              </m:func>
                            </m:e>
                          </m:mr>
                        </m:m>
                      </m:e>
                    </m:d>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5"/>
                                  <m:mcJc m:val="center"/>
                                </m:mcPr>
                              </m:mc>
                            </m:mcs>
                            <m:ctrlPr>
                              <a:rPr lang="en-PH" sz="1100" i="1">
                                <a:solidFill>
                                  <a:schemeClr val="tx1"/>
                                </a:solidFill>
                                <a:effectLst/>
                                <a:latin typeface="Cambria Math" panose="02040503050406030204" pitchFamily="18" charset="0"/>
                                <a:ea typeface="+mn-ea"/>
                                <a:cs typeface="+mn-cs"/>
                              </a:rPr>
                            </m:ctrlPr>
                          </m:mP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1</m:t>
                              </m:r>
                            </m:e>
                          </m:mr>
                        </m:m>
                      </m:e>
                    </m:d>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1</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2</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argPr>
                                    <m:argSz m:val="-1"/>
                                  </m:argPr>
                                  <m:r>
                                    <a:rPr lang="en-PH" sz="1100" i="1">
                                      <a:solidFill>
                                        <a:schemeClr val="tx1"/>
                                      </a:solidFill>
                                      <a:effectLst/>
                                      <a:latin typeface="Cambria Math" panose="02040503050406030204" pitchFamily="18" charset="0"/>
                                      <a:ea typeface="+mn-ea"/>
                                      <a:cs typeface="+mn-cs"/>
                                    </a:rPr>
                                    <m:t>3</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2</m:t>
                                  </m:r>
                                </m:sub>
                              </m:sSub>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3</m:t>
                                  </m:r>
                                </m:sub>
                              </m:sSub>
                            </m:e>
                          </m:mr>
                        </m:m>
                      </m:e>
                    </m:d>
                  </m:oMath>
                </m:oMathPara>
              </a14:m>
              <a:endParaRPr lang="en-PH" sz="1100">
                <a:solidFill>
                  <a:schemeClr val="tx1"/>
                </a:solidFill>
                <a:effectLst/>
                <a:latin typeface="+mn-lt"/>
                <a:ea typeface="+mn-ea"/>
                <a:cs typeface="+mn-cs"/>
              </a:endParaRPr>
            </a:p>
          </xdr:txBody>
        </xdr:sp>
      </mc:Choice>
      <mc:Fallback xmlns="">
        <xdr:sp macro="" textlink="">
          <xdr:nvSpPr>
            <xdr:cNvPr id="13" name="TextBox 12">
              <a:extLst>
                <a:ext uri="{FF2B5EF4-FFF2-40B4-BE49-F238E27FC236}">
                  <a16:creationId xmlns:a16="http://schemas.microsoft.com/office/drawing/2014/main" id="{0DCBFF05-AA90-43E0-88FC-B22089F39594}"/>
                </a:ext>
              </a:extLst>
            </xdr:cNvPr>
            <xdr:cNvSpPr txBox="1"/>
          </xdr:nvSpPr>
          <xdr:spPr>
            <a:xfrm>
              <a:off x="1005945" y="15954904"/>
              <a:ext cx="2366995" cy="12679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[■8(ln⁡[𝑚_1,1 ]@ln⁡[𝑚_2,1 ]@ln⁡[𝑚_3,1 ]@ln⁡[𝑚_1,2 ]@ln⁡[𝑚_2,2 ]@ln⁡[𝑚_1,3 ] )]=[■8(1&amp;−&amp;−&amp;−&amp;−@−&amp;1&amp;−&amp;−&amp;−@−&amp;−&amp;1&amp;−&amp;−@1&amp;−&amp;−&amp;1&amp;−@−&amp;1&amp;−&amp;1&amp;−@1&amp;−&amp;−&amp;1&amp;1)]×[■8(𝛼_1@𝛼_2@𝛼_3@𝛽_2@𝛽_3 )]</a:t>
              </a:r>
              <a:endParaRPr lang="en-PH" sz="1100">
                <a:solidFill>
                  <a:schemeClr val="tx1"/>
                </a:solidFill>
                <a:effectLst/>
                <a:latin typeface="+mn-lt"/>
                <a:ea typeface="+mn-ea"/>
                <a:cs typeface="+mn-cs"/>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xdr:col>
      <xdr:colOff>317502</xdr:colOff>
      <xdr:row>18</xdr:row>
      <xdr:rowOff>127000</xdr:rowOff>
    </xdr:from>
    <xdr:to>
      <xdr:col>3</xdr:col>
      <xdr:colOff>740834</xdr:colOff>
      <xdr:row>21</xdr:row>
      <xdr:rowOff>31750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43D75813-80D4-294B-B3E4-5CB8048DA0FB}"/>
                </a:ext>
              </a:extLst>
            </xdr:cNvPr>
            <xdr:cNvSpPr txBox="1"/>
          </xdr:nvSpPr>
          <xdr:spPr>
            <a:xfrm>
              <a:off x="1143002" y="4095750"/>
              <a:ext cx="2074332" cy="5080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func>
                      <m:funcPr>
                        <m:ctrlPr>
                          <a:rPr lang="en-US" sz="1100" i="1">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2"/>
                                </m:argP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e>
                    </m:func>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𝜂</m:t>
                        </m:r>
                      </m:e>
                      <m:sub>
                        <m:argPr>
                          <m:argSz m:val="-2"/>
                        </m:argP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𝛼</m:t>
                        </m:r>
                      </m:e>
                      <m:sub>
                        <m:argPr>
                          <m:argSz m:val="-2"/>
                        </m:argPr>
                        <m:r>
                          <a:rPr lang="en-US" sz="1100" i="1">
                            <a:solidFill>
                              <a:schemeClr val="tx1"/>
                            </a:solidFill>
                            <a:effectLst/>
                            <a:latin typeface="Cambria Math" panose="02040503050406030204" pitchFamily="18" charset="0"/>
                            <a:ea typeface="+mn-ea"/>
                            <a:cs typeface="+mn-cs"/>
                          </a:rPr>
                          <m:t>𝑤</m:t>
                        </m:r>
                      </m:sub>
                    </m:sSub>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argPr>
                          <m:argSz m:val="-2"/>
                        </m:argP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=2</m:t>
                        </m: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argPr>
                              <m:argSz m:val="-2"/>
                            </m:argPr>
                            <m:r>
                              <a:rPr lang="en-US" sz="1100" i="1">
                                <a:solidFill>
                                  <a:schemeClr val="tx1"/>
                                </a:solidFill>
                                <a:effectLst/>
                                <a:latin typeface="Cambria Math" panose="02040503050406030204" pitchFamily="18" charset="0"/>
                                <a:ea typeface="+mn-ea"/>
                                <a:cs typeface="+mn-cs"/>
                              </a:rPr>
                              <m:t>𝑑</m:t>
                            </m:r>
                          </m:sub>
                        </m:sSub>
                      </m:e>
                    </m:nary>
                    <m:r>
                      <m:rPr>
                        <m:nor/>
                      </m:rPr>
                      <a:rPr lang="en-US">
                        <a:effectLst/>
                      </a:rPr>
                      <m:t> </m:t>
                    </m:r>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43D75813-80D4-294B-B3E4-5CB8048DA0FB}"/>
                </a:ext>
              </a:extLst>
            </xdr:cNvPr>
            <xdr:cNvSpPr txBox="1"/>
          </xdr:nvSpPr>
          <xdr:spPr>
            <a:xfrm>
              <a:off x="1143002" y="4095750"/>
              <a:ext cx="2074332" cy="5080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mn-lt"/>
                  <a:ea typeface="+mn-ea"/>
                  <a:cs typeface="+mn-cs"/>
                </a:rPr>
                <a:t>ln⁡(𝑚_(𝑤,𝑑) )=𝜂_(𝑤,𝑑)=𝛼_𝑤+∑1_(𝑑=2)▒𝛽_𝑑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PH" sz="1100">
                <a:solidFill>
                  <a:schemeClr val="tx1"/>
                </a:solidFill>
                <a:effectLst/>
                <a:latin typeface="+mn-lt"/>
                <a:ea typeface="+mn-ea"/>
                <a:cs typeface="+mn-cs"/>
              </a:endParaRPr>
            </a:p>
          </xdr:txBody>
        </xdr:sp>
      </mc:Fallback>
    </mc:AlternateContent>
    <xdr:clientData/>
  </xdr:twoCellAnchor>
  <xdr:oneCellAnchor>
    <xdr:from>
      <xdr:col>4</xdr:col>
      <xdr:colOff>613834</xdr:colOff>
      <xdr:row>18</xdr:row>
      <xdr:rowOff>179917</xdr:rowOff>
    </xdr:from>
    <xdr:ext cx="2531269" cy="41081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EB074F3-9A37-0741-8B02-9DA58820F87F}"/>
                </a:ext>
              </a:extLst>
            </xdr:cNvPr>
            <xdr:cNvSpPr txBox="1"/>
          </xdr:nvSpPr>
          <xdr:spPr>
            <a:xfrm>
              <a:off x="3915834" y="4148667"/>
              <a:ext cx="2531269" cy="410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n-US" sz="1100" i="1">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ctrlPr>
                              <a:rPr lang="en-US" sz="1100" i="1">
                                <a:solidFill>
                                  <a:schemeClr val="tx1"/>
                                </a:solidFill>
                                <a:effectLst/>
                                <a:latin typeface="Cambria Math" panose="02040503050406030204" pitchFamily="18" charset="0"/>
                                <a:ea typeface="+mn-ea"/>
                                <a:cs typeface="+mn-cs"/>
                              </a:rPr>
                            </m:ctrlPr>
                          </m:dPr>
                          <m:e>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e>
                        </m:d>
                      </m:e>
                    </m:func>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𝜂</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𝛼</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𝑑</m:t>
                        </m:r>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2</m:t>
                        </m: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argPr>
                              <m:argSz m:val="-1"/>
                            </m:argPr>
                            <m:r>
                              <a:rPr lang="en-US" sz="1100" i="1">
                                <a:solidFill>
                                  <a:schemeClr val="tx1"/>
                                </a:solidFill>
                                <a:effectLst/>
                                <a:latin typeface="Cambria Math" panose="02040503050406030204" pitchFamily="18" charset="0"/>
                                <a:ea typeface="+mn-ea"/>
                                <a:cs typeface="+mn-cs"/>
                              </a:rPr>
                              <m:t>𝑑</m:t>
                            </m:r>
                          </m:sub>
                        </m:sSub>
                      </m:e>
                    </m:nary>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8EB074F3-9A37-0741-8B02-9DA58820F87F}"/>
                </a:ext>
              </a:extLst>
            </xdr:cNvPr>
            <xdr:cNvSpPr txBox="1"/>
          </xdr:nvSpPr>
          <xdr:spPr>
            <a:xfrm>
              <a:off x="3915834" y="4148667"/>
              <a:ext cx="2531269" cy="410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ln⁡(E[〖𝐼𝑛𝑐𝐿𝑜𝑠𝑠〗_(𝐴𝑌,𝑑) ])=𝜂_(𝐴𝑌,𝑑)=𝛼_𝐴𝑌+∑1_(𝑑=2)▒𝛽_𝑑 </a:t>
              </a:r>
              <a:endParaRPr lang="en-US" sz="1100">
                <a:solidFill>
                  <a:schemeClr val="tx1"/>
                </a:solidFill>
                <a:effectLst/>
                <a:latin typeface="+mn-lt"/>
                <a:ea typeface="+mn-ea"/>
                <a:cs typeface="+mn-cs"/>
              </a:endParaRPr>
            </a:p>
          </xdr:txBody>
        </xdr:sp>
      </mc:Fallback>
    </mc:AlternateContent>
    <xdr:clientData/>
  </xdr:oneCellAnchor>
  <xdr:twoCellAnchor>
    <xdr:from>
      <xdr:col>1</xdr:col>
      <xdr:colOff>370416</xdr:colOff>
      <xdr:row>31</xdr:row>
      <xdr:rowOff>42334</xdr:rowOff>
    </xdr:from>
    <xdr:to>
      <xdr:col>2</xdr:col>
      <xdr:colOff>465666</xdr:colOff>
      <xdr:row>32</xdr:row>
      <xdr:rowOff>107990</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B0537946-D402-D940-915D-3A34817C307A}"/>
                </a:ext>
              </a:extLst>
            </xdr:cNvPr>
            <xdr:cNvSpPr txBox="1"/>
          </xdr:nvSpPr>
          <xdr:spPr>
            <a:xfrm>
              <a:off x="1195916" y="6783917"/>
              <a:ext cx="920750"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𝑚</m:t>
                        </m:r>
                      </m:e>
                      <m:sub>
                        <m:argPr>
                          <m:argSz m:val="-2"/>
                        </m:argP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𝑒</m:t>
                        </m:r>
                      </m:e>
                      <m:sup>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𝜂</m:t>
                            </m:r>
                          </m:e>
                          <m:sub>
                            <m:argPr>
                              <m:argSz m:val="-2"/>
                            </m:argP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sup>
                    </m:sSup>
                    <m:r>
                      <m:rPr>
                        <m:nor/>
                      </m:rPr>
                      <a:rPr lang="en-US">
                        <a:effectLst/>
                      </a:rPr>
                      <m:t> </m:t>
                    </m:r>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B0537946-D402-D940-915D-3A34817C307A}"/>
                </a:ext>
              </a:extLst>
            </xdr:cNvPr>
            <xdr:cNvSpPr txBox="1"/>
          </xdr:nvSpPr>
          <xdr:spPr>
            <a:xfrm>
              <a:off x="1195916" y="6783917"/>
              <a:ext cx="920750" cy="2667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𝑚_(𝑤,𝑑)</a:t>
              </a:r>
              <a:r>
                <a:rPr lang="en-US" sz="110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𝑒^(</a:t>
              </a:r>
              <a:r>
                <a:rPr lang="en-US" sz="1100" i="0">
                  <a:solidFill>
                    <a:schemeClr val="tx1"/>
                  </a:solidFill>
                  <a:effectLst/>
                  <a:latin typeface="Cambria Math" panose="02040503050406030204" pitchFamily="18" charset="0"/>
                  <a:ea typeface="+mn-ea"/>
                  <a:cs typeface="+mn-cs"/>
                </a:rPr>
                <a:t>𝜂_(𝑤,𝑑)</a:t>
              </a:r>
              <a:r>
                <a:rPr lang="en-US" sz="1100" b="0" i="0">
                  <a:solidFill>
                    <a:schemeClr val="tx1"/>
                  </a:solidFill>
                  <a:effectLst/>
                  <a:latin typeface="Cambria Math" panose="02040503050406030204" pitchFamily="18" charset="0"/>
                  <a:ea typeface="+mn-ea"/>
                  <a:cs typeface="+mn-cs"/>
                </a:rPr>
                <a:t> ) "</a:t>
              </a:r>
              <a:r>
                <a:rPr lang="en-US" i="0">
                  <a:effectLst/>
                  <a:latin typeface="Cambria Math" panose="02040503050406030204" pitchFamily="18" charset="0"/>
                </a:rPr>
                <a:t> </a:t>
              </a:r>
              <a:r>
                <a:rPr lang="en-US" i="0">
                  <a:effectLst/>
                </a:rPr>
                <a:t>"</a:t>
              </a:r>
              <a:endParaRPr lang="en-PH" sz="1100">
                <a:solidFill>
                  <a:schemeClr val="tx1"/>
                </a:solidFill>
                <a:effectLst/>
                <a:latin typeface="+mn-lt"/>
                <a:ea typeface="+mn-ea"/>
                <a:cs typeface="+mn-cs"/>
              </a:endParaRPr>
            </a:p>
          </xdr:txBody>
        </xdr:sp>
      </mc:Fallback>
    </mc:AlternateContent>
    <xdr:clientData/>
  </xdr:twoCellAnchor>
  <xdr:oneCellAnchor>
    <xdr:from>
      <xdr:col>4</xdr:col>
      <xdr:colOff>624417</xdr:colOff>
      <xdr:row>31</xdr:row>
      <xdr:rowOff>74084</xdr:rowOff>
    </xdr:from>
    <xdr:ext cx="1824154" cy="19332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584CD4B-A108-4C47-97B8-7044E03DD37F}"/>
                </a:ext>
              </a:extLst>
            </xdr:cNvPr>
            <xdr:cNvSpPr txBox="1"/>
          </xdr:nvSpPr>
          <xdr:spPr>
            <a:xfrm>
              <a:off x="3926417" y="6815667"/>
              <a:ext cx="1824154" cy="193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r>
                      <a:rPr lang="en-US" sz="1100" i="1">
                        <a:solidFill>
                          <a:schemeClr val="tx1"/>
                        </a:solidFill>
                        <a:effectLst/>
                        <a:latin typeface="Cambria Math" panose="02040503050406030204" pitchFamily="18" charset="0"/>
                        <a:ea typeface="+mn-ea"/>
                        <a:cs typeface="+mn-cs"/>
                      </a:rPr>
                      <m:t>=</m:t>
                    </m:r>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𝑒</m:t>
                        </m:r>
                      </m:e>
                      <m:sup>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𝛼</m:t>
                            </m:r>
                          </m:e>
                          <m:sub>
                            <m:argPr>
                              <m:argSz m:val="-1"/>
                            </m:argPr>
                            <m:r>
                              <a:rPr lang="en-US" sz="1100" i="1">
                                <a:solidFill>
                                  <a:schemeClr val="tx1"/>
                                </a:solidFill>
                                <a:effectLst/>
                                <a:latin typeface="Cambria Math" panose="02040503050406030204" pitchFamily="18" charset="0"/>
                                <a:ea typeface="+mn-ea"/>
                                <a:cs typeface="+mn-cs"/>
                              </a:rPr>
                              <m:t>𝐴𝑌</m:t>
                            </m:r>
                          </m:sub>
                        </m:sSub>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𝑑</m:t>
                            </m:r>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2</m:t>
                            </m: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argPr>
                                  <m:argSz m:val="-1"/>
                                </m:argPr>
                                <m:r>
                                  <a:rPr lang="en-US" sz="1100" i="1">
                                    <a:solidFill>
                                      <a:schemeClr val="tx1"/>
                                    </a:solidFill>
                                    <a:effectLst/>
                                    <a:latin typeface="Cambria Math" panose="02040503050406030204" pitchFamily="18" charset="0"/>
                                    <a:ea typeface="+mn-ea"/>
                                    <a:cs typeface="+mn-cs"/>
                                  </a:rPr>
                                  <m:t>𝑑</m:t>
                                </m:r>
                              </m:sub>
                            </m:sSub>
                          </m:e>
                        </m:nary>
                      </m:sup>
                    </m:sSup>
                  </m:oMath>
                </m:oMathPara>
              </a14:m>
              <a:endParaRPr lang="en-US"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D584CD4B-A108-4C47-97B8-7044E03DD37F}"/>
                </a:ext>
              </a:extLst>
            </xdr:cNvPr>
            <xdr:cNvSpPr txBox="1"/>
          </xdr:nvSpPr>
          <xdr:spPr>
            <a:xfrm>
              <a:off x="3926417" y="6815667"/>
              <a:ext cx="1824154" cy="193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Cambria Math" panose="02040503050406030204" pitchFamily="18" charset="0"/>
                  <a:ea typeface="+mn-ea"/>
                  <a:cs typeface="+mn-cs"/>
                </a:rPr>
                <a:t>E[〖𝐼𝑛𝑐𝐿𝑜𝑠𝑠〗_(𝐴𝑌,𝑑) ]</a:t>
              </a:r>
              <a:r>
                <a:rPr lang="en-US" sz="110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𝑒^(</a:t>
              </a:r>
              <a:r>
                <a:rPr lang="en-US" sz="1100" i="0">
                  <a:solidFill>
                    <a:schemeClr val="tx1"/>
                  </a:solidFill>
                  <a:effectLst/>
                  <a:latin typeface="Cambria Math" panose="02040503050406030204" pitchFamily="18" charset="0"/>
                  <a:ea typeface="+mn-ea"/>
                  <a:cs typeface="+mn-cs"/>
                </a:rPr>
                <a:t>𝛼_𝐴𝑌+∑1_(𝑑=2)▒𝛽_𝑑 </a:t>
              </a:r>
              <a:r>
                <a:rPr lang="en-US" sz="1100" b="0" i="0">
                  <a:solidFill>
                    <a:schemeClr val="tx1"/>
                  </a:solidFill>
                  <a:effectLst/>
                  <a:latin typeface="Cambria Math" panose="02040503050406030204" pitchFamily="18" charset="0"/>
                  <a:ea typeface="+mn-ea"/>
                  <a:cs typeface="+mn-cs"/>
                </a:rPr>
                <a:t>)</a:t>
              </a:r>
              <a:endParaRPr lang="en-US" sz="1100">
                <a:solidFill>
                  <a:schemeClr val="tx1"/>
                </a:solidFill>
                <a:effectLst/>
                <a:latin typeface="+mn-lt"/>
                <a:ea typeface="+mn-ea"/>
                <a:cs typeface="+mn-cs"/>
              </a:endParaRPr>
            </a:p>
          </xdr:txBody>
        </xdr:sp>
      </mc:Fallback>
    </mc:AlternateContent>
    <xdr:clientData/>
  </xdr:oneCellAnchor>
  <xdr:oneCellAnchor>
    <xdr:from>
      <xdr:col>3</xdr:col>
      <xdr:colOff>328083</xdr:colOff>
      <xdr:row>46</xdr:row>
      <xdr:rowOff>42333</xdr:rowOff>
    </xdr:from>
    <xdr:ext cx="1388393" cy="4106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1B2B455-FCD5-1547-A537-DDBCE703E4C6}"/>
                </a:ext>
              </a:extLst>
            </xdr:cNvPr>
            <xdr:cNvSpPr txBox="1"/>
          </xdr:nvSpPr>
          <xdr:spPr>
            <a:xfrm>
              <a:off x="2804583" y="9906000"/>
              <a:ext cx="1388393" cy="410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𝜂</m:t>
                        </m:r>
                      </m:e>
                      <m:sub>
                        <m:argPr>
                          <m:argSz m:val="-2"/>
                        </m:argPr>
                        <m:r>
                          <a:rPr lang="en-US" sz="1100" b="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m:t>
                    </m:r>
                    <m:r>
                      <a:rPr lang="en-US" sz="1100" b="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𝑤</m:t>
                        </m:r>
                      </m:sub>
                    </m:sSub>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𝑑</m:t>
                        </m:r>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2</m:t>
                        </m: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argPr>
                              <m:argSz m:val="-1"/>
                            </m:argPr>
                            <m:r>
                              <a:rPr lang="en-US" sz="1100" i="1">
                                <a:solidFill>
                                  <a:schemeClr val="tx1"/>
                                </a:solidFill>
                                <a:effectLst/>
                                <a:latin typeface="Cambria Math" panose="02040503050406030204" pitchFamily="18" charset="0"/>
                                <a:ea typeface="+mn-ea"/>
                                <a:cs typeface="+mn-cs"/>
                              </a:rPr>
                              <m:t>𝑑</m:t>
                            </m:r>
                          </m:sub>
                        </m:sSub>
                      </m:e>
                    </m:nary>
                  </m:oMath>
                </m:oMathPara>
              </a14:m>
              <a:endParaRPr lang="en-US"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01B2B455-FCD5-1547-A537-DDBCE703E4C6}"/>
                </a:ext>
              </a:extLst>
            </xdr:cNvPr>
            <xdr:cNvSpPr txBox="1"/>
          </xdr:nvSpPr>
          <xdr:spPr>
            <a:xfrm>
              <a:off x="2804583" y="9906000"/>
              <a:ext cx="1388393" cy="410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𝜂_(</a:t>
              </a:r>
              <a:r>
                <a:rPr lang="en-US" sz="1100" b="0" i="0">
                  <a:solidFill>
                    <a:schemeClr val="tx1"/>
                  </a:solidFill>
                  <a:effectLst/>
                  <a:latin typeface="Cambria Math" panose="02040503050406030204" pitchFamily="18" charset="0"/>
                  <a:ea typeface="+mn-ea"/>
                  <a:cs typeface="+mn-cs"/>
                </a:rPr>
                <a:t>𝑤</a:t>
              </a:r>
              <a:r>
                <a:rPr lang="en-US" sz="1100" i="0">
                  <a:solidFill>
                    <a:schemeClr val="tx1"/>
                  </a:solidFill>
                  <a:effectLst/>
                  <a:latin typeface="+mn-lt"/>
                  <a:ea typeface="+mn-ea"/>
                  <a:cs typeface="+mn-cs"/>
                </a:rPr>
                <a:t>,𝑑)=</a:t>
              </a:r>
              <a:r>
                <a:rPr lang="en-US" sz="1100" b="0" i="0">
                  <a:solidFill>
                    <a:schemeClr val="tx1"/>
                  </a:solidFill>
                  <a:effectLst/>
                  <a:latin typeface="Cambria Math" panose="02040503050406030204" pitchFamily="18" charset="0"/>
                  <a:ea typeface="+mn-ea"/>
                  <a:cs typeface="+mn-cs"/>
                </a:rPr>
                <a:t>𝑐+</a:t>
              </a:r>
              <a:r>
                <a:rPr lang="en-US" sz="1100" i="0">
                  <a:solidFill>
                    <a:schemeClr val="tx1"/>
                  </a:solidFill>
                  <a:effectLst/>
                  <a:latin typeface="+mn-lt"/>
                  <a:ea typeface="+mn-ea"/>
                  <a:cs typeface="+mn-cs"/>
                </a:rPr>
                <a:t>𝛼_</a:t>
              </a:r>
              <a:r>
                <a:rPr lang="en-US" sz="1100" b="0" i="0">
                  <a:solidFill>
                    <a:schemeClr val="tx1"/>
                  </a:solidFill>
                  <a:effectLst/>
                  <a:latin typeface="Cambria Math" panose="02040503050406030204" pitchFamily="18" charset="0"/>
                  <a:ea typeface="+mn-ea"/>
                  <a:cs typeface="+mn-cs"/>
                </a:rPr>
                <a:t>𝑤</a:t>
              </a:r>
              <a:r>
                <a:rPr lang="en-US" sz="1100" i="0">
                  <a:solidFill>
                    <a:schemeClr val="tx1"/>
                  </a:solidFill>
                  <a:effectLst/>
                  <a:latin typeface="+mn-lt"/>
                  <a:ea typeface="+mn-ea"/>
                  <a:cs typeface="+mn-cs"/>
                </a:rPr>
                <a:t>+∑1_(𝑑=2)▒𝛽_𝑑 </a:t>
              </a:r>
              <a:endParaRPr lang="en-US" sz="1100">
                <a:solidFill>
                  <a:schemeClr val="tx1"/>
                </a:solidFill>
                <a:effectLst/>
                <a:latin typeface="+mn-lt"/>
                <a:ea typeface="+mn-ea"/>
                <a:cs typeface="+mn-cs"/>
              </a:endParaRPr>
            </a:p>
          </xdr:txBody>
        </xdr:sp>
      </mc:Fallback>
    </mc:AlternateContent>
    <xdr:clientData/>
  </xdr:oneCellAnchor>
  <xdr:oneCellAnchor>
    <xdr:from>
      <xdr:col>2</xdr:col>
      <xdr:colOff>465667</xdr:colOff>
      <xdr:row>50</xdr:row>
      <xdr:rowOff>52916</xdr:rowOff>
    </xdr:from>
    <xdr:ext cx="1007520" cy="4106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8CC9DA2-9232-3148-B419-A1C2D3AFCE48}"/>
                </a:ext>
              </a:extLst>
            </xdr:cNvPr>
            <xdr:cNvSpPr txBox="1"/>
          </xdr:nvSpPr>
          <xdr:spPr>
            <a:xfrm>
              <a:off x="2116667" y="10752666"/>
              <a:ext cx="1007520" cy="410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𝜂</m:t>
                        </m:r>
                      </m:e>
                      <m:sub>
                        <m:r>
                          <a:rPr lang="en-US" sz="1100" b="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m:t>
                    </m:r>
                    <m:r>
                      <a:rPr lang="en-US" sz="1100" i="1">
                        <a:solidFill>
                          <a:schemeClr val="tx1"/>
                        </a:solidFill>
                        <a:effectLst/>
                        <a:latin typeface="Cambria Math" panose="02040503050406030204" pitchFamily="18" charset="0"/>
                        <a:ea typeface="+mn-ea"/>
                        <a:cs typeface="+mn-cs"/>
                      </a:rPr>
                      <m:t>+</m:t>
                    </m:r>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𝑑</m:t>
                        </m:r>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2</m:t>
                        </m:r>
                      </m:sub>
                      <m:sup/>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𝛽</m:t>
                            </m:r>
                          </m:e>
                          <m:sub>
                            <m:argPr>
                              <m:argSz m:val="-1"/>
                            </m:argPr>
                            <m:r>
                              <a:rPr lang="en-US" sz="1100" i="1">
                                <a:solidFill>
                                  <a:schemeClr val="tx1"/>
                                </a:solidFill>
                                <a:effectLst/>
                                <a:latin typeface="Cambria Math" panose="02040503050406030204" pitchFamily="18" charset="0"/>
                                <a:ea typeface="+mn-ea"/>
                                <a:cs typeface="+mn-cs"/>
                              </a:rPr>
                              <m:t>𝑑</m:t>
                            </m:r>
                          </m:sub>
                        </m:sSub>
                      </m:e>
                    </m:nary>
                  </m:oMath>
                </m:oMathPara>
              </a14:m>
              <a:endParaRPr lang="en-US"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08CC9DA2-9232-3148-B419-A1C2D3AFCE48}"/>
                </a:ext>
              </a:extLst>
            </xdr:cNvPr>
            <xdr:cNvSpPr txBox="1"/>
          </xdr:nvSpPr>
          <xdr:spPr>
            <a:xfrm>
              <a:off x="2116667" y="10752666"/>
              <a:ext cx="1007520" cy="410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𝜂_(</a:t>
              </a:r>
              <a:r>
                <a:rPr lang="en-US" sz="1100" b="0" i="0">
                  <a:solidFill>
                    <a:schemeClr val="tx1"/>
                  </a:solidFill>
                  <a:effectLst/>
                  <a:latin typeface="Cambria Math" panose="02040503050406030204" pitchFamily="18" charset="0"/>
                  <a:ea typeface="+mn-ea"/>
                  <a:cs typeface="+mn-cs"/>
                </a:rPr>
                <a:t>1</a:t>
              </a:r>
              <a:r>
                <a:rPr lang="en-US" sz="1100" i="0">
                  <a:solidFill>
                    <a:schemeClr val="tx1"/>
                  </a:solidFill>
                  <a:effectLst/>
                  <a:latin typeface="+mn-lt"/>
                  <a:ea typeface="+mn-ea"/>
                  <a:cs typeface="+mn-cs"/>
                </a:rPr>
                <a:t>,𝑑)=</a:t>
              </a:r>
              <a:r>
                <a:rPr lang="en-US" sz="1100" b="0" i="0">
                  <a:solidFill>
                    <a:schemeClr val="tx1"/>
                  </a:solidFill>
                  <a:effectLst/>
                  <a:latin typeface="Cambria Math" panose="02040503050406030204" pitchFamily="18" charset="0"/>
                  <a:ea typeface="+mn-ea"/>
                  <a:cs typeface="+mn-cs"/>
                </a:rPr>
                <a:t>𝑐</a:t>
              </a:r>
              <a:r>
                <a:rPr lang="en-US" sz="1100" i="0">
                  <a:solidFill>
                    <a:schemeClr val="tx1"/>
                  </a:solidFill>
                  <a:effectLst/>
                  <a:latin typeface="+mn-lt"/>
                  <a:ea typeface="+mn-ea"/>
                  <a:cs typeface="+mn-cs"/>
                </a:rPr>
                <a:t>+∑1_(𝑑=2)▒𝛽_𝑑 </a:t>
              </a:r>
              <a:endParaRPr lang="en-US" sz="1100">
                <a:solidFill>
                  <a:schemeClr val="tx1"/>
                </a:solidFill>
                <a:effectLst/>
                <a:latin typeface="+mn-lt"/>
                <a:ea typeface="+mn-ea"/>
                <a:cs typeface="+mn-cs"/>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9526</xdr:colOff>
      <xdr:row>135</xdr:row>
      <xdr:rowOff>28576</xdr:rowOff>
    </xdr:from>
    <xdr:to>
      <xdr:col>9</xdr:col>
      <xdr:colOff>597958</xdr:colOff>
      <xdr:row>144</xdr:row>
      <xdr:rowOff>10583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835026" y="28000326"/>
          <a:ext cx="7192432" cy="1791757"/>
        </a:xfrm>
        <a:prstGeom prst="rect">
          <a:avLst/>
        </a:prstGeom>
      </xdr:spPr>
    </xdr:pic>
    <xdr:clientData/>
  </xdr:twoCellAnchor>
  <xdr:twoCellAnchor editAs="oneCell">
    <xdr:from>
      <xdr:col>1</xdr:col>
      <xdr:colOff>45385</xdr:colOff>
      <xdr:row>148</xdr:row>
      <xdr:rowOff>118223</xdr:rowOff>
    </xdr:from>
    <xdr:to>
      <xdr:col>9</xdr:col>
      <xdr:colOff>649693</xdr:colOff>
      <xdr:row>157</xdr:row>
      <xdr:rowOff>190500</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870885" y="30947473"/>
          <a:ext cx="7208308" cy="1882027"/>
        </a:xfrm>
        <a:prstGeom prst="rect">
          <a:avLst/>
        </a:prstGeom>
      </xdr:spPr>
    </xdr:pic>
    <xdr:clientData/>
  </xdr:twoCellAnchor>
  <xdr:twoCellAnchor editAs="oneCell">
    <xdr:from>
      <xdr:col>1</xdr:col>
      <xdr:colOff>28575</xdr:colOff>
      <xdr:row>161</xdr:row>
      <xdr:rowOff>47625</xdr:rowOff>
    </xdr:from>
    <xdr:to>
      <xdr:col>9</xdr:col>
      <xdr:colOff>632883</xdr:colOff>
      <xdr:row>174</xdr:row>
      <xdr:rowOff>74084</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854075" y="33734375"/>
          <a:ext cx="7208308" cy="2640542"/>
        </a:xfrm>
        <a:prstGeom prst="rect">
          <a:avLst/>
        </a:prstGeom>
      </xdr:spPr>
    </xdr:pic>
    <xdr:clientData/>
  </xdr:twoCellAnchor>
  <xdr:oneCellAnchor>
    <xdr:from>
      <xdr:col>1</xdr:col>
      <xdr:colOff>9525</xdr:colOff>
      <xdr:row>134</xdr:row>
      <xdr:rowOff>14287</xdr:rowOff>
    </xdr:from>
    <xdr:ext cx="2927596" cy="20845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35025" y="27784954"/>
              <a:ext cx="2927596" cy="20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𝐺𝑎𝑚𝑚𝑎</m:t>
                    </m:r>
                    <m:r>
                      <a:rPr lang="en-US" sz="1200" b="0" i="1">
                        <a:latin typeface="Cambria Math" panose="02040503050406030204" pitchFamily="18" charset="0"/>
                      </a:rPr>
                      <m:t> </m:t>
                    </m:r>
                    <m:d>
                      <m:dPr>
                        <m:ctrlPr>
                          <a:rPr lang="en-US" sz="1200" b="0" i="1">
                            <a:latin typeface="Cambria Math" panose="02040503050406030204" pitchFamily="18" charset="0"/>
                          </a:rPr>
                        </m:ctrlPr>
                      </m:dPr>
                      <m:e>
                        <m:r>
                          <a:rPr lang="en-US" sz="1200" b="0" i="1">
                            <a:latin typeface="Cambria Math" panose="02040503050406030204" pitchFamily="18" charset="0"/>
                          </a:rPr>
                          <m:t>𝑚𝑒𝑎𝑛</m:t>
                        </m:r>
                        <m:r>
                          <a:rPr lang="en-US" sz="1200" b="0" i="1">
                            <a:latin typeface="Cambria Math" panose="02040503050406030204" pitchFamily="18" charset="0"/>
                          </a:rPr>
                          <m:t>=</m:t>
                        </m:r>
                        <m:r>
                          <a:rPr lang="en-US" sz="1200" b="0" i="0">
                            <a:latin typeface="Cambria Math" panose="02040503050406030204" pitchFamily="18" charset="0"/>
                          </a:rPr>
                          <m:t> </m:t>
                        </m:r>
                        <m:d>
                          <m:dPr>
                            <m:begChr m:val="|"/>
                            <m:endChr m:val="|"/>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𝑚</m:t>
                                </m:r>
                              </m:e>
                              <m:sub>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sub>
                            </m:sSub>
                          </m:e>
                        </m:d>
                        <m:r>
                          <a:rPr lang="en-US" sz="1200" b="0" i="1">
                            <a:latin typeface="Cambria Math" panose="02040503050406030204" pitchFamily="18" charset="0"/>
                          </a:rPr>
                          <m:t>,</m:t>
                        </m:r>
                        <m:r>
                          <a:rPr lang="en-US" sz="1200" b="0" i="1">
                            <a:latin typeface="Cambria Math" panose="02040503050406030204" pitchFamily="18" charset="0"/>
                          </a:rPr>
                          <m:t>𝑣𝑎𝑟</m:t>
                        </m:r>
                        <m:r>
                          <a:rPr lang="en-US" sz="1200" b="0" i="1">
                            <a:latin typeface="Cambria Math" panose="02040503050406030204" pitchFamily="18" charset="0"/>
                          </a:rPr>
                          <m:t>=</m:t>
                        </m:r>
                        <m:r>
                          <a:rPr lang="en-US" sz="1200" b="0" i="1">
                            <a:latin typeface="Cambria Math" panose="02040503050406030204" pitchFamily="18" charset="0"/>
                          </a:rPr>
                          <m:t>𝜙</m:t>
                        </m:r>
                        <m:r>
                          <a:rPr lang="en-US" sz="1200" b="0" i="1">
                            <a:latin typeface="Cambria Math" panose="02040503050406030204" pitchFamily="18" charset="0"/>
                            <a:ea typeface="Cambria Math" panose="02040503050406030204" pitchFamily="18" charset="0"/>
                          </a:rPr>
                          <m:t>×</m:t>
                        </m:r>
                        <m:d>
                          <m:dPr>
                            <m:begChr m:val="|"/>
                            <m:endChr m:val="|"/>
                            <m:ctrlPr>
                              <a:rPr lang="en-US" sz="1200" b="0" i="1">
                                <a:latin typeface="Cambria Math" panose="02040503050406030204" pitchFamily="18" charset="0"/>
                                <a:ea typeface="Cambria Math" panose="02040503050406030204" pitchFamily="18" charset="0"/>
                              </a:rPr>
                            </m:ctrlPr>
                          </m:dPr>
                          <m:e>
                            <m:sSub>
                              <m:sSubPr>
                                <m:ctrlPr>
                                  <a:rPr lang="en-US" sz="1200" b="0" i="1">
                                    <a:latin typeface="Cambria Math" panose="02040503050406030204" pitchFamily="18" charset="0"/>
                                    <a:ea typeface="Cambria Math" panose="02040503050406030204" pitchFamily="18" charset="0"/>
                                  </a:rPr>
                                </m:ctrlPr>
                              </m:sSubPr>
                              <m:e>
                                <m:r>
                                  <a:rPr lang="en-US" sz="1200" b="0" i="1">
                                    <a:latin typeface="Cambria Math" panose="02040503050406030204" pitchFamily="18" charset="0"/>
                                    <a:ea typeface="Cambria Math" panose="02040503050406030204" pitchFamily="18" charset="0"/>
                                  </a:rPr>
                                  <m:t>𝑚</m:t>
                                </m:r>
                              </m:e>
                              <m:sub>
                                <m:r>
                                  <a:rPr lang="en-US" sz="1200" b="0" i="1">
                                    <a:latin typeface="Cambria Math" panose="02040503050406030204" pitchFamily="18" charset="0"/>
                                    <a:ea typeface="Cambria Math" panose="02040503050406030204" pitchFamily="18" charset="0"/>
                                  </a:rPr>
                                  <m:t>𝑤</m:t>
                                </m:r>
                                <m:r>
                                  <a:rPr lang="en-US" sz="1200" b="0" i="1">
                                    <a:latin typeface="Cambria Math" panose="02040503050406030204" pitchFamily="18" charset="0"/>
                                    <a:ea typeface="Cambria Math" panose="02040503050406030204" pitchFamily="18" charset="0"/>
                                  </a:rPr>
                                  <m:t>,</m:t>
                                </m:r>
                                <m:r>
                                  <a:rPr lang="en-US" sz="1200" b="0" i="1">
                                    <a:latin typeface="Cambria Math" panose="02040503050406030204" pitchFamily="18" charset="0"/>
                                    <a:ea typeface="Cambria Math" panose="02040503050406030204" pitchFamily="18" charset="0"/>
                                  </a:rPr>
                                  <m:t>𝑑</m:t>
                                </m:r>
                              </m:sub>
                            </m:sSub>
                          </m:e>
                        </m:d>
                      </m:e>
                    </m:d>
                  </m:oMath>
                </m:oMathPara>
              </a14:m>
              <a:endParaRPr lang="en-US" sz="1200"/>
            </a:p>
          </xdr:txBody>
        </xdr:sp>
      </mc:Choice>
      <mc:Fallback xmlns="">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35025" y="27784954"/>
              <a:ext cx="2927596" cy="20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𝐺𝑎𝑚𝑚𝑎 (𝑚𝑒𝑎𝑛= |𝑚_(𝑤,𝑑) |,𝑣𝑎𝑟=𝜙</a:t>
              </a:r>
              <a:r>
                <a:rPr lang="en-US" sz="1200" b="0" i="0">
                  <a:latin typeface="Cambria Math" panose="02040503050406030204" pitchFamily="18" charset="0"/>
                  <a:ea typeface="Cambria Math" panose="02040503050406030204" pitchFamily="18" charset="0"/>
                </a:rPr>
                <a:t>×|𝑚_(𝑤,𝑑) |)</a:t>
              </a:r>
              <a:endParaRPr lang="en-US" sz="1200"/>
            </a:p>
          </xdr:txBody>
        </xdr:sp>
      </mc:Fallback>
    </mc:AlternateContent>
    <xdr:clientData/>
  </xdr:oneCellAnchor>
  <xdr:oneCellAnchor>
    <xdr:from>
      <xdr:col>1</xdr:col>
      <xdr:colOff>47625</xdr:colOff>
      <xdr:row>146</xdr:row>
      <xdr:rowOff>34395</xdr:rowOff>
    </xdr:from>
    <xdr:ext cx="2979277" cy="20845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873125" y="27212395"/>
              <a:ext cx="2979277" cy="2084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m:t>
                    </m:r>
                    <m:r>
                      <a:rPr lang="en-US" sz="1200" b="0" i="1">
                        <a:latin typeface="Cambria Math" panose="02040503050406030204" pitchFamily="18" charset="0"/>
                      </a:rPr>
                      <m:t>𝐺𝑎𝑚𝑚𝑎</m:t>
                    </m:r>
                    <m:d>
                      <m:dPr>
                        <m:ctrlPr>
                          <a:rPr lang="en-US" sz="1200" b="0" i="1">
                            <a:latin typeface="Cambria Math" panose="02040503050406030204" pitchFamily="18" charset="0"/>
                          </a:rPr>
                        </m:ctrlPr>
                      </m:dPr>
                      <m:e>
                        <m:r>
                          <a:rPr lang="en-US" sz="1200" b="0" i="1">
                            <a:latin typeface="Cambria Math" panose="02040503050406030204" pitchFamily="18" charset="0"/>
                          </a:rPr>
                          <m:t>𝑚𝑒𝑎𝑛</m:t>
                        </m:r>
                        <m:r>
                          <a:rPr lang="en-US" sz="1200" b="0" i="1">
                            <a:latin typeface="Cambria Math" panose="02040503050406030204" pitchFamily="18" charset="0"/>
                          </a:rPr>
                          <m:t>=</m:t>
                        </m:r>
                        <m:d>
                          <m:dPr>
                            <m:begChr m:val="|"/>
                            <m:endChr m:val="|"/>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𝑚</m:t>
                                </m:r>
                              </m:e>
                              <m:sub>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sub>
                            </m:sSub>
                          </m:e>
                        </m:d>
                        <m:r>
                          <a:rPr lang="en-US" sz="1200" b="0" i="1">
                            <a:latin typeface="Cambria Math" panose="02040503050406030204" pitchFamily="18" charset="0"/>
                          </a:rPr>
                          <m:t>, </m:t>
                        </m:r>
                        <m:r>
                          <a:rPr lang="en-US" sz="1200" b="0" i="1">
                            <a:latin typeface="Cambria Math" panose="02040503050406030204" pitchFamily="18" charset="0"/>
                          </a:rPr>
                          <m:t>𝑣𝑎𝑟</m:t>
                        </m:r>
                        <m:r>
                          <a:rPr lang="en-US" sz="1200" b="0" i="1">
                            <a:latin typeface="Cambria Math" panose="02040503050406030204" pitchFamily="18" charset="0"/>
                          </a:rPr>
                          <m:t>=</m:t>
                        </m:r>
                        <m:r>
                          <a:rPr lang="en-US" sz="1200" b="0" i="1">
                            <a:latin typeface="Cambria Math" panose="02040503050406030204" pitchFamily="18" charset="0"/>
                          </a:rPr>
                          <m:t>𝜙</m:t>
                        </m:r>
                        <m:r>
                          <a:rPr lang="en-US" sz="1200" b="0" i="1">
                            <a:latin typeface="Cambria Math" panose="02040503050406030204" pitchFamily="18" charset="0"/>
                            <a:ea typeface="Cambria Math" panose="02040503050406030204" pitchFamily="18" charset="0"/>
                          </a:rPr>
                          <m:t>×</m:t>
                        </m:r>
                        <m:d>
                          <m:dPr>
                            <m:begChr m:val="|"/>
                            <m:endChr m:val="|"/>
                            <m:ctrlPr>
                              <a:rPr lang="en-US" sz="1200" b="0" i="1">
                                <a:solidFill>
                                  <a:schemeClr val="tx1"/>
                                </a:solidFill>
                                <a:effectLst/>
                                <a:latin typeface="Cambria Math" panose="02040503050406030204" pitchFamily="18" charset="0"/>
                                <a:ea typeface="+mn-ea"/>
                                <a:cs typeface="+mn-cs"/>
                              </a:rPr>
                            </m:ctrlPr>
                          </m:dPr>
                          <m:e>
                            <m:sSub>
                              <m:sSubPr>
                                <m:ctrlPr>
                                  <a:rPr lang="en-US" sz="1200" b="0" i="1">
                                    <a:solidFill>
                                      <a:schemeClr val="tx1"/>
                                    </a:solidFill>
                                    <a:effectLst/>
                                    <a:latin typeface="Cambria Math" panose="02040503050406030204" pitchFamily="18" charset="0"/>
                                    <a:ea typeface="+mn-ea"/>
                                    <a:cs typeface="+mn-cs"/>
                                  </a:rPr>
                                </m:ctrlPr>
                              </m:sSubPr>
                              <m:e>
                                <m:r>
                                  <a:rPr lang="en-US" sz="1200" b="0" i="1">
                                    <a:solidFill>
                                      <a:schemeClr val="tx1"/>
                                    </a:solidFill>
                                    <a:effectLst/>
                                    <a:latin typeface="Cambria Math" panose="02040503050406030204" pitchFamily="18" charset="0"/>
                                    <a:ea typeface="+mn-ea"/>
                                    <a:cs typeface="+mn-cs"/>
                                  </a:rPr>
                                  <m:t>𝑚</m:t>
                                </m:r>
                              </m:e>
                              <m:sub>
                                <m:r>
                                  <a:rPr lang="en-US" sz="1200" b="0" i="1">
                                    <a:solidFill>
                                      <a:schemeClr val="tx1"/>
                                    </a:solidFill>
                                    <a:effectLst/>
                                    <a:latin typeface="Cambria Math" panose="02040503050406030204" pitchFamily="18" charset="0"/>
                                    <a:ea typeface="+mn-ea"/>
                                    <a:cs typeface="+mn-cs"/>
                                  </a:rPr>
                                  <m:t>𝑤</m:t>
                                </m:r>
                                <m:r>
                                  <a:rPr lang="en-US" sz="1200" b="0" i="1">
                                    <a:solidFill>
                                      <a:schemeClr val="tx1"/>
                                    </a:solidFill>
                                    <a:effectLst/>
                                    <a:latin typeface="Cambria Math" panose="02040503050406030204" pitchFamily="18" charset="0"/>
                                    <a:ea typeface="+mn-ea"/>
                                    <a:cs typeface="+mn-cs"/>
                                  </a:rPr>
                                  <m:t>,</m:t>
                                </m:r>
                                <m:r>
                                  <a:rPr lang="en-US" sz="1200" b="0" i="1">
                                    <a:solidFill>
                                      <a:schemeClr val="tx1"/>
                                    </a:solidFill>
                                    <a:effectLst/>
                                    <a:latin typeface="Cambria Math" panose="02040503050406030204" pitchFamily="18" charset="0"/>
                                    <a:ea typeface="+mn-ea"/>
                                    <a:cs typeface="+mn-cs"/>
                                  </a:rPr>
                                  <m:t>𝑑</m:t>
                                </m:r>
                              </m:sub>
                            </m:sSub>
                          </m:e>
                        </m:d>
                      </m:e>
                    </m:d>
                  </m:oMath>
                </m:oMathPara>
              </a14:m>
              <a:endParaRPr lang="en-US" sz="1200"/>
            </a:p>
          </xdr:txBody>
        </xdr:sp>
      </mc:Choice>
      <mc:Fallback xmlns="">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873125" y="27212395"/>
              <a:ext cx="2979277" cy="2084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−𝐺𝑎𝑚𝑚𝑎(𝑚𝑒𝑎𝑛=|𝑚_(𝑤,𝑑) |, 𝑣𝑎𝑟=𝜙</a:t>
              </a:r>
              <a:r>
                <a:rPr lang="en-US" sz="1200" b="0" i="0">
                  <a:latin typeface="Cambria Math" panose="02040503050406030204" pitchFamily="18" charset="0"/>
                  <a:ea typeface="Cambria Math" panose="02040503050406030204" pitchFamily="18" charset="0"/>
                </a:rPr>
                <a:t>×</a:t>
              </a:r>
              <a:r>
                <a:rPr lang="en-US" sz="1200" b="0" i="0">
                  <a:solidFill>
                    <a:schemeClr val="tx1"/>
                  </a:solidFill>
                  <a:effectLst/>
                  <a:latin typeface="Cambria Math" panose="02040503050406030204" pitchFamily="18" charset="0"/>
                  <a:ea typeface="+mn-ea"/>
                  <a:cs typeface="+mn-cs"/>
                </a:rPr>
                <a:t>|𝑚_(𝑤,𝑑) |)</a:t>
              </a:r>
              <a:endParaRPr lang="en-US" sz="1200"/>
            </a:p>
          </xdr:txBody>
        </xdr:sp>
      </mc:Fallback>
    </mc:AlternateContent>
    <xdr:clientData/>
  </xdr:oneCellAnchor>
  <xdr:oneCellAnchor>
    <xdr:from>
      <xdr:col>1</xdr:col>
      <xdr:colOff>58208</xdr:colOff>
      <xdr:row>160</xdr:row>
      <xdr:rowOff>103716</xdr:rowOff>
    </xdr:from>
    <xdr:ext cx="3423709" cy="208455"/>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883708" y="30340299"/>
              <a:ext cx="3423709" cy="2084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𝐺𝑎𝑚𝑚𝑎</m:t>
                    </m:r>
                    <m:d>
                      <m:dPr>
                        <m:ctrlPr>
                          <a:rPr lang="en-US" sz="1200" b="0" i="1">
                            <a:latin typeface="Cambria Math" panose="02040503050406030204" pitchFamily="18" charset="0"/>
                          </a:rPr>
                        </m:ctrlPr>
                      </m:dPr>
                      <m:e>
                        <m:r>
                          <a:rPr lang="en-US" sz="1200" b="0" i="1">
                            <a:latin typeface="Cambria Math" panose="02040503050406030204" pitchFamily="18" charset="0"/>
                          </a:rPr>
                          <m:t>𝑚𝑒𝑎𝑛</m:t>
                        </m:r>
                        <m:r>
                          <a:rPr lang="en-US" sz="1200" b="0" i="1">
                            <a:latin typeface="Cambria Math" panose="02040503050406030204" pitchFamily="18" charset="0"/>
                          </a:rPr>
                          <m:t>=</m:t>
                        </m:r>
                        <m:d>
                          <m:dPr>
                            <m:begChr m:val="|"/>
                            <m:endChr m:val="|"/>
                            <m:ctrlPr>
                              <a:rPr lang="en-US" sz="1200" b="0" i="1">
                                <a:latin typeface="Cambria Math" panose="02040503050406030204" pitchFamily="18" charset="0"/>
                              </a:rPr>
                            </m:ctrlPr>
                          </m:dPr>
                          <m:e>
                            <m:sSub>
                              <m:sSubPr>
                                <m:ctrlPr>
                                  <a:rPr lang="en-US" sz="1200" b="0" i="1">
                                    <a:latin typeface="Cambria Math" panose="02040503050406030204" pitchFamily="18" charset="0"/>
                                  </a:rPr>
                                </m:ctrlPr>
                              </m:sSubPr>
                              <m:e>
                                <m:r>
                                  <a:rPr lang="en-US" sz="1200" b="0" i="1">
                                    <a:latin typeface="Cambria Math" panose="02040503050406030204" pitchFamily="18" charset="0"/>
                                  </a:rPr>
                                  <m:t>𝑚</m:t>
                                </m:r>
                              </m:e>
                              <m:sub>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sub>
                            </m:sSub>
                          </m:e>
                        </m:d>
                        <m:r>
                          <a:rPr lang="en-US" sz="1200" b="0" i="1">
                            <a:latin typeface="Cambria Math" panose="02040503050406030204" pitchFamily="18" charset="0"/>
                          </a:rPr>
                          <m:t>, </m:t>
                        </m:r>
                        <m:r>
                          <a:rPr lang="en-US" sz="1200" b="0" i="1">
                            <a:latin typeface="Cambria Math" panose="02040503050406030204" pitchFamily="18" charset="0"/>
                          </a:rPr>
                          <m:t>𝑣𝑎𝑟</m:t>
                        </m:r>
                        <m:r>
                          <a:rPr lang="en-US" sz="1200" b="0" i="1">
                            <a:latin typeface="Cambria Math" panose="02040503050406030204" pitchFamily="18" charset="0"/>
                          </a:rPr>
                          <m:t>=</m:t>
                        </m:r>
                        <m:r>
                          <a:rPr lang="en-US" sz="1200" b="0" i="1">
                            <a:latin typeface="Cambria Math" panose="02040503050406030204" pitchFamily="18" charset="0"/>
                          </a:rPr>
                          <m:t>𝜙</m:t>
                        </m:r>
                        <m:r>
                          <a:rPr lang="en-US" sz="1200" b="0" i="1">
                            <a:latin typeface="Cambria Math" panose="02040503050406030204" pitchFamily="18" charset="0"/>
                            <a:ea typeface="Cambria Math" panose="02040503050406030204" pitchFamily="18" charset="0"/>
                          </a:rPr>
                          <m:t>×</m:t>
                        </m:r>
                        <m:d>
                          <m:dPr>
                            <m:begChr m:val="|"/>
                            <m:endChr m:val="|"/>
                            <m:ctrlPr>
                              <a:rPr lang="en-US" sz="1200" b="0" i="1">
                                <a:solidFill>
                                  <a:schemeClr val="tx1"/>
                                </a:solidFill>
                                <a:effectLst/>
                                <a:latin typeface="Cambria Math" panose="02040503050406030204" pitchFamily="18" charset="0"/>
                                <a:ea typeface="+mn-ea"/>
                                <a:cs typeface="+mn-cs"/>
                              </a:rPr>
                            </m:ctrlPr>
                          </m:dPr>
                          <m:e>
                            <m:sSub>
                              <m:sSubPr>
                                <m:ctrlPr>
                                  <a:rPr lang="en-US" sz="1200" b="0" i="1">
                                    <a:solidFill>
                                      <a:schemeClr val="tx1"/>
                                    </a:solidFill>
                                    <a:effectLst/>
                                    <a:latin typeface="Cambria Math" panose="02040503050406030204" pitchFamily="18" charset="0"/>
                                    <a:ea typeface="+mn-ea"/>
                                    <a:cs typeface="+mn-cs"/>
                                  </a:rPr>
                                </m:ctrlPr>
                              </m:sSubPr>
                              <m:e>
                                <m:r>
                                  <a:rPr lang="en-US" sz="1200" b="0" i="1">
                                    <a:solidFill>
                                      <a:schemeClr val="tx1"/>
                                    </a:solidFill>
                                    <a:effectLst/>
                                    <a:latin typeface="Cambria Math" panose="02040503050406030204" pitchFamily="18" charset="0"/>
                                    <a:ea typeface="+mn-ea"/>
                                    <a:cs typeface="+mn-cs"/>
                                  </a:rPr>
                                  <m:t>𝑚</m:t>
                                </m:r>
                              </m:e>
                              <m:sub>
                                <m:r>
                                  <a:rPr lang="en-US" sz="1200" b="0" i="1">
                                    <a:solidFill>
                                      <a:schemeClr val="tx1"/>
                                    </a:solidFill>
                                    <a:effectLst/>
                                    <a:latin typeface="Cambria Math" panose="02040503050406030204" pitchFamily="18" charset="0"/>
                                    <a:ea typeface="+mn-ea"/>
                                    <a:cs typeface="+mn-cs"/>
                                  </a:rPr>
                                  <m:t>𝑤</m:t>
                                </m:r>
                                <m:r>
                                  <a:rPr lang="en-US" sz="1200" b="0" i="1">
                                    <a:solidFill>
                                      <a:schemeClr val="tx1"/>
                                    </a:solidFill>
                                    <a:effectLst/>
                                    <a:latin typeface="Cambria Math" panose="02040503050406030204" pitchFamily="18" charset="0"/>
                                    <a:ea typeface="+mn-ea"/>
                                    <a:cs typeface="+mn-cs"/>
                                  </a:rPr>
                                  <m:t>,</m:t>
                                </m:r>
                                <m:r>
                                  <a:rPr lang="en-US" sz="1200" b="0" i="1">
                                    <a:solidFill>
                                      <a:schemeClr val="tx1"/>
                                    </a:solidFill>
                                    <a:effectLst/>
                                    <a:latin typeface="Cambria Math" panose="02040503050406030204" pitchFamily="18" charset="0"/>
                                    <a:ea typeface="+mn-ea"/>
                                    <a:cs typeface="+mn-cs"/>
                                  </a:rPr>
                                  <m:t>𝑑</m:t>
                                </m:r>
                              </m:sub>
                            </m:sSub>
                          </m:e>
                        </m:d>
                      </m:e>
                    </m:d>
                    <m:r>
                      <a:rPr lang="en-US" sz="1200" b="0" i="1">
                        <a:solidFill>
                          <a:schemeClr val="tx1"/>
                        </a:solidFill>
                        <a:effectLst/>
                        <a:latin typeface="Cambria Math" panose="02040503050406030204" pitchFamily="18" charset="0"/>
                        <a:ea typeface="+mn-ea"/>
                        <a:cs typeface="+mn-cs"/>
                      </a:rPr>
                      <m:t>+2</m:t>
                    </m:r>
                    <m:sSub>
                      <m:sSubPr>
                        <m:ctrlPr>
                          <a:rPr lang="en-US" sz="1200" b="0" i="1">
                            <a:solidFill>
                              <a:schemeClr val="tx1"/>
                            </a:solidFill>
                            <a:effectLst/>
                            <a:latin typeface="Cambria Math" panose="02040503050406030204" pitchFamily="18" charset="0"/>
                            <a:ea typeface="+mn-ea"/>
                            <a:cs typeface="+mn-cs"/>
                          </a:rPr>
                        </m:ctrlPr>
                      </m:sSubPr>
                      <m:e>
                        <m:r>
                          <a:rPr lang="en-US" sz="1200" b="0" i="1">
                            <a:solidFill>
                              <a:schemeClr val="tx1"/>
                            </a:solidFill>
                            <a:effectLst/>
                            <a:latin typeface="Cambria Math" panose="02040503050406030204" pitchFamily="18" charset="0"/>
                            <a:ea typeface="+mn-ea"/>
                            <a:cs typeface="+mn-cs"/>
                          </a:rPr>
                          <m:t>𝑚</m:t>
                        </m:r>
                      </m:e>
                      <m:sub>
                        <m:r>
                          <a:rPr lang="en-US" sz="1200" b="0" i="1">
                            <a:solidFill>
                              <a:schemeClr val="tx1"/>
                            </a:solidFill>
                            <a:effectLst/>
                            <a:latin typeface="Cambria Math" panose="02040503050406030204" pitchFamily="18" charset="0"/>
                            <a:ea typeface="+mn-ea"/>
                            <a:cs typeface="+mn-cs"/>
                          </a:rPr>
                          <m:t>𝑤</m:t>
                        </m:r>
                        <m:r>
                          <a:rPr lang="en-US" sz="1200" b="0" i="1">
                            <a:solidFill>
                              <a:schemeClr val="tx1"/>
                            </a:solidFill>
                            <a:effectLst/>
                            <a:latin typeface="Cambria Math" panose="02040503050406030204" pitchFamily="18" charset="0"/>
                            <a:ea typeface="+mn-ea"/>
                            <a:cs typeface="+mn-cs"/>
                          </a:rPr>
                          <m:t>,</m:t>
                        </m:r>
                        <m:r>
                          <a:rPr lang="en-US" sz="1200" b="0" i="1">
                            <a:solidFill>
                              <a:schemeClr val="tx1"/>
                            </a:solidFill>
                            <a:effectLst/>
                            <a:latin typeface="Cambria Math" panose="02040503050406030204" pitchFamily="18" charset="0"/>
                            <a:ea typeface="+mn-ea"/>
                            <a:cs typeface="+mn-cs"/>
                          </a:rPr>
                          <m:t>𝑑</m:t>
                        </m:r>
                      </m:sub>
                    </m:sSub>
                  </m:oMath>
                </m:oMathPara>
              </a14:m>
              <a:endParaRPr lang="en-US" sz="1200"/>
            </a:p>
          </xdr:txBody>
        </xdr:sp>
      </mc:Choice>
      <mc:Fallback xmlns="">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883708" y="30340299"/>
              <a:ext cx="3423709" cy="20845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panose="02040503050406030204" pitchFamily="18" charset="0"/>
                </a:rPr>
                <a:t>𝐺𝑎𝑚𝑚𝑎(𝑚𝑒𝑎𝑛=|𝑚_(𝑤,𝑑) |, 𝑣𝑎𝑟=𝜙</a:t>
              </a:r>
              <a:r>
                <a:rPr lang="en-US" sz="1200" b="0" i="0">
                  <a:latin typeface="Cambria Math" panose="02040503050406030204" pitchFamily="18" charset="0"/>
                  <a:ea typeface="Cambria Math" panose="02040503050406030204" pitchFamily="18" charset="0"/>
                </a:rPr>
                <a:t>×</a:t>
              </a:r>
              <a:r>
                <a:rPr lang="en-US" sz="1200" b="0" i="0">
                  <a:solidFill>
                    <a:schemeClr val="tx1"/>
                  </a:solidFill>
                  <a:effectLst/>
                  <a:latin typeface="Cambria Math" panose="02040503050406030204" pitchFamily="18" charset="0"/>
                  <a:ea typeface="+mn-ea"/>
                  <a:cs typeface="+mn-cs"/>
                </a:rPr>
                <a:t>|𝑚_(𝑤,𝑑) |)+2𝑚_(𝑤,𝑑)</a:t>
              </a:r>
              <a:endParaRPr lang="en-US" sz="1200"/>
            </a:p>
          </xdr:txBody>
        </xdr:sp>
      </mc:Fallback>
    </mc:AlternateContent>
    <xdr:clientData/>
  </xdr:oneCellAnchor>
  <xdr:twoCellAnchor>
    <xdr:from>
      <xdr:col>1</xdr:col>
      <xdr:colOff>0</xdr:colOff>
      <xdr:row>36</xdr:row>
      <xdr:rowOff>0</xdr:rowOff>
    </xdr:from>
    <xdr:to>
      <xdr:col>3</xdr:col>
      <xdr:colOff>276225</xdr:colOff>
      <xdr:row>38</xdr:row>
      <xdr:rowOff>36736</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0554733-BC06-4200-948F-9D2DCB27FD13}"/>
                </a:ext>
              </a:extLst>
            </xdr:cNvPr>
            <xdr:cNvSpPr txBox="1"/>
          </xdr:nvSpPr>
          <xdr:spPr>
            <a:xfrm>
              <a:off x="823913" y="7462838"/>
              <a:ext cx="1924050" cy="43678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r>
                          <a:rPr lang="en-PH" sz="1100" i="1">
                            <a:solidFill>
                              <a:schemeClr val="tx1"/>
                            </a:solidFill>
                            <a:effectLst/>
                            <a:latin typeface="Cambria Math" panose="02040503050406030204" pitchFamily="18" charset="0"/>
                            <a:ea typeface="+mn-ea"/>
                            <a:cs typeface="+mn-cs"/>
                          </a:rPr>
                          <m:t>∗</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𝑟</m:t>
                        </m:r>
                      </m:e>
                      <m:sup>
                        <m:r>
                          <a:rPr lang="en-PH" sz="1100" i="1">
                            <a:solidFill>
                              <a:schemeClr val="tx1"/>
                            </a:solidFill>
                            <a:effectLst/>
                            <a:latin typeface="Cambria Math" panose="02040503050406030204" pitchFamily="18" charset="0"/>
                            <a:ea typeface="+mn-ea"/>
                            <a:cs typeface="+mn-cs"/>
                          </a:rPr>
                          <m:t>∗</m:t>
                        </m:r>
                      </m:sup>
                    </m:sSup>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r>
                              <a:rPr lang="en-PH" sz="1100" i="1">
                                <a:solidFill>
                                  <a:schemeClr val="tx1"/>
                                </a:solidFill>
                                <a:effectLst/>
                                <a:latin typeface="Cambria Math" panose="02040503050406030204" pitchFamily="18" charset="0"/>
                                <a:ea typeface="+mn-ea"/>
                                <a:cs typeface="+mn-cs"/>
                              </a:rPr>
                              <m:t>𝑧</m:t>
                            </m:r>
                          </m:sup>
                        </m:sSubSup>
                      </m:e>
                    </m:ra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70554733-BC06-4200-948F-9D2DCB27FD13}"/>
                </a:ext>
              </a:extLst>
            </xdr:cNvPr>
            <xdr:cNvSpPr txBox="1"/>
          </xdr:nvSpPr>
          <xdr:spPr>
            <a:xfrm>
              <a:off x="823913" y="7462838"/>
              <a:ext cx="1924050" cy="43678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𝑞^∗ (𝑤,𝑑)=𝑟^∗×√(𝑚_(𝑤,𝑑)^𝑧 )+𝑚_(𝑤,𝑑)</a:t>
              </a:r>
              <a:endParaRPr lang="en-PH" sz="1100">
                <a:solidFill>
                  <a:schemeClr val="tx1"/>
                </a:solidFill>
                <a:effectLst/>
                <a:latin typeface="+mn-lt"/>
                <a:ea typeface="+mn-ea"/>
                <a:cs typeface="+mn-cs"/>
              </a:endParaRPr>
            </a:p>
          </xdr:txBody>
        </xdr:sp>
      </mc:Fallback>
    </mc:AlternateContent>
    <xdr:clientData/>
  </xdr:twoCellAnchor>
  <xdr:oneCellAnchor>
    <xdr:from>
      <xdr:col>4</xdr:col>
      <xdr:colOff>205317</xdr:colOff>
      <xdr:row>36</xdr:row>
      <xdr:rowOff>78845</xdr:rowOff>
    </xdr:from>
    <xdr:ext cx="3417410" cy="21089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5DB3F07-DBEF-4C61-9B2E-47F4FF63A990}"/>
                </a:ext>
              </a:extLst>
            </xdr:cNvPr>
            <xdr:cNvSpPr txBox="1"/>
          </xdr:nvSpPr>
          <xdr:spPr>
            <a:xfrm>
              <a:off x="3507317" y="7455428"/>
              <a:ext cx="3417410" cy="210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𝑠𝑖𝑚</m:t>
                        </m:r>
                      </m:sup>
                    </m:sSubSup>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𝑟𝑒𝑠𝑖𝑑𝑢𝑎𝑙</m:t>
                        </m:r>
                      </m:e>
                      <m:sup>
                        <m:argPr>
                          <m:argSz m:val="-1"/>
                        </m:argPr>
                        <m:r>
                          <a:rPr lang="en-PH" sz="1100" i="1">
                            <a:solidFill>
                              <a:schemeClr val="tx1"/>
                            </a:solidFill>
                            <a:effectLst/>
                            <a:latin typeface="Cambria Math" panose="02040503050406030204" pitchFamily="18" charset="0"/>
                            <a:ea typeface="+mn-ea"/>
                            <a:cs typeface="+mn-cs"/>
                          </a:rPr>
                          <m:t>𝑠𝑖𝑚</m:t>
                        </m:r>
                      </m:sup>
                    </m:sSup>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sSup>
                          <m:sSupPr>
                            <m:ctrlPr>
                              <a:rPr lang="en-PH" sz="1100" i="1">
                                <a:solidFill>
                                  <a:schemeClr val="tx1"/>
                                </a:solidFill>
                                <a:effectLst/>
                                <a:latin typeface="Cambria Math" panose="02040503050406030204" pitchFamily="18" charset="0"/>
                                <a:ea typeface="+mn-ea"/>
                                <a:cs typeface="+mn-cs"/>
                              </a:rPr>
                            </m:ctrlPr>
                          </m:sSupPr>
                          <m:e>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𝐼𝑛𝑐𝐿𝑜𝑠𝑠</m:t>
                                </m:r>
                              </m:e>
                            </m:d>
                          </m:e>
                          <m:sup>
                            <m:r>
                              <a:rPr lang="en-US" sz="1100" b="0" i="1">
                                <a:solidFill>
                                  <a:schemeClr val="tx1"/>
                                </a:solidFill>
                                <a:effectLst/>
                                <a:latin typeface="Cambria Math" panose="02040503050406030204" pitchFamily="18" charset="0"/>
                                <a:ea typeface="+mn-ea"/>
                                <a:cs typeface="+mn-cs"/>
                              </a:rPr>
                              <m:t>𝑧</m:t>
                            </m:r>
                          </m:sup>
                        </m:sSup>
                      </m:e>
                    </m:ra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𝐼𝑛𝑐𝐿𝑜𝑠𝑠</m:t>
                        </m:r>
                      </m:e>
                    </m:d>
                  </m:oMath>
                </m:oMathPara>
              </a14:m>
              <a:endParaRPr lang="en-PH"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05DB3F07-DBEF-4C61-9B2E-47F4FF63A990}"/>
                </a:ext>
              </a:extLst>
            </xdr:cNvPr>
            <xdr:cNvSpPr txBox="1"/>
          </xdr:nvSpPr>
          <xdr:spPr>
            <a:xfrm>
              <a:off x="3507317" y="7455428"/>
              <a:ext cx="3417410" cy="210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〖𝐼𝑛𝑐𝐿𝑜𝑠𝑠〗_(𝐴𝑌,𝑑)^𝑠𝑖𝑚=〖𝑟𝑒𝑠𝑖𝑑𝑢𝑎𝑙〗^𝑠𝑖𝑚×√(〖E[𝐼𝑛𝑐𝐿𝑜𝑠𝑠]〗^</a:t>
              </a:r>
              <a:r>
                <a:rPr lang="en-US" sz="1100" b="0" i="0">
                  <a:solidFill>
                    <a:schemeClr val="tx1"/>
                  </a:solidFill>
                  <a:effectLst/>
                  <a:latin typeface="Cambria Math" panose="02040503050406030204" pitchFamily="18" charset="0"/>
                  <a:ea typeface="+mn-ea"/>
                  <a:cs typeface="+mn-cs"/>
                </a:rPr>
                <a:t>𝑧</a:t>
              </a:r>
              <a:r>
                <a:rPr lang="en-PH" sz="1100" b="0" i="0">
                  <a:solidFill>
                    <a:schemeClr val="tx1"/>
                  </a:solidFill>
                  <a:effectLst/>
                  <a:latin typeface="Cambria Math" panose="02040503050406030204" pitchFamily="18" charset="0"/>
                  <a:ea typeface="+mn-ea"/>
                  <a:cs typeface="+mn-cs"/>
                </a:rPr>
                <a:t> )</a:t>
              </a:r>
              <a:r>
                <a:rPr lang="en-PH" sz="1100" i="0">
                  <a:solidFill>
                    <a:schemeClr val="tx1"/>
                  </a:solidFill>
                  <a:effectLst/>
                  <a:latin typeface="Cambria Math" panose="02040503050406030204" pitchFamily="18" charset="0"/>
                  <a:ea typeface="+mn-ea"/>
                  <a:cs typeface="+mn-cs"/>
                </a:rPr>
                <a:t>+E[𝐼𝑛𝑐𝐿𝑜𝑠𝑠]</a:t>
              </a:r>
              <a:endParaRPr lang="en-PH" sz="1100">
                <a:solidFill>
                  <a:schemeClr val="tx1"/>
                </a:solidFill>
                <a:effectLst/>
                <a:latin typeface="+mn-lt"/>
                <a:ea typeface="+mn-ea"/>
                <a:cs typeface="+mn-cs"/>
              </a:endParaRPr>
            </a:p>
          </xdr:txBody>
        </xdr:sp>
      </mc:Fallback>
    </mc:AlternateContent>
    <xdr:clientData/>
  </xdr:oneCellAnchor>
  <xdr:oneCellAnchor>
    <xdr:from>
      <xdr:col>6</xdr:col>
      <xdr:colOff>4763</xdr:colOff>
      <xdr:row>41</xdr:row>
      <xdr:rowOff>80963</xdr:rowOff>
    </xdr:from>
    <xdr:ext cx="2209323" cy="344453"/>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5640787-D221-438F-8381-25DD5742E651}"/>
                </a:ext>
              </a:extLst>
            </xdr:cNvPr>
            <xdr:cNvSpPr txBox="1"/>
          </xdr:nvSpPr>
          <xdr:spPr>
            <a:xfrm>
              <a:off x="4948238" y="7972426"/>
              <a:ext cx="220932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r>
                          <a:rPr lang="en-PH" sz="1100" i="1">
                            <a:solidFill>
                              <a:schemeClr val="tx1"/>
                            </a:solidFill>
                            <a:effectLst/>
                            <a:latin typeface="Cambria Math" panose="02040503050406030204" pitchFamily="18" charset="0"/>
                            <a:ea typeface="+mn-ea"/>
                            <a:cs typeface="+mn-cs"/>
                          </a:rPr>
                          <m:t>∗</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𝑟</m:t>
                        </m:r>
                      </m:e>
                      <m:sup>
                        <m:r>
                          <a:rPr lang="en-PH" sz="1100" i="1">
                            <a:solidFill>
                              <a:schemeClr val="tx1"/>
                            </a:solidFill>
                            <a:effectLst/>
                            <a:latin typeface="Cambria Math" panose="02040503050406030204" pitchFamily="18" charset="0"/>
                            <a:ea typeface="+mn-ea"/>
                            <a:cs typeface="+mn-cs"/>
                          </a:rPr>
                          <m:t>∗</m:t>
                        </m:r>
                      </m:sup>
                    </m:sSup>
                    <m:r>
                      <a:rPr lang="en-PH" sz="1100" i="1">
                        <a:solidFill>
                          <a:schemeClr val="tx1"/>
                        </a:solidFill>
                        <a:effectLst/>
                        <a:latin typeface="Cambria Math" panose="02040503050406030204" pitchFamily="18" charset="0"/>
                        <a:ea typeface="+mn-ea"/>
                        <a:cs typeface="+mn-cs"/>
                      </a:rPr>
                      <m:t>× </m:t>
                    </m:r>
                    <m:rad>
                      <m:radPr>
                        <m:degHide m:val="on"/>
                        <m:ctrlPr>
                          <a:rPr lang="en-PH" sz="1100" i="1">
                            <a:solidFill>
                              <a:schemeClr val="tx1"/>
                            </a:solidFill>
                            <a:effectLst/>
                            <a:latin typeface="Cambria Math" panose="02040503050406030204" pitchFamily="18" charset="0"/>
                            <a:ea typeface="+mn-ea"/>
                            <a:cs typeface="+mn-cs"/>
                          </a:rPr>
                        </m:ctrlPr>
                      </m:radPr>
                      <m:deg/>
                      <m:e>
                        <m:r>
                          <a:rPr lang="en-PH" sz="1100" i="1">
                            <a:solidFill>
                              <a:schemeClr val="tx1"/>
                            </a:solidFill>
                            <a:effectLst/>
                            <a:latin typeface="Cambria Math" panose="02040503050406030204" pitchFamily="18" charset="0"/>
                            <a:ea typeface="+mn-ea"/>
                            <a:cs typeface="+mn-cs"/>
                          </a:rPr>
                          <m:t>𝑎𝑏𝑠</m:t>
                        </m:r>
                        <m:d>
                          <m:dPr>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𝑧</m:t>
                                </m:r>
                              </m:sup>
                            </m:sSubSup>
                          </m:e>
                        </m:d>
                      </m:e>
                    </m:ra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xdr:txBody>
        </xdr:sp>
      </mc:Choice>
      <mc:Fallback xmlns="">
        <xdr:sp macro="" textlink="">
          <xdr:nvSpPr>
            <xdr:cNvPr id="10" name="TextBox 9">
              <a:extLst>
                <a:ext uri="{FF2B5EF4-FFF2-40B4-BE49-F238E27FC236}">
                  <a16:creationId xmlns:a16="http://schemas.microsoft.com/office/drawing/2014/main" id="{95640787-D221-438F-8381-25DD5742E651}"/>
                </a:ext>
              </a:extLst>
            </xdr:cNvPr>
            <xdr:cNvSpPr txBox="1"/>
          </xdr:nvSpPr>
          <xdr:spPr>
            <a:xfrm>
              <a:off x="4948238" y="7972426"/>
              <a:ext cx="220932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𝑞^∗ (𝑤,𝑑)=𝑟^∗× √(𝑎𝑏𝑠(𝑚_(𝑤,𝑑)^𝑧 ) )+𝑚_(𝑤,𝑑)</a:t>
              </a:r>
              <a:endParaRPr lang="en-PH" sz="1100">
                <a:solidFill>
                  <a:schemeClr val="tx1"/>
                </a:solidFill>
                <a:effectLst/>
                <a:latin typeface="+mn-lt"/>
                <a:ea typeface="+mn-ea"/>
                <a:cs typeface="+mn-cs"/>
              </a:endParaRPr>
            </a:p>
          </xdr:txBody>
        </xdr:sp>
      </mc:Fallback>
    </mc:AlternateContent>
    <xdr:clientData/>
  </xdr:oneCellAnchor>
  <xdr:oneCellAnchor>
    <xdr:from>
      <xdr:col>1</xdr:col>
      <xdr:colOff>695388</xdr:colOff>
      <xdr:row>61</xdr:row>
      <xdr:rowOff>189877</xdr:rowOff>
    </xdr:from>
    <xdr:ext cx="1799275" cy="1744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9606346-8A60-49F8-A2BF-33650655D6D7}"/>
                </a:ext>
              </a:extLst>
            </xdr:cNvPr>
            <xdr:cNvSpPr txBox="1"/>
          </xdr:nvSpPr>
          <xdr:spPr>
            <a:xfrm>
              <a:off x="1520888" y="13027460"/>
              <a:ext cx="1799275"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+1</m:t>
                        </m:r>
                      </m:sub>
                      <m:sup>
                        <m:argPr>
                          <m:argSz m:val="-2"/>
                        </m:argPr>
                        <m:r>
                          <a:rPr lang="en-PH" sz="1100" i="1">
                            <a:solidFill>
                              <a:schemeClr val="tx1"/>
                            </a:solidFill>
                            <a:effectLst/>
                            <a:latin typeface="Cambria Math" panose="02040503050406030204" pitchFamily="18" charset="0"/>
                            <a:ea typeface="+mn-ea"/>
                            <a:cs typeface="+mn-cs"/>
                          </a:rPr>
                          <m:t>𝑠𝑖𝑚</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𝑠𝑖𝑚</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𝐿𝐷𝐹</m:t>
                        </m:r>
                      </m:e>
                      <m:sub>
                        <m:argPr>
                          <m:argSz m:val="-1"/>
                        </m:argP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𝑠𝑖𝑚</m:t>
                        </m:r>
                      </m:sup>
                    </m:sSubSup>
                  </m:oMath>
                </m:oMathPara>
              </a14:m>
              <a:endParaRPr lang="en-PH"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99606346-8A60-49F8-A2BF-33650655D6D7}"/>
                </a:ext>
              </a:extLst>
            </xdr:cNvPr>
            <xdr:cNvSpPr txBox="1"/>
          </xdr:nvSpPr>
          <xdr:spPr>
            <a:xfrm>
              <a:off x="1520888" y="13027460"/>
              <a:ext cx="1799275"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〖𝐿𝑜𝑠𝑠〗_(𝐴𝑌,𝑘+1)^𝑠𝑖𝑚=〖𝐿𝑜𝑠𝑠〗_(𝐴𝑌,𝑘)^𝑠𝑖𝑚×〖𝐿𝐷𝐹〗_𝑘^𝑠𝑖𝑚</a:t>
              </a:r>
              <a:endParaRPr lang="en-PH" sz="1100">
                <a:solidFill>
                  <a:schemeClr val="tx1"/>
                </a:solidFill>
                <a:effectLst/>
                <a:latin typeface="+mn-lt"/>
                <a:ea typeface="+mn-ea"/>
                <a:cs typeface="+mn-cs"/>
              </a:endParaRPr>
            </a:p>
          </xdr:txBody>
        </xdr:sp>
      </mc:Fallback>
    </mc:AlternateContent>
    <xdr:clientData/>
  </xdr:oneCellAnchor>
  <xdr:twoCellAnchor>
    <xdr:from>
      <xdr:col>1</xdr:col>
      <xdr:colOff>4761</xdr:colOff>
      <xdr:row>72</xdr:row>
      <xdr:rowOff>0</xdr:rowOff>
    </xdr:from>
    <xdr:to>
      <xdr:col>4</xdr:col>
      <xdr:colOff>781049</xdr:colOff>
      <xdr:row>73</xdr:row>
      <xdr:rowOff>83386</xdr:rowOff>
    </xdr:to>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349D15F-C679-49A0-A52F-367B726CE484}"/>
                </a:ext>
              </a:extLst>
            </xdr:cNvPr>
            <xdr:cNvSpPr txBox="1"/>
          </xdr:nvSpPr>
          <xdr:spPr>
            <a:xfrm>
              <a:off x="828674" y="15301913"/>
              <a:ext cx="3248025"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𝑠𝑖𝑚</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𝐺𝑎𝑚𝑚𝑎</m:t>
                    </m:r>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mean</m:t>
                        </m:r>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𝑖𝑡𝑒𝑟</m:t>
                            </m:r>
                          </m:sup>
                        </m:sSubSup>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var</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𝜙</m:t>
                        </m:r>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𝑖𝑡𝑒𝑟</m:t>
                            </m:r>
                          </m:sup>
                        </m:sSubSup>
                      </m:e>
                    </m:d>
                  </m:oMath>
                </m:oMathPara>
              </a14:m>
              <a:endParaRPr lang="en-PH" sz="1100">
                <a:solidFill>
                  <a:schemeClr val="tx1"/>
                </a:solidFill>
                <a:effectLst/>
                <a:latin typeface="+mn-lt"/>
                <a:ea typeface="+mn-ea"/>
                <a:cs typeface="+mn-cs"/>
              </a:endParaRPr>
            </a:p>
          </xdr:txBody>
        </xdr:sp>
      </mc:Choice>
      <mc:Fallback xmlns="">
        <xdr:sp macro="" textlink="">
          <xdr:nvSpPr>
            <xdr:cNvPr id="13" name="TextBox 12">
              <a:extLst>
                <a:ext uri="{FF2B5EF4-FFF2-40B4-BE49-F238E27FC236}">
                  <a16:creationId xmlns:a16="http://schemas.microsoft.com/office/drawing/2014/main" id="{3349D15F-C679-49A0-A52F-367B726CE484}"/>
                </a:ext>
              </a:extLst>
            </xdr:cNvPr>
            <xdr:cNvSpPr txBox="1"/>
          </xdr:nvSpPr>
          <xdr:spPr>
            <a:xfrm>
              <a:off x="828674" y="15301913"/>
              <a:ext cx="3248025"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𝑞^𝑠𝑖𝑚 (𝑤,𝑑)~𝐺𝑎𝑚𝑚𝑎(mean=𝑚_(𝑤,𝑑)^𝑖𝑡𝑒𝑟,var=𝜙×𝑚_(𝑤,𝑑)^𝑖𝑡𝑒𝑟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74</xdr:row>
      <xdr:rowOff>61912</xdr:rowOff>
    </xdr:from>
    <xdr:ext cx="3093154" cy="1744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EA317671-C452-44B2-BF6E-327233C31751}"/>
                </a:ext>
              </a:extLst>
            </xdr:cNvPr>
            <xdr:cNvSpPr txBox="1"/>
          </xdr:nvSpPr>
          <xdr:spPr>
            <a:xfrm>
              <a:off x="823913" y="15763875"/>
              <a:ext cx="3093154"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𝑠𝑖𝑚</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Simulated</m:t>
                    </m:r>
                    <m:r>
                      <a:rPr lang="en-PH" sz="1100">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with</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process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var</m:t>
                    </m:r>
                  </m:oMath>
                </m:oMathPara>
              </a14:m>
              <a:endParaRPr lang="en-PH" sz="1100">
                <a:solidFill>
                  <a:schemeClr val="tx1"/>
                </a:solidFill>
                <a:effectLst/>
                <a:latin typeface="+mn-lt"/>
                <a:ea typeface="+mn-ea"/>
                <a:cs typeface="+mn-cs"/>
              </a:endParaRPr>
            </a:p>
          </xdr:txBody>
        </xdr:sp>
      </mc:Choice>
      <mc:Fallback xmlns="">
        <xdr:sp macro="" textlink="">
          <xdr:nvSpPr>
            <xdr:cNvPr id="14" name="TextBox 13">
              <a:extLst>
                <a:ext uri="{FF2B5EF4-FFF2-40B4-BE49-F238E27FC236}">
                  <a16:creationId xmlns:a16="http://schemas.microsoft.com/office/drawing/2014/main" id="{EA317671-C452-44B2-BF6E-327233C31751}"/>
                </a:ext>
              </a:extLst>
            </xdr:cNvPr>
            <xdr:cNvSpPr txBox="1"/>
          </xdr:nvSpPr>
          <xdr:spPr>
            <a:xfrm>
              <a:off x="823913" y="15763875"/>
              <a:ext cx="3093154"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𝑞^𝑠𝑖𝑚 (𝑤,𝑑)→Simulated 〖𝐼𝑛𝑐𝐿𝑜𝑠𝑠〗_(𝑤,𝑑)  with process var</a:t>
              </a:r>
              <a:endParaRPr lang="en-PH" sz="1100">
                <a:solidFill>
                  <a:schemeClr val="tx1"/>
                </a:solidFill>
                <a:effectLst/>
                <a:latin typeface="+mn-lt"/>
                <a:ea typeface="+mn-ea"/>
                <a:cs typeface="+mn-cs"/>
              </a:endParaRPr>
            </a:p>
          </xdr:txBody>
        </xdr:sp>
      </mc:Fallback>
    </mc:AlternateContent>
    <xdr:clientData/>
  </xdr:oneCellAnchor>
  <xdr:oneCellAnchor>
    <xdr:from>
      <xdr:col>5</xdr:col>
      <xdr:colOff>793750</xdr:colOff>
      <xdr:row>73</xdr:row>
      <xdr:rowOff>6849</xdr:rowOff>
    </xdr:from>
    <xdr:ext cx="3125215" cy="17209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D993664-175C-4711-9BD8-E0625F00689E}"/>
                </a:ext>
              </a:extLst>
            </xdr:cNvPr>
            <xdr:cNvSpPr txBox="1"/>
          </xdr:nvSpPr>
          <xdr:spPr>
            <a:xfrm>
              <a:off x="4921250" y="15077516"/>
              <a:ext cx="312521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𝑠𝑖𝑚</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3,2</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𝐺𝑎𝑚𝑚𝑎</m:t>
                    </m:r>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mean</m:t>
                        </m:r>
                        <m:r>
                          <a:rPr lang="en-PH" sz="1100" i="1">
                            <a:solidFill>
                              <a:schemeClr val="tx1"/>
                            </a:solidFill>
                            <a:effectLst/>
                            <a:latin typeface="Cambria Math" panose="02040503050406030204" pitchFamily="18" charset="0"/>
                            <a:ea typeface="+mn-ea"/>
                            <a:cs typeface="+mn-cs"/>
                          </a:rPr>
                          <m:t>=5</m:t>
                        </m:r>
                        <m:r>
                          <a:rPr lang="en-US" sz="1100" b="0" i="1">
                            <a:solidFill>
                              <a:schemeClr val="tx1"/>
                            </a:solidFill>
                            <a:effectLst/>
                            <a:latin typeface="Cambria Math" panose="02040503050406030204" pitchFamily="18" charset="0"/>
                            <a:ea typeface="+mn-ea"/>
                            <a:cs typeface="+mn-cs"/>
                          </a:rPr>
                          <m:t>4.9</m:t>
                        </m:r>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var</m:t>
                        </m:r>
                        <m:r>
                          <a:rPr lang="en-PH" sz="1100" i="1">
                            <a:solidFill>
                              <a:schemeClr val="tx1"/>
                            </a:solidFill>
                            <a:effectLst/>
                            <a:latin typeface="Cambria Math" panose="02040503050406030204" pitchFamily="18" charset="0"/>
                            <a:ea typeface="+mn-ea"/>
                            <a:cs typeface="+mn-cs"/>
                          </a:rPr>
                          <m:t>=1.31×5</m:t>
                        </m:r>
                        <m:r>
                          <a:rPr lang="en-US" sz="1100" b="0" i="1">
                            <a:solidFill>
                              <a:schemeClr val="tx1"/>
                            </a:solidFill>
                            <a:effectLst/>
                            <a:latin typeface="Cambria Math" panose="02040503050406030204" pitchFamily="18" charset="0"/>
                            <a:ea typeface="+mn-ea"/>
                            <a:cs typeface="+mn-cs"/>
                          </a:rPr>
                          <m:t>4.9</m:t>
                        </m:r>
                      </m:e>
                    </m:d>
                  </m:oMath>
                </m:oMathPara>
              </a14:m>
              <a:endParaRPr lang="en-PH" sz="1100">
                <a:solidFill>
                  <a:schemeClr val="tx1"/>
                </a:solidFill>
                <a:effectLst/>
                <a:latin typeface="+mn-lt"/>
                <a:ea typeface="+mn-ea"/>
                <a:cs typeface="+mn-cs"/>
              </a:endParaRPr>
            </a:p>
          </xdr:txBody>
        </xdr:sp>
      </mc:Choice>
      <mc:Fallback xmlns="">
        <xdr:sp macro="" textlink="">
          <xdr:nvSpPr>
            <xdr:cNvPr id="15" name="TextBox 14">
              <a:extLst>
                <a:ext uri="{FF2B5EF4-FFF2-40B4-BE49-F238E27FC236}">
                  <a16:creationId xmlns:a16="http://schemas.microsoft.com/office/drawing/2014/main" id="{CD993664-175C-4711-9BD8-E0625F00689E}"/>
                </a:ext>
              </a:extLst>
            </xdr:cNvPr>
            <xdr:cNvSpPr txBox="1"/>
          </xdr:nvSpPr>
          <xdr:spPr>
            <a:xfrm>
              <a:off x="4921250" y="15077516"/>
              <a:ext cx="312521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𝑞^𝑠𝑖𝑚 (3,2)~𝐺𝑎𝑚𝑚𝑎(mean=5</a:t>
              </a:r>
              <a:r>
                <a:rPr lang="en-US" sz="1100" b="0" i="0">
                  <a:solidFill>
                    <a:schemeClr val="tx1"/>
                  </a:solidFill>
                  <a:effectLst/>
                  <a:latin typeface="Cambria Math" panose="02040503050406030204" pitchFamily="18" charset="0"/>
                  <a:ea typeface="+mn-ea"/>
                  <a:cs typeface="+mn-cs"/>
                </a:rPr>
                <a:t>4.9</a:t>
              </a:r>
              <a:r>
                <a:rPr lang="en-PH" sz="1100" i="0">
                  <a:solidFill>
                    <a:schemeClr val="tx1"/>
                  </a:solidFill>
                  <a:effectLst/>
                  <a:latin typeface="Cambria Math" panose="02040503050406030204" pitchFamily="18" charset="0"/>
                  <a:ea typeface="+mn-ea"/>
                  <a:cs typeface="+mn-cs"/>
                </a:rPr>
                <a:t>,var=1.31×5</a:t>
              </a:r>
              <a:r>
                <a:rPr lang="en-US" sz="1100" b="0" i="0">
                  <a:solidFill>
                    <a:schemeClr val="tx1"/>
                  </a:solidFill>
                  <a:effectLst/>
                  <a:latin typeface="Cambria Math" panose="02040503050406030204" pitchFamily="18" charset="0"/>
                  <a:ea typeface="+mn-ea"/>
                  <a:cs typeface="+mn-cs"/>
                </a:rPr>
                <a:t>4.9</a:t>
              </a:r>
              <a:r>
                <a:rPr lang="en-PH" sz="1100" b="0" i="0">
                  <a:solidFill>
                    <a:schemeClr val="tx1"/>
                  </a:solidFill>
                  <a:effectLst/>
                  <a:latin typeface="Cambria Math" panose="02040503050406030204" pitchFamily="18" charset="0"/>
                  <a:ea typeface="+mn-ea"/>
                  <a:cs typeface="+mn-cs"/>
                </a:rPr>
                <a:t>)</a:t>
              </a:r>
              <a:endParaRPr lang="en-PH" sz="1100">
                <a:solidFill>
                  <a:schemeClr val="tx1"/>
                </a:solidFill>
                <a:effectLst/>
                <a:latin typeface="+mn-lt"/>
                <a:ea typeface="+mn-ea"/>
                <a:cs typeface="+mn-cs"/>
              </a:endParaRPr>
            </a:p>
          </xdr:txBody>
        </xdr:sp>
      </mc:Fallback>
    </mc:AlternateContent>
    <xdr:clientData/>
  </xdr:oneCellAnchor>
  <xdr:oneCellAnchor>
    <xdr:from>
      <xdr:col>6</xdr:col>
      <xdr:colOff>0</xdr:colOff>
      <xdr:row>74</xdr:row>
      <xdr:rowOff>50427</xdr:rowOff>
    </xdr:from>
    <xdr:ext cx="1870577" cy="172227"/>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24D2DDDF-CD15-4CF3-BA03-B4B2129F97A3}"/>
                </a:ext>
              </a:extLst>
            </xdr:cNvPr>
            <xdr:cNvSpPr txBox="1"/>
          </xdr:nvSpPr>
          <xdr:spPr>
            <a:xfrm>
              <a:off x="4941794" y="15480927"/>
              <a:ext cx="18705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𝑠𝑖𝑚</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3,3</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𝐺𝑎𝑚𝑚𝑎</m:t>
                    </m:r>
                    <m:r>
                      <a:rPr lang="en-PH" sz="1100" i="1">
                        <a:solidFill>
                          <a:schemeClr val="tx1"/>
                        </a:solidFill>
                        <a:effectLst/>
                        <a:latin typeface="Cambria Math" panose="02040503050406030204" pitchFamily="18" charset="0"/>
                        <a:ea typeface="+mn-ea"/>
                        <a:cs typeface="+mn-cs"/>
                      </a:rPr>
                      <m:t> </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26.7, 35.0</m:t>
                        </m:r>
                      </m:e>
                    </m:d>
                  </m:oMath>
                </m:oMathPara>
              </a14:m>
              <a:endParaRPr lang="en-PH" sz="1100">
                <a:solidFill>
                  <a:schemeClr val="tx1"/>
                </a:solidFill>
                <a:effectLst/>
                <a:latin typeface="+mn-lt"/>
                <a:ea typeface="+mn-ea"/>
                <a:cs typeface="+mn-cs"/>
              </a:endParaRPr>
            </a:p>
          </xdr:txBody>
        </xdr:sp>
      </mc:Choice>
      <mc:Fallback xmlns="">
        <xdr:sp macro="" textlink="">
          <xdr:nvSpPr>
            <xdr:cNvPr id="16" name="TextBox 15">
              <a:extLst>
                <a:ext uri="{FF2B5EF4-FFF2-40B4-BE49-F238E27FC236}">
                  <a16:creationId xmlns:a16="http://schemas.microsoft.com/office/drawing/2014/main" id="{24D2DDDF-CD15-4CF3-BA03-B4B2129F97A3}"/>
                </a:ext>
              </a:extLst>
            </xdr:cNvPr>
            <xdr:cNvSpPr txBox="1"/>
          </xdr:nvSpPr>
          <xdr:spPr>
            <a:xfrm>
              <a:off x="4941794" y="15480927"/>
              <a:ext cx="18705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𝑞^𝑠𝑖𝑚 (3,3)~𝐺𝑎𝑚𝑚𝑎 (26.7, 35.0)</a:t>
              </a:r>
              <a:endParaRPr lang="en-PH" sz="1100">
                <a:solidFill>
                  <a:schemeClr val="tx1"/>
                </a:solidFill>
                <a:effectLst/>
                <a:latin typeface="+mn-lt"/>
                <a:ea typeface="+mn-ea"/>
                <a:cs typeface="+mn-cs"/>
              </a:endParaRPr>
            </a:p>
          </xdr:txBody>
        </xdr:sp>
      </mc:Fallback>
    </mc:AlternateContent>
    <xdr:clientData/>
  </xdr:oneCellAnchor>
  <xdr:oneCellAnchor>
    <xdr:from>
      <xdr:col>6</xdr:col>
      <xdr:colOff>0</xdr:colOff>
      <xdr:row>75</xdr:row>
      <xdr:rowOff>72839</xdr:rowOff>
    </xdr:from>
    <xdr:ext cx="1839542"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95D75F61-AFEC-40B2-A55D-752E2B14578F}"/>
                </a:ext>
              </a:extLst>
            </xdr:cNvPr>
            <xdr:cNvSpPr txBox="1"/>
          </xdr:nvSpPr>
          <xdr:spPr>
            <a:xfrm>
              <a:off x="4941794" y="15705045"/>
              <a:ext cx="18395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𝑠𝑖𝑚</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2,3</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𝐺𝑎𝑚𝑚𝑎</m:t>
                    </m:r>
                    <m:r>
                      <a:rPr lang="en-PH" sz="1100" i="1">
                        <a:solidFill>
                          <a:schemeClr val="tx1"/>
                        </a:solidFill>
                        <a:effectLst/>
                        <a:latin typeface="Cambria Math" panose="02040503050406030204" pitchFamily="18" charset="0"/>
                        <a:ea typeface="+mn-ea"/>
                        <a:cs typeface="+mn-cs"/>
                      </a:rPr>
                      <m:t>(19.5, 25.5)</m:t>
                    </m:r>
                  </m:oMath>
                </m:oMathPara>
              </a14:m>
              <a:endParaRPr lang="en-PH" sz="1100">
                <a:solidFill>
                  <a:schemeClr val="tx1"/>
                </a:solidFill>
                <a:effectLst/>
                <a:latin typeface="+mn-lt"/>
                <a:ea typeface="+mn-ea"/>
                <a:cs typeface="+mn-cs"/>
              </a:endParaRPr>
            </a:p>
          </xdr:txBody>
        </xdr:sp>
      </mc:Choice>
      <mc:Fallback xmlns="">
        <xdr:sp macro="" textlink="">
          <xdr:nvSpPr>
            <xdr:cNvPr id="17" name="TextBox 16">
              <a:extLst>
                <a:ext uri="{FF2B5EF4-FFF2-40B4-BE49-F238E27FC236}">
                  <a16:creationId xmlns:a16="http://schemas.microsoft.com/office/drawing/2014/main" id="{95D75F61-AFEC-40B2-A55D-752E2B14578F}"/>
                </a:ext>
              </a:extLst>
            </xdr:cNvPr>
            <xdr:cNvSpPr txBox="1"/>
          </xdr:nvSpPr>
          <xdr:spPr>
            <a:xfrm>
              <a:off x="4941794" y="15705045"/>
              <a:ext cx="18395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𝑞^𝑠𝑖𝑚 (2,3)~𝐺𝑎𝑚𝑚𝑎(19.5, 25.5)</a:t>
              </a:r>
              <a:endParaRPr lang="en-PH" sz="1100">
                <a:solidFill>
                  <a:schemeClr val="tx1"/>
                </a:solidFill>
                <a:effectLst/>
                <a:latin typeface="+mn-lt"/>
                <a:ea typeface="+mn-ea"/>
                <a:cs typeface="+mn-cs"/>
              </a:endParaRPr>
            </a:p>
          </xdr:txBody>
        </xdr:sp>
      </mc:Fallback>
    </mc:AlternateContent>
    <xdr:clientData/>
  </xdr:oneCellAnchor>
  <xdr:twoCellAnchor>
    <xdr:from>
      <xdr:col>7</xdr:col>
      <xdr:colOff>28015</xdr:colOff>
      <xdr:row>161</xdr:row>
      <xdr:rowOff>173692</xdr:rowOff>
    </xdr:from>
    <xdr:to>
      <xdr:col>9</xdr:col>
      <xdr:colOff>521073</xdr:colOff>
      <xdr:row>167</xdr:row>
      <xdr:rowOff>84045</xdr:rowOff>
    </xdr:to>
    <xdr:sp macro="" textlink="">
      <xdr:nvSpPr>
        <xdr:cNvPr id="21" name="Text Box 768">
          <a:extLst>
            <a:ext uri="{FF2B5EF4-FFF2-40B4-BE49-F238E27FC236}">
              <a16:creationId xmlns:a16="http://schemas.microsoft.com/office/drawing/2014/main" id="{722F881D-C21C-D542-6313-3E75D68BC356}"/>
            </a:ext>
          </a:extLst>
        </xdr:cNvPr>
        <xdr:cNvSpPr txBox="1"/>
      </xdr:nvSpPr>
      <xdr:spPr>
        <a:xfrm>
          <a:off x="5793442" y="35287325"/>
          <a:ext cx="2140323" cy="1120588"/>
        </a:xfrm>
        <a:prstGeom prst="rect">
          <a:avLst/>
        </a:prstGeom>
        <a:solidFill>
          <a:schemeClr val="bg1"/>
        </a:solid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pPr>
          <a:r>
            <a:rPr lang="en-PH" sz="1200" b="1" kern="100">
              <a:solidFill>
                <a:srgbClr val="000000"/>
              </a:solidFill>
              <a:effectLst/>
              <a:latin typeface="Calibri" panose="020F0502020204030204" pitchFamily="34" charset="0"/>
              <a:ea typeface="Garamond" panose="02020404030301010803" pitchFamily="18" charset="0"/>
              <a:cs typeface="Calibri" panose="020F0502020204030204" pitchFamily="34" charset="0"/>
            </a:rPr>
            <a:t>Note:</a:t>
          </a:r>
          <a:r>
            <a:rPr lang="en-PH" sz="1200" kern="100">
              <a:solidFill>
                <a:srgbClr val="000000"/>
              </a:solidFill>
              <a:effectLst/>
              <a:latin typeface="Calibri" panose="020F0502020204030204" pitchFamily="34" charset="0"/>
              <a:ea typeface="Garamond" panose="02020404030301010803" pitchFamily="18" charset="0"/>
              <a:cs typeface="Calibri" panose="020F0502020204030204" pitchFamily="34" charset="0"/>
            </a:rPr>
            <a:t> </a:t>
          </a:r>
        </a:p>
        <a:p>
          <a:pPr algn="just">
            <a:lnSpc>
              <a:spcPct val="107000"/>
            </a:lnSpc>
            <a:spcAft>
              <a:spcPts val="800"/>
            </a:spcAft>
          </a:pPr>
          <a:r>
            <a:rPr lang="en-PH" sz="1200" kern="100">
              <a:solidFill>
                <a:srgbClr val="000000"/>
              </a:solidFill>
              <a:effectLst/>
              <a:latin typeface="Calibri" panose="020F0502020204030204" pitchFamily="34" charset="0"/>
              <a:ea typeface="Garamond" panose="02020404030301010803" pitchFamily="18" charset="0"/>
              <a:cs typeface="Calibri" panose="020F0502020204030204" pitchFamily="34" charset="0"/>
            </a:rPr>
            <a:t>Option 2 is preferred because it maintains the skewed-right shape of the original distribution</a:t>
          </a:r>
        </a:p>
      </xdr:txBody>
    </xdr:sp>
    <xdr:clientData/>
  </xdr:twoCellAnchor>
  <xdr:oneCellAnchor>
    <xdr:from>
      <xdr:col>9</xdr:col>
      <xdr:colOff>82714</xdr:colOff>
      <xdr:row>62</xdr:row>
      <xdr:rowOff>179916</xdr:rowOff>
    </xdr:from>
    <xdr:ext cx="763953" cy="214611"/>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F348FAB1-EBC9-DC48-B204-9E01AFB7E849}"/>
                </a:ext>
              </a:extLst>
            </xdr:cNvPr>
            <xdr:cNvSpPr txBox="1"/>
          </xdr:nvSpPr>
          <xdr:spPr>
            <a:xfrm flipH="1">
              <a:off x="7512214" y="13218583"/>
              <a:ext cx="763953" cy="214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r>
                          <a:rPr lang="en-US" sz="1100" b="0" i="1">
                            <a:solidFill>
                              <a:schemeClr val="tx1"/>
                            </a:solidFill>
                            <a:effectLst/>
                            <a:latin typeface="Cambria Math" panose="02040503050406030204" pitchFamily="18" charset="0"/>
                            <a:ea typeface="+mn-ea"/>
                            <a:cs typeface="+mn-cs"/>
                          </a:rPr>
                          <m:t>𝑝𝑟𝑜𝑗𝑒𝑐𝑡𝑒𝑑</m:t>
                        </m:r>
                      </m:sup>
                    </m:sSubSup>
                  </m:oMath>
                </m:oMathPara>
              </a14:m>
              <a:endParaRPr lang="en-PH"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F348FAB1-EBC9-DC48-B204-9E01AFB7E849}"/>
                </a:ext>
              </a:extLst>
            </xdr:cNvPr>
            <xdr:cNvSpPr txBox="1"/>
          </xdr:nvSpPr>
          <xdr:spPr>
            <a:xfrm flipH="1">
              <a:off x="7512214" y="13218583"/>
              <a:ext cx="763953" cy="214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PH" sz="1100" i="0">
                  <a:solidFill>
                    <a:schemeClr val="tx1"/>
                  </a:solidFill>
                  <a:effectLst/>
                  <a:latin typeface="Cambria Math" panose="02040503050406030204" pitchFamily="18" charset="0"/>
                  <a:ea typeface="+mn-ea"/>
                  <a:cs typeface="+mn-cs"/>
                </a:rPr>
                <a:t>𝑚</a:t>
              </a:r>
              <a:r>
                <a:rPr lang="en-US" sz="1100" b="0" i="0">
                  <a:solidFill>
                    <a:schemeClr val="tx1"/>
                  </a:solidFill>
                  <a:effectLst/>
                  <a:latin typeface="Cambria Math" panose="02040503050406030204" pitchFamily="18" charset="0"/>
                  <a:ea typeface="+mn-ea"/>
                  <a:cs typeface="+mn-cs"/>
                </a:rPr>
                <a:t>_(</a:t>
              </a:r>
              <a:r>
                <a:rPr lang="en-PH" sz="1100" i="0">
                  <a:solidFill>
                    <a:schemeClr val="tx1"/>
                  </a:solidFill>
                  <a:effectLst/>
                  <a:latin typeface="Cambria Math" panose="02040503050406030204" pitchFamily="18" charset="0"/>
                  <a:ea typeface="+mn-ea"/>
                  <a:cs typeface="+mn-cs"/>
                </a:rPr>
                <a:t>𝑤,𝑑</a:t>
              </a:r>
              <a:r>
                <a:rPr lang="en-US" sz="1100" b="0" i="0">
                  <a:solidFill>
                    <a:schemeClr val="tx1"/>
                  </a:solidFill>
                  <a:effectLst/>
                  <a:latin typeface="Cambria Math" panose="02040503050406030204" pitchFamily="18" charset="0"/>
                  <a:ea typeface="+mn-ea"/>
                  <a:cs typeface="+mn-cs"/>
                </a:rPr>
                <a:t>)</a:t>
              </a:r>
              <a:r>
                <a:rPr lang="en-PH"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𝑝𝑟𝑜𝑗𝑒𝑐𝑡𝑒𝑑</a:t>
              </a:r>
              <a:endParaRPr lang="en-PH" sz="1100">
                <a:solidFill>
                  <a:schemeClr val="tx1"/>
                </a:solidFill>
                <a:effectLst/>
                <a:latin typeface="+mn-lt"/>
                <a:ea typeface="+mn-ea"/>
                <a:cs typeface="+mn-cs"/>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39</xdr:row>
      <xdr:rowOff>0</xdr:rowOff>
    </xdr:from>
    <xdr:ext cx="1676356" cy="37786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54E3C07-3EDB-4AAC-8E94-316FC79F68B5}"/>
                </a:ext>
              </a:extLst>
            </xdr:cNvPr>
            <xdr:cNvSpPr txBox="1"/>
          </xdr:nvSpPr>
          <xdr:spPr>
            <a:xfrm>
              <a:off x="823633" y="8124265"/>
              <a:ext cx="1676356" cy="37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+1</m:t>
                                </m:r>
                              </m:sub>
                            </m:sSub>
                          </m:e>
                        </m:d>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𝐿𝐷𝐹</m:t>
                            </m:r>
                          </m:e>
                          <m:sub>
                            <m:argPr>
                              <m:argSz m:val="-1"/>
                            </m:argPr>
                            <m:r>
                              <a:rPr lang="en-PH" sz="1100" i="1">
                                <a:solidFill>
                                  <a:schemeClr val="tx1"/>
                                </a:solidFill>
                                <a:effectLst/>
                                <a:latin typeface="Cambria Math" panose="02040503050406030204" pitchFamily="18" charset="0"/>
                                <a:ea typeface="+mn-ea"/>
                                <a:cs typeface="+mn-cs"/>
                              </a:rPr>
                              <m:t>𝑑</m:t>
                            </m:r>
                          </m:sub>
                        </m:sSub>
                      </m:den>
                    </m:f>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054E3C07-3EDB-4AAC-8E94-316FC79F68B5}"/>
                </a:ext>
              </a:extLst>
            </xdr:cNvPr>
            <xdr:cNvSpPr txBox="1"/>
          </xdr:nvSpPr>
          <xdr:spPr>
            <a:xfrm>
              <a:off x="823633" y="8124265"/>
              <a:ext cx="1676356" cy="37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𝐸[〖𝐿𝑜𝑠𝑠〗_(𝐴𝑌,𝑑) ]=𝐸[〖𝐿𝑜𝑠𝑠〗_(𝐴𝑌,𝑑+1) ]/〖𝐿𝐷𝐹〗_𝑑 </a:t>
              </a:r>
              <a:endParaRPr lang="en-US" sz="1100">
                <a:solidFill>
                  <a:schemeClr val="tx1"/>
                </a:solidFill>
              </a:endParaRPr>
            </a:p>
          </xdr:txBody>
        </xdr:sp>
      </mc:Fallback>
    </mc:AlternateContent>
    <xdr:clientData/>
  </xdr:oneCellAnchor>
  <xdr:twoCellAnchor>
    <xdr:from>
      <xdr:col>1</xdr:col>
      <xdr:colOff>0</xdr:colOff>
      <xdr:row>50</xdr:row>
      <xdr:rowOff>0</xdr:rowOff>
    </xdr:from>
    <xdr:to>
      <xdr:col>2</xdr:col>
      <xdr:colOff>705970</xdr:colOff>
      <xdr:row>52</xdr:row>
      <xdr:rowOff>88518</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8761C717-B872-46C5-9090-265D4CB16E22}"/>
                </a:ext>
              </a:extLst>
            </xdr:cNvPr>
            <xdr:cNvSpPr txBox="1"/>
          </xdr:nvSpPr>
          <xdr:spPr>
            <a:xfrm>
              <a:off x="823633" y="10544735"/>
              <a:ext cx="1529602" cy="4919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num>
                      <m:den>
                        <m:rad>
                          <m:radPr>
                            <m:degHide m:val="on"/>
                            <m:ctrlPr>
                              <a:rPr lang="en-PH" sz="1100" i="1">
                                <a:solidFill>
                                  <a:schemeClr val="tx1"/>
                                </a:solidFill>
                                <a:effectLst/>
                                <a:latin typeface="Cambria Math" panose="02040503050406030204" pitchFamily="18" charset="0"/>
                                <a:ea typeface="+mn-ea"/>
                                <a:cs typeface="+mn-cs"/>
                              </a:rPr>
                            </m:ctrlPr>
                          </m:radPr>
                          <m:deg/>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𝑧</m:t>
                                </m:r>
                              </m:sup>
                            </m:sSubSup>
                          </m:e>
                        </m:rad>
                      </m:den>
                    </m:f>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8761C717-B872-46C5-9090-265D4CB16E22}"/>
                </a:ext>
              </a:extLst>
            </xdr:cNvPr>
            <xdr:cNvSpPr txBox="1"/>
          </xdr:nvSpPr>
          <xdr:spPr>
            <a:xfrm>
              <a:off x="823633" y="10544735"/>
              <a:ext cx="1529602" cy="4919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𝑟_(𝑤,𝑑)=(𝑞(𝑤,𝑑)−𝑚_(𝑤,𝑑))/√(𝑚_(𝑤,𝑑)^𝑧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232833</xdr:colOff>
      <xdr:row>50</xdr:row>
      <xdr:rowOff>74083</xdr:rowOff>
    </xdr:from>
    <xdr:ext cx="4705840" cy="39248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17C908-BA36-481F-9AC5-81D30236839D}"/>
                </a:ext>
              </a:extLst>
            </xdr:cNvPr>
            <xdr:cNvSpPr txBox="1"/>
          </xdr:nvSpPr>
          <xdr:spPr>
            <a:xfrm>
              <a:off x="2709333" y="10456333"/>
              <a:ext cx="4705840" cy="392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𝑢𝑛𝑠𝑐𝑎𝑙𝑒𝑑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𝑃𝑒𝑎𝑟𝑠𝑜𝑛</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𝑟𝑒𝑠𝑖𝑑𝑢𝑎𝑙</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𝐴𝑐𝑡𝑢𝑎𝑙</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num>
                      <m:den>
                        <m:rad>
                          <m:radPr>
                            <m:degHide m:val="on"/>
                            <m:ctrlPr>
                              <a:rPr lang="en-PH" sz="1100" i="1">
                                <a:solidFill>
                                  <a:schemeClr val="tx1"/>
                                </a:solidFill>
                                <a:effectLst/>
                                <a:latin typeface="Cambria Math" panose="02040503050406030204" pitchFamily="18" charset="0"/>
                                <a:ea typeface="+mn-ea"/>
                                <a:cs typeface="+mn-cs"/>
                              </a:rPr>
                            </m:ctrlPr>
                          </m:radPr>
                          <m:deg/>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𝑧</m:t>
                                </m:r>
                              </m:sup>
                            </m:sSubSup>
                          </m:e>
                        </m:rad>
                      </m:den>
                    </m:f>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1F17C908-BA36-481F-9AC5-81D30236839D}"/>
                </a:ext>
              </a:extLst>
            </xdr:cNvPr>
            <xdr:cNvSpPr txBox="1"/>
          </xdr:nvSpPr>
          <xdr:spPr>
            <a:xfrm>
              <a:off x="2709333" y="10456333"/>
              <a:ext cx="4705840" cy="392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〖𝑢𝑛𝑠𝑐𝑎𝑙𝑒𝑑 𝑃𝑒𝑎𝑟𝑠𝑜𝑛 𝑟𝑒𝑠𝑖𝑑𝑢𝑎𝑙〗_(𝐴𝑌,𝑑)=(〖𝐴𝑐𝑡𝑢𝑎𝑙 𝐼𝑛𝑐𝐿𝑜𝑠𝑠〗_(𝐴𝑌,𝑑)−〖𝐸𝑥𝑝𝑒𝑐𝑡𝑒𝑑 𝐼𝑛𝑐𝐿𝑜𝑠𝑠〗_(𝐴𝑌,𝑑))/√(〖𝐸𝑥𝑝𝑒𝑐𝑡𝑒𝑑 𝐼𝑛𝑐𝐿𝑜𝑠𝑠〗_(𝐴𝑌,𝑑)^𝑧 )</a:t>
              </a:r>
              <a:endParaRPr lang="en-US" sz="1100">
                <a:solidFill>
                  <a:schemeClr val="tx1"/>
                </a:solidFill>
              </a:endParaRPr>
            </a:p>
          </xdr:txBody>
        </xdr:sp>
      </mc:Fallback>
    </mc:AlternateContent>
    <xdr:clientData/>
  </xdr:oneCellAnchor>
  <xdr:twoCellAnchor>
    <xdr:from>
      <xdr:col>7</xdr:col>
      <xdr:colOff>179293</xdr:colOff>
      <xdr:row>57</xdr:row>
      <xdr:rowOff>73885</xdr:rowOff>
    </xdr:from>
    <xdr:to>
      <xdr:col>7</xdr:col>
      <xdr:colOff>329900</xdr:colOff>
      <xdr:row>57</xdr:row>
      <xdr:rowOff>308162</xdr:rowOff>
    </xdr:to>
    <xdr:cxnSp macro="">
      <xdr:nvCxnSpPr>
        <xdr:cNvPr id="7" name="Straight Arrow Connector 6">
          <a:extLst>
            <a:ext uri="{FF2B5EF4-FFF2-40B4-BE49-F238E27FC236}">
              <a16:creationId xmlns:a16="http://schemas.microsoft.com/office/drawing/2014/main" id="{EDAB87B0-2C74-7A8C-A5B0-3A176CF6F1B2}"/>
            </a:ext>
          </a:extLst>
        </xdr:cNvPr>
        <xdr:cNvCxnSpPr/>
      </xdr:nvCxnSpPr>
      <xdr:spPr>
        <a:xfrm flipV="1">
          <a:off x="5944720" y="12433973"/>
          <a:ext cx="150607" cy="234277"/>
        </a:xfrm>
        <a:prstGeom prst="straightConnector1">
          <a:avLst/>
        </a:prstGeom>
        <a:ln w="6350" cmpd="sng">
          <a:tailEnd type="stealth" w="med" len="sm"/>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655543</xdr:colOff>
      <xdr:row>58</xdr:row>
      <xdr:rowOff>103393</xdr:rowOff>
    </xdr:from>
    <xdr:to>
      <xdr:col>6</xdr:col>
      <xdr:colOff>131631</xdr:colOff>
      <xdr:row>59</xdr:row>
      <xdr:rowOff>3922</xdr:rowOff>
    </xdr:to>
    <xdr:cxnSp macro="">
      <xdr:nvCxnSpPr>
        <xdr:cNvPr id="8" name="Straight Arrow Connector 7">
          <a:extLst>
            <a:ext uri="{FF2B5EF4-FFF2-40B4-BE49-F238E27FC236}">
              <a16:creationId xmlns:a16="http://schemas.microsoft.com/office/drawing/2014/main" id="{91A57B5C-583D-81C4-9733-07D19D532E42}"/>
            </a:ext>
          </a:extLst>
        </xdr:cNvPr>
        <xdr:cNvCxnSpPr/>
      </xdr:nvCxnSpPr>
      <xdr:spPr>
        <a:xfrm flipH="1" flipV="1">
          <a:off x="4773705" y="12861291"/>
          <a:ext cx="299720" cy="102235"/>
        </a:xfrm>
        <a:prstGeom prst="straightConnector1">
          <a:avLst/>
        </a:prstGeom>
        <a:ln w="6350" cmpd="sng">
          <a:tailEnd type="stealth" w="med" len="sm"/>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55842</xdr:colOff>
      <xdr:row>58</xdr:row>
      <xdr:rowOff>1370</xdr:rowOff>
    </xdr:from>
    <xdr:to>
      <xdr:col>7</xdr:col>
      <xdr:colOff>444500</xdr:colOff>
      <xdr:row>60</xdr:row>
      <xdr:rowOff>184897</xdr:rowOff>
    </xdr:to>
    <xdr:sp macro="" textlink="">
      <xdr:nvSpPr>
        <xdr:cNvPr id="9" name="Text Box 1177126694">
          <a:extLst>
            <a:ext uri="{FF2B5EF4-FFF2-40B4-BE49-F238E27FC236}">
              <a16:creationId xmlns:a16="http://schemas.microsoft.com/office/drawing/2014/main" id="{EFD1214F-A6CB-5DCA-B0D3-EF6A2DD00BED}"/>
            </a:ext>
          </a:extLst>
        </xdr:cNvPr>
        <xdr:cNvSpPr txBox="1"/>
      </xdr:nvSpPr>
      <xdr:spPr>
        <a:xfrm>
          <a:off x="5008842" y="11992287"/>
          <a:ext cx="1214158" cy="58569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07000"/>
            </a:lnSpc>
            <a:spcAft>
              <a:spcPts val="800"/>
            </a:spcAft>
          </a:pPr>
          <a:r>
            <a:rPr lang="en-PH" sz="1200" kern="100">
              <a:solidFill>
                <a:srgbClr val="000000"/>
              </a:solidFill>
              <a:effectLst/>
              <a:latin typeface="Calibri" panose="020F0502020204030204" pitchFamily="34" charset="0"/>
              <a:ea typeface="Garamond" panose="02020404030301010803" pitchFamily="18" charset="0"/>
              <a:cs typeface="Calibri" panose="020F0502020204030204" pitchFamily="34" charset="0"/>
            </a:rPr>
            <a:t>Corner residuals should be zero</a:t>
          </a:r>
        </a:p>
      </xdr:txBody>
    </xdr:sp>
    <xdr:clientData/>
  </xdr:twoCellAnchor>
  <xdr:twoCellAnchor>
    <xdr:from>
      <xdr:col>1</xdr:col>
      <xdr:colOff>0</xdr:colOff>
      <xdr:row>64</xdr:row>
      <xdr:rowOff>0</xdr:rowOff>
    </xdr:from>
    <xdr:to>
      <xdr:col>1</xdr:col>
      <xdr:colOff>728823</xdr:colOff>
      <xdr:row>66</xdr:row>
      <xdr:rowOff>49084</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AB4FD86C-72C8-4365-8AE4-0B9B5D40AEE1}"/>
                </a:ext>
              </a:extLst>
            </xdr:cNvPr>
            <xdr:cNvSpPr txBox="1"/>
          </xdr:nvSpPr>
          <xdr:spPr>
            <a:xfrm>
              <a:off x="823633" y="13968133"/>
              <a:ext cx="728823" cy="45249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𝜙</m:t>
                    </m:r>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US" sz="1100" b="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2</m:t>
                                </m:r>
                              </m:sup>
                            </m:sSubSup>
                          </m:e>
                        </m:nary>
                      </m:num>
                      <m:den>
                        <m:r>
                          <a:rPr lang="en-PH" sz="1100" i="1">
                            <a:solidFill>
                              <a:schemeClr val="tx1"/>
                            </a:solidFill>
                            <a:effectLst/>
                            <a:latin typeface="Cambria Math" panose="02040503050406030204" pitchFamily="18" charset="0"/>
                            <a:ea typeface="+mn-ea"/>
                            <a:cs typeface="+mn-cs"/>
                          </a:rPr>
                          <m:t>𝑁</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𝑝</m:t>
                        </m:r>
                      </m:den>
                    </m:f>
                  </m:oMath>
                </m:oMathPara>
              </a14:m>
              <a:endParaRPr lang="en-PH"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AB4FD86C-72C8-4365-8AE4-0B9B5D40AEE1}"/>
                </a:ext>
              </a:extLst>
            </xdr:cNvPr>
            <xdr:cNvSpPr txBox="1"/>
          </xdr:nvSpPr>
          <xdr:spPr>
            <a:xfrm>
              <a:off x="823633" y="13968133"/>
              <a:ext cx="728823" cy="45249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𝜙=(∑1▒𝑟_(</a:t>
              </a:r>
              <a:r>
                <a:rPr lang="en-US" sz="1100" b="0" i="0">
                  <a:solidFill>
                    <a:schemeClr val="tx1"/>
                  </a:solidFill>
                  <a:effectLst/>
                  <a:latin typeface="Cambria Math" panose="02040503050406030204" pitchFamily="18" charset="0"/>
                  <a:ea typeface="+mn-ea"/>
                  <a:cs typeface="+mn-cs"/>
                </a:rPr>
                <a:t>𝑤</a:t>
              </a:r>
              <a:r>
                <a:rPr lang="en-PH" sz="1100" i="0">
                  <a:solidFill>
                    <a:schemeClr val="tx1"/>
                  </a:solidFill>
                  <a:effectLst/>
                  <a:latin typeface="Cambria Math" panose="02040503050406030204" pitchFamily="18" charset="0"/>
                  <a:ea typeface="+mn-ea"/>
                  <a:cs typeface="+mn-cs"/>
                </a:rPr>
                <a:t>,𝑑)^2 )/(𝑁−𝑝)</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67</xdr:row>
      <xdr:rowOff>0</xdr:rowOff>
    </xdr:from>
    <xdr:ext cx="1597104" cy="172227"/>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4248973D-D620-4815-882B-0251CEA50EB4}"/>
                </a:ext>
              </a:extLst>
            </xdr:cNvPr>
            <xdr:cNvSpPr txBox="1"/>
          </xdr:nvSpPr>
          <xdr:spPr>
            <a:xfrm>
              <a:off x="823633" y="14573251"/>
              <a:ext cx="159710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𝑁</m:t>
                    </m:r>
                    <m:r>
                      <a:rPr lang="en-PH" sz="1100" i="1">
                        <a:solidFill>
                          <a:schemeClr val="tx1"/>
                        </a:solidFill>
                        <a:effectLst/>
                        <a:latin typeface="Cambria Math" panose="02040503050406030204" pitchFamily="18" charset="0"/>
                        <a:ea typeface="+mn-ea"/>
                        <a:cs typeface="+mn-cs"/>
                      </a:rPr>
                      <m:t>→</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incremental</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values</m:t>
                    </m:r>
                  </m:oMath>
                </m:oMathPara>
              </a14:m>
              <a:endParaRPr lang="en-PH"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4248973D-D620-4815-882B-0251CEA50EB4}"/>
                </a:ext>
              </a:extLst>
            </xdr:cNvPr>
            <xdr:cNvSpPr txBox="1"/>
          </xdr:nvSpPr>
          <xdr:spPr>
            <a:xfrm>
              <a:off x="823633" y="14573251"/>
              <a:ext cx="159710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𝑁→# incremental values</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68</xdr:row>
      <xdr:rowOff>0</xdr:rowOff>
    </xdr:from>
    <xdr:ext cx="2996012" cy="17222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D243C46F-1A7E-47A8-B663-FD175827D9AE}"/>
                </a:ext>
              </a:extLst>
            </xdr:cNvPr>
            <xdr:cNvSpPr txBox="1"/>
          </xdr:nvSpPr>
          <xdr:spPr>
            <a:xfrm>
              <a:off x="823633" y="14774956"/>
              <a:ext cx="299601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𝑝</m:t>
                    </m:r>
                    <m:r>
                      <a:rPr lang="en-PH" sz="1100" i="1">
                        <a:solidFill>
                          <a:schemeClr val="tx1"/>
                        </a:solidFill>
                        <a:effectLst/>
                        <a:latin typeface="Cambria Math" panose="02040503050406030204" pitchFamily="18" charset="0"/>
                        <a:ea typeface="+mn-ea"/>
                        <a:cs typeface="+mn-cs"/>
                      </a:rPr>
                      <m:t>→</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parameters</m:t>
                    </m:r>
                    <m:r>
                      <a:rPr lang="en-PH" sz="1100">
                        <a:solidFill>
                          <a:schemeClr val="tx1"/>
                        </a:solidFill>
                        <a:effectLst/>
                        <a:latin typeface="Cambria Math" panose="02040503050406030204" pitchFamily="18" charset="0"/>
                        <a:ea typeface="+mn-ea"/>
                        <a:cs typeface="+mn-cs"/>
                      </a:rPr>
                      <m:t> </m:t>
                    </m:r>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αs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βs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hetero</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adj</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parameters</m:t>
                        </m:r>
                      </m:e>
                    </m:d>
                  </m:oMath>
                </m:oMathPara>
              </a14:m>
              <a:endParaRPr lang="en-PH" sz="1100">
                <a:solidFill>
                  <a:schemeClr val="tx1"/>
                </a:solidFill>
                <a:effectLst/>
                <a:latin typeface="+mn-lt"/>
                <a:ea typeface="+mn-ea"/>
                <a:cs typeface="+mn-cs"/>
              </a:endParaRPr>
            </a:p>
          </xdr:txBody>
        </xdr:sp>
      </mc:Choice>
      <mc:Fallback xmlns="">
        <xdr:sp macro="" textlink="">
          <xdr:nvSpPr>
            <xdr:cNvPr id="13" name="TextBox 12">
              <a:extLst>
                <a:ext uri="{FF2B5EF4-FFF2-40B4-BE49-F238E27FC236}">
                  <a16:creationId xmlns:a16="http://schemas.microsoft.com/office/drawing/2014/main" id="{D243C46F-1A7E-47A8-B663-FD175827D9AE}"/>
                </a:ext>
              </a:extLst>
            </xdr:cNvPr>
            <xdr:cNvSpPr txBox="1"/>
          </xdr:nvSpPr>
          <xdr:spPr>
            <a:xfrm>
              <a:off x="823633" y="14774956"/>
              <a:ext cx="299601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𝑝→# parameters (αs, βs, hetero adj parameters)</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71</xdr:row>
      <xdr:rowOff>0</xdr:rowOff>
    </xdr:from>
    <xdr:ext cx="1173205" cy="172227"/>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23E6760-66CB-463C-96A6-2AE363376C53}"/>
                </a:ext>
              </a:extLst>
            </xdr:cNvPr>
            <xdr:cNvSpPr txBox="1"/>
          </xdr:nvSpPr>
          <xdr:spPr>
            <a:xfrm>
              <a:off x="823633" y="15380074"/>
              <a:ext cx="11732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𝑝</m:t>
                    </m:r>
                    <m:r>
                      <a:rPr lang="en-PH" sz="1100">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AYs</m:t>
                    </m:r>
                    <m:r>
                      <a:rPr lang="en-PH" sz="1100">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LDFs</m:t>
                    </m:r>
                  </m:oMath>
                </m:oMathPara>
              </a14:m>
              <a:endParaRPr lang="en-PH" sz="1100">
                <a:solidFill>
                  <a:schemeClr val="tx1"/>
                </a:solidFill>
                <a:effectLst/>
                <a:latin typeface="+mn-lt"/>
                <a:ea typeface="+mn-ea"/>
                <a:cs typeface="+mn-cs"/>
              </a:endParaRPr>
            </a:p>
          </xdr:txBody>
        </xdr:sp>
      </mc:Choice>
      <mc:Fallback xmlns="">
        <xdr:sp macro="" textlink="">
          <xdr:nvSpPr>
            <xdr:cNvPr id="14" name="TextBox 13">
              <a:extLst>
                <a:ext uri="{FF2B5EF4-FFF2-40B4-BE49-F238E27FC236}">
                  <a16:creationId xmlns:a16="http://schemas.microsoft.com/office/drawing/2014/main" id="{623E6760-66CB-463C-96A6-2AE363376C53}"/>
                </a:ext>
              </a:extLst>
            </xdr:cNvPr>
            <xdr:cNvSpPr txBox="1"/>
          </xdr:nvSpPr>
          <xdr:spPr>
            <a:xfrm>
              <a:off x="823633" y="15380074"/>
              <a:ext cx="11732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𝑝=#AYs+#LDFs</a:t>
              </a:r>
              <a:endParaRPr lang="en-PH" sz="1100">
                <a:solidFill>
                  <a:schemeClr val="tx1"/>
                </a:solidFill>
                <a:effectLst/>
                <a:latin typeface="+mn-lt"/>
                <a:ea typeface="+mn-ea"/>
                <a:cs typeface="+mn-cs"/>
              </a:endParaRPr>
            </a:p>
          </xdr:txBody>
        </xdr:sp>
      </mc:Fallback>
    </mc:AlternateContent>
    <xdr:clientData/>
  </xdr:oneCellAnchor>
  <xdr:oneCellAnchor>
    <xdr:from>
      <xdr:col>5</xdr:col>
      <xdr:colOff>276052</xdr:colOff>
      <xdr:row>66</xdr:row>
      <xdr:rowOff>179294</xdr:rowOff>
    </xdr:from>
    <xdr:ext cx="400494" cy="17222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A551193F-99D4-47F3-9460-DCD4D8604D2F}"/>
                </a:ext>
              </a:extLst>
            </xdr:cNvPr>
            <xdr:cNvSpPr txBox="1"/>
          </xdr:nvSpPr>
          <xdr:spPr>
            <a:xfrm>
              <a:off x="4397447" y="14532736"/>
              <a:ext cx="40049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𝑁</m:t>
                    </m:r>
                    <m:r>
                      <a:rPr lang="en-PH" sz="1100" b="0" i="1">
                        <a:solidFill>
                          <a:schemeClr val="tx1"/>
                        </a:solidFill>
                        <a:effectLst/>
                        <a:latin typeface="Cambria Math" panose="02040503050406030204" pitchFamily="18" charset="0"/>
                        <a:ea typeface="+mn-ea"/>
                        <a:cs typeface="+mn-cs"/>
                      </a:rPr>
                      <m:t>=6</m:t>
                    </m:r>
                  </m:oMath>
                </m:oMathPara>
              </a14:m>
              <a:endParaRPr lang="en-PH" sz="1100" b="0">
                <a:solidFill>
                  <a:schemeClr val="tx1"/>
                </a:solidFill>
                <a:effectLst/>
                <a:latin typeface="+mn-lt"/>
                <a:ea typeface="+mn-ea"/>
                <a:cs typeface="+mn-cs"/>
              </a:endParaRPr>
            </a:p>
          </xdr:txBody>
        </xdr:sp>
      </mc:Choice>
      <mc:Fallback xmlns="">
        <xdr:sp macro="" textlink="">
          <xdr:nvSpPr>
            <xdr:cNvPr id="15" name="TextBox 14">
              <a:extLst>
                <a:ext uri="{FF2B5EF4-FFF2-40B4-BE49-F238E27FC236}">
                  <a16:creationId xmlns:a16="http://schemas.microsoft.com/office/drawing/2014/main" id="{A551193F-99D4-47F3-9460-DCD4D8604D2F}"/>
                </a:ext>
              </a:extLst>
            </xdr:cNvPr>
            <xdr:cNvSpPr txBox="1"/>
          </xdr:nvSpPr>
          <xdr:spPr>
            <a:xfrm>
              <a:off x="4397447" y="14532736"/>
              <a:ext cx="40049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𝑁</a:t>
              </a:r>
              <a:r>
                <a:rPr lang="en-PH" sz="1100" b="0" i="0">
                  <a:solidFill>
                    <a:schemeClr val="tx1"/>
                  </a:solidFill>
                  <a:effectLst/>
                  <a:latin typeface="Cambria Math" panose="02040503050406030204" pitchFamily="18" charset="0"/>
                  <a:ea typeface="+mn-ea"/>
                  <a:cs typeface="+mn-cs"/>
                </a:rPr>
                <a:t>=6</a:t>
              </a:r>
              <a:endParaRPr lang="en-PH" sz="1100" b="0">
                <a:solidFill>
                  <a:schemeClr val="tx1"/>
                </a:solidFill>
                <a:effectLst/>
                <a:latin typeface="+mn-lt"/>
                <a:ea typeface="+mn-ea"/>
                <a:cs typeface="+mn-cs"/>
              </a:endParaRPr>
            </a:p>
          </xdr:txBody>
        </xdr:sp>
      </mc:Fallback>
    </mc:AlternateContent>
    <xdr:clientData/>
  </xdr:oneCellAnchor>
  <xdr:oneCellAnchor>
    <xdr:from>
      <xdr:col>5</xdr:col>
      <xdr:colOff>271096</xdr:colOff>
      <xdr:row>67</xdr:row>
      <xdr:rowOff>194163</xdr:rowOff>
    </xdr:from>
    <xdr:ext cx="2705549"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58CF9A71-230F-4664-9078-408843DA0806}"/>
                </a:ext>
              </a:extLst>
            </xdr:cNvPr>
            <xdr:cNvSpPr txBox="1"/>
          </xdr:nvSpPr>
          <xdr:spPr>
            <a:xfrm>
              <a:off x="4392491" y="14749096"/>
              <a:ext cx="27055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𝑝</m:t>
                    </m:r>
                    <m:r>
                      <a:rPr lang="en-PH" sz="1100" b="0" i="1">
                        <a:solidFill>
                          <a:schemeClr val="tx1"/>
                        </a:solidFill>
                        <a:effectLst/>
                        <a:latin typeface="Cambria Math" panose="02040503050406030204" pitchFamily="18" charset="0"/>
                        <a:ea typeface="+mn-ea"/>
                        <a:cs typeface="+mn-cs"/>
                      </a:rPr>
                      <m:t>=5 </m:t>
                    </m:r>
                    <m:r>
                      <m:rPr>
                        <m:nor/>
                      </m:rPr>
                      <a:rPr lang="en-PH" sz="1100">
                        <a:solidFill>
                          <a:schemeClr val="tx1"/>
                        </a:solidFill>
                        <a:effectLst/>
                        <a:latin typeface="+mn-lt"/>
                        <a:ea typeface="+mn-ea"/>
                        <a:cs typeface="+mn-cs"/>
                      </a:rPr>
                      <m:t>(3 </m:t>
                    </m:r>
                    <m:r>
                      <m:rPr>
                        <m:nor/>
                      </m:rPr>
                      <a:rPr lang="en-PH" sz="1100">
                        <a:solidFill>
                          <a:schemeClr val="tx1"/>
                        </a:solidFill>
                        <a:effectLst/>
                        <a:latin typeface="+mn-lt"/>
                        <a:ea typeface="+mn-ea"/>
                        <a:cs typeface="+mn-cs"/>
                      </a:rPr>
                      <m:t>AYs</m:t>
                    </m:r>
                    <m:r>
                      <m:rPr>
                        <m:nor/>
                      </m:rPr>
                      <a:rPr lang="en-PH" sz="1100">
                        <a:solidFill>
                          <a:schemeClr val="tx1"/>
                        </a:solidFill>
                        <a:effectLst/>
                        <a:latin typeface="+mn-lt"/>
                        <a:ea typeface="+mn-ea"/>
                        <a:cs typeface="+mn-cs"/>
                      </a:rPr>
                      <m:t>, 2 </m:t>
                    </m:r>
                    <m:r>
                      <m:rPr>
                        <m:nor/>
                      </m:rPr>
                      <a:rPr lang="en-PH" sz="1100">
                        <a:solidFill>
                          <a:schemeClr val="tx1"/>
                        </a:solidFill>
                        <a:effectLst/>
                        <a:latin typeface="+mn-lt"/>
                        <a:ea typeface="+mn-ea"/>
                        <a:cs typeface="+mn-cs"/>
                      </a:rPr>
                      <m:t>LDFs</m:t>
                    </m:r>
                    <m:r>
                      <m:rPr>
                        <m:nor/>
                      </m:rPr>
                      <a:rPr lang="en-PH" sz="1100">
                        <a:solidFill>
                          <a:schemeClr val="tx1"/>
                        </a:solidFill>
                        <a:effectLst/>
                        <a:latin typeface="+mn-lt"/>
                        <a:ea typeface="+mn-ea"/>
                        <a:cs typeface="+mn-cs"/>
                      </a:rPr>
                      <m:t>, 0 </m:t>
                    </m:r>
                    <m:r>
                      <m:rPr>
                        <m:nor/>
                      </m:rPr>
                      <a:rPr lang="en-PH" sz="1100">
                        <a:solidFill>
                          <a:schemeClr val="tx1"/>
                        </a:solidFill>
                        <a:effectLst/>
                        <a:latin typeface="+mn-lt"/>
                        <a:ea typeface="+mn-ea"/>
                        <a:cs typeface="+mn-cs"/>
                      </a:rPr>
                      <m:t>hetero</m:t>
                    </m:r>
                    <m:r>
                      <m:rPr>
                        <m:nor/>
                      </m:rPr>
                      <a:rPr lang="en-PH" sz="1100">
                        <a:solidFill>
                          <a:schemeClr val="tx1"/>
                        </a:solidFill>
                        <a:effectLst/>
                        <a:latin typeface="+mn-lt"/>
                        <a:ea typeface="+mn-ea"/>
                        <a:cs typeface="+mn-cs"/>
                      </a:rPr>
                      <m:t>−</m:t>
                    </m:r>
                    <m:r>
                      <m:rPr>
                        <m:nor/>
                      </m:rPr>
                      <a:rPr lang="en-PH" sz="1100">
                        <a:solidFill>
                          <a:schemeClr val="tx1"/>
                        </a:solidFill>
                        <a:effectLst/>
                        <a:latin typeface="+mn-lt"/>
                        <a:ea typeface="+mn-ea"/>
                        <a:cs typeface="+mn-cs"/>
                      </a:rPr>
                      <m:t>adj</m:t>
                    </m:r>
                    <m:r>
                      <m:rPr>
                        <m:nor/>
                      </m:rPr>
                      <a:rPr lang="en-PH" sz="1100">
                        <a:solidFill>
                          <a:schemeClr val="tx1"/>
                        </a:solidFill>
                        <a:effectLst/>
                        <a:latin typeface="+mn-lt"/>
                        <a:ea typeface="+mn-ea"/>
                        <a:cs typeface="+mn-cs"/>
                      </a:rPr>
                      <m:t> </m:t>
                    </m:r>
                    <m:r>
                      <m:rPr>
                        <m:nor/>
                      </m:rPr>
                      <a:rPr lang="en-PH" sz="1100">
                        <a:solidFill>
                          <a:schemeClr val="tx1"/>
                        </a:solidFill>
                        <a:effectLst/>
                        <a:latin typeface="+mn-lt"/>
                        <a:ea typeface="+mn-ea"/>
                        <a:cs typeface="+mn-cs"/>
                      </a:rPr>
                      <m:t>parameters</m:t>
                    </m:r>
                    <m:r>
                      <m:rPr>
                        <m:nor/>
                      </m:rPr>
                      <a:rPr lang="en-PH" sz="1100">
                        <a:solidFill>
                          <a:schemeClr val="tx1"/>
                        </a:solidFill>
                        <a:effectLst/>
                        <a:latin typeface="+mn-lt"/>
                        <a:ea typeface="+mn-ea"/>
                        <a:cs typeface="+mn-cs"/>
                      </a:rPr>
                      <m:t>)</m:t>
                    </m:r>
                  </m:oMath>
                </m:oMathPara>
              </a14:m>
              <a:endParaRPr lang="en-PH" sz="1100" b="0">
                <a:solidFill>
                  <a:schemeClr val="tx1"/>
                </a:solidFill>
                <a:effectLst/>
                <a:latin typeface="+mn-lt"/>
                <a:ea typeface="+mn-ea"/>
                <a:cs typeface="+mn-cs"/>
              </a:endParaRPr>
            </a:p>
          </xdr:txBody>
        </xdr:sp>
      </mc:Choice>
      <mc:Fallback xmlns="">
        <xdr:sp macro="" textlink="">
          <xdr:nvSpPr>
            <xdr:cNvPr id="17" name="TextBox 16">
              <a:extLst>
                <a:ext uri="{FF2B5EF4-FFF2-40B4-BE49-F238E27FC236}">
                  <a16:creationId xmlns:a16="http://schemas.microsoft.com/office/drawing/2014/main" id="{58CF9A71-230F-4664-9078-408843DA0806}"/>
                </a:ext>
              </a:extLst>
            </xdr:cNvPr>
            <xdr:cNvSpPr txBox="1"/>
          </xdr:nvSpPr>
          <xdr:spPr>
            <a:xfrm>
              <a:off x="4392491" y="14749096"/>
              <a:ext cx="27055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Cambria Math" panose="02040503050406030204" pitchFamily="18" charset="0"/>
                  <a:ea typeface="+mn-ea"/>
                  <a:cs typeface="+mn-cs"/>
                </a:rPr>
                <a:t>𝑝</a:t>
              </a:r>
              <a:r>
                <a:rPr lang="en-PH" sz="1100" b="0" i="0">
                  <a:solidFill>
                    <a:schemeClr val="tx1"/>
                  </a:solidFill>
                  <a:effectLst/>
                  <a:latin typeface="Cambria Math" panose="02040503050406030204" pitchFamily="18" charset="0"/>
                  <a:ea typeface="+mn-ea"/>
                  <a:cs typeface="+mn-cs"/>
                </a:rPr>
                <a:t>=5 "</a:t>
              </a:r>
              <a:r>
                <a:rPr lang="en-PH" sz="1100" i="0">
                  <a:solidFill>
                    <a:schemeClr val="tx1"/>
                  </a:solidFill>
                  <a:effectLst/>
                  <a:latin typeface="Cambria Math" panose="02040503050406030204" pitchFamily="18" charset="0"/>
                  <a:ea typeface="+mn-ea"/>
                  <a:cs typeface="+mn-cs"/>
                </a:rPr>
                <a:t>(3 AYs, 2 LDFs, 0 hetero-adj parameters)</a:t>
              </a:r>
              <a:r>
                <a:rPr lang="en-PH" sz="1100" i="0">
                  <a:solidFill>
                    <a:schemeClr val="tx1"/>
                  </a:solidFill>
                  <a:effectLst/>
                  <a:latin typeface="+mn-lt"/>
                  <a:ea typeface="+mn-ea"/>
                  <a:cs typeface="+mn-cs"/>
                </a:rPr>
                <a:t>"</a:t>
              </a:r>
              <a:endParaRPr lang="en-PH" sz="1100" b="0">
                <a:solidFill>
                  <a:schemeClr val="tx1"/>
                </a:solidFill>
                <a:effectLst/>
                <a:latin typeface="+mn-lt"/>
                <a:ea typeface="+mn-ea"/>
                <a:cs typeface="+mn-cs"/>
              </a:endParaRPr>
            </a:p>
          </xdr:txBody>
        </xdr:sp>
      </mc:Fallback>
    </mc:AlternateContent>
    <xdr:clientData/>
  </xdr:oneCellAnchor>
  <xdr:twoCellAnchor>
    <xdr:from>
      <xdr:col>4</xdr:col>
      <xdr:colOff>409990</xdr:colOff>
      <xdr:row>81</xdr:row>
      <xdr:rowOff>12423</xdr:rowOff>
    </xdr:from>
    <xdr:to>
      <xdr:col>4</xdr:col>
      <xdr:colOff>629065</xdr:colOff>
      <xdr:row>81</xdr:row>
      <xdr:rowOff>198161</xdr:rowOff>
    </xdr:to>
    <xdr:pic>
      <xdr:nvPicPr>
        <xdr:cNvPr id="18" name="Picture 17">
          <a:extLst>
            <a:ext uri="{FF2B5EF4-FFF2-40B4-BE49-F238E27FC236}">
              <a16:creationId xmlns:a16="http://schemas.microsoft.com/office/drawing/2014/main" id="{1C179656-7B03-834F-6B50-E2ABCB0630B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6468" y="17265097"/>
          <a:ext cx="219075"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83</xdr:row>
      <xdr:rowOff>0</xdr:rowOff>
    </xdr:from>
    <xdr:to>
      <xdr:col>2</xdr:col>
      <xdr:colOff>281609</xdr:colOff>
      <xdr:row>85</xdr:row>
      <xdr:rowOff>194905</xdr:rowOff>
    </xdr:to>
    <mc:AlternateContent xmlns:mc="http://schemas.openxmlformats.org/markup-compatibility/2006" xmlns:a14="http://schemas.microsoft.com/office/drawing/2010/main">
      <mc:Choice Requires="a14">
        <xdr:sp macro="" textlink="">
          <xdr:nvSpPr>
            <xdr:cNvPr id="19" name="TextBox 2">
              <a:extLst>
                <a:ext uri="{FF2B5EF4-FFF2-40B4-BE49-F238E27FC236}">
                  <a16:creationId xmlns:a16="http://schemas.microsoft.com/office/drawing/2014/main" id="{3AEC98F6-8CFB-40B6-8FEB-E9DBFB37BD7A}"/>
                </a:ext>
              </a:extLst>
            </xdr:cNvPr>
            <xdr:cNvSpPr txBox="1"/>
          </xdr:nvSpPr>
          <xdr:spPr>
            <a:xfrm>
              <a:off x="824120" y="17650239"/>
              <a:ext cx="1105728" cy="592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𝑓</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1</m:t>
                            </m:r>
                          </m:num>
                          <m:den>
                            <m:r>
                              <a:rPr lang="en-PH" sz="1100" i="1">
                                <a:solidFill>
                                  <a:schemeClr val="tx1"/>
                                </a:solidFill>
                                <a:effectLst/>
                                <a:latin typeface="Cambria Math" panose="02040503050406030204" pitchFamily="18" charset="0"/>
                                <a:ea typeface="+mn-ea"/>
                                <a:cs typeface="+mn-cs"/>
                              </a:rPr>
                              <m:t>1−</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𝐻</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den>
                        </m:f>
                      </m:e>
                    </m:rad>
                  </m:oMath>
                </m:oMathPara>
              </a14:m>
              <a:endParaRPr lang="en-PH" sz="1100">
                <a:solidFill>
                  <a:schemeClr val="tx1"/>
                </a:solidFill>
                <a:effectLst/>
                <a:latin typeface="+mn-lt"/>
                <a:ea typeface="+mn-ea"/>
                <a:cs typeface="+mn-cs"/>
              </a:endParaRPr>
            </a:p>
          </xdr:txBody>
        </xdr:sp>
      </mc:Choice>
      <mc:Fallback xmlns="">
        <xdr:sp macro="" textlink="">
          <xdr:nvSpPr>
            <xdr:cNvPr id="19" name="TextBox 2">
              <a:extLst>
                <a:ext uri="{FF2B5EF4-FFF2-40B4-BE49-F238E27FC236}">
                  <a16:creationId xmlns:a16="http://schemas.microsoft.com/office/drawing/2014/main" id="{3AEC98F6-8CFB-40B6-8FEB-E9DBFB37BD7A}"/>
                </a:ext>
              </a:extLst>
            </xdr:cNvPr>
            <xdr:cNvSpPr txBox="1"/>
          </xdr:nvSpPr>
          <xdr:spPr>
            <a:xfrm>
              <a:off x="824120" y="17650239"/>
              <a:ext cx="1105728" cy="592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𝑓_(𝑤,𝑑)^𝐻=√(1/(1−𝐻_(𝑤,𝑑)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87</xdr:row>
      <xdr:rowOff>0</xdr:rowOff>
    </xdr:from>
    <xdr:ext cx="2180725" cy="174471"/>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AC170C1C-FBC3-404A-B93A-4831A6E4D6A5}"/>
                </a:ext>
              </a:extLst>
            </xdr:cNvPr>
            <xdr:cNvSpPr txBox="1"/>
          </xdr:nvSpPr>
          <xdr:spPr>
            <a:xfrm>
              <a:off x="824120" y="18445370"/>
              <a:ext cx="2180725"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𝑓</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Hat</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Matrix</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adjustment</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factor</m:t>
                    </m:r>
                  </m:oMath>
                </m:oMathPara>
              </a14:m>
              <a:endParaRPr lang="en-US" sz="1100">
                <a:solidFill>
                  <a:schemeClr val="tx1"/>
                </a:solidFill>
              </a:endParaRPr>
            </a:p>
          </xdr:txBody>
        </xdr:sp>
      </mc:Choice>
      <mc:Fallback xmlns="">
        <xdr:sp macro="" textlink="">
          <xdr:nvSpPr>
            <xdr:cNvPr id="20" name="TextBox 19">
              <a:extLst>
                <a:ext uri="{FF2B5EF4-FFF2-40B4-BE49-F238E27FC236}">
                  <a16:creationId xmlns:a16="http://schemas.microsoft.com/office/drawing/2014/main" id="{AC170C1C-FBC3-404A-B93A-4831A6E4D6A5}"/>
                </a:ext>
              </a:extLst>
            </xdr:cNvPr>
            <xdr:cNvSpPr txBox="1"/>
          </xdr:nvSpPr>
          <xdr:spPr>
            <a:xfrm>
              <a:off x="824120" y="18445370"/>
              <a:ext cx="2180725"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𝑓_(𝑤,𝑑)^𝐻→Hat Matrix adjustment factor</a:t>
              </a:r>
              <a:endParaRPr lang="en-US" sz="1100">
                <a:solidFill>
                  <a:schemeClr val="tx1"/>
                </a:solidFill>
              </a:endParaRPr>
            </a:p>
          </xdr:txBody>
        </xdr:sp>
      </mc:Fallback>
    </mc:AlternateContent>
    <xdr:clientData/>
  </xdr:oneCellAnchor>
  <xdr:twoCellAnchor>
    <xdr:from>
      <xdr:col>3</xdr:col>
      <xdr:colOff>762000</xdr:colOff>
      <xdr:row>89</xdr:row>
      <xdr:rowOff>16565</xdr:rowOff>
    </xdr:from>
    <xdr:to>
      <xdr:col>4</xdr:col>
      <xdr:colOff>156955</xdr:colOff>
      <xdr:row>90</xdr:row>
      <xdr:rowOff>3521</xdr:rowOff>
    </xdr:to>
    <xdr:pic>
      <xdr:nvPicPr>
        <xdr:cNvPr id="21" name="Picture 20">
          <a:extLst>
            <a:ext uri="{FF2B5EF4-FFF2-40B4-BE49-F238E27FC236}">
              <a16:creationId xmlns:a16="http://schemas.microsoft.com/office/drawing/2014/main" id="{64593713-93B0-4639-9E85-F90D1872CBB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10239" y="18859500"/>
          <a:ext cx="219075" cy="18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97</xdr:row>
      <xdr:rowOff>0</xdr:rowOff>
    </xdr:from>
    <xdr:to>
      <xdr:col>2</xdr:col>
      <xdr:colOff>281609</xdr:colOff>
      <xdr:row>98</xdr:row>
      <xdr:rowOff>68022</xdr:rowOff>
    </xdr:to>
    <mc:AlternateContent xmlns:mc="http://schemas.openxmlformats.org/markup-compatibility/2006" xmlns:a14="http://schemas.microsoft.com/office/drawing/2010/main">
      <mc:Choice Requires="a14">
        <xdr:sp macro="" textlink="">
          <xdr:nvSpPr>
            <xdr:cNvPr id="22" name="TextBox 2">
              <a:extLst>
                <a:ext uri="{FF2B5EF4-FFF2-40B4-BE49-F238E27FC236}">
                  <a16:creationId xmlns:a16="http://schemas.microsoft.com/office/drawing/2014/main" id="{44895763-4C51-4458-B2F0-D083E00574A8}"/>
                </a:ext>
              </a:extLst>
            </xdr:cNvPr>
            <xdr:cNvSpPr txBox="1"/>
          </xdr:nvSpPr>
          <xdr:spPr>
            <a:xfrm>
              <a:off x="824120" y="20433196"/>
              <a:ext cx="1105728" cy="26680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𝑓</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oMath>
                </m:oMathPara>
              </a14:m>
              <a:endParaRPr lang="en-PH" sz="1100">
                <a:solidFill>
                  <a:schemeClr val="tx1"/>
                </a:solidFill>
                <a:effectLst/>
                <a:latin typeface="+mn-lt"/>
                <a:ea typeface="+mn-ea"/>
                <a:cs typeface="+mn-cs"/>
              </a:endParaRPr>
            </a:p>
          </xdr:txBody>
        </xdr:sp>
      </mc:Choice>
      <mc:Fallback xmlns="">
        <xdr:sp macro="" textlink="">
          <xdr:nvSpPr>
            <xdr:cNvPr id="22" name="TextBox 2">
              <a:extLst>
                <a:ext uri="{FF2B5EF4-FFF2-40B4-BE49-F238E27FC236}">
                  <a16:creationId xmlns:a16="http://schemas.microsoft.com/office/drawing/2014/main" id="{44895763-4C51-4458-B2F0-D083E00574A8}"/>
                </a:ext>
              </a:extLst>
            </xdr:cNvPr>
            <xdr:cNvSpPr txBox="1"/>
          </xdr:nvSpPr>
          <xdr:spPr>
            <a:xfrm>
              <a:off x="824120" y="20433196"/>
              <a:ext cx="1105728" cy="26680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𝑟_(𝑤,𝑑)^𝐻=𝑟_(𝑤,𝑑)×𝑓_(𝑤,𝑑)^𝐻</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99</xdr:row>
      <xdr:rowOff>0</xdr:rowOff>
    </xdr:from>
    <xdr:ext cx="2247217" cy="174471"/>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C0A4546C-F459-4F15-BC8F-8171CEB42C7C}"/>
                </a:ext>
              </a:extLst>
            </xdr:cNvPr>
            <xdr:cNvSpPr txBox="1"/>
          </xdr:nvSpPr>
          <xdr:spPr>
            <a:xfrm>
              <a:off x="824120" y="20830761"/>
              <a:ext cx="2247217"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standardized</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Pearson</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residual</m:t>
                    </m:r>
                  </m:oMath>
                </m:oMathPara>
              </a14:m>
              <a:endParaRPr lang="en-PH" sz="1100">
                <a:solidFill>
                  <a:schemeClr val="tx1"/>
                </a:solidFill>
                <a:effectLst/>
                <a:latin typeface="+mn-lt"/>
                <a:ea typeface="+mn-ea"/>
                <a:cs typeface="+mn-cs"/>
              </a:endParaRPr>
            </a:p>
          </xdr:txBody>
        </xdr:sp>
      </mc:Choice>
      <mc:Fallback xmlns="">
        <xdr:sp macro="" textlink="">
          <xdr:nvSpPr>
            <xdr:cNvPr id="23" name="TextBox 22">
              <a:extLst>
                <a:ext uri="{FF2B5EF4-FFF2-40B4-BE49-F238E27FC236}">
                  <a16:creationId xmlns:a16="http://schemas.microsoft.com/office/drawing/2014/main" id="{C0A4546C-F459-4F15-BC8F-8171CEB42C7C}"/>
                </a:ext>
              </a:extLst>
            </xdr:cNvPr>
            <xdr:cNvSpPr txBox="1"/>
          </xdr:nvSpPr>
          <xdr:spPr>
            <a:xfrm>
              <a:off x="824120" y="20830761"/>
              <a:ext cx="2247217"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𝑟_(𝑤,𝑑)^𝐻→standardized Pearson residual</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99</xdr:row>
      <xdr:rowOff>198782</xdr:rowOff>
    </xdr:from>
    <xdr:ext cx="1990930" cy="174471"/>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BC4B7502-EFE3-4451-92CF-2B36D9FA8A3B}"/>
                </a:ext>
              </a:extLst>
            </xdr:cNvPr>
            <xdr:cNvSpPr txBox="1"/>
          </xdr:nvSpPr>
          <xdr:spPr>
            <a:xfrm>
              <a:off x="824120" y="21029543"/>
              <a:ext cx="1990930"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unscaled</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Pearson</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residual</m:t>
                    </m:r>
                  </m:oMath>
                </m:oMathPara>
              </a14:m>
              <a:endParaRPr lang="en-PH" sz="1100">
                <a:solidFill>
                  <a:schemeClr val="tx1"/>
                </a:solidFill>
                <a:effectLst/>
                <a:latin typeface="+mn-lt"/>
                <a:ea typeface="+mn-ea"/>
                <a:cs typeface="+mn-cs"/>
              </a:endParaRPr>
            </a:p>
          </xdr:txBody>
        </xdr:sp>
      </mc:Choice>
      <mc:Fallback xmlns="">
        <xdr:sp macro="" textlink="">
          <xdr:nvSpPr>
            <xdr:cNvPr id="24" name="TextBox 23">
              <a:extLst>
                <a:ext uri="{FF2B5EF4-FFF2-40B4-BE49-F238E27FC236}">
                  <a16:creationId xmlns:a16="http://schemas.microsoft.com/office/drawing/2014/main" id="{BC4B7502-EFE3-4451-92CF-2B36D9FA8A3B}"/>
                </a:ext>
              </a:extLst>
            </xdr:cNvPr>
            <xdr:cNvSpPr txBox="1"/>
          </xdr:nvSpPr>
          <xdr:spPr>
            <a:xfrm>
              <a:off x="824120" y="21029543"/>
              <a:ext cx="1990930"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𝑟_(𝑤,𝑑)→unscaled Pearson residual</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101</xdr:row>
      <xdr:rowOff>0</xdr:rowOff>
    </xdr:from>
    <xdr:ext cx="2181046" cy="174407"/>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932B105F-9D98-4295-87C0-F390B50EFD20}"/>
                </a:ext>
              </a:extLst>
            </xdr:cNvPr>
            <xdr:cNvSpPr txBox="1"/>
          </xdr:nvSpPr>
          <xdr:spPr>
            <a:xfrm>
              <a:off x="825500" y="20732750"/>
              <a:ext cx="2181046" cy="174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𝑓</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r>
                      <a:rPr lang="en-PH" sz="1100" i="1">
                        <a:solidFill>
                          <a:schemeClr val="tx1"/>
                        </a:solidFill>
                        <a:effectLst/>
                        <a:latin typeface="Cambria Math" panose="02040503050406030204" pitchFamily="18" charset="0"/>
                        <a:ea typeface="+mn-ea"/>
                        <a:cs typeface="+mn-cs"/>
                      </a:rPr>
                      <m:t>→</m:t>
                    </m:r>
                    <m:r>
                      <m:rPr>
                        <m:sty m:val="p"/>
                      </m:rPr>
                      <a:rPr lang="en-US" sz="1100" b="0" i="0">
                        <a:solidFill>
                          <a:schemeClr val="tx1"/>
                        </a:solidFill>
                        <a:effectLst/>
                        <a:latin typeface="Cambria Math" panose="02040503050406030204" pitchFamily="18" charset="0"/>
                        <a:ea typeface="+mn-ea"/>
                        <a:cs typeface="+mn-cs"/>
                      </a:rPr>
                      <m:t>Hat</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Matrix</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adjustment</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factor</m:t>
                    </m:r>
                  </m:oMath>
                </m:oMathPara>
              </a14:m>
              <a:endParaRPr lang="en-US" sz="1100">
                <a:solidFill>
                  <a:schemeClr val="tx1"/>
                </a:solidFill>
              </a:endParaRPr>
            </a:p>
          </xdr:txBody>
        </xdr:sp>
      </mc:Choice>
      <mc:Fallback xmlns="">
        <xdr:sp macro="" textlink="">
          <xdr:nvSpPr>
            <xdr:cNvPr id="25" name="TextBox 24">
              <a:extLst>
                <a:ext uri="{FF2B5EF4-FFF2-40B4-BE49-F238E27FC236}">
                  <a16:creationId xmlns:a16="http://schemas.microsoft.com/office/drawing/2014/main" id="{932B105F-9D98-4295-87C0-F390B50EFD20}"/>
                </a:ext>
              </a:extLst>
            </xdr:cNvPr>
            <xdr:cNvSpPr txBox="1"/>
          </xdr:nvSpPr>
          <xdr:spPr>
            <a:xfrm>
              <a:off x="825500" y="20732750"/>
              <a:ext cx="2181046" cy="174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𝑓_(𝑤,𝑑)^𝐻→</a:t>
              </a:r>
              <a:r>
                <a:rPr lang="en-US" sz="1100" b="0" i="0">
                  <a:solidFill>
                    <a:schemeClr val="tx1"/>
                  </a:solidFill>
                  <a:effectLst/>
                  <a:latin typeface="Cambria Math" panose="02040503050406030204" pitchFamily="18" charset="0"/>
                  <a:ea typeface="+mn-ea"/>
                  <a:cs typeface="+mn-cs"/>
                </a:rPr>
                <a:t>Hat Matrix adjustment factor</a:t>
              </a:r>
              <a:endParaRPr lang="en-US" sz="1100">
                <a:solidFill>
                  <a:schemeClr val="tx1"/>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1</xdr:col>
      <xdr:colOff>352425</xdr:colOff>
      <xdr:row>135</xdr:row>
      <xdr:rowOff>23812</xdr:rowOff>
    </xdr:from>
    <xdr:ext cx="1521762" cy="58804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177925" y="27921479"/>
              <a:ext cx="1521762" cy="5880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i="1">
                            <a:latin typeface="Cambria Math" panose="02040503050406030204" pitchFamily="18" charset="0"/>
                          </a:rPr>
                        </m:ctrlPr>
                      </m:sSubPr>
                      <m:e>
                        <m:r>
                          <a:rPr lang="en-US" sz="1200" b="0" i="1">
                            <a:latin typeface="Cambria Math" panose="02040503050406030204" pitchFamily="18" charset="0"/>
                          </a:rPr>
                          <m:t>𝑟</m:t>
                        </m:r>
                      </m:e>
                      <m:sub>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sub>
                    </m:sSub>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𝑞</m:t>
                        </m:r>
                        <m:d>
                          <m:dPr>
                            <m:ctrlPr>
                              <a:rPr lang="en-US" sz="1200" b="0" i="1">
                                <a:latin typeface="Cambria Math" panose="02040503050406030204" pitchFamily="18" charset="0"/>
                              </a:rPr>
                            </m:ctrlPr>
                          </m:dPr>
                          <m:e>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e>
                        </m:d>
                        <m:r>
                          <a:rPr lang="en-US" sz="1200" b="0" i="1">
                            <a:latin typeface="Cambria Math" panose="02040503050406030204" pitchFamily="18" charset="0"/>
                          </a:rPr>
                          <m:t>−</m:t>
                        </m:r>
                        <m:sSub>
                          <m:sSubPr>
                            <m:ctrlPr>
                              <a:rPr lang="en-US" sz="1200" b="0" i="1">
                                <a:latin typeface="Cambria Math" panose="02040503050406030204" pitchFamily="18" charset="0"/>
                              </a:rPr>
                            </m:ctrlPr>
                          </m:sSubPr>
                          <m:e>
                            <m:r>
                              <a:rPr lang="en-US" sz="1200" b="0" i="1">
                                <a:latin typeface="Cambria Math" panose="02040503050406030204" pitchFamily="18" charset="0"/>
                              </a:rPr>
                              <m:t>𝑚</m:t>
                            </m:r>
                          </m:e>
                          <m:sub>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sub>
                        </m:sSub>
                      </m:num>
                      <m:den>
                        <m:rad>
                          <m:radPr>
                            <m:degHide m:val="on"/>
                            <m:ctrlPr>
                              <a:rPr lang="en-US" sz="1200" b="0" i="1">
                                <a:latin typeface="Cambria Math" panose="02040503050406030204" pitchFamily="18" charset="0"/>
                              </a:rPr>
                            </m:ctrlPr>
                          </m:radPr>
                          <m:deg/>
                          <m:e>
                            <m:r>
                              <a:rPr lang="en-US" sz="1200" b="0" i="1">
                                <a:latin typeface="Cambria Math" panose="02040503050406030204" pitchFamily="18" charset="0"/>
                              </a:rPr>
                              <m:t>𝑎𝑏𝑠</m:t>
                            </m:r>
                            <m:d>
                              <m:dPr>
                                <m:ctrlPr>
                                  <a:rPr lang="en-US" sz="1200" b="0" i="1">
                                    <a:latin typeface="Cambria Math" panose="02040503050406030204" pitchFamily="18" charset="0"/>
                                  </a:rPr>
                                </m:ctrlPr>
                              </m:dPr>
                              <m:e>
                                <m:sSubSup>
                                  <m:sSubSupPr>
                                    <m:ctrlPr>
                                      <a:rPr lang="en-US" sz="1200" b="0" i="1">
                                        <a:latin typeface="Cambria Math" panose="02040503050406030204" pitchFamily="18" charset="0"/>
                                      </a:rPr>
                                    </m:ctrlPr>
                                  </m:sSubSupPr>
                                  <m:e>
                                    <m:r>
                                      <a:rPr lang="en-US" sz="1200" b="0" i="1">
                                        <a:latin typeface="Cambria Math" panose="02040503050406030204" pitchFamily="18" charset="0"/>
                                      </a:rPr>
                                      <m:t>𝑚</m:t>
                                    </m:r>
                                  </m:e>
                                  <m:sub>
                                    <m:r>
                                      <a:rPr lang="en-US" sz="1200" b="0" i="1">
                                        <a:latin typeface="Cambria Math" panose="02040503050406030204" pitchFamily="18" charset="0"/>
                                      </a:rPr>
                                      <m:t>𝑤</m:t>
                                    </m:r>
                                    <m:r>
                                      <a:rPr lang="en-US" sz="1200" b="0" i="1">
                                        <a:latin typeface="Cambria Math" panose="02040503050406030204" pitchFamily="18" charset="0"/>
                                      </a:rPr>
                                      <m:t>,</m:t>
                                    </m:r>
                                    <m:r>
                                      <a:rPr lang="en-US" sz="1200" b="0" i="1">
                                        <a:latin typeface="Cambria Math" panose="02040503050406030204" pitchFamily="18" charset="0"/>
                                      </a:rPr>
                                      <m:t>𝑑</m:t>
                                    </m:r>
                                  </m:sub>
                                  <m:sup>
                                    <m:r>
                                      <a:rPr lang="en-US" sz="1200" b="0" i="1">
                                        <a:latin typeface="Cambria Math" panose="02040503050406030204" pitchFamily="18" charset="0"/>
                                      </a:rPr>
                                      <m:t>𝑧</m:t>
                                    </m:r>
                                  </m:sup>
                                </m:sSubSup>
                              </m:e>
                            </m:d>
                          </m:e>
                        </m:rad>
                      </m:den>
                    </m:f>
                    <m:r>
                      <a:rPr lang="en-US" sz="1200" b="0" i="1">
                        <a:latin typeface="Cambria Math" panose="02040503050406030204" pitchFamily="18" charset="0"/>
                      </a:rPr>
                      <m:t> </m:t>
                    </m:r>
                  </m:oMath>
                </m:oMathPara>
              </a14:m>
              <a:endParaRPr lang="en-US" sz="1200"/>
            </a:p>
          </xdr:txBody>
        </xdr:sp>
      </mc:Choice>
      <mc:Fallback xmlns="">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177925" y="27921479"/>
              <a:ext cx="1521762" cy="5880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𝑟_(𝑤,𝑑)=(𝑞(𝑤,𝑑)−𝑚_(𝑤,𝑑))/√(𝑎𝑏𝑠(𝑚_(𝑤,𝑑)^𝑧 ) )  </a:t>
              </a:r>
              <a:endParaRPr lang="en-US" sz="1200"/>
            </a:p>
          </xdr:txBody>
        </xdr:sp>
      </mc:Fallback>
    </mc:AlternateContent>
    <xdr:clientData/>
  </xdr:oneCellAnchor>
  <xdr:twoCellAnchor>
    <xdr:from>
      <xdr:col>7</xdr:col>
      <xdr:colOff>733426</xdr:colOff>
      <xdr:row>36</xdr:row>
      <xdr:rowOff>19050</xdr:rowOff>
    </xdr:from>
    <xdr:to>
      <xdr:col>9</xdr:col>
      <xdr:colOff>319088</xdr:colOff>
      <xdr:row>36</xdr:row>
      <xdr:rowOff>195263</xdr:rowOff>
    </xdr:to>
    <xdr:pic>
      <xdr:nvPicPr>
        <xdr:cNvPr id="2" name="Picture 1">
          <a:extLst>
            <a:ext uri="{FF2B5EF4-FFF2-40B4-BE49-F238E27FC236}">
              <a16:creationId xmlns:a16="http://schemas.microsoft.com/office/drawing/2014/main" id="{56069E70-3519-8735-5FE3-3ECF89E3063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00814" y="7881938"/>
          <a:ext cx="1233487" cy="176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285750</xdr:colOff>
      <xdr:row>38</xdr:row>
      <xdr:rowOff>0</xdr:rowOff>
    </xdr:from>
    <xdr:to>
      <xdr:col>4</xdr:col>
      <xdr:colOff>714375</xdr:colOff>
      <xdr:row>41</xdr:row>
      <xdr:rowOff>32662</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3D85495-4639-4109-9ED0-FAA5B09A518D}"/>
                </a:ext>
              </a:extLst>
            </xdr:cNvPr>
            <xdr:cNvSpPr txBox="1"/>
          </xdr:nvSpPr>
          <xdr:spPr>
            <a:xfrm>
              <a:off x="1111250" y="8212667"/>
              <a:ext cx="2905125" cy="63591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a:solidFill>
                    <a:schemeClr val="tx1"/>
                  </a:solidFill>
                  <a:effectLst/>
                  <a:ea typeface="+mn-ea"/>
                  <a:cs typeface="+mn-cs"/>
                </a:rPr>
                <a:t>l</a:t>
              </a:r>
              <a14:m>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n</m:t>
                  </m:r>
                  <m:sSup>
                    <m:sSupPr>
                      <m:ctrlPr>
                        <a:rPr lang="en-PH" sz="1100" i="1">
                          <a:solidFill>
                            <a:schemeClr val="tx1"/>
                          </a:solidFill>
                          <a:effectLst/>
                          <a:latin typeface="Cambria Math" panose="02040503050406030204" pitchFamily="18" charset="0"/>
                          <a:ea typeface="+mn-ea"/>
                          <a:cs typeface="+mn-cs"/>
                        </a:rPr>
                      </m:ctrlPr>
                    </m:sSupPr>
                    <m:e>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m:t>
                          </m:r>
                        </m:e>
                      </m:d>
                    </m:e>
                    <m:sup>
                      <m:r>
                        <a:rPr lang="en-PH" sz="1100" i="1">
                          <a:solidFill>
                            <a:schemeClr val="tx1"/>
                          </a:solidFill>
                          <a:effectLst/>
                          <a:latin typeface="Cambria Math" panose="02040503050406030204" pitchFamily="18" charset="0"/>
                          <a:ea typeface="+mn-ea"/>
                          <a:cs typeface="+mn-cs"/>
                        </a:rPr>
                        <m:t>∗</m:t>
                      </m:r>
                    </m:sup>
                  </m:sSup>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eqArr>
                        <m:eqArrPr>
                          <m:ctrlPr>
                            <a:rPr lang="en-PH" sz="1100" i="1">
                              <a:solidFill>
                                <a:schemeClr val="tx1"/>
                              </a:solidFill>
                              <a:effectLst/>
                              <a:latin typeface="Cambria Math" panose="02040503050406030204" pitchFamily="18" charset="0"/>
                              <a:ea typeface="+mn-ea"/>
                              <a:cs typeface="+mn-cs"/>
                            </a:rPr>
                          </m:ctrlPr>
                        </m:eqArrPr>
                        <m:e>
                          <m:func>
                            <m:funcPr>
                              <m:ctrlPr>
                                <a:rPr lang="en-PH" sz="1100" i="1">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e>
                              </m:d>
                              <m:r>
                                <a:rPr lang="en-PH" sz="1100" b="0" i="1">
                                  <a:solidFill>
                                    <a:schemeClr val="tx1"/>
                                  </a:solidFill>
                                  <a:effectLst/>
                                  <a:latin typeface="Cambria Math" panose="02040503050406030204" pitchFamily="18" charset="0"/>
                                  <a:ea typeface="+mn-ea"/>
                                  <a:cs typeface="+mn-cs"/>
                                </a:rPr>
                                <m:t>,</m:t>
                              </m:r>
                            </m:e>
                          </m:func>
                          <m:r>
                            <a:rPr lang="en-PH" sz="1100" b="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)&gt;0</m:t>
                          </m:r>
                        </m:e>
                        <m:e>
                          <m:r>
                            <a:rPr lang="en-PH" sz="1100" i="1">
                              <a:solidFill>
                                <a:schemeClr val="tx1"/>
                              </a:solidFill>
                              <a:effectLst/>
                              <a:latin typeface="Cambria Math" panose="02040503050406030204" pitchFamily="18" charset="0"/>
                              <a:ea typeface="+mn-ea"/>
                              <a:cs typeface="+mn-cs"/>
                            </a:rPr>
                            <m:t>0, </m:t>
                          </m:r>
                          <m:r>
                            <a:rPr lang="en-PH" sz="1100" b="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𝑞</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ln</m:t>
                          </m:r>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𝑎𝑏𝑠</m:t>
                          </m:r>
                          <m:d>
                            <m:dPr>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e>
                          </m:d>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&lt;0</m:t>
                          </m:r>
                        </m:e>
                      </m:eqArr>
                    </m:e>
                  </m:d>
                </m:oMath>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03D85495-4639-4109-9ED0-FAA5B09A518D}"/>
                </a:ext>
              </a:extLst>
            </xdr:cNvPr>
            <xdr:cNvSpPr txBox="1"/>
          </xdr:nvSpPr>
          <xdr:spPr>
            <a:xfrm>
              <a:off x="1111250" y="8212667"/>
              <a:ext cx="2905125" cy="63591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a:solidFill>
                    <a:schemeClr val="tx1"/>
                  </a:solidFill>
                  <a:effectLst/>
                  <a:ea typeface="+mn-ea"/>
                  <a:cs typeface="+mn-cs"/>
                </a:rPr>
                <a:t>l</a:t>
              </a:r>
              <a:r>
                <a:rPr lang="en-PH" sz="1100" i="0">
                  <a:solidFill>
                    <a:schemeClr val="tx1"/>
                  </a:solidFill>
                  <a:effectLst/>
                  <a:latin typeface="Cambria Math" panose="02040503050406030204" pitchFamily="18" charset="0"/>
                  <a:ea typeface="+mn-ea"/>
                  <a:cs typeface="+mn-cs"/>
                </a:rPr>
                <a:t>n[𝑞(𝑤,𝑑)]^∗={█(ln⁡〖[𝑞(𝑤,𝑑)]</a:t>
              </a:r>
              <a:r>
                <a:rPr lang="en-PH" sz="1100" b="0" i="0">
                  <a:solidFill>
                    <a:schemeClr val="tx1"/>
                  </a:solidFill>
                  <a:effectLst/>
                  <a:latin typeface="Cambria Math" panose="02040503050406030204" pitchFamily="18" charset="0"/>
                  <a:ea typeface="+mn-ea"/>
                  <a:cs typeface="+mn-cs"/>
                </a:rPr>
                <a:t>,〗             </a:t>
              </a:r>
              <a:r>
                <a:rPr lang="en-PH" sz="1100" i="0">
                  <a:solidFill>
                    <a:schemeClr val="tx1"/>
                  </a:solidFill>
                  <a:effectLst/>
                  <a:latin typeface="Cambria Math" panose="02040503050406030204" pitchFamily="18" charset="0"/>
                  <a:ea typeface="+mn-ea"/>
                  <a:cs typeface="+mn-cs"/>
                </a:rPr>
                <a:t>𝑞(𝑤,𝑑)&gt;0@0, </a:t>
              </a:r>
              <a:r>
                <a:rPr lang="en-PH" sz="1100" b="0" i="0">
                  <a:solidFill>
                    <a:schemeClr val="tx1"/>
                  </a:solidFill>
                  <a:effectLst/>
                  <a:latin typeface="Cambria Math" panose="02040503050406030204" pitchFamily="18" charset="0"/>
                  <a:ea typeface="+mn-ea"/>
                  <a:cs typeface="+mn-cs"/>
                </a:rPr>
                <a:t>                              </a:t>
              </a:r>
              <a:r>
                <a:rPr lang="en-PH" sz="1100" i="0">
                  <a:solidFill>
                    <a:schemeClr val="tx1"/>
                  </a:solidFill>
                  <a:effectLst/>
                  <a:latin typeface="Cambria Math" panose="02040503050406030204" pitchFamily="18" charset="0"/>
                  <a:ea typeface="+mn-ea"/>
                  <a:cs typeface="+mn-cs"/>
                </a:rPr>
                <a:t>𝑞(𝑤,𝑑)=0@−ln⁡[𝑎𝑏𝑠(𝑞(𝑤,𝑑)],  𝑞(𝑤,𝑑)&lt;0)┤</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264583</xdr:colOff>
      <xdr:row>54</xdr:row>
      <xdr:rowOff>158750</xdr:rowOff>
    </xdr:from>
    <xdr:to>
      <xdr:col>3</xdr:col>
      <xdr:colOff>196321</xdr:colOff>
      <xdr:row>56</xdr:row>
      <xdr:rowOff>22202</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475C7465-3422-482B-BD1F-C72A4AB3DE5E}"/>
                </a:ext>
              </a:extLst>
            </xdr:cNvPr>
            <xdr:cNvSpPr txBox="1"/>
          </xdr:nvSpPr>
          <xdr:spPr>
            <a:xfrm>
              <a:off x="1090083" y="11588750"/>
              <a:ext cx="1582738" cy="26561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Ψ</m:t>
                    </m:r>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475C7465-3422-482B-BD1F-C72A4AB3DE5E}"/>
                </a:ext>
              </a:extLst>
            </xdr:cNvPr>
            <xdr:cNvSpPr txBox="1"/>
          </xdr:nvSpPr>
          <xdr:spPr>
            <a:xfrm>
              <a:off x="1090083" y="11588750"/>
              <a:ext cx="1582738" cy="26561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𝑞^+ (𝑤,𝑑)=𝑞(𝑤,𝑑)−Ψ</a:t>
              </a:r>
              <a:endParaRPr lang="en-PH" sz="1100">
                <a:solidFill>
                  <a:schemeClr val="tx1"/>
                </a:solidFill>
                <a:effectLst/>
                <a:latin typeface="+mn-lt"/>
                <a:ea typeface="+mn-ea"/>
                <a:cs typeface="+mn-cs"/>
              </a:endParaRPr>
            </a:p>
          </xdr:txBody>
        </xdr:sp>
      </mc:Fallback>
    </mc:AlternateContent>
    <xdr:clientData/>
  </xdr:twoCellAnchor>
  <xdr:oneCellAnchor>
    <xdr:from>
      <xdr:col>4</xdr:col>
      <xdr:colOff>285749</xdr:colOff>
      <xdr:row>55</xdr:row>
      <xdr:rowOff>31751</xdr:rowOff>
    </xdr:from>
    <xdr:ext cx="3324243" cy="17530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DD437EB-DF93-4C33-A7FB-756171FF416F}"/>
                </a:ext>
              </a:extLst>
            </xdr:cNvPr>
            <xdr:cNvSpPr txBox="1"/>
          </xdr:nvSpPr>
          <xdr:spPr>
            <a:xfrm>
              <a:off x="3587749" y="11662834"/>
              <a:ext cx="3324243" cy="175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𝐿𝑎𝑟𝑔𝑒𝑠𝑡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𝑁𝑒𝑔𝑎𝑡𝑖𝑣𝑒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𝐼𝑛𝑐𝐿𝑜𝑠𝑠</m:t>
                    </m:r>
                  </m:oMath>
                </m:oMathPara>
              </a14:m>
              <a:endParaRPr lang="en-PH"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6DD437EB-DF93-4C33-A7FB-756171FF416F}"/>
                </a:ext>
              </a:extLst>
            </xdr:cNvPr>
            <xdr:cNvSpPr txBox="1"/>
          </xdr:nvSpPr>
          <xdr:spPr>
            <a:xfrm>
              <a:off x="3587749" y="11662834"/>
              <a:ext cx="3324243" cy="175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〖𝐼𝑛𝑐𝐿𝑜𝑠𝑠〗_(𝐴𝑌,𝑑)^+=〖𝐼𝑛𝑐𝐿𝑜𝑠𝑠〗_(𝐴𝑌,𝑑)−𝐿𝑎𝑟𝑔𝑒𝑠𝑡 𝑁𝑒𝑔𝑎𝑡𝑖𝑣𝑒 𝐼𝑛𝑐𝐿𝑜𝑠𝑠</a:t>
              </a:r>
              <a:endParaRPr lang="en-PH" sz="1100">
                <a:solidFill>
                  <a:schemeClr val="tx1"/>
                </a:solidFill>
                <a:effectLst/>
                <a:latin typeface="+mn-lt"/>
                <a:ea typeface="+mn-ea"/>
                <a:cs typeface="+mn-cs"/>
              </a:endParaRPr>
            </a:p>
          </xdr:txBody>
        </xdr:sp>
      </mc:Fallback>
    </mc:AlternateContent>
    <xdr:clientData/>
  </xdr:oneCellAnchor>
  <xdr:oneCellAnchor>
    <xdr:from>
      <xdr:col>4</xdr:col>
      <xdr:colOff>47625</xdr:colOff>
      <xdr:row>58</xdr:row>
      <xdr:rowOff>28574</xdr:rowOff>
    </xdr:from>
    <xdr:ext cx="1144801" cy="172227"/>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3B7BDEC-B02B-41A8-BA5B-7DD540A6E7DD}"/>
                </a:ext>
              </a:extLst>
            </xdr:cNvPr>
            <xdr:cNvSpPr txBox="1"/>
          </xdr:nvSpPr>
          <xdr:spPr>
            <a:xfrm>
              <a:off x="3343275" y="12692062"/>
              <a:ext cx="11448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𝑞</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2022,24</m:t>
                        </m:r>
                      </m:e>
                    </m:d>
                    <m:r>
                      <m:rPr>
                        <m:aln/>
                      </m:rP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200</m:t>
                    </m:r>
                  </m:oMath>
                </m:oMathPara>
              </a14:m>
              <a:endParaRPr lang="en-PH" sz="1100">
                <a:solidFill>
                  <a:schemeClr val="tx1"/>
                </a:solidFill>
                <a:effectLst/>
                <a:latin typeface="+mn-lt"/>
                <a:ea typeface="+mn-ea"/>
                <a:cs typeface="+mn-cs"/>
              </a:endParaRPr>
            </a:p>
          </xdr:txBody>
        </xdr:sp>
      </mc:Choice>
      <mc:Fallback xmlns="">
        <xdr:sp macro="" textlink="">
          <xdr:nvSpPr>
            <xdr:cNvPr id="10" name="TextBox 9">
              <a:extLst>
                <a:ext uri="{FF2B5EF4-FFF2-40B4-BE49-F238E27FC236}">
                  <a16:creationId xmlns:a16="http://schemas.microsoft.com/office/drawing/2014/main" id="{C3B7BDEC-B02B-41A8-BA5B-7DD540A6E7DD}"/>
                </a:ext>
              </a:extLst>
            </xdr:cNvPr>
            <xdr:cNvSpPr txBox="1"/>
          </xdr:nvSpPr>
          <xdr:spPr>
            <a:xfrm>
              <a:off x="3343275" y="12692062"/>
              <a:ext cx="11448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𝑞(2022,24)&amp;=200</a:t>
              </a:r>
              <a:endParaRPr lang="en-PH" sz="1100">
                <a:solidFill>
                  <a:schemeClr val="tx1"/>
                </a:solidFill>
                <a:effectLst/>
                <a:latin typeface="+mn-lt"/>
                <a:ea typeface="+mn-ea"/>
                <a:cs typeface="+mn-cs"/>
              </a:endParaRPr>
            </a:p>
          </xdr:txBody>
        </xdr:sp>
      </mc:Fallback>
    </mc:AlternateContent>
    <xdr:clientData/>
  </xdr:oneCellAnchor>
  <xdr:oneCellAnchor>
    <xdr:from>
      <xdr:col>4</xdr:col>
      <xdr:colOff>509587</xdr:colOff>
      <xdr:row>84</xdr:row>
      <xdr:rowOff>14288</xdr:rowOff>
    </xdr:from>
    <xdr:ext cx="744371" cy="179216"/>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46674A4A-1FAB-4B53-8041-BEDDDD09C9D3}"/>
                </a:ext>
              </a:extLst>
            </xdr:cNvPr>
            <xdr:cNvSpPr txBox="1"/>
          </xdr:nvSpPr>
          <xdr:spPr>
            <a:xfrm>
              <a:off x="5453062" y="17649826"/>
              <a:ext cx="744371" cy="179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𝑒</m:t>
                        </m:r>
                      </m:e>
                      <m:sup>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𝜂</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sup>
                    </m:sSup>
                  </m:oMath>
                </m:oMathPara>
              </a14:m>
              <a:endParaRPr lang="en-PH" sz="1100">
                <a:solidFill>
                  <a:schemeClr val="tx1"/>
                </a:solidFill>
                <a:effectLst/>
                <a:latin typeface="+mn-lt"/>
                <a:ea typeface="+mn-ea"/>
                <a:cs typeface="+mn-cs"/>
              </a:endParaRPr>
            </a:p>
          </xdr:txBody>
        </xdr:sp>
      </mc:Choice>
      <mc:Fallback xmlns="">
        <xdr:sp macro="" textlink="">
          <xdr:nvSpPr>
            <xdr:cNvPr id="13" name="TextBox 12">
              <a:extLst>
                <a:ext uri="{FF2B5EF4-FFF2-40B4-BE49-F238E27FC236}">
                  <a16:creationId xmlns:a16="http://schemas.microsoft.com/office/drawing/2014/main" id="{46674A4A-1FAB-4B53-8041-BEDDDD09C9D3}"/>
                </a:ext>
              </a:extLst>
            </xdr:cNvPr>
            <xdr:cNvSpPr txBox="1"/>
          </xdr:nvSpPr>
          <xdr:spPr>
            <a:xfrm>
              <a:off x="5453062" y="17649826"/>
              <a:ext cx="744371" cy="179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𝑚_(𝑤,𝑑)^+=𝑒^(𝜂_(𝑤,𝑑)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137583</xdr:colOff>
      <xdr:row>92</xdr:row>
      <xdr:rowOff>179916</xdr:rowOff>
    </xdr:from>
    <xdr:to>
      <xdr:col>2</xdr:col>
      <xdr:colOff>447146</xdr:colOff>
      <xdr:row>94</xdr:row>
      <xdr:rowOff>46445</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D93C841F-CCBA-40F9-A319-BB55782B83E1}"/>
                </a:ext>
              </a:extLst>
            </xdr:cNvPr>
            <xdr:cNvSpPr txBox="1"/>
          </xdr:nvSpPr>
          <xdr:spPr>
            <a:xfrm>
              <a:off x="963083" y="19600333"/>
              <a:ext cx="1135063" cy="26869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Ψ</m:t>
                    </m:r>
                  </m:oMath>
                </m:oMathPara>
              </a14:m>
              <a:endParaRPr lang="en-PH"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D93C841F-CCBA-40F9-A319-BB55782B83E1}"/>
                </a:ext>
              </a:extLst>
            </xdr:cNvPr>
            <xdr:cNvSpPr txBox="1"/>
          </xdr:nvSpPr>
          <xdr:spPr>
            <a:xfrm>
              <a:off x="963083" y="19600333"/>
              <a:ext cx="1135063" cy="26869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𝑚_(𝑤,𝑑)=𝑚_(𝑤,𝑑)^++Ψ</a:t>
              </a:r>
              <a:endParaRPr lang="en-PH" sz="1100">
                <a:solidFill>
                  <a:schemeClr val="tx1"/>
                </a:solidFill>
                <a:effectLst/>
                <a:latin typeface="+mn-lt"/>
                <a:ea typeface="+mn-ea"/>
                <a:cs typeface="+mn-cs"/>
              </a:endParaRPr>
            </a:p>
          </xdr:txBody>
        </xdr:sp>
      </mc:Fallback>
    </mc:AlternateContent>
    <xdr:clientData/>
  </xdr:twoCellAnchor>
  <xdr:oneCellAnchor>
    <xdr:from>
      <xdr:col>4</xdr:col>
      <xdr:colOff>31750</xdr:colOff>
      <xdr:row>93</xdr:row>
      <xdr:rowOff>63499</xdr:rowOff>
    </xdr:from>
    <xdr:ext cx="2219390" cy="19107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2C300D5-1AC8-4E04-A8FD-8CFEFC844FD6}"/>
                </a:ext>
              </a:extLst>
            </xdr:cNvPr>
            <xdr:cNvSpPr txBox="1"/>
          </xdr:nvSpPr>
          <xdr:spPr>
            <a:xfrm>
              <a:off x="3333750" y="19282832"/>
              <a:ext cx="221939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m:t>
                            </m:r>
                          </m:sup>
                        </m:sSubSup>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Ψ</m:t>
                    </m:r>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52C300D5-1AC8-4E04-A8FD-8CFEFC844FD6}"/>
                </a:ext>
              </a:extLst>
            </xdr:cNvPr>
            <xdr:cNvSpPr txBox="1"/>
          </xdr:nvSpPr>
          <xdr:spPr>
            <a:xfrm>
              <a:off x="3333750" y="19282832"/>
              <a:ext cx="221939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E[𝐼𝑛𝑐〖𝐿𝑜𝑠𝑠〗_(𝐴𝑌,𝑑) ]=E[〖𝐼𝑛𝑐𝐿𝑜𝑠𝑠〗_(𝐴𝑌,𝑑)^+ ]+Ψ</a:t>
              </a:r>
              <a:endParaRPr lang="en-US" sz="1100">
                <a:solidFill>
                  <a:schemeClr val="tx1"/>
                </a:solidFill>
              </a:endParaRPr>
            </a:p>
          </xdr:txBody>
        </xdr:sp>
      </mc:Fallback>
    </mc:AlternateContent>
    <xdr:clientData/>
  </xdr:oneCellAnchor>
  <xdr:oneCellAnchor>
    <xdr:from>
      <xdr:col>3</xdr:col>
      <xdr:colOff>279400</xdr:colOff>
      <xdr:row>136</xdr:row>
      <xdr:rowOff>24341</xdr:rowOff>
    </xdr:from>
    <xdr:ext cx="820225" cy="174150"/>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7C43D80B-3193-4217-B7B6-EB026FF38DA4}"/>
                </a:ext>
              </a:extLst>
            </xdr:cNvPr>
            <xdr:cNvSpPr txBox="1"/>
          </xdr:nvSpPr>
          <xdr:spPr>
            <a:xfrm>
              <a:off x="2755900" y="28123091"/>
              <a:ext cx="820225" cy="17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𝑓𝑜𝑟</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&lt;0</m:t>
                    </m:r>
                  </m:oMath>
                </m:oMathPara>
              </a14:m>
              <a:endParaRPr lang="en-PH"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7C43D80B-3193-4217-B7B6-EB026FF38DA4}"/>
                </a:ext>
              </a:extLst>
            </xdr:cNvPr>
            <xdr:cNvSpPr txBox="1"/>
          </xdr:nvSpPr>
          <xdr:spPr>
            <a:xfrm>
              <a:off x="2755900" y="28123091"/>
              <a:ext cx="820225" cy="17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𝑓𝑜𝑟 𝑚_(𝑤,𝑑)&lt;0</a:t>
              </a:r>
              <a:endParaRPr lang="en-PH" sz="1100">
                <a:solidFill>
                  <a:schemeClr val="tx1"/>
                </a:solidFill>
                <a:effectLst/>
                <a:latin typeface="+mn-lt"/>
                <a:ea typeface="+mn-ea"/>
                <a:cs typeface="+mn-cs"/>
              </a:endParaRPr>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4</xdr:col>
      <xdr:colOff>520618</xdr:colOff>
      <xdr:row>90</xdr:row>
      <xdr:rowOff>151260</xdr:rowOff>
    </xdr:from>
    <xdr:ext cx="2938625" cy="24308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4277701" y="18936677"/>
              <a:ext cx="2938625" cy="243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200" i="1">
                            <a:latin typeface="Cambria Math" panose="02040503050406030204" pitchFamily="18" charset="0"/>
                          </a:rPr>
                        </m:ctrlPr>
                      </m:sSupPr>
                      <m:e>
                        <m:r>
                          <a:rPr lang="en-US" sz="1200" b="0" i="1">
                            <a:latin typeface="Cambria Math" panose="02040503050406030204" pitchFamily="18" charset="0"/>
                          </a:rPr>
                          <m:t>𝑞</m:t>
                        </m:r>
                      </m:e>
                      <m:sup>
                        <m:r>
                          <a:rPr lang="en-US" sz="1200" b="0" i="1">
                            <a:latin typeface="Cambria Math" panose="02040503050406030204" pitchFamily="18" charset="0"/>
                          </a:rPr>
                          <m:t>𝑖</m:t>
                        </m:r>
                        <m:r>
                          <a:rPr lang="en-US" sz="1200" b="0" i="1">
                            <a:latin typeface="Cambria Math" panose="02040503050406030204" pitchFamily="18" charset="0"/>
                          </a:rPr>
                          <m:t>∗</m:t>
                        </m:r>
                      </m:sup>
                    </m:sSup>
                    <m:d>
                      <m:dPr>
                        <m:ctrlPr>
                          <a:rPr lang="en-US" sz="1200" b="0" i="1">
                            <a:latin typeface="Cambria Math" panose="02040503050406030204" pitchFamily="18" charset="0"/>
                          </a:rPr>
                        </m:ctrlPr>
                      </m:dPr>
                      <m:e>
                        <m:r>
                          <a:rPr lang="en-US" sz="1200" b="0" i="1">
                            <a:latin typeface="Cambria Math" panose="02040503050406030204" pitchFamily="18" charset="0"/>
                          </a:rPr>
                          <m:t>4,2</m:t>
                        </m:r>
                      </m:e>
                    </m:d>
                    <m:r>
                      <a:rPr lang="en-US" sz="1200" b="0" i="1">
                        <a:latin typeface="Cambria Math" panose="02040503050406030204" pitchFamily="18" charset="0"/>
                      </a:rPr>
                      <m:t>=−.85</m:t>
                    </m:r>
                    <m:r>
                      <a:rPr lang="en-US" sz="1200" b="0" i="1">
                        <a:latin typeface="Cambria Math" panose="02040503050406030204" pitchFamily="18" charset="0"/>
                        <a:ea typeface="Cambria Math" panose="02040503050406030204" pitchFamily="18" charset="0"/>
                      </a:rPr>
                      <m:t>×</m:t>
                    </m:r>
                    <m:rad>
                      <m:radPr>
                        <m:degHide m:val="on"/>
                        <m:ctrlPr>
                          <a:rPr lang="en-US" sz="1200" b="0" i="1">
                            <a:latin typeface="Cambria Math" panose="02040503050406030204" pitchFamily="18" charset="0"/>
                            <a:ea typeface="Cambria Math" panose="02040503050406030204" pitchFamily="18" charset="0"/>
                          </a:rPr>
                        </m:ctrlPr>
                      </m:radPr>
                      <m:deg/>
                      <m:e>
                        <m:sSup>
                          <m:sSupPr>
                            <m:ctrlPr>
                              <a:rPr lang="en-US" sz="1200" b="0" i="1">
                                <a:latin typeface="Cambria Math" panose="02040503050406030204" pitchFamily="18" charset="0"/>
                                <a:ea typeface="Cambria Math" panose="02040503050406030204" pitchFamily="18" charset="0"/>
                              </a:rPr>
                            </m:ctrlPr>
                          </m:sSupPr>
                          <m:e>
                            <m:r>
                              <a:rPr lang="en-US" sz="1200" b="0" i="1">
                                <a:latin typeface="Cambria Math" panose="02040503050406030204" pitchFamily="18" charset="0"/>
                                <a:ea typeface="Cambria Math" panose="02040503050406030204" pitchFamily="18" charset="0"/>
                              </a:rPr>
                              <m:t>44.87</m:t>
                            </m:r>
                          </m:e>
                          <m:sup>
                            <m:r>
                              <a:rPr lang="en-US" sz="1200" b="0" i="1">
                                <a:latin typeface="Cambria Math" panose="02040503050406030204" pitchFamily="18" charset="0"/>
                                <a:ea typeface="Cambria Math" panose="02040503050406030204" pitchFamily="18" charset="0"/>
                              </a:rPr>
                              <m:t>1</m:t>
                            </m:r>
                          </m:sup>
                        </m:sSup>
                      </m:e>
                    </m:rad>
                    <m:r>
                      <a:rPr lang="en-US" sz="1200" b="0" i="1">
                        <a:latin typeface="Cambria Math" panose="02040503050406030204" pitchFamily="18" charset="0"/>
                        <a:ea typeface="Cambria Math" panose="02040503050406030204" pitchFamily="18" charset="0"/>
                      </a:rPr>
                      <m:t>+44.87=</m:t>
                    </m:r>
                    <m:borderBox>
                      <m:borderBoxPr>
                        <m:ctrlPr>
                          <a:rPr lang="en-US" sz="1200" b="0" i="1">
                            <a:latin typeface="Cambria Math" panose="02040503050406030204" pitchFamily="18" charset="0"/>
                            <a:ea typeface="Cambria Math" panose="02040503050406030204" pitchFamily="18" charset="0"/>
                          </a:rPr>
                        </m:ctrlPr>
                      </m:borderBoxPr>
                      <m:e>
                        <m:r>
                          <a:rPr lang="en-US" sz="1200" b="0" i="1">
                            <a:latin typeface="Cambria Math" panose="02040503050406030204" pitchFamily="18" charset="0"/>
                            <a:ea typeface="Cambria Math" panose="02040503050406030204" pitchFamily="18" charset="0"/>
                          </a:rPr>
                          <m:t>39.2</m:t>
                        </m:r>
                      </m:e>
                    </m:borderBox>
                  </m:oMath>
                </m:oMathPara>
              </a14:m>
              <a:endParaRPr lang="en-US" sz="1200"/>
            </a:p>
          </xdr:txBody>
        </xdr:sp>
      </mc:Choice>
      <mc:Fallback xmlns="">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4277701" y="18936677"/>
              <a:ext cx="2938625" cy="243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𝑞^(𝑖∗) (4,2)=−.85</a:t>
              </a:r>
              <a:r>
                <a:rPr lang="en-US" sz="1200" b="0" i="0">
                  <a:latin typeface="Cambria Math" panose="02040503050406030204" pitchFamily="18" charset="0"/>
                  <a:ea typeface="Cambria Math" panose="02040503050406030204" pitchFamily="18" charset="0"/>
                </a:rPr>
                <a:t>×√(〖44.87〗^1 )+44.87=▭39.2</a:t>
              </a:r>
              <a:endParaRPr lang="en-US" sz="1200"/>
            </a:p>
          </xdr:txBody>
        </xdr:sp>
      </mc:Fallback>
    </mc:AlternateContent>
    <xdr:clientData/>
  </xdr:oneCellAnchor>
  <xdr:oneCellAnchor>
    <xdr:from>
      <xdr:col>2</xdr:col>
      <xdr:colOff>55683</xdr:colOff>
      <xdr:row>110</xdr:row>
      <xdr:rowOff>183905</xdr:rowOff>
    </xdr:from>
    <xdr:ext cx="2918299" cy="24045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939516" y="19773655"/>
              <a:ext cx="2918299" cy="240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orderBox>
                      <m:borderBoxPr>
                        <m:ctrlPr>
                          <a:rPr lang="en-US" sz="1200" i="1">
                            <a:latin typeface="Cambria Math" panose="02040503050406030204" pitchFamily="18" charset="0"/>
                          </a:rPr>
                        </m:ctrlPr>
                      </m:borderBoxPr>
                      <m:e>
                        <m:r>
                          <a:rPr lang="en-US" sz="1200" b="0" i="1">
                            <a:latin typeface="Cambria Math" panose="02040503050406030204" pitchFamily="18" charset="0"/>
                          </a:rPr>
                          <m:t>#</m:t>
                        </m:r>
                        <m:r>
                          <a:rPr lang="en-US" sz="1200" b="0" i="1">
                            <a:latin typeface="Cambria Math" panose="02040503050406030204" pitchFamily="18" charset="0"/>
                          </a:rPr>
                          <m:t>𝑁𝑒𝑤</m:t>
                        </m:r>
                        <m:r>
                          <a:rPr lang="en-US" sz="1200" b="0" i="1">
                            <a:latin typeface="Cambria Math" panose="02040503050406030204" pitchFamily="18" charset="0"/>
                          </a:rPr>
                          <m:t> </m:t>
                        </m:r>
                        <m:r>
                          <a:rPr lang="en-US" sz="1200" b="0" i="1">
                            <a:latin typeface="Cambria Math" panose="02040503050406030204" pitchFamily="18" charset="0"/>
                          </a:rPr>
                          <m:t>𝑃𝑎𝑟𝑎𝑚𝑒𝑡𝑒𝑟𝑠</m:t>
                        </m:r>
                        <m:r>
                          <a:rPr lang="en-US" sz="1200" b="0" i="1">
                            <a:latin typeface="Cambria Math" panose="02040503050406030204" pitchFamily="18" charset="0"/>
                          </a:rPr>
                          <m:t>=#</m:t>
                        </m:r>
                        <m:r>
                          <a:rPr lang="en-US" sz="1200" b="0" i="1">
                            <a:latin typeface="Cambria Math" panose="02040503050406030204" pitchFamily="18" charset="0"/>
                          </a:rPr>
                          <m:t>𝐻𝑒𝑡𝑒𝑟𝑜𝐺𝑟𝑜𝑢𝑝𝑠</m:t>
                        </m:r>
                        <m:r>
                          <a:rPr lang="en-US" sz="1200" b="0" i="1">
                            <a:latin typeface="Cambria Math" panose="02040503050406030204" pitchFamily="18" charset="0"/>
                          </a:rPr>
                          <m:t>−1</m:t>
                        </m:r>
                      </m:e>
                    </m:borderBox>
                  </m:oMath>
                </m:oMathPara>
              </a14:m>
              <a:endParaRPr lang="en-US" sz="1200"/>
            </a:p>
          </xdr:txBody>
        </xdr:sp>
      </mc:Choice>
      <mc:Fallback xmlns="">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939516" y="19773655"/>
              <a:ext cx="2918299" cy="240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i="0">
                  <a:latin typeface="Cambria Math" panose="02040503050406030204" pitchFamily="18" charset="0"/>
                </a:rPr>
                <a:t>▭(</a:t>
              </a:r>
              <a:r>
                <a:rPr lang="en-US" sz="1200" b="0" i="0">
                  <a:latin typeface="Cambria Math" panose="02040503050406030204" pitchFamily="18" charset="0"/>
                </a:rPr>
                <a:t>#𝑁𝑒𝑤 𝑃𝑎𝑟𝑎𝑚𝑒𝑡𝑒𝑟𝑠=#𝐻𝑒𝑡𝑒𝑟𝑜𝐺𝑟𝑜𝑢𝑝𝑠−1)</a:t>
              </a:r>
              <a:endParaRPr lang="en-US" sz="1200"/>
            </a:p>
          </xdr:txBody>
        </xdr:sp>
      </mc:Fallback>
    </mc:AlternateContent>
    <xdr:clientData/>
  </xdr:oneCellAnchor>
  <xdr:oneCellAnchor>
    <xdr:from>
      <xdr:col>4</xdr:col>
      <xdr:colOff>564641</xdr:colOff>
      <xdr:row>114</xdr:row>
      <xdr:rowOff>36359</xdr:rowOff>
    </xdr:from>
    <xdr:ext cx="555473" cy="39927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4321724" y="23679526"/>
              <a:ext cx="555473" cy="39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i="1">
                            <a:latin typeface="Cambria Math" panose="02040503050406030204" pitchFamily="18" charset="0"/>
                          </a:rPr>
                        </m:ctrlPr>
                      </m:sSubPr>
                      <m:e>
                        <m:r>
                          <a:rPr lang="en-US" sz="1200" i="1">
                            <a:latin typeface="Cambria Math" panose="02040503050406030204" pitchFamily="18" charset="0"/>
                          </a:rPr>
                          <m:t>ɸ</m:t>
                        </m:r>
                      </m:e>
                      <m:sub>
                        <m:r>
                          <a:rPr lang="en-US" sz="1200" b="0" i="1">
                            <a:latin typeface="Cambria Math" panose="02040503050406030204" pitchFamily="18" charset="0"/>
                          </a:rPr>
                          <m:t>𝑖</m:t>
                        </m:r>
                      </m:sub>
                    </m:sSub>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ɸ</m:t>
                        </m:r>
                      </m:num>
                      <m:den>
                        <m:sSubSup>
                          <m:sSubSupPr>
                            <m:ctrlPr>
                              <a:rPr lang="en-US" sz="1200" b="0" i="1">
                                <a:latin typeface="Cambria Math" panose="02040503050406030204" pitchFamily="18" charset="0"/>
                              </a:rPr>
                            </m:ctrlPr>
                          </m:sSubSupPr>
                          <m:e>
                            <m:r>
                              <a:rPr lang="en-US" sz="1200" b="0" i="1">
                                <a:latin typeface="Cambria Math" panose="02040503050406030204" pitchFamily="18" charset="0"/>
                              </a:rPr>
                              <m:t>h</m:t>
                            </m:r>
                          </m:e>
                          <m:sub>
                            <m:r>
                              <a:rPr lang="en-US" sz="1200" b="0" i="1">
                                <a:latin typeface="Cambria Math" panose="02040503050406030204" pitchFamily="18" charset="0"/>
                              </a:rPr>
                              <m:t>𝑖</m:t>
                            </m:r>
                          </m:sub>
                          <m:sup>
                            <m:r>
                              <a:rPr lang="en-US" sz="1200" b="0" i="1">
                                <a:latin typeface="Cambria Math" panose="02040503050406030204" pitchFamily="18" charset="0"/>
                              </a:rPr>
                              <m:t>2</m:t>
                            </m:r>
                          </m:sup>
                        </m:sSubSup>
                      </m:den>
                    </m:f>
                  </m:oMath>
                </m:oMathPara>
              </a14:m>
              <a:endParaRPr lang="en-US" sz="1200"/>
            </a:p>
          </xdr:txBody>
        </xdr:sp>
      </mc:Choice>
      <mc:Fallback xmlns="">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4321724" y="23679526"/>
              <a:ext cx="555473" cy="399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i="0">
                  <a:latin typeface="Cambria Math" panose="02040503050406030204" pitchFamily="18" charset="0"/>
                </a:rPr>
                <a:t>ɸ_</a:t>
              </a:r>
              <a:r>
                <a:rPr lang="en-US" sz="1200" b="0" i="0">
                  <a:latin typeface="Cambria Math" panose="02040503050406030204" pitchFamily="18" charset="0"/>
                </a:rPr>
                <a:t>𝑖=ɸ/(ℎ_𝑖^2 )</a:t>
              </a:r>
              <a:endParaRPr lang="en-US" sz="1200"/>
            </a:p>
          </xdr:txBody>
        </xdr:sp>
      </mc:Fallback>
    </mc:AlternateContent>
    <xdr:clientData/>
  </xdr:oneCellAnchor>
  <xdr:twoCellAnchor>
    <xdr:from>
      <xdr:col>1</xdr:col>
      <xdr:colOff>275167</xdr:colOff>
      <xdr:row>45</xdr:row>
      <xdr:rowOff>0</xdr:rowOff>
    </xdr:from>
    <xdr:to>
      <xdr:col>2</xdr:col>
      <xdr:colOff>360892</xdr:colOff>
      <xdr:row>47</xdr:row>
      <xdr:rowOff>98741</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3D4D4B53-7DFD-45C6-8E5D-CC7D43987CAC}"/>
                </a:ext>
              </a:extLst>
            </xdr:cNvPr>
            <xdr:cNvSpPr txBox="1"/>
          </xdr:nvSpPr>
          <xdr:spPr>
            <a:xfrm>
              <a:off x="1100667" y="9493250"/>
              <a:ext cx="1366308" cy="50090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h</m:t>
                        </m:r>
                      </m:e>
                      <m:sub>
                        <m:argPr>
                          <m:argSz m:val="-2"/>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𝑠𝑡𝑑𝑒𝑣</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e>
                              <m:sub>
                                <m:argPr>
                                  <m:argSz m:val="-2"/>
                                </m:argPr>
                                <m:r>
                                  <a:rPr lang="en-PH" sz="1100" i="1">
                                    <a:solidFill>
                                      <a:schemeClr val="tx1"/>
                                    </a:solidFill>
                                    <a:effectLst/>
                                    <a:latin typeface="Cambria Math" panose="02040503050406030204" pitchFamily="18" charset="0"/>
                                    <a:ea typeface="+mn-ea"/>
                                    <a:cs typeface="+mn-cs"/>
                                  </a:rPr>
                                  <m:t>𝐴𝑙𝑙</m:t>
                                </m:r>
                              </m:sub>
                            </m:sSub>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e>
                        </m:d>
                      </m:num>
                      <m:den>
                        <m:r>
                          <a:rPr lang="en-PH" sz="1100" i="1">
                            <a:solidFill>
                              <a:schemeClr val="tx1"/>
                            </a:solidFill>
                            <a:effectLst/>
                            <a:latin typeface="Cambria Math" panose="02040503050406030204" pitchFamily="18" charset="0"/>
                            <a:ea typeface="+mn-ea"/>
                            <a:cs typeface="+mn-cs"/>
                          </a:rPr>
                          <m:t>𝑠𝑡𝑑𝑒𝑣</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e>
                              <m:sub>
                                <m:argPr>
                                  <m:argSz m:val="-1"/>
                                </m:argPr>
                                <m:r>
                                  <a:rPr lang="en-PH" sz="1100" i="1">
                                    <a:solidFill>
                                      <a:schemeClr val="tx1"/>
                                    </a:solidFill>
                                    <a:effectLst/>
                                    <a:latin typeface="Cambria Math" panose="02040503050406030204" pitchFamily="18" charset="0"/>
                                    <a:ea typeface="+mn-ea"/>
                                    <a:cs typeface="+mn-cs"/>
                                  </a:rPr>
                                  <m:t>𝑖</m:t>
                                </m:r>
                              </m:sub>
                            </m:sSub>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e>
                        </m:d>
                      </m:den>
                    </m:f>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3D4D4B53-7DFD-45C6-8E5D-CC7D43987CAC}"/>
                </a:ext>
              </a:extLst>
            </xdr:cNvPr>
            <xdr:cNvSpPr txBox="1"/>
          </xdr:nvSpPr>
          <xdr:spPr>
            <a:xfrm>
              <a:off x="1100667" y="9493250"/>
              <a:ext cx="1366308" cy="50090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ℎ_𝑖=𝑠𝑡𝑑𝑒𝑣(⋃_𝐴𝑙𝑙 𝑟_(𝑤,𝑑)^𝐻 )/𝑠𝑡𝑑𝑒𝑣(⋃_𝑖 𝑟_(𝑤,𝑑)^𝐻 )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254000</xdr:colOff>
      <xdr:row>45</xdr:row>
      <xdr:rowOff>179916</xdr:rowOff>
    </xdr:from>
    <xdr:ext cx="3970061" cy="35093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02020-4EDA-4DC5-A810-DCF0EAE9033A}"/>
                </a:ext>
              </a:extLst>
            </xdr:cNvPr>
            <xdr:cNvSpPr txBox="1"/>
          </xdr:nvSpPr>
          <xdr:spPr>
            <a:xfrm>
              <a:off x="3185583" y="9673166"/>
              <a:ext cx="3970061" cy="350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h𝑒𝑡𝑒𝑟𝑜</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𝑎𝑑𝑗</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𝑓𝑎𝑐𝑡𝑜𝑟</m:t>
                        </m:r>
                      </m:e>
                      <m:sup>
                        <m:argPr>
                          <m:argSz m:val="-2"/>
                        </m:argPr>
                        <m:r>
                          <a:rPr lang="en-PH" sz="1100" i="1">
                            <a:solidFill>
                              <a:schemeClr val="tx1"/>
                            </a:solidFill>
                            <a:effectLst/>
                            <a:latin typeface="Cambria Math" panose="02040503050406030204" pitchFamily="18" charset="0"/>
                            <a:ea typeface="+mn-ea"/>
                            <a:cs typeface="+mn-cs"/>
                          </a:rPr>
                          <m:t>𝐺𝑟𝑜𝑢𝑝</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𝑖</m:t>
                        </m:r>
                      </m:sup>
                    </m:s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Std</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Dev</m:t>
                        </m:r>
                        <m:r>
                          <a:rPr lang="en-PH" sz="1100">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𝐴𝑙𝑙</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𝑅𝑒𝑠𝑖𝑑𝑢𝑎𝑙𝑠</m:t>
                        </m:r>
                        <m:r>
                          <a:rPr lang="en-PH" sz="1100" i="1">
                            <a:solidFill>
                              <a:schemeClr val="tx1"/>
                            </a:solidFill>
                            <a:effectLst/>
                            <a:latin typeface="Cambria Math" panose="02040503050406030204" pitchFamily="18" charset="0"/>
                            <a:ea typeface="+mn-ea"/>
                            <a:cs typeface="+mn-cs"/>
                          </a:rPr>
                          <m:t>)</m:t>
                        </m:r>
                      </m:num>
                      <m:den>
                        <m:r>
                          <m:rPr>
                            <m:sty m:val="p"/>
                          </m:rPr>
                          <a:rPr lang="en-PH" sz="1100">
                            <a:solidFill>
                              <a:schemeClr val="tx1"/>
                            </a:solidFill>
                            <a:effectLst/>
                            <a:latin typeface="Cambria Math" panose="02040503050406030204" pitchFamily="18" charset="0"/>
                            <a:ea typeface="+mn-ea"/>
                            <a:cs typeface="+mn-cs"/>
                          </a:rPr>
                          <m:t>Std</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Dev</m:t>
                        </m:r>
                        <m:r>
                          <a:rPr lang="en-PH" sz="1100" i="1">
                            <a:solidFill>
                              <a:schemeClr val="tx1"/>
                            </a:solidFill>
                            <a:effectLst/>
                            <a:latin typeface="Cambria Math" panose="02040503050406030204" pitchFamily="18" charset="0"/>
                            <a:ea typeface="+mn-ea"/>
                            <a:cs typeface="+mn-cs"/>
                          </a:rPr>
                          <m:t> </m:t>
                        </m:r>
                        <m:d>
                          <m:dPr>
                            <m:ctrlPr>
                              <a:rPr lang="en-PH" sz="1100" i="1">
                                <a:solidFill>
                                  <a:schemeClr val="tx1"/>
                                </a:solidFill>
                                <a:effectLst/>
                                <a:latin typeface="Cambria Math" panose="02040503050406030204" pitchFamily="18" charset="0"/>
                                <a:ea typeface="+mn-ea"/>
                                <a:cs typeface="+mn-cs"/>
                              </a:rPr>
                            </m:ctrlPr>
                          </m:dPr>
                          <m:e>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𝐺𝑟𝑜𝑢𝑝𝑒𝑑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𝑅𝑒𝑠𝑖𝑑𝑢𝑎𝑙𝑠</m:t>
                                </m:r>
                              </m:e>
                              <m:sup>
                                <m:argPr>
                                  <m:argSz m:val="-2"/>
                                </m:argPr>
                                <m:r>
                                  <a:rPr lang="en-PH" sz="1100" i="1">
                                    <a:solidFill>
                                      <a:schemeClr val="tx1"/>
                                    </a:solidFill>
                                    <a:effectLst/>
                                    <a:latin typeface="Cambria Math" panose="02040503050406030204" pitchFamily="18" charset="0"/>
                                    <a:ea typeface="+mn-ea"/>
                                    <a:cs typeface="+mn-cs"/>
                                  </a:rPr>
                                  <m:t>𝐺𝑟𝑜𝑢𝑝</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𝑖</m:t>
                                </m:r>
                              </m:sup>
                            </m:sSup>
                          </m:e>
                        </m:d>
                      </m:den>
                    </m:f>
                  </m:oMath>
                </m:oMathPara>
              </a14:m>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AAF02020-4EDA-4DC5-A810-DCF0EAE9033A}"/>
                </a:ext>
              </a:extLst>
            </xdr:cNvPr>
            <xdr:cNvSpPr txBox="1"/>
          </xdr:nvSpPr>
          <xdr:spPr>
            <a:xfrm>
              <a:off x="3185583" y="9673166"/>
              <a:ext cx="3970061" cy="350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〖ℎ𝑒𝑡𝑒𝑟𝑜 𝑎𝑑𝑗 𝑓𝑎𝑐𝑡𝑜𝑟〗^(𝐺𝑟𝑜𝑢𝑝 𝑖)=(Std Dev (𝐴𝑙𝑙 𝑅𝑒𝑠𝑖𝑑𝑢𝑎𝑙𝑠))/(Std Dev (〖𝐺𝑟𝑜𝑢𝑝𝑒𝑑 𝑅𝑒𝑠𝑖𝑑𝑢𝑎𝑙𝑠〗^(𝐺𝑟𝑜𝑢𝑝 𝑖) )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243417</xdr:colOff>
      <xdr:row>55</xdr:row>
      <xdr:rowOff>158750</xdr:rowOff>
    </xdr:from>
    <xdr:to>
      <xdr:col>2</xdr:col>
      <xdr:colOff>15346</xdr:colOff>
      <xdr:row>57</xdr:row>
      <xdr:rowOff>24445</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90EDE8E7-1B12-4289-B6E8-413939CCFC4F}"/>
                </a:ext>
              </a:extLst>
            </xdr:cNvPr>
            <xdr:cNvSpPr txBox="1"/>
          </xdr:nvSpPr>
          <xdr:spPr>
            <a:xfrm>
              <a:off x="1068917" y="11758083"/>
              <a:ext cx="1052512" cy="2678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𝑖𝐻</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𝐻</m:t>
                        </m:r>
                      </m:sup>
                    </m:sSubSup>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h</m:t>
                        </m:r>
                      </m:e>
                      <m:sup>
                        <m:argPr>
                          <m:argSz m:val="-1"/>
                        </m:argPr>
                        <m:r>
                          <a:rPr lang="en-PH" sz="1100" i="1">
                            <a:solidFill>
                              <a:schemeClr val="tx1"/>
                            </a:solidFill>
                            <a:effectLst/>
                            <a:latin typeface="Cambria Math" panose="02040503050406030204" pitchFamily="18" charset="0"/>
                            <a:ea typeface="+mn-ea"/>
                            <a:cs typeface="+mn-cs"/>
                          </a:rPr>
                          <m:t>𝑖</m:t>
                        </m:r>
                      </m:sup>
                    </m:sSup>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90EDE8E7-1B12-4289-B6E8-413939CCFC4F}"/>
                </a:ext>
              </a:extLst>
            </xdr:cNvPr>
            <xdr:cNvSpPr txBox="1"/>
          </xdr:nvSpPr>
          <xdr:spPr>
            <a:xfrm>
              <a:off x="1068917" y="11758083"/>
              <a:ext cx="1052512" cy="2678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𝑟_(𝑤,𝑑)^𝑖𝐻=𝑟_(𝑤,𝑑)^𝐻×ℎ^𝑖</a:t>
              </a:r>
              <a:endParaRPr lang="en-PH" sz="1100">
                <a:solidFill>
                  <a:schemeClr val="tx1"/>
                </a:solidFill>
                <a:effectLst/>
                <a:latin typeface="+mn-lt"/>
                <a:ea typeface="+mn-ea"/>
                <a:cs typeface="+mn-cs"/>
              </a:endParaRPr>
            </a:p>
          </xdr:txBody>
        </xdr:sp>
      </mc:Fallback>
    </mc:AlternateContent>
    <xdr:clientData/>
  </xdr:twoCellAnchor>
  <xdr:twoCellAnchor>
    <xdr:from>
      <xdr:col>1</xdr:col>
      <xdr:colOff>105834</xdr:colOff>
      <xdr:row>71</xdr:row>
      <xdr:rowOff>21167</xdr:rowOff>
    </xdr:from>
    <xdr:to>
      <xdr:col>2</xdr:col>
      <xdr:colOff>805922</xdr:colOff>
      <xdr:row>73</xdr:row>
      <xdr:rowOff>60917</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D1CFC4F2-9B2F-4A91-A7B4-939399397A25}"/>
                </a:ext>
              </a:extLst>
            </xdr:cNvPr>
            <xdr:cNvSpPr txBox="1"/>
          </xdr:nvSpPr>
          <xdr:spPr>
            <a:xfrm>
              <a:off x="931334" y="14869584"/>
              <a:ext cx="1980671" cy="441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𝑟</m:t>
                            </m:r>
                          </m:e>
                          <m:sup>
                            <m:r>
                              <a:rPr lang="en-PH" sz="1100" i="1">
                                <a:solidFill>
                                  <a:schemeClr val="tx1"/>
                                </a:solidFill>
                                <a:effectLst/>
                                <a:latin typeface="Cambria Math" panose="02040503050406030204" pitchFamily="18" charset="0"/>
                                <a:ea typeface="+mn-ea"/>
                                <a:cs typeface="+mn-cs"/>
                              </a:rPr>
                              <m:t>∗</m:t>
                            </m:r>
                          </m:sup>
                        </m:sSup>
                      </m:num>
                      <m:den>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h</m:t>
                            </m:r>
                          </m:e>
                          <m:sup>
                            <m:r>
                              <a:rPr lang="en-PH" sz="1100" i="1">
                                <a:solidFill>
                                  <a:schemeClr val="tx1"/>
                                </a:solidFill>
                                <a:effectLst/>
                                <a:latin typeface="Cambria Math" panose="02040503050406030204" pitchFamily="18" charset="0"/>
                                <a:ea typeface="+mn-ea"/>
                                <a:cs typeface="+mn-cs"/>
                              </a:rPr>
                              <m:t>𝑖</m:t>
                            </m:r>
                          </m:sup>
                        </m:sSup>
                      </m:den>
                    </m:f>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r>
                              <a:rPr lang="en-PH" sz="1100" i="1">
                                <a:solidFill>
                                  <a:schemeClr val="tx1"/>
                                </a:solidFill>
                                <a:effectLst/>
                                <a:latin typeface="Cambria Math" panose="02040503050406030204" pitchFamily="18" charset="0"/>
                                <a:ea typeface="+mn-ea"/>
                                <a:cs typeface="+mn-cs"/>
                              </a:rPr>
                              <m:t>𝑧</m:t>
                            </m:r>
                          </m:sup>
                        </m:sSubSup>
                      </m:e>
                    </m:ra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D1CFC4F2-9B2F-4A91-A7B4-939399397A25}"/>
                </a:ext>
              </a:extLst>
            </xdr:cNvPr>
            <xdr:cNvSpPr txBox="1"/>
          </xdr:nvSpPr>
          <xdr:spPr>
            <a:xfrm>
              <a:off x="931334" y="14869584"/>
              <a:ext cx="1980671" cy="441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𝑞^(𝑖∗) (𝑤,𝑑)=𝑟^∗/ℎ^𝑖 ×√(𝑚_(𝑤,𝑑)^𝑧 )+𝑚_(𝑤,𝑑)</a:t>
              </a:r>
              <a:endParaRPr lang="en-PH" sz="1100">
                <a:solidFill>
                  <a:schemeClr val="tx1"/>
                </a:solidFill>
                <a:effectLst/>
                <a:latin typeface="+mn-lt"/>
                <a:ea typeface="+mn-ea"/>
                <a:cs typeface="+mn-cs"/>
              </a:endParaRPr>
            </a:p>
          </xdr:txBody>
        </xdr:sp>
      </mc:Fallback>
    </mc:AlternateContent>
    <xdr:clientData/>
  </xdr:twoCellAnchor>
  <xdr:oneCellAnchor>
    <xdr:from>
      <xdr:col>3</xdr:col>
      <xdr:colOff>539751</xdr:colOff>
      <xdr:row>71</xdr:row>
      <xdr:rowOff>84666</xdr:rowOff>
    </xdr:from>
    <xdr:ext cx="3436197" cy="334835"/>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E3DFEC7-63A8-4C39-8629-C8B3AFE572A8}"/>
                </a:ext>
              </a:extLst>
            </xdr:cNvPr>
            <xdr:cNvSpPr txBox="1"/>
          </xdr:nvSpPr>
          <xdr:spPr>
            <a:xfrm>
              <a:off x="3471334" y="14933083"/>
              <a:ext cx="3436197" cy="334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𝑠𝑖𝑚</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𝑟𝑒𝑠𝑖𝑑𝑢𝑎𝑙</m:t>
                            </m:r>
                          </m:e>
                          <m:sup>
                            <m:argPr>
                              <m:argSz m:val="-1"/>
                            </m:argPr>
                            <m:r>
                              <a:rPr lang="en-PH" sz="1100" i="1">
                                <a:solidFill>
                                  <a:schemeClr val="tx1"/>
                                </a:solidFill>
                                <a:effectLst/>
                                <a:latin typeface="Cambria Math" panose="02040503050406030204" pitchFamily="18" charset="0"/>
                                <a:ea typeface="+mn-ea"/>
                                <a:cs typeface="+mn-cs"/>
                              </a:rPr>
                              <m:t>𝑠𝑖𝑚</m:t>
                            </m:r>
                          </m:sup>
                        </m:sSup>
                      </m:num>
                      <m:den>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h</m:t>
                            </m:r>
                          </m:e>
                          <m:sup>
                            <m:argPr>
                              <m:argSz m:val="-1"/>
                            </m:argPr>
                            <m:r>
                              <a:rPr lang="en-PH" sz="1100" i="1">
                                <a:solidFill>
                                  <a:schemeClr val="tx1"/>
                                </a:solidFill>
                                <a:effectLst/>
                                <a:latin typeface="Cambria Math" panose="02040503050406030204" pitchFamily="18" charset="0"/>
                                <a:ea typeface="+mn-ea"/>
                                <a:cs typeface="+mn-cs"/>
                              </a:rPr>
                              <m:t>𝑖</m:t>
                            </m:r>
                          </m:sup>
                        </m:sSup>
                      </m:den>
                    </m:f>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𝐼𝑛𝑐𝐿𝑜𝑠𝑠</m:t>
                                </m:r>
                              </m:e>
                            </m:d>
                          </m:e>
                          <m:sup>
                            <m:argPr>
                              <m:argSz m:val="-1"/>
                            </m:argPr>
                            <m:r>
                              <a:rPr lang="en-PH" sz="1100" i="1">
                                <a:solidFill>
                                  <a:schemeClr val="tx1"/>
                                </a:solidFill>
                                <a:effectLst/>
                                <a:latin typeface="Cambria Math" panose="02040503050406030204" pitchFamily="18" charset="0"/>
                                <a:ea typeface="+mn-ea"/>
                                <a:cs typeface="+mn-cs"/>
                              </a:rPr>
                              <m:t>𝑧</m:t>
                            </m:r>
                          </m:sup>
                        </m:sSup>
                      </m:e>
                    </m:ra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𝐸</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𝐼𝑛𝑐𝐿𝑜𝑠𝑠</m:t>
                        </m:r>
                      </m:e>
                    </m:d>
                  </m:oMath>
                </m:oMathPara>
              </a14:m>
              <a:endParaRPr lang="en-PH"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CE3DFEC7-63A8-4C39-8629-C8B3AFE572A8}"/>
                </a:ext>
              </a:extLst>
            </xdr:cNvPr>
            <xdr:cNvSpPr txBox="1"/>
          </xdr:nvSpPr>
          <xdr:spPr>
            <a:xfrm>
              <a:off x="3471334" y="14933083"/>
              <a:ext cx="3436197" cy="334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〖𝐼𝑛𝑐𝐿𝑜𝑠𝑠〗_(𝐴𝑌,𝑑)^𝑠𝑖𝑚=〖𝑟𝑒𝑠𝑖𝑑𝑢𝑎𝑙〗^𝑠𝑖𝑚/ℎ^𝑖 ×√(〖𝐸[𝐼𝑛𝑐𝐿𝑜𝑠𝑠]〗^𝑧 )+𝐸[𝐼𝑛𝑐𝐿𝑜𝑠𝑠]</a:t>
              </a:r>
              <a:endParaRPr lang="en-PH" sz="1100">
                <a:solidFill>
                  <a:schemeClr val="tx1"/>
                </a:solidFill>
                <a:effectLst/>
                <a:latin typeface="+mn-lt"/>
                <a:ea typeface="+mn-ea"/>
                <a:cs typeface="+mn-cs"/>
              </a:endParaRPr>
            </a:p>
          </xdr:txBody>
        </xdr:sp>
      </mc:Fallback>
    </mc:AlternateContent>
    <xdr:clientData/>
  </xdr:oneCellAnchor>
  <xdr:oneCellAnchor>
    <xdr:from>
      <xdr:col>5</xdr:col>
      <xdr:colOff>338138</xdr:colOff>
      <xdr:row>24</xdr:row>
      <xdr:rowOff>0</xdr:rowOff>
    </xdr:from>
    <xdr:ext cx="459741" cy="201402"/>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5FBC70F1-0746-E8C8-2497-9BD83DD01334}"/>
                </a:ext>
              </a:extLst>
            </xdr:cNvPr>
            <xdr:cNvSpPr txBox="1"/>
          </xdr:nvSpPr>
          <xdr:spPr>
            <a:xfrm>
              <a:off x="4914901" y="5114925"/>
              <a:ext cx="459741" cy="2014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kern="1200">
                            <a:latin typeface="Cambria Math" panose="02040503050406030204" pitchFamily="18" charset="0"/>
                          </a:rPr>
                        </m:ctrlPr>
                      </m:sSubSupPr>
                      <m:e>
                        <m:r>
                          <a:rPr lang="en-PH" sz="1100" b="0" i="1" kern="1200">
                            <a:latin typeface="Cambria Math" panose="02040503050406030204" pitchFamily="18" charset="0"/>
                          </a:rPr>
                          <m:t>𝑟</m:t>
                        </m:r>
                      </m:e>
                      <m:sub>
                        <m:r>
                          <a:rPr lang="en-PH" sz="1100" b="0" i="1" kern="1200">
                            <a:latin typeface="Cambria Math" panose="02040503050406030204" pitchFamily="18" charset="0"/>
                          </a:rPr>
                          <m:t>𝑠𝑎𝑚𝑝𝑙𝑒</m:t>
                        </m:r>
                      </m:sub>
                      <m:sup>
                        <m:r>
                          <a:rPr lang="en-PH" sz="1100" b="0" i="1" kern="1200">
                            <a:latin typeface="Cambria Math" panose="02040503050406030204" pitchFamily="18" charset="0"/>
                          </a:rPr>
                          <m:t>𝑖𝐻</m:t>
                        </m:r>
                      </m:sup>
                    </m:sSubSup>
                  </m:oMath>
                </m:oMathPara>
              </a14:m>
              <a:endParaRPr lang="en-PH" sz="1100" kern="1200"/>
            </a:p>
          </xdr:txBody>
        </xdr:sp>
      </mc:Choice>
      <mc:Fallback xmlns="">
        <xdr:sp macro="" textlink="">
          <xdr:nvSpPr>
            <xdr:cNvPr id="10" name="TextBox 9">
              <a:extLst>
                <a:ext uri="{FF2B5EF4-FFF2-40B4-BE49-F238E27FC236}">
                  <a16:creationId xmlns:a16="http://schemas.microsoft.com/office/drawing/2014/main" id="{5FBC70F1-0746-E8C8-2497-9BD83DD01334}"/>
                </a:ext>
              </a:extLst>
            </xdr:cNvPr>
            <xdr:cNvSpPr txBox="1"/>
          </xdr:nvSpPr>
          <xdr:spPr>
            <a:xfrm>
              <a:off x="4914901" y="5114925"/>
              <a:ext cx="459741" cy="2014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0" i="0" kern="1200">
                  <a:latin typeface="Cambria Math" panose="02040503050406030204" pitchFamily="18" charset="0"/>
                </a:rPr>
                <a:t>𝑟_𝑠𝑎𝑚𝑝𝑙𝑒^𝑖𝐻</a:t>
              </a:r>
              <a:endParaRPr lang="en-PH" sz="1100" kern="1200"/>
            </a:p>
          </xdr:txBody>
        </xdr:sp>
      </mc:Fallback>
    </mc:AlternateContent>
    <xdr:clientData/>
  </xdr:oneCellAnchor>
  <xdr:oneCellAnchor>
    <xdr:from>
      <xdr:col>2</xdr:col>
      <xdr:colOff>204787</xdr:colOff>
      <xdr:row>25</xdr:row>
      <xdr:rowOff>190500</xdr:rowOff>
    </xdr:from>
    <xdr:ext cx="227883" cy="19191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5214AED2-5BE6-4A78-A4E5-9FFE60B66D11}"/>
                </a:ext>
              </a:extLst>
            </xdr:cNvPr>
            <xdr:cNvSpPr txBox="1"/>
          </xdr:nvSpPr>
          <xdr:spPr>
            <a:xfrm>
              <a:off x="2309812" y="5505450"/>
              <a:ext cx="227883" cy="191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kern="1200">
                            <a:latin typeface="Cambria Math" panose="02040503050406030204" pitchFamily="18" charset="0"/>
                          </a:rPr>
                        </m:ctrlPr>
                      </m:sSubSupPr>
                      <m:e>
                        <m:r>
                          <a:rPr lang="en-PH" sz="1100" b="0" i="1" kern="1200">
                            <a:latin typeface="Cambria Math" panose="02040503050406030204" pitchFamily="18" charset="0"/>
                          </a:rPr>
                          <m:t>𝑟</m:t>
                        </m:r>
                      </m:e>
                      <m:sub>
                        <m:r>
                          <a:rPr lang="en-PH" sz="1100" b="0" i="1" kern="1200">
                            <a:latin typeface="Cambria Math" panose="02040503050406030204" pitchFamily="18" charset="0"/>
                          </a:rPr>
                          <m:t>1,2</m:t>
                        </m:r>
                      </m:sub>
                      <m:sup>
                        <m:r>
                          <a:rPr lang="en-PH" sz="1100" b="0" i="1" kern="1200">
                            <a:latin typeface="Cambria Math" panose="02040503050406030204" pitchFamily="18" charset="0"/>
                          </a:rPr>
                          <m:t>𝑖𝐻</m:t>
                        </m:r>
                      </m:sup>
                    </m:sSubSup>
                  </m:oMath>
                </m:oMathPara>
              </a14:m>
              <a:endParaRPr lang="en-PH" sz="1100" kern="1200"/>
            </a:p>
          </xdr:txBody>
        </xdr:sp>
      </mc:Choice>
      <mc:Fallback xmlns="">
        <xdr:sp macro="" textlink="">
          <xdr:nvSpPr>
            <xdr:cNvPr id="11" name="TextBox 10">
              <a:extLst>
                <a:ext uri="{FF2B5EF4-FFF2-40B4-BE49-F238E27FC236}">
                  <a16:creationId xmlns:a16="http://schemas.microsoft.com/office/drawing/2014/main" id="{5214AED2-5BE6-4A78-A4E5-9FFE60B66D11}"/>
                </a:ext>
              </a:extLst>
            </xdr:cNvPr>
            <xdr:cNvSpPr txBox="1"/>
          </xdr:nvSpPr>
          <xdr:spPr>
            <a:xfrm>
              <a:off x="2309812" y="5505450"/>
              <a:ext cx="227883" cy="191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0" i="0" kern="1200">
                  <a:latin typeface="Cambria Math" panose="02040503050406030204" pitchFamily="18" charset="0"/>
                </a:rPr>
                <a:t>𝑟_1,2^𝑖𝐻</a:t>
              </a:r>
              <a:endParaRPr lang="en-PH" sz="1100" kern="1200"/>
            </a:p>
          </xdr:txBody>
        </xdr:sp>
      </mc:Fallback>
    </mc:AlternateContent>
    <xdr:clientData/>
  </xdr:oneCellAnchor>
  <xdr:oneCellAnchor>
    <xdr:from>
      <xdr:col>3</xdr:col>
      <xdr:colOff>280987</xdr:colOff>
      <xdr:row>26</xdr:row>
      <xdr:rowOff>9525</xdr:rowOff>
    </xdr:from>
    <xdr:ext cx="227883" cy="192297"/>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F679947-1385-4BE1-B095-871694AE3A3C}"/>
                </a:ext>
              </a:extLst>
            </xdr:cNvPr>
            <xdr:cNvSpPr txBox="1"/>
          </xdr:nvSpPr>
          <xdr:spPr>
            <a:xfrm>
              <a:off x="3209925" y="5524500"/>
              <a:ext cx="227883" cy="192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kern="1200">
                            <a:latin typeface="Cambria Math" panose="02040503050406030204" pitchFamily="18" charset="0"/>
                          </a:rPr>
                        </m:ctrlPr>
                      </m:sSubSupPr>
                      <m:e>
                        <m:r>
                          <a:rPr lang="en-PH" sz="1100" b="0" i="1" kern="1200">
                            <a:latin typeface="Cambria Math" panose="02040503050406030204" pitchFamily="18" charset="0"/>
                          </a:rPr>
                          <m:t>𝑟</m:t>
                        </m:r>
                      </m:e>
                      <m:sub>
                        <m:r>
                          <a:rPr lang="en-PH" sz="1100" b="0" i="1" kern="1200">
                            <a:latin typeface="Cambria Math" panose="02040503050406030204" pitchFamily="18" charset="0"/>
                          </a:rPr>
                          <m:t>3,4</m:t>
                        </m:r>
                      </m:sub>
                      <m:sup>
                        <m:r>
                          <a:rPr lang="en-PH" sz="1100" b="0" i="1" kern="1200">
                            <a:latin typeface="Cambria Math" panose="02040503050406030204" pitchFamily="18" charset="0"/>
                          </a:rPr>
                          <m:t>𝑖𝐻</m:t>
                        </m:r>
                      </m:sup>
                    </m:sSubSup>
                  </m:oMath>
                </m:oMathPara>
              </a14:m>
              <a:endParaRPr lang="en-PH" sz="1100" kern="1200"/>
            </a:p>
          </xdr:txBody>
        </xdr:sp>
      </mc:Choice>
      <mc:Fallback xmlns="">
        <xdr:sp macro="" textlink="">
          <xdr:nvSpPr>
            <xdr:cNvPr id="12" name="TextBox 11">
              <a:extLst>
                <a:ext uri="{FF2B5EF4-FFF2-40B4-BE49-F238E27FC236}">
                  <a16:creationId xmlns:a16="http://schemas.microsoft.com/office/drawing/2014/main" id="{CF679947-1385-4BE1-B095-871694AE3A3C}"/>
                </a:ext>
              </a:extLst>
            </xdr:cNvPr>
            <xdr:cNvSpPr txBox="1"/>
          </xdr:nvSpPr>
          <xdr:spPr>
            <a:xfrm>
              <a:off x="3209925" y="5524500"/>
              <a:ext cx="227883" cy="192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0" i="0" kern="1200">
                  <a:latin typeface="Cambria Math" panose="02040503050406030204" pitchFamily="18" charset="0"/>
                </a:rPr>
                <a:t>𝑟_3,4^𝑖𝐻</a:t>
              </a:r>
              <a:endParaRPr lang="en-PH" sz="1100" kern="1200"/>
            </a:p>
          </xdr:txBody>
        </xdr:sp>
      </mc:Fallback>
    </mc:AlternateContent>
    <xdr:clientData/>
  </xdr:oneCellAnchor>
  <xdr:oneCellAnchor>
    <xdr:from>
      <xdr:col>4</xdr:col>
      <xdr:colOff>266700</xdr:colOff>
      <xdr:row>26</xdr:row>
      <xdr:rowOff>0</xdr:rowOff>
    </xdr:from>
    <xdr:ext cx="227883" cy="194669"/>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472B784C-4FF7-4BDC-A87E-EC2CA24C7841}"/>
                </a:ext>
              </a:extLst>
            </xdr:cNvPr>
            <xdr:cNvSpPr txBox="1"/>
          </xdr:nvSpPr>
          <xdr:spPr>
            <a:xfrm>
              <a:off x="4019550" y="5514975"/>
              <a:ext cx="227883" cy="194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kern="1200">
                            <a:latin typeface="Cambria Math" panose="02040503050406030204" pitchFamily="18" charset="0"/>
                          </a:rPr>
                        </m:ctrlPr>
                      </m:sSubSupPr>
                      <m:e>
                        <m:r>
                          <a:rPr lang="en-PH" sz="1100" b="0" i="1" kern="1200">
                            <a:latin typeface="Cambria Math" panose="02040503050406030204" pitchFamily="18" charset="0"/>
                          </a:rPr>
                          <m:t>𝑟</m:t>
                        </m:r>
                      </m:e>
                      <m:sub>
                        <m:r>
                          <a:rPr lang="en-PH" sz="1100" b="0" i="1" kern="1200">
                            <a:latin typeface="Cambria Math" panose="02040503050406030204" pitchFamily="18" charset="0"/>
                          </a:rPr>
                          <m:t>1,5</m:t>
                        </m:r>
                      </m:sub>
                      <m:sup>
                        <m:r>
                          <a:rPr lang="en-PH" sz="1100" b="0" i="1" kern="1200">
                            <a:latin typeface="Cambria Math" panose="02040503050406030204" pitchFamily="18" charset="0"/>
                          </a:rPr>
                          <m:t>𝑖𝐻</m:t>
                        </m:r>
                      </m:sup>
                    </m:sSubSup>
                  </m:oMath>
                </m:oMathPara>
              </a14:m>
              <a:endParaRPr lang="en-PH" sz="1100" kern="1200"/>
            </a:p>
          </xdr:txBody>
        </xdr:sp>
      </mc:Choice>
      <mc:Fallback xmlns="">
        <xdr:sp macro="" textlink="">
          <xdr:nvSpPr>
            <xdr:cNvPr id="13" name="TextBox 12">
              <a:extLst>
                <a:ext uri="{FF2B5EF4-FFF2-40B4-BE49-F238E27FC236}">
                  <a16:creationId xmlns:a16="http://schemas.microsoft.com/office/drawing/2014/main" id="{472B784C-4FF7-4BDC-A87E-EC2CA24C7841}"/>
                </a:ext>
              </a:extLst>
            </xdr:cNvPr>
            <xdr:cNvSpPr txBox="1"/>
          </xdr:nvSpPr>
          <xdr:spPr>
            <a:xfrm>
              <a:off x="4019550" y="5514975"/>
              <a:ext cx="227883" cy="194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0" i="0" kern="1200">
                  <a:latin typeface="Cambria Math" panose="02040503050406030204" pitchFamily="18" charset="0"/>
                </a:rPr>
                <a:t>𝑟_1,5^𝑖𝐻</a:t>
              </a:r>
              <a:endParaRPr lang="en-PH" sz="1100" kern="12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1</xdr:col>
      <xdr:colOff>243417</xdr:colOff>
      <xdr:row>31</xdr:row>
      <xdr:rowOff>148166</xdr:rowOff>
    </xdr:from>
    <xdr:to>
      <xdr:col>1</xdr:col>
      <xdr:colOff>972240</xdr:colOff>
      <xdr:row>33</xdr:row>
      <xdr:rowOff>197251</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88E4001B-2B34-4A37-A134-3436929C39E8}"/>
                </a:ext>
              </a:extLst>
            </xdr:cNvPr>
            <xdr:cNvSpPr txBox="1"/>
          </xdr:nvSpPr>
          <xdr:spPr>
            <a:xfrm>
              <a:off x="1068917" y="6487583"/>
              <a:ext cx="728823" cy="45125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𝜙</m:t>
                    </m:r>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2</m:t>
                                </m:r>
                              </m:sup>
                            </m:sSubSup>
                          </m:e>
                        </m:nary>
                      </m:num>
                      <m:den>
                        <m:r>
                          <a:rPr lang="en-PH" sz="1100" i="1">
                            <a:solidFill>
                              <a:schemeClr val="tx1"/>
                            </a:solidFill>
                            <a:effectLst/>
                            <a:latin typeface="Cambria Math" panose="02040503050406030204" pitchFamily="18" charset="0"/>
                            <a:ea typeface="+mn-ea"/>
                            <a:cs typeface="+mn-cs"/>
                          </a:rPr>
                          <m:t>𝑁</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𝑝</m:t>
                        </m:r>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88E4001B-2B34-4A37-A134-3436929C39E8}"/>
                </a:ext>
              </a:extLst>
            </xdr:cNvPr>
            <xdr:cNvSpPr txBox="1"/>
          </xdr:nvSpPr>
          <xdr:spPr>
            <a:xfrm>
              <a:off x="1068917" y="6487583"/>
              <a:ext cx="728823" cy="45125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𝜙=(∑1▒𝑟_(𝑤,𝑑)^2 )/(𝑁−𝑝)</a:t>
              </a:r>
              <a:endParaRPr lang="en-PH" sz="1100">
                <a:solidFill>
                  <a:schemeClr val="tx1"/>
                </a:solidFill>
                <a:effectLst/>
                <a:latin typeface="+mn-lt"/>
                <a:ea typeface="+mn-ea"/>
                <a:cs typeface="+mn-cs"/>
              </a:endParaRPr>
            </a:p>
          </xdr:txBody>
        </xdr:sp>
      </mc:Fallback>
    </mc:AlternateContent>
    <xdr:clientData/>
  </xdr:twoCellAnchor>
  <xdr:oneCellAnchor>
    <xdr:from>
      <xdr:col>2</xdr:col>
      <xdr:colOff>0</xdr:colOff>
      <xdr:row>32</xdr:row>
      <xdr:rowOff>0</xdr:rowOff>
    </xdr:from>
    <xdr:ext cx="2665153"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21F774-FE3F-426B-B68D-B2AAD4F1F69F}"/>
                </a:ext>
              </a:extLst>
            </xdr:cNvPr>
            <xdr:cNvSpPr txBox="1"/>
          </xdr:nvSpPr>
          <xdr:spPr>
            <a:xfrm>
              <a:off x="2179545" y="6516221"/>
              <a:ext cx="266515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𝑁</m:t>
                    </m:r>
                    <m:r>
                      <a:rPr lang="en-PH" sz="1100" i="1">
                        <a:solidFill>
                          <a:schemeClr val="tx1"/>
                        </a:solidFill>
                        <a:effectLst/>
                        <a:latin typeface="Cambria Math" panose="02040503050406030204" pitchFamily="18" charset="0"/>
                        <a:ea typeface="+mn-ea"/>
                        <a:cs typeface="+mn-cs"/>
                      </a:rPr>
                      <m:t>→</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incremental</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values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including</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zeros</m:t>
                    </m:r>
                    <m:r>
                      <a:rPr lang="en-PH" sz="1100">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5021F774-FE3F-426B-B68D-B2AAD4F1F69F}"/>
                </a:ext>
              </a:extLst>
            </xdr:cNvPr>
            <xdr:cNvSpPr txBox="1"/>
          </xdr:nvSpPr>
          <xdr:spPr>
            <a:xfrm>
              <a:off x="2179545" y="6516221"/>
              <a:ext cx="266515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𝑁→# incremental values (including zeros)</a:t>
              </a:r>
              <a:endParaRPr lang="en-PH" sz="1100">
                <a:solidFill>
                  <a:schemeClr val="tx1"/>
                </a:solidFill>
                <a:effectLst/>
                <a:latin typeface="+mn-lt"/>
                <a:ea typeface="+mn-ea"/>
                <a:cs typeface="+mn-cs"/>
              </a:endParaRPr>
            </a:p>
          </xdr:txBody>
        </xdr:sp>
      </mc:Fallback>
    </mc:AlternateContent>
    <xdr:clientData/>
  </xdr:oneCellAnchor>
  <xdr:oneCellAnchor>
    <xdr:from>
      <xdr:col>2</xdr:col>
      <xdr:colOff>0</xdr:colOff>
      <xdr:row>33</xdr:row>
      <xdr:rowOff>0</xdr:rowOff>
    </xdr:from>
    <xdr:ext cx="2331920" cy="34445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D08336-C014-4F73-80EC-308F27741B87}"/>
                </a:ext>
              </a:extLst>
            </xdr:cNvPr>
            <xdr:cNvSpPr txBox="1"/>
          </xdr:nvSpPr>
          <xdr:spPr>
            <a:xfrm>
              <a:off x="2179545" y="6717927"/>
              <a:ext cx="233192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𝑝</m:t>
                    </m:r>
                    <m:r>
                      <a:rPr lang="en-PH" sz="1100" i="1">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parameters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in</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GLM</m:t>
                    </m:r>
                    <m:r>
                      <a:rPr lang="en-PH" sz="1100">
                        <a:solidFill>
                          <a:schemeClr val="tx1"/>
                        </a:solidFill>
                        <a:effectLst/>
                        <a:latin typeface="Cambria Math" panose="02040503050406030204" pitchFamily="18" charset="0"/>
                        <a:ea typeface="+mn-ea"/>
                        <a:cs typeface="+mn-cs"/>
                      </a:rPr>
                      <m:t> </m:t>
                    </m:r>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αs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and</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βs</m:t>
                        </m:r>
                      </m:e>
                    </m:d>
                    <m:r>
                      <m:rPr>
                        <m:nor/>
                      </m:rPr>
                      <a:rPr lang="en-PH" sz="1100">
                        <a:solidFill>
                          <a:schemeClr val="tx1"/>
                        </a:solidFill>
                        <a:effectLst/>
                        <a:latin typeface="+mn-lt"/>
                        <a:ea typeface="+mn-ea"/>
                        <a:cs typeface="+mn-cs"/>
                      </a:rPr>
                      <m:t>,</m:t>
                    </m:r>
                  </m:oMath>
                </m:oMathPara>
              </a14:m>
              <a:endParaRPr lang="en-PH" sz="1100">
                <a:solidFill>
                  <a:schemeClr val="tx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m:rPr>
                        <m:nor/>
                      </m:rPr>
                      <a:rPr lang="en-PH" sz="1100">
                        <a:solidFill>
                          <a:schemeClr val="tx1"/>
                        </a:solidFill>
                        <a:effectLst/>
                        <a:latin typeface="+mn-lt"/>
                        <a:ea typeface="+mn-ea"/>
                        <a:cs typeface="+mn-cs"/>
                      </a:rPr>
                      <m:t>        </m:t>
                    </m:r>
                    <m:r>
                      <m:rPr>
                        <m:sty m:val="p"/>
                      </m:rPr>
                      <a:rPr lang="en-PH" sz="1100">
                        <a:solidFill>
                          <a:schemeClr val="tx1"/>
                        </a:solidFill>
                        <a:effectLst/>
                        <a:latin typeface="Cambria Math" panose="02040503050406030204" pitchFamily="18" charset="0"/>
                        <a:ea typeface="+mn-ea"/>
                        <a:cs typeface="+mn-cs"/>
                      </a:rPr>
                      <m:t>including</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hetero</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parameters</m:t>
                    </m:r>
                  </m:oMath>
                </m:oMathPara>
              </a14:m>
              <a:endParaRPr lang="en-PH"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71D08336-C014-4F73-80EC-308F27741B87}"/>
                </a:ext>
              </a:extLst>
            </xdr:cNvPr>
            <xdr:cNvSpPr txBox="1"/>
          </xdr:nvSpPr>
          <xdr:spPr>
            <a:xfrm>
              <a:off x="2179545" y="6717927"/>
              <a:ext cx="233192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𝑝→# parameters in GLM (αs and βs)</a:t>
              </a:r>
              <a:r>
                <a:rPr lang="en-PH" sz="1100" i="0">
                  <a:solidFill>
                    <a:schemeClr val="tx1"/>
                  </a:solidFill>
                  <a:effectLst/>
                  <a:latin typeface="Cambria Math" panose="02040503050406030204" pitchFamily="18" charset="0"/>
                  <a:ea typeface="+mn-ea"/>
                  <a:cs typeface="+mn-cs"/>
                </a:rPr>
                <a:t>",</a:t>
              </a:r>
              <a:r>
                <a:rPr lang="en-PH" sz="1100" i="0">
                  <a:solidFill>
                    <a:schemeClr val="tx1"/>
                  </a:solidFill>
                  <a:effectLst/>
                  <a:latin typeface="+mn-lt"/>
                  <a:ea typeface="+mn-ea"/>
                  <a:cs typeface="+mn-cs"/>
                </a:rPr>
                <a:t>"</a:t>
              </a:r>
              <a:endParaRPr lang="en-PH" sz="1100">
                <a:solidFill>
                  <a:schemeClr val="tx1"/>
                </a:solidFill>
                <a:effectLst/>
                <a:latin typeface="+mn-lt"/>
                <a:ea typeface="+mn-ea"/>
                <a:cs typeface="+mn-cs"/>
              </a:endParaRPr>
            </a:p>
            <a:p>
              <a:r>
                <a:rPr lang="en-PH" sz="1100" i="0">
                  <a:solidFill>
                    <a:schemeClr val="tx1"/>
                  </a:solidFill>
                  <a:effectLst/>
                  <a:latin typeface="Cambria Math" panose="02040503050406030204" pitchFamily="18" charset="0"/>
                  <a:ea typeface="+mn-ea"/>
                  <a:cs typeface="+mn-cs"/>
                </a:rPr>
                <a:t>"        </a:t>
              </a:r>
              <a:r>
                <a:rPr lang="en-PH" sz="1100" i="0">
                  <a:solidFill>
                    <a:schemeClr val="tx1"/>
                  </a:solidFill>
                  <a:effectLst/>
                  <a:latin typeface="+mn-lt"/>
                  <a:ea typeface="+mn-ea"/>
                  <a:cs typeface="+mn-cs"/>
                </a:rPr>
                <a:t>" including hetero parameters</a:t>
              </a:r>
              <a:endParaRPr lang="en-PH" sz="1100">
                <a:solidFill>
                  <a:schemeClr val="tx1"/>
                </a:solidFill>
                <a:effectLst/>
                <a:latin typeface="+mn-lt"/>
                <a:ea typeface="+mn-ea"/>
                <a:cs typeface="+mn-cs"/>
              </a:endParaRPr>
            </a:p>
          </xdr:txBody>
        </xdr:sp>
      </mc:Fallback>
    </mc:AlternateContent>
    <xdr:clientData/>
  </xdr:oneCellAnchor>
  <xdr:twoCellAnchor>
    <xdr:from>
      <xdr:col>1</xdr:col>
      <xdr:colOff>252132</xdr:colOff>
      <xdr:row>42</xdr:row>
      <xdr:rowOff>127000</xdr:rowOff>
    </xdr:from>
    <xdr:to>
      <xdr:col>2</xdr:col>
      <xdr:colOff>657410</xdr:colOff>
      <xdr:row>45</xdr:row>
      <xdr:rowOff>99200</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EEFF5E79-567E-4827-8262-FBF154BB44CD}"/>
                </a:ext>
              </a:extLst>
            </xdr:cNvPr>
            <xdr:cNvSpPr txBox="1"/>
          </xdr:nvSpPr>
          <xdr:spPr>
            <a:xfrm>
              <a:off x="1077632" y="8678333"/>
              <a:ext cx="1759945" cy="5754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𝜙</m:t>
                        </m:r>
                      </m:e>
                      <m:sub>
                        <m:argPr>
                          <m:argSz m:val="-2"/>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𝑁</m:t>
                            </m:r>
                          </m:num>
                          <m:den>
                            <m:r>
                              <a:rPr lang="en-PH" sz="1100" i="1">
                                <a:solidFill>
                                  <a:schemeClr val="tx1"/>
                                </a:solidFill>
                                <a:effectLst/>
                                <a:latin typeface="Cambria Math" panose="02040503050406030204" pitchFamily="18" charset="0"/>
                                <a:ea typeface="+mn-ea"/>
                                <a:cs typeface="+mn-cs"/>
                              </a:rPr>
                              <m:t>𝑁</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𝑝</m:t>
                            </m:r>
                          </m:den>
                        </m:f>
                        <m:r>
                          <a:rPr lang="en-PH" sz="1100" i="1">
                            <a:solidFill>
                              <a:schemeClr val="tx1"/>
                            </a:solidFill>
                            <a:effectLst/>
                            <a:latin typeface="Cambria Math" panose="02040503050406030204" pitchFamily="18" charset="0"/>
                            <a:ea typeface="+mn-ea"/>
                            <a:cs typeface="+mn-cs"/>
                          </a:rPr>
                          <m:t>×</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argPr>
                              <m:argSz m:val="-2"/>
                            </m:argPr>
                            <m:r>
                              <a:rPr lang="en-PH" sz="1100" i="1">
                                <a:solidFill>
                                  <a:schemeClr val="tx1"/>
                                </a:solidFill>
                                <a:effectLst/>
                                <a:latin typeface="Cambria Math" panose="02040503050406030204" pitchFamily="18" charset="0"/>
                                <a:ea typeface="+mn-ea"/>
                                <a:cs typeface="+mn-cs"/>
                              </a:rPr>
                              <m:t>𝐺𝑟𝑜𝑢𝑝</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𝑖</m:t>
                            </m:r>
                          </m:sub>
                          <m:sup/>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2</m:t>
                                </m:r>
                              </m:sup>
                            </m:sSubSup>
                          </m:e>
                        </m:nary>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𝑛</m:t>
                            </m:r>
                          </m:e>
                          <m:sub>
                            <m:argPr>
                              <m:argSz m:val="-1"/>
                            </m:argPr>
                            <m:r>
                              <a:rPr lang="en-PH" sz="1100" i="1">
                                <a:solidFill>
                                  <a:schemeClr val="tx1"/>
                                </a:solidFill>
                                <a:effectLst/>
                                <a:latin typeface="Cambria Math" panose="02040503050406030204" pitchFamily="18" charset="0"/>
                                <a:ea typeface="+mn-ea"/>
                                <a:cs typeface="+mn-cs"/>
                              </a:rPr>
                              <m:t>𝑖</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EEFF5E79-567E-4827-8262-FBF154BB44CD}"/>
                </a:ext>
              </a:extLst>
            </xdr:cNvPr>
            <xdr:cNvSpPr txBox="1"/>
          </xdr:nvSpPr>
          <xdr:spPr>
            <a:xfrm>
              <a:off x="1077632" y="8678333"/>
              <a:ext cx="1759945" cy="5754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𝜙_𝑖=(𝑁/(𝑁−𝑝)×∑1_(𝐺𝑟𝑜𝑢𝑝 𝑖)▒𝑟_(𝑤,𝑑)^2 )/𝑛_𝑖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306917</xdr:colOff>
      <xdr:row>46</xdr:row>
      <xdr:rowOff>31750</xdr:rowOff>
    </xdr:from>
    <xdr:ext cx="2533449"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0604496-F3DF-41B2-95C3-97C686EE65FE}"/>
                </a:ext>
              </a:extLst>
            </xdr:cNvPr>
            <xdr:cNvSpPr txBox="1"/>
          </xdr:nvSpPr>
          <xdr:spPr>
            <a:xfrm>
              <a:off x="1132417" y="9387417"/>
              <a:ext cx="25334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𝑛</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values</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in</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group</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 </m:t>
                    </m:r>
                    <m:r>
                      <a:rPr lang="en-PH" sz="1100">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including</m:t>
                    </m:r>
                    <m:r>
                      <a:rPr lang="en-PH" sz="1100">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zeros</m:t>
                    </m:r>
                    <m:r>
                      <a:rPr lang="en-PH" sz="1100">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40604496-F3DF-41B2-95C3-97C686EE65FE}"/>
                </a:ext>
              </a:extLst>
            </xdr:cNvPr>
            <xdr:cNvSpPr txBox="1"/>
          </xdr:nvSpPr>
          <xdr:spPr>
            <a:xfrm>
              <a:off x="1132417" y="9387417"/>
              <a:ext cx="25334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𝑛_𝑖→# values in group 𝑖 (including zeros)</a:t>
              </a:r>
              <a:endParaRPr lang="en-PH" sz="1100">
                <a:solidFill>
                  <a:schemeClr val="tx1"/>
                </a:solidFill>
                <a:effectLst/>
                <a:latin typeface="+mn-lt"/>
                <a:ea typeface="+mn-ea"/>
                <a:cs typeface="+mn-cs"/>
              </a:endParaRPr>
            </a:p>
          </xdr:txBody>
        </xdr:sp>
      </mc:Fallback>
    </mc:AlternateContent>
    <xdr:clientData/>
  </xdr:oneCellAnchor>
  <xdr:twoCellAnchor>
    <xdr:from>
      <xdr:col>1</xdr:col>
      <xdr:colOff>423333</xdr:colOff>
      <xdr:row>53</xdr:row>
      <xdr:rowOff>169333</xdr:rowOff>
    </xdr:from>
    <xdr:to>
      <xdr:col>1</xdr:col>
      <xdr:colOff>1152156</xdr:colOff>
      <xdr:row>56</xdr:row>
      <xdr:rowOff>157308</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0787472B-06A7-45FE-AAD3-0AEDE28CA9AD}"/>
                </a:ext>
              </a:extLst>
            </xdr:cNvPr>
            <xdr:cNvSpPr txBox="1"/>
          </xdr:nvSpPr>
          <xdr:spPr>
            <a:xfrm>
              <a:off x="1248833" y="10858500"/>
              <a:ext cx="728823" cy="59122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h</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𝜙</m:t>
                            </m:r>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𝜙</m:t>
                                </m:r>
                              </m:e>
                              <m:sub>
                                <m:argPr>
                                  <m:argSz m:val="-1"/>
                                </m:argPr>
                                <m:r>
                                  <a:rPr lang="en-PH" sz="1100" i="1">
                                    <a:solidFill>
                                      <a:schemeClr val="tx1"/>
                                    </a:solidFill>
                                    <a:effectLst/>
                                    <a:latin typeface="Cambria Math" panose="02040503050406030204" pitchFamily="18" charset="0"/>
                                    <a:ea typeface="+mn-ea"/>
                                    <a:cs typeface="+mn-cs"/>
                                  </a:rPr>
                                  <m:t>𝑖</m:t>
                                </m:r>
                              </m:sub>
                            </m:sSub>
                          </m:den>
                        </m:f>
                      </m:e>
                    </m:rad>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0787472B-06A7-45FE-AAD3-0AEDE28CA9AD}"/>
                </a:ext>
              </a:extLst>
            </xdr:cNvPr>
            <xdr:cNvSpPr txBox="1"/>
          </xdr:nvSpPr>
          <xdr:spPr>
            <a:xfrm>
              <a:off x="1248833" y="10858500"/>
              <a:ext cx="728823" cy="59122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ℎ_𝑖=√(𝜙/𝜙_𝑖 )</a:t>
              </a:r>
              <a:endParaRPr lang="en-PH" sz="1100">
                <a:solidFill>
                  <a:schemeClr val="tx1"/>
                </a:solidFill>
                <a:effectLst/>
                <a:latin typeface="+mn-lt"/>
                <a:ea typeface="+mn-ea"/>
                <a:cs typeface="+mn-cs"/>
              </a:endParaRPr>
            </a:p>
          </xdr:txBody>
        </xdr:sp>
      </mc:Fallback>
    </mc:AlternateContent>
    <xdr:clientData/>
  </xdr:twoCellAnchor>
  <xdr:oneCellAnchor>
    <xdr:from>
      <xdr:col>2</xdr:col>
      <xdr:colOff>595779</xdr:colOff>
      <xdr:row>54</xdr:row>
      <xdr:rowOff>24902</xdr:rowOff>
    </xdr:from>
    <xdr:ext cx="3648499" cy="50013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9C4ECD7-0BDC-4C79-A5D6-205A0D88EC0C}"/>
                </a:ext>
              </a:extLst>
            </xdr:cNvPr>
            <xdr:cNvSpPr txBox="1"/>
          </xdr:nvSpPr>
          <xdr:spPr>
            <a:xfrm>
              <a:off x="2775946" y="10915152"/>
              <a:ext cx="3648499"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h𝑒𝑡𝑒𝑟𝑜</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𝑎𝑑𝑗𝑢𝑠𝑡𝑚𝑒𝑛𝑡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𝑓𝑎𝑐𝑡𝑜𝑟</m:t>
                        </m:r>
                      </m:e>
                      <m:sub>
                        <m:argPr>
                          <m:argSz m:val="-1"/>
                        </m:argPr>
                        <m:r>
                          <a:rPr lang="en-PH" sz="1100" i="1">
                            <a:solidFill>
                              <a:schemeClr val="tx1"/>
                            </a:solidFill>
                            <a:effectLst/>
                            <a:latin typeface="Cambria Math" panose="02040503050406030204" pitchFamily="18" charset="0"/>
                            <a:ea typeface="+mn-ea"/>
                            <a:cs typeface="+mn-cs"/>
                          </a:rPr>
                          <m:t>𝐺𝑟𝑜𝑢𝑝</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𝑠𝑐𝑎𝑙𝑒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𝑝𝑎𝑟𝑎𝑚𝑒𝑡𝑒𝑟</m:t>
                                </m:r>
                              </m:e>
                              <m:sub>
                                <m:argPr>
                                  <m:argSz m:val="-2"/>
                                </m:argPr>
                                <m:r>
                                  <a:rPr lang="en-PH" sz="1100" i="1">
                                    <a:solidFill>
                                      <a:schemeClr val="tx1"/>
                                    </a:solidFill>
                                    <a:effectLst/>
                                    <a:latin typeface="Cambria Math" panose="02040503050406030204" pitchFamily="18" charset="0"/>
                                    <a:ea typeface="+mn-ea"/>
                                    <a:cs typeface="+mn-cs"/>
                                  </a:rPr>
                                  <m:t>𝑡𝑜𝑡𝑎𝑙</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𝑠𝑐𝑎𝑙𝑒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𝑝𝑎𝑟𝑎𝑚𝑒𝑡𝑒𝑟</m:t>
                                </m:r>
                              </m:e>
                              <m:sub>
                                <m:argPr>
                                  <m:argSz m:val="-2"/>
                                </m:argPr>
                                <m:r>
                                  <a:rPr lang="en-PH" sz="1100" i="1">
                                    <a:solidFill>
                                      <a:schemeClr val="tx1"/>
                                    </a:solidFill>
                                    <a:effectLst/>
                                    <a:latin typeface="Cambria Math" panose="02040503050406030204" pitchFamily="18" charset="0"/>
                                    <a:ea typeface="+mn-ea"/>
                                    <a:cs typeface="+mn-cs"/>
                                  </a:rPr>
                                  <m:t>𝐺𝑟𝑜𝑢𝑝</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𝑖</m:t>
                                </m:r>
                              </m:sub>
                            </m:sSub>
                          </m:den>
                        </m:f>
                      </m:e>
                    </m:rad>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79C4ECD7-0BDC-4C79-A5D6-205A0D88EC0C}"/>
                </a:ext>
              </a:extLst>
            </xdr:cNvPr>
            <xdr:cNvSpPr txBox="1"/>
          </xdr:nvSpPr>
          <xdr:spPr>
            <a:xfrm>
              <a:off x="2775946" y="10915152"/>
              <a:ext cx="3648499"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〖ℎ𝑒𝑡𝑒𝑟𝑜 𝑎𝑑𝑗𝑢𝑠𝑡𝑚𝑒𝑛𝑡 𝑓𝑎𝑐𝑡𝑜𝑟〗_(𝐺𝑟𝑜𝑢𝑝 𝑖)=√(〖𝑠𝑐𝑎𝑙𝑒 𝑝𝑎𝑟𝑎𝑚𝑒𝑡𝑒𝑟〗_𝑡𝑜𝑡𝑎𝑙/〖𝑠𝑐𝑎𝑙𝑒 𝑝𝑎𝑟𝑎𝑚𝑒𝑡𝑒𝑟〗_(𝐺𝑟𝑜𝑢𝑝 𝑖) )</a:t>
              </a:r>
              <a:endParaRPr lang="en-US" sz="1100">
                <a:solidFill>
                  <a:schemeClr val="tx1"/>
                </a:solidFill>
              </a:endParaRPr>
            </a:p>
          </xdr:txBody>
        </xdr:sp>
      </mc:Fallback>
    </mc:AlternateContent>
    <xdr:clientData/>
  </xdr:oneCellAnchor>
  <xdr:oneCellAnchor>
    <xdr:from>
      <xdr:col>2</xdr:col>
      <xdr:colOff>329328</xdr:colOff>
      <xdr:row>67</xdr:row>
      <xdr:rowOff>97740</xdr:rowOff>
    </xdr:from>
    <xdr:ext cx="1971822" cy="48660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41A96A0-1D9E-46D7-86A9-ED4F8D73ED70}"/>
                </a:ext>
              </a:extLst>
            </xdr:cNvPr>
            <xdr:cNvSpPr txBox="1"/>
          </xdr:nvSpPr>
          <xdr:spPr>
            <a:xfrm>
              <a:off x="2509495" y="13877240"/>
              <a:ext cx="1971822" cy="486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𝑞</m:t>
                        </m:r>
                      </m:e>
                      <m:sup>
                        <m:argPr>
                          <m:argSz m:val="-1"/>
                        </m:argPr>
                        <m:r>
                          <a:rPr lang="en-PH" sz="1100" i="1">
                            <a:solidFill>
                              <a:schemeClr val="tx1"/>
                            </a:solidFill>
                            <a:effectLst/>
                            <a:latin typeface="Cambria Math" panose="02040503050406030204" pitchFamily="18" charset="0"/>
                            <a:ea typeface="+mn-ea"/>
                            <a:cs typeface="+mn-cs"/>
                          </a:rPr>
                          <m:t>𝑖</m:t>
                        </m:r>
                        <m:r>
                          <a:rPr lang="en-PH" sz="1100" i="1">
                            <a:solidFill>
                              <a:schemeClr val="tx1"/>
                            </a:solidFill>
                            <a:effectLst/>
                            <a:latin typeface="Cambria Math" panose="02040503050406030204" pitchFamily="18" charset="0"/>
                            <a:ea typeface="+mn-ea"/>
                            <a:cs typeface="+mn-cs"/>
                          </a:rPr>
                          <m:t>∗</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𝑟</m:t>
                            </m:r>
                          </m:e>
                          <m:sup>
                            <m:argPr>
                              <m:argSz m:val="-1"/>
                            </m:argPr>
                            <m:r>
                              <a:rPr lang="en-PH" sz="1100" i="1">
                                <a:solidFill>
                                  <a:schemeClr val="tx1"/>
                                </a:solidFill>
                                <a:effectLst/>
                                <a:latin typeface="Cambria Math" panose="02040503050406030204" pitchFamily="18" charset="0"/>
                                <a:ea typeface="+mn-ea"/>
                                <a:cs typeface="+mn-cs"/>
                              </a:rPr>
                              <m:t>∗</m:t>
                            </m:r>
                          </m:sup>
                        </m:sSup>
                      </m:num>
                      <m:den>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h</m:t>
                            </m:r>
                          </m:e>
                          <m:sup>
                            <m:argPr>
                              <m:argSz m:val="-1"/>
                            </m:argPr>
                            <m:r>
                              <a:rPr lang="en-PH" sz="1100" i="1">
                                <a:solidFill>
                                  <a:schemeClr val="tx1"/>
                                </a:solidFill>
                                <a:effectLst/>
                                <a:latin typeface="Cambria Math" panose="02040503050406030204" pitchFamily="18" charset="0"/>
                                <a:ea typeface="+mn-ea"/>
                                <a:cs typeface="+mn-cs"/>
                              </a:rPr>
                              <m:t>𝑖</m:t>
                            </m:r>
                          </m:sup>
                        </m:sSup>
                      </m:den>
                    </m:f>
                    <m:r>
                      <a:rPr lang="en-PH" sz="1100" i="1">
                        <a:solidFill>
                          <a:schemeClr val="tx1"/>
                        </a:solidFill>
                        <a:effectLst/>
                        <a:latin typeface="Cambria Math" panose="02040503050406030204" pitchFamily="18" charset="0"/>
                        <a:ea typeface="+mn-ea"/>
                        <a:cs typeface="+mn-cs"/>
                      </a:rPr>
                      <m:t>×</m:t>
                    </m:r>
                    <m:rad>
                      <m:radPr>
                        <m:degHide m:val="on"/>
                        <m:ctrlPr>
                          <a:rPr lang="en-PH" sz="1100" i="1">
                            <a:solidFill>
                              <a:schemeClr val="tx1"/>
                            </a:solidFill>
                            <a:effectLst/>
                            <a:latin typeface="Cambria Math" panose="02040503050406030204" pitchFamily="18" charset="0"/>
                            <a:ea typeface="+mn-ea"/>
                            <a:cs typeface="+mn-cs"/>
                          </a:rPr>
                        </m:ctrlPr>
                      </m:radPr>
                      <m:deg/>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𝑧</m:t>
                            </m:r>
                          </m:sup>
                        </m:sSubSup>
                      </m:e>
                    </m:ra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oMath>
                </m:oMathPara>
              </a14:m>
              <a:endParaRPr lang="en-PH" sz="1100">
                <a:solidFill>
                  <a:schemeClr val="tx1"/>
                </a:solidFill>
                <a:effectLst/>
                <a:latin typeface="+mn-lt"/>
                <a:ea typeface="+mn-ea"/>
                <a:cs typeface="+mn-cs"/>
              </a:endParaRPr>
            </a:p>
            <a:p>
              <a:endParaRPr lang="en-US" sz="1100">
                <a:solidFill>
                  <a:schemeClr val="tx1"/>
                </a:solidFill>
              </a:endParaRPr>
            </a:p>
          </xdr:txBody>
        </xdr:sp>
      </mc:Choice>
      <mc:Fallback xmlns="">
        <xdr:sp macro="" textlink="">
          <xdr:nvSpPr>
            <xdr:cNvPr id="9" name="TextBox 8">
              <a:extLst>
                <a:ext uri="{FF2B5EF4-FFF2-40B4-BE49-F238E27FC236}">
                  <a16:creationId xmlns:a16="http://schemas.microsoft.com/office/drawing/2014/main" id="{141A96A0-1D9E-46D7-86A9-ED4F8D73ED70}"/>
                </a:ext>
              </a:extLst>
            </xdr:cNvPr>
            <xdr:cNvSpPr txBox="1"/>
          </xdr:nvSpPr>
          <xdr:spPr>
            <a:xfrm>
              <a:off x="2509495" y="13877240"/>
              <a:ext cx="1971822" cy="486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𝑞^(𝑖∗) (𝑤,𝑑)=𝑟^∗/ℎ^𝑖 ×√(𝑚_(𝑤,𝑑)^𝑧 )+𝑚_(𝑤,𝑑)</a:t>
              </a:r>
              <a:endParaRPr lang="en-PH" sz="1100">
                <a:solidFill>
                  <a:schemeClr val="tx1"/>
                </a:solidFill>
                <a:effectLst/>
                <a:latin typeface="+mn-lt"/>
                <a:ea typeface="+mn-ea"/>
                <a:cs typeface="+mn-cs"/>
              </a:endParaRPr>
            </a:p>
            <a:p>
              <a:endParaRPr lang="en-US" sz="1100">
                <a:solidFill>
                  <a:schemeClr val="tx1"/>
                </a:solidFill>
              </a:endParaRPr>
            </a:p>
          </xdr:txBody>
        </xdr:sp>
      </mc:Fallback>
    </mc:AlternateContent>
    <xdr:clientData/>
  </xdr:oneCellAnchor>
  <xdr:oneCellAnchor>
    <xdr:from>
      <xdr:col>2</xdr:col>
      <xdr:colOff>431425</xdr:colOff>
      <xdr:row>71</xdr:row>
      <xdr:rowOff>168087</xdr:rowOff>
    </xdr:from>
    <xdr:ext cx="3163366" cy="363305"/>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E563B28-8F9D-4FB4-BBDC-F2F2C7CC8F5C}"/>
                </a:ext>
              </a:extLst>
            </xdr:cNvPr>
            <xdr:cNvSpPr txBox="1"/>
          </xdr:nvSpPr>
          <xdr:spPr>
            <a:xfrm>
              <a:off x="2610970" y="14461191"/>
              <a:ext cx="3163366" cy="363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𝑞</m:t>
                        </m:r>
                      </m:e>
                      <m:sub>
                        <m:argPr>
                          <m:argSz m:val="-1"/>
                        </m:argPr>
                        <m:r>
                          <a:rPr lang="en-PH" sz="1100" i="1">
                            <a:solidFill>
                              <a:schemeClr val="tx1"/>
                            </a:solidFill>
                            <a:effectLst/>
                            <a:latin typeface="Cambria Math" panose="02040503050406030204" pitchFamily="18" charset="0"/>
                            <a:ea typeface="+mn-ea"/>
                            <a:cs typeface="+mn-cs"/>
                          </a:rPr>
                          <m:t>𝑖</m:t>
                        </m:r>
                      </m:sub>
                      <m:sup>
                        <m:argPr>
                          <m:argSz m:val="-1"/>
                        </m:argPr>
                        <m:r>
                          <a:rPr lang="en-PH" sz="1100" i="1">
                            <a:solidFill>
                              <a:schemeClr val="tx1"/>
                            </a:solidFill>
                            <a:effectLst/>
                            <a:latin typeface="Cambria Math" panose="02040503050406030204" pitchFamily="18" charset="0"/>
                            <a:ea typeface="+mn-ea"/>
                            <a:cs typeface="+mn-cs"/>
                          </a:rPr>
                          <m:t>𝑠𝑖𝑚</m:t>
                        </m:r>
                      </m:sup>
                    </m:sSub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𝐺𝑎𝑚𝑚𝑎</m:t>
                    </m:r>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mean</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var</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𝜙</m:t>
                            </m:r>
                          </m:e>
                          <m:sub>
                            <m:argPr>
                              <m:argSz m:val="-1"/>
                            </m:argPr>
                            <m:r>
                              <a:rPr lang="en-PH" sz="110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𝑚</m:t>
                            </m:r>
                          </m:e>
                          <m:sub>
                            <m:argPr>
                              <m:argSz m:val="-2"/>
                            </m:argPr>
                            <m:r>
                              <a:rPr lang="en-PH" sz="110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e>
                    </m:d>
                  </m:oMath>
                </m:oMathPara>
              </a14:m>
              <a:endParaRPr lang="en-PH" sz="1100">
                <a:solidFill>
                  <a:schemeClr val="tx1"/>
                </a:solidFill>
                <a:effectLst/>
                <a:latin typeface="+mn-lt"/>
                <a:ea typeface="+mn-ea"/>
                <a:cs typeface="+mn-cs"/>
              </a:endParaRPr>
            </a:p>
            <a:p>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6E563B28-8F9D-4FB4-BBDC-F2F2C7CC8F5C}"/>
                </a:ext>
              </a:extLst>
            </xdr:cNvPr>
            <xdr:cNvSpPr txBox="1"/>
          </xdr:nvSpPr>
          <xdr:spPr>
            <a:xfrm>
              <a:off x="2610970" y="14461191"/>
              <a:ext cx="3163366" cy="363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𝑞_𝑖^𝑠𝑖𝑚 (𝑤,𝑑)~𝐺𝑎𝑚𝑚𝑎(mean=𝑚_(𝑤,𝑑),var=𝜙_𝑖×𝑚_(𝑤,𝑑) )</a:t>
              </a:r>
              <a:endParaRPr lang="en-PH" sz="1100">
                <a:solidFill>
                  <a:schemeClr val="tx1"/>
                </a:solidFill>
                <a:effectLst/>
                <a:latin typeface="+mn-lt"/>
                <a:ea typeface="+mn-ea"/>
                <a:cs typeface="+mn-cs"/>
              </a:endParaRPr>
            </a:p>
            <a:p>
              <a:pPr/>
              <a:endParaRPr lang="en-US" sz="1100">
                <a:solidFill>
                  <a:schemeClr val="tx1"/>
                </a:solidFill>
              </a:endParaRPr>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1</xdr:col>
      <xdr:colOff>359833</xdr:colOff>
      <xdr:row>35</xdr:row>
      <xdr:rowOff>169334</xdr:rowOff>
    </xdr:from>
    <xdr:to>
      <xdr:col>4</xdr:col>
      <xdr:colOff>729628</xdr:colOff>
      <xdr:row>38</xdr:row>
      <xdr:rowOff>67091</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116FEDA5-6A9C-4CDD-BFC1-B774B299B1EA}"/>
                </a:ext>
              </a:extLst>
            </xdr:cNvPr>
            <xdr:cNvSpPr txBox="1"/>
          </xdr:nvSpPr>
          <xdr:spPr>
            <a:xfrm>
              <a:off x="1185333" y="7609417"/>
              <a:ext cx="2846295" cy="50100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𝑤𝑡𝑑</m:t>
                        </m:r>
                      </m:sup>
                    </m:sSubSup>
                    <m:r>
                      <a:rPr lang="en-PH"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𝑤𝑒𝑖𝑔h𝑡</m:t>
                            </m:r>
                          </m:e>
                          <m:sub>
                            <m:argPr>
                              <m:argSz m:val="-1"/>
                            </m:argPr>
                            <m:r>
                              <a:rPr lang="en-PH" sz="1100" i="1">
                                <a:solidFill>
                                  <a:schemeClr val="tx1"/>
                                </a:solidFill>
                                <a:effectLst/>
                                <a:latin typeface="Cambria Math" panose="02040503050406030204" pitchFamily="18" charset="0"/>
                                <a:ea typeface="+mn-ea"/>
                                <a:cs typeface="+mn-cs"/>
                              </a:rPr>
                              <m:t>𝐴𝑌</m:t>
                            </m:r>
                          </m:sub>
                          <m:sup>
                            <m:argPr>
                              <m:argSz m:val="-1"/>
                            </m:argPr>
                            <m:r>
                              <a:rPr lang="en-PH" sz="1100" i="1">
                                <a:solidFill>
                                  <a:schemeClr val="tx1"/>
                                </a:solidFill>
                                <a:effectLst/>
                                <a:latin typeface="Cambria Math" panose="02040503050406030204" pitchFamily="18" charset="0"/>
                                <a:ea typeface="+mn-ea"/>
                                <a:cs typeface="+mn-cs"/>
                              </a:rPr>
                              <m:t>𝑚𝑜𝑑𝑒𝑙</m:t>
                            </m:r>
                          </m:sup>
                        </m:sSubSup>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𝐼𝑛𝑐</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2"/>
                            </m:argPr>
                            <m:r>
                              <a:rPr lang="en-PH" sz="1100" i="1">
                                <a:solidFill>
                                  <a:schemeClr val="tx1"/>
                                </a:solidFill>
                                <a:effectLst/>
                                <a:latin typeface="Cambria Math" panose="02040503050406030204" pitchFamily="18" charset="0"/>
                                <a:ea typeface="+mn-ea"/>
                                <a:cs typeface="+mn-cs"/>
                              </a:rPr>
                              <m:t>𝑚𝑜𝑑𝑒𝑙</m:t>
                            </m:r>
                          </m:sup>
                        </m:sSubSup>
                      </m:e>
                    </m:nary>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116FEDA5-6A9C-4CDD-BFC1-B774B299B1EA}"/>
                </a:ext>
              </a:extLst>
            </xdr:cNvPr>
            <xdr:cNvSpPr txBox="1"/>
          </xdr:nvSpPr>
          <xdr:spPr>
            <a:xfrm>
              <a:off x="1185333" y="7609417"/>
              <a:ext cx="2846295" cy="50100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〖𝐼𝑛𝑐𝐿𝑜𝑠𝑠〗_(𝐴𝑌,𝑑)^𝑤𝑡𝑑=∑1▒〖〖𝑤𝑒𝑖𝑔ℎ𝑡〗_𝐴𝑌^𝑚𝑜𝑑𝑒𝑙×𝐼𝑛𝑐〖𝐿𝑜𝑠𝑠〗_(𝐴𝑌,𝑑)^𝑚𝑜𝑑𝑒𝑙 〗</a:t>
              </a:r>
              <a:endParaRPr lang="en-PH" sz="1100">
                <a:solidFill>
                  <a:schemeClr val="tx1"/>
                </a:solidFill>
                <a:effectLst/>
                <a:latin typeface="+mn-lt"/>
                <a:ea typeface="+mn-ea"/>
                <a:cs typeface="+mn-cs"/>
              </a:endParaRP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pple/Dropbox/Rising%20Fellow/_Products/Exam%207/_Problem%20Pack/Support%20Excel%20Files/RF%20Shapland_3%20Sup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37"/>
  <sheetViews>
    <sheetView showGridLines="0" tabSelected="1" zoomScale="120" zoomScaleNormal="120" workbookViewId="0"/>
  </sheetViews>
  <sheetFormatPr baseColWidth="10" defaultColWidth="10.83203125" defaultRowHeight="16" x14ac:dyDescent="0.2"/>
  <cols>
    <col min="1" max="12" width="10.83203125" style="60" customWidth="1"/>
    <col min="13" max="16384" width="10.83203125" style="60"/>
  </cols>
  <sheetData>
    <row r="1" spans="1:10" ht="19" x14ac:dyDescent="0.25">
      <c r="A1" s="1" t="s">
        <v>184</v>
      </c>
      <c r="B1" s="58"/>
      <c r="C1" s="58"/>
      <c r="D1" s="58"/>
      <c r="E1" s="58"/>
      <c r="F1" s="58"/>
      <c r="G1" s="58"/>
      <c r="H1" s="58"/>
      <c r="I1" s="58"/>
      <c r="J1" s="59"/>
    </row>
    <row r="2" spans="1:10" x14ac:dyDescent="0.2">
      <c r="A2" s="5"/>
      <c r="B2" s="58"/>
      <c r="C2" s="58"/>
      <c r="D2" s="58"/>
      <c r="E2" s="58"/>
      <c r="F2" s="58"/>
      <c r="G2" s="58"/>
      <c r="H2" s="58"/>
      <c r="I2" s="58"/>
      <c r="J2" s="59"/>
    </row>
    <row r="3" spans="1:10" x14ac:dyDescent="0.2">
      <c r="A3" s="5"/>
      <c r="B3" s="58" t="s">
        <v>338</v>
      </c>
      <c r="C3" s="58"/>
      <c r="D3" s="58"/>
      <c r="E3" s="58"/>
      <c r="F3" s="58"/>
      <c r="G3" s="58"/>
      <c r="H3" s="58"/>
      <c r="I3" s="58"/>
      <c r="J3" s="59"/>
    </row>
    <row r="4" spans="1:10" x14ac:dyDescent="0.2">
      <c r="A4" s="5"/>
      <c r="B4" s="58"/>
      <c r="C4" s="58"/>
      <c r="D4" s="58"/>
      <c r="E4" s="58"/>
      <c r="F4" s="58"/>
      <c r="G4" s="58"/>
      <c r="H4" s="58"/>
      <c r="I4" s="58"/>
      <c r="J4" s="59"/>
    </row>
    <row r="5" spans="1:10" x14ac:dyDescent="0.2">
      <c r="A5" s="5"/>
      <c r="B5" s="58"/>
      <c r="C5" s="156" t="s">
        <v>63</v>
      </c>
      <c r="D5" s="157"/>
      <c r="E5" s="157"/>
      <c r="F5" s="158"/>
      <c r="G5" s="58"/>
      <c r="H5" s="58"/>
      <c r="I5" s="58"/>
      <c r="J5" s="59"/>
    </row>
    <row r="6" spans="1:10" ht="34" customHeight="1" x14ac:dyDescent="0.2">
      <c r="A6" s="5"/>
      <c r="B6" s="58"/>
      <c r="C6" s="38" t="s">
        <v>3</v>
      </c>
      <c r="D6" s="36" t="s">
        <v>4</v>
      </c>
      <c r="E6" s="36" t="s">
        <v>5</v>
      </c>
      <c r="F6" s="37" t="s">
        <v>6</v>
      </c>
      <c r="G6" s="58"/>
      <c r="H6" s="58"/>
      <c r="I6" s="58"/>
      <c r="J6" s="59"/>
    </row>
    <row r="7" spans="1:10" x14ac:dyDescent="0.2">
      <c r="A7" s="5"/>
      <c r="B7" s="58"/>
      <c r="C7" s="39">
        <v>2021</v>
      </c>
      <c r="D7" s="33">
        <v>9500</v>
      </c>
      <c r="E7" s="33">
        <v>15000</v>
      </c>
      <c r="F7" s="34">
        <v>18000</v>
      </c>
      <c r="G7" s="58"/>
      <c r="H7" s="58"/>
      <c r="I7" s="58"/>
      <c r="J7" s="59"/>
    </row>
    <row r="8" spans="1:10" x14ac:dyDescent="0.2">
      <c r="A8" s="5"/>
      <c r="B8" s="58"/>
      <c r="C8" s="40">
        <v>2022</v>
      </c>
      <c r="D8" s="6">
        <v>11500</v>
      </c>
      <c r="E8" s="6">
        <v>16000</v>
      </c>
      <c r="F8" s="17"/>
      <c r="G8" s="58"/>
      <c r="H8" s="58"/>
      <c r="I8" s="58"/>
      <c r="J8" s="59"/>
    </row>
    <row r="9" spans="1:10" x14ac:dyDescent="0.2">
      <c r="A9" s="5"/>
      <c r="B9" s="58"/>
      <c r="C9" s="41">
        <v>2023</v>
      </c>
      <c r="D9" s="35">
        <v>10500</v>
      </c>
      <c r="E9" s="16"/>
      <c r="F9" s="15"/>
      <c r="G9" s="58"/>
      <c r="H9" s="58"/>
      <c r="I9" s="58"/>
      <c r="J9" s="59"/>
    </row>
    <row r="10" spans="1:10" x14ac:dyDescent="0.2">
      <c r="A10" s="5"/>
      <c r="B10" s="58"/>
      <c r="C10" s="58"/>
      <c r="D10" s="58"/>
      <c r="E10" s="58"/>
      <c r="F10" s="58"/>
      <c r="G10" s="58"/>
      <c r="H10" s="58"/>
      <c r="I10" s="58"/>
      <c r="J10" s="59"/>
    </row>
    <row r="11" spans="1:10" x14ac:dyDescent="0.2">
      <c r="A11" s="5"/>
      <c r="B11" s="58" t="s">
        <v>64</v>
      </c>
      <c r="C11" s="58"/>
      <c r="D11" s="58"/>
      <c r="E11" s="58"/>
      <c r="F11" s="58"/>
      <c r="G11" s="58"/>
      <c r="H11" s="58"/>
      <c r="I11" s="58"/>
      <c r="J11" s="59"/>
    </row>
    <row r="12" spans="1:10" x14ac:dyDescent="0.2">
      <c r="A12" s="5"/>
      <c r="B12" s="58"/>
      <c r="C12" s="58"/>
      <c r="D12" s="58"/>
      <c r="E12" s="58"/>
      <c r="F12" s="58"/>
      <c r="G12" s="58"/>
      <c r="H12" s="58"/>
      <c r="I12" s="58"/>
      <c r="J12" s="59"/>
    </row>
    <row r="13" spans="1:10" x14ac:dyDescent="0.2">
      <c r="A13" s="5"/>
      <c r="B13" s="58"/>
      <c r="C13" s="58"/>
      <c r="D13" s="58"/>
      <c r="E13" s="58"/>
      <c r="F13" s="58"/>
      <c r="G13" s="58"/>
      <c r="H13" s="58"/>
      <c r="I13" s="58"/>
      <c r="J13" s="59"/>
    </row>
    <row r="14" spans="1:10" x14ac:dyDescent="0.2">
      <c r="A14" s="5"/>
      <c r="B14" s="58" t="s">
        <v>65</v>
      </c>
      <c r="C14" s="58"/>
      <c r="D14" s="58"/>
      <c r="E14" s="58"/>
      <c r="F14" s="58"/>
      <c r="G14" s="58"/>
      <c r="H14" s="58"/>
      <c r="I14" s="58"/>
      <c r="J14" s="59"/>
    </row>
    <row r="15" spans="1:10" ht="17" thickBot="1" x14ac:dyDescent="0.25">
      <c r="A15" s="61"/>
      <c r="B15" s="62"/>
      <c r="C15" s="63"/>
      <c r="D15" s="63"/>
      <c r="E15" s="63"/>
      <c r="F15" s="62"/>
      <c r="G15" s="62"/>
      <c r="H15" s="62"/>
      <c r="I15" s="62"/>
      <c r="J15" s="64"/>
    </row>
    <row r="17" spans="1:12" ht="19" x14ac:dyDescent="0.25">
      <c r="A17" s="2" t="s">
        <v>2</v>
      </c>
    </row>
    <row r="18" spans="1:12" x14ac:dyDescent="0.2">
      <c r="A18" s="32" t="s">
        <v>177</v>
      </c>
      <c r="B18" s="14" t="s">
        <v>203</v>
      </c>
      <c r="C18" s="65"/>
    </row>
    <row r="19" spans="1:12" x14ac:dyDescent="0.2">
      <c r="A19" s="3"/>
      <c r="B19" s="60" t="s">
        <v>339</v>
      </c>
      <c r="C19" s="65"/>
    </row>
    <row r="21" spans="1:12" x14ac:dyDescent="0.2">
      <c r="G21" s="159" t="s">
        <v>205</v>
      </c>
      <c r="H21" s="159"/>
      <c r="I21" s="159"/>
      <c r="J21" s="159"/>
    </row>
    <row r="22" spans="1:12" ht="17" x14ac:dyDescent="0.2">
      <c r="B22" s="8" t="s">
        <v>7</v>
      </c>
      <c r="C22" s="9">
        <v>1</v>
      </c>
      <c r="D22" s="9">
        <v>2</v>
      </c>
      <c r="E22" s="9">
        <v>3</v>
      </c>
      <c r="G22" s="8" t="s">
        <v>7</v>
      </c>
      <c r="H22" s="9">
        <v>12</v>
      </c>
      <c r="I22" s="9">
        <v>24</v>
      </c>
      <c r="J22" s="9">
        <v>36</v>
      </c>
      <c r="L22" s="4"/>
    </row>
    <row r="23" spans="1:12" ht="17" x14ac:dyDescent="0.2">
      <c r="B23" s="10">
        <v>1</v>
      </c>
      <c r="C23" s="11" t="s">
        <v>206</v>
      </c>
      <c r="D23" s="11" t="s">
        <v>209</v>
      </c>
      <c r="E23" s="11" t="s">
        <v>210</v>
      </c>
      <c r="G23" s="10">
        <f t="shared" ref="G23:H25" si="0">C7</f>
        <v>2021</v>
      </c>
      <c r="H23" s="11">
        <f t="shared" si="0"/>
        <v>9500</v>
      </c>
      <c r="I23" s="11">
        <f>E7-D7</f>
        <v>5500</v>
      </c>
      <c r="J23" s="11">
        <f>F7-E7</f>
        <v>3000</v>
      </c>
      <c r="L23" s="4"/>
    </row>
    <row r="24" spans="1:12" ht="17" x14ac:dyDescent="0.2">
      <c r="B24" s="10">
        <v>2</v>
      </c>
      <c r="C24" s="11" t="s">
        <v>207</v>
      </c>
      <c r="D24" s="11" t="s">
        <v>211</v>
      </c>
      <c r="E24" s="13"/>
      <c r="G24" s="10">
        <f t="shared" si="0"/>
        <v>2022</v>
      </c>
      <c r="H24" s="11">
        <f t="shared" si="0"/>
        <v>11500</v>
      </c>
      <c r="I24" s="11">
        <f>E8-D8</f>
        <v>4500</v>
      </c>
      <c r="J24" s="13"/>
      <c r="L24" s="4"/>
    </row>
    <row r="25" spans="1:12" ht="17" x14ac:dyDescent="0.2">
      <c r="B25" s="10">
        <v>3</v>
      </c>
      <c r="C25" s="11" t="s">
        <v>208</v>
      </c>
      <c r="D25" s="13"/>
      <c r="E25" s="13"/>
      <c r="G25" s="10">
        <f t="shared" si="0"/>
        <v>2023</v>
      </c>
      <c r="H25" s="11">
        <f t="shared" si="0"/>
        <v>10500</v>
      </c>
      <c r="I25" s="13"/>
      <c r="J25" s="13"/>
      <c r="L25" s="4"/>
    </row>
    <row r="26" spans="1:12" x14ac:dyDescent="0.2">
      <c r="L26" s="4"/>
    </row>
    <row r="27" spans="1:12" x14ac:dyDescent="0.2">
      <c r="A27" s="32" t="s">
        <v>178</v>
      </c>
      <c r="B27" s="14" t="s">
        <v>204</v>
      </c>
      <c r="L27" s="4"/>
    </row>
    <row r="28" spans="1:12" x14ac:dyDescent="0.2">
      <c r="B28" s="14"/>
      <c r="L28" s="4"/>
    </row>
    <row r="29" spans="1:12" x14ac:dyDescent="0.2">
      <c r="L29" s="4"/>
    </row>
    <row r="30" spans="1:12" x14ac:dyDescent="0.2">
      <c r="L30" s="4"/>
    </row>
    <row r="31" spans="1:12" x14ac:dyDescent="0.2">
      <c r="G31" s="159" t="s">
        <v>212</v>
      </c>
      <c r="H31" s="159"/>
      <c r="I31" s="159"/>
      <c r="J31" s="159"/>
      <c r="L31" s="4"/>
    </row>
    <row r="32" spans="1:12" ht="17" x14ac:dyDescent="0.2">
      <c r="B32" s="8" t="s">
        <v>7</v>
      </c>
      <c r="C32" s="9">
        <v>1</v>
      </c>
      <c r="D32" s="9">
        <v>2</v>
      </c>
      <c r="E32" s="9">
        <v>3</v>
      </c>
      <c r="G32" s="8" t="s">
        <v>7</v>
      </c>
      <c r="H32" s="9">
        <v>12</v>
      </c>
      <c r="I32" s="9">
        <v>24</v>
      </c>
      <c r="J32" s="9">
        <v>36</v>
      </c>
    </row>
    <row r="33" spans="1:10" ht="17" x14ac:dyDescent="0.2">
      <c r="B33" s="10">
        <v>1</v>
      </c>
      <c r="C33" s="11" t="s">
        <v>213</v>
      </c>
      <c r="D33" s="11" t="s">
        <v>216</v>
      </c>
      <c r="E33" s="11" t="s">
        <v>218</v>
      </c>
      <c r="G33" s="10">
        <f>C7</f>
        <v>2021</v>
      </c>
      <c r="H33" s="12">
        <f>LN(H23)</f>
        <v>9.1590470775886317</v>
      </c>
      <c r="I33" s="12">
        <f>LN(I23)</f>
        <v>8.6125033712205621</v>
      </c>
      <c r="J33" s="12">
        <f>LN(J23)</f>
        <v>8.0063675676502459</v>
      </c>
    </row>
    <row r="34" spans="1:10" ht="17" x14ac:dyDescent="0.2">
      <c r="B34" s="10">
        <v>2</v>
      </c>
      <c r="C34" s="11" t="s">
        <v>214</v>
      </c>
      <c r="D34" s="11" t="s">
        <v>217</v>
      </c>
      <c r="E34" s="13"/>
      <c r="G34" s="10">
        <f>C8</f>
        <v>2022</v>
      </c>
      <c r="H34" s="12">
        <f>LN(H24)</f>
        <v>9.3501023143513411</v>
      </c>
      <c r="I34" s="12">
        <f>LN(I24)</f>
        <v>8.4118326757584114</v>
      </c>
      <c r="J34" s="12"/>
    </row>
    <row r="35" spans="1:10" ht="17" x14ac:dyDescent="0.2">
      <c r="B35" s="10">
        <v>3</v>
      </c>
      <c r="C35" s="11" t="s">
        <v>215</v>
      </c>
      <c r="D35" s="13"/>
      <c r="E35" s="13"/>
      <c r="G35" s="10">
        <f>C9</f>
        <v>2023</v>
      </c>
      <c r="H35" s="12">
        <f>LN(H25)</f>
        <v>9.259130536145614</v>
      </c>
      <c r="I35" s="12"/>
      <c r="J35" s="12"/>
    </row>
    <row r="37" spans="1:10" x14ac:dyDescent="0.2">
      <c r="A37" s="32" t="s">
        <v>179</v>
      </c>
      <c r="B37" s="14" t="s">
        <v>219</v>
      </c>
    </row>
    <row r="38" spans="1:10" x14ac:dyDescent="0.2">
      <c r="A38" s="32"/>
      <c r="B38" s="14"/>
    </row>
    <row r="39" spans="1:10" x14ac:dyDescent="0.2">
      <c r="A39" s="32"/>
      <c r="B39" s="159" t="s">
        <v>222</v>
      </c>
      <c r="C39" s="159"/>
      <c r="D39" s="159"/>
      <c r="F39" s="159" t="s">
        <v>223</v>
      </c>
      <c r="G39" s="159"/>
      <c r="H39" s="159"/>
      <c r="I39" s="110"/>
    </row>
    <row r="40" spans="1:10" x14ac:dyDescent="0.2">
      <c r="A40" s="32"/>
      <c r="B40" s="57"/>
      <c r="C40" s="57"/>
      <c r="D40" s="57"/>
    </row>
    <row r="41" spans="1:10" x14ac:dyDescent="0.2">
      <c r="A41" s="32"/>
      <c r="B41" s="14"/>
    </row>
    <row r="42" spans="1:10" x14ac:dyDescent="0.2">
      <c r="A42" s="32"/>
    </row>
    <row r="43" spans="1:10" x14ac:dyDescent="0.2">
      <c r="A43" s="32"/>
      <c r="B43" s="14"/>
    </row>
    <row r="44" spans="1:10" x14ac:dyDescent="0.2">
      <c r="A44" s="32"/>
      <c r="B44" s="14"/>
    </row>
    <row r="45" spans="1:10" x14ac:dyDescent="0.2">
      <c r="A45" s="32"/>
      <c r="B45" s="14"/>
      <c r="F45" s="14" t="s">
        <v>220</v>
      </c>
    </row>
    <row r="46" spans="1:10" x14ac:dyDescent="0.2">
      <c r="A46" s="32"/>
      <c r="B46" s="14"/>
      <c r="F46" s="60" t="s">
        <v>221</v>
      </c>
    </row>
    <row r="47" spans="1:10" x14ac:dyDescent="0.2">
      <c r="A47" s="32"/>
      <c r="B47" s="14"/>
    </row>
    <row r="49" spans="1:10" x14ac:dyDescent="0.2">
      <c r="A49" s="32"/>
      <c r="B49" s="14"/>
    </row>
    <row r="50" spans="1:10" x14ac:dyDescent="0.2">
      <c r="A50" s="32"/>
      <c r="B50" s="14"/>
    </row>
    <row r="51" spans="1:10" x14ac:dyDescent="0.2">
      <c r="A51" s="32"/>
      <c r="B51" s="14"/>
    </row>
    <row r="52" spans="1:10" x14ac:dyDescent="0.2">
      <c r="A52" s="68" t="s">
        <v>180</v>
      </c>
      <c r="B52" s="14" t="s">
        <v>224</v>
      </c>
    </row>
    <row r="53" spans="1:10" x14ac:dyDescent="0.2">
      <c r="B53" s="14"/>
    </row>
    <row r="54" spans="1:10" x14ac:dyDescent="0.2">
      <c r="B54" s="14" t="s">
        <v>225</v>
      </c>
    </row>
    <row r="55" spans="1:10" x14ac:dyDescent="0.2">
      <c r="B55" s="14" t="s">
        <v>227</v>
      </c>
    </row>
    <row r="56" spans="1:10" x14ac:dyDescent="0.2">
      <c r="B56" s="14" t="s">
        <v>226</v>
      </c>
    </row>
    <row r="57" spans="1:10" x14ac:dyDescent="0.2">
      <c r="B57" s="14"/>
    </row>
    <row r="58" spans="1:10" x14ac:dyDescent="0.2">
      <c r="B58" s="14"/>
    </row>
    <row r="59" spans="1:10" x14ac:dyDescent="0.2">
      <c r="B59" s="14"/>
    </row>
    <row r="60" spans="1:10" x14ac:dyDescent="0.2">
      <c r="B60" s="123" t="s">
        <v>390</v>
      </c>
    </row>
    <row r="61" spans="1:10" x14ac:dyDescent="0.2">
      <c r="B61" s="14"/>
    </row>
    <row r="62" spans="1:10" x14ac:dyDescent="0.2">
      <c r="B62" s="119" t="s">
        <v>8</v>
      </c>
      <c r="C62" s="66" t="s">
        <v>9</v>
      </c>
      <c r="D62" s="155" t="s">
        <v>10</v>
      </c>
      <c r="E62" s="155"/>
      <c r="F62" s="155"/>
      <c r="G62" s="155"/>
      <c r="H62" s="155"/>
      <c r="I62" s="66" t="s">
        <v>11</v>
      </c>
      <c r="J62" s="119" t="s">
        <v>12</v>
      </c>
    </row>
    <row r="63" spans="1:10" x14ac:dyDescent="0.2">
      <c r="B63" s="120">
        <f>H33</f>
        <v>9.1590470775886317</v>
      </c>
      <c r="D63" s="121">
        <v>1</v>
      </c>
      <c r="E63" s="66" t="s">
        <v>13</v>
      </c>
      <c r="F63" s="66" t="s">
        <v>13</v>
      </c>
      <c r="G63" s="66" t="s">
        <v>13</v>
      </c>
      <c r="H63" s="67" t="s">
        <v>13</v>
      </c>
      <c r="J63" s="122" t="s">
        <v>14</v>
      </c>
    </row>
    <row r="64" spans="1:10" x14ac:dyDescent="0.2">
      <c r="B64" s="120">
        <f>H34</f>
        <v>9.3501023143513411</v>
      </c>
      <c r="D64" s="121" t="s">
        <v>13</v>
      </c>
      <c r="E64" s="66">
        <v>1</v>
      </c>
      <c r="F64" s="66" t="s">
        <v>13</v>
      </c>
      <c r="G64" s="66" t="s">
        <v>13</v>
      </c>
      <c r="H64" s="67" t="s">
        <v>13</v>
      </c>
      <c r="J64" s="122" t="s">
        <v>15</v>
      </c>
    </row>
    <row r="65" spans="1:10" x14ac:dyDescent="0.2">
      <c r="B65" s="120">
        <f>H35</f>
        <v>9.259130536145614</v>
      </c>
      <c r="C65" s="66" t="s">
        <v>9</v>
      </c>
      <c r="D65" s="121" t="s">
        <v>13</v>
      </c>
      <c r="E65" s="66" t="s">
        <v>13</v>
      </c>
      <c r="F65" s="66">
        <v>1</v>
      </c>
      <c r="G65" s="66" t="s">
        <v>13</v>
      </c>
      <c r="H65" s="67" t="s">
        <v>13</v>
      </c>
      <c r="I65" s="66" t="s">
        <v>11</v>
      </c>
      <c r="J65" s="122" t="s">
        <v>66</v>
      </c>
    </row>
    <row r="66" spans="1:10" x14ac:dyDescent="0.2">
      <c r="B66" s="120">
        <f>I33</f>
        <v>8.6125033712205621</v>
      </c>
      <c r="D66" s="121">
        <v>1</v>
      </c>
      <c r="E66" s="66" t="s">
        <v>13</v>
      </c>
      <c r="F66" s="66" t="s">
        <v>13</v>
      </c>
      <c r="G66" s="66">
        <v>1</v>
      </c>
      <c r="H66" s="67" t="s">
        <v>13</v>
      </c>
      <c r="J66" s="122" t="s">
        <v>16</v>
      </c>
    </row>
    <row r="67" spans="1:10" x14ac:dyDescent="0.2">
      <c r="B67" s="120">
        <f>I34</f>
        <v>8.4118326757584114</v>
      </c>
      <c r="D67" s="121" t="s">
        <v>13</v>
      </c>
      <c r="E67" s="66">
        <v>1</v>
      </c>
      <c r="F67" s="66" t="s">
        <v>13</v>
      </c>
      <c r="G67" s="66">
        <v>1</v>
      </c>
      <c r="H67" s="67" t="s">
        <v>13</v>
      </c>
      <c r="J67" s="122" t="s">
        <v>17</v>
      </c>
    </row>
    <row r="68" spans="1:10" x14ac:dyDescent="0.2">
      <c r="B68" s="120">
        <f>J33</f>
        <v>8.0063675676502459</v>
      </c>
      <c r="D68" s="121">
        <v>1</v>
      </c>
      <c r="E68" s="66" t="s">
        <v>13</v>
      </c>
      <c r="F68" s="66" t="s">
        <v>13</v>
      </c>
      <c r="G68" s="66">
        <v>1</v>
      </c>
      <c r="H68" s="67">
        <v>1</v>
      </c>
    </row>
    <row r="70" spans="1:10" x14ac:dyDescent="0.2">
      <c r="B70" s="14"/>
    </row>
    <row r="71" spans="1:10" x14ac:dyDescent="0.2">
      <c r="A71" s="68" t="s">
        <v>181</v>
      </c>
      <c r="B71" s="14" t="s">
        <v>232</v>
      </c>
    </row>
    <row r="73" spans="1:10" x14ac:dyDescent="0.2">
      <c r="B73" s="60" t="s">
        <v>233</v>
      </c>
    </row>
    <row r="74" spans="1:10" x14ac:dyDescent="0.2">
      <c r="B74" s="123" t="s">
        <v>355</v>
      </c>
    </row>
    <row r="75" spans="1:10" x14ac:dyDescent="0.2">
      <c r="B75" s="60" t="s">
        <v>234</v>
      </c>
    </row>
    <row r="77" spans="1:10" x14ac:dyDescent="0.2">
      <c r="B77" s="155" t="s">
        <v>340</v>
      </c>
      <c r="C77" s="155"/>
      <c r="D77" s="155"/>
    </row>
    <row r="79" spans="1:10" x14ac:dyDescent="0.2">
      <c r="F79" s="60" t="s">
        <v>231</v>
      </c>
    </row>
    <row r="81" spans="1:14" x14ac:dyDescent="0.2">
      <c r="G81" s="66"/>
      <c r="H81" s="66"/>
      <c r="I81" s="66"/>
      <c r="J81" s="66"/>
      <c r="K81" s="66"/>
      <c r="L81" s="66"/>
      <c r="M81" s="72"/>
    </row>
    <row r="82" spans="1:14" x14ac:dyDescent="0.2">
      <c r="G82" s="66"/>
      <c r="H82" s="66"/>
      <c r="I82" s="66"/>
      <c r="J82" s="66"/>
      <c r="K82" s="66"/>
      <c r="L82" s="66"/>
      <c r="M82" s="72"/>
    </row>
    <row r="83" spans="1:14" x14ac:dyDescent="0.2">
      <c r="G83" s="66"/>
      <c r="H83" s="66"/>
      <c r="I83" s="66"/>
      <c r="J83" s="66"/>
      <c r="K83" s="66"/>
      <c r="L83" s="66"/>
      <c r="M83" s="72"/>
    </row>
    <row r="84" spans="1:14" x14ac:dyDescent="0.2">
      <c r="G84" s="66"/>
      <c r="H84" s="66"/>
      <c r="I84" s="66"/>
      <c r="J84" s="66"/>
      <c r="K84" s="66"/>
      <c r="L84" s="66"/>
      <c r="M84" s="72"/>
    </row>
    <row r="85" spans="1:14" x14ac:dyDescent="0.2">
      <c r="G85" s="66"/>
      <c r="H85" s="66"/>
      <c r="I85" s="66"/>
      <c r="J85" s="66"/>
      <c r="K85" s="66"/>
      <c r="L85" s="66"/>
      <c r="M85" s="72"/>
    </row>
    <row r="86" spans="1:14" ht="15.5" customHeight="1" x14ac:dyDescent="0.2">
      <c r="A86" s="68" t="s">
        <v>182</v>
      </c>
      <c r="B86" s="14" t="s">
        <v>235</v>
      </c>
    </row>
    <row r="87" spans="1:14" ht="15.5" customHeight="1" x14ac:dyDescent="0.2">
      <c r="B87" s="160" t="s">
        <v>236</v>
      </c>
      <c r="C87" s="160"/>
      <c r="D87" s="160"/>
      <c r="E87" s="160"/>
      <c r="F87" s="160"/>
      <c r="G87" s="160"/>
      <c r="H87" s="160"/>
      <c r="I87" s="160"/>
    </row>
    <row r="88" spans="1:14" ht="15.5" customHeight="1" x14ac:dyDescent="0.2">
      <c r="B88" s="160"/>
      <c r="C88" s="160"/>
      <c r="D88" s="160"/>
      <c r="E88" s="160"/>
      <c r="F88" s="160"/>
      <c r="G88" s="160"/>
      <c r="H88" s="160"/>
      <c r="I88" s="160"/>
    </row>
    <row r="89" spans="1:14" ht="15.5" customHeight="1" x14ac:dyDescent="0.2">
      <c r="B89" s="160"/>
      <c r="C89" s="160"/>
      <c r="D89" s="160"/>
      <c r="E89" s="160"/>
      <c r="F89" s="160"/>
      <c r="G89" s="160"/>
      <c r="H89" s="160"/>
      <c r="I89" s="160"/>
    </row>
    <row r="90" spans="1:14" ht="15.5" customHeight="1" x14ac:dyDescent="0.2"/>
    <row r="91" spans="1:14" ht="15.5" customHeight="1" x14ac:dyDescent="0.2">
      <c r="B91" s="160" t="s">
        <v>237</v>
      </c>
      <c r="C91" s="160"/>
      <c r="D91" s="160"/>
      <c r="E91" s="160"/>
      <c r="F91" s="160"/>
      <c r="G91" s="160"/>
      <c r="H91" s="160"/>
      <c r="I91" s="160"/>
    </row>
    <row r="92" spans="1:14" ht="15.5" customHeight="1" x14ac:dyDescent="0.2">
      <c r="B92" s="160"/>
      <c r="C92" s="160"/>
      <c r="D92" s="160"/>
      <c r="E92" s="160"/>
      <c r="F92" s="160"/>
      <c r="G92" s="160"/>
      <c r="H92" s="160"/>
      <c r="I92" s="160"/>
    </row>
    <row r="94" spans="1:14" ht="19" x14ac:dyDescent="0.25">
      <c r="A94" s="2" t="s">
        <v>114</v>
      </c>
    </row>
    <row r="95" spans="1:14" x14ac:dyDescent="0.2">
      <c r="B95" s="161" t="s">
        <v>356</v>
      </c>
      <c r="C95" s="160"/>
      <c r="D95" s="160"/>
      <c r="E95" s="160"/>
      <c r="F95" s="160"/>
      <c r="G95" s="160"/>
      <c r="H95" s="160"/>
      <c r="I95" s="160"/>
    </row>
    <row r="96" spans="1:14" x14ac:dyDescent="0.2">
      <c r="B96" s="160"/>
      <c r="C96" s="160"/>
      <c r="D96" s="160"/>
      <c r="E96" s="160"/>
      <c r="F96" s="160"/>
      <c r="G96" s="160"/>
      <c r="H96" s="160"/>
      <c r="I96" s="160"/>
      <c r="L96" s="4"/>
      <c r="M96" s="4"/>
      <c r="N96" s="4"/>
    </row>
    <row r="97" spans="2:14" x14ac:dyDescent="0.2">
      <c r="B97" s="160"/>
      <c r="C97" s="160"/>
      <c r="D97" s="160"/>
      <c r="E97" s="160"/>
      <c r="F97" s="160"/>
      <c r="G97" s="160"/>
      <c r="H97" s="160"/>
      <c r="I97" s="160"/>
      <c r="L97" s="4"/>
      <c r="M97" s="4"/>
      <c r="N97" s="4"/>
    </row>
    <row r="98" spans="2:14" x14ac:dyDescent="0.2">
      <c r="B98" s="160"/>
      <c r="C98" s="160"/>
      <c r="D98" s="160"/>
      <c r="E98" s="160"/>
      <c r="F98" s="160"/>
      <c r="G98" s="160"/>
      <c r="H98" s="160"/>
      <c r="I98" s="160"/>
      <c r="L98" s="4"/>
      <c r="M98" s="4"/>
      <c r="N98" s="4"/>
    </row>
    <row r="99" spans="2:14" x14ac:dyDescent="0.2">
      <c r="B99" s="69"/>
      <c r="C99" s="69"/>
      <c r="D99" s="69"/>
      <c r="E99" s="69"/>
      <c r="F99" s="69"/>
      <c r="G99" s="69"/>
      <c r="H99" s="69"/>
      <c r="I99" s="69"/>
      <c r="L99" s="4"/>
      <c r="M99" s="4"/>
      <c r="N99" s="4"/>
    </row>
    <row r="100" spans="2:14" ht="15.75" customHeight="1" x14ac:dyDescent="0.2">
      <c r="B100" s="162" t="s">
        <v>388</v>
      </c>
      <c r="C100" s="160"/>
      <c r="D100" s="160"/>
      <c r="E100" s="160"/>
      <c r="F100" s="160"/>
      <c r="G100" s="160"/>
      <c r="H100" s="160"/>
      <c r="I100" s="160"/>
      <c r="L100" s="4"/>
      <c r="M100" s="4"/>
      <c r="N100" s="4"/>
    </row>
    <row r="101" spans="2:14" x14ac:dyDescent="0.2">
      <c r="B101" s="160"/>
      <c r="C101" s="160"/>
      <c r="D101" s="160"/>
      <c r="E101" s="160"/>
      <c r="F101" s="160"/>
      <c r="G101" s="160"/>
      <c r="H101" s="160"/>
      <c r="I101" s="160"/>
      <c r="L101" s="4"/>
      <c r="M101" s="4"/>
      <c r="N101" s="4"/>
    </row>
    <row r="102" spans="2:14" x14ac:dyDescent="0.2">
      <c r="B102" s="160"/>
      <c r="C102" s="160"/>
      <c r="D102" s="160"/>
      <c r="E102" s="160"/>
      <c r="F102" s="160"/>
      <c r="G102" s="160"/>
      <c r="H102" s="160"/>
      <c r="I102" s="160"/>
      <c r="L102" s="4"/>
      <c r="M102" s="4"/>
      <c r="N102" s="4"/>
    </row>
    <row r="103" spans="2:14" x14ac:dyDescent="0.2">
      <c r="B103" s="160"/>
      <c r="C103" s="160"/>
      <c r="D103" s="160"/>
      <c r="E103" s="160"/>
      <c r="F103" s="160"/>
      <c r="G103" s="160"/>
      <c r="H103" s="160"/>
      <c r="I103" s="160"/>
      <c r="L103" s="4"/>
      <c r="M103" s="4"/>
      <c r="N103" s="4"/>
    </row>
    <row r="104" spans="2:14" x14ac:dyDescent="0.2">
      <c r="L104" s="4"/>
      <c r="M104" s="4"/>
      <c r="N104" s="4"/>
    </row>
    <row r="105" spans="2:14" x14ac:dyDescent="0.2">
      <c r="B105" s="160" t="s">
        <v>238</v>
      </c>
      <c r="C105" s="160"/>
      <c r="D105" s="160"/>
      <c r="E105" s="160"/>
      <c r="F105" s="160"/>
      <c r="G105" s="160"/>
      <c r="H105" s="160"/>
      <c r="I105" s="160"/>
      <c r="L105" s="4"/>
      <c r="M105" s="4"/>
      <c r="N105" s="4"/>
    </row>
    <row r="106" spans="2:14" x14ac:dyDescent="0.2">
      <c r="B106" s="160"/>
      <c r="C106" s="160"/>
      <c r="D106" s="160"/>
      <c r="E106" s="160"/>
      <c r="F106" s="160"/>
      <c r="G106" s="160"/>
      <c r="H106" s="160"/>
      <c r="I106" s="160"/>
      <c r="L106" s="4"/>
      <c r="M106" s="4"/>
      <c r="N106" s="4"/>
    </row>
    <row r="107" spans="2:14" x14ac:dyDescent="0.2">
      <c r="B107" s="69"/>
      <c r="C107" s="69"/>
      <c r="D107" s="69"/>
      <c r="E107" s="163" t="s">
        <v>115</v>
      </c>
      <c r="F107" s="69"/>
      <c r="G107" s="69"/>
      <c r="H107" s="69"/>
      <c r="I107" s="69"/>
      <c r="L107" s="4"/>
      <c r="M107" s="4"/>
      <c r="N107" s="4"/>
    </row>
    <row r="108" spans="2:14" x14ac:dyDescent="0.2">
      <c r="E108" s="164"/>
      <c r="F108" s="70" t="s">
        <v>116</v>
      </c>
      <c r="L108" s="4"/>
      <c r="M108" s="4"/>
      <c r="N108" s="4"/>
    </row>
    <row r="109" spans="2:14" x14ac:dyDescent="0.2">
      <c r="E109" s="71" t="s">
        <v>117</v>
      </c>
      <c r="F109" s="72">
        <v>0</v>
      </c>
      <c r="L109" s="4"/>
      <c r="M109" s="4"/>
      <c r="N109" s="4"/>
    </row>
    <row r="110" spans="2:14" x14ac:dyDescent="0.2">
      <c r="E110" s="71" t="s">
        <v>118</v>
      </c>
      <c r="F110" s="72">
        <v>1</v>
      </c>
      <c r="L110" s="4"/>
      <c r="M110" s="4"/>
      <c r="N110" s="4"/>
    </row>
    <row r="111" spans="2:14" x14ac:dyDescent="0.2">
      <c r="E111" s="71" t="s">
        <v>119</v>
      </c>
      <c r="F111" s="72">
        <v>2</v>
      </c>
      <c r="L111" s="4"/>
      <c r="M111" s="4"/>
      <c r="N111" s="4"/>
    </row>
    <row r="112" spans="2:14" x14ac:dyDescent="0.2">
      <c r="L112" s="4"/>
      <c r="M112" s="4"/>
      <c r="N112" s="4"/>
    </row>
    <row r="113" spans="1:14" ht="19" customHeight="1" x14ac:dyDescent="0.2">
      <c r="B113" s="160" t="s">
        <v>239</v>
      </c>
      <c r="C113" s="160"/>
      <c r="D113" s="160"/>
      <c r="E113" s="160"/>
      <c r="F113" s="160"/>
      <c r="G113" s="160"/>
      <c r="H113" s="160"/>
      <c r="I113" s="160"/>
      <c r="L113" s="4"/>
      <c r="M113" s="4"/>
      <c r="N113" s="4"/>
    </row>
    <row r="114" spans="1:14" x14ac:dyDescent="0.2">
      <c r="B114" s="160"/>
      <c r="C114" s="160"/>
      <c r="D114" s="160"/>
      <c r="E114" s="160"/>
      <c r="F114" s="160"/>
      <c r="G114" s="160"/>
      <c r="H114" s="160"/>
      <c r="I114" s="160"/>
      <c r="L114" s="4"/>
      <c r="M114" s="4"/>
      <c r="N114" s="4"/>
    </row>
    <row r="115" spans="1:14" x14ac:dyDescent="0.2">
      <c r="B115" s="160"/>
      <c r="C115" s="160"/>
      <c r="D115" s="160"/>
      <c r="E115" s="160"/>
      <c r="F115" s="160"/>
      <c r="G115" s="160"/>
      <c r="H115" s="160"/>
      <c r="I115" s="160"/>
      <c r="M115" s="65"/>
    </row>
    <row r="116" spans="1:14" x14ac:dyDescent="0.2">
      <c r="M116" s="65"/>
    </row>
    <row r="117" spans="1:14" ht="19" x14ac:dyDescent="0.25">
      <c r="A117" s="2" t="s">
        <v>126</v>
      </c>
      <c r="L117" s="4"/>
      <c r="M117" s="4"/>
      <c r="N117" s="4"/>
    </row>
    <row r="118" spans="1:14" x14ac:dyDescent="0.2">
      <c r="B118" s="60" t="s">
        <v>120</v>
      </c>
      <c r="L118" s="4"/>
      <c r="M118" s="4"/>
      <c r="N118" s="4"/>
    </row>
    <row r="119" spans="1:14" x14ac:dyDescent="0.2">
      <c r="L119" s="4"/>
      <c r="M119" s="4"/>
      <c r="N119" s="4"/>
    </row>
    <row r="120" spans="1:14" ht="19" x14ac:dyDescent="0.25">
      <c r="A120" s="2" t="s">
        <v>121</v>
      </c>
      <c r="L120" s="4"/>
      <c r="M120" s="4"/>
      <c r="N120" s="4"/>
    </row>
    <row r="121" spans="1:14" x14ac:dyDescent="0.2">
      <c r="B121" s="60" t="s">
        <v>122</v>
      </c>
      <c r="D121" s="60" t="s">
        <v>125</v>
      </c>
      <c r="L121" s="4"/>
      <c r="M121" s="4"/>
      <c r="N121" s="4"/>
    </row>
    <row r="122" spans="1:14" x14ac:dyDescent="0.2">
      <c r="B122" s="60" t="s">
        <v>123</v>
      </c>
      <c r="L122" s="4"/>
      <c r="M122" s="4"/>
      <c r="N122" s="4"/>
    </row>
    <row r="123" spans="1:14" x14ac:dyDescent="0.2">
      <c r="B123" s="60" t="s">
        <v>124</v>
      </c>
      <c r="L123" s="4"/>
      <c r="M123" s="4"/>
      <c r="N123" s="4"/>
    </row>
    <row r="124" spans="1:14" x14ac:dyDescent="0.2">
      <c r="L124" s="4"/>
      <c r="M124" s="4"/>
      <c r="N124" s="4"/>
    </row>
    <row r="125" spans="1:14" x14ac:dyDescent="0.2">
      <c r="M125" s="65"/>
    </row>
    <row r="126" spans="1:14" x14ac:dyDescent="0.2">
      <c r="L126" s="4"/>
      <c r="M126" s="4"/>
      <c r="N126" s="4"/>
    </row>
    <row r="127" spans="1:14" x14ac:dyDescent="0.2">
      <c r="L127" s="4"/>
      <c r="M127" s="4"/>
      <c r="N127" s="4"/>
    </row>
    <row r="128" spans="1:14" x14ac:dyDescent="0.2">
      <c r="L128" s="4"/>
      <c r="M128" s="4"/>
      <c r="N128" s="4"/>
    </row>
    <row r="129" spans="1:65" x14ac:dyDescent="0.2">
      <c r="L129" s="4"/>
      <c r="M129" s="4"/>
      <c r="N129" s="4"/>
    </row>
    <row r="130" spans="1:65" x14ac:dyDescent="0.2">
      <c r="L130" s="4"/>
      <c r="M130" s="4"/>
      <c r="N130" s="4"/>
    </row>
    <row r="131" spans="1:65" x14ac:dyDescent="0.2">
      <c r="L131" s="4"/>
      <c r="M131" s="4"/>
      <c r="N131" s="4"/>
    </row>
    <row r="132" spans="1:65" x14ac:dyDescent="0.2">
      <c r="L132" s="4"/>
      <c r="M132" s="4"/>
      <c r="N132" s="4"/>
    </row>
    <row r="133" spans="1:65" x14ac:dyDescent="0.2">
      <c r="L133" s="4"/>
      <c r="M133" s="4"/>
      <c r="N133" s="4"/>
    </row>
    <row r="134" spans="1:65" x14ac:dyDescent="0.2">
      <c r="L134" s="4"/>
      <c r="M134" s="4"/>
      <c r="N134" s="4"/>
    </row>
    <row r="135" spans="1:65" x14ac:dyDescent="0.2">
      <c r="M135" s="65"/>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sheetData>
  <mergeCells count="14">
    <mergeCell ref="B105:I106"/>
    <mergeCell ref="B113:I115"/>
    <mergeCell ref="B87:I89"/>
    <mergeCell ref="B91:I92"/>
    <mergeCell ref="B95:I98"/>
    <mergeCell ref="B100:I103"/>
    <mergeCell ref="E107:E108"/>
    <mergeCell ref="B77:D77"/>
    <mergeCell ref="C5:F5"/>
    <mergeCell ref="D62:H62"/>
    <mergeCell ref="G21:J21"/>
    <mergeCell ref="G31:J31"/>
    <mergeCell ref="B39:D39"/>
    <mergeCell ref="F39:H39"/>
  </mergeCells>
  <phoneticPr fontId="17" type="noConversion"/>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97"/>
  <sheetViews>
    <sheetView showGridLines="0" zoomScale="120" zoomScaleNormal="120" workbookViewId="0"/>
  </sheetViews>
  <sheetFormatPr baseColWidth="10" defaultColWidth="10.83203125" defaultRowHeight="16" x14ac:dyDescent="0.2"/>
  <cols>
    <col min="1" max="12" width="10.83203125" style="60" customWidth="1"/>
    <col min="13" max="16384" width="10.83203125" style="60"/>
  </cols>
  <sheetData>
    <row r="1" spans="1:10" ht="19" x14ac:dyDescent="0.25">
      <c r="A1" s="1" t="s">
        <v>185</v>
      </c>
      <c r="B1" s="58"/>
      <c r="C1" s="58"/>
      <c r="D1" s="58"/>
      <c r="E1" s="58"/>
      <c r="F1" s="58"/>
      <c r="G1" s="58"/>
      <c r="H1" s="58"/>
      <c r="I1" s="58"/>
      <c r="J1" s="59"/>
    </row>
    <row r="2" spans="1:10" x14ac:dyDescent="0.2">
      <c r="A2" s="5"/>
      <c r="B2" s="58"/>
      <c r="C2" s="58"/>
      <c r="D2" s="58"/>
      <c r="E2" s="58"/>
      <c r="F2" s="58"/>
      <c r="G2" s="58"/>
      <c r="H2" s="58"/>
      <c r="I2" s="58"/>
      <c r="J2" s="59"/>
    </row>
    <row r="3" spans="1:10" x14ac:dyDescent="0.2">
      <c r="A3" s="5"/>
      <c r="B3" s="58" t="s">
        <v>67</v>
      </c>
      <c r="C3" s="58"/>
      <c r="D3" s="58"/>
      <c r="E3" s="58"/>
      <c r="F3" s="58"/>
      <c r="G3" s="58"/>
      <c r="H3" s="58"/>
      <c r="I3" s="58"/>
      <c r="J3" s="59"/>
    </row>
    <row r="4" spans="1:10" x14ac:dyDescent="0.2">
      <c r="A4" s="5"/>
      <c r="B4" s="58" t="s">
        <v>68</v>
      </c>
      <c r="C4" s="58"/>
      <c r="D4" s="58"/>
      <c r="E4" s="58"/>
      <c r="F4" s="58"/>
      <c r="G4" s="58"/>
      <c r="H4" s="58"/>
      <c r="I4" s="58"/>
      <c r="J4" s="59"/>
    </row>
    <row r="5" spans="1:10" x14ac:dyDescent="0.2">
      <c r="A5" s="5"/>
      <c r="B5" s="58"/>
      <c r="C5" s="58"/>
      <c r="D5" s="58"/>
      <c r="E5" s="58"/>
      <c r="F5" s="58"/>
      <c r="G5" s="58"/>
      <c r="H5" s="58"/>
      <c r="I5" s="58"/>
      <c r="J5" s="59"/>
    </row>
    <row r="6" spans="1:10" x14ac:dyDescent="0.2">
      <c r="A6" s="5"/>
      <c r="B6" s="58"/>
      <c r="C6" s="58"/>
      <c r="D6" s="156" t="s">
        <v>18</v>
      </c>
      <c r="E6" s="158"/>
      <c r="F6" s="58"/>
      <c r="G6" s="58"/>
      <c r="H6" s="58"/>
      <c r="I6" s="58"/>
      <c r="J6" s="59"/>
    </row>
    <row r="7" spans="1:10" ht="17" x14ac:dyDescent="0.2">
      <c r="A7" s="5"/>
      <c r="B7" s="58"/>
      <c r="C7" s="58"/>
      <c r="D7" s="38" t="s">
        <v>19</v>
      </c>
      <c r="E7" s="37" t="s">
        <v>20</v>
      </c>
      <c r="F7" s="58"/>
      <c r="G7" s="58"/>
      <c r="H7" s="58"/>
      <c r="I7" s="58"/>
      <c r="J7" s="59"/>
    </row>
    <row r="8" spans="1:10" ht="19" x14ac:dyDescent="0.2">
      <c r="A8" s="5"/>
      <c r="B8" s="58"/>
      <c r="C8" s="58"/>
      <c r="D8" s="40" t="s">
        <v>341</v>
      </c>
      <c r="E8" s="17">
        <v>6.7450000000000001</v>
      </c>
      <c r="F8" s="58"/>
      <c r="G8" s="58"/>
      <c r="H8" s="58"/>
      <c r="I8" s="58"/>
      <c r="J8" s="59"/>
    </row>
    <row r="9" spans="1:10" ht="19" x14ac:dyDescent="0.2">
      <c r="A9" s="5"/>
      <c r="B9" s="58"/>
      <c r="C9" s="58"/>
      <c r="D9" s="40" t="s">
        <v>342</v>
      </c>
      <c r="E9" s="17">
        <v>6.8129999999999997</v>
      </c>
      <c r="F9" s="58"/>
      <c r="G9" s="58"/>
      <c r="H9" s="58"/>
      <c r="I9" s="58"/>
      <c r="J9" s="59"/>
    </row>
    <row r="10" spans="1:10" ht="19" x14ac:dyDescent="0.2">
      <c r="A10" s="5"/>
      <c r="B10" s="58"/>
      <c r="C10" s="58"/>
      <c r="D10" s="40" t="s">
        <v>343</v>
      </c>
      <c r="E10" s="17">
        <v>6.9180000000000001</v>
      </c>
      <c r="F10" s="58"/>
      <c r="G10" s="58"/>
      <c r="H10" s="58"/>
      <c r="I10" s="58"/>
      <c r="J10" s="59"/>
    </row>
    <row r="11" spans="1:10" ht="19" x14ac:dyDescent="0.2">
      <c r="A11" s="5"/>
      <c r="B11" s="58"/>
      <c r="C11" s="58"/>
      <c r="D11" s="40" t="s">
        <v>344</v>
      </c>
      <c r="E11" s="17">
        <v>-0.68200000000000005</v>
      </c>
      <c r="F11" s="58"/>
      <c r="G11" s="58"/>
      <c r="H11" s="58"/>
      <c r="I11" s="58"/>
      <c r="J11" s="59"/>
    </row>
    <row r="12" spans="1:10" ht="19" x14ac:dyDescent="0.2">
      <c r="A12" s="5"/>
      <c r="B12" s="58"/>
      <c r="C12" s="58"/>
      <c r="D12" s="41" t="s">
        <v>345</v>
      </c>
      <c r="E12" s="15">
        <v>-1.621</v>
      </c>
      <c r="F12" s="58"/>
      <c r="G12" s="58"/>
      <c r="H12" s="58"/>
      <c r="I12" s="58"/>
      <c r="J12" s="59"/>
    </row>
    <row r="13" spans="1:10" x14ac:dyDescent="0.2">
      <c r="A13" s="5"/>
      <c r="B13" s="58"/>
      <c r="C13" s="58"/>
      <c r="D13" s="58"/>
      <c r="E13" s="58"/>
      <c r="F13" s="58"/>
      <c r="G13" s="58"/>
      <c r="H13" s="58"/>
      <c r="I13" s="58"/>
      <c r="J13" s="59"/>
    </row>
    <row r="14" spans="1:10" x14ac:dyDescent="0.2">
      <c r="A14" s="5"/>
      <c r="B14" s="58" t="s">
        <v>21</v>
      </c>
      <c r="C14" s="58"/>
      <c r="D14" s="58"/>
      <c r="E14" s="58"/>
      <c r="F14" s="58"/>
      <c r="G14" s="58"/>
      <c r="H14" s="58"/>
      <c r="I14" s="58"/>
      <c r="J14" s="59"/>
    </row>
    <row r="15" spans="1:10" ht="17" thickBot="1" x14ac:dyDescent="0.25">
      <c r="A15" s="61"/>
      <c r="B15" s="62"/>
      <c r="C15" s="63"/>
      <c r="D15" s="63"/>
      <c r="E15" s="63"/>
      <c r="F15" s="62"/>
      <c r="G15" s="62"/>
      <c r="H15" s="62"/>
      <c r="I15" s="62"/>
      <c r="J15" s="64"/>
    </row>
    <row r="17" spans="1:12" ht="19" x14ac:dyDescent="0.25">
      <c r="A17" s="2" t="s">
        <v>2</v>
      </c>
    </row>
    <row r="18" spans="1:12" ht="18" x14ac:dyDescent="0.25">
      <c r="A18" s="68" t="s">
        <v>177</v>
      </c>
      <c r="B18" s="14" t="s">
        <v>240</v>
      </c>
      <c r="C18" s="65"/>
    </row>
    <row r="19" spans="1:12" x14ac:dyDescent="0.2">
      <c r="A19" s="3"/>
      <c r="C19" s="65"/>
    </row>
    <row r="21" spans="1:12" x14ac:dyDescent="0.2">
      <c r="L21" s="4"/>
    </row>
    <row r="22" spans="1:12" x14ac:dyDescent="0.2">
      <c r="L22" s="4"/>
    </row>
    <row r="23" spans="1:12" x14ac:dyDescent="0.2">
      <c r="L23" s="4"/>
    </row>
    <row r="24" spans="1:12" ht="18" x14ac:dyDescent="0.25">
      <c r="B24" s="166" t="s">
        <v>241</v>
      </c>
      <c r="C24" s="166"/>
      <c r="D24" s="166"/>
      <c r="E24" s="166"/>
      <c r="G24" s="159" t="s">
        <v>247</v>
      </c>
      <c r="H24" s="159"/>
      <c r="I24" s="159"/>
      <c r="J24" s="159"/>
      <c r="L24" s="4"/>
    </row>
    <row r="25" spans="1:12" x14ac:dyDescent="0.2">
      <c r="B25" s="89"/>
      <c r="C25" s="90">
        <v>1</v>
      </c>
      <c r="D25" s="90">
        <v>2</v>
      </c>
      <c r="E25" s="90">
        <v>3</v>
      </c>
      <c r="G25" s="89"/>
      <c r="H25" s="90">
        <v>1</v>
      </c>
      <c r="I25" s="90">
        <v>2</v>
      </c>
      <c r="J25" s="90">
        <v>3</v>
      </c>
      <c r="L25" s="4"/>
    </row>
    <row r="26" spans="1:12" ht="18" x14ac:dyDescent="0.25">
      <c r="B26" s="67">
        <v>1</v>
      </c>
      <c r="C26" s="66" t="s">
        <v>228</v>
      </c>
      <c r="D26" s="66" t="s">
        <v>242</v>
      </c>
      <c r="E26" s="66" t="s">
        <v>244</v>
      </c>
      <c r="G26" s="67">
        <v>1</v>
      </c>
      <c r="H26" s="66">
        <f>$E8</f>
        <v>6.7450000000000001</v>
      </c>
      <c r="I26" s="66">
        <f>$E8+$E$11</f>
        <v>6.0629999999999997</v>
      </c>
      <c r="J26" s="66">
        <f>$E$8+$E$11+$E$12</f>
        <v>4.4420000000000002</v>
      </c>
      <c r="L26" s="4"/>
    </row>
    <row r="27" spans="1:12" ht="18" x14ac:dyDescent="0.25">
      <c r="B27" s="67">
        <v>2</v>
      </c>
      <c r="C27" s="66" t="s">
        <v>229</v>
      </c>
      <c r="D27" s="66" t="s">
        <v>243</v>
      </c>
      <c r="E27" s="66"/>
      <c r="G27" s="67">
        <v>2</v>
      </c>
      <c r="H27" s="66">
        <f t="shared" ref="H27:H28" si="0">$E9</f>
        <v>6.8129999999999997</v>
      </c>
      <c r="I27" s="66">
        <f>$E9+$E$11</f>
        <v>6.1309999999999993</v>
      </c>
      <c r="J27" s="66"/>
      <c r="L27" s="4"/>
    </row>
    <row r="28" spans="1:12" ht="18" x14ac:dyDescent="0.25">
      <c r="B28" s="67">
        <v>3</v>
      </c>
      <c r="C28" s="66" t="s">
        <v>230</v>
      </c>
      <c r="D28" s="66"/>
      <c r="E28" s="66"/>
      <c r="G28" s="67">
        <v>3</v>
      </c>
      <c r="H28" s="66">
        <f t="shared" si="0"/>
        <v>6.9180000000000001</v>
      </c>
      <c r="I28" s="66"/>
      <c r="J28" s="66"/>
      <c r="L28" s="4"/>
    </row>
    <row r="29" spans="1:12" x14ac:dyDescent="0.2">
      <c r="L29" s="4"/>
    </row>
    <row r="30" spans="1:12" ht="18" x14ac:dyDescent="0.25">
      <c r="A30" s="68" t="s">
        <v>178</v>
      </c>
      <c r="B30" s="14" t="s">
        <v>245</v>
      </c>
      <c r="L30" s="4"/>
    </row>
    <row r="31" spans="1:12" x14ac:dyDescent="0.2">
      <c r="L31" s="4"/>
    </row>
    <row r="32" spans="1:12" x14ac:dyDescent="0.2">
      <c r="L32" s="4"/>
    </row>
    <row r="33" spans="1:13" x14ac:dyDescent="0.2">
      <c r="L33" s="4"/>
    </row>
    <row r="34" spans="1:13" x14ac:dyDescent="0.2">
      <c r="L34" s="4"/>
    </row>
    <row r="35" spans="1:13" ht="18" x14ac:dyDescent="0.25">
      <c r="C35" s="159" t="s">
        <v>246</v>
      </c>
      <c r="D35" s="159"/>
      <c r="E35" s="159"/>
      <c r="F35" s="159"/>
      <c r="M35" s="4"/>
    </row>
    <row r="36" spans="1:13" x14ac:dyDescent="0.2">
      <c r="C36" s="89"/>
      <c r="D36" s="90">
        <v>1</v>
      </c>
      <c r="E36" s="90">
        <v>2</v>
      </c>
      <c r="F36" s="90">
        <v>3</v>
      </c>
      <c r="M36" s="4"/>
    </row>
    <row r="37" spans="1:13" x14ac:dyDescent="0.2">
      <c r="C37" s="67">
        <v>1</v>
      </c>
      <c r="D37" s="98">
        <f>EXP(H26)</f>
        <v>849.79912667738051</v>
      </c>
      <c r="E37" s="98">
        <f>EXP(I26)</f>
        <v>429.66249278846664</v>
      </c>
      <c r="F37" s="98">
        <f>EXP(J26)</f>
        <v>84.944661220148816</v>
      </c>
      <c r="M37" s="4"/>
    </row>
    <row r="38" spans="1:13" x14ac:dyDescent="0.2">
      <c r="C38" s="67">
        <v>2</v>
      </c>
      <c r="D38" s="98">
        <f>EXP(H27)</f>
        <v>909.595504371027</v>
      </c>
      <c r="E38" s="98">
        <f>EXP(I27)</f>
        <v>459.89582663528608</v>
      </c>
      <c r="F38" s="98"/>
      <c r="M38" s="4"/>
    </row>
    <row r="39" spans="1:13" x14ac:dyDescent="0.2">
      <c r="C39" s="67">
        <v>3</v>
      </c>
      <c r="D39" s="98">
        <f>EXP(H28)</f>
        <v>1010.2973778367494</v>
      </c>
      <c r="E39" s="98"/>
      <c r="F39" s="98"/>
      <c r="M39" s="4"/>
    </row>
    <row r="40" spans="1:13" x14ac:dyDescent="0.2">
      <c r="L40" s="4"/>
    </row>
    <row r="41" spans="1:13" ht="19" x14ac:dyDescent="0.25">
      <c r="A41" s="2" t="s">
        <v>114</v>
      </c>
      <c r="L41" s="4"/>
    </row>
    <row r="42" spans="1:13" x14ac:dyDescent="0.2">
      <c r="B42" s="160" t="s">
        <v>248</v>
      </c>
      <c r="C42" s="160"/>
      <c r="D42" s="160"/>
      <c r="E42" s="160"/>
      <c r="F42" s="160"/>
      <c r="G42" s="160"/>
      <c r="H42" s="160"/>
      <c r="I42" s="160"/>
    </row>
    <row r="43" spans="1:13" x14ac:dyDescent="0.2">
      <c r="B43" s="160"/>
      <c r="C43" s="160"/>
      <c r="D43" s="160"/>
      <c r="E43" s="160"/>
      <c r="F43" s="160"/>
      <c r="G43" s="160"/>
      <c r="H43" s="160"/>
      <c r="I43" s="160"/>
    </row>
    <row r="45" spans="1:13" x14ac:dyDescent="0.2">
      <c r="B45" s="160" t="s">
        <v>249</v>
      </c>
      <c r="C45" s="160"/>
      <c r="D45" s="160"/>
      <c r="E45" s="160"/>
      <c r="F45" s="160"/>
      <c r="G45" s="160"/>
      <c r="H45" s="160"/>
      <c r="I45" s="160"/>
    </row>
    <row r="46" spans="1:13" ht="18" customHeight="1" x14ac:dyDescent="0.2">
      <c r="B46" s="160"/>
      <c r="C46" s="160"/>
      <c r="D46" s="160"/>
      <c r="E46" s="160"/>
      <c r="F46" s="160"/>
      <c r="G46" s="160"/>
      <c r="H46" s="160"/>
      <c r="I46" s="160"/>
    </row>
    <row r="50" spans="1:14" ht="18" customHeight="1" x14ac:dyDescent="0.2">
      <c r="B50" s="165" t="s">
        <v>385</v>
      </c>
      <c r="C50" s="160"/>
      <c r="D50" s="160"/>
      <c r="E50" s="160"/>
      <c r="F50" s="160"/>
      <c r="G50" s="160"/>
      <c r="H50" s="160"/>
      <c r="I50" s="160"/>
    </row>
    <row r="51" spans="1:14" ht="18" customHeight="1" x14ac:dyDescent="0.2">
      <c r="B51" s="160"/>
      <c r="C51" s="160"/>
      <c r="D51" s="160"/>
      <c r="E51" s="160"/>
      <c r="F51" s="160"/>
      <c r="G51" s="160"/>
      <c r="H51" s="160"/>
      <c r="I51" s="160"/>
    </row>
    <row r="54" spans="1:14" x14ac:dyDescent="0.2">
      <c r="A54" s="3"/>
      <c r="B54" s="165" t="s">
        <v>386</v>
      </c>
      <c r="C54" s="160"/>
      <c r="D54" s="160"/>
      <c r="E54" s="160"/>
      <c r="F54" s="160"/>
      <c r="G54" s="160"/>
      <c r="H54" s="160"/>
      <c r="I54" s="160"/>
    </row>
    <row r="55" spans="1:14" ht="18" customHeight="1" x14ac:dyDescent="0.2">
      <c r="B55" s="160"/>
      <c r="C55" s="160"/>
      <c r="D55" s="160"/>
      <c r="E55" s="160"/>
      <c r="F55" s="160"/>
      <c r="G55" s="160"/>
      <c r="H55" s="160"/>
      <c r="I55" s="160"/>
      <c r="M55" s="65"/>
    </row>
    <row r="56" spans="1:14" x14ac:dyDescent="0.2">
      <c r="L56" s="4"/>
      <c r="M56" s="4"/>
      <c r="N56" s="4"/>
    </row>
    <row r="57" spans="1:14" ht="19" x14ac:dyDescent="0.25">
      <c r="A57" s="2" t="s">
        <v>126</v>
      </c>
      <c r="L57" s="4"/>
      <c r="M57" s="4"/>
      <c r="N57" s="4"/>
    </row>
    <row r="58" spans="1:14" x14ac:dyDescent="0.2">
      <c r="B58" s="60" t="s">
        <v>127</v>
      </c>
      <c r="L58" s="4"/>
      <c r="M58" s="4"/>
      <c r="N58" s="4"/>
    </row>
    <row r="59" spans="1:14" x14ac:dyDescent="0.2">
      <c r="L59" s="4"/>
      <c r="M59" s="4"/>
      <c r="N59" s="4"/>
    </row>
    <row r="60" spans="1:14" ht="19" x14ac:dyDescent="0.25">
      <c r="A60" s="2" t="s">
        <v>121</v>
      </c>
      <c r="L60" s="4"/>
      <c r="M60" s="4"/>
      <c r="N60" s="4"/>
    </row>
    <row r="61" spans="1:14" x14ac:dyDescent="0.2">
      <c r="B61" s="60" t="s">
        <v>122</v>
      </c>
      <c r="D61" s="60" t="s">
        <v>128</v>
      </c>
      <c r="L61" s="4"/>
      <c r="M61" s="4"/>
      <c r="N61" s="4"/>
    </row>
    <row r="62" spans="1:14" x14ac:dyDescent="0.2">
      <c r="D62" s="60" t="s">
        <v>129</v>
      </c>
      <c r="L62" s="4"/>
      <c r="M62" s="4"/>
      <c r="N62" s="4"/>
    </row>
    <row r="63" spans="1:14" x14ac:dyDescent="0.2">
      <c r="L63" s="4"/>
      <c r="M63" s="4"/>
      <c r="N63" s="4"/>
    </row>
    <row r="64" spans="1:14" x14ac:dyDescent="0.2">
      <c r="L64" s="4"/>
      <c r="M64" s="4"/>
      <c r="N64" s="4"/>
    </row>
    <row r="65" spans="12:14" x14ac:dyDescent="0.2">
      <c r="M65" s="65"/>
    </row>
    <row r="66" spans="12:14" x14ac:dyDescent="0.2">
      <c r="L66" s="4"/>
      <c r="M66" s="4"/>
      <c r="N66" s="4"/>
    </row>
    <row r="67" spans="12:14" x14ac:dyDescent="0.2">
      <c r="L67" s="4"/>
      <c r="M67" s="4"/>
      <c r="N67" s="4"/>
    </row>
    <row r="68" spans="12:14" x14ac:dyDescent="0.2">
      <c r="L68" s="4"/>
      <c r="M68" s="4"/>
      <c r="N68" s="4"/>
    </row>
    <row r="69" spans="12:14" x14ac:dyDescent="0.2">
      <c r="L69" s="4"/>
      <c r="M69" s="4"/>
      <c r="N69" s="4"/>
    </row>
    <row r="70" spans="12:14" x14ac:dyDescent="0.2">
      <c r="L70" s="4"/>
      <c r="M70" s="4"/>
      <c r="N70" s="4"/>
    </row>
    <row r="71" spans="12:14" x14ac:dyDescent="0.2">
      <c r="L71" s="4"/>
      <c r="M71" s="4"/>
      <c r="N71" s="4"/>
    </row>
    <row r="72" spans="12:14" x14ac:dyDescent="0.2">
      <c r="L72" s="4"/>
      <c r="M72" s="4"/>
      <c r="N72" s="4"/>
    </row>
    <row r="73" spans="12:14" x14ac:dyDescent="0.2">
      <c r="L73" s="4"/>
      <c r="M73" s="4"/>
      <c r="N73" s="4"/>
    </row>
    <row r="74" spans="12:14" x14ac:dyDescent="0.2">
      <c r="L74" s="4"/>
      <c r="M74" s="4"/>
      <c r="N74" s="4"/>
    </row>
    <row r="75" spans="12:14" x14ac:dyDescent="0.2">
      <c r="M75" s="65"/>
    </row>
    <row r="76" spans="12:14" x14ac:dyDescent="0.2">
      <c r="L76" s="4"/>
      <c r="M76" s="4"/>
      <c r="N76" s="4"/>
    </row>
    <row r="77" spans="12:14" x14ac:dyDescent="0.2">
      <c r="L77" s="4"/>
      <c r="M77" s="4"/>
      <c r="N77" s="4"/>
    </row>
    <row r="78" spans="12:14" x14ac:dyDescent="0.2">
      <c r="L78" s="4"/>
      <c r="M78" s="4"/>
      <c r="N78" s="4"/>
    </row>
    <row r="79" spans="12:14" x14ac:dyDescent="0.2">
      <c r="L79" s="4"/>
      <c r="M79" s="4"/>
      <c r="N79" s="4"/>
    </row>
    <row r="80" spans="12:14" x14ac:dyDescent="0.2">
      <c r="L80" s="4"/>
      <c r="M80" s="4"/>
      <c r="N80" s="4"/>
    </row>
    <row r="81" spans="1:65" x14ac:dyDescent="0.2">
      <c r="L81" s="4"/>
      <c r="M81" s="4"/>
      <c r="N81" s="4"/>
    </row>
    <row r="82" spans="1:65" x14ac:dyDescent="0.2">
      <c r="L82" s="4"/>
      <c r="M82" s="4"/>
      <c r="N82" s="4"/>
    </row>
    <row r="83" spans="1:65" x14ac:dyDescent="0.2">
      <c r="L83" s="4"/>
      <c r="M83" s="4"/>
      <c r="N83" s="4"/>
    </row>
    <row r="84" spans="1:65" x14ac:dyDescent="0.2">
      <c r="L84" s="4"/>
      <c r="M84" s="4"/>
      <c r="N84" s="4"/>
    </row>
    <row r="85" spans="1:65" x14ac:dyDescent="0.2">
      <c r="M85" s="65"/>
    </row>
    <row r="86" spans="1:65" x14ac:dyDescent="0.2">
      <c r="L86" s="4"/>
      <c r="M86" s="4"/>
      <c r="N86" s="4"/>
    </row>
    <row r="87" spans="1:65" x14ac:dyDescent="0.2">
      <c r="L87" s="4"/>
      <c r="M87" s="4"/>
      <c r="N87" s="4"/>
    </row>
    <row r="88" spans="1:65" x14ac:dyDescent="0.2">
      <c r="L88" s="4"/>
      <c r="M88" s="4"/>
      <c r="N88" s="4"/>
    </row>
    <row r="89" spans="1:65" x14ac:dyDescent="0.2">
      <c r="L89" s="4"/>
      <c r="M89" s="4"/>
      <c r="N89" s="4"/>
    </row>
    <row r="90" spans="1:65" x14ac:dyDescent="0.2">
      <c r="L90" s="4"/>
      <c r="M90" s="4"/>
      <c r="N90" s="4"/>
    </row>
    <row r="91" spans="1:65" x14ac:dyDescent="0.2">
      <c r="L91" s="4"/>
      <c r="M91" s="4"/>
      <c r="N91" s="4"/>
    </row>
    <row r="92" spans="1:65" x14ac:dyDescent="0.2">
      <c r="L92" s="4"/>
      <c r="M92" s="4"/>
      <c r="N92" s="4"/>
    </row>
    <row r="93" spans="1:65" x14ac:dyDescent="0.2">
      <c r="L93" s="4"/>
      <c r="M93" s="4"/>
      <c r="N93" s="4"/>
    </row>
    <row r="94" spans="1:65" x14ac:dyDescent="0.2">
      <c r="L94" s="4"/>
      <c r="M94" s="4"/>
      <c r="N94" s="4"/>
    </row>
    <row r="95" spans="1:65" x14ac:dyDescent="0.2">
      <c r="M95" s="65"/>
    </row>
    <row r="96" spans="1:6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sheetData>
  <mergeCells count="8">
    <mergeCell ref="B45:I46"/>
    <mergeCell ref="B50:I51"/>
    <mergeCell ref="B54:I55"/>
    <mergeCell ref="D6:E6"/>
    <mergeCell ref="G24:J24"/>
    <mergeCell ref="C35:F35"/>
    <mergeCell ref="B24:E24"/>
    <mergeCell ref="B42:I43"/>
  </mergeCells>
  <phoneticPr fontId="1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224"/>
  <sheetViews>
    <sheetView showGridLines="0" zoomScale="120" zoomScaleNormal="120" workbookViewId="0"/>
  </sheetViews>
  <sheetFormatPr baseColWidth="10" defaultColWidth="10.83203125" defaultRowHeight="16" x14ac:dyDescent="0.2"/>
  <cols>
    <col min="1" max="12" width="10.83203125" style="60" customWidth="1"/>
    <col min="13" max="16384" width="10.83203125" style="60"/>
  </cols>
  <sheetData>
    <row r="1" spans="1:11" ht="19" x14ac:dyDescent="0.25">
      <c r="A1" s="73" t="s">
        <v>187</v>
      </c>
      <c r="B1" s="58"/>
      <c r="C1" s="58"/>
      <c r="D1" s="58"/>
      <c r="E1" s="58"/>
      <c r="F1" s="58"/>
      <c r="G1" s="58"/>
      <c r="H1" s="58"/>
      <c r="I1" s="58"/>
      <c r="J1" s="58"/>
      <c r="K1" s="59"/>
    </row>
    <row r="2" spans="1:11" x14ac:dyDescent="0.2">
      <c r="A2" s="5"/>
      <c r="B2" s="58"/>
      <c r="C2" s="58"/>
      <c r="D2" s="58"/>
      <c r="E2" s="58"/>
      <c r="F2" s="58"/>
      <c r="G2" s="58"/>
      <c r="H2" s="58"/>
      <c r="I2" s="58"/>
      <c r="J2" s="58"/>
      <c r="K2" s="59"/>
    </row>
    <row r="3" spans="1:11" x14ac:dyDescent="0.2">
      <c r="A3" s="5"/>
      <c r="B3" s="58" t="s">
        <v>32</v>
      </c>
      <c r="C3" s="58"/>
      <c r="D3" s="58"/>
      <c r="E3" s="58"/>
      <c r="F3" s="58"/>
      <c r="G3" s="58"/>
      <c r="H3" s="58"/>
      <c r="I3" s="58"/>
      <c r="J3" s="58"/>
      <c r="K3" s="59"/>
    </row>
    <row r="4" spans="1:11" x14ac:dyDescent="0.2">
      <c r="A4" s="5"/>
      <c r="B4" s="58"/>
      <c r="C4" s="58"/>
      <c r="D4" s="58"/>
      <c r="E4" s="58"/>
      <c r="F4" s="58"/>
      <c r="G4" s="58"/>
      <c r="H4" s="58"/>
      <c r="I4" s="58"/>
      <c r="J4" s="58"/>
      <c r="K4" s="59"/>
    </row>
    <row r="5" spans="1:11" x14ac:dyDescent="0.2">
      <c r="A5" s="5"/>
      <c r="B5" s="156" t="s">
        <v>30</v>
      </c>
      <c r="C5" s="157"/>
      <c r="D5" s="157"/>
      <c r="E5" s="158"/>
      <c r="F5" s="58"/>
      <c r="G5" s="156" t="s">
        <v>33</v>
      </c>
      <c r="H5" s="157"/>
      <c r="I5" s="157"/>
      <c r="J5" s="158"/>
      <c r="K5" s="59"/>
    </row>
    <row r="6" spans="1:11" ht="17" x14ac:dyDescent="0.2">
      <c r="A6" s="5"/>
      <c r="B6" s="38" t="s">
        <v>7</v>
      </c>
      <c r="C6" s="36">
        <v>1</v>
      </c>
      <c r="D6" s="36">
        <v>2</v>
      </c>
      <c r="E6" s="37">
        <v>3</v>
      </c>
      <c r="F6" s="74"/>
      <c r="G6" s="38" t="s">
        <v>7</v>
      </c>
      <c r="H6" s="36">
        <v>1</v>
      </c>
      <c r="I6" s="36">
        <v>2</v>
      </c>
      <c r="J6" s="37">
        <v>3</v>
      </c>
      <c r="K6" s="59"/>
    </row>
    <row r="7" spans="1:11" ht="17" x14ac:dyDescent="0.2">
      <c r="A7" s="5"/>
      <c r="B7" s="40">
        <v>1</v>
      </c>
      <c r="C7" s="7">
        <v>79.2</v>
      </c>
      <c r="D7" s="7">
        <v>40.9</v>
      </c>
      <c r="E7" s="17">
        <v>15</v>
      </c>
      <c r="F7" s="74"/>
      <c r="G7" s="40">
        <v>1</v>
      </c>
      <c r="H7" s="7">
        <v>-1.1399999999999999</v>
      </c>
      <c r="I7" s="7">
        <v>1.1399999999999999</v>
      </c>
      <c r="J7" s="17" t="s">
        <v>13</v>
      </c>
      <c r="K7" s="59"/>
    </row>
    <row r="8" spans="1:11" x14ac:dyDescent="0.2">
      <c r="A8" s="5"/>
      <c r="B8" s="40">
        <v>2</v>
      </c>
      <c r="C8" s="7">
        <v>75.900000000000006</v>
      </c>
      <c r="D8" s="7">
        <v>39.1</v>
      </c>
      <c r="E8" s="17"/>
      <c r="F8" s="74"/>
      <c r="G8" s="40">
        <v>2</v>
      </c>
      <c r="H8" s="7">
        <v>1.1399999999999999</v>
      </c>
      <c r="I8" s="7">
        <v>-1.1399999999999999</v>
      </c>
      <c r="J8" s="17"/>
      <c r="K8" s="59"/>
    </row>
    <row r="9" spans="1:11" ht="17" x14ac:dyDescent="0.2">
      <c r="A9" s="5"/>
      <c r="B9" s="41">
        <v>3</v>
      </c>
      <c r="C9" s="16">
        <v>95</v>
      </c>
      <c r="D9" s="16"/>
      <c r="E9" s="15"/>
      <c r="F9" s="74"/>
      <c r="G9" s="41">
        <v>3</v>
      </c>
      <c r="H9" s="16" t="s">
        <v>13</v>
      </c>
      <c r="I9" s="16"/>
      <c r="J9" s="15"/>
      <c r="K9" s="59"/>
    </row>
    <row r="10" spans="1:11" x14ac:dyDescent="0.2">
      <c r="A10" s="5"/>
      <c r="B10" s="58"/>
      <c r="C10" s="58"/>
      <c r="D10" s="58"/>
      <c r="E10" s="58"/>
      <c r="F10" s="58"/>
      <c r="G10" s="58"/>
      <c r="H10" s="58"/>
      <c r="I10" s="58"/>
      <c r="J10" s="58"/>
      <c r="K10" s="59"/>
    </row>
    <row r="11" spans="1:11" x14ac:dyDescent="0.2">
      <c r="A11" s="5"/>
      <c r="B11" s="75" t="s">
        <v>197</v>
      </c>
      <c r="C11" s="58"/>
      <c r="D11" s="58"/>
      <c r="E11" s="58"/>
      <c r="F11" s="58"/>
      <c r="G11" s="58"/>
      <c r="H11" s="58"/>
      <c r="I11" s="58"/>
      <c r="J11" s="58"/>
      <c r="K11" s="59"/>
    </row>
    <row r="12" spans="1:11" x14ac:dyDescent="0.2">
      <c r="A12" s="5"/>
      <c r="B12" s="75" t="s">
        <v>196</v>
      </c>
      <c r="C12" s="58"/>
      <c r="D12" s="58"/>
      <c r="E12" s="58"/>
      <c r="F12" s="58"/>
      <c r="G12" s="58"/>
      <c r="H12" s="58"/>
      <c r="I12" s="58"/>
      <c r="J12" s="58"/>
      <c r="K12" s="59"/>
    </row>
    <row r="13" spans="1:11" x14ac:dyDescent="0.2">
      <c r="A13" s="5"/>
      <c r="B13" s="58"/>
      <c r="C13" s="58"/>
      <c r="D13" s="58"/>
      <c r="E13" s="58"/>
      <c r="F13" s="58"/>
      <c r="G13" s="58"/>
      <c r="H13" s="58"/>
      <c r="I13" s="58"/>
      <c r="J13" s="58"/>
      <c r="K13" s="59"/>
    </row>
    <row r="14" spans="1:11" x14ac:dyDescent="0.2">
      <c r="A14" s="5"/>
      <c r="B14" s="58" t="s">
        <v>69</v>
      </c>
      <c r="C14" s="58"/>
      <c r="D14" s="58"/>
      <c r="E14" s="58"/>
      <c r="F14" s="58"/>
      <c r="G14" s="58"/>
      <c r="H14" s="58"/>
      <c r="I14" s="58"/>
      <c r="J14" s="58"/>
      <c r="K14" s="59"/>
    </row>
    <row r="15" spans="1:11" x14ac:dyDescent="0.2">
      <c r="A15" s="5"/>
      <c r="B15" s="58" t="s">
        <v>70</v>
      </c>
      <c r="C15" s="58"/>
      <c r="D15" s="58"/>
      <c r="E15" s="58"/>
      <c r="F15" s="58"/>
      <c r="G15" s="58"/>
      <c r="H15" s="58"/>
      <c r="I15" s="58"/>
      <c r="J15" s="58"/>
      <c r="K15" s="59"/>
    </row>
    <row r="16" spans="1:11" x14ac:dyDescent="0.2">
      <c r="A16" s="5"/>
      <c r="B16" s="58"/>
      <c r="C16" s="58"/>
      <c r="D16" s="58"/>
      <c r="E16" s="58"/>
      <c r="F16" s="58"/>
      <c r="G16" s="58"/>
      <c r="H16" s="58"/>
      <c r="I16" s="58"/>
      <c r="J16" s="58"/>
      <c r="K16" s="59"/>
    </row>
    <row r="17" spans="1:11" x14ac:dyDescent="0.2">
      <c r="A17" s="5"/>
      <c r="B17" s="58"/>
      <c r="C17" s="58"/>
      <c r="D17" s="168" t="s">
        <v>34</v>
      </c>
      <c r="E17" s="169"/>
      <c r="F17" s="169"/>
      <c r="G17" s="170"/>
      <c r="H17" s="58"/>
      <c r="I17" s="58"/>
      <c r="J17" s="58"/>
      <c r="K17" s="59"/>
    </row>
    <row r="18" spans="1:11" x14ac:dyDescent="0.2">
      <c r="A18" s="5"/>
      <c r="B18" s="58"/>
      <c r="C18" s="58"/>
      <c r="D18" s="171" t="s">
        <v>35</v>
      </c>
      <c r="E18" s="172"/>
      <c r="F18" s="172"/>
      <c r="G18" s="173"/>
      <c r="H18" s="58"/>
      <c r="I18" s="58"/>
      <c r="J18" s="58"/>
      <c r="K18" s="59"/>
    </row>
    <row r="19" spans="1:11" ht="17" x14ac:dyDescent="0.2">
      <c r="A19" s="5"/>
      <c r="B19" s="58"/>
      <c r="C19" s="58"/>
      <c r="D19" s="38" t="s">
        <v>7</v>
      </c>
      <c r="E19" s="36">
        <v>1</v>
      </c>
      <c r="F19" s="36">
        <v>2</v>
      </c>
      <c r="G19" s="37">
        <v>3</v>
      </c>
      <c r="H19" s="58"/>
      <c r="I19" s="58"/>
      <c r="J19" s="58"/>
      <c r="K19" s="59"/>
    </row>
    <row r="20" spans="1:11" x14ac:dyDescent="0.2">
      <c r="A20" s="5"/>
      <c r="B20" s="58"/>
      <c r="C20" s="58"/>
      <c r="D20" s="40">
        <v>1</v>
      </c>
      <c r="E20" s="7">
        <v>-1.1399999999999999</v>
      </c>
      <c r="F20" s="7">
        <v>1.1399999999999999</v>
      </c>
      <c r="G20" s="17">
        <v>1.1399999999999999</v>
      </c>
      <c r="H20" s="58"/>
      <c r="I20" s="58"/>
      <c r="J20" s="58"/>
      <c r="K20" s="59"/>
    </row>
    <row r="21" spans="1:11" x14ac:dyDescent="0.2">
      <c r="A21" s="5"/>
      <c r="B21" s="58"/>
      <c r="C21" s="58"/>
      <c r="D21" s="40">
        <v>2</v>
      </c>
      <c r="E21" s="7">
        <v>1.1399999999999999</v>
      </c>
      <c r="F21" s="7">
        <v>-1.1399999999999999</v>
      </c>
      <c r="G21" s="17"/>
      <c r="H21" s="58"/>
      <c r="I21" s="58"/>
      <c r="J21" s="58"/>
      <c r="K21" s="59"/>
    </row>
    <row r="22" spans="1:11" x14ac:dyDescent="0.2">
      <c r="A22" s="5"/>
      <c r="B22" s="58"/>
      <c r="C22" s="58"/>
      <c r="D22" s="41">
        <v>3</v>
      </c>
      <c r="E22" s="16">
        <v>1.1399999999999999</v>
      </c>
      <c r="F22" s="16"/>
      <c r="G22" s="15"/>
      <c r="H22" s="58"/>
      <c r="I22" s="58"/>
      <c r="J22" s="58"/>
      <c r="K22" s="59"/>
    </row>
    <row r="23" spans="1:11" x14ac:dyDescent="0.2">
      <c r="A23" s="5"/>
      <c r="B23" s="58"/>
      <c r="C23" s="58"/>
      <c r="D23" s="58"/>
      <c r="E23" s="58"/>
      <c r="F23" s="58"/>
      <c r="G23" s="58"/>
      <c r="H23" s="58"/>
      <c r="I23" s="58"/>
      <c r="J23" s="58"/>
      <c r="K23" s="59"/>
    </row>
    <row r="24" spans="1:11" x14ac:dyDescent="0.2">
      <c r="A24" s="5"/>
      <c r="B24" s="58" t="s">
        <v>0</v>
      </c>
      <c r="C24" s="58"/>
      <c r="D24" s="58"/>
      <c r="E24" s="58"/>
      <c r="F24" s="58"/>
      <c r="G24" s="58"/>
      <c r="H24" s="58"/>
      <c r="I24" s="58"/>
      <c r="J24" s="58"/>
      <c r="K24" s="59"/>
    </row>
    <row r="25" spans="1:11" x14ac:dyDescent="0.2">
      <c r="A25" s="5"/>
      <c r="B25" s="58" t="s">
        <v>36</v>
      </c>
      <c r="C25" s="58"/>
      <c r="D25" s="58"/>
      <c r="E25" s="58"/>
      <c r="F25" s="58"/>
      <c r="G25" s="58"/>
      <c r="H25" s="58"/>
      <c r="I25" s="58"/>
      <c r="J25" s="58"/>
      <c r="K25" s="59"/>
    </row>
    <row r="26" spans="1:11" x14ac:dyDescent="0.2">
      <c r="A26" s="5"/>
      <c r="B26" s="58" t="s">
        <v>37</v>
      </c>
      <c r="C26" s="58"/>
      <c r="D26" s="58"/>
      <c r="E26" s="58"/>
      <c r="F26" s="58"/>
      <c r="G26" s="58"/>
      <c r="H26" s="58"/>
      <c r="I26" s="58"/>
      <c r="J26" s="58"/>
      <c r="K26" s="59"/>
    </row>
    <row r="27" spans="1:11" x14ac:dyDescent="0.2">
      <c r="A27" s="5"/>
      <c r="B27" s="58"/>
      <c r="C27" s="58"/>
      <c r="D27" s="58"/>
      <c r="E27" s="58"/>
      <c r="F27" s="58"/>
      <c r="G27" s="58"/>
      <c r="H27" s="58"/>
      <c r="I27" s="58"/>
      <c r="J27" s="58"/>
      <c r="K27" s="59"/>
    </row>
    <row r="28" spans="1:11" x14ac:dyDescent="0.2">
      <c r="A28" s="5"/>
      <c r="B28" s="58" t="s">
        <v>1</v>
      </c>
      <c r="C28" s="58"/>
      <c r="D28" s="58"/>
      <c r="E28" s="58"/>
      <c r="F28" s="58"/>
      <c r="G28" s="58"/>
      <c r="H28" s="58"/>
      <c r="I28" s="58"/>
      <c r="J28" s="58"/>
      <c r="K28" s="59"/>
    </row>
    <row r="29" spans="1:11" x14ac:dyDescent="0.2">
      <c r="A29" s="5"/>
      <c r="B29" s="58" t="s">
        <v>71</v>
      </c>
      <c r="C29" s="58"/>
      <c r="D29" s="58"/>
      <c r="E29" s="58"/>
      <c r="F29" s="58"/>
      <c r="G29" s="58"/>
      <c r="H29" s="58"/>
      <c r="I29" s="58"/>
      <c r="J29" s="58"/>
      <c r="K29" s="59"/>
    </row>
    <row r="30" spans="1:11" ht="17" thickBot="1" x14ac:dyDescent="0.25">
      <c r="A30" s="61"/>
      <c r="B30" s="62"/>
      <c r="C30" s="63"/>
      <c r="D30" s="63"/>
      <c r="E30" s="63"/>
      <c r="F30" s="62"/>
      <c r="G30" s="62"/>
      <c r="H30" s="62"/>
      <c r="I30" s="62"/>
      <c r="J30" s="62"/>
      <c r="K30" s="64"/>
    </row>
    <row r="32" spans="1:11" ht="19" x14ac:dyDescent="0.25">
      <c r="A32" s="2" t="s">
        <v>2</v>
      </c>
    </row>
    <row r="33" spans="1:13" x14ac:dyDescent="0.2">
      <c r="A33" s="3" t="s">
        <v>172</v>
      </c>
      <c r="C33" s="65"/>
    </row>
    <row r="35" spans="1:13" x14ac:dyDescent="0.2">
      <c r="A35" s="68" t="s">
        <v>177</v>
      </c>
      <c r="B35" s="14" t="s">
        <v>272</v>
      </c>
      <c r="G35" s="14" t="s">
        <v>26</v>
      </c>
      <c r="M35" s="4"/>
    </row>
    <row r="36" spans="1:13" x14ac:dyDescent="0.2">
      <c r="A36" s="68"/>
      <c r="B36" s="14"/>
      <c r="G36" s="14"/>
      <c r="M36" s="4"/>
    </row>
    <row r="37" spans="1:13" x14ac:dyDescent="0.2">
      <c r="A37" s="68"/>
      <c r="B37" s="14"/>
      <c r="M37" s="4"/>
    </row>
    <row r="38" spans="1:13" x14ac:dyDescent="0.2">
      <c r="A38" s="68"/>
      <c r="B38" s="14"/>
      <c r="M38" s="4"/>
    </row>
    <row r="39" spans="1:13" x14ac:dyDescent="0.2">
      <c r="A39" s="68"/>
      <c r="B39" s="14"/>
      <c r="M39" s="4"/>
    </row>
    <row r="40" spans="1:13" x14ac:dyDescent="0.2">
      <c r="A40" s="68"/>
      <c r="B40" s="14"/>
      <c r="G40" s="14" t="s">
        <v>220</v>
      </c>
      <c r="M40" s="4"/>
    </row>
    <row r="41" spans="1:13" ht="18" x14ac:dyDescent="0.25">
      <c r="B41" s="89" t="s">
        <v>7</v>
      </c>
      <c r="C41" s="90">
        <v>1</v>
      </c>
      <c r="D41" s="90">
        <v>2</v>
      </c>
      <c r="E41" s="90">
        <v>3</v>
      </c>
      <c r="G41" s="60" t="s">
        <v>346</v>
      </c>
      <c r="M41" s="4"/>
    </row>
    <row r="42" spans="1:13" x14ac:dyDescent="0.2">
      <c r="B42" s="67">
        <v>1</v>
      </c>
      <c r="C42" s="92">
        <f>E20*SQRT(C7^1)+C7</f>
        <v>69.054640469653137</v>
      </c>
      <c r="D42" s="92">
        <f>F20*SQRT(D7^1)+D7</f>
        <v>48.190654291625684</v>
      </c>
      <c r="E42" s="92">
        <f>G20*SQRT(E7^1)+E7</f>
        <v>19.415201014676455</v>
      </c>
      <c r="G42" s="14"/>
      <c r="M42" s="4"/>
    </row>
    <row r="43" spans="1:13" x14ac:dyDescent="0.2">
      <c r="A43" s="3"/>
      <c r="B43" s="67">
        <v>2</v>
      </c>
      <c r="C43" s="92">
        <f>E21*SQRT(C8^1)+C8</f>
        <v>85.831749090668779</v>
      </c>
      <c r="D43" s="92">
        <f>F21*SQRT(D8^1)+D8</f>
        <v>31.971580820406253</v>
      </c>
      <c r="E43" s="92"/>
      <c r="G43" s="14"/>
    </row>
    <row r="44" spans="1:13" x14ac:dyDescent="0.2">
      <c r="B44" s="67">
        <v>3</v>
      </c>
      <c r="C44" s="92">
        <f>E22*SQRT(C9^1)+C9</f>
        <v>106.11134555308222</v>
      </c>
      <c r="D44" s="92"/>
      <c r="E44" s="92"/>
      <c r="G44" s="14"/>
    </row>
    <row r="45" spans="1:13" x14ac:dyDescent="0.2">
      <c r="B45" s="66"/>
      <c r="C45" s="92"/>
      <c r="D45" s="92"/>
      <c r="E45" s="92"/>
      <c r="G45" s="66"/>
      <c r="H45" s="92"/>
      <c r="I45" s="66"/>
      <c r="J45" s="66"/>
    </row>
    <row r="46" spans="1:13" x14ac:dyDescent="0.2">
      <c r="A46" s="68" t="s">
        <v>178</v>
      </c>
      <c r="B46" s="14" t="s">
        <v>273</v>
      </c>
      <c r="C46" s="92"/>
      <c r="D46" s="92"/>
      <c r="E46" s="92"/>
      <c r="G46" s="66"/>
      <c r="H46" s="92"/>
      <c r="I46" s="66"/>
      <c r="J46" s="66"/>
    </row>
    <row r="47" spans="1:13" x14ac:dyDescent="0.2">
      <c r="C47" s="92"/>
      <c r="D47" s="92"/>
      <c r="E47" s="92"/>
      <c r="G47" s="66"/>
      <c r="H47" s="92"/>
      <c r="I47" s="66"/>
      <c r="J47" s="66"/>
    </row>
    <row r="48" spans="1:13" x14ac:dyDescent="0.2">
      <c r="B48" s="159" t="s">
        <v>274</v>
      </c>
      <c r="C48" s="166"/>
      <c r="D48" s="166"/>
      <c r="E48" s="166"/>
      <c r="G48" s="178" t="s">
        <v>7</v>
      </c>
      <c r="H48" s="174" t="s">
        <v>275</v>
      </c>
      <c r="I48" s="176" t="s">
        <v>40</v>
      </c>
      <c r="J48" s="174" t="s">
        <v>276</v>
      </c>
    </row>
    <row r="49" spans="1:15" x14ac:dyDescent="0.2">
      <c r="B49" s="89" t="s">
        <v>7</v>
      </c>
      <c r="C49" s="90">
        <v>1</v>
      </c>
      <c r="D49" s="90">
        <v>2</v>
      </c>
      <c r="E49" s="90">
        <v>3</v>
      </c>
      <c r="G49" s="179"/>
      <c r="H49" s="175"/>
      <c r="I49" s="177"/>
      <c r="J49" s="175"/>
    </row>
    <row r="50" spans="1:15" x14ac:dyDescent="0.2">
      <c r="B50" s="67">
        <v>1</v>
      </c>
      <c r="C50" s="92">
        <f>C42</f>
        <v>69.054640469653137</v>
      </c>
      <c r="D50" s="92">
        <f>C50+D42</f>
        <v>117.24529476127881</v>
      </c>
      <c r="E50" s="92">
        <f>D50+E42</f>
        <v>136.66049577595527</v>
      </c>
      <c r="G50" s="67">
        <v>1</v>
      </c>
      <c r="H50" s="92">
        <f>E50</f>
        <v>136.66049577595527</v>
      </c>
      <c r="I50" s="105">
        <v>1</v>
      </c>
      <c r="J50" s="92">
        <v>0</v>
      </c>
    </row>
    <row r="51" spans="1:15" x14ac:dyDescent="0.2">
      <c r="B51" s="67">
        <v>2</v>
      </c>
      <c r="C51" s="92">
        <f>C43</f>
        <v>85.831749090668779</v>
      </c>
      <c r="D51" s="92">
        <f>C51+D43</f>
        <v>117.80332991107502</v>
      </c>
      <c r="E51" s="66"/>
      <c r="G51" s="67">
        <v>2</v>
      </c>
      <c r="H51" s="92">
        <f>D51</f>
        <v>117.80332991107502</v>
      </c>
      <c r="I51" s="105">
        <f>D56</f>
        <v>1.1655947136659721</v>
      </c>
      <c r="J51" s="92">
        <f>H51*(I51-1)</f>
        <v>19.507608685522516</v>
      </c>
    </row>
    <row r="52" spans="1:15" x14ac:dyDescent="0.2">
      <c r="B52" s="67">
        <v>3</v>
      </c>
      <c r="C52" s="92">
        <f>C44</f>
        <v>106.11134555308222</v>
      </c>
      <c r="D52" s="66"/>
      <c r="E52" s="66"/>
      <c r="G52" s="89">
        <v>3</v>
      </c>
      <c r="H52" s="93">
        <f>C52</f>
        <v>106.11134555308222</v>
      </c>
      <c r="I52" s="106">
        <f>C56</f>
        <v>1.7688541591696936</v>
      </c>
      <c r="J52" s="93">
        <f>H52*(I52-1)</f>
        <v>81.584149363579826</v>
      </c>
    </row>
    <row r="53" spans="1:15" ht="16" customHeight="1" x14ac:dyDescent="0.2">
      <c r="B53" s="66"/>
      <c r="C53" s="92"/>
      <c r="D53" s="92"/>
      <c r="E53" s="92"/>
      <c r="G53" s="67" t="s">
        <v>41</v>
      </c>
      <c r="H53" s="66"/>
      <c r="I53" s="67"/>
      <c r="J53" s="18">
        <f>SUM(J50:J52)</f>
        <v>101.09175804910234</v>
      </c>
    </row>
    <row r="54" spans="1:15" x14ac:dyDescent="0.2">
      <c r="B54" s="103"/>
      <c r="C54" s="104" t="s">
        <v>38</v>
      </c>
      <c r="D54" s="104" t="s">
        <v>39</v>
      </c>
      <c r="E54" s="92"/>
    </row>
    <row r="55" spans="1:15" x14ac:dyDescent="0.2">
      <c r="B55" s="71" t="s">
        <v>29</v>
      </c>
      <c r="C55" s="102">
        <f>SUM(D50:D51)/SUM(C50:C51)</f>
        <v>1.5175550630341992</v>
      </c>
      <c r="D55" s="102">
        <f>E50/D50</f>
        <v>1.1655947136659721</v>
      </c>
      <c r="E55" s="92"/>
    </row>
    <row r="56" spans="1:15" x14ac:dyDescent="0.2">
      <c r="B56" s="71" t="s">
        <v>40</v>
      </c>
      <c r="C56" s="102">
        <f>D56*C55</f>
        <v>1.7688541591696936</v>
      </c>
      <c r="D56" s="102">
        <f>D55</f>
        <v>1.1655947136659721</v>
      </c>
      <c r="E56" s="92"/>
    </row>
    <row r="57" spans="1:15" x14ac:dyDescent="0.2">
      <c r="B57" s="66"/>
      <c r="C57" s="92"/>
      <c r="D57" s="92"/>
      <c r="E57" s="92"/>
    </row>
    <row r="58" spans="1:15" x14ac:dyDescent="0.2">
      <c r="B58" s="66"/>
      <c r="C58" s="92"/>
      <c r="D58" s="92"/>
      <c r="E58" s="92"/>
    </row>
    <row r="59" spans="1:15" x14ac:dyDescent="0.2">
      <c r="A59" s="3" t="s">
        <v>173</v>
      </c>
      <c r="M59" s="4"/>
      <c r="N59" s="4"/>
      <c r="O59" s="4"/>
    </row>
    <row r="60" spans="1:15" x14ac:dyDescent="0.2">
      <c r="A60" s="68" t="s">
        <v>179</v>
      </c>
      <c r="B60" s="14" t="s">
        <v>73</v>
      </c>
      <c r="M60" s="4"/>
      <c r="N60" s="4"/>
      <c r="O60" s="4"/>
    </row>
    <row r="61" spans="1:15" x14ac:dyDescent="0.2">
      <c r="A61" s="68"/>
      <c r="B61" s="60" t="s">
        <v>277</v>
      </c>
      <c r="M61" s="4"/>
      <c r="N61" s="4"/>
      <c r="O61" s="4"/>
    </row>
    <row r="62" spans="1:15" x14ac:dyDescent="0.2">
      <c r="A62" s="68"/>
      <c r="B62" s="14"/>
      <c r="M62" s="4"/>
      <c r="N62" s="4"/>
      <c r="O62" s="4"/>
    </row>
    <row r="63" spans="1:15" x14ac:dyDescent="0.2">
      <c r="A63" s="68"/>
      <c r="B63" s="14"/>
      <c r="M63" s="4"/>
      <c r="N63" s="4"/>
      <c r="O63" s="4"/>
    </row>
    <row r="64" spans="1:15" x14ac:dyDescent="0.2">
      <c r="B64" s="159" t="s">
        <v>42</v>
      </c>
      <c r="C64" s="159"/>
      <c r="D64" s="159"/>
      <c r="E64" s="159"/>
      <c r="G64" s="155" t="s">
        <v>278</v>
      </c>
      <c r="H64" s="155"/>
      <c r="I64" s="155"/>
      <c r="J64" s="155"/>
      <c r="M64" s="4"/>
      <c r="N64" s="4"/>
      <c r="O64" s="4"/>
    </row>
    <row r="65" spans="1:15" x14ac:dyDescent="0.2">
      <c r="B65" s="89" t="s">
        <v>7</v>
      </c>
      <c r="C65" s="90">
        <v>1</v>
      </c>
      <c r="D65" s="90">
        <v>2</v>
      </c>
      <c r="E65" s="90">
        <v>3</v>
      </c>
      <c r="G65" s="89" t="s">
        <v>7</v>
      </c>
      <c r="H65" s="90">
        <v>1</v>
      </c>
      <c r="I65" s="90">
        <v>2</v>
      </c>
      <c r="J65" s="90">
        <v>3</v>
      </c>
      <c r="L65"/>
      <c r="M65" s="4"/>
      <c r="N65" s="4"/>
      <c r="O65" s="4"/>
    </row>
    <row r="66" spans="1:15" ht="17" thickBot="1" x14ac:dyDescent="0.25">
      <c r="B66" s="67">
        <v>1</v>
      </c>
      <c r="C66" s="107">
        <f>C50</f>
        <v>69.054640469653137</v>
      </c>
      <c r="D66" s="107">
        <f t="shared" ref="D66:E66" si="0">D50</f>
        <v>117.24529476127881</v>
      </c>
      <c r="E66" s="125">
        <f t="shared" si="0"/>
        <v>136.66049577595527</v>
      </c>
      <c r="G66" s="67">
        <v>1</v>
      </c>
      <c r="H66" s="13"/>
      <c r="I66" s="13"/>
      <c r="J66" s="19"/>
      <c r="M66" s="4"/>
      <c r="N66" s="4"/>
      <c r="O66" s="4"/>
    </row>
    <row r="67" spans="1:15" ht="17" thickBot="1" x14ac:dyDescent="0.25">
      <c r="B67" s="67">
        <v>2</v>
      </c>
      <c r="C67" s="107">
        <f>C51</f>
        <v>85.831749090668779</v>
      </c>
      <c r="D67" s="109">
        <f>D51</f>
        <v>117.80332991107502</v>
      </c>
      <c r="E67" s="21">
        <f>D51*D55</f>
        <v>137.31093859659754</v>
      </c>
      <c r="G67" s="67">
        <v>2</v>
      </c>
      <c r="H67" s="13"/>
      <c r="I67" s="20"/>
      <c r="J67" s="21">
        <f>E67-D67</f>
        <v>19.507608685522513</v>
      </c>
      <c r="M67" s="4"/>
      <c r="N67" s="4"/>
      <c r="O67" s="4"/>
    </row>
    <row r="68" spans="1:15" x14ac:dyDescent="0.2">
      <c r="B68" s="67">
        <v>3</v>
      </c>
      <c r="C68" s="108">
        <f>C52</f>
        <v>106.11134555308222</v>
      </c>
      <c r="D68" s="21">
        <f>C52*C55</f>
        <v>161.02980968945138</v>
      </c>
      <c r="E68" s="21">
        <f>D68*D55</f>
        <v>187.69549491666206</v>
      </c>
      <c r="G68" s="67">
        <v>3</v>
      </c>
      <c r="H68" s="22"/>
      <c r="I68" s="21">
        <f>D68-C68</f>
        <v>54.918464136369167</v>
      </c>
      <c r="J68" s="21">
        <f>E68-D68</f>
        <v>26.665685227210673</v>
      </c>
      <c r="M68" s="4"/>
      <c r="N68" s="4"/>
      <c r="O68" s="4"/>
    </row>
    <row r="69" spans="1:15" x14ac:dyDescent="0.2">
      <c r="M69" s="4"/>
      <c r="N69" s="4"/>
      <c r="O69" s="4"/>
    </row>
    <row r="70" spans="1:15" x14ac:dyDescent="0.2">
      <c r="A70" s="68" t="s">
        <v>180</v>
      </c>
      <c r="B70" s="184" t="s">
        <v>279</v>
      </c>
      <c r="C70" s="184"/>
      <c r="D70" s="184"/>
      <c r="E70" s="184"/>
      <c r="F70" s="184"/>
      <c r="G70" s="184"/>
      <c r="H70" s="184"/>
      <c r="I70" s="184"/>
      <c r="M70" s="4"/>
      <c r="N70" s="4"/>
      <c r="O70" s="4"/>
    </row>
    <row r="71" spans="1:15" x14ac:dyDescent="0.2">
      <c r="B71" s="184"/>
      <c r="C71" s="184"/>
      <c r="D71" s="184"/>
      <c r="E71" s="184"/>
      <c r="F71" s="184"/>
      <c r="G71" s="184"/>
      <c r="H71" s="184"/>
      <c r="I71" s="184"/>
      <c r="M71" s="4"/>
      <c r="N71" s="4"/>
      <c r="O71" s="4"/>
    </row>
    <row r="72" spans="1:15" x14ac:dyDescent="0.2">
      <c r="M72" s="4"/>
      <c r="N72" s="4"/>
      <c r="O72" s="4"/>
    </row>
    <row r="73" spans="1:15" x14ac:dyDescent="0.2">
      <c r="G73" s="60" t="s">
        <v>280</v>
      </c>
      <c r="M73" s="4"/>
      <c r="N73" s="4"/>
      <c r="O73" s="4"/>
    </row>
    <row r="74" spans="1:15" x14ac:dyDescent="0.2">
      <c r="M74" s="4"/>
      <c r="N74" s="4"/>
      <c r="O74" s="4"/>
    </row>
    <row r="75" spans="1:15" x14ac:dyDescent="0.2">
      <c r="M75" s="4"/>
      <c r="N75" s="4"/>
      <c r="O75" s="4"/>
    </row>
    <row r="76" spans="1:15" x14ac:dyDescent="0.2">
      <c r="M76" s="4"/>
      <c r="N76" s="4"/>
      <c r="O76" s="4"/>
    </row>
    <row r="77" spans="1:15" x14ac:dyDescent="0.2">
      <c r="B77" s="14" t="s">
        <v>220</v>
      </c>
      <c r="M77" s="4"/>
      <c r="N77" s="4"/>
      <c r="O77" s="4"/>
    </row>
    <row r="78" spans="1:15" x14ac:dyDescent="0.2">
      <c r="B78" s="161" t="s">
        <v>369</v>
      </c>
      <c r="C78" s="160"/>
      <c r="D78" s="160"/>
      <c r="E78" s="160"/>
      <c r="G78" s="89" t="s">
        <v>7</v>
      </c>
      <c r="H78" s="90">
        <v>1</v>
      </c>
      <c r="I78" s="90">
        <v>2</v>
      </c>
      <c r="J78" s="90">
        <v>3</v>
      </c>
      <c r="M78" s="4"/>
      <c r="N78" s="4"/>
      <c r="O78" s="4"/>
    </row>
    <row r="79" spans="1:15" ht="17" thickBot="1" x14ac:dyDescent="0.25">
      <c r="B79" s="160"/>
      <c r="C79" s="160"/>
      <c r="D79" s="160"/>
      <c r="E79" s="160"/>
      <c r="G79" s="67">
        <v>1</v>
      </c>
      <c r="H79" s="13"/>
      <c r="I79" s="13"/>
      <c r="J79" s="19"/>
      <c r="M79" s="4"/>
      <c r="N79" s="4"/>
      <c r="O79" s="4"/>
    </row>
    <row r="80" spans="1:15" ht="21" thickBot="1" x14ac:dyDescent="0.25">
      <c r="B80" s="160"/>
      <c r="C80" s="160"/>
      <c r="D80" s="160"/>
      <c r="E80" s="160"/>
      <c r="G80" s="67">
        <v>2</v>
      </c>
      <c r="H80" s="13"/>
      <c r="I80" s="20"/>
      <c r="J80" s="21" t="s">
        <v>281</v>
      </c>
      <c r="M80" s="4"/>
      <c r="N80" s="4"/>
      <c r="O80" s="4"/>
    </row>
    <row r="81" spans="2:16" ht="20" x14ac:dyDescent="0.2">
      <c r="G81" s="67">
        <v>3</v>
      </c>
      <c r="H81" s="22"/>
      <c r="I81" s="21" t="s">
        <v>282</v>
      </c>
      <c r="J81" s="21" t="s">
        <v>283</v>
      </c>
      <c r="M81" s="4"/>
      <c r="N81" s="4"/>
      <c r="O81" s="4"/>
    </row>
    <row r="82" spans="2:16" x14ac:dyDescent="0.2">
      <c r="B82" s="110" t="s">
        <v>284</v>
      </c>
      <c r="G82" s="66"/>
      <c r="H82" s="13"/>
      <c r="I82" s="21"/>
      <c r="J82" s="21"/>
      <c r="M82" s="4"/>
      <c r="N82" s="4"/>
      <c r="O82" s="4"/>
    </row>
    <row r="83" spans="2:16" x14ac:dyDescent="0.2">
      <c r="B83" s="123" t="s">
        <v>360</v>
      </c>
      <c r="G83" s="66"/>
      <c r="H83" s="13"/>
      <c r="I83" s="21"/>
      <c r="J83" s="21"/>
      <c r="M83" s="4"/>
      <c r="N83" s="4"/>
      <c r="O83" s="4"/>
    </row>
    <row r="84" spans="2:16" x14ac:dyDescent="0.2">
      <c r="B84" s="127" t="s">
        <v>365</v>
      </c>
      <c r="G84" s="66"/>
      <c r="H84" s="13"/>
      <c r="I84" s="21"/>
      <c r="J84" s="21"/>
      <c r="M84" s="4"/>
      <c r="N84" s="4"/>
      <c r="O84" s="4"/>
    </row>
    <row r="85" spans="2:16" x14ac:dyDescent="0.2">
      <c r="B85" s="127" t="s">
        <v>362</v>
      </c>
      <c r="C85"/>
      <c r="G85" s="66"/>
      <c r="H85" s="13"/>
      <c r="I85" s="21"/>
      <c r="J85" s="21"/>
      <c r="M85" s="4"/>
      <c r="N85" s="4"/>
      <c r="O85" s="4"/>
    </row>
    <row r="86" spans="2:16" x14ac:dyDescent="0.2">
      <c r="B86" s="127" t="s">
        <v>361</v>
      </c>
      <c r="G86" s="66"/>
      <c r="H86" s="13"/>
      <c r="I86" s="21"/>
      <c r="J86" s="21"/>
      <c r="M86" s="4"/>
      <c r="N86" s="4"/>
      <c r="O86" s="4"/>
    </row>
    <row r="87" spans="2:16" x14ac:dyDescent="0.2">
      <c r="B87"/>
      <c r="G87" s="66"/>
      <c r="H87" s="13"/>
      <c r="I87" s="21"/>
      <c r="J87" s="21"/>
      <c r="M87" s="4"/>
      <c r="N87" s="4"/>
      <c r="O87" s="4"/>
    </row>
    <row r="88" spans="2:16" x14ac:dyDescent="0.2">
      <c r="B88"/>
      <c r="G88" s="66"/>
      <c r="H88" s="13"/>
      <c r="I88" s="21"/>
      <c r="J88" s="21"/>
      <c r="M88" s="4"/>
      <c r="N88" s="4"/>
      <c r="O88" s="4"/>
    </row>
    <row r="89" spans="2:16" x14ac:dyDescent="0.2">
      <c r="B89" s="14" t="s">
        <v>363</v>
      </c>
      <c r="D89" s="66">
        <v>1.31</v>
      </c>
      <c r="G89" s="13"/>
      <c r="H89" s="21"/>
      <c r="J89" s="21"/>
      <c r="M89" s="4"/>
      <c r="N89" s="4"/>
      <c r="O89" s="4"/>
    </row>
    <row r="90" spans="2:16" x14ac:dyDescent="0.2">
      <c r="G90" s="183" t="s">
        <v>364</v>
      </c>
      <c r="H90" s="183"/>
      <c r="J90" s="21"/>
      <c r="M90" s="4"/>
      <c r="N90" s="4"/>
      <c r="O90" s="4"/>
    </row>
    <row r="91" spans="2:16" x14ac:dyDescent="0.2">
      <c r="B91" s="182" t="s">
        <v>43</v>
      </c>
      <c r="C91" s="182"/>
      <c r="D91" s="182"/>
      <c r="E91" s="182"/>
      <c r="F91" s="128"/>
      <c r="G91" s="183"/>
      <c r="H91" s="183"/>
      <c r="I91" s="123"/>
      <c r="J91" s="21"/>
      <c r="K91" s="123"/>
      <c r="N91" s="4"/>
      <c r="O91" s="4"/>
      <c r="P91" s="4"/>
    </row>
    <row r="92" spans="2:16" x14ac:dyDescent="0.2">
      <c r="B92" s="129" t="s">
        <v>7</v>
      </c>
      <c r="C92" s="130">
        <v>1</v>
      </c>
      <c r="D92" s="130">
        <v>2</v>
      </c>
      <c r="E92" s="130">
        <v>3</v>
      </c>
      <c r="F92" s="131"/>
      <c r="G92" s="129" t="s">
        <v>7</v>
      </c>
      <c r="H92" s="130" t="s">
        <v>72</v>
      </c>
      <c r="I92" s="123"/>
      <c r="J92" s="21"/>
      <c r="K92" s="123"/>
      <c r="N92" s="4"/>
      <c r="O92" s="4"/>
      <c r="P92" s="4"/>
    </row>
    <row r="93" spans="2:16" ht="17" thickBot="1" x14ac:dyDescent="0.25">
      <c r="B93" s="132">
        <v>1</v>
      </c>
      <c r="C93" s="13"/>
      <c r="D93" s="13"/>
      <c r="E93" s="19"/>
      <c r="F93" s="133"/>
      <c r="G93" s="132">
        <v>1</v>
      </c>
      <c r="H93" s="134">
        <v>0</v>
      </c>
      <c r="I93" s="123"/>
      <c r="J93" s="21"/>
      <c r="K93" s="123"/>
      <c r="N93" s="4"/>
      <c r="O93" s="4"/>
      <c r="P93" s="4"/>
    </row>
    <row r="94" spans="2:16" ht="17" thickBot="1" x14ac:dyDescent="0.25">
      <c r="B94" s="132">
        <v>2</v>
      </c>
      <c r="C94" s="13"/>
      <c r="D94" s="20"/>
      <c r="E94" s="21">
        <f ca="1">_xlfn.GAMMA.INV(RAND(),J67/$D$89,$D$89)</f>
        <v>19.075847480617956</v>
      </c>
      <c r="F94" s="135"/>
      <c r="G94" s="132">
        <v>2</v>
      </c>
      <c r="H94" s="134">
        <f ca="1">E94</f>
        <v>19.075847480617956</v>
      </c>
      <c r="I94" s="123"/>
      <c r="J94" s="21"/>
      <c r="K94" s="123"/>
      <c r="N94" s="4"/>
      <c r="O94" s="4"/>
      <c r="P94" s="4"/>
    </row>
    <row r="95" spans="2:16" x14ac:dyDescent="0.2">
      <c r="B95" s="132">
        <v>3</v>
      </c>
      <c r="C95" s="22"/>
      <c r="D95" s="21">
        <f ca="1">_xlfn.GAMMA.INV(RAND(),I68/$D$89,$D$89)</f>
        <v>48.92346738129411</v>
      </c>
      <c r="E95" s="21">
        <f ca="1">_xlfn.GAMMA.INV(RAND(),J68/$D$89,$D$89)</f>
        <v>20.597379857887955</v>
      </c>
      <c r="F95" s="135"/>
      <c r="G95" s="129">
        <v>3</v>
      </c>
      <c r="H95" s="136">
        <f ca="1">SUM(D95:E95)</f>
        <v>69.520847239182061</v>
      </c>
      <c r="I95" s="123"/>
      <c r="J95" s="21"/>
      <c r="K95" s="123"/>
      <c r="O95" s="65"/>
    </row>
    <row r="96" spans="2:16" x14ac:dyDescent="0.2">
      <c r="B96" s="123"/>
      <c r="C96" s="123"/>
      <c r="D96" s="123"/>
      <c r="E96" s="123"/>
      <c r="F96" s="123"/>
      <c r="G96" s="137" t="s">
        <v>41</v>
      </c>
      <c r="H96" s="18">
        <f ca="1">SUM(H93:H95)</f>
        <v>88.596694719800013</v>
      </c>
      <c r="I96" s="123"/>
      <c r="J96" s="123"/>
      <c r="K96" s="123"/>
      <c r="N96" s="4"/>
      <c r="O96" s="4"/>
      <c r="P96" s="4"/>
    </row>
    <row r="97" spans="1:66" x14ac:dyDescent="0.2">
      <c r="B97" s="123"/>
      <c r="C97" s="123"/>
      <c r="D97" s="123"/>
      <c r="E97" s="123"/>
      <c r="F97" s="123"/>
      <c r="G97" s="123"/>
      <c r="H97" s="123"/>
      <c r="I97" s="123"/>
      <c r="J97" s="123"/>
      <c r="K97" s="123"/>
      <c r="N97" s="4"/>
      <c r="O97" s="4"/>
      <c r="P97" s="4"/>
    </row>
    <row r="98" spans="1:66" x14ac:dyDescent="0.2">
      <c r="B98" s="123"/>
      <c r="C98" s="123"/>
      <c r="D98" s="123"/>
      <c r="E98" s="123"/>
      <c r="F98" s="123"/>
      <c r="G98" s="123"/>
      <c r="H98" s="123"/>
      <c r="I98" s="123"/>
      <c r="J98" s="123"/>
      <c r="K98" s="123"/>
      <c r="M98" s="4"/>
      <c r="N98" s="4"/>
      <c r="O98" s="4"/>
    </row>
    <row r="99" spans="1:66" x14ac:dyDescent="0.2">
      <c r="B99" s="14" t="s">
        <v>367</v>
      </c>
      <c r="N99" s="65"/>
    </row>
    <row r="100" spans="1:66" x14ac:dyDescent="0.2">
      <c r="B100" s="180" t="s">
        <v>366</v>
      </c>
      <c r="C100" s="181"/>
      <c r="D100" s="181"/>
      <c r="E100" s="181"/>
      <c r="F100" s="181"/>
      <c r="G100" s="181"/>
      <c r="H100" s="181"/>
      <c r="I100" s="181"/>
      <c r="J100" s="126"/>
      <c r="M100" s="4"/>
      <c r="N100" s="4"/>
      <c r="O100" s="4"/>
    </row>
    <row r="101" spans="1:66" x14ac:dyDescent="0.2">
      <c r="B101" s="181"/>
      <c r="C101" s="181"/>
      <c r="D101" s="181"/>
      <c r="E101" s="181"/>
      <c r="F101" s="181"/>
      <c r="G101" s="181"/>
      <c r="H101" s="181"/>
      <c r="I101" s="181"/>
      <c r="J101" s="126"/>
      <c r="M101" s="4"/>
      <c r="N101" s="4"/>
      <c r="O101" s="4"/>
    </row>
    <row r="102" spans="1:66" x14ac:dyDescent="0.2">
      <c r="B102" s="181"/>
      <c r="C102" s="181"/>
      <c r="D102" s="181"/>
      <c r="E102" s="181"/>
      <c r="F102" s="181"/>
      <c r="G102" s="181"/>
      <c r="H102" s="181"/>
      <c r="I102" s="181"/>
      <c r="J102" s="126"/>
      <c r="M102" s="4"/>
      <c r="N102" s="4"/>
      <c r="O102" s="4"/>
    </row>
    <row r="103" spans="1:66" x14ac:dyDescent="0.2">
      <c r="B103" s="181"/>
      <c r="C103" s="181"/>
      <c r="D103" s="181"/>
      <c r="E103" s="181"/>
      <c r="F103" s="181"/>
      <c r="G103" s="181"/>
      <c r="H103" s="181"/>
      <c r="I103" s="181"/>
      <c r="J103" s="126"/>
      <c r="M103" s="4"/>
      <c r="N103" s="4"/>
      <c r="O103" s="4"/>
    </row>
    <row r="104" spans="1:66" x14ac:dyDescent="0.2">
      <c r="B104" s="181"/>
      <c r="C104" s="181"/>
      <c r="D104" s="181"/>
      <c r="E104" s="181"/>
      <c r="F104" s="181"/>
      <c r="G104" s="181"/>
      <c r="H104" s="181"/>
      <c r="I104" s="181"/>
      <c r="J104" s="126"/>
      <c r="M104" s="4"/>
      <c r="N104" s="4"/>
      <c r="O104" s="4"/>
    </row>
    <row r="105" spans="1:66" x14ac:dyDescent="0.2">
      <c r="B105" s="181"/>
      <c r="C105" s="181"/>
      <c r="D105" s="181"/>
      <c r="E105" s="181"/>
      <c r="F105" s="181"/>
      <c r="G105" s="181"/>
      <c r="H105" s="181"/>
      <c r="I105" s="181"/>
      <c r="J105" s="126"/>
      <c r="M105" s="4"/>
      <c r="N105" s="4"/>
      <c r="O105" s="4"/>
    </row>
    <row r="106" spans="1:66" x14ac:dyDescent="0.2">
      <c r="B106" s="181"/>
      <c r="C106" s="181"/>
      <c r="D106" s="181"/>
      <c r="E106" s="181"/>
      <c r="F106" s="181"/>
      <c r="G106" s="181"/>
      <c r="H106" s="181"/>
      <c r="I106" s="181"/>
      <c r="J106" s="126"/>
      <c r="M106" s="4"/>
      <c r="N106" s="4"/>
      <c r="O106" s="4"/>
    </row>
    <row r="107" spans="1:66" x14ac:dyDescent="0.2">
      <c r="M107" s="4"/>
      <c r="N107" s="4"/>
      <c r="O107" s="4"/>
    </row>
    <row r="108" spans="1:66" ht="19" x14ac:dyDescent="0.25">
      <c r="A108" s="2" t="s">
        <v>114</v>
      </c>
      <c r="M108" s="4"/>
      <c r="N108" s="4"/>
      <c r="O108" s="4"/>
    </row>
    <row r="109" spans="1:66" ht="18" customHeight="1" x14ac:dyDescent="0.2">
      <c r="B109" s="160" t="s">
        <v>285</v>
      </c>
      <c r="C109" s="160"/>
      <c r="D109" s="160"/>
      <c r="E109" s="160"/>
      <c r="F109" s="160"/>
      <c r="G109" s="160"/>
      <c r="H109" s="160"/>
      <c r="I109" s="160"/>
      <c r="M109" s="4"/>
      <c r="N109" s="4"/>
      <c r="O109" s="4"/>
    </row>
    <row r="110" spans="1:66" x14ac:dyDescent="0.2">
      <c r="B110" s="160"/>
      <c r="C110" s="160"/>
      <c r="D110" s="160"/>
      <c r="E110" s="160"/>
      <c r="F110" s="160"/>
      <c r="G110" s="160"/>
      <c r="H110" s="160"/>
      <c r="I110" s="160"/>
      <c r="M110" s="4"/>
      <c r="N110" s="4"/>
      <c r="O110" s="4"/>
    </row>
    <row r="111" spans="1:66" x14ac:dyDescent="0.2">
      <c r="B111" s="160"/>
      <c r="C111" s="160"/>
      <c r="D111" s="160"/>
      <c r="E111" s="160"/>
      <c r="F111" s="160"/>
      <c r="G111" s="160"/>
      <c r="H111" s="160"/>
      <c r="I111" s="160"/>
      <c r="N111" s="65"/>
    </row>
    <row r="112" spans="1:66" x14ac:dyDescent="0.2">
      <c r="A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x14ac:dyDescent="0.2">
      <c r="A113" s="4"/>
      <c r="B113" s="160" t="s">
        <v>286</v>
      </c>
      <c r="C113" s="160"/>
      <c r="D113" s="160"/>
      <c r="E113" s="160"/>
      <c r="F113" s="160"/>
      <c r="G113" s="160"/>
      <c r="H113" s="160"/>
      <c r="I113" s="160"/>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x14ac:dyDescent="0.2">
      <c r="A114" s="4"/>
      <c r="B114" s="160"/>
      <c r="C114" s="160"/>
      <c r="D114" s="160"/>
      <c r="E114" s="160"/>
      <c r="F114" s="160"/>
      <c r="G114" s="160"/>
      <c r="H114" s="160"/>
      <c r="I114" s="160"/>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x14ac:dyDescent="0.2">
      <c r="A115" s="4"/>
      <c r="B115" s="160"/>
      <c r="C115" s="160"/>
      <c r="D115" s="160"/>
      <c r="E115" s="160"/>
      <c r="F115" s="160"/>
      <c r="G115" s="160"/>
      <c r="H115" s="160"/>
      <c r="I115" s="160"/>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pans="1:66" x14ac:dyDescent="0.2">
      <c r="A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66" x14ac:dyDescent="0.2">
      <c r="A117" s="4"/>
      <c r="B117" s="160" t="s">
        <v>287</v>
      </c>
      <c r="C117" s="160"/>
      <c r="D117" s="160"/>
      <c r="E117" s="160"/>
      <c r="F117" s="160"/>
      <c r="G117" s="160"/>
      <c r="H117" s="160"/>
      <c r="I117" s="160"/>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66" x14ac:dyDescent="0.2">
      <c r="A118" s="4"/>
      <c r="B118" s="160"/>
      <c r="C118" s="160"/>
      <c r="D118" s="160"/>
      <c r="E118" s="160"/>
      <c r="F118" s="160"/>
      <c r="G118" s="160"/>
      <c r="H118" s="160"/>
      <c r="I118" s="160"/>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x14ac:dyDescent="0.2">
      <c r="A119" s="4"/>
      <c r="B119" s="160"/>
      <c r="C119" s="160"/>
      <c r="D119" s="160"/>
      <c r="E119" s="160"/>
      <c r="F119" s="160"/>
      <c r="G119" s="160"/>
      <c r="H119" s="160"/>
      <c r="I119" s="160"/>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x14ac:dyDescent="0.2">
      <c r="A120" s="4"/>
      <c r="B120" s="160"/>
      <c r="C120" s="160"/>
      <c r="D120" s="160"/>
      <c r="E120" s="160"/>
      <c r="F120" s="160"/>
      <c r="G120" s="160"/>
      <c r="H120" s="160"/>
      <c r="I120" s="160"/>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x14ac:dyDescent="0.2">
      <c r="A121" s="4"/>
      <c r="B121" s="160"/>
      <c r="C121" s="160"/>
      <c r="D121" s="160"/>
      <c r="E121" s="160"/>
      <c r="F121" s="160"/>
      <c r="G121" s="160"/>
      <c r="H121" s="160"/>
      <c r="I121" s="160"/>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x14ac:dyDescent="0.2">
      <c r="A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9" x14ac:dyDescent="0.25">
      <c r="A123" s="4"/>
      <c r="B123" s="31" t="s">
        <v>134</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8" customHeight="1" x14ac:dyDescent="0.2">
      <c r="A124" s="4"/>
      <c r="B124" s="160" t="s">
        <v>288</v>
      </c>
      <c r="C124" s="160"/>
      <c r="D124" s="160"/>
      <c r="E124" s="160"/>
      <c r="F124" s="160"/>
      <c r="G124" s="160"/>
      <c r="H124" s="160"/>
      <c r="I124" s="160"/>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x14ac:dyDescent="0.2">
      <c r="A125" s="4"/>
      <c r="B125" s="160"/>
      <c r="C125" s="160"/>
      <c r="D125" s="160"/>
      <c r="E125" s="160"/>
      <c r="F125" s="160"/>
      <c r="G125" s="160"/>
      <c r="H125" s="160"/>
      <c r="I125" s="160"/>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x14ac:dyDescent="0.2">
      <c r="A126" s="4"/>
      <c r="B126" s="160"/>
      <c r="C126" s="160"/>
      <c r="D126" s="160"/>
      <c r="E126" s="160"/>
      <c r="F126" s="160"/>
      <c r="G126" s="160"/>
      <c r="H126" s="160"/>
      <c r="I126" s="160"/>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x14ac:dyDescent="0.2">
      <c r="A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8" customHeight="1" x14ac:dyDescent="0.2">
      <c r="A128" s="4"/>
      <c r="B128" s="161" t="s">
        <v>368</v>
      </c>
      <c r="C128" s="160"/>
      <c r="D128" s="160"/>
      <c r="E128" s="160"/>
      <c r="F128" s="160"/>
      <c r="G128" s="160"/>
      <c r="H128" s="160"/>
      <c r="I128" s="160"/>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x14ac:dyDescent="0.2">
      <c r="A129" s="4"/>
      <c r="B129" s="160"/>
      <c r="C129" s="160"/>
      <c r="D129" s="160"/>
      <c r="E129" s="160"/>
      <c r="F129" s="160"/>
      <c r="G129" s="160"/>
      <c r="H129" s="160"/>
      <c r="I129" s="160"/>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8" customHeight="1" x14ac:dyDescent="0.2">
      <c r="A130" s="4"/>
      <c r="B130" s="160"/>
      <c r="C130" s="160"/>
      <c r="D130" s="160"/>
      <c r="E130" s="160"/>
      <c r="F130" s="160"/>
      <c r="G130" s="160"/>
      <c r="H130" s="160"/>
      <c r="I130" s="160"/>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x14ac:dyDescent="0.2">
      <c r="A131" s="4"/>
      <c r="B131" s="160"/>
      <c r="C131" s="160"/>
      <c r="D131" s="160"/>
      <c r="E131" s="160"/>
      <c r="F131" s="160"/>
      <c r="G131" s="160"/>
      <c r="H131" s="160"/>
      <c r="I131" s="160"/>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8" customHeight="1" x14ac:dyDescent="0.2">
      <c r="A132" s="4"/>
      <c r="B132" s="160"/>
      <c r="C132" s="160"/>
      <c r="D132" s="160"/>
      <c r="E132" s="160"/>
      <c r="F132" s="160"/>
      <c r="G132" s="160"/>
      <c r="H132" s="160"/>
      <c r="I132" s="160"/>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9" x14ac:dyDescent="0.25">
      <c r="A134" s="4"/>
      <c r="B134" s="31" t="s">
        <v>136</v>
      </c>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9" x14ac:dyDescent="0.25">
      <c r="A146" s="4"/>
      <c r="B146" s="31" t="s">
        <v>135</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9" x14ac:dyDescent="0.25">
      <c r="A160" s="4"/>
      <c r="B160" s="31" t="s">
        <v>137</v>
      </c>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9" x14ac:dyDescent="0.25">
      <c r="A177" s="4"/>
      <c r="B177" s="31" t="s">
        <v>383</v>
      </c>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x14ac:dyDescent="0.2">
      <c r="A178" s="4"/>
      <c r="B178" s="167" t="s">
        <v>384</v>
      </c>
      <c r="C178" s="167"/>
      <c r="D178" s="167"/>
      <c r="E178" s="167"/>
      <c r="F178" s="167"/>
      <c r="G178" s="167"/>
      <c r="H178" s="167"/>
      <c r="I178" s="167"/>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x14ac:dyDescent="0.2">
      <c r="A179" s="4"/>
      <c r="B179" s="167"/>
      <c r="C179" s="167"/>
      <c r="D179" s="167"/>
      <c r="E179" s="167"/>
      <c r="F179" s="167"/>
      <c r="G179" s="167"/>
      <c r="H179" s="167"/>
      <c r="I179" s="167"/>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x14ac:dyDescent="0.2">
      <c r="A180" s="4"/>
      <c r="B180" s="167"/>
      <c r="C180" s="167"/>
      <c r="D180" s="167"/>
      <c r="E180" s="167"/>
      <c r="F180" s="167"/>
      <c r="G180" s="167"/>
      <c r="H180" s="167"/>
      <c r="I180" s="167"/>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x14ac:dyDescent="0.2">
      <c r="A181" s="4"/>
      <c r="B181" s="167"/>
      <c r="C181" s="167"/>
      <c r="D181" s="167"/>
      <c r="E181" s="167"/>
      <c r="F181" s="167"/>
      <c r="G181" s="167"/>
      <c r="H181" s="167"/>
      <c r="I181" s="167"/>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x14ac:dyDescent="0.2">
      <c r="A182" s="4"/>
      <c r="B182" s="167"/>
      <c r="C182" s="167"/>
      <c r="D182" s="167"/>
      <c r="E182" s="167"/>
      <c r="F182" s="167"/>
      <c r="G182" s="167"/>
      <c r="H182" s="167"/>
      <c r="I182" s="167"/>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x14ac:dyDescent="0.2">
      <c r="A183" s="4"/>
      <c r="B183" s="167"/>
      <c r="C183" s="167"/>
      <c r="D183" s="167"/>
      <c r="E183" s="167"/>
      <c r="F183" s="167"/>
      <c r="G183" s="167"/>
      <c r="H183" s="167"/>
      <c r="I183" s="167"/>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x14ac:dyDescent="0.2">
      <c r="A184" s="4"/>
      <c r="B184" s="167"/>
      <c r="C184" s="167"/>
      <c r="D184" s="167"/>
      <c r="E184" s="167"/>
      <c r="F184" s="167"/>
      <c r="G184" s="167"/>
      <c r="H184" s="167"/>
      <c r="I184" s="167"/>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x14ac:dyDescent="0.2">
      <c r="A185" s="4"/>
      <c r="B185" s="167"/>
      <c r="C185" s="167"/>
      <c r="D185" s="167"/>
      <c r="E185" s="167"/>
      <c r="F185" s="167"/>
      <c r="G185" s="167"/>
      <c r="H185" s="167"/>
      <c r="I185" s="167"/>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9" x14ac:dyDescent="0.25">
      <c r="A187" s="2" t="s">
        <v>126</v>
      </c>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x14ac:dyDescent="0.2">
      <c r="A188" s="4"/>
      <c r="B188" s="60" t="s">
        <v>289</v>
      </c>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9" x14ac:dyDescent="0.25">
      <c r="A190" s="2" t="s">
        <v>121</v>
      </c>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x14ac:dyDescent="0.2">
      <c r="A191" s="4"/>
      <c r="B191" s="60" t="s">
        <v>138</v>
      </c>
      <c r="C191" s="4"/>
      <c r="D191" s="60" t="s">
        <v>139</v>
      </c>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x14ac:dyDescent="0.2">
      <c r="A192" s="4"/>
      <c r="C192" s="4"/>
      <c r="D192" s="60" t="s">
        <v>140</v>
      </c>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x14ac:dyDescent="0.2">
      <c r="A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sheetData>
  <mergeCells count="22">
    <mergeCell ref="B91:E91"/>
    <mergeCell ref="G90:H91"/>
    <mergeCell ref="B64:E64"/>
    <mergeCell ref="G64:J64"/>
    <mergeCell ref="B70:I71"/>
    <mergeCell ref="B78:E80"/>
    <mergeCell ref="B178:I185"/>
    <mergeCell ref="B5:E5"/>
    <mergeCell ref="G5:J5"/>
    <mergeCell ref="D17:G17"/>
    <mergeCell ref="D18:G18"/>
    <mergeCell ref="B48:E48"/>
    <mergeCell ref="J48:J49"/>
    <mergeCell ref="I48:I49"/>
    <mergeCell ref="H48:H49"/>
    <mergeCell ref="G48:G49"/>
    <mergeCell ref="B109:I111"/>
    <mergeCell ref="B113:I115"/>
    <mergeCell ref="B117:I121"/>
    <mergeCell ref="B124:I126"/>
    <mergeCell ref="B128:I132"/>
    <mergeCell ref="B100:I10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62"/>
  <sheetViews>
    <sheetView showGridLines="0" zoomScale="120" zoomScaleNormal="120" workbookViewId="0">
      <selection activeCell="I27" sqref="I27"/>
    </sheetView>
  </sheetViews>
  <sheetFormatPr baseColWidth="10" defaultColWidth="10.83203125" defaultRowHeight="16" x14ac:dyDescent="0.2"/>
  <cols>
    <col min="1" max="12" width="10.83203125" style="60" customWidth="1"/>
    <col min="13" max="16384" width="10.83203125" style="60"/>
  </cols>
  <sheetData>
    <row r="1" spans="1:10" ht="19" x14ac:dyDescent="0.25">
      <c r="A1" s="73" t="s">
        <v>186</v>
      </c>
      <c r="B1" s="58"/>
      <c r="C1" s="58"/>
      <c r="D1" s="58"/>
      <c r="E1" s="58"/>
      <c r="F1" s="58"/>
      <c r="G1" s="58"/>
      <c r="H1" s="58"/>
      <c r="I1" s="58"/>
      <c r="J1" s="59"/>
    </row>
    <row r="2" spans="1:10" x14ac:dyDescent="0.2">
      <c r="A2" s="5"/>
      <c r="B2" s="58"/>
      <c r="C2" s="58"/>
      <c r="D2" s="58"/>
      <c r="E2" s="58"/>
      <c r="F2" s="58"/>
      <c r="G2" s="58"/>
      <c r="H2" s="58"/>
      <c r="I2" s="58"/>
      <c r="J2" s="59"/>
    </row>
    <row r="3" spans="1:10" x14ac:dyDescent="0.2">
      <c r="A3" s="5"/>
      <c r="B3" s="58" t="s">
        <v>22</v>
      </c>
      <c r="C3" s="58"/>
      <c r="D3" s="58"/>
      <c r="E3" s="58"/>
      <c r="F3" s="58"/>
      <c r="G3" s="58"/>
      <c r="H3" s="58"/>
      <c r="I3" s="58"/>
      <c r="J3" s="59"/>
    </row>
    <row r="4" spans="1:10" x14ac:dyDescent="0.2">
      <c r="A4" s="58"/>
      <c r="B4" s="58"/>
      <c r="C4" s="58"/>
      <c r="D4" s="58"/>
      <c r="E4" s="58"/>
      <c r="F4" s="58"/>
      <c r="G4" s="58"/>
      <c r="H4" s="58"/>
      <c r="I4" s="58"/>
      <c r="J4" s="59"/>
    </row>
    <row r="5" spans="1:10" x14ac:dyDescent="0.2">
      <c r="A5" s="58"/>
      <c r="B5" s="58"/>
      <c r="C5" s="156" t="s">
        <v>23</v>
      </c>
      <c r="D5" s="157"/>
      <c r="E5" s="157"/>
      <c r="F5" s="158"/>
      <c r="G5" s="58"/>
      <c r="H5" s="58"/>
      <c r="I5" s="58"/>
      <c r="J5" s="59"/>
    </row>
    <row r="6" spans="1:10" ht="34" x14ac:dyDescent="0.2">
      <c r="A6" s="58"/>
      <c r="B6" s="58"/>
      <c r="C6" s="38" t="s">
        <v>198</v>
      </c>
      <c r="D6" s="42" t="s">
        <v>4</v>
      </c>
      <c r="E6" s="42" t="s">
        <v>5</v>
      </c>
      <c r="F6" s="43" t="s">
        <v>6</v>
      </c>
      <c r="G6" s="58"/>
      <c r="H6" s="58"/>
      <c r="I6" s="58"/>
      <c r="J6" s="59"/>
    </row>
    <row r="7" spans="1:10" x14ac:dyDescent="0.2">
      <c r="A7" s="58"/>
      <c r="B7" s="58"/>
      <c r="C7" s="40">
        <v>2021</v>
      </c>
      <c r="D7" s="7">
        <v>75</v>
      </c>
      <c r="E7" s="7">
        <v>45</v>
      </c>
      <c r="F7" s="17">
        <v>15</v>
      </c>
      <c r="G7" s="58"/>
      <c r="H7" s="58"/>
      <c r="I7" s="58"/>
      <c r="J7" s="59"/>
    </row>
    <row r="8" spans="1:10" x14ac:dyDescent="0.2">
      <c r="A8" s="58"/>
      <c r="B8" s="58"/>
      <c r="C8" s="40">
        <v>2022</v>
      </c>
      <c r="D8" s="7">
        <v>80</v>
      </c>
      <c r="E8" s="7">
        <v>35</v>
      </c>
      <c r="F8" s="17"/>
      <c r="G8" s="58"/>
      <c r="H8" s="58"/>
      <c r="I8" s="58"/>
      <c r="J8" s="59"/>
    </row>
    <row r="9" spans="1:10" x14ac:dyDescent="0.2">
      <c r="A9" s="58"/>
      <c r="B9" s="58"/>
      <c r="C9" s="41">
        <v>2023</v>
      </c>
      <c r="D9" s="16">
        <v>95</v>
      </c>
      <c r="E9" s="16"/>
      <c r="F9" s="15"/>
      <c r="G9" s="58"/>
      <c r="H9" s="58"/>
      <c r="I9" s="58"/>
      <c r="J9" s="59"/>
    </row>
    <row r="10" spans="1:10" x14ac:dyDescent="0.2">
      <c r="A10" s="58"/>
      <c r="B10" s="58"/>
      <c r="C10" s="58"/>
      <c r="D10" s="58"/>
      <c r="E10" s="58"/>
      <c r="F10" s="58"/>
      <c r="G10" s="58"/>
      <c r="H10" s="58"/>
      <c r="I10" s="58"/>
      <c r="J10" s="59"/>
    </row>
    <row r="11" spans="1:10" x14ac:dyDescent="0.2">
      <c r="A11" s="58"/>
      <c r="B11" s="58"/>
      <c r="C11" s="185" t="s">
        <v>24</v>
      </c>
      <c r="D11" s="185"/>
      <c r="E11" s="185"/>
      <c r="F11" s="185"/>
      <c r="G11" s="185"/>
      <c r="H11" s="185"/>
      <c r="I11" s="58"/>
      <c r="J11" s="59"/>
    </row>
    <row r="12" spans="1:10" x14ac:dyDescent="0.2">
      <c r="A12" s="5"/>
      <c r="B12" s="58"/>
      <c r="C12" s="94">
        <v>0.83299999999999996</v>
      </c>
      <c r="D12" s="95">
        <v>0.16700000000000001</v>
      </c>
      <c r="E12" s="95">
        <v>0</v>
      </c>
      <c r="F12" s="95">
        <v>0.16700000000000001</v>
      </c>
      <c r="G12" s="95">
        <v>-0.16700000000000001</v>
      </c>
      <c r="H12" s="96">
        <v>0</v>
      </c>
      <c r="I12" s="58"/>
      <c r="J12" s="59"/>
    </row>
    <row r="13" spans="1:10" x14ac:dyDescent="0.2">
      <c r="A13" s="5"/>
      <c r="B13" s="58"/>
      <c r="C13" s="94">
        <v>0.17399999999999999</v>
      </c>
      <c r="D13" s="95">
        <v>0.82599999999999996</v>
      </c>
      <c r="E13" s="95">
        <v>0</v>
      </c>
      <c r="F13" s="95">
        <v>-0.17399999999999999</v>
      </c>
      <c r="G13" s="95">
        <v>0.17399999999999999</v>
      </c>
      <c r="H13" s="96">
        <v>0</v>
      </c>
      <c r="I13" s="58"/>
      <c r="J13" s="59"/>
    </row>
    <row r="14" spans="1:10" x14ac:dyDescent="0.2">
      <c r="A14" s="5"/>
      <c r="B14" s="58"/>
      <c r="C14" s="94">
        <v>0</v>
      </c>
      <c r="D14" s="95">
        <v>0</v>
      </c>
      <c r="E14" s="95">
        <v>1</v>
      </c>
      <c r="F14" s="95">
        <v>0</v>
      </c>
      <c r="G14" s="95">
        <v>0</v>
      </c>
      <c r="H14" s="96">
        <v>0</v>
      </c>
      <c r="I14" s="58"/>
      <c r="J14" s="59"/>
    </row>
    <row r="15" spans="1:10" x14ac:dyDescent="0.2">
      <c r="A15" s="5"/>
      <c r="B15" s="58"/>
      <c r="C15" s="94">
        <v>0.32300000000000001</v>
      </c>
      <c r="D15" s="95">
        <v>-0.32300000000000001</v>
      </c>
      <c r="E15" s="95">
        <v>0</v>
      </c>
      <c r="F15" s="95">
        <v>0.67700000000000005</v>
      </c>
      <c r="G15" s="95">
        <v>0.32300000000000001</v>
      </c>
      <c r="H15" s="96">
        <v>0</v>
      </c>
      <c r="I15" s="58"/>
      <c r="J15" s="59"/>
    </row>
    <row r="16" spans="1:10" x14ac:dyDescent="0.2">
      <c r="A16" s="5"/>
      <c r="B16" s="58"/>
      <c r="C16" s="94">
        <v>-0.33700000000000002</v>
      </c>
      <c r="D16" s="95">
        <v>0.33700000000000002</v>
      </c>
      <c r="E16" s="95">
        <v>0</v>
      </c>
      <c r="F16" s="95">
        <v>0.33700000000000002</v>
      </c>
      <c r="G16" s="95">
        <v>0.66300000000000003</v>
      </c>
      <c r="H16" s="96">
        <v>0</v>
      </c>
      <c r="I16" s="58"/>
      <c r="J16" s="59"/>
    </row>
    <row r="17" spans="1:65" x14ac:dyDescent="0.2">
      <c r="A17" s="5"/>
      <c r="B17" s="58"/>
      <c r="C17" s="94">
        <v>0</v>
      </c>
      <c r="D17" s="95">
        <v>0</v>
      </c>
      <c r="E17" s="95">
        <v>0</v>
      </c>
      <c r="F17" s="95">
        <v>0</v>
      </c>
      <c r="G17" s="95">
        <v>0</v>
      </c>
      <c r="H17" s="96">
        <v>1</v>
      </c>
      <c r="I17" s="58"/>
      <c r="J17" s="59"/>
    </row>
    <row r="18" spans="1:65" x14ac:dyDescent="0.2">
      <c r="A18" s="5"/>
      <c r="B18" s="58"/>
      <c r="C18" s="58"/>
      <c r="D18" s="58"/>
      <c r="E18" s="58"/>
      <c r="F18" s="58"/>
      <c r="G18" s="58"/>
      <c r="H18" s="58"/>
      <c r="I18" s="58"/>
      <c r="J18" s="59"/>
    </row>
    <row r="19" spans="1:65" x14ac:dyDescent="0.2">
      <c r="A19" s="5"/>
      <c r="B19" s="58"/>
      <c r="C19" s="58"/>
      <c r="D19" s="58"/>
      <c r="E19" s="58"/>
      <c r="F19" s="58"/>
      <c r="G19" s="58"/>
      <c r="H19" s="58"/>
      <c r="I19" s="58"/>
      <c r="J19" s="59"/>
    </row>
    <row r="20" spans="1:65" x14ac:dyDescent="0.2">
      <c r="A20" s="5"/>
      <c r="B20" s="58" t="s">
        <v>25</v>
      </c>
      <c r="C20" s="58"/>
      <c r="D20" s="58"/>
      <c r="E20" s="58"/>
      <c r="F20" s="58"/>
      <c r="G20" s="58"/>
      <c r="H20" s="58"/>
      <c r="I20" s="58"/>
      <c r="J20" s="59"/>
    </row>
    <row r="21" spans="1:65" ht="17" thickBot="1" x14ac:dyDescent="0.25">
      <c r="A21" s="61"/>
      <c r="B21" s="62"/>
      <c r="C21" s="63"/>
      <c r="D21" s="63"/>
      <c r="E21" s="63"/>
      <c r="F21" s="62"/>
      <c r="G21" s="62"/>
      <c r="H21" s="62"/>
      <c r="I21" s="62"/>
      <c r="J21" s="64"/>
    </row>
    <row r="23" spans="1:65" ht="19" x14ac:dyDescent="0.25">
      <c r="A23" s="2" t="s">
        <v>2</v>
      </c>
    </row>
    <row r="24" spans="1:65" x14ac:dyDescent="0.2">
      <c r="A24" s="68" t="s">
        <v>177</v>
      </c>
      <c r="B24" s="14" t="s">
        <v>357</v>
      </c>
    </row>
    <row r="25" spans="1:65" x14ac:dyDescent="0.2">
      <c r="A25" s="68"/>
      <c r="B25" s="14"/>
    </row>
    <row r="26" spans="1:65" x14ac:dyDescent="0.2">
      <c r="C26" s="89" t="s">
        <v>7</v>
      </c>
      <c r="D26" s="90">
        <v>1</v>
      </c>
      <c r="E26" s="90">
        <v>2</v>
      </c>
      <c r="F26" s="90">
        <v>3</v>
      </c>
      <c r="L26" s="4"/>
      <c r="M26" s="4"/>
      <c r="N26" s="4"/>
    </row>
    <row r="27" spans="1:65" x14ac:dyDescent="0.2">
      <c r="C27" s="67">
        <v>1</v>
      </c>
      <c r="D27" s="66">
        <f>D7</f>
        <v>75</v>
      </c>
      <c r="E27" s="66">
        <f>SUM(D7:E7)</f>
        <v>120</v>
      </c>
      <c r="F27" s="66">
        <f>SUM(D7:F7)</f>
        <v>135</v>
      </c>
      <c r="M27" s="65"/>
    </row>
    <row r="28" spans="1:65" x14ac:dyDescent="0.2">
      <c r="A28" s="4"/>
      <c r="C28" s="67">
        <v>2</v>
      </c>
      <c r="D28" s="66">
        <f>D8</f>
        <v>80</v>
      </c>
      <c r="E28" s="66">
        <f>SUM(D8:E8)</f>
        <v>115</v>
      </c>
      <c r="F28" s="66"/>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row>
    <row r="29" spans="1:65" x14ac:dyDescent="0.2">
      <c r="A29" s="4"/>
      <c r="C29" s="67">
        <v>3</v>
      </c>
      <c r="D29" s="66">
        <f>D9</f>
        <v>95</v>
      </c>
      <c r="E29" s="66"/>
      <c r="F29" s="66"/>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row>
    <row r="30" spans="1:65" x14ac:dyDescent="0.2">
      <c r="A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row>
    <row r="31" spans="1:65" x14ac:dyDescent="0.2">
      <c r="A31" s="4"/>
      <c r="C31" s="89"/>
      <c r="D31" s="97" t="s">
        <v>27</v>
      </c>
      <c r="E31" s="97" t="s">
        <v>28</v>
      </c>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row>
    <row r="32" spans="1:65" x14ac:dyDescent="0.2">
      <c r="A32" s="4"/>
      <c r="C32" s="67" t="s">
        <v>29</v>
      </c>
      <c r="D32" s="91">
        <f>SUM(E27:E28)/SUM(D27:D28)</f>
        <v>1.5161290322580645</v>
      </c>
      <c r="E32" s="91">
        <f>F27/E27</f>
        <v>1.125</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row>
    <row r="33" spans="1:65" x14ac:dyDescent="0.2">
      <c r="A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row>
    <row r="34" spans="1:65" x14ac:dyDescent="0.2">
      <c r="A34" s="68" t="s">
        <v>178</v>
      </c>
      <c r="B34" s="184" t="s">
        <v>387</v>
      </c>
      <c r="C34" s="184"/>
      <c r="D34" s="184"/>
      <c r="E34" s="184"/>
      <c r="F34" s="184"/>
      <c r="G34" s="184"/>
      <c r="H34" s="184"/>
      <c r="I34" s="18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row>
    <row r="35" spans="1:65" x14ac:dyDescent="0.2">
      <c r="A35" s="68"/>
      <c r="B35" s="184"/>
      <c r="C35" s="184"/>
      <c r="D35" s="184"/>
      <c r="E35" s="184"/>
      <c r="F35" s="184"/>
      <c r="G35" s="184"/>
      <c r="H35" s="184"/>
      <c r="I35" s="18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row>
    <row r="36" spans="1:65" x14ac:dyDescent="0.2">
      <c r="A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row>
    <row r="37" spans="1:65" x14ac:dyDescent="0.2">
      <c r="A37" s="4"/>
      <c r="B37" s="160" t="s">
        <v>250</v>
      </c>
      <c r="C37" s="160"/>
      <c r="D37" s="160"/>
      <c r="E37" s="160"/>
      <c r="F37" s="160"/>
      <c r="G37" s="160"/>
      <c r="H37" s="160"/>
      <c r="I37" s="160"/>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row>
    <row r="38" spans="1:65" x14ac:dyDescent="0.2">
      <c r="A38" s="4"/>
      <c r="B38" s="160"/>
      <c r="C38" s="160"/>
      <c r="D38" s="160"/>
      <c r="E38" s="160"/>
      <c r="F38" s="160"/>
      <c r="G38" s="160"/>
      <c r="H38" s="160"/>
      <c r="I38" s="160"/>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row>
    <row r="39" spans="1:65" x14ac:dyDescent="0.2">
      <c r="A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row>
    <row r="40" spans="1:65" x14ac:dyDescent="0.2">
      <c r="A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row>
    <row r="41" spans="1:65" x14ac:dyDescent="0.2">
      <c r="A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row>
    <row r="42" spans="1:65" x14ac:dyDescent="0.2">
      <c r="A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row>
    <row r="43" spans="1:65" x14ac:dyDescent="0.2">
      <c r="A43" s="4"/>
      <c r="B43" s="159" t="s">
        <v>251</v>
      </c>
      <c r="C43" s="159"/>
      <c r="D43" s="159"/>
      <c r="E43" s="159"/>
      <c r="G43" s="159" t="s">
        <v>252</v>
      </c>
      <c r="H43" s="159"/>
      <c r="I43" s="159"/>
      <c r="J43" s="159"/>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row>
    <row r="44" spans="1:65" x14ac:dyDescent="0.2">
      <c r="A44" s="4"/>
      <c r="B44" s="89" t="s">
        <v>7</v>
      </c>
      <c r="C44" s="90">
        <v>1</v>
      </c>
      <c r="D44" s="90">
        <v>2</v>
      </c>
      <c r="E44" s="90">
        <v>3</v>
      </c>
      <c r="G44" s="89" t="s">
        <v>7</v>
      </c>
      <c r="H44" s="90">
        <v>1</v>
      </c>
      <c r="I44" s="90">
        <v>2</v>
      </c>
      <c r="J44" s="90">
        <v>3</v>
      </c>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row>
    <row r="45" spans="1:65" x14ac:dyDescent="0.2">
      <c r="A45" s="4"/>
      <c r="B45" s="67">
        <v>1</v>
      </c>
      <c r="C45" s="92">
        <f>D45/$D$32</f>
        <v>79.148936170212764</v>
      </c>
      <c r="D45" s="92">
        <f>E45/$E$32</f>
        <v>120</v>
      </c>
      <c r="E45" s="66">
        <f>F27</f>
        <v>135</v>
      </c>
      <c r="G45" s="67">
        <v>1</v>
      </c>
      <c r="H45" s="92">
        <f>C45</f>
        <v>79.148936170212764</v>
      </c>
      <c r="I45" s="92">
        <f>D45-C45</f>
        <v>40.851063829787236</v>
      </c>
      <c r="J45" s="92">
        <f>E45-D45</f>
        <v>15</v>
      </c>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row>
    <row r="46" spans="1:65" x14ac:dyDescent="0.2">
      <c r="A46" s="4"/>
      <c r="B46" s="67">
        <v>2</v>
      </c>
      <c r="C46" s="92">
        <f>D46/$D$32</f>
        <v>75.851063829787236</v>
      </c>
      <c r="D46" s="66">
        <f>E28</f>
        <v>115</v>
      </c>
      <c r="E46" s="66"/>
      <c r="G46" s="67">
        <v>2</v>
      </c>
      <c r="H46" s="92">
        <f>C46</f>
        <v>75.851063829787236</v>
      </c>
      <c r="I46" s="92">
        <f>D46-C46</f>
        <v>39.148936170212764</v>
      </c>
      <c r="J46" s="66"/>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row>
    <row r="47" spans="1:65" x14ac:dyDescent="0.2">
      <c r="A47" s="4"/>
      <c r="B47" s="67">
        <v>3</v>
      </c>
      <c r="C47" s="66">
        <f>D29</f>
        <v>95</v>
      </c>
      <c r="D47" s="66"/>
      <c r="E47" s="66"/>
      <c r="G47" s="67">
        <v>3</v>
      </c>
      <c r="H47" s="92">
        <f>C47</f>
        <v>95</v>
      </c>
      <c r="I47" s="66"/>
      <c r="J47" s="66"/>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row>
    <row r="48" spans="1:65" x14ac:dyDescent="0.2">
      <c r="A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row>
    <row r="49" spans="1:65" x14ac:dyDescent="0.2">
      <c r="A49" s="68" t="s">
        <v>179</v>
      </c>
      <c r="B49" s="14" t="s">
        <v>253</v>
      </c>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row>
    <row r="50" spans="1:65" x14ac:dyDescent="0.2">
      <c r="A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row>
    <row r="51" spans="1:65" x14ac:dyDescent="0.2">
      <c r="A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row>
    <row r="52" spans="1:65" x14ac:dyDescent="0.2">
      <c r="A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row>
    <row r="53" spans="1:65" x14ac:dyDescent="0.2">
      <c r="A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row>
    <row r="54" spans="1:65" x14ac:dyDescent="0.2">
      <c r="A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row>
    <row r="55" spans="1:65" x14ac:dyDescent="0.2">
      <c r="A55" s="4"/>
      <c r="B55" s="178" t="s">
        <v>115</v>
      </c>
      <c r="C55" s="186" t="s">
        <v>116</v>
      </c>
      <c r="E55" s="159" t="s">
        <v>31</v>
      </c>
      <c r="F55" s="166"/>
      <c r="G55" s="166"/>
      <c r="H55" s="166"/>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row>
    <row r="56" spans="1:65" x14ac:dyDescent="0.2">
      <c r="A56" s="68"/>
      <c r="B56" s="179"/>
      <c r="C56" s="187"/>
      <c r="E56" s="89" t="s">
        <v>7</v>
      </c>
      <c r="F56" s="90">
        <v>1</v>
      </c>
      <c r="G56" s="90">
        <v>2</v>
      </c>
      <c r="H56" s="90">
        <v>3</v>
      </c>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row>
    <row r="57" spans="1:65" x14ac:dyDescent="0.2">
      <c r="A57" s="4"/>
      <c r="B57" s="67" t="s">
        <v>117</v>
      </c>
      <c r="C57" s="66">
        <v>0</v>
      </c>
      <c r="E57" s="67">
        <v>1</v>
      </c>
      <c r="F57" s="82">
        <f>(D7-H45)/SQRT(H45)</f>
        <v>-0.46635239605853845</v>
      </c>
      <c r="G57" s="82">
        <f>(E7-I45)/SQRT(I45)</f>
        <v>0.64913506282378064</v>
      </c>
      <c r="H57" s="91">
        <v>0</v>
      </c>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row>
    <row r="58" spans="1:65" x14ac:dyDescent="0.2">
      <c r="A58" s="4"/>
      <c r="B58" s="67" t="s">
        <v>254</v>
      </c>
      <c r="C58" s="72">
        <v>1</v>
      </c>
      <c r="E58" s="71">
        <v>2</v>
      </c>
      <c r="F58" s="113">
        <f>(D8-H46)/SQRT(H46)</f>
        <v>0.47638262733578562</v>
      </c>
      <c r="G58" s="113">
        <f>(E8-I46)/SQRT(I46)</f>
        <v>-0.66309655388788058</v>
      </c>
      <c r="H58" s="91"/>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row>
    <row r="59" spans="1:65" x14ac:dyDescent="0.2">
      <c r="A59" s="4"/>
      <c r="B59" s="67" t="s">
        <v>119</v>
      </c>
      <c r="C59" s="66">
        <v>2</v>
      </c>
      <c r="E59" s="67">
        <v>3</v>
      </c>
      <c r="F59" s="91">
        <f>(D9-H47)/SQRT(H47)</f>
        <v>0</v>
      </c>
      <c r="G59" s="91"/>
      <c r="H59" s="91"/>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row>
    <row r="60" spans="1:65" x14ac:dyDescent="0.2">
      <c r="A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row>
    <row r="61" spans="1:65" x14ac:dyDescent="0.2">
      <c r="A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row>
    <row r="62" spans="1:65" x14ac:dyDescent="0.2">
      <c r="A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row>
    <row r="63" spans="1:65" x14ac:dyDescent="0.2">
      <c r="A63" s="68" t="s">
        <v>180</v>
      </c>
      <c r="B63" s="14" t="s">
        <v>358</v>
      </c>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row>
    <row r="64" spans="1:65" x14ac:dyDescent="0.2">
      <c r="A64" s="68"/>
      <c r="B64" s="1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row>
    <row r="65" spans="1:65" x14ac:dyDescent="0.2">
      <c r="A65" s="68"/>
      <c r="B65" s="1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row>
    <row r="66" spans="1:65" x14ac:dyDescent="0.2">
      <c r="A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row>
    <row r="67" spans="1:65" x14ac:dyDescent="0.2">
      <c r="A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row>
    <row r="68" spans="1:65" x14ac:dyDescent="0.2">
      <c r="A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row>
    <row r="69" spans="1:65" x14ac:dyDescent="0.2">
      <c r="A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row>
    <row r="70" spans="1:65" x14ac:dyDescent="0.2">
      <c r="A70" s="4"/>
      <c r="F70" s="124" t="s">
        <v>256</v>
      </c>
      <c r="G70" s="82">
        <f>SUMSQ(F57:H59)/(6-5)</f>
        <v>1.3054983345021025</v>
      </c>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row>
    <row r="71" spans="1:65" x14ac:dyDescent="0.2">
      <c r="A71" s="4"/>
      <c r="B71" s="60" t="s">
        <v>255</v>
      </c>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row>
    <row r="72" spans="1:65" x14ac:dyDescent="0.2">
      <c r="A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row>
    <row r="73" spans="1:65" x14ac:dyDescent="0.2">
      <c r="A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row>
    <row r="74" spans="1:65" x14ac:dyDescent="0.2">
      <c r="A74" s="68" t="s">
        <v>181</v>
      </c>
      <c r="B74" s="14" t="s">
        <v>257</v>
      </c>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row>
    <row r="75" spans="1:65" x14ac:dyDescent="0.2">
      <c r="A75" s="4"/>
      <c r="B75" s="1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row>
    <row r="76" spans="1:65" x14ac:dyDescent="0.2">
      <c r="A76" s="4"/>
      <c r="B76" s="159" t="s">
        <v>258</v>
      </c>
      <c r="C76" s="159"/>
      <c r="D76" s="159"/>
      <c r="E76" s="159"/>
      <c r="G76" s="159" t="s">
        <v>258</v>
      </c>
      <c r="H76" s="159"/>
      <c r="I76" s="159"/>
      <c r="J76" s="159"/>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row>
    <row r="77" spans="1:65" x14ac:dyDescent="0.2">
      <c r="A77" s="4"/>
      <c r="B77" s="89" t="s">
        <v>7</v>
      </c>
      <c r="C77" s="90">
        <v>1</v>
      </c>
      <c r="D77" s="90">
        <v>2</v>
      </c>
      <c r="E77" s="90">
        <v>3</v>
      </c>
      <c r="G77" s="89" t="s">
        <v>7</v>
      </c>
      <c r="H77" s="90">
        <v>1</v>
      </c>
      <c r="I77" s="90">
        <v>2</v>
      </c>
      <c r="J77" s="90">
        <v>3</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row>
    <row r="78" spans="1:65" ht="18" x14ac:dyDescent="0.25">
      <c r="A78" s="4"/>
      <c r="B78" s="67">
        <v>1</v>
      </c>
      <c r="C78" s="66" t="s">
        <v>259</v>
      </c>
      <c r="D78" s="66" t="s">
        <v>262</v>
      </c>
      <c r="E78" s="66" t="s">
        <v>264</v>
      </c>
      <c r="G78" s="67">
        <v>1</v>
      </c>
      <c r="H78" s="114">
        <f>C12</f>
        <v>0.83299999999999996</v>
      </c>
      <c r="I78" s="114">
        <f>F15</f>
        <v>0.67700000000000005</v>
      </c>
      <c r="J78" s="114">
        <f>H17</f>
        <v>1</v>
      </c>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row>
    <row r="79" spans="1:65" ht="18" x14ac:dyDescent="0.25">
      <c r="A79" s="4"/>
      <c r="B79" s="67">
        <v>2</v>
      </c>
      <c r="C79" s="66" t="s">
        <v>260</v>
      </c>
      <c r="D79" s="66" t="s">
        <v>263</v>
      </c>
      <c r="E79" s="66"/>
      <c r="G79" s="67">
        <v>2</v>
      </c>
      <c r="H79" s="114">
        <f>D13</f>
        <v>0.82599999999999996</v>
      </c>
      <c r="I79" s="114">
        <f>G16</f>
        <v>0.66300000000000003</v>
      </c>
      <c r="J79" s="115"/>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row>
    <row r="80" spans="1:65" ht="18" x14ac:dyDescent="0.25">
      <c r="A80" s="4"/>
      <c r="B80" s="67">
        <v>3</v>
      </c>
      <c r="C80" s="66" t="s">
        <v>261</v>
      </c>
      <c r="D80" s="66"/>
      <c r="E80" s="66"/>
      <c r="G80" s="67">
        <v>3</v>
      </c>
      <c r="H80" s="114">
        <f>E14</f>
        <v>1</v>
      </c>
      <c r="I80" s="115"/>
      <c r="J80" s="115"/>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row>
    <row r="81" spans="1:66" x14ac:dyDescent="0.2">
      <c r="A81" s="4"/>
      <c r="C81" s="66"/>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row>
    <row r="82" spans="1:66" x14ac:dyDescent="0.2">
      <c r="A82" s="68" t="s">
        <v>183</v>
      </c>
      <c r="B82" s="14" t="s">
        <v>265</v>
      </c>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row>
    <row r="83" spans="1:66" x14ac:dyDescent="0.2">
      <c r="A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6" x14ac:dyDescent="0.2">
      <c r="A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6" x14ac:dyDescent="0.2">
      <c r="A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6" x14ac:dyDescent="0.2">
      <c r="A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6" x14ac:dyDescent="0.2">
      <c r="A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6" x14ac:dyDescent="0.2">
      <c r="A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6" x14ac:dyDescent="0.2">
      <c r="A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6" x14ac:dyDescent="0.2">
      <c r="B90" s="4"/>
      <c r="C90" s="166"/>
      <c r="D90" s="166"/>
      <c r="E90" s="166"/>
      <c r="F90" s="166"/>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x14ac:dyDescent="0.2">
      <c r="B91" s="4"/>
      <c r="C91" s="89" t="s">
        <v>7</v>
      </c>
      <c r="D91" s="90">
        <v>1</v>
      </c>
      <c r="E91" s="90">
        <v>2</v>
      </c>
      <c r="F91" s="90">
        <v>3</v>
      </c>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x14ac:dyDescent="0.2">
      <c r="B92" s="4"/>
      <c r="C92" s="67">
        <v>1</v>
      </c>
      <c r="D92" s="82">
        <f>SQRT(1/(1-H78))</f>
        <v>2.4470439211619817</v>
      </c>
      <c r="E92" s="82">
        <f>SQRT(1/(1-I78))</f>
        <v>1.7595383576944672</v>
      </c>
      <c r="F92" s="66">
        <v>0</v>
      </c>
      <c r="G92"/>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x14ac:dyDescent="0.2">
      <c r="B93" s="4"/>
      <c r="C93" s="67">
        <v>2</v>
      </c>
      <c r="D93" s="82">
        <f>SQRT(1/(1-H79))</f>
        <v>2.3973165074269205</v>
      </c>
      <c r="E93" s="82">
        <f>SQRT(1/(1-I79))</f>
        <v>1.7226024063738865</v>
      </c>
      <c r="F93" s="66"/>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x14ac:dyDescent="0.2">
      <c r="B94" s="4"/>
      <c r="C94" s="67">
        <v>3</v>
      </c>
      <c r="D94" s="66">
        <v>0</v>
      </c>
      <c r="E94" s="66"/>
      <c r="F94" s="66"/>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x14ac:dyDescent="0.2">
      <c r="A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6" x14ac:dyDescent="0.2">
      <c r="A96" s="68" t="s">
        <v>183</v>
      </c>
      <c r="B96" s="14" t="s">
        <v>266</v>
      </c>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6" x14ac:dyDescent="0.2">
      <c r="A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6" x14ac:dyDescent="0.2">
      <c r="A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6" x14ac:dyDescent="0.2">
      <c r="A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6" x14ac:dyDescent="0.2">
      <c r="A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6" x14ac:dyDescent="0.2">
      <c r="A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6" x14ac:dyDescent="0.2">
      <c r="A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6" x14ac:dyDescent="0.2">
      <c r="A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6" x14ac:dyDescent="0.2">
      <c r="B104" s="4"/>
      <c r="C104" s="89" t="s">
        <v>7</v>
      </c>
      <c r="D104" s="90">
        <v>1</v>
      </c>
      <c r="E104" s="90">
        <v>2</v>
      </c>
      <c r="F104" s="90">
        <v>3</v>
      </c>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x14ac:dyDescent="0.2">
      <c r="B105" s="4"/>
      <c r="C105" s="67">
        <v>1</v>
      </c>
      <c r="D105" s="82">
        <f>F57*D92</f>
        <v>-1.1411847958943715</v>
      </c>
      <c r="E105" s="82">
        <f>G57*E92</f>
        <v>1.1421780423628498</v>
      </c>
      <c r="F105" s="66">
        <f>H57*F92</f>
        <v>0</v>
      </c>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x14ac:dyDescent="0.2">
      <c r="B106" s="4"/>
      <c r="C106" s="67">
        <v>2</v>
      </c>
      <c r="D106" s="82">
        <f>F58*D93</f>
        <v>1.1420399363634859</v>
      </c>
      <c r="E106" s="82">
        <f>G58*E93</f>
        <v>-1.1422517193854946</v>
      </c>
      <c r="F106" s="66"/>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x14ac:dyDescent="0.2">
      <c r="B107" s="4"/>
      <c r="C107" s="67">
        <v>3</v>
      </c>
      <c r="D107" s="66">
        <f>F59*D94</f>
        <v>0</v>
      </c>
      <c r="E107" s="66"/>
      <c r="F107" s="66"/>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x14ac:dyDescent="0.2">
      <c r="A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6" ht="19" x14ac:dyDescent="0.25">
      <c r="A109" s="2" t="s">
        <v>114</v>
      </c>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6" x14ac:dyDescent="0.2">
      <c r="A110" s="4"/>
      <c r="B110" s="160" t="s">
        <v>267</v>
      </c>
      <c r="C110" s="160"/>
      <c r="D110" s="160"/>
      <c r="E110" s="160"/>
      <c r="F110" s="160"/>
      <c r="G110" s="160"/>
      <c r="H110" s="160"/>
      <c r="I110" s="160"/>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6" x14ac:dyDescent="0.2">
      <c r="A111" s="4"/>
      <c r="B111" s="160"/>
      <c r="C111" s="160"/>
      <c r="D111" s="160"/>
      <c r="E111" s="160"/>
      <c r="F111" s="160"/>
      <c r="G111" s="160"/>
      <c r="H111" s="160"/>
      <c r="I111" s="160"/>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6" x14ac:dyDescent="0.2">
      <c r="A112" s="4"/>
      <c r="B112" s="160"/>
      <c r="C112" s="160"/>
      <c r="D112" s="160"/>
      <c r="E112" s="160"/>
      <c r="F112" s="160"/>
      <c r="G112" s="160"/>
      <c r="H112" s="160"/>
      <c r="I112" s="160"/>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160"/>
      <c r="C113" s="160"/>
      <c r="D113" s="160"/>
      <c r="E113" s="160"/>
      <c r="F113" s="160"/>
      <c r="G113" s="160"/>
      <c r="H113" s="160"/>
      <c r="I113" s="160"/>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160"/>
      <c r="C114" s="160"/>
      <c r="D114" s="160"/>
      <c r="E114" s="160"/>
      <c r="F114" s="160"/>
      <c r="G114" s="160"/>
      <c r="H114" s="160"/>
      <c r="I114" s="160"/>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ht="19" x14ac:dyDescent="0.25">
      <c r="A116" s="4"/>
      <c r="B116" s="31" t="s">
        <v>130</v>
      </c>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160" t="s">
        <v>268</v>
      </c>
      <c r="C117" s="160"/>
      <c r="D117" s="160"/>
      <c r="E117" s="160"/>
      <c r="F117" s="160"/>
      <c r="G117" s="160"/>
      <c r="H117" s="160"/>
      <c r="I117" s="160"/>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160"/>
      <c r="C118" s="160"/>
      <c r="D118" s="160"/>
      <c r="E118" s="160"/>
      <c r="F118" s="160"/>
      <c r="G118" s="160"/>
      <c r="H118" s="160"/>
      <c r="I118" s="160"/>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160"/>
      <c r="C119" s="160"/>
      <c r="D119" s="160"/>
      <c r="E119" s="160"/>
      <c r="F119" s="160"/>
      <c r="G119" s="160"/>
      <c r="H119" s="160"/>
      <c r="I119" s="160"/>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160" t="s">
        <v>269</v>
      </c>
      <c r="C121" s="160"/>
      <c r="D121" s="160"/>
      <c r="E121" s="160"/>
      <c r="F121" s="160"/>
      <c r="G121" s="160"/>
      <c r="H121" s="160"/>
      <c r="I121" s="160"/>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160"/>
      <c r="C122" s="160"/>
      <c r="D122" s="160"/>
      <c r="E122" s="160"/>
      <c r="F122" s="160"/>
      <c r="G122" s="160"/>
      <c r="H122" s="160"/>
      <c r="I122" s="160"/>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ht="18" customHeight="1" x14ac:dyDescent="0.2">
      <c r="A124" s="4"/>
      <c r="B124" s="160" t="s">
        <v>270</v>
      </c>
      <c r="C124" s="160"/>
      <c r="D124" s="160"/>
      <c r="E124" s="160"/>
      <c r="F124" s="160"/>
      <c r="G124" s="160"/>
      <c r="H124" s="160"/>
      <c r="I124" s="160"/>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160"/>
      <c r="C125" s="160"/>
      <c r="D125" s="160"/>
      <c r="E125" s="160"/>
      <c r="F125" s="160"/>
      <c r="G125" s="160"/>
      <c r="H125" s="160"/>
      <c r="I125" s="160"/>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160"/>
      <c r="C126" s="160"/>
      <c r="D126" s="160"/>
      <c r="E126" s="160"/>
      <c r="F126" s="160"/>
      <c r="G126" s="160"/>
      <c r="H126" s="160"/>
      <c r="I126" s="160"/>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160"/>
      <c r="C127" s="160"/>
      <c r="D127" s="160"/>
      <c r="E127" s="160"/>
      <c r="F127" s="160"/>
      <c r="G127" s="160"/>
      <c r="H127" s="160"/>
      <c r="I127" s="160"/>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ht="19" x14ac:dyDescent="0.25">
      <c r="A129" s="4"/>
      <c r="B129" s="31" t="s">
        <v>131</v>
      </c>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161" t="s">
        <v>359</v>
      </c>
      <c r="C131" s="160"/>
      <c r="D131" s="160"/>
      <c r="E131" s="160"/>
      <c r="F131" s="160"/>
      <c r="G131" s="160"/>
      <c r="H131" s="160"/>
      <c r="I131" s="160"/>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160"/>
      <c r="C132" s="160"/>
      <c r="D132" s="160"/>
      <c r="E132" s="160"/>
      <c r="F132" s="160"/>
      <c r="G132" s="160"/>
      <c r="H132" s="160"/>
      <c r="I132" s="160"/>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160"/>
      <c r="C133" s="160"/>
      <c r="D133" s="160"/>
      <c r="E133" s="160"/>
      <c r="F133" s="160"/>
      <c r="G133" s="160"/>
      <c r="H133" s="160"/>
      <c r="I133" s="160"/>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ht="15.75" customHeight="1" x14ac:dyDescent="0.2">
      <c r="A135" s="4"/>
      <c r="B135" s="160" t="s">
        <v>271</v>
      </c>
      <c r="C135" s="160"/>
      <c r="D135" s="160"/>
      <c r="E135" s="160"/>
      <c r="F135" s="160"/>
      <c r="G135" s="160"/>
      <c r="H135" s="160"/>
      <c r="I135" s="160"/>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160"/>
      <c r="C136" s="160"/>
      <c r="D136" s="160"/>
      <c r="E136" s="160"/>
      <c r="F136" s="160"/>
      <c r="G136" s="160"/>
      <c r="H136" s="160"/>
      <c r="I136" s="160"/>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100"/>
      <c r="C137" s="100"/>
      <c r="D137" s="100"/>
      <c r="E137" s="100"/>
      <c r="F137" s="100"/>
      <c r="G137" s="100"/>
      <c r="H137" s="100"/>
      <c r="I137" s="100"/>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ht="19" x14ac:dyDescent="0.25">
      <c r="A138" s="2" t="s">
        <v>126</v>
      </c>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60" t="s">
        <v>132</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ht="19" x14ac:dyDescent="0.25">
      <c r="A141" s="2" t="s">
        <v>121</v>
      </c>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60" t="s">
        <v>133</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sheetData>
  <mergeCells count="18">
    <mergeCell ref="B131:I133"/>
    <mergeCell ref="B135:I136"/>
    <mergeCell ref="C90:F90"/>
    <mergeCell ref="B110:I114"/>
    <mergeCell ref="B117:I119"/>
    <mergeCell ref="B121:I122"/>
    <mergeCell ref="B124:I127"/>
    <mergeCell ref="B55:B56"/>
    <mergeCell ref="E55:H55"/>
    <mergeCell ref="C55:C56"/>
    <mergeCell ref="B76:E76"/>
    <mergeCell ref="G76:J76"/>
    <mergeCell ref="C5:F5"/>
    <mergeCell ref="C11:H11"/>
    <mergeCell ref="B34:I35"/>
    <mergeCell ref="B37:I38"/>
    <mergeCell ref="B43:E43"/>
    <mergeCell ref="G43:J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178"/>
  <sheetViews>
    <sheetView showGridLines="0" zoomScale="120" zoomScaleNormal="120" workbookViewId="0"/>
  </sheetViews>
  <sheetFormatPr baseColWidth="10" defaultColWidth="10.83203125" defaultRowHeight="16" x14ac:dyDescent="0.2"/>
  <cols>
    <col min="1" max="12" width="10.83203125" style="60" customWidth="1"/>
    <col min="13" max="16384" width="10.83203125" style="60"/>
  </cols>
  <sheetData>
    <row r="1" spans="1:10" ht="19" x14ac:dyDescent="0.25">
      <c r="A1" s="73" t="s">
        <v>188</v>
      </c>
      <c r="B1" s="58"/>
      <c r="C1" s="58"/>
      <c r="D1" s="58"/>
      <c r="E1" s="58"/>
      <c r="F1" s="58"/>
      <c r="G1" s="58"/>
      <c r="H1" s="58"/>
      <c r="I1" s="58"/>
      <c r="J1" s="59"/>
    </row>
    <row r="2" spans="1:10" x14ac:dyDescent="0.2">
      <c r="A2" s="5"/>
      <c r="B2" s="58"/>
      <c r="C2" s="58"/>
      <c r="D2" s="58"/>
      <c r="E2" s="58"/>
      <c r="F2" s="58"/>
      <c r="G2" s="58"/>
      <c r="H2" s="58"/>
      <c r="I2" s="58"/>
      <c r="J2" s="59"/>
    </row>
    <row r="3" spans="1:10" x14ac:dyDescent="0.2">
      <c r="A3" s="5"/>
      <c r="B3" s="58" t="s">
        <v>74</v>
      </c>
      <c r="C3" s="58"/>
      <c r="D3" s="58"/>
      <c r="E3" s="58"/>
      <c r="F3" s="58"/>
      <c r="G3" s="58"/>
      <c r="H3" s="58"/>
      <c r="I3" s="58"/>
      <c r="J3" s="59"/>
    </row>
    <row r="4" spans="1:10" x14ac:dyDescent="0.2">
      <c r="A4" s="5"/>
      <c r="B4" s="58" t="s">
        <v>75</v>
      </c>
      <c r="C4" s="58"/>
      <c r="D4" s="58"/>
      <c r="E4" s="58"/>
      <c r="F4" s="58"/>
      <c r="G4" s="58"/>
      <c r="H4" s="58"/>
      <c r="I4" s="58"/>
      <c r="J4" s="59"/>
    </row>
    <row r="5" spans="1:10" x14ac:dyDescent="0.2">
      <c r="A5" s="5"/>
      <c r="B5" s="58"/>
      <c r="C5" s="58"/>
      <c r="D5" s="58"/>
      <c r="E5" s="58"/>
      <c r="F5" s="58"/>
      <c r="G5" s="58"/>
      <c r="H5" s="58"/>
      <c r="I5" s="58"/>
      <c r="J5" s="59"/>
    </row>
    <row r="6" spans="1:10" x14ac:dyDescent="0.2">
      <c r="A6" s="5"/>
      <c r="B6" s="58"/>
      <c r="C6" s="156" t="s">
        <v>23</v>
      </c>
      <c r="D6" s="157"/>
      <c r="E6" s="157"/>
      <c r="F6" s="158"/>
      <c r="G6" s="58"/>
      <c r="H6" s="58"/>
      <c r="I6" s="58"/>
      <c r="J6" s="59"/>
    </row>
    <row r="7" spans="1:10" ht="34" x14ac:dyDescent="0.2">
      <c r="A7" s="5"/>
      <c r="B7" s="58"/>
      <c r="C7" s="45" t="s">
        <v>3</v>
      </c>
      <c r="D7" s="42" t="s">
        <v>4</v>
      </c>
      <c r="E7" s="42" t="s">
        <v>5</v>
      </c>
      <c r="F7" s="43" t="s">
        <v>6</v>
      </c>
      <c r="G7" s="58"/>
      <c r="H7" s="58"/>
      <c r="I7" s="58"/>
      <c r="J7" s="59"/>
    </row>
    <row r="8" spans="1:10" x14ac:dyDescent="0.2">
      <c r="A8" s="5"/>
      <c r="B8" s="58"/>
      <c r="C8" s="40">
        <v>2021</v>
      </c>
      <c r="D8" s="6">
        <v>3500</v>
      </c>
      <c r="E8" s="7">
        <v>-350</v>
      </c>
      <c r="F8" s="17">
        <v>200</v>
      </c>
      <c r="G8" s="58"/>
      <c r="H8" s="58"/>
      <c r="I8" s="58"/>
      <c r="J8" s="59"/>
    </row>
    <row r="9" spans="1:10" x14ac:dyDescent="0.2">
      <c r="A9" s="5"/>
      <c r="B9" s="58"/>
      <c r="C9" s="40">
        <v>2022</v>
      </c>
      <c r="D9" s="6">
        <v>2500</v>
      </c>
      <c r="E9" s="7">
        <v>860</v>
      </c>
      <c r="F9" s="17"/>
      <c r="G9" s="58"/>
      <c r="H9" s="58"/>
      <c r="I9" s="58"/>
      <c r="J9" s="59"/>
    </row>
    <row r="10" spans="1:10" x14ac:dyDescent="0.2">
      <c r="A10" s="5"/>
      <c r="B10" s="58"/>
      <c r="C10" s="41">
        <v>2023</v>
      </c>
      <c r="D10" s="35">
        <v>2850</v>
      </c>
      <c r="E10" s="16"/>
      <c r="F10" s="15"/>
      <c r="G10" s="58"/>
      <c r="H10" s="58"/>
      <c r="I10" s="58"/>
      <c r="J10" s="59"/>
    </row>
    <row r="11" spans="1:10" x14ac:dyDescent="0.2">
      <c r="A11" s="5"/>
      <c r="B11" s="58"/>
      <c r="C11" s="58"/>
      <c r="D11" s="58"/>
      <c r="E11" s="58"/>
      <c r="F11" s="58"/>
      <c r="G11" s="58"/>
      <c r="H11" s="58"/>
      <c r="I11" s="58"/>
      <c r="J11" s="59"/>
    </row>
    <row r="12" spans="1:10" x14ac:dyDescent="0.2">
      <c r="A12" s="5"/>
      <c r="B12" s="58" t="s">
        <v>0</v>
      </c>
      <c r="C12" s="58"/>
      <c r="D12" s="58"/>
      <c r="E12" s="58"/>
      <c r="F12" s="58"/>
      <c r="G12" s="58"/>
      <c r="H12" s="58"/>
      <c r="I12" s="58"/>
      <c r="J12" s="59"/>
    </row>
    <row r="13" spans="1:10" x14ac:dyDescent="0.2">
      <c r="A13" s="5"/>
      <c r="B13" s="58" t="s">
        <v>76</v>
      </c>
      <c r="C13" s="58"/>
      <c r="D13" s="58"/>
      <c r="E13" s="58"/>
      <c r="F13" s="58"/>
      <c r="G13" s="58"/>
      <c r="H13" s="58"/>
      <c r="I13" s="58"/>
      <c r="J13" s="59"/>
    </row>
    <row r="14" spans="1:10" x14ac:dyDescent="0.2">
      <c r="A14" s="5"/>
      <c r="B14" s="58"/>
      <c r="C14" s="58"/>
      <c r="D14" s="58"/>
      <c r="E14" s="58"/>
      <c r="F14" s="58"/>
      <c r="G14" s="58"/>
      <c r="H14" s="58"/>
      <c r="I14" s="58"/>
      <c r="J14" s="59"/>
    </row>
    <row r="15" spans="1:10" x14ac:dyDescent="0.2">
      <c r="A15" s="5"/>
      <c r="B15" s="58" t="s">
        <v>1</v>
      </c>
      <c r="C15" s="58"/>
      <c r="D15" s="58"/>
      <c r="E15" s="58"/>
      <c r="F15" s="58"/>
      <c r="G15" s="58"/>
      <c r="H15" s="58"/>
      <c r="I15" s="58"/>
      <c r="J15" s="59"/>
    </row>
    <row r="16" spans="1:10" x14ac:dyDescent="0.2">
      <c r="A16" s="5"/>
      <c r="B16" s="58" t="s">
        <v>77</v>
      </c>
      <c r="C16" s="58"/>
      <c r="D16" s="58"/>
      <c r="E16" s="58"/>
      <c r="F16" s="58"/>
      <c r="G16" s="58"/>
      <c r="H16" s="58"/>
      <c r="I16" s="58"/>
      <c r="J16" s="59"/>
    </row>
    <row r="17" spans="1:10" x14ac:dyDescent="0.2">
      <c r="A17" s="5"/>
      <c r="B17" s="58" t="s">
        <v>347</v>
      </c>
      <c r="C17" s="58"/>
      <c r="D17" s="58"/>
      <c r="E17" s="58"/>
      <c r="F17" s="58"/>
      <c r="G17" s="58"/>
      <c r="H17" s="58"/>
      <c r="I17" s="58"/>
      <c r="J17" s="59"/>
    </row>
    <row r="18" spans="1:10" x14ac:dyDescent="0.2">
      <c r="A18" s="5"/>
      <c r="B18" s="58"/>
      <c r="C18" s="58"/>
      <c r="D18" s="58"/>
      <c r="E18" s="58"/>
      <c r="F18" s="58"/>
      <c r="G18" s="58"/>
      <c r="H18" s="58"/>
      <c r="I18" s="58"/>
      <c r="J18" s="59"/>
    </row>
    <row r="19" spans="1:10" x14ac:dyDescent="0.2">
      <c r="A19" s="5"/>
      <c r="B19" s="58"/>
      <c r="C19" s="156" t="s">
        <v>78</v>
      </c>
      <c r="D19" s="157"/>
      <c r="E19" s="157"/>
      <c r="F19" s="158"/>
      <c r="G19" s="58"/>
      <c r="H19" s="58"/>
      <c r="I19" s="58"/>
      <c r="J19" s="59"/>
    </row>
    <row r="20" spans="1:10" ht="34" x14ac:dyDescent="0.2">
      <c r="A20" s="5"/>
      <c r="B20" s="58"/>
      <c r="C20" s="45" t="s">
        <v>3</v>
      </c>
      <c r="D20" s="42" t="s">
        <v>4</v>
      </c>
      <c r="E20" s="42" t="s">
        <v>5</v>
      </c>
      <c r="F20" s="43" t="s">
        <v>6</v>
      </c>
      <c r="G20" s="58"/>
      <c r="H20" s="58"/>
      <c r="I20" s="58"/>
      <c r="J20" s="59"/>
    </row>
    <row r="21" spans="1:10" x14ac:dyDescent="0.2">
      <c r="A21" s="5"/>
      <c r="B21" s="58"/>
      <c r="C21" s="40">
        <v>2021</v>
      </c>
      <c r="D21" s="6">
        <v>3500</v>
      </c>
      <c r="E21" s="7">
        <v>-350</v>
      </c>
      <c r="F21" s="17">
        <v>200</v>
      </c>
      <c r="G21" s="58"/>
      <c r="H21" s="58"/>
      <c r="I21" s="58"/>
      <c r="J21" s="59"/>
    </row>
    <row r="22" spans="1:10" x14ac:dyDescent="0.2">
      <c r="A22" s="5"/>
      <c r="B22" s="58"/>
      <c r="C22" s="40">
        <v>2022</v>
      </c>
      <c r="D22" s="6">
        <v>2500</v>
      </c>
      <c r="E22" s="44">
        <v>200</v>
      </c>
      <c r="F22" s="17"/>
      <c r="G22" s="58"/>
      <c r="H22" s="58"/>
      <c r="I22" s="58"/>
      <c r="J22" s="59"/>
    </row>
    <row r="23" spans="1:10" x14ac:dyDescent="0.2">
      <c r="A23" s="5"/>
      <c r="B23" s="58"/>
      <c r="C23" s="41">
        <v>2023</v>
      </c>
      <c r="D23" s="35">
        <v>2850</v>
      </c>
      <c r="E23" s="16"/>
      <c r="F23" s="15"/>
      <c r="G23" s="58"/>
      <c r="H23" s="58"/>
      <c r="I23" s="58"/>
      <c r="J23" s="59"/>
    </row>
    <row r="24" spans="1:10" x14ac:dyDescent="0.2">
      <c r="A24" s="5"/>
      <c r="B24" s="58"/>
      <c r="C24" s="7"/>
      <c r="D24" s="6"/>
      <c r="E24" s="7"/>
      <c r="F24" s="7"/>
      <c r="G24" s="58"/>
      <c r="H24" s="58"/>
      <c r="I24" s="58"/>
      <c r="J24" s="59"/>
    </row>
    <row r="25" spans="1:10" x14ac:dyDescent="0.2">
      <c r="A25" s="5"/>
      <c r="B25" s="58" t="s">
        <v>79</v>
      </c>
      <c r="C25" s="7"/>
      <c r="D25" s="6"/>
      <c r="E25" s="7"/>
      <c r="F25" s="7"/>
      <c r="G25" s="58"/>
      <c r="H25" s="58"/>
      <c r="I25" s="58"/>
      <c r="J25" s="59"/>
    </row>
    <row r="26" spans="1:10" x14ac:dyDescent="0.2">
      <c r="A26" s="5"/>
      <c r="B26" s="58"/>
      <c r="C26" s="7"/>
      <c r="D26" s="6"/>
      <c r="E26" s="7"/>
      <c r="F26" s="7"/>
      <c r="G26" s="58"/>
      <c r="H26" s="58"/>
      <c r="I26" s="58"/>
      <c r="J26" s="59"/>
    </row>
    <row r="27" spans="1:10" ht="17" x14ac:dyDescent="0.2">
      <c r="A27" s="5"/>
      <c r="B27" s="139"/>
      <c r="C27" s="58"/>
      <c r="D27" s="38" t="s">
        <v>19</v>
      </c>
      <c r="E27" s="37" t="s">
        <v>20</v>
      </c>
      <c r="F27" s="7"/>
      <c r="G27" s="58"/>
      <c r="H27" s="58"/>
      <c r="I27" s="58"/>
      <c r="J27" s="59"/>
    </row>
    <row r="28" spans="1:10" ht="16" customHeight="1" x14ac:dyDescent="0.2">
      <c r="A28" s="5"/>
      <c r="B28" s="139"/>
      <c r="C28" s="58"/>
      <c r="D28" s="39" t="s">
        <v>297</v>
      </c>
      <c r="E28" s="53">
        <v>8.1769999999999996</v>
      </c>
      <c r="F28" s="7"/>
      <c r="G28" s="58"/>
      <c r="H28" s="58"/>
      <c r="I28" s="58"/>
      <c r="J28" s="59"/>
    </row>
    <row r="29" spans="1:10" ht="16" customHeight="1" x14ac:dyDescent="0.2">
      <c r="A29" s="5"/>
      <c r="B29" s="139"/>
      <c r="C29" s="58"/>
      <c r="D29" s="40" t="s">
        <v>298</v>
      </c>
      <c r="E29" s="17">
        <v>8.0530000000000008</v>
      </c>
      <c r="F29" s="7"/>
      <c r="G29" s="58"/>
      <c r="H29" s="58"/>
      <c r="I29" s="58"/>
      <c r="J29" s="59"/>
    </row>
    <row r="30" spans="1:10" ht="16" customHeight="1" x14ac:dyDescent="0.2">
      <c r="A30" s="5"/>
      <c r="B30" s="139"/>
      <c r="C30" s="58"/>
      <c r="D30" s="40" t="s">
        <v>299</v>
      </c>
      <c r="E30" s="17">
        <v>8.0709999999999997</v>
      </c>
      <c r="F30" s="7"/>
      <c r="G30" s="58"/>
      <c r="H30" s="58"/>
      <c r="I30" s="58"/>
      <c r="J30" s="59"/>
    </row>
    <row r="31" spans="1:10" ht="16" customHeight="1" x14ac:dyDescent="0.2">
      <c r="A31" s="5"/>
      <c r="B31" s="139"/>
      <c r="C31" s="58"/>
      <c r="D31" s="40" t="s">
        <v>300</v>
      </c>
      <c r="E31" s="17">
        <v>-2.5</v>
      </c>
      <c r="F31" s="7"/>
      <c r="G31" s="58"/>
      <c r="H31" s="58"/>
      <c r="I31" s="58"/>
      <c r="J31" s="59"/>
    </row>
    <row r="32" spans="1:10" ht="16" customHeight="1" x14ac:dyDescent="0.2">
      <c r="A32" s="5"/>
      <c r="B32" s="139"/>
      <c r="C32" s="58"/>
      <c r="D32" s="41" t="s">
        <v>301</v>
      </c>
      <c r="E32" s="15">
        <v>0.63300000000000001</v>
      </c>
      <c r="F32" s="58"/>
      <c r="G32" s="58"/>
      <c r="H32" s="58"/>
      <c r="I32" s="58"/>
      <c r="J32" s="59"/>
    </row>
    <row r="33" spans="1:12" ht="17" thickBot="1" x14ac:dyDescent="0.25">
      <c r="A33" s="61"/>
      <c r="B33" s="62"/>
      <c r="C33" s="63"/>
      <c r="D33" s="63"/>
      <c r="E33" s="63"/>
      <c r="F33" s="62"/>
      <c r="G33" s="62"/>
      <c r="H33" s="62"/>
      <c r="I33" s="62"/>
      <c r="J33" s="64"/>
    </row>
    <row r="35" spans="1:12" ht="19" x14ac:dyDescent="0.25">
      <c r="A35" s="2" t="s">
        <v>2</v>
      </c>
    </row>
    <row r="36" spans="1:12" x14ac:dyDescent="0.2">
      <c r="A36" s="3" t="s">
        <v>80</v>
      </c>
      <c r="C36" s="65"/>
    </row>
    <row r="37" spans="1:12" x14ac:dyDescent="0.2">
      <c r="A37" s="68" t="s">
        <v>177</v>
      </c>
      <c r="B37" s="14" t="s">
        <v>290</v>
      </c>
      <c r="J37" s="111" t="s">
        <v>291</v>
      </c>
    </row>
    <row r="38" spans="1:12" x14ac:dyDescent="0.2">
      <c r="L38" s="4"/>
    </row>
    <row r="39" spans="1:12" x14ac:dyDescent="0.2">
      <c r="L39" s="4"/>
    </row>
    <row r="40" spans="1:12" x14ac:dyDescent="0.2">
      <c r="L40" s="4"/>
    </row>
    <row r="41" spans="1:12" x14ac:dyDescent="0.2">
      <c r="L41" s="4"/>
    </row>
    <row r="42" spans="1:12" x14ac:dyDescent="0.2">
      <c r="L42" s="4"/>
    </row>
    <row r="43" spans="1:12" x14ac:dyDescent="0.2">
      <c r="C43" s="159" t="s">
        <v>292</v>
      </c>
      <c r="D43" s="166"/>
      <c r="E43" s="166"/>
      <c r="F43" s="166"/>
      <c r="H43" s="4"/>
    </row>
    <row r="44" spans="1:12" x14ac:dyDescent="0.2">
      <c r="C44" s="89" t="s">
        <v>7</v>
      </c>
      <c r="D44" s="90">
        <v>12</v>
      </c>
      <c r="E44" s="90">
        <v>24</v>
      </c>
      <c r="F44" s="90">
        <v>36</v>
      </c>
      <c r="H44" s="4"/>
    </row>
    <row r="45" spans="1:12" x14ac:dyDescent="0.2">
      <c r="C45" s="67">
        <v>2021</v>
      </c>
      <c r="D45" s="82">
        <f>LN(D8)</f>
        <v>8.1605182474775049</v>
      </c>
      <c r="E45" s="138">
        <f>-LN(ABS(E8))</f>
        <v>-5.857933154483459</v>
      </c>
      <c r="F45" s="82">
        <f>LN(F8)</f>
        <v>5.2983173665480363</v>
      </c>
      <c r="H45" s="4"/>
    </row>
    <row r="46" spans="1:12" x14ac:dyDescent="0.2">
      <c r="C46" s="67">
        <v>2022</v>
      </c>
      <c r="D46" s="82">
        <f>LN(D9)</f>
        <v>7.8240460108562919</v>
      </c>
      <c r="E46" s="82">
        <f>LN(E9)</f>
        <v>6.7569323892475532</v>
      </c>
      <c r="F46" s="82"/>
      <c r="H46" s="4"/>
    </row>
    <row r="47" spans="1:12" x14ac:dyDescent="0.2">
      <c r="C47" s="67">
        <v>2023</v>
      </c>
      <c r="D47" s="82">
        <f>LN(D10)</f>
        <v>7.9550742732626958</v>
      </c>
      <c r="E47" s="82"/>
      <c r="F47" s="82"/>
      <c r="H47" s="4"/>
    </row>
    <row r="48" spans="1:12" x14ac:dyDescent="0.2">
      <c r="L48" s="4"/>
    </row>
    <row r="49" spans="1:15" x14ac:dyDescent="0.2">
      <c r="B49" s="60" t="s">
        <v>82</v>
      </c>
      <c r="L49" s="4"/>
    </row>
    <row r="50" spans="1:15" x14ac:dyDescent="0.2">
      <c r="L50" s="4"/>
    </row>
    <row r="51" spans="1:15" x14ac:dyDescent="0.2">
      <c r="A51" s="3" t="s">
        <v>81</v>
      </c>
      <c r="C51" s="65"/>
    </row>
    <row r="52" spans="1:15" x14ac:dyDescent="0.2">
      <c r="A52" s="3"/>
      <c r="C52" s="65"/>
    </row>
    <row r="53" spans="1:15" x14ac:dyDescent="0.2">
      <c r="A53" s="68" t="s">
        <v>178</v>
      </c>
      <c r="B53" s="184" t="s">
        <v>293</v>
      </c>
      <c r="C53" s="184"/>
      <c r="D53" s="184"/>
      <c r="E53" s="184"/>
      <c r="F53" s="184"/>
      <c r="G53" s="184"/>
      <c r="H53" s="184"/>
      <c r="I53" s="184"/>
      <c r="M53" s="65"/>
    </row>
    <row r="54" spans="1:15" x14ac:dyDescent="0.2">
      <c r="B54" s="184"/>
      <c r="C54" s="184"/>
      <c r="D54" s="184"/>
      <c r="E54" s="184"/>
      <c r="F54" s="184"/>
      <c r="G54" s="184"/>
      <c r="H54" s="184"/>
      <c r="I54" s="184"/>
      <c r="L54" s="4"/>
      <c r="M54" s="4"/>
      <c r="N54" s="4"/>
    </row>
    <row r="55" spans="1:15" x14ac:dyDescent="0.2">
      <c r="B55" s="101"/>
      <c r="C55" s="101"/>
      <c r="D55" s="101"/>
      <c r="E55" s="101"/>
      <c r="F55" s="101"/>
      <c r="G55" s="101"/>
      <c r="H55" s="101"/>
      <c r="I55" s="101"/>
      <c r="L55" s="4"/>
      <c r="M55" s="4"/>
      <c r="N55" s="4"/>
    </row>
    <row r="56" spans="1:15" x14ac:dyDescent="0.2">
      <c r="C56" s="101"/>
      <c r="D56" s="101"/>
      <c r="E56" s="101"/>
      <c r="F56" s="101"/>
      <c r="G56" s="101"/>
      <c r="H56" s="101"/>
      <c r="I56" s="101"/>
      <c r="L56" s="4"/>
      <c r="M56" s="4"/>
      <c r="N56" s="4"/>
    </row>
    <row r="57" spans="1:15" x14ac:dyDescent="0.2">
      <c r="B57" s="101"/>
      <c r="C57" s="101"/>
      <c r="D57" s="101"/>
      <c r="E57" s="101"/>
      <c r="F57" s="101"/>
      <c r="G57" s="101"/>
      <c r="H57" s="101"/>
      <c r="I57" s="101"/>
      <c r="L57" s="4"/>
      <c r="M57" s="4"/>
      <c r="N57" s="4"/>
    </row>
    <row r="58" spans="1:15" ht="17" x14ac:dyDescent="0.2">
      <c r="B58" s="101" t="s">
        <v>220</v>
      </c>
      <c r="C58" s="101"/>
      <c r="D58" s="101"/>
      <c r="E58" s="101"/>
      <c r="F58" s="101"/>
      <c r="G58" s="101"/>
      <c r="H58" s="101"/>
      <c r="I58" s="101"/>
      <c r="L58" s="4"/>
      <c r="M58" s="4"/>
      <c r="N58" s="4"/>
    </row>
    <row r="59" spans="1:15" x14ac:dyDescent="0.2">
      <c r="B59" s="99" t="s">
        <v>294</v>
      </c>
      <c r="C59" s="101"/>
      <c r="D59" s="101"/>
      <c r="E59"/>
      <c r="F59" s="101"/>
      <c r="G59" s="101"/>
      <c r="H59" s="101"/>
      <c r="I59" s="101"/>
      <c r="L59" s="4"/>
      <c r="M59" s="4"/>
      <c r="N59" s="4"/>
    </row>
    <row r="60" spans="1:15" x14ac:dyDescent="0.2">
      <c r="B60" s="99"/>
      <c r="C60" s="101"/>
      <c r="D60" s="101"/>
      <c r="E60" s="101"/>
      <c r="F60" s="101"/>
      <c r="G60" s="101"/>
      <c r="H60" s="101"/>
      <c r="I60" s="101"/>
      <c r="L60" s="4"/>
      <c r="M60" s="4"/>
      <c r="N60" s="4"/>
    </row>
    <row r="61" spans="1:15" x14ac:dyDescent="0.2">
      <c r="C61" s="66" t="s">
        <v>83</v>
      </c>
      <c r="D61" s="66">
        <v>-350</v>
      </c>
      <c r="L61" s="4"/>
      <c r="M61" s="4"/>
      <c r="N61" s="4"/>
    </row>
    <row r="62" spans="1:15" x14ac:dyDescent="0.2">
      <c r="L62" s="4"/>
      <c r="M62" s="4"/>
      <c r="N62" s="4"/>
    </row>
    <row r="63" spans="1:15" x14ac:dyDescent="0.2">
      <c r="C63" s="159" t="s">
        <v>84</v>
      </c>
      <c r="D63" s="159"/>
      <c r="E63" s="159"/>
      <c r="F63" s="159"/>
      <c r="M63" s="4"/>
      <c r="N63" s="4"/>
      <c r="O63" s="4"/>
    </row>
    <row r="64" spans="1:15" x14ac:dyDescent="0.2">
      <c r="C64" s="89" t="s">
        <v>7</v>
      </c>
      <c r="D64" s="90">
        <v>12</v>
      </c>
      <c r="E64" s="90">
        <v>24</v>
      </c>
      <c r="F64" s="90">
        <v>36</v>
      </c>
      <c r="M64" s="4"/>
      <c r="N64" s="4"/>
      <c r="O64" s="4"/>
    </row>
    <row r="65" spans="1:66" x14ac:dyDescent="0.2">
      <c r="C65" s="67">
        <v>2021</v>
      </c>
      <c r="D65" s="11">
        <f>D21-$D$61</f>
        <v>3850</v>
      </c>
      <c r="E65" s="11">
        <f>E21-$D$61</f>
        <v>0</v>
      </c>
      <c r="F65" s="11">
        <f>F21-$D$61</f>
        <v>550</v>
      </c>
      <c r="M65" s="4"/>
      <c r="N65" s="4"/>
      <c r="O65" s="4"/>
    </row>
    <row r="66" spans="1:66" x14ac:dyDescent="0.2">
      <c r="C66" s="67">
        <v>2022</v>
      </c>
      <c r="D66" s="11">
        <f>D22-$D$61</f>
        <v>2850</v>
      </c>
      <c r="E66" s="11">
        <f>E22-$D$61</f>
        <v>550</v>
      </c>
      <c r="F66" s="11"/>
      <c r="M66" s="4"/>
      <c r="N66" s="4"/>
      <c r="O66" s="4"/>
    </row>
    <row r="67" spans="1:66" x14ac:dyDescent="0.2">
      <c r="C67" s="67">
        <v>2023</v>
      </c>
      <c r="D67" s="11">
        <f>D23-$D$61</f>
        <v>3200</v>
      </c>
      <c r="E67" s="11"/>
      <c r="F67" s="11"/>
      <c r="M67" s="4"/>
      <c r="N67" s="4"/>
      <c r="O67" s="4"/>
    </row>
    <row r="68" spans="1:66" x14ac:dyDescent="0.2">
      <c r="C68" s="11"/>
      <c r="D68" s="11"/>
      <c r="E68" s="11"/>
      <c r="L68" s="4"/>
      <c r="M68" s="4"/>
      <c r="N68" s="4"/>
    </row>
    <row r="69" spans="1:66" ht="14.75" customHeight="1" x14ac:dyDescent="0.2">
      <c r="A69" s="68" t="s">
        <v>179</v>
      </c>
      <c r="B69" s="14" t="s">
        <v>295</v>
      </c>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row>
    <row r="70" spans="1:66" ht="14.75" customHeight="1" x14ac:dyDescent="0.2">
      <c r="A70" s="68"/>
      <c r="B70" s="1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row>
    <row r="71" spans="1:66" ht="14.75" customHeight="1" x14ac:dyDescent="0.2">
      <c r="B71" s="68"/>
      <c r="C71" s="159" t="s">
        <v>348</v>
      </c>
      <c r="D71" s="159"/>
      <c r="E71" s="159"/>
      <c r="F71" s="159"/>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x14ac:dyDescent="0.2">
      <c r="B72" s="4"/>
      <c r="C72" s="89" t="s">
        <v>7</v>
      </c>
      <c r="D72" s="90">
        <v>12</v>
      </c>
      <c r="E72" s="90">
        <v>24</v>
      </c>
      <c r="F72" s="90">
        <v>36</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x14ac:dyDescent="0.2">
      <c r="B73" s="4"/>
      <c r="C73" s="67">
        <v>2021</v>
      </c>
      <c r="D73" s="12">
        <f>LN(D65)</f>
        <v>8.2558284272818305</v>
      </c>
      <c r="E73" s="140">
        <v>0</v>
      </c>
      <c r="F73" s="12">
        <f>LN(F65)</f>
        <v>6.3099182782265162</v>
      </c>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x14ac:dyDescent="0.2">
      <c r="B74" s="4"/>
      <c r="C74" s="67">
        <v>2022</v>
      </c>
      <c r="D74" s="12">
        <f>LN(D66)</f>
        <v>7.9550742732626958</v>
      </c>
      <c r="E74" s="12">
        <f>LN(E66)</f>
        <v>6.3099182782265162</v>
      </c>
      <c r="F74" s="12"/>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x14ac:dyDescent="0.2">
      <c r="B75" s="4"/>
      <c r="C75" s="67">
        <v>2023</v>
      </c>
      <c r="D75" s="12">
        <f>LN(D67)</f>
        <v>8.0709060887878188</v>
      </c>
      <c r="E75" s="12"/>
      <c r="F75" s="12"/>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x14ac:dyDescent="0.2">
      <c r="A76" s="4"/>
      <c r="B76" s="66"/>
      <c r="C76" s="27"/>
      <c r="D76" s="27"/>
      <c r="E76" s="27"/>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row>
    <row r="77" spans="1:66" x14ac:dyDescent="0.2">
      <c r="A77" s="4"/>
      <c r="B77" s="112" t="s">
        <v>220</v>
      </c>
      <c r="C77" s="27"/>
      <c r="D77" s="27"/>
      <c r="E77" s="27"/>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row>
    <row r="78" spans="1:66" x14ac:dyDescent="0.2">
      <c r="A78" s="4"/>
      <c r="B78" s="160" t="s">
        <v>296</v>
      </c>
      <c r="C78" s="160"/>
      <c r="D78" s="160"/>
      <c r="E78" s="160"/>
      <c r="F78" s="160"/>
      <c r="G78" s="160"/>
      <c r="H78" s="160"/>
      <c r="I78" s="160"/>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row>
    <row r="79" spans="1:66" x14ac:dyDescent="0.2">
      <c r="A79" s="4"/>
      <c r="B79" s="160"/>
      <c r="C79" s="160"/>
      <c r="D79" s="160"/>
      <c r="E79" s="160"/>
      <c r="F79" s="160"/>
      <c r="G79" s="160"/>
      <c r="H79" s="160"/>
      <c r="I79" s="160"/>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row>
    <row r="80" spans="1:66"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row>
    <row r="81" spans="1:65" x14ac:dyDescent="0.2">
      <c r="A81" s="68" t="s">
        <v>180</v>
      </c>
      <c r="B81" s="14" t="s">
        <v>371</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row>
    <row r="82" spans="1:65"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row>
    <row r="83" spans="1:65" x14ac:dyDescent="0.2">
      <c r="A83" s="4"/>
      <c r="B83" s="123" t="s">
        <v>372</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5" x14ac:dyDescent="0.2">
      <c r="A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5" x14ac:dyDescent="0.2">
      <c r="A85" s="4"/>
      <c r="B85" s="4"/>
      <c r="C85" s="188" t="s">
        <v>303</v>
      </c>
      <c r="D85" s="188"/>
      <c r="E85" s="188"/>
      <c r="F85" s="188"/>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row>
    <row r="86" spans="1:65" x14ac:dyDescent="0.2">
      <c r="A86" s="4"/>
      <c r="C86" s="89" t="s">
        <v>7</v>
      </c>
      <c r="D86" s="90">
        <v>12</v>
      </c>
      <c r="E86" s="90">
        <v>24</v>
      </c>
      <c r="F86" s="90">
        <v>36</v>
      </c>
      <c r="G86" s="4"/>
      <c r="H86"/>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row>
    <row r="87" spans="1:65" x14ac:dyDescent="0.2">
      <c r="A87" s="4"/>
      <c r="C87" s="67">
        <v>2021</v>
      </c>
      <c r="D87" s="11">
        <f>EXP(E28)</f>
        <v>3558.1641406386921</v>
      </c>
      <c r="E87" s="26">
        <f>EXP($E28+$E$31)</f>
        <v>292.07189858793305</v>
      </c>
      <c r="F87" s="11">
        <f>EXP($E28+$E$31+$E$32)</f>
        <v>550.04494881203891</v>
      </c>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row>
    <row r="88" spans="1:65" x14ac:dyDescent="0.2">
      <c r="A88" s="4"/>
      <c r="C88" s="67">
        <v>2022</v>
      </c>
      <c r="D88" s="11">
        <f>EXP(E29)</f>
        <v>3143.2104723921216</v>
      </c>
      <c r="E88" s="26">
        <f>EXP($E29+$E$31)</f>
        <v>258.01042730093161</v>
      </c>
      <c r="F88" s="26"/>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row>
    <row r="89" spans="1:65" x14ac:dyDescent="0.2">
      <c r="A89" s="4"/>
      <c r="C89" s="67">
        <v>2023</v>
      </c>
      <c r="D89" s="11">
        <f>EXP(E30)</f>
        <v>3200.3005299903289</v>
      </c>
      <c r="E89" s="26"/>
      <c r="F89" s="26"/>
      <c r="G89"/>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row>
    <row r="90" spans="1:65" x14ac:dyDescent="0.2">
      <c r="A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68" t="s">
        <v>181</v>
      </c>
      <c r="B92" s="14" t="s">
        <v>302</v>
      </c>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68"/>
      <c r="B93" s="1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68"/>
      <c r="B94" s="1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x14ac:dyDescent="0.2">
      <c r="A95" s="68"/>
      <c r="B95" s="1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x14ac:dyDescent="0.2">
      <c r="A96" s="68"/>
      <c r="B96" s="1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6" ht="18" x14ac:dyDescent="0.25">
      <c r="B97" s="4"/>
      <c r="C97" s="166" t="s">
        <v>304</v>
      </c>
      <c r="D97" s="166"/>
      <c r="E97" s="166"/>
      <c r="F97" s="166"/>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x14ac:dyDescent="0.2">
      <c r="B98" s="4"/>
      <c r="C98" s="89" t="s">
        <v>7</v>
      </c>
      <c r="D98" s="90">
        <v>12</v>
      </c>
      <c r="E98" s="90">
        <v>24</v>
      </c>
      <c r="F98" s="90">
        <v>36</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x14ac:dyDescent="0.2">
      <c r="B99" s="4"/>
      <c r="C99" s="67">
        <v>2021</v>
      </c>
      <c r="D99" s="11">
        <f>D87+$D$61</f>
        <v>3208.1641406386921</v>
      </c>
      <c r="E99" s="26">
        <f>E87+$D$61</f>
        <v>-57.928101412066951</v>
      </c>
      <c r="F99" s="11">
        <f>F87+$D$61</f>
        <v>200.04494881203891</v>
      </c>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x14ac:dyDescent="0.2">
      <c r="B100" s="4"/>
      <c r="C100" s="67">
        <v>2022</v>
      </c>
      <c r="D100" s="11">
        <f>D88+$D$61</f>
        <v>2793.2104723921216</v>
      </c>
      <c r="E100" s="26">
        <f>E88+$D$61</f>
        <v>-91.98957269906839</v>
      </c>
      <c r="F100" s="26"/>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x14ac:dyDescent="0.2">
      <c r="B101" s="4"/>
      <c r="C101" s="67">
        <v>2023</v>
      </c>
      <c r="D101" s="11">
        <f>D89+$D$61</f>
        <v>2850.3005299903289</v>
      </c>
      <c r="E101" s="26"/>
      <c r="F101" s="26"/>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6" x14ac:dyDescent="0.2">
      <c r="A103" s="4"/>
      <c r="B103" s="60" t="s">
        <v>85</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6" x14ac:dyDescent="0.2">
      <c r="A104" s="4"/>
      <c r="B104" s="60" t="s">
        <v>86</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6" x14ac:dyDescent="0.2">
      <c r="A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6" ht="19" x14ac:dyDescent="0.25">
      <c r="A106" s="2" t="s">
        <v>114</v>
      </c>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6" x14ac:dyDescent="0.2">
      <c r="A107" s="4"/>
      <c r="B107" s="160" t="s">
        <v>305</v>
      </c>
      <c r="C107" s="160"/>
      <c r="D107" s="160"/>
      <c r="E107" s="160"/>
      <c r="F107" s="160"/>
      <c r="G107" s="160"/>
      <c r="H107" s="160"/>
      <c r="I107" s="160"/>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6" x14ac:dyDescent="0.2">
      <c r="A108" s="4"/>
      <c r="B108" s="160"/>
      <c r="C108" s="160"/>
      <c r="D108" s="160"/>
      <c r="E108" s="160"/>
      <c r="F108" s="160"/>
      <c r="G108" s="160"/>
      <c r="H108" s="160"/>
      <c r="I108" s="160"/>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6" x14ac:dyDescent="0.2">
      <c r="A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6" x14ac:dyDescent="0.2">
      <c r="A110" s="4"/>
      <c r="B110" s="162" t="s">
        <v>389</v>
      </c>
      <c r="C110" s="160"/>
      <c r="D110" s="160"/>
      <c r="E110" s="160"/>
      <c r="F110" s="160"/>
      <c r="G110" s="160"/>
      <c r="H110" s="160"/>
      <c r="I110" s="160"/>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6" x14ac:dyDescent="0.2">
      <c r="A111" s="4"/>
      <c r="B111" s="160"/>
      <c r="C111" s="160"/>
      <c r="D111" s="160"/>
      <c r="E111" s="160"/>
      <c r="F111" s="160"/>
      <c r="G111" s="160"/>
      <c r="H111" s="160"/>
      <c r="I111" s="160"/>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6" x14ac:dyDescent="0.2">
      <c r="A112" s="4"/>
      <c r="B112" s="160"/>
      <c r="C112" s="160"/>
      <c r="D112" s="160"/>
      <c r="E112" s="160"/>
      <c r="F112" s="160"/>
      <c r="G112" s="160"/>
      <c r="H112" s="160"/>
      <c r="I112" s="160"/>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ht="19" x14ac:dyDescent="0.25">
      <c r="A114" s="4"/>
      <c r="B114" s="31" t="s">
        <v>141</v>
      </c>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14" t="s">
        <v>142</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160" t="s">
        <v>306</v>
      </c>
      <c r="C116" s="160"/>
      <c r="D116" s="160"/>
      <c r="E116" s="160"/>
      <c r="F116" s="160"/>
      <c r="G116" s="160"/>
      <c r="H116" s="160"/>
      <c r="I116" s="160"/>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160"/>
      <c r="C117" s="160"/>
      <c r="D117" s="160"/>
      <c r="E117" s="160"/>
      <c r="F117" s="160"/>
      <c r="G117" s="160"/>
      <c r="H117" s="160"/>
      <c r="I117" s="160"/>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14" t="s">
        <v>143</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160" t="s">
        <v>307</v>
      </c>
      <c r="C120" s="160"/>
      <c r="D120" s="160"/>
      <c r="E120" s="160"/>
      <c r="F120" s="160"/>
      <c r="G120" s="160"/>
      <c r="H120" s="160"/>
      <c r="I120" s="160"/>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160"/>
      <c r="C121" s="160"/>
      <c r="D121" s="160"/>
      <c r="E121" s="160"/>
      <c r="F121" s="160"/>
      <c r="G121" s="160"/>
      <c r="H121" s="160"/>
      <c r="I121" s="160"/>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160"/>
      <c r="C122" s="160"/>
      <c r="D122" s="160"/>
      <c r="E122" s="160"/>
      <c r="F122" s="160"/>
      <c r="G122" s="160"/>
      <c r="H122" s="160"/>
      <c r="I122" s="160"/>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ht="19" x14ac:dyDescent="0.25">
      <c r="A124" s="4"/>
      <c r="B124" s="31" t="s">
        <v>144</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160" t="s">
        <v>308</v>
      </c>
      <c r="C125" s="160"/>
      <c r="D125" s="160"/>
      <c r="E125" s="160"/>
      <c r="F125" s="160"/>
      <c r="G125" s="160"/>
      <c r="H125" s="160"/>
      <c r="I125" s="160"/>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160"/>
      <c r="C126" s="160"/>
      <c r="D126" s="160"/>
      <c r="E126" s="160"/>
      <c r="F126" s="160"/>
      <c r="G126" s="160"/>
      <c r="H126" s="160"/>
      <c r="I126" s="160"/>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160"/>
      <c r="C127" s="160"/>
      <c r="D127" s="160"/>
      <c r="E127" s="160"/>
      <c r="F127" s="160"/>
      <c r="G127" s="160"/>
      <c r="H127" s="160"/>
      <c r="I127" s="160"/>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160" t="s">
        <v>309</v>
      </c>
      <c r="C129" s="160"/>
      <c r="D129" s="160"/>
      <c r="E129" s="160"/>
      <c r="F129" s="160"/>
      <c r="G129" s="160"/>
      <c r="H129" s="160"/>
      <c r="I129" s="160"/>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160"/>
      <c r="C130" s="160"/>
      <c r="D130" s="160"/>
      <c r="E130" s="160"/>
      <c r="F130" s="160"/>
      <c r="G130" s="160"/>
      <c r="H130" s="160"/>
      <c r="I130" s="160"/>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160"/>
      <c r="C131" s="160"/>
      <c r="D131" s="160"/>
      <c r="E131" s="160"/>
      <c r="F131" s="160"/>
      <c r="G131" s="160"/>
      <c r="H131" s="160"/>
      <c r="I131" s="160"/>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ht="19" x14ac:dyDescent="0.25">
      <c r="A133" s="4"/>
      <c r="B133" s="31" t="s">
        <v>145</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ht="18" x14ac:dyDescent="0.25">
      <c r="A134" s="4"/>
      <c r="B134" s="60" t="s">
        <v>146</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F136" s="60" t="s">
        <v>147</v>
      </c>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D138"/>
      <c r="F138" s="123" t="s">
        <v>370</v>
      </c>
      <c r="G138" s="92">
        <f>($E$8-$E$99)/SQRT(ABS($E$99))</f>
        <v>-38.374711755772921</v>
      </c>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ht="19" x14ac:dyDescent="0.25">
      <c r="A140" s="2" t="s">
        <v>126</v>
      </c>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60" t="s">
        <v>148</v>
      </c>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ht="16.25" customHeight="1" x14ac:dyDescent="0.2">
      <c r="A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ht="16.25" customHeight="1" x14ac:dyDescent="0.25">
      <c r="A143" s="2" t="s">
        <v>121</v>
      </c>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60" t="s">
        <v>149</v>
      </c>
      <c r="D144" s="60" t="s">
        <v>150</v>
      </c>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60" t="s">
        <v>123</v>
      </c>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sheetData>
  <mergeCells count="15">
    <mergeCell ref="C71:F71"/>
    <mergeCell ref="B116:I117"/>
    <mergeCell ref="B120:I122"/>
    <mergeCell ref="B125:I127"/>
    <mergeCell ref="B129:I131"/>
    <mergeCell ref="B78:I79"/>
    <mergeCell ref="C85:F85"/>
    <mergeCell ref="C97:F97"/>
    <mergeCell ref="B107:I108"/>
    <mergeCell ref="B110:I112"/>
    <mergeCell ref="C6:F6"/>
    <mergeCell ref="C19:F19"/>
    <mergeCell ref="C43:F43"/>
    <mergeCell ref="B53:I54"/>
    <mergeCell ref="C63:F63"/>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214"/>
  <sheetViews>
    <sheetView showGridLines="0" zoomScale="120" zoomScaleNormal="120" workbookViewId="0"/>
  </sheetViews>
  <sheetFormatPr baseColWidth="10" defaultColWidth="10.83203125" defaultRowHeight="16" x14ac:dyDescent="0.2"/>
  <cols>
    <col min="1" max="1" width="10.83203125" style="60" customWidth="1"/>
    <col min="2" max="2" width="16.83203125" style="60" customWidth="1"/>
    <col min="3" max="12" width="10.83203125" style="60" customWidth="1"/>
    <col min="13" max="16384" width="10.83203125" style="60"/>
  </cols>
  <sheetData>
    <row r="1" spans="1:10" ht="19" x14ac:dyDescent="0.25">
      <c r="A1" s="73" t="s">
        <v>189</v>
      </c>
      <c r="B1" s="58"/>
      <c r="C1" s="58"/>
      <c r="D1" s="58"/>
      <c r="E1" s="58"/>
      <c r="F1" s="58"/>
      <c r="G1" s="58"/>
      <c r="H1" s="58"/>
      <c r="I1" s="58"/>
      <c r="J1" s="59"/>
    </row>
    <row r="2" spans="1:10" x14ac:dyDescent="0.2">
      <c r="A2" s="5"/>
      <c r="B2" s="58"/>
      <c r="C2" s="58"/>
      <c r="D2" s="58"/>
      <c r="E2" s="58"/>
      <c r="F2" s="58"/>
      <c r="G2" s="58"/>
      <c r="H2" s="58"/>
      <c r="I2" s="58"/>
      <c r="J2" s="59"/>
    </row>
    <row r="3" spans="1:10" x14ac:dyDescent="0.2">
      <c r="A3" s="5"/>
      <c r="B3" s="58" t="s">
        <v>87</v>
      </c>
      <c r="C3" s="58"/>
      <c r="D3" s="58"/>
      <c r="E3" s="58"/>
      <c r="F3" s="58"/>
      <c r="G3" s="58"/>
      <c r="H3" s="58"/>
      <c r="I3" s="58"/>
      <c r="J3" s="59"/>
    </row>
    <row r="4" spans="1:10" x14ac:dyDescent="0.2">
      <c r="A4" s="5"/>
      <c r="B4" s="58" t="s">
        <v>88</v>
      </c>
      <c r="C4" s="58"/>
      <c r="D4" s="58"/>
      <c r="E4" s="58"/>
      <c r="F4" s="58"/>
      <c r="G4" s="58"/>
      <c r="H4" s="58"/>
      <c r="I4" s="58"/>
      <c r="J4" s="59"/>
    </row>
    <row r="5" spans="1:10" x14ac:dyDescent="0.2">
      <c r="A5" s="5"/>
      <c r="B5" s="58"/>
      <c r="C5" s="58"/>
      <c r="D5" s="58"/>
      <c r="E5" s="58"/>
      <c r="F5" s="58"/>
      <c r="G5" s="58"/>
      <c r="H5" s="58"/>
      <c r="I5" s="58"/>
      <c r="J5" s="59"/>
    </row>
    <row r="6" spans="1:10" x14ac:dyDescent="0.2">
      <c r="A6" s="5"/>
      <c r="B6" s="156" t="s">
        <v>199</v>
      </c>
      <c r="C6" s="157"/>
      <c r="D6" s="157"/>
      <c r="E6" s="157"/>
      <c r="F6" s="157"/>
      <c r="G6" s="157"/>
      <c r="H6" s="158"/>
      <c r="I6" s="58"/>
      <c r="J6" s="59"/>
    </row>
    <row r="7" spans="1:10" ht="17" x14ac:dyDescent="0.2">
      <c r="A7" s="5"/>
      <c r="B7" s="38" t="s">
        <v>3</v>
      </c>
      <c r="C7" s="36">
        <v>1</v>
      </c>
      <c r="D7" s="36">
        <v>2</v>
      </c>
      <c r="E7" s="36">
        <v>3</v>
      </c>
      <c r="F7" s="36">
        <v>4</v>
      </c>
      <c r="G7" s="36">
        <v>5</v>
      </c>
      <c r="H7" s="37">
        <v>6</v>
      </c>
      <c r="I7" s="58"/>
      <c r="J7" s="59"/>
    </row>
    <row r="8" spans="1:10" x14ac:dyDescent="0.2">
      <c r="A8" s="5"/>
      <c r="B8" s="40">
        <v>1</v>
      </c>
      <c r="C8" s="7">
        <v>-3.27</v>
      </c>
      <c r="D8" s="7">
        <v>2.91</v>
      </c>
      <c r="E8" s="7">
        <v>1.56</v>
      </c>
      <c r="F8" s="7">
        <v>-0.92</v>
      </c>
      <c r="G8" s="7">
        <v>1.31</v>
      </c>
      <c r="H8" s="17">
        <v>0</v>
      </c>
      <c r="I8" s="58"/>
      <c r="J8" s="59"/>
    </row>
    <row r="9" spans="1:10" x14ac:dyDescent="0.2">
      <c r="A9" s="5"/>
      <c r="B9" s="40">
        <v>2</v>
      </c>
      <c r="C9" s="7">
        <v>1.48</v>
      </c>
      <c r="D9" s="7">
        <v>-0.88</v>
      </c>
      <c r="E9" s="7">
        <v>-2.21</v>
      </c>
      <c r="F9" s="7">
        <v>1.77</v>
      </c>
      <c r="G9" s="7">
        <v>-1.31</v>
      </c>
      <c r="H9" s="17"/>
      <c r="I9" s="58"/>
      <c r="J9" s="59"/>
    </row>
    <row r="10" spans="1:10" x14ac:dyDescent="0.2">
      <c r="A10" s="5"/>
      <c r="B10" s="40">
        <v>3</v>
      </c>
      <c r="C10" s="7">
        <v>-2.2999999999999998</v>
      </c>
      <c r="D10" s="7">
        <v>3.03</v>
      </c>
      <c r="E10" s="7">
        <v>0.38</v>
      </c>
      <c r="F10" s="7">
        <v>-0.85</v>
      </c>
      <c r="G10" s="7"/>
      <c r="H10" s="17"/>
      <c r="I10" s="58"/>
      <c r="J10" s="59"/>
    </row>
    <row r="11" spans="1:10" x14ac:dyDescent="0.2">
      <c r="A11" s="5"/>
      <c r="B11" s="40">
        <v>4</v>
      </c>
      <c r="C11" s="7">
        <v>1.52</v>
      </c>
      <c r="D11" s="7">
        <v>-1.9</v>
      </c>
      <c r="E11" s="7">
        <v>0.28000000000000003</v>
      </c>
      <c r="F11" s="7"/>
      <c r="G11" s="7"/>
      <c r="H11" s="17"/>
      <c r="I11" s="58"/>
      <c r="J11" s="59"/>
    </row>
    <row r="12" spans="1:10" x14ac:dyDescent="0.2">
      <c r="A12" s="5"/>
      <c r="B12" s="40">
        <v>5</v>
      </c>
      <c r="C12" s="7">
        <v>3.13</v>
      </c>
      <c r="D12" s="7">
        <v>-3.13</v>
      </c>
      <c r="E12" s="7"/>
      <c r="F12" s="7"/>
      <c r="G12" s="7"/>
      <c r="H12" s="17"/>
      <c r="I12" s="58"/>
      <c r="J12" s="59"/>
    </row>
    <row r="13" spans="1:10" x14ac:dyDescent="0.2">
      <c r="A13" s="5"/>
      <c r="B13" s="41">
        <v>6</v>
      </c>
      <c r="C13" s="16">
        <v>0</v>
      </c>
      <c r="D13" s="16"/>
      <c r="E13" s="16"/>
      <c r="F13" s="16"/>
      <c r="G13" s="16"/>
      <c r="H13" s="15"/>
      <c r="I13" s="58"/>
      <c r="J13" s="59"/>
    </row>
    <row r="14" spans="1:10" x14ac:dyDescent="0.2">
      <c r="A14" s="5"/>
      <c r="B14" s="58"/>
      <c r="C14" s="58"/>
      <c r="D14" s="58"/>
      <c r="E14" s="58"/>
      <c r="F14" s="58"/>
      <c r="G14" s="58"/>
      <c r="H14" s="58"/>
      <c r="I14" s="58"/>
      <c r="J14" s="59"/>
    </row>
    <row r="15" spans="1:10" ht="19" x14ac:dyDescent="0.2">
      <c r="A15" s="5"/>
      <c r="B15" s="84" t="s">
        <v>349</v>
      </c>
      <c r="C15" s="76">
        <f>STDEV(C8:C13)</f>
        <v>2.4587937421969062</v>
      </c>
      <c r="D15" s="76">
        <f>STDEV(D8:D13)</f>
        <v>2.8209094278264235</v>
      </c>
      <c r="E15" s="76">
        <f>STDEV(E8:E13)</f>
        <v>1.585399529035715</v>
      </c>
      <c r="F15" s="76">
        <f>STDEV(F8:F13)</f>
        <v>1.5332644912082194</v>
      </c>
      <c r="G15" s="77">
        <f>STDEV(G8:G13)</f>
        <v>1.8526197667087545</v>
      </c>
      <c r="H15" s="58"/>
      <c r="I15" s="58"/>
      <c r="J15" s="59"/>
    </row>
    <row r="16" spans="1:10" ht="34" x14ac:dyDescent="0.2">
      <c r="A16" s="5"/>
      <c r="B16" s="116" t="s">
        <v>350</v>
      </c>
      <c r="C16" s="117">
        <v>1</v>
      </c>
      <c r="D16" s="117">
        <v>1</v>
      </c>
      <c r="E16" s="117">
        <v>2</v>
      </c>
      <c r="F16" s="117">
        <v>2</v>
      </c>
      <c r="G16" s="118">
        <v>2</v>
      </c>
      <c r="H16" s="58"/>
      <c r="I16" s="58"/>
      <c r="J16" s="59"/>
    </row>
    <row r="17" spans="1:10" ht="18" x14ac:dyDescent="0.25">
      <c r="A17" s="5"/>
      <c r="B17" s="85" t="s">
        <v>351</v>
      </c>
      <c r="C17" s="86">
        <f>STDEV($C$8:$D$13)</f>
        <v>2.4915708808993284</v>
      </c>
      <c r="D17" s="86">
        <f>STDEV($C$8:$D$13)</f>
        <v>2.4915708808993284</v>
      </c>
      <c r="E17" s="86">
        <f>STDEV($E$8:$H$13)</f>
        <v>1.3197007236491161</v>
      </c>
      <c r="F17" s="86">
        <f>STDEV($E$8:$H$13)</f>
        <v>1.3197007236491161</v>
      </c>
      <c r="G17" s="146">
        <f>STDEV($E$8:$H$13)</f>
        <v>1.3197007236491161</v>
      </c>
      <c r="H17" s="58"/>
      <c r="I17" s="58"/>
      <c r="J17" s="59"/>
    </row>
    <row r="18" spans="1:10" x14ac:dyDescent="0.2">
      <c r="A18" s="5"/>
      <c r="B18" s="58"/>
      <c r="C18" s="58"/>
      <c r="D18" s="58"/>
      <c r="E18" s="58"/>
      <c r="F18" s="58"/>
      <c r="G18" s="58"/>
      <c r="H18" s="58"/>
      <c r="I18" s="58"/>
      <c r="J18" s="59"/>
    </row>
    <row r="19" spans="1:10" x14ac:dyDescent="0.2">
      <c r="A19" s="5"/>
      <c r="B19" s="75" t="s">
        <v>195</v>
      </c>
      <c r="C19" s="58"/>
      <c r="D19" s="58"/>
      <c r="E19" s="58"/>
      <c r="F19" s="58"/>
      <c r="G19" s="58"/>
      <c r="H19" s="87">
        <f>STDEV(C8:H13)</f>
        <v>1.9719058945961028</v>
      </c>
      <c r="I19" s="58"/>
      <c r="J19" s="59"/>
    </row>
    <row r="20" spans="1:10" ht="18" x14ac:dyDescent="0.25">
      <c r="A20" s="5"/>
      <c r="B20" s="75" t="s">
        <v>352</v>
      </c>
      <c r="C20" s="58"/>
      <c r="D20" s="58"/>
      <c r="E20" s="58"/>
      <c r="F20" s="58"/>
      <c r="G20" s="58"/>
      <c r="H20" s="74">
        <v>44.87</v>
      </c>
      <c r="I20" s="58"/>
      <c r="J20" s="59"/>
    </row>
    <row r="21" spans="1:10" x14ac:dyDescent="0.2">
      <c r="A21" s="5"/>
      <c r="B21" s="58"/>
      <c r="C21" s="58"/>
      <c r="D21" s="58"/>
      <c r="E21" s="58"/>
      <c r="F21" s="58"/>
      <c r="G21" s="58"/>
      <c r="H21" s="58"/>
      <c r="I21" s="58"/>
      <c r="J21" s="59"/>
    </row>
    <row r="22" spans="1:10" x14ac:dyDescent="0.2">
      <c r="A22" s="5"/>
      <c r="B22" s="58" t="s">
        <v>89</v>
      </c>
      <c r="C22" s="58"/>
      <c r="D22" s="58"/>
      <c r="E22" s="58"/>
      <c r="F22" s="58"/>
      <c r="G22" s="58"/>
      <c r="H22" s="58"/>
      <c r="I22" s="58"/>
      <c r="J22" s="59"/>
    </row>
    <row r="23" spans="1:10" x14ac:dyDescent="0.2">
      <c r="A23" s="5"/>
      <c r="B23" s="58" t="s">
        <v>90</v>
      </c>
      <c r="C23" s="58"/>
      <c r="D23" s="58"/>
      <c r="E23" s="58"/>
      <c r="F23" s="58"/>
      <c r="G23" s="58"/>
      <c r="H23" s="58"/>
      <c r="I23" s="58"/>
      <c r="J23" s="59"/>
    </row>
    <row r="24" spans="1:10" x14ac:dyDescent="0.2">
      <c r="A24" s="5"/>
      <c r="B24" s="58"/>
      <c r="C24" s="58"/>
      <c r="D24" s="58"/>
      <c r="E24" s="58"/>
      <c r="F24" s="58"/>
      <c r="G24" s="58"/>
      <c r="H24" s="58"/>
      <c r="I24" s="58"/>
      <c r="J24" s="59"/>
    </row>
    <row r="25" spans="1:10" x14ac:dyDescent="0.2">
      <c r="A25" s="5"/>
      <c r="B25" s="156" t="s">
        <v>353</v>
      </c>
      <c r="C25" s="157"/>
      <c r="D25" s="157"/>
      <c r="E25" s="157"/>
      <c r="F25" s="157"/>
      <c r="G25" s="157"/>
      <c r="H25" s="158"/>
      <c r="I25" s="58"/>
      <c r="J25" s="59"/>
    </row>
    <row r="26" spans="1:10" ht="16" customHeight="1" x14ac:dyDescent="0.2">
      <c r="A26" s="5"/>
      <c r="B26" s="38" t="s">
        <v>3</v>
      </c>
      <c r="C26" s="36">
        <v>1</v>
      </c>
      <c r="D26" s="36">
        <v>2</v>
      </c>
      <c r="E26" s="36">
        <v>3</v>
      </c>
      <c r="F26" s="36">
        <v>4</v>
      </c>
      <c r="G26" s="36">
        <v>5</v>
      </c>
      <c r="H26" s="37">
        <v>6</v>
      </c>
      <c r="I26" s="58"/>
      <c r="J26" s="59"/>
    </row>
    <row r="27" spans="1:10" x14ac:dyDescent="0.2">
      <c r="A27" s="5"/>
      <c r="B27" s="41">
        <v>4</v>
      </c>
      <c r="C27" s="16"/>
      <c r="D27" s="16"/>
      <c r="E27" s="88"/>
      <c r="F27" s="16"/>
      <c r="G27" s="16"/>
      <c r="H27" s="15"/>
      <c r="I27" s="58"/>
      <c r="J27" s="59"/>
    </row>
    <row r="28" spans="1:10" x14ac:dyDescent="0.2">
      <c r="A28" s="5"/>
      <c r="B28" s="58"/>
      <c r="C28" s="58"/>
      <c r="D28" s="58"/>
      <c r="E28" s="58"/>
      <c r="F28" s="58"/>
      <c r="G28" s="58"/>
      <c r="H28" s="58"/>
      <c r="I28" s="58"/>
      <c r="J28" s="59"/>
    </row>
    <row r="29" spans="1:10" x14ac:dyDescent="0.2">
      <c r="A29" s="5"/>
      <c r="B29" s="58" t="s">
        <v>0</v>
      </c>
      <c r="C29" s="58"/>
      <c r="D29" s="58"/>
      <c r="E29" s="58"/>
      <c r="F29" s="58"/>
      <c r="G29" s="58"/>
      <c r="H29" s="58"/>
      <c r="I29" s="58"/>
      <c r="J29" s="59"/>
    </row>
    <row r="30" spans="1:10" x14ac:dyDescent="0.2">
      <c r="A30" s="5"/>
      <c r="B30" s="58" t="s">
        <v>91</v>
      </c>
      <c r="C30" s="58"/>
      <c r="D30" s="58"/>
      <c r="E30" s="58"/>
      <c r="F30" s="58"/>
      <c r="G30" s="58"/>
      <c r="H30" s="58"/>
      <c r="I30" s="58"/>
      <c r="J30" s="59"/>
    </row>
    <row r="31" spans="1:10" x14ac:dyDescent="0.2">
      <c r="A31" s="5"/>
      <c r="B31" s="58"/>
      <c r="C31" s="58"/>
      <c r="D31" s="58"/>
      <c r="E31" s="58"/>
      <c r="F31" s="58"/>
      <c r="G31" s="58"/>
      <c r="H31" s="58"/>
      <c r="I31" s="58"/>
      <c r="J31" s="59"/>
    </row>
    <row r="32" spans="1:10" x14ac:dyDescent="0.2">
      <c r="A32" s="5"/>
      <c r="B32" s="58" t="s">
        <v>1</v>
      </c>
      <c r="C32" s="58"/>
      <c r="D32" s="58"/>
      <c r="E32" s="58"/>
      <c r="F32" s="58"/>
      <c r="G32" s="58"/>
      <c r="H32" s="58"/>
      <c r="I32" s="58"/>
      <c r="J32" s="59"/>
    </row>
    <row r="33" spans="1:12" x14ac:dyDescent="0.2">
      <c r="A33" s="5"/>
      <c r="B33" s="58" t="s">
        <v>92</v>
      </c>
      <c r="C33" s="58"/>
      <c r="D33" s="58"/>
      <c r="E33" s="58"/>
      <c r="F33" s="58"/>
      <c r="G33" s="58"/>
      <c r="H33" s="58"/>
      <c r="I33" s="58"/>
      <c r="J33" s="59"/>
    </row>
    <row r="34" spans="1:12" x14ac:dyDescent="0.2">
      <c r="A34" s="5"/>
      <c r="B34" s="58" t="s">
        <v>44</v>
      </c>
      <c r="C34" s="58"/>
      <c r="D34" s="58"/>
      <c r="E34" s="58"/>
      <c r="F34" s="58"/>
      <c r="G34" s="58"/>
      <c r="H34" s="58"/>
      <c r="I34" s="58"/>
      <c r="J34" s="59"/>
    </row>
    <row r="35" spans="1:12" ht="17" thickBot="1" x14ac:dyDescent="0.25">
      <c r="A35" s="61"/>
      <c r="B35" s="62"/>
      <c r="C35" s="63"/>
      <c r="D35" s="63"/>
      <c r="E35" s="63"/>
      <c r="F35" s="62"/>
      <c r="G35" s="62"/>
      <c r="H35" s="62"/>
      <c r="I35" s="62"/>
      <c r="J35" s="64"/>
    </row>
    <row r="37" spans="1:12" ht="19" x14ac:dyDescent="0.25">
      <c r="A37" s="2" t="s">
        <v>2</v>
      </c>
    </row>
    <row r="38" spans="1:12" x14ac:dyDescent="0.2">
      <c r="A38" s="3" t="s">
        <v>174</v>
      </c>
      <c r="C38" s="65"/>
    </row>
    <row r="39" spans="1:12" x14ac:dyDescent="0.2">
      <c r="A39" s="68" t="s">
        <v>177</v>
      </c>
      <c r="B39" s="184" t="s">
        <v>310</v>
      </c>
      <c r="C39" s="184"/>
      <c r="D39" s="184"/>
      <c r="E39" s="184"/>
      <c r="F39" s="184"/>
      <c r="G39" s="184"/>
      <c r="H39" s="184"/>
      <c r="I39" s="184"/>
    </row>
    <row r="40" spans="1:12" x14ac:dyDescent="0.2">
      <c r="A40" s="3"/>
      <c r="B40" s="184"/>
      <c r="C40" s="184"/>
      <c r="D40" s="184"/>
      <c r="E40" s="184"/>
      <c r="F40" s="184"/>
      <c r="G40" s="184"/>
      <c r="H40" s="184"/>
      <c r="I40" s="184"/>
    </row>
    <row r="41" spans="1:12" x14ac:dyDescent="0.2">
      <c r="A41" s="3"/>
      <c r="C41" s="65"/>
    </row>
    <row r="42" spans="1:12" x14ac:dyDescent="0.2">
      <c r="A42" s="3"/>
      <c r="B42" s="60" t="s">
        <v>311</v>
      </c>
      <c r="C42" s="65"/>
    </row>
    <row r="43" spans="1:12" x14ac:dyDescent="0.2">
      <c r="A43" s="3"/>
      <c r="C43" s="65"/>
    </row>
    <row r="44" spans="1:12" x14ac:dyDescent="0.2">
      <c r="A44" s="68" t="s">
        <v>178</v>
      </c>
      <c r="B44" s="14" t="s">
        <v>93</v>
      </c>
    </row>
    <row r="45" spans="1:12" x14ac:dyDescent="0.2">
      <c r="L45" s="4"/>
    </row>
    <row r="46" spans="1:12" x14ac:dyDescent="0.2">
      <c r="L46" s="4"/>
    </row>
    <row r="47" spans="1:12" x14ac:dyDescent="0.2">
      <c r="L47" s="4"/>
    </row>
    <row r="48" spans="1:12" x14ac:dyDescent="0.2">
      <c r="L48" s="4"/>
    </row>
    <row r="49" spans="1:12" x14ac:dyDescent="0.2">
      <c r="L49" s="4"/>
    </row>
    <row r="50" spans="1:12" ht="17" x14ac:dyDescent="0.2">
      <c r="B50" s="8" t="s">
        <v>45</v>
      </c>
      <c r="C50" s="23" t="s">
        <v>38</v>
      </c>
      <c r="D50" s="23" t="s">
        <v>94</v>
      </c>
      <c r="L50" s="4"/>
    </row>
    <row r="51" spans="1:12" ht="19" x14ac:dyDescent="0.2">
      <c r="B51" s="10" t="s">
        <v>354</v>
      </c>
      <c r="C51" s="91">
        <f>C17</f>
        <v>2.4915708808993284</v>
      </c>
      <c r="D51" s="91">
        <f>E17</f>
        <v>1.3197007236491161</v>
      </c>
      <c r="L51" s="4"/>
    </row>
    <row r="52" spans="1:12" ht="19" x14ac:dyDescent="0.2">
      <c r="B52" s="10" t="s">
        <v>328</v>
      </c>
      <c r="C52" s="91">
        <f>$H$19/C51</f>
        <v>0.79143078357230867</v>
      </c>
      <c r="D52" s="91">
        <f>$H$19/D51</f>
        <v>1.4942068752857607</v>
      </c>
      <c r="E52" s="65"/>
      <c r="L52" s="4"/>
    </row>
    <row r="53" spans="1:12" x14ac:dyDescent="0.2">
      <c r="L53" s="4"/>
    </row>
    <row r="54" spans="1:12" x14ac:dyDescent="0.2">
      <c r="A54" s="68" t="s">
        <v>179</v>
      </c>
      <c r="B54" s="184" t="s">
        <v>312</v>
      </c>
      <c r="C54" s="184"/>
      <c r="D54" s="184"/>
      <c r="E54" s="184"/>
      <c r="F54" s="184"/>
      <c r="G54" s="184"/>
      <c r="H54" s="184"/>
      <c r="I54" s="184"/>
      <c r="L54" s="4"/>
    </row>
    <row r="55" spans="1:12" x14ac:dyDescent="0.2">
      <c r="A55" s="68"/>
      <c r="B55" s="184"/>
      <c r="C55" s="184"/>
      <c r="D55" s="184"/>
      <c r="E55" s="184"/>
      <c r="F55" s="184"/>
      <c r="G55" s="184"/>
      <c r="H55" s="184"/>
      <c r="I55" s="184"/>
      <c r="L55" s="4"/>
    </row>
    <row r="56" spans="1:12" x14ac:dyDescent="0.2">
      <c r="A56" s="68"/>
      <c r="B56" s="14"/>
      <c r="L56" s="4"/>
    </row>
    <row r="57" spans="1:12" x14ac:dyDescent="0.2">
      <c r="B57" s="28"/>
      <c r="L57" s="4"/>
    </row>
    <row r="58" spans="1:12" x14ac:dyDescent="0.2">
      <c r="L58" s="4"/>
    </row>
    <row r="59" spans="1:12" x14ac:dyDescent="0.2">
      <c r="B59" s="166" t="s">
        <v>313</v>
      </c>
      <c r="C59" s="166"/>
      <c r="D59" s="166"/>
      <c r="E59" s="166"/>
      <c r="F59" s="166"/>
      <c r="G59" s="166"/>
      <c r="H59" s="166"/>
      <c r="L59" s="4"/>
    </row>
    <row r="60" spans="1:12" x14ac:dyDescent="0.2">
      <c r="B60" s="159" t="s">
        <v>314</v>
      </c>
      <c r="C60" s="166"/>
      <c r="D60" s="166"/>
      <c r="E60" s="166"/>
      <c r="F60" s="166"/>
      <c r="G60" s="166"/>
      <c r="H60" s="166"/>
      <c r="L60" s="4"/>
    </row>
    <row r="61" spans="1:12" ht="17" x14ac:dyDescent="0.2">
      <c r="B61" s="8" t="s">
        <v>3</v>
      </c>
      <c r="C61" s="9">
        <v>1</v>
      </c>
      <c r="D61" s="9">
        <v>2</v>
      </c>
      <c r="E61" s="9">
        <v>3</v>
      </c>
      <c r="F61" s="9">
        <v>4</v>
      </c>
      <c r="G61" s="9">
        <v>5</v>
      </c>
      <c r="H61" s="9">
        <v>6</v>
      </c>
      <c r="L61" s="4"/>
    </row>
    <row r="62" spans="1:12" x14ac:dyDescent="0.2">
      <c r="B62" s="10">
        <v>1</v>
      </c>
      <c r="C62" s="147">
        <f t="shared" ref="C62:D66" si="0">$C$52*C8</f>
        <v>-2.5879786622814493</v>
      </c>
      <c r="D62" s="147">
        <f>$C$52*D8</f>
        <v>2.3030635801954182</v>
      </c>
      <c r="E62" s="147">
        <f>$D$52*E8</f>
        <v>2.3309627254457865</v>
      </c>
      <c r="F62" s="147">
        <f>$D$52*F8</f>
        <v>-1.3746703252628998</v>
      </c>
      <c r="G62" s="147">
        <f>$D$52*G8</f>
        <v>1.9574110066243466</v>
      </c>
      <c r="H62" s="148">
        <f>$D$52*H8</f>
        <v>0</v>
      </c>
      <c r="L62" s="4"/>
    </row>
    <row r="63" spans="1:12" ht="17" thickBot="1" x14ac:dyDescent="0.25">
      <c r="B63" s="10">
        <v>2</v>
      </c>
      <c r="C63" s="147">
        <f>$C$52*C9</f>
        <v>1.1713175596870169</v>
      </c>
      <c r="D63" s="147">
        <f t="shared" si="0"/>
        <v>-0.69645908954363167</v>
      </c>
      <c r="E63" s="147">
        <f>$D$52*E9</f>
        <v>-3.3021971943815309</v>
      </c>
      <c r="F63" s="147">
        <f>$D$52*F9</f>
        <v>2.6447461692557965</v>
      </c>
      <c r="G63" s="147">
        <f>$D$52*G9</f>
        <v>-1.9574110066243466</v>
      </c>
      <c r="H63" s="148"/>
      <c r="L63" s="4"/>
    </row>
    <row r="64" spans="1:12" ht="17" thickBot="1" x14ac:dyDescent="0.25">
      <c r="B64" s="149">
        <v>3</v>
      </c>
      <c r="C64" s="150">
        <f>$C$52*C10</f>
        <v>-1.8202908022163098</v>
      </c>
      <c r="D64" s="150">
        <f>$C$52*D10</f>
        <v>2.3980352742240951</v>
      </c>
      <c r="E64" s="150">
        <f>$D$52*E10</f>
        <v>0.5677986126085891</v>
      </c>
      <c r="F64" s="154">
        <f>$D$52*F10</f>
        <v>-1.2700758439928965</v>
      </c>
      <c r="G64" s="147"/>
      <c r="H64" s="148"/>
      <c r="L64" s="4"/>
    </row>
    <row r="65" spans="1:13" x14ac:dyDescent="0.2">
      <c r="B65" s="10">
        <v>4</v>
      </c>
      <c r="C65" s="147">
        <f t="shared" si="0"/>
        <v>1.2029747910299091</v>
      </c>
      <c r="D65" s="147">
        <f t="shared" si="0"/>
        <v>-1.5037184887873865</v>
      </c>
      <c r="E65" s="147">
        <f t="shared" ref="E65" si="1">$D$52*E11</f>
        <v>0.41837792508001304</v>
      </c>
      <c r="F65" s="147"/>
      <c r="G65" s="147"/>
      <c r="H65" s="148"/>
      <c r="L65" s="4"/>
    </row>
    <row r="66" spans="1:13" x14ac:dyDescent="0.2">
      <c r="B66" s="10">
        <v>5</v>
      </c>
      <c r="C66" s="147">
        <f>$C$52*C12</f>
        <v>2.4771783525813262</v>
      </c>
      <c r="D66" s="147">
        <f t="shared" si="0"/>
        <v>-2.4771783525813262</v>
      </c>
      <c r="E66" s="147"/>
      <c r="F66" s="147"/>
      <c r="G66" s="147"/>
      <c r="H66" s="148"/>
      <c r="L66" s="4"/>
    </row>
    <row r="67" spans="1:13" x14ac:dyDescent="0.2">
      <c r="B67" s="10">
        <v>6</v>
      </c>
      <c r="C67" s="148">
        <f>$C$52*C13</f>
        <v>0</v>
      </c>
      <c r="D67" s="148"/>
      <c r="E67" s="148"/>
      <c r="F67" s="148"/>
      <c r="G67" s="148"/>
      <c r="H67" s="148"/>
    </row>
    <row r="69" spans="1:13" x14ac:dyDescent="0.2">
      <c r="A69" s="3" t="s">
        <v>175</v>
      </c>
    </row>
    <row r="70" spans="1:13" x14ac:dyDescent="0.2">
      <c r="A70" s="68" t="s">
        <v>179</v>
      </c>
      <c r="B70" s="14" t="s">
        <v>95</v>
      </c>
    </row>
    <row r="71" spans="1:13" x14ac:dyDescent="0.2">
      <c r="A71" s="68"/>
      <c r="B71" s="14"/>
    </row>
    <row r="72" spans="1:13" x14ac:dyDescent="0.2">
      <c r="A72" s="68"/>
      <c r="B72" s="14"/>
    </row>
    <row r="73" spans="1:13" x14ac:dyDescent="0.2">
      <c r="A73" s="68"/>
      <c r="B73" s="14"/>
    </row>
    <row r="76" spans="1:13" ht="18" x14ac:dyDescent="0.25">
      <c r="C76" s="152" t="s">
        <v>379</v>
      </c>
      <c r="D76" s="82">
        <f>H20</f>
        <v>44.87</v>
      </c>
    </row>
    <row r="77" spans="1:13" ht="17" thickBot="1" x14ac:dyDescent="0.25"/>
    <row r="78" spans="1:13" ht="19" thickBot="1" x14ac:dyDescent="0.3">
      <c r="C78" s="153" t="s">
        <v>380</v>
      </c>
      <c r="D78" s="151">
        <f>(F64/$C$52)*SQRT(D76)+D76</f>
        <v>34.120339404825899</v>
      </c>
    </row>
    <row r="80" spans="1:13" ht="21" customHeight="1" x14ac:dyDescent="0.2">
      <c r="B80" s="189" t="s">
        <v>382</v>
      </c>
      <c r="C80" s="189"/>
      <c r="D80" s="189"/>
      <c r="E80" s="189"/>
      <c r="F80" s="189"/>
      <c r="G80" s="189"/>
      <c r="H80" s="189"/>
      <c r="I80" s="189"/>
      <c r="M80" s="65"/>
    </row>
    <row r="81" spans="1:14" x14ac:dyDescent="0.2">
      <c r="B81" s="189"/>
      <c r="C81" s="189"/>
      <c r="D81" s="189"/>
      <c r="E81" s="189"/>
      <c r="F81" s="189"/>
      <c r="G81" s="189"/>
      <c r="H81" s="189"/>
      <c r="I81" s="189"/>
      <c r="L81" s="4"/>
      <c r="M81" s="4"/>
      <c r="N81" s="4"/>
    </row>
    <row r="82" spans="1:14" x14ac:dyDescent="0.2">
      <c r="B82" s="189"/>
      <c r="C82" s="189"/>
      <c r="D82" s="189"/>
      <c r="E82" s="189"/>
      <c r="F82" s="189"/>
      <c r="G82" s="189"/>
      <c r="H82" s="189"/>
      <c r="I82" s="189"/>
      <c r="L82" s="4"/>
      <c r="M82" s="4"/>
      <c r="N82" s="4"/>
    </row>
    <row r="83" spans="1:14" x14ac:dyDescent="0.2">
      <c r="B83" s="69"/>
      <c r="C83" s="69"/>
      <c r="D83" s="69"/>
      <c r="E83" s="69"/>
      <c r="F83" s="69"/>
      <c r="G83" s="69"/>
      <c r="H83" s="69"/>
      <c r="I83" s="69"/>
      <c r="L83" s="4"/>
      <c r="M83" s="4"/>
      <c r="N83" s="4"/>
    </row>
    <row r="84" spans="1:14" x14ac:dyDescent="0.2">
      <c r="B84" s="160" t="s">
        <v>315</v>
      </c>
      <c r="C84" s="160"/>
      <c r="D84" s="160"/>
      <c r="E84" s="160"/>
      <c r="F84" s="160"/>
      <c r="G84" s="160"/>
      <c r="H84" s="160"/>
      <c r="I84" s="160"/>
      <c r="L84" s="4"/>
      <c r="M84" s="4"/>
      <c r="N84" s="4"/>
    </row>
    <row r="85" spans="1:14" x14ac:dyDescent="0.2">
      <c r="B85" s="160"/>
      <c r="C85" s="160"/>
      <c r="D85" s="160"/>
      <c r="E85" s="160"/>
      <c r="F85" s="160"/>
      <c r="G85" s="160"/>
      <c r="H85" s="160"/>
      <c r="I85" s="160"/>
      <c r="L85" s="4"/>
      <c r="M85" s="4"/>
      <c r="N85" s="4"/>
    </row>
    <row r="86" spans="1:14" x14ac:dyDescent="0.2">
      <c r="B86" s="69"/>
      <c r="C86" s="69"/>
      <c r="D86" s="69"/>
      <c r="E86" s="69"/>
      <c r="F86" s="69"/>
      <c r="G86" s="69"/>
      <c r="H86" s="69"/>
      <c r="I86" s="69"/>
      <c r="L86" s="4"/>
      <c r="M86" s="4"/>
      <c r="N86" s="4"/>
    </row>
    <row r="87" spans="1:14" ht="19" x14ac:dyDescent="0.25">
      <c r="A87" s="2" t="s">
        <v>114</v>
      </c>
      <c r="L87" s="4"/>
      <c r="M87" s="4"/>
      <c r="N87" s="4"/>
    </row>
    <row r="88" spans="1:14" x14ac:dyDescent="0.2">
      <c r="B88" s="160" t="s">
        <v>316</v>
      </c>
      <c r="C88" s="160"/>
      <c r="D88" s="160"/>
      <c r="E88" s="160"/>
      <c r="F88" s="160"/>
      <c r="G88" s="160"/>
      <c r="H88" s="160"/>
      <c r="I88" s="160"/>
      <c r="L88" s="4"/>
      <c r="M88" s="4"/>
      <c r="N88" s="4"/>
    </row>
    <row r="89" spans="1:14" x14ac:dyDescent="0.2">
      <c r="B89" s="160"/>
      <c r="C89" s="160"/>
      <c r="D89" s="160"/>
      <c r="E89" s="160"/>
      <c r="F89" s="160"/>
      <c r="G89" s="160"/>
      <c r="H89" s="160"/>
      <c r="I89" s="160"/>
      <c r="L89" s="4"/>
      <c r="M89" s="4"/>
      <c r="N89" s="4"/>
    </row>
    <row r="90" spans="1:14" x14ac:dyDescent="0.2">
      <c r="B90" s="160"/>
      <c r="C90" s="160"/>
      <c r="D90" s="160"/>
      <c r="E90" s="160"/>
      <c r="F90" s="160"/>
      <c r="G90" s="160"/>
      <c r="H90" s="160"/>
      <c r="I90" s="160"/>
      <c r="L90" s="4"/>
      <c r="M90" s="4"/>
      <c r="N90" s="4"/>
    </row>
    <row r="91" spans="1:14" x14ac:dyDescent="0.2">
      <c r="L91" s="4"/>
      <c r="M91" s="4"/>
      <c r="N91" s="4"/>
    </row>
    <row r="92" spans="1:14" x14ac:dyDescent="0.2">
      <c r="B92" s="60" t="s">
        <v>151</v>
      </c>
      <c r="L92" s="4"/>
      <c r="M92" s="4"/>
      <c r="N92" s="4"/>
    </row>
    <row r="93" spans="1:14" x14ac:dyDescent="0.2">
      <c r="B93" s="60" t="s">
        <v>152</v>
      </c>
      <c r="L93" s="4"/>
      <c r="M93" s="4"/>
      <c r="N93" s="4"/>
    </row>
    <row r="94" spans="1:14" x14ac:dyDescent="0.2">
      <c r="B94" s="160" t="s">
        <v>317</v>
      </c>
      <c r="C94" s="160"/>
      <c r="D94" s="160"/>
      <c r="E94" s="160"/>
      <c r="F94" s="160"/>
      <c r="G94" s="160"/>
      <c r="H94" s="160"/>
      <c r="I94" s="160"/>
      <c r="L94" s="4"/>
      <c r="M94" s="4"/>
      <c r="N94" s="4"/>
    </row>
    <row r="95" spans="1:14" x14ac:dyDescent="0.2">
      <c r="B95" s="160"/>
      <c r="C95" s="160"/>
      <c r="D95" s="160"/>
      <c r="E95" s="160"/>
      <c r="F95" s="160"/>
      <c r="G95" s="160"/>
      <c r="H95" s="160"/>
      <c r="I95" s="160"/>
      <c r="M95" s="65"/>
    </row>
    <row r="96" spans="1:14" x14ac:dyDescent="0.2">
      <c r="L96" s="4"/>
      <c r="M96" s="4"/>
      <c r="N96" s="4"/>
    </row>
    <row r="97" spans="2:14" x14ac:dyDescent="0.2">
      <c r="B97" s="189" t="s">
        <v>318</v>
      </c>
      <c r="C97" s="160"/>
      <c r="D97" s="160"/>
      <c r="E97" s="160"/>
      <c r="F97" s="160"/>
      <c r="G97" s="160"/>
      <c r="H97" s="160"/>
      <c r="I97" s="160"/>
      <c r="L97" s="4"/>
      <c r="M97" s="4"/>
      <c r="N97" s="4"/>
    </row>
    <row r="98" spans="2:14" x14ac:dyDescent="0.2">
      <c r="B98" s="160"/>
      <c r="C98" s="160"/>
      <c r="D98" s="160"/>
      <c r="E98" s="160"/>
      <c r="F98" s="160"/>
      <c r="G98" s="160"/>
      <c r="H98" s="160"/>
      <c r="I98" s="160"/>
      <c r="L98" s="4"/>
      <c r="M98" s="4"/>
      <c r="N98" s="4"/>
    </row>
    <row r="99" spans="2:14" x14ac:dyDescent="0.2">
      <c r="B99" s="160"/>
      <c r="C99" s="160"/>
      <c r="D99" s="160"/>
      <c r="E99" s="160"/>
      <c r="F99" s="160"/>
      <c r="G99" s="160"/>
      <c r="H99" s="160"/>
      <c r="I99" s="160"/>
      <c r="L99" s="4"/>
      <c r="M99" s="4"/>
      <c r="N99" s="4"/>
    </row>
    <row r="100" spans="2:14" x14ac:dyDescent="0.2">
      <c r="B100" s="160"/>
      <c r="C100" s="160"/>
      <c r="D100" s="160"/>
      <c r="E100" s="160"/>
      <c r="F100" s="160"/>
      <c r="G100" s="160"/>
      <c r="H100" s="160"/>
      <c r="I100" s="160"/>
      <c r="L100" s="4"/>
      <c r="M100" s="4"/>
      <c r="N100" s="4"/>
    </row>
    <row r="101" spans="2:14" x14ac:dyDescent="0.2">
      <c r="L101" s="4"/>
      <c r="M101" s="4"/>
      <c r="N101" s="4"/>
    </row>
    <row r="102" spans="2:14" ht="19" x14ac:dyDescent="0.25">
      <c r="B102" s="31" t="s">
        <v>153</v>
      </c>
      <c r="L102" s="4"/>
      <c r="M102" s="4"/>
      <c r="N102" s="4"/>
    </row>
    <row r="103" spans="2:14" x14ac:dyDescent="0.2">
      <c r="B103" s="160" t="s">
        <v>319</v>
      </c>
      <c r="C103" s="160"/>
      <c r="D103" s="160"/>
      <c r="E103" s="160"/>
      <c r="F103" s="160"/>
      <c r="G103" s="160"/>
      <c r="H103" s="160"/>
      <c r="I103" s="160"/>
      <c r="M103" s="65"/>
    </row>
    <row r="104" spans="2:14" x14ac:dyDescent="0.2">
      <c r="B104" s="160"/>
      <c r="C104" s="160"/>
      <c r="D104" s="160"/>
      <c r="E104" s="160"/>
      <c r="F104" s="160"/>
      <c r="G104" s="160"/>
      <c r="H104" s="160"/>
      <c r="I104" s="160"/>
      <c r="L104" s="4"/>
      <c r="M104" s="4"/>
      <c r="N104" s="4"/>
    </row>
    <row r="105" spans="2:14" x14ac:dyDescent="0.2">
      <c r="B105" s="160"/>
      <c r="C105" s="160"/>
      <c r="D105" s="160"/>
      <c r="E105" s="160"/>
      <c r="F105" s="160"/>
      <c r="G105" s="160"/>
      <c r="H105" s="160"/>
      <c r="I105" s="160"/>
      <c r="L105" s="4"/>
      <c r="M105" s="4"/>
      <c r="N105" s="4"/>
    </row>
    <row r="106" spans="2:14" x14ac:dyDescent="0.2">
      <c r="L106" s="4"/>
      <c r="M106" s="4"/>
      <c r="N106" s="4"/>
    </row>
    <row r="107" spans="2:14" x14ac:dyDescent="0.2">
      <c r="B107" s="160" t="s">
        <v>320</v>
      </c>
      <c r="C107" s="160"/>
      <c r="D107" s="160"/>
      <c r="E107" s="160"/>
      <c r="F107" s="160"/>
      <c r="G107" s="160"/>
      <c r="H107" s="160"/>
      <c r="I107" s="160"/>
      <c r="L107" s="4"/>
      <c r="M107" s="4"/>
      <c r="N107" s="4"/>
    </row>
    <row r="108" spans="2:14" x14ac:dyDescent="0.2">
      <c r="B108" s="160"/>
      <c r="C108" s="160"/>
      <c r="D108" s="160"/>
      <c r="E108" s="160"/>
      <c r="F108" s="160"/>
      <c r="G108" s="160"/>
      <c r="H108" s="160"/>
      <c r="I108" s="160"/>
      <c r="L108" s="4"/>
      <c r="M108" s="4"/>
      <c r="N108" s="4"/>
    </row>
    <row r="109" spans="2:14" x14ac:dyDescent="0.2">
      <c r="L109" s="4"/>
      <c r="M109" s="4"/>
      <c r="N109" s="4"/>
    </row>
    <row r="110" spans="2:14" ht="15.75" customHeight="1" x14ac:dyDescent="0.2">
      <c r="B110" s="60" t="s">
        <v>321</v>
      </c>
      <c r="C110" s="100"/>
      <c r="D110" s="100"/>
      <c r="E110" s="100"/>
      <c r="F110" s="100"/>
      <c r="G110" s="100"/>
      <c r="H110" s="100"/>
      <c r="I110" s="100"/>
      <c r="L110" s="4"/>
      <c r="M110" s="4"/>
      <c r="N110" s="4"/>
    </row>
    <row r="111" spans="2:14" x14ac:dyDescent="0.2">
      <c r="B111" s="100"/>
      <c r="C111" s="100"/>
      <c r="D111" s="100"/>
      <c r="E111" s="100"/>
      <c r="F111" s="100"/>
      <c r="G111" s="100"/>
      <c r="H111" s="100"/>
      <c r="I111" s="100"/>
      <c r="L111" s="4"/>
      <c r="M111" s="4"/>
      <c r="N111" s="4"/>
    </row>
    <row r="112" spans="2:14" x14ac:dyDescent="0.2">
      <c r="L112" s="4"/>
      <c r="M112" s="4"/>
      <c r="N112" s="4"/>
    </row>
    <row r="113" spans="1:65" x14ac:dyDescent="0.2">
      <c r="M113" s="65"/>
    </row>
    <row r="114" spans="1:65" x14ac:dyDescent="0.2">
      <c r="A114" s="4"/>
      <c r="B114" s="160" t="s">
        <v>322</v>
      </c>
      <c r="C114" s="160"/>
      <c r="D114" s="160"/>
      <c r="E114" s="160"/>
      <c r="F114" s="160"/>
      <c r="G114" s="160"/>
      <c r="H114" s="160"/>
      <c r="I114" s="160"/>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160"/>
      <c r="C115" s="160"/>
      <c r="D115" s="160"/>
      <c r="E115" s="160"/>
      <c r="F115" s="160"/>
      <c r="G115" s="160"/>
      <c r="H115" s="160"/>
      <c r="I115" s="160"/>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ht="19" x14ac:dyDescent="0.25">
      <c r="A118" s="4"/>
      <c r="B118" s="31" t="s">
        <v>154</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189" t="s">
        <v>381</v>
      </c>
      <c r="C119" s="160"/>
      <c r="D119" s="160"/>
      <c r="E119" s="160"/>
      <c r="F119" s="160"/>
      <c r="G119" s="160"/>
      <c r="H119" s="160"/>
      <c r="I119" s="160"/>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160"/>
      <c r="C120" s="160"/>
      <c r="D120" s="160"/>
      <c r="E120" s="160"/>
      <c r="F120" s="160"/>
      <c r="G120" s="160"/>
      <c r="H120" s="160"/>
      <c r="I120" s="160"/>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160"/>
      <c r="C121" s="160"/>
      <c r="D121" s="160"/>
      <c r="E121" s="160"/>
      <c r="F121" s="160"/>
      <c r="G121" s="160"/>
      <c r="H121" s="160"/>
      <c r="I121" s="160"/>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160" t="s">
        <v>323</v>
      </c>
      <c r="C123" s="160"/>
      <c r="D123" s="160"/>
      <c r="E123" s="160"/>
      <c r="F123" s="160"/>
      <c r="G123" s="160"/>
      <c r="H123" s="160"/>
      <c r="I123" s="160"/>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160"/>
      <c r="C124" s="160"/>
      <c r="D124" s="160"/>
      <c r="E124" s="160"/>
      <c r="F124" s="160"/>
      <c r="G124" s="160"/>
      <c r="H124" s="160"/>
      <c r="I124" s="160"/>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160"/>
      <c r="C125" s="160"/>
      <c r="D125" s="160"/>
      <c r="E125" s="160"/>
      <c r="F125" s="160"/>
      <c r="G125" s="160"/>
      <c r="H125" s="160"/>
      <c r="I125" s="160"/>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ht="19" x14ac:dyDescent="0.25">
      <c r="A127" s="2" t="s">
        <v>126</v>
      </c>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60" t="s">
        <v>155</v>
      </c>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ht="19" x14ac:dyDescent="0.25">
      <c r="A130" s="2" t="s">
        <v>121</v>
      </c>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60" t="s">
        <v>156</v>
      </c>
      <c r="C131" s="4"/>
      <c r="D131" s="60" t="s">
        <v>161</v>
      </c>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60" t="s">
        <v>157</v>
      </c>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60" t="s">
        <v>158</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60" t="s">
        <v>159</v>
      </c>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60" t="s">
        <v>160</v>
      </c>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sheetData>
  <mergeCells count="16">
    <mergeCell ref="B119:I121"/>
    <mergeCell ref="B123:I125"/>
    <mergeCell ref="B97:I100"/>
    <mergeCell ref="B103:I105"/>
    <mergeCell ref="B107:I108"/>
    <mergeCell ref="B114:I115"/>
    <mergeCell ref="B80:I82"/>
    <mergeCell ref="B84:I85"/>
    <mergeCell ref="B88:I90"/>
    <mergeCell ref="B94:I95"/>
    <mergeCell ref="B6:H6"/>
    <mergeCell ref="B25:H25"/>
    <mergeCell ref="B60:H60"/>
    <mergeCell ref="B39:I40"/>
    <mergeCell ref="B54:I55"/>
    <mergeCell ref="B59:H5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M204"/>
  <sheetViews>
    <sheetView showGridLines="0" zoomScale="120" zoomScaleNormal="120" workbookViewId="0"/>
  </sheetViews>
  <sheetFormatPr baseColWidth="10" defaultColWidth="10.83203125" defaultRowHeight="16" x14ac:dyDescent="0.2"/>
  <cols>
    <col min="1" max="1" width="10.83203125" style="60" customWidth="1"/>
    <col min="2" max="2" width="17.83203125" style="60" customWidth="1"/>
    <col min="3" max="12" width="10.83203125" style="60" customWidth="1"/>
    <col min="13" max="16384" width="10.83203125" style="60"/>
  </cols>
  <sheetData>
    <row r="1" spans="1:10" ht="19" x14ac:dyDescent="0.25">
      <c r="A1" s="73" t="s">
        <v>190</v>
      </c>
      <c r="B1" s="58"/>
      <c r="C1" s="58"/>
      <c r="D1" s="58"/>
      <c r="E1" s="58"/>
      <c r="F1" s="58"/>
      <c r="G1" s="58"/>
      <c r="H1" s="58"/>
      <c r="I1" s="58"/>
      <c r="J1" s="59"/>
    </row>
    <row r="2" spans="1:10" x14ac:dyDescent="0.2">
      <c r="A2" s="5"/>
      <c r="B2" s="58"/>
      <c r="C2" s="58"/>
      <c r="D2" s="58"/>
      <c r="E2" s="58"/>
      <c r="F2" s="58"/>
      <c r="G2" s="58"/>
      <c r="H2" s="58"/>
      <c r="I2" s="58"/>
      <c r="J2" s="59"/>
    </row>
    <row r="3" spans="1:10" x14ac:dyDescent="0.2">
      <c r="A3" s="5"/>
      <c r="B3" s="58" t="s">
        <v>96</v>
      </c>
      <c r="C3" s="58"/>
      <c r="D3" s="58"/>
      <c r="E3" s="58"/>
      <c r="F3" s="58"/>
      <c r="G3" s="58"/>
      <c r="H3" s="58"/>
      <c r="I3" s="58"/>
      <c r="J3" s="59"/>
    </row>
    <row r="4" spans="1:10" x14ac:dyDescent="0.2">
      <c r="A4" s="5"/>
      <c r="B4" s="58" t="s">
        <v>88</v>
      </c>
      <c r="C4" s="58"/>
      <c r="D4" s="58"/>
      <c r="E4" s="58"/>
      <c r="F4" s="58"/>
      <c r="G4" s="58"/>
      <c r="H4" s="58"/>
      <c r="I4" s="58"/>
      <c r="J4" s="59"/>
    </row>
    <row r="5" spans="1:10" x14ac:dyDescent="0.2">
      <c r="A5" s="5"/>
      <c r="B5" s="58"/>
      <c r="C5" s="58"/>
      <c r="D5" s="58"/>
      <c r="E5" s="58"/>
      <c r="F5" s="58"/>
      <c r="G5" s="58"/>
      <c r="H5" s="58"/>
      <c r="I5" s="58"/>
      <c r="J5" s="59"/>
    </row>
    <row r="6" spans="1:10" x14ac:dyDescent="0.2">
      <c r="A6" s="5"/>
      <c r="B6" s="156" t="s">
        <v>202</v>
      </c>
      <c r="C6" s="157"/>
      <c r="D6" s="157"/>
      <c r="E6" s="157"/>
      <c r="F6" s="157"/>
      <c r="G6" s="157"/>
      <c r="H6" s="158"/>
      <c r="I6" s="58"/>
      <c r="J6" s="59"/>
    </row>
    <row r="7" spans="1:10" ht="17" x14ac:dyDescent="0.2">
      <c r="A7" s="5"/>
      <c r="B7" s="38" t="s">
        <v>3</v>
      </c>
      <c r="C7" s="36">
        <v>1</v>
      </c>
      <c r="D7" s="36">
        <v>2</v>
      </c>
      <c r="E7" s="36">
        <v>3</v>
      </c>
      <c r="F7" s="36">
        <v>4</v>
      </c>
      <c r="G7" s="36">
        <v>5</v>
      </c>
      <c r="H7" s="37">
        <v>6</v>
      </c>
      <c r="I7" s="58"/>
      <c r="J7" s="59"/>
    </row>
    <row r="8" spans="1:10" x14ac:dyDescent="0.2">
      <c r="A8" s="5"/>
      <c r="B8" s="40">
        <v>1</v>
      </c>
      <c r="C8" s="7">
        <v>-1.96</v>
      </c>
      <c r="D8" s="7">
        <v>2.2999999999999998</v>
      </c>
      <c r="E8" s="7">
        <v>1.27</v>
      </c>
      <c r="F8" s="7">
        <v>-0.71</v>
      </c>
      <c r="G8" s="7">
        <v>0.91</v>
      </c>
      <c r="H8" s="17">
        <v>0</v>
      </c>
      <c r="I8" s="58"/>
      <c r="J8" s="59"/>
    </row>
    <row r="9" spans="1:10" x14ac:dyDescent="0.2">
      <c r="A9" s="5"/>
      <c r="B9" s="40">
        <v>2</v>
      </c>
      <c r="C9" s="7">
        <v>0.89</v>
      </c>
      <c r="D9" s="7">
        <v>-0.69</v>
      </c>
      <c r="E9" s="7">
        <v>-1.8</v>
      </c>
      <c r="F9" s="7">
        <v>1.36</v>
      </c>
      <c r="G9" s="7">
        <v>-0.91</v>
      </c>
      <c r="H9" s="17"/>
      <c r="I9" s="58"/>
      <c r="J9" s="59"/>
    </row>
    <row r="10" spans="1:10" x14ac:dyDescent="0.2">
      <c r="A10" s="5"/>
      <c r="B10" s="40">
        <v>3</v>
      </c>
      <c r="C10" s="7">
        <v>-1.37</v>
      </c>
      <c r="D10" s="7">
        <v>2.4</v>
      </c>
      <c r="E10" s="7">
        <v>0.31</v>
      </c>
      <c r="F10" s="7">
        <v>-0.65</v>
      </c>
      <c r="G10" s="7"/>
      <c r="H10" s="17"/>
      <c r="I10" s="58"/>
      <c r="J10" s="59"/>
    </row>
    <row r="11" spans="1:10" x14ac:dyDescent="0.2">
      <c r="A11" s="5"/>
      <c r="B11" s="40">
        <v>4</v>
      </c>
      <c r="C11" s="7">
        <v>0.83</v>
      </c>
      <c r="D11" s="7">
        <v>-1.47</v>
      </c>
      <c r="E11" s="7">
        <v>0.22</v>
      </c>
      <c r="F11" s="7"/>
      <c r="G11" s="7"/>
      <c r="H11" s="17"/>
      <c r="I11" s="58"/>
      <c r="J11" s="59"/>
    </row>
    <row r="12" spans="1:10" x14ac:dyDescent="0.2">
      <c r="A12" s="5"/>
      <c r="B12" s="40">
        <v>5</v>
      </c>
      <c r="C12" s="7">
        <v>1.48</v>
      </c>
      <c r="D12" s="7">
        <v>-2.33</v>
      </c>
      <c r="E12" s="7"/>
      <c r="F12" s="7"/>
      <c r="G12" s="7"/>
      <c r="H12" s="17"/>
      <c r="I12" s="58"/>
      <c r="J12" s="59"/>
    </row>
    <row r="13" spans="1:10" x14ac:dyDescent="0.2">
      <c r="A13" s="5"/>
      <c r="B13" s="41">
        <v>6</v>
      </c>
      <c r="C13" s="16">
        <v>0</v>
      </c>
      <c r="D13" s="16"/>
      <c r="E13" s="16"/>
      <c r="F13" s="16"/>
      <c r="G13" s="16"/>
      <c r="H13" s="15"/>
      <c r="I13" s="58"/>
      <c r="J13" s="59"/>
    </row>
    <row r="14" spans="1:10" x14ac:dyDescent="0.2">
      <c r="A14" s="5"/>
      <c r="B14" s="58"/>
      <c r="C14" s="58"/>
      <c r="D14" s="58"/>
      <c r="E14" s="58"/>
      <c r="F14" s="58"/>
      <c r="G14" s="58"/>
      <c r="H14" s="58"/>
      <c r="I14" s="58"/>
      <c r="J14" s="59"/>
    </row>
    <row r="15" spans="1:10" x14ac:dyDescent="0.2">
      <c r="A15" s="5"/>
      <c r="B15" s="141" t="s">
        <v>201</v>
      </c>
      <c r="C15" s="76">
        <f>SUMSQ(C8:C13)</f>
        <v>9.389899999999999</v>
      </c>
      <c r="D15" s="76">
        <f t="shared" ref="D15:G15" si="0">SUMSQ(D8:D13)</f>
        <v>19.1159</v>
      </c>
      <c r="E15" s="76">
        <f t="shared" si="0"/>
        <v>4.9973999999999998</v>
      </c>
      <c r="F15" s="76">
        <f t="shared" si="0"/>
        <v>2.7762000000000002</v>
      </c>
      <c r="G15" s="76">
        <f t="shared" si="0"/>
        <v>1.6562000000000001</v>
      </c>
      <c r="H15" s="77">
        <f>SUMSQ(H8:H13)</f>
        <v>0</v>
      </c>
      <c r="I15" s="58"/>
      <c r="J15" s="59"/>
    </row>
    <row r="16" spans="1:10" x14ac:dyDescent="0.2">
      <c r="A16" s="5"/>
      <c r="B16" s="78" t="s">
        <v>200</v>
      </c>
      <c r="C16" s="79">
        <v>1</v>
      </c>
      <c r="D16" s="79">
        <v>1</v>
      </c>
      <c r="E16" s="79">
        <v>2</v>
      </c>
      <c r="F16" s="79">
        <v>2</v>
      </c>
      <c r="G16" s="79">
        <v>2</v>
      </c>
      <c r="H16" s="80">
        <v>2</v>
      </c>
      <c r="I16" s="58"/>
      <c r="J16" s="59"/>
    </row>
    <row r="17" spans="1:10" x14ac:dyDescent="0.2">
      <c r="A17" s="5"/>
      <c r="B17" s="58"/>
      <c r="C17" s="58"/>
      <c r="D17" s="58"/>
      <c r="E17" s="58"/>
      <c r="F17" s="58"/>
      <c r="G17" s="58"/>
      <c r="H17" s="58"/>
      <c r="I17" s="58"/>
      <c r="J17" s="59"/>
    </row>
    <row r="18" spans="1:10" x14ac:dyDescent="0.2">
      <c r="A18" s="5"/>
      <c r="B18" s="75" t="s">
        <v>194</v>
      </c>
      <c r="C18" s="58"/>
      <c r="D18" s="58"/>
      <c r="E18" s="58"/>
      <c r="F18" s="81">
        <f>SUMSQ($C$8:$H$13)</f>
        <v>37.935599999999994</v>
      </c>
      <c r="G18" s="58"/>
      <c r="H18" s="58"/>
      <c r="I18" s="58"/>
      <c r="J18" s="59"/>
    </row>
    <row r="19" spans="1:10" x14ac:dyDescent="0.2">
      <c r="A19" s="5"/>
      <c r="B19" s="58"/>
      <c r="C19" s="58"/>
      <c r="D19" s="58"/>
      <c r="E19" s="58"/>
      <c r="F19" s="58"/>
      <c r="G19" s="58"/>
      <c r="H19" s="58"/>
      <c r="I19" s="58"/>
      <c r="J19" s="59"/>
    </row>
    <row r="20" spans="1:10" x14ac:dyDescent="0.2">
      <c r="A20" s="5"/>
      <c r="B20" s="58"/>
      <c r="C20" s="58"/>
      <c r="D20" s="58"/>
      <c r="E20" s="58"/>
      <c r="F20" s="58"/>
      <c r="G20" s="58"/>
      <c r="H20" s="58"/>
      <c r="I20" s="58"/>
      <c r="J20" s="59"/>
    </row>
    <row r="21" spans="1:10" x14ac:dyDescent="0.2">
      <c r="A21" s="5"/>
      <c r="B21" s="58" t="s">
        <v>0</v>
      </c>
      <c r="C21" s="58"/>
      <c r="D21" s="58"/>
      <c r="E21" s="58"/>
      <c r="F21" s="58"/>
      <c r="G21" s="58"/>
      <c r="H21" s="58"/>
      <c r="I21" s="58"/>
      <c r="J21" s="59"/>
    </row>
    <row r="22" spans="1:10" x14ac:dyDescent="0.2">
      <c r="A22" s="5"/>
      <c r="B22" s="58" t="s">
        <v>97</v>
      </c>
      <c r="C22" s="58"/>
      <c r="D22" s="58"/>
      <c r="E22" s="58"/>
      <c r="F22" s="58"/>
      <c r="G22" s="58"/>
      <c r="H22" s="58"/>
      <c r="I22" s="58"/>
      <c r="J22" s="59"/>
    </row>
    <row r="23" spans="1:10" x14ac:dyDescent="0.2">
      <c r="A23" s="5"/>
      <c r="B23" s="58" t="s">
        <v>98</v>
      </c>
      <c r="C23" s="58"/>
      <c r="D23" s="58"/>
      <c r="E23" s="58"/>
      <c r="F23" s="58"/>
      <c r="G23" s="58"/>
      <c r="H23" s="58"/>
      <c r="I23" s="58"/>
      <c r="J23" s="59"/>
    </row>
    <row r="24" spans="1:10" x14ac:dyDescent="0.2">
      <c r="A24" s="5"/>
      <c r="B24" s="58"/>
      <c r="C24" s="58"/>
      <c r="D24" s="58"/>
      <c r="E24" s="58"/>
      <c r="F24" s="58"/>
      <c r="G24" s="58"/>
      <c r="H24" s="58"/>
      <c r="I24" s="58"/>
      <c r="J24" s="59"/>
    </row>
    <row r="25" spans="1:10" x14ac:dyDescent="0.2">
      <c r="A25" s="5"/>
      <c r="B25" s="58" t="s">
        <v>1</v>
      </c>
      <c r="C25" s="58"/>
      <c r="D25" s="58"/>
      <c r="E25" s="58"/>
      <c r="F25" s="58"/>
      <c r="G25" s="58"/>
      <c r="H25" s="58"/>
      <c r="I25" s="58"/>
      <c r="J25" s="59"/>
    </row>
    <row r="26" spans="1:10" x14ac:dyDescent="0.2">
      <c r="A26" s="5"/>
      <c r="B26" s="58" t="s">
        <v>99</v>
      </c>
      <c r="C26" s="58"/>
      <c r="D26" s="58"/>
      <c r="E26" s="58"/>
      <c r="F26" s="58"/>
      <c r="G26" s="58"/>
      <c r="H26" s="58"/>
      <c r="I26" s="58"/>
      <c r="J26" s="59"/>
    </row>
    <row r="27" spans="1:10" ht="17" thickBot="1" x14ac:dyDescent="0.25">
      <c r="A27" s="61"/>
      <c r="B27" s="62"/>
      <c r="C27" s="63"/>
      <c r="D27" s="63"/>
      <c r="E27" s="63"/>
      <c r="F27" s="62"/>
      <c r="G27" s="62"/>
      <c r="H27" s="62"/>
      <c r="I27" s="62"/>
      <c r="J27" s="64"/>
    </row>
    <row r="29" spans="1:10" ht="19" x14ac:dyDescent="0.25">
      <c r="A29" s="2" t="s">
        <v>2</v>
      </c>
    </row>
    <row r="30" spans="1:10" x14ac:dyDescent="0.2">
      <c r="A30" s="3" t="s">
        <v>174</v>
      </c>
      <c r="C30" s="65"/>
    </row>
    <row r="31" spans="1:10" x14ac:dyDescent="0.2">
      <c r="A31" s="68" t="s">
        <v>177</v>
      </c>
      <c r="B31" s="14" t="s">
        <v>374</v>
      </c>
      <c r="C31" s="65"/>
    </row>
    <row r="32" spans="1:10" x14ac:dyDescent="0.2">
      <c r="A32" s="3"/>
      <c r="C32" s="65"/>
    </row>
    <row r="33" spans="1:6" x14ac:dyDescent="0.2">
      <c r="A33" s="3"/>
      <c r="C33" s="65"/>
    </row>
    <row r="34" spans="1:6" x14ac:dyDescent="0.2">
      <c r="A34" s="3"/>
      <c r="C34" s="65"/>
    </row>
    <row r="35" spans="1:6" x14ac:dyDescent="0.2">
      <c r="A35" s="3"/>
      <c r="C35" s="65"/>
    </row>
    <row r="36" spans="1:6" x14ac:dyDescent="0.2">
      <c r="A36" s="3"/>
      <c r="C36" s="65"/>
    </row>
    <row r="37" spans="1:6" x14ac:dyDescent="0.2">
      <c r="A37" s="3"/>
      <c r="C37" s="66" t="s">
        <v>101</v>
      </c>
      <c r="D37" s="66">
        <f>COUNT($C$8:$H$13)</f>
        <v>21</v>
      </c>
    </row>
    <row r="38" spans="1:6" x14ac:dyDescent="0.2">
      <c r="A38" s="3"/>
      <c r="C38" s="66" t="s">
        <v>102</v>
      </c>
      <c r="D38" s="66">
        <f>COUNT(B8:B13)+COUNT(C7:G7)+1</f>
        <v>12</v>
      </c>
      <c r="E38" s="60" t="s">
        <v>103</v>
      </c>
    </row>
    <row r="39" spans="1:6" ht="17" thickBot="1" x14ac:dyDescent="0.25">
      <c r="A39" s="3"/>
      <c r="D39" s="65"/>
    </row>
    <row r="40" spans="1:6" ht="17" thickBot="1" x14ac:dyDescent="0.25">
      <c r="A40" s="3"/>
      <c r="C40" s="142" t="s">
        <v>256</v>
      </c>
      <c r="D40" s="143">
        <f>F18/(D37-D38)</f>
        <v>4.2150666666666661</v>
      </c>
    </row>
    <row r="41" spans="1:6" x14ac:dyDescent="0.2">
      <c r="A41" s="3"/>
      <c r="C41" s="65"/>
    </row>
    <row r="42" spans="1:6" x14ac:dyDescent="0.2">
      <c r="A42" s="68" t="s">
        <v>178</v>
      </c>
      <c r="B42" s="14" t="s">
        <v>324</v>
      </c>
    </row>
    <row r="43" spans="1:6" x14ac:dyDescent="0.2">
      <c r="A43" s="68"/>
      <c r="B43" s="14"/>
    </row>
    <row r="44" spans="1:6" x14ac:dyDescent="0.2">
      <c r="A44" s="68"/>
      <c r="B44" s="14"/>
      <c r="F44" s="14" t="s">
        <v>220</v>
      </c>
    </row>
    <row r="45" spans="1:6" x14ac:dyDescent="0.2">
      <c r="A45" s="68"/>
      <c r="B45" s="14"/>
      <c r="F45" s="123" t="s">
        <v>325</v>
      </c>
    </row>
    <row r="46" spans="1:6" x14ac:dyDescent="0.2">
      <c r="A46" s="68"/>
      <c r="B46" s="14"/>
    </row>
    <row r="47" spans="1:6" x14ac:dyDescent="0.2">
      <c r="A47" s="68"/>
      <c r="B47" s="14"/>
    </row>
    <row r="48" spans="1:6" x14ac:dyDescent="0.2">
      <c r="A48" s="68"/>
      <c r="B48" s="14"/>
    </row>
    <row r="49" spans="1:12" ht="17" x14ac:dyDescent="0.2">
      <c r="A49" s="68"/>
      <c r="B49" s="14"/>
      <c r="C49" s="8" t="s">
        <v>45</v>
      </c>
      <c r="D49" s="23" t="s">
        <v>38</v>
      </c>
      <c r="E49" s="23" t="s">
        <v>100</v>
      </c>
    </row>
    <row r="50" spans="1:12" ht="19" x14ac:dyDescent="0.2">
      <c r="A50" s="68"/>
      <c r="B50" s="14"/>
      <c r="C50" s="10" t="s">
        <v>326</v>
      </c>
      <c r="D50" s="144">
        <f>COUNT(C8:D13)</f>
        <v>11</v>
      </c>
      <c r="E50" s="144">
        <f>COUNT(E8:H11)</f>
        <v>10</v>
      </c>
    </row>
    <row r="51" spans="1:12" ht="19" x14ac:dyDescent="0.2">
      <c r="C51" s="10" t="s">
        <v>373</v>
      </c>
      <c r="D51" s="82">
        <f>($D$37/($D$37-$D$38))*SUM($C$15:$D$15)/D50</f>
        <v>6.0466848484848494</v>
      </c>
      <c r="E51" s="82">
        <f>($D$37/($D$37-$D$38))*SUM($E$15:$H$15)/E50</f>
        <v>2.2002866666666669</v>
      </c>
      <c r="L51" s="4"/>
    </row>
    <row r="52" spans="1:12" x14ac:dyDescent="0.2">
      <c r="L52" s="4"/>
    </row>
    <row r="53" spans="1:12" ht="18" x14ac:dyDescent="0.25">
      <c r="A53" s="68" t="s">
        <v>179</v>
      </c>
      <c r="B53" s="14" t="s">
        <v>327</v>
      </c>
      <c r="L53" s="4"/>
    </row>
    <row r="54" spans="1:12" x14ac:dyDescent="0.2">
      <c r="A54" s="68"/>
      <c r="B54" s="14"/>
      <c r="L54" s="4"/>
    </row>
    <row r="55" spans="1:12" x14ac:dyDescent="0.2">
      <c r="A55" s="68"/>
      <c r="B55" s="14"/>
      <c r="L55" s="4"/>
    </row>
    <row r="56" spans="1:12" x14ac:dyDescent="0.2">
      <c r="B56" s="28"/>
      <c r="L56" s="4"/>
    </row>
    <row r="57" spans="1:12" x14ac:dyDescent="0.2">
      <c r="B57" s="28"/>
      <c r="L57" s="4"/>
    </row>
    <row r="58" spans="1:12" x14ac:dyDescent="0.2">
      <c r="L58" s="4"/>
    </row>
    <row r="59" spans="1:12" ht="17" x14ac:dyDescent="0.2">
      <c r="C59" s="8" t="s">
        <v>45</v>
      </c>
      <c r="D59" s="23" t="s">
        <v>38</v>
      </c>
      <c r="E59" s="23" t="s">
        <v>100</v>
      </c>
      <c r="L59" s="4"/>
    </row>
    <row r="60" spans="1:12" ht="19" x14ac:dyDescent="0.2">
      <c r="C60" s="10" t="s">
        <v>328</v>
      </c>
      <c r="D60" s="29">
        <f>SQRT($D$40/D51)</f>
        <v>0.83491748653373365</v>
      </c>
      <c r="E60" s="29">
        <f>SQRT($D$40/E51)</f>
        <v>1.3840844532602599</v>
      </c>
      <c r="L60" s="4"/>
    </row>
    <row r="61" spans="1:12" x14ac:dyDescent="0.2">
      <c r="L61" s="4"/>
    </row>
    <row r="62" spans="1:12" x14ac:dyDescent="0.2">
      <c r="A62" s="3" t="s">
        <v>176</v>
      </c>
    </row>
    <row r="63" spans="1:12" x14ac:dyDescent="0.2">
      <c r="A63" s="3"/>
      <c r="B63" s="160" t="s">
        <v>329</v>
      </c>
      <c r="C63" s="160"/>
      <c r="D63" s="160"/>
      <c r="E63" s="160"/>
      <c r="F63" s="160"/>
      <c r="G63" s="160"/>
      <c r="H63" s="160"/>
      <c r="I63" s="160"/>
    </row>
    <row r="64" spans="1:12" x14ac:dyDescent="0.2">
      <c r="A64" s="3"/>
      <c r="B64" s="160"/>
      <c r="C64" s="160"/>
      <c r="D64" s="160"/>
      <c r="E64" s="160"/>
      <c r="F64" s="160"/>
      <c r="G64" s="160"/>
      <c r="H64" s="160"/>
      <c r="I64" s="160"/>
    </row>
    <row r="65" spans="1:14" x14ac:dyDescent="0.2">
      <c r="A65" s="3"/>
    </row>
    <row r="66" spans="1:14" x14ac:dyDescent="0.2">
      <c r="A66" s="3"/>
      <c r="B66" s="160" t="s">
        <v>330</v>
      </c>
      <c r="C66" s="160"/>
      <c r="D66" s="160"/>
      <c r="E66" s="160"/>
      <c r="F66" s="160"/>
      <c r="G66" s="160"/>
      <c r="H66" s="160"/>
      <c r="I66" s="160"/>
    </row>
    <row r="67" spans="1:14" x14ac:dyDescent="0.2">
      <c r="A67" s="3"/>
      <c r="B67" s="160"/>
      <c r="C67" s="160"/>
      <c r="D67" s="160"/>
      <c r="E67" s="160"/>
      <c r="F67" s="160"/>
      <c r="G67" s="160"/>
      <c r="H67" s="160"/>
      <c r="I67" s="160"/>
    </row>
    <row r="68" spans="1:14" x14ac:dyDescent="0.2">
      <c r="A68" s="3"/>
    </row>
    <row r="69" spans="1:14" x14ac:dyDescent="0.2">
      <c r="A69" s="3"/>
    </row>
    <row r="70" spans="1:14" x14ac:dyDescent="0.2">
      <c r="B70" s="14"/>
    </row>
    <row r="71" spans="1:14" x14ac:dyDescent="0.2">
      <c r="B71" s="60" t="s">
        <v>104</v>
      </c>
    </row>
    <row r="73" spans="1:14" x14ac:dyDescent="0.2">
      <c r="C73" s="83"/>
    </row>
    <row r="75" spans="1:14" ht="19" x14ac:dyDescent="0.25">
      <c r="A75" s="2" t="s">
        <v>114</v>
      </c>
      <c r="L75" s="4"/>
      <c r="M75" s="4"/>
      <c r="N75" s="4"/>
    </row>
    <row r="76" spans="1:14" ht="16" customHeight="1" x14ac:dyDescent="0.25">
      <c r="A76" s="2"/>
      <c r="B76" s="190" t="s">
        <v>375</v>
      </c>
      <c r="C76" s="190"/>
      <c r="D76" s="190"/>
      <c r="E76" s="190"/>
      <c r="F76" s="190"/>
      <c r="G76" s="190"/>
      <c r="H76" s="190"/>
      <c r="I76" s="190"/>
      <c r="L76" s="4"/>
      <c r="M76" s="4"/>
      <c r="N76" s="4"/>
    </row>
    <row r="77" spans="1:14" ht="16" customHeight="1" x14ac:dyDescent="0.25">
      <c r="A77" s="2"/>
      <c r="B77" s="190"/>
      <c r="C77" s="190"/>
      <c r="D77" s="190"/>
      <c r="E77" s="190"/>
      <c r="F77" s="190"/>
      <c r="G77" s="190"/>
      <c r="H77" s="190"/>
      <c r="I77" s="190"/>
      <c r="L77" s="4"/>
      <c r="M77" s="4"/>
      <c r="N77" s="4"/>
    </row>
    <row r="78" spans="1:14" ht="16" customHeight="1" x14ac:dyDescent="0.25">
      <c r="A78" s="2"/>
      <c r="B78" s="190"/>
      <c r="C78" s="190"/>
      <c r="D78" s="190"/>
      <c r="E78" s="190"/>
      <c r="F78" s="190"/>
      <c r="G78" s="190"/>
      <c r="H78" s="190"/>
      <c r="I78" s="190"/>
      <c r="L78" s="4"/>
      <c r="M78" s="4"/>
      <c r="N78" s="4"/>
    </row>
    <row r="79" spans="1:14" ht="16" customHeight="1" x14ac:dyDescent="0.2">
      <c r="B79" s="160"/>
      <c r="C79" s="160"/>
      <c r="D79" s="160"/>
      <c r="E79" s="160"/>
      <c r="F79" s="160"/>
      <c r="G79" s="160"/>
      <c r="H79" s="160"/>
      <c r="I79" s="160"/>
      <c r="L79" s="4"/>
      <c r="M79" s="4"/>
      <c r="N79" s="4"/>
    </row>
    <row r="80" spans="1:14" ht="16" customHeight="1" x14ac:dyDescent="0.2">
      <c r="B80" s="160" t="s">
        <v>331</v>
      </c>
      <c r="C80" s="160"/>
      <c r="D80" s="160"/>
      <c r="E80" s="160"/>
      <c r="F80" s="160"/>
      <c r="G80" s="160"/>
      <c r="H80" s="160"/>
      <c r="I80" s="160"/>
      <c r="L80" s="4"/>
      <c r="M80" s="4"/>
      <c r="N80" s="4"/>
    </row>
    <row r="81" spans="1:14" ht="16" customHeight="1" x14ac:dyDescent="0.2">
      <c r="B81" s="160"/>
      <c r="C81" s="160"/>
      <c r="D81" s="160"/>
      <c r="E81" s="160"/>
      <c r="F81" s="160"/>
      <c r="G81" s="160"/>
      <c r="H81" s="160"/>
      <c r="I81" s="160"/>
      <c r="L81" s="4"/>
      <c r="M81" s="4"/>
      <c r="N81" s="4"/>
    </row>
    <row r="82" spans="1:14" ht="16" customHeight="1" x14ac:dyDescent="0.2">
      <c r="M82" s="65"/>
    </row>
    <row r="83" spans="1:14" ht="16" customHeight="1" x14ac:dyDescent="0.2">
      <c r="B83" s="160" t="s">
        <v>332</v>
      </c>
      <c r="C83" s="160"/>
      <c r="D83" s="160"/>
      <c r="E83" s="160"/>
      <c r="F83" s="160"/>
      <c r="G83" s="160"/>
      <c r="H83" s="160"/>
      <c r="I83" s="160"/>
      <c r="L83" s="4"/>
      <c r="M83" s="4"/>
      <c r="N83" s="4"/>
    </row>
    <row r="84" spans="1:14" ht="16" customHeight="1" x14ac:dyDescent="0.2">
      <c r="B84" s="160"/>
      <c r="C84" s="160"/>
      <c r="D84" s="160"/>
      <c r="E84" s="160"/>
      <c r="F84" s="160"/>
      <c r="G84" s="160"/>
      <c r="H84" s="160"/>
      <c r="I84" s="160"/>
      <c r="L84" s="4"/>
      <c r="M84" s="4"/>
      <c r="N84" s="4"/>
    </row>
    <row r="85" spans="1:14" ht="16" customHeight="1" x14ac:dyDescent="0.2">
      <c r="L85" s="4"/>
      <c r="M85" s="4"/>
      <c r="N85" s="4"/>
    </row>
    <row r="86" spans="1:14" ht="19" x14ac:dyDescent="0.25">
      <c r="A86" s="2" t="s">
        <v>126</v>
      </c>
      <c r="L86" s="4"/>
      <c r="M86" s="4"/>
      <c r="N86" s="4"/>
    </row>
    <row r="87" spans="1:14" x14ac:dyDescent="0.2">
      <c r="B87" s="60" t="s">
        <v>162</v>
      </c>
      <c r="L87" s="4"/>
      <c r="M87" s="4"/>
      <c r="N87" s="4"/>
    </row>
    <row r="88" spans="1:14" x14ac:dyDescent="0.2">
      <c r="L88" s="4"/>
      <c r="M88" s="4"/>
      <c r="N88" s="4"/>
    </row>
    <row r="89" spans="1:14" x14ac:dyDescent="0.2">
      <c r="L89" s="4"/>
      <c r="M89" s="4"/>
      <c r="N89" s="4"/>
    </row>
    <row r="90" spans="1:14" x14ac:dyDescent="0.2">
      <c r="L90" s="4"/>
      <c r="M90" s="4"/>
      <c r="N90" s="4"/>
    </row>
    <row r="91" spans="1:14" x14ac:dyDescent="0.2">
      <c r="L91" s="4"/>
      <c r="M91" s="4"/>
      <c r="N91" s="4"/>
    </row>
    <row r="92" spans="1:14" x14ac:dyDescent="0.2">
      <c r="M92" s="65"/>
    </row>
    <row r="93" spans="1:14" x14ac:dyDescent="0.2">
      <c r="L93" s="4"/>
      <c r="M93" s="4"/>
      <c r="N93" s="4"/>
    </row>
    <row r="94" spans="1:14" x14ac:dyDescent="0.2">
      <c r="L94" s="4"/>
      <c r="M94" s="4"/>
      <c r="N94" s="4"/>
    </row>
    <row r="95" spans="1:14" x14ac:dyDescent="0.2">
      <c r="L95" s="4"/>
      <c r="M95" s="4"/>
      <c r="N95" s="4"/>
    </row>
    <row r="96" spans="1:14" x14ac:dyDescent="0.2">
      <c r="L96" s="4"/>
      <c r="M96" s="4"/>
      <c r="N96" s="4"/>
    </row>
    <row r="97" spans="1:65" x14ac:dyDescent="0.2">
      <c r="L97" s="4"/>
      <c r="M97" s="4"/>
      <c r="N97" s="4"/>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M102" s="65"/>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sheetData>
  <mergeCells count="7">
    <mergeCell ref="B80:I81"/>
    <mergeCell ref="B83:I84"/>
    <mergeCell ref="B6:H6"/>
    <mergeCell ref="B63:I64"/>
    <mergeCell ref="B66:I67"/>
    <mergeCell ref="B76:I78"/>
    <mergeCell ref="B79:I7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N207"/>
  <sheetViews>
    <sheetView showGridLines="0" zoomScale="120" zoomScaleNormal="120" workbookViewId="0"/>
  </sheetViews>
  <sheetFormatPr baseColWidth="10" defaultColWidth="10.83203125" defaultRowHeight="16" x14ac:dyDescent="0.2"/>
  <cols>
    <col min="1" max="12" width="10.83203125" style="60" customWidth="1"/>
    <col min="13" max="16384" width="10.83203125" style="60"/>
  </cols>
  <sheetData>
    <row r="1" spans="1:11" ht="19" x14ac:dyDescent="0.25">
      <c r="A1" s="73" t="s">
        <v>191</v>
      </c>
      <c r="B1" s="58"/>
      <c r="C1" s="58"/>
      <c r="D1" s="58"/>
      <c r="E1" s="58"/>
      <c r="F1" s="58"/>
      <c r="G1" s="58"/>
      <c r="H1" s="58"/>
      <c r="I1" s="58"/>
      <c r="J1" s="58"/>
      <c r="K1" s="59"/>
    </row>
    <row r="2" spans="1:11" x14ac:dyDescent="0.2">
      <c r="A2" s="5"/>
      <c r="B2" s="58"/>
      <c r="C2" s="58"/>
      <c r="D2" s="58"/>
      <c r="E2" s="58"/>
      <c r="F2" s="58"/>
      <c r="G2" s="58"/>
      <c r="H2" s="58"/>
      <c r="I2" s="58"/>
      <c r="J2" s="58"/>
      <c r="K2" s="59"/>
    </row>
    <row r="3" spans="1:11" x14ac:dyDescent="0.2">
      <c r="A3" s="5"/>
      <c r="B3" s="58" t="s">
        <v>46</v>
      </c>
      <c r="C3" s="58"/>
      <c r="D3" s="58"/>
      <c r="E3" s="58"/>
      <c r="F3" s="58"/>
      <c r="G3" s="58"/>
      <c r="H3" s="58"/>
      <c r="I3" s="58"/>
      <c r="J3" s="58"/>
      <c r="K3" s="59"/>
    </row>
    <row r="4" spans="1:11" x14ac:dyDescent="0.2">
      <c r="A4" s="5"/>
      <c r="B4" s="58" t="s">
        <v>105</v>
      </c>
      <c r="C4" s="58"/>
      <c r="D4" s="58"/>
      <c r="E4" s="58"/>
      <c r="F4" s="58"/>
      <c r="G4" s="58"/>
      <c r="H4" s="58"/>
      <c r="I4" s="58"/>
      <c r="J4" s="58"/>
      <c r="K4" s="59"/>
    </row>
    <row r="5" spans="1:11" x14ac:dyDescent="0.2">
      <c r="A5" s="5"/>
      <c r="B5" s="58"/>
      <c r="C5" s="58"/>
      <c r="D5" s="58"/>
      <c r="E5" s="58"/>
      <c r="F5" s="58"/>
      <c r="G5" s="58"/>
      <c r="H5" s="58"/>
      <c r="I5" s="58"/>
      <c r="J5" s="58"/>
      <c r="K5" s="59"/>
    </row>
    <row r="6" spans="1:11" x14ac:dyDescent="0.2">
      <c r="A6" s="5"/>
      <c r="B6" s="58"/>
      <c r="C6" s="58"/>
      <c r="D6" s="58"/>
      <c r="E6" s="58"/>
      <c r="F6" s="24" t="s">
        <v>47</v>
      </c>
      <c r="G6" s="58"/>
      <c r="H6" s="58"/>
      <c r="I6" s="58"/>
      <c r="J6" s="58"/>
      <c r="K6" s="59"/>
    </row>
    <row r="7" spans="1:11" x14ac:dyDescent="0.2">
      <c r="A7" s="5"/>
      <c r="B7" s="58"/>
      <c r="C7" s="58"/>
      <c r="D7" s="58"/>
      <c r="E7" s="58"/>
      <c r="F7" s="24"/>
      <c r="G7" s="58"/>
      <c r="H7" s="58"/>
      <c r="I7" s="58"/>
      <c r="J7" s="58"/>
      <c r="K7" s="59"/>
    </row>
    <row r="8" spans="1:11" x14ac:dyDescent="0.2">
      <c r="A8" s="5"/>
      <c r="B8" s="156" t="s">
        <v>48</v>
      </c>
      <c r="C8" s="157"/>
      <c r="D8" s="157"/>
      <c r="E8" s="158"/>
      <c r="F8" s="58"/>
      <c r="G8" s="156" t="s">
        <v>49</v>
      </c>
      <c r="H8" s="157"/>
      <c r="I8" s="157"/>
      <c r="J8" s="158"/>
      <c r="K8" s="59"/>
    </row>
    <row r="9" spans="1:11" ht="17" x14ac:dyDescent="0.2">
      <c r="A9" s="5"/>
      <c r="B9" s="38" t="s">
        <v>7</v>
      </c>
      <c r="C9" s="36">
        <v>12</v>
      </c>
      <c r="D9" s="36">
        <v>24</v>
      </c>
      <c r="E9" s="37">
        <v>36</v>
      </c>
      <c r="F9" s="58"/>
      <c r="G9" s="38" t="s">
        <v>7</v>
      </c>
      <c r="H9" s="36">
        <v>12</v>
      </c>
      <c r="I9" s="36">
        <v>24</v>
      </c>
      <c r="J9" s="37">
        <v>36</v>
      </c>
      <c r="K9" s="59"/>
    </row>
    <row r="10" spans="1:11" ht="17" thickBot="1" x14ac:dyDescent="0.25">
      <c r="A10" s="5"/>
      <c r="B10" s="39">
        <v>2021</v>
      </c>
      <c r="C10" s="46"/>
      <c r="D10" s="46"/>
      <c r="E10" s="47"/>
      <c r="F10" s="58"/>
      <c r="G10" s="39">
        <v>2021</v>
      </c>
      <c r="H10" s="46"/>
      <c r="I10" s="46"/>
      <c r="J10" s="47"/>
      <c r="K10" s="59"/>
    </row>
    <row r="11" spans="1:11" ht="17" thickBot="1" x14ac:dyDescent="0.25">
      <c r="A11" s="5"/>
      <c r="B11" s="40">
        <v>2022</v>
      </c>
      <c r="C11" s="7"/>
      <c r="D11" s="25"/>
      <c r="E11" s="17">
        <v>68.5</v>
      </c>
      <c r="F11" s="58"/>
      <c r="G11" s="40">
        <v>2022</v>
      </c>
      <c r="H11" s="7"/>
      <c r="I11" s="25"/>
      <c r="J11" s="17">
        <v>72.599999999999994</v>
      </c>
      <c r="K11" s="59"/>
    </row>
    <row r="12" spans="1:11" x14ac:dyDescent="0.2">
      <c r="A12" s="5"/>
      <c r="B12" s="41">
        <v>2023</v>
      </c>
      <c r="C12" s="48"/>
      <c r="D12" s="35">
        <v>163.4</v>
      </c>
      <c r="E12" s="15">
        <v>76.2</v>
      </c>
      <c r="F12" s="58"/>
      <c r="G12" s="41">
        <v>2023</v>
      </c>
      <c r="H12" s="48"/>
      <c r="I12" s="35">
        <v>176.4</v>
      </c>
      <c r="J12" s="15">
        <v>74.7</v>
      </c>
      <c r="K12" s="59"/>
    </row>
    <row r="13" spans="1:11" x14ac:dyDescent="0.2">
      <c r="A13" s="5"/>
      <c r="B13" s="74"/>
      <c r="C13" s="58"/>
      <c r="D13" s="58"/>
      <c r="E13" s="58"/>
      <c r="F13" s="58"/>
      <c r="G13" s="58"/>
      <c r="H13" s="58"/>
      <c r="I13" s="58"/>
      <c r="J13" s="58"/>
      <c r="K13" s="59"/>
    </row>
    <row r="14" spans="1:11" x14ac:dyDescent="0.2">
      <c r="A14" s="5"/>
      <c r="B14" s="58"/>
      <c r="C14" s="58"/>
      <c r="D14" s="58"/>
      <c r="E14" s="58"/>
      <c r="F14" s="24" t="s">
        <v>50</v>
      </c>
      <c r="G14" s="58"/>
      <c r="H14" s="58"/>
      <c r="I14" s="58"/>
      <c r="J14" s="58"/>
      <c r="K14" s="59"/>
    </row>
    <row r="15" spans="1:11" x14ac:dyDescent="0.2">
      <c r="A15" s="5"/>
      <c r="B15" s="58"/>
      <c r="C15" s="58"/>
      <c r="D15" s="58"/>
      <c r="E15" s="58"/>
      <c r="F15" s="24"/>
      <c r="G15" s="58"/>
      <c r="H15" s="58"/>
      <c r="I15" s="58"/>
      <c r="J15" s="58"/>
      <c r="K15" s="59"/>
    </row>
    <row r="16" spans="1:11" x14ac:dyDescent="0.2">
      <c r="A16" s="5"/>
      <c r="B16" s="156" t="s">
        <v>48</v>
      </c>
      <c r="C16" s="157"/>
      <c r="D16" s="157"/>
      <c r="E16" s="158"/>
      <c r="F16" s="58"/>
      <c r="G16" s="156" t="s">
        <v>49</v>
      </c>
      <c r="H16" s="157"/>
      <c r="I16" s="157"/>
      <c r="J16" s="158"/>
      <c r="K16" s="59"/>
    </row>
    <row r="17" spans="1:11" ht="17" x14ac:dyDescent="0.2">
      <c r="A17" s="5"/>
      <c r="B17" s="38" t="s">
        <v>7</v>
      </c>
      <c r="C17" s="36">
        <v>12</v>
      </c>
      <c r="D17" s="36">
        <v>24</v>
      </c>
      <c r="E17" s="37">
        <v>36</v>
      </c>
      <c r="F17" s="58"/>
      <c r="G17" s="38" t="s">
        <v>7</v>
      </c>
      <c r="H17" s="36">
        <v>12</v>
      </c>
      <c r="I17" s="36">
        <v>24</v>
      </c>
      <c r="J17" s="37">
        <v>36</v>
      </c>
      <c r="K17" s="59"/>
    </row>
    <row r="18" spans="1:11" ht="17" thickBot="1" x14ac:dyDescent="0.25">
      <c r="A18" s="5"/>
      <c r="B18" s="39">
        <v>2021</v>
      </c>
      <c r="C18" s="46"/>
      <c r="D18" s="46"/>
      <c r="E18" s="47"/>
      <c r="F18" s="58"/>
      <c r="G18" s="39">
        <v>2021</v>
      </c>
      <c r="H18" s="46"/>
      <c r="I18" s="46"/>
      <c r="J18" s="47"/>
      <c r="K18" s="59"/>
    </row>
    <row r="19" spans="1:11" ht="17" thickBot="1" x14ac:dyDescent="0.25">
      <c r="A19" s="5"/>
      <c r="B19" s="40">
        <v>2022</v>
      </c>
      <c r="C19" s="7"/>
      <c r="D19" s="25"/>
      <c r="E19" s="17">
        <v>65.900000000000006</v>
      </c>
      <c r="F19" s="58"/>
      <c r="G19" s="40">
        <v>2022</v>
      </c>
      <c r="H19" s="7"/>
      <c r="I19" s="25"/>
      <c r="J19" s="17">
        <v>68.5</v>
      </c>
      <c r="K19" s="59"/>
    </row>
    <row r="20" spans="1:11" x14ac:dyDescent="0.2">
      <c r="A20" s="5"/>
      <c r="B20" s="41">
        <v>2023</v>
      </c>
      <c r="C20" s="48"/>
      <c r="D20" s="35">
        <v>142.30000000000001</v>
      </c>
      <c r="E20" s="15">
        <v>68.3</v>
      </c>
      <c r="F20" s="58"/>
      <c r="G20" s="41">
        <v>2023</v>
      </c>
      <c r="H20" s="48"/>
      <c r="I20" s="35">
        <v>151.30000000000001</v>
      </c>
      <c r="J20" s="15">
        <v>66.3</v>
      </c>
      <c r="K20" s="59"/>
    </row>
    <row r="21" spans="1:11" x14ac:dyDescent="0.2">
      <c r="A21" s="5"/>
      <c r="B21" s="58"/>
      <c r="C21" s="58"/>
      <c r="D21" s="58"/>
      <c r="E21" s="58"/>
      <c r="F21" s="58"/>
      <c r="G21" s="58"/>
      <c r="H21" s="58"/>
      <c r="I21" s="58"/>
      <c r="J21" s="58"/>
      <c r="K21" s="59"/>
    </row>
    <row r="22" spans="1:11" x14ac:dyDescent="0.2">
      <c r="A22" s="5"/>
      <c r="B22" s="58"/>
      <c r="C22" s="58"/>
      <c r="D22" s="58"/>
      <c r="E22" s="58"/>
      <c r="F22" s="58"/>
      <c r="G22" s="58"/>
      <c r="H22" s="58"/>
      <c r="I22" s="58"/>
      <c r="J22" s="58"/>
      <c r="K22" s="59"/>
    </row>
    <row r="23" spans="1:11" x14ac:dyDescent="0.2">
      <c r="A23" s="5"/>
      <c r="B23" s="58"/>
      <c r="C23" s="58"/>
      <c r="D23" s="58"/>
      <c r="E23" s="156" t="s">
        <v>51</v>
      </c>
      <c r="F23" s="157"/>
      <c r="G23" s="158"/>
      <c r="H23" s="58"/>
      <c r="I23" s="58"/>
      <c r="J23" s="58"/>
      <c r="K23" s="59"/>
    </row>
    <row r="24" spans="1:11" ht="35" customHeight="1" x14ac:dyDescent="0.2">
      <c r="A24" s="5"/>
      <c r="B24" s="58"/>
      <c r="C24" s="58"/>
      <c r="D24" s="58"/>
      <c r="E24" s="38" t="s">
        <v>7</v>
      </c>
      <c r="F24" s="36" t="s">
        <v>52</v>
      </c>
      <c r="G24" s="37" t="s">
        <v>53</v>
      </c>
      <c r="H24" s="58"/>
      <c r="I24" s="58"/>
      <c r="J24" s="58"/>
      <c r="K24" s="59"/>
    </row>
    <row r="25" spans="1:11" x14ac:dyDescent="0.2">
      <c r="A25" s="5"/>
      <c r="B25" s="58"/>
      <c r="C25" s="58"/>
      <c r="D25" s="58"/>
      <c r="E25" s="40">
        <v>2022</v>
      </c>
      <c r="F25" s="49">
        <v>0.5</v>
      </c>
      <c r="G25" s="50">
        <v>0.5</v>
      </c>
      <c r="H25" s="58"/>
      <c r="I25" s="58"/>
      <c r="J25" s="58"/>
      <c r="K25" s="59"/>
    </row>
    <row r="26" spans="1:11" x14ac:dyDescent="0.2">
      <c r="A26" s="5"/>
      <c r="B26" s="58"/>
      <c r="C26" s="58"/>
      <c r="D26" s="58"/>
      <c r="E26" s="41">
        <v>2023</v>
      </c>
      <c r="F26" s="51">
        <v>0.2</v>
      </c>
      <c r="G26" s="52">
        <v>0.8</v>
      </c>
      <c r="H26" s="58"/>
      <c r="I26" s="58"/>
      <c r="J26" s="58"/>
      <c r="K26" s="59"/>
    </row>
    <row r="27" spans="1:11" x14ac:dyDescent="0.2">
      <c r="A27" s="5"/>
      <c r="B27" s="58"/>
      <c r="C27" s="58"/>
      <c r="D27" s="58"/>
      <c r="E27" s="58"/>
      <c r="F27" s="58"/>
      <c r="G27" s="58"/>
      <c r="H27" s="58"/>
      <c r="I27" s="58"/>
      <c r="J27" s="58"/>
      <c r="K27" s="59"/>
    </row>
    <row r="28" spans="1:11" x14ac:dyDescent="0.2">
      <c r="A28" s="5"/>
      <c r="B28" s="75" t="s">
        <v>193</v>
      </c>
      <c r="C28" s="58"/>
      <c r="D28" s="58"/>
      <c r="E28" s="58"/>
      <c r="F28" s="58"/>
      <c r="G28" s="58"/>
      <c r="H28" s="58"/>
      <c r="I28" s="58"/>
      <c r="J28" s="58"/>
      <c r="K28" s="59"/>
    </row>
    <row r="29" spans="1:11" x14ac:dyDescent="0.2">
      <c r="A29" s="5"/>
      <c r="B29" s="58"/>
      <c r="C29" s="58"/>
      <c r="D29" s="58"/>
      <c r="E29" s="58"/>
      <c r="F29" s="58"/>
      <c r="G29" s="58"/>
      <c r="H29" s="58"/>
      <c r="I29" s="58"/>
      <c r="J29" s="58"/>
      <c r="K29" s="59"/>
    </row>
    <row r="30" spans="1:11" x14ac:dyDescent="0.2">
      <c r="A30" s="5"/>
      <c r="B30" s="58"/>
      <c r="C30" s="58"/>
      <c r="D30" s="58"/>
      <c r="E30" s="58"/>
      <c r="F30" s="58"/>
      <c r="G30" s="58"/>
      <c r="H30" s="58"/>
      <c r="I30" s="58"/>
      <c r="J30" s="58"/>
      <c r="K30" s="59"/>
    </row>
    <row r="31" spans="1:11" x14ac:dyDescent="0.2">
      <c r="A31" s="5"/>
      <c r="B31" s="58" t="s">
        <v>54</v>
      </c>
      <c r="C31" s="58"/>
      <c r="D31" s="58"/>
      <c r="E31" s="58"/>
      <c r="F31" s="58"/>
      <c r="G31" s="58"/>
      <c r="H31" s="58"/>
      <c r="I31" s="58"/>
      <c r="J31" s="58"/>
      <c r="K31" s="59"/>
    </row>
    <row r="32" spans="1:11" ht="17" thickBot="1" x14ac:dyDescent="0.25">
      <c r="A32" s="61"/>
      <c r="B32" s="62"/>
      <c r="C32" s="63"/>
      <c r="D32" s="63"/>
      <c r="E32" s="63"/>
      <c r="F32" s="62"/>
      <c r="G32" s="62"/>
      <c r="H32" s="62"/>
      <c r="I32" s="62"/>
      <c r="J32" s="62"/>
      <c r="K32" s="64"/>
    </row>
    <row r="34" spans="1:13" ht="19" x14ac:dyDescent="0.25">
      <c r="A34" s="2" t="s">
        <v>2</v>
      </c>
    </row>
    <row r="35" spans="1:13" x14ac:dyDescent="0.2">
      <c r="A35" s="68" t="s">
        <v>177</v>
      </c>
      <c r="B35" s="14" t="s">
        <v>106</v>
      </c>
      <c r="C35" s="65"/>
    </row>
    <row r="39" spans="1:13" x14ac:dyDescent="0.2">
      <c r="M39" s="4"/>
    </row>
    <row r="40" spans="1:13" x14ac:dyDescent="0.2">
      <c r="B40" s="160" t="s">
        <v>333</v>
      </c>
      <c r="C40" s="160"/>
      <c r="D40" s="160"/>
      <c r="E40" s="160"/>
      <c r="F40" s="160"/>
      <c r="G40" s="160"/>
      <c r="H40" s="160"/>
      <c r="I40" s="160"/>
      <c r="M40" s="4"/>
    </row>
    <row r="41" spans="1:13" x14ac:dyDescent="0.2">
      <c r="B41" s="160"/>
      <c r="C41" s="160"/>
      <c r="D41" s="160"/>
      <c r="E41" s="160"/>
      <c r="F41" s="160"/>
      <c r="G41" s="160"/>
      <c r="H41" s="160"/>
      <c r="I41" s="160"/>
      <c r="M41" s="4"/>
    </row>
    <row r="42" spans="1:13" x14ac:dyDescent="0.2">
      <c r="M42" s="4"/>
    </row>
    <row r="43" spans="1:13" x14ac:dyDescent="0.2">
      <c r="B43" s="159" t="s">
        <v>48</v>
      </c>
      <c r="C43" s="159"/>
      <c r="D43" s="159"/>
      <c r="E43" s="159"/>
      <c r="G43" s="159" t="s">
        <v>49</v>
      </c>
      <c r="H43" s="159"/>
      <c r="I43" s="159"/>
      <c r="J43" s="159"/>
      <c r="M43" s="4"/>
    </row>
    <row r="44" spans="1:13" ht="17" x14ac:dyDescent="0.2">
      <c r="B44" s="8" t="s">
        <v>7</v>
      </c>
      <c r="C44" s="9">
        <v>12</v>
      </c>
      <c r="D44" s="9">
        <v>24</v>
      </c>
      <c r="E44" s="9">
        <v>36</v>
      </c>
      <c r="G44" s="8" t="s">
        <v>7</v>
      </c>
      <c r="H44" s="9">
        <v>12</v>
      </c>
      <c r="I44" s="9">
        <v>24</v>
      </c>
      <c r="J44" s="9">
        <v>36</v>
      </c>
      <c r="M44" s="4"/>
    </row>
    <row r="45" spans="1:13" ht="17" thickBot="1" x14ac:dyDescent="0.25">
      <c r="B45" s="10">
        <v>2021</v>
      </c>
      <c r="C45" s="13"/>
      <c r="D45" s="13"/>
      <c r="E45" s="19"/>
      <c r="G45" s="10">
        <v>2021</v>
      </c>
      <c r="H45" s="13"/>
      <c r="I45" s="13"/>
      <c r="J45" s="19"/>
      <c r="M45" s="4"/>
    </row>
    <row r="46" spans="1:13" ht="17" thickBot="1" x14ac:dyDescent="0.25">
      <c r="B46" s="10">
        <v>2022</v>
      </c>
      <c r="C46" s="13"/>
      <c r="D46" s="20"/>
      <c r="E46" s="21">
        <f>$F25*E11+$G25*E19</f>
        <v>67.2</v>
      </c>
      <c r="G46" s="10">
        <v>2022</v>
      </c>
      <c r="H46" s="13"/>
      <c r="I46" s="20"/>
      <c r="J46" s="21">
        <f>$F25*J11+$G25*J19</f>
        <v>70.55</v>
      </c>
      <c r="M46" s="4"/>
    </row>
    <row r="47" spans="1:13" x14ac:dyDescent="0.2">
      <c r="B47" s="10">
        <v>2023</v>
      </c>
      <c r="C47" s="22"/>
      <c r="D47" s="21">
        <f>$F26*D12+$G26*D20</f>
        <v>146.52000000000001</v>
      </c>
      <c r="E47" s="21">
        <f>$F26*E12+$G26*E20</f>
        <v>69.88</v>
      </c>
      <c r="G47" s="10">
        <v>2023</v>
      </c>
      <c r="H47" s="22"/>
      <c r="I47" s="21">
        <f>$F26*I12+$G26*I20</f>
        <v>156.32000000000002</v>
      </c>
      <c r="J47" s="21">
        <f>$F26*J12+$G26*J20</f>
        <v>67.98</v>
      </c>
      <c r="M47" s="4"/>
    </row>
    <row r="48" spans="1:13" x14ac:dyDescent="0.2">
      <c r="M48" s="4"/>
    </row>
    <row r="49" spans="1:14" x14ac:dyDescent="0.2">
      <c r="M49" s="4"/>
    </row>
    <row r="50" spans="1:14" x14ac:dyDescent="0.2">
      <c r="A50" s="68" t="s">
        <v>178</v>
      </c>
      <c r="B50" s="14" t="s">
        <v>107</v>
      </c>
      <c r="M50" s="4"/>
    </row>
    <row r="51" spans="1:14" x14ac:dyDescent="0.2">
      <c r="M51" s="4"/>
    </row>
    <row r="52" spans="1:14" x14ac:dyDescent="0.2">
      <c r="C52" s="159" t="s">
        <v>55</v>
      </c>
      <c r="D52" s="159"/>
      <c r="E52" s="159"/>
      <c r="N52" s="4"/>
    </row>
    <row r="53" spans="1:14" x14ac:dyDescent="0.2">
      <c r="B53" s="3"/>
      <c r="C53" s="8"/>
      <c r="D53" s="9">
        <v>1</v>
      </c>
      <c r="E53" s="9">
        <v>2</v>
      </c>
    </row>
    <row r="54" spans="1:14" ht="20" customHeight="1" x14ac:dyDescent="0.2">
      <c r="C54" s="145" t="s">
        <v>56</v>
      </c>
      <c r="D54" s="26">
        <f>SUM(D46:E47)</f>
        <v>283.60000000000002</v>
      </c>
      <c r="E54" s="26">
        <f>SUM(I46:J47)</f>
        <v>294.85000000000002</v>
      </c>
    </row>
    <row r="56" spans="1:14" ht="19" x14ac:dyDescent="0.25">
      <c r="A56" s="2" t="s">
        <v>114</v>
      </c>
    </row>
    <row r="57" spans="1:14" x14ac:dyDescent="0.2">
      <c r="B57" s="60" t="s">
        <v>163</v>
      </c>
    </row>
    <row r="58" spans="1:14" x14ac:dyDescent="0.2">
      <c r="B58" s="60" t="s">
        <v>164</v>
      </c>
    </row>
    <row r="60" spans="1:14" ht="19" x14ac:dyDescent="0.25">
      <c r="A60" s="2" t="s">
        <v>126</v>
      </c>
    </row>
    <row r="61" spans="1:14" x14ac:dyDescent="0.2">
      <c r="B61" s="60" t="s">
        <v>165</v>
      </c>
    </row>
    <row r="63" spans="1:14" ht="19" x14ac:dyDescent="0.25">
      <c r="A63" s="2" t="s">
        <v>121</v>
      </c>
    </row>
    <row r="64" spans="1:14" x14ac:dyDescent="0.2">
      <c r="A64" s="3"/>
      <c r="B64" s="60" t="s">
        <v>166</v>
      </c>
      <c r="C64" s="65"/>
    </row>
    <row r="65" spans="13:15" x14ac:dyDescent="0.2">
      <c r="N65" s="65"/>
    </row>
    <row r="66" spans="13:15" x14ac:dyDescent="0.2">
      <c r="M66" s="4"/>
      <c r="N66" s="4"/>
      <c r="O66" s="4"/>
    </row>
    <row r="67" spans="13:15" x14ac:dyDescent="0.2">
      <c r="M67" s="4"/>
      <c r="N67" s="4"/>
      <c r="O67" s="4"/>
    </row>
    <row r="68" spans="13:15" x14ac:dyDescent="0.2">
      <c r="M68" s="4"/>
      <c r="N68" s="4"/>
      <c r="O68" s="4"/>
    </row>
    <row r="69" spans="13:15" x14ac:dyDescent="0.2">
      <c r="M69" s="4"/>
      <c r="N69" s="4"/>
      <c r="O69" s="4"/>
    </row>
    <row r="70" spans="13:15" x14ac:dyDescent="0.2">
      <c r="M70" s="4"/>
      <c r="N70" s="4"/>
      <c r="O70" s="4"/>
    </row>
    <row r="71" spans="13:15" x14ac:dyDescent="0.2">
      <c r="M71" s="4"/>
      <c r="N71" s="4"/>
      <c r="O71" s="4"/>
    </row>
    <row r="72" spans="13:15" x14ac:dyDescent="0.2">
      <c r="M72" s="4"/>
      <c r="N72" s="4"/>
      <c r="O72" s="4"/>
    </row>
    <row r="73" spans="13:15" x14ac:dyDescent="0.2">
      <c r="M73" s="4"/>
      <c r="N73" s="4"/>
      <c r="O73" s="4"/>
    </row>
    <row r="74" spans="13:15" x14ac:dyDescent="0.2">
      <c r="M74" s="4"/>
      <c r="N74" s="4"/>
      <c r="O74" s="4"/>
    </row>
    <row r="75" spans="13:15" x14ac:dyDescent="0.2">
      <c r="N75" s="65"/>
    </row>
    <row r="76" spans="13:15" x14ac:dyDescent="0.2">
      <c r="M76" s="4"/>
      <c r="N76" s="4"/>
      <c r="O76" s="4"/>
    </row>
    <row r="77" spans="13:15" x14ac:dyDescent="0.2">
      <c r="M77" s="4"/>
      <c r="N77" s="4"/>
      <c r="O77" s="4"/>
    </row>
    <row r="78" spans="13:15" x14ac:dyDescent="0.2">
      <c r="M78" s="4"/>
      <c r="N78" s="4"/>
      <c r="O78" s="4"/>
    </row>
    <row r="79" spans="13:15" x14ac:dyDescent="0.2">
      <c r="M79" s="4"/>
      <c r="N79" s="4"/>
      <c r="O79" s="4"/>
    </row>
    <row r="80" spans="13:15" x14ac:dyDescent="0.2">
      <c r="M80" s="4"/>
      <c r="N80" s="4"/>
      <c r="O80" s="4"/>
    </row>
    <row r="81" spans="13:15" x14ac:dyDescent="0.2">
      <c r="M81" s="4"/>
      <c r="N81" s="4"/>
      <c r="O81" s="4"/>
    </row>
    <row r="82" spans="13:15" x14ac:dyDescent="0.2">
      <c r="M82" s="4"/>
      <c r="N82" s="4"/>
      <c r="O82" s="4"/>
    </row>
    <row r="83" spans="13:15" x14ac:dyDescent="0.2">
      <c r="M83" s="4"/>
      <c r="N83" s="4"/>
      <c r="O83" s="4"/>
    </row>
    <row r="84" spans="13:15" x14ac:dyDescent="0.2">
      <c r="M84" s="4"/>
      <c r="N84" s="4"/>
      <c r="O84" s="4"/>
    </row>
    <row r="85" spans="13:15" x14ac:dyDescent="0.2">
      <c r="N85" s="65"/>
    </row>
    <row r="86" spans="13:15" x14ac:dyDescent="0.2">
      <c r="M86" s="4"/>
      <c r="N86" s="4"/>
      <c r="O86" s="4"/>
    </row>
    <row r="87" spans="13:15" x14ac:dyDescent="0.2">
      <c r="M87" s="4"/>
      <c r="N87" s="4"/>
      <c r="O87" s="4"/>
    </row>
    <row r="88" spans="13:15" x14ac:dyDescent="0.2">
      <c r="M88" s="4"/>
      <c r="N88" s="4"/>
      <c r="O88" s="4"/>
    </row>
    <row r="89" spans="13:15" x14ac:dyDescent="0.2">
      <c r="M89" s="4"/>
      <c r="N89" s="4"/>
      <c r="O89" s="4"/>
    </row>
    <row r="90" spans="13:15" x14ac:dyDescent="0.2">
      <c r="M90" s="4"/>
      <c r="N90" s="4"/>
      <c r="O90" s="4"/>
    </row>
    <row r="91" spans="13:15" x14ac:dyDescent="0.2">
      <c r="M91" s="4"/>
      <c r="N91" s="4"/>
      <c r="O91" s="4"/>
    </row>
    <row r="92" spans="13:15" x14ac:dyDescent="0.2">
      <c r="M92" s="4"/>
      <c r="N92" s="4"/>
      <c r="O92" s="4"/>
    </row>
    <row r="93" spans="13:15" x14ac:dyDescent="0.2">
      <c r="M93" s="4"/>
      <c r="N93" s="4"/>
      <c r="O93" s="4"/>
    </row>
    <row r="94" spans="13:15" x14ac:dyDescent="0.2">
      <c r="M94" s="4"/>
      <c r="N94" s="4"/>
      <c r="O94" s="4"/>
    </row>
    <row r="95" spans="13:15" x14ac:dyDescent="0.2">
      <c r="N95" s="65"/>
    </row>
    <row r="96" spans="13:15" x14ac:dyDescent="0.2">
      <c r="M96" s="4"/>
      <c r="N96" s="4"/>
      <c r="O96" s="4"/>
    </row>
    <row r="97" spans="1:66" x14ac:dyDescent="0.2">
      <c r="M97" s="4"/>
      <c r="N97" s="4"/>
      <c r="O97" s="4"/>
    </row>
    <row r="98" spans="1:66" x14ac:dyDescent="0.2">
      <c r="M98" s="4"/>
      <c r="N98" s="4"/>
      <c r="O98" s="4"/>
    </row>
    <row r="99" spans="1:66" x14ac:dyDescent="0.2">
      <c r="M99" s="4"/>
      <c r="N99" s="4"/>
      <c r="O99" s="4"/>
    </row>
    <row r="100" spans="1:66" x14ac:dyDescent="0.2">
      <c r="M100" s="4"/>
      <c r="N100" s="4"/>
      <c r="O100" s="4"/>
    </row>
    <row r="101" spans="1:66" x14ac:dyDescent="0.2">
      <c r="M101" s="4"/>
      <c r="N101" s="4"/>
      <c r="O101" s="4"/>
    </row>
    <row r="102" spans="1:66" x14ac:dyDescent="0.2">
      <c r="M102" s="4"/>
      <c r="N102" s="4"/>
      <c r="O102" s="4"/>
    </row>
    <row r="103" spans="1:66" x14ac:dyDescent="0.2">
      <c r="M103" s="4"/>
      <c r="N103" s="4"/>
      <c r="O103" s="4"/>
    </row>
    <row r="104" spans="1:66" x14ac:dyDescent="0.2">
      <c r="M104" s="4"/>
      <c r="N104" s="4"/>
      <c r="O104" s="4"/>
    </row>
    <row r="105" spans="1:66" x14ac:dyDescent="0.2">
      <c r="N105" s="65"/>
    </row>
    <row r="106" spans="1:66"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pans="1:6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6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66"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sheetData>
  <mergeCells count="9">
    <mergeCell ref="C52:E52"/>
    <mergeCell ref="B43:E43"/>
    <mergeCell ref="G43:J43"/>
    <mergeCell ref="B8:E8"/>
    <mergeCell ref="G8:J8"/>
    <mergeCell ref="B16:E16"/>
    <mergeCell ref="G16:J16"/>
    <mergeCell ref="E23:G23"/>
    <mergeCell ref="B40:I4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187"/>
  <sheetViews>
    <sheetView showGridLines="0" zoomScale="120" zoomScaleNormal="120" workbookViewId="0"/>
  </sheetViews>
  <sheetFormatPr baseColWidth="10" defaultColWidth="10.83203125" defaultRowHeight="16" x14ac:dyDescent="0.2"/>
  <cols>
    <col min="1" max="12" width="10.83203125" style="60" customWidth="1"/>
    <col min="13" max="16384" width="10.83203125" style="60"/>
  </cols>
  <sheetData>
    <row r="1" spans="1:11" ht="19" x14ac:dyDescent="0.25">
      <c r="A1" s="73" t="s">
        <v>192</v>
      </c>
      <c r="B1" s="58"/>
      <c r="C1" s="58"/>
      <c r="D1" s="58"/>
      <c r="E1" s="58"/>
      <c r="F1" s="58"/>
      <c r="G1" s="58"/>
      <c r="H1" s="58"/>
      <c r="I1" s="58"/>
      <c r="J1" s="58"/>
      <c r="K1" s="59"/>
    </row>
    <row r="2" spans="1:11" x14ac:dyDescent="0.2">
      <c r="A2" s="5"/>
      <c r="B2" s="58"/>
      <c r="C2" s="58"/>
      <c r="D2" s="58"/>
      <c r="E2" s="58"/>
      <c r="F2" s="58"/>
      <c r="G2" s="58"/>
      <c r="H2" s="58"/>
      <c r="I2" s="58"/>
      <c r="J2" s="58"/>
      <c r="K2" s="59"/>
    </row>
    <row r="3" spans="1:11" x14ac:dyDescent="0.2">
      <c r="A3" s="5"/>
      <c r="B3" s="58" t="s">
        <v>108</v>
      </c>
      <c r="C3" s="58"/>
      <c r="D3" s="58"/>
      <c r="E3" s="58"/>
      <c r="F3" s="58"/>
      <c r="G3" s="58"/>
      <c r="H3" s="58"/>
      <c r="I3" s="58"/>
      <c r="J3" s="58"/>
      <c r="K3" s="59"/>
    </row>
    <row r="4" spans="1:11" x14ac:dyDescent="0.2">
      <c r="A4" s="5"/>
      <c r="B4" s="58" t="s">
        <v>109</v>
      </c>
      <c r="C4" s="58"/>
      <c r="D4" s="58"/>
      <c r="E4" s="58"/>
      <c r="F4" s="58"/>
      <c r="G4" s="58"/>
      <c r="H4" s="58"/>
      <c r="I4" s="58"/>
      <c r="J4" s="58"/>
      <c r="K4" s="59"/>
    </row>
    <row r="5" spans="1:11" x14ac:dyDescent="0.2">
      <c r="A5" s="5"/>
      <c r="B5" s="58"/>
      <c r="C5" s="58"/>
      <c r="D5" s="58"/>
      <c r="E5" s="58"/>
      <c r="F5" s="58"/>
      <c r="G5" s="58"/>
      <c r="H5" s="58"/>
      <c r="I5" s="58"/>
      <c r="J5" s="58"/>
      <c r="K5" s="59"/>
    </row>
    <row r="6" spans="1:11" x14ac:dyDescent="0.2">
      <c r="A6" s="5"/>
      <c r="B6" s="58"/>
      <c r="C6" s="58"/>
      <c r="D6" s="58"/>
      <c r="E6" s="58"/>
      <c r="F6" s="24" t="s">
        <v>57</v>
      </c>
      <c r="G6" s="58"/>
      <c r="H6" s="58"/>
      <c r="I6" s="58"/>
      <c r="J6" s="58"/>
      <c r="K6" s="59"/>
    </row>
    <row r="7" spans="1:11" x14ac:dyDescent="0.2">
      <c r="A7" s="5"/>
      <c r="B7" s="58"/>
      <c r="C7" s="58"/>
      <c r="D7" s="58"/>
      <c r="E7" s="58"/>
      <c r="F7" s="24"/>
      <c r="G7" s="58"/>
      <c r="H7" s="58"/>
      <c r="I7" s="58"/>
      <c r="J7" s="58"/>
      <c r="K7" s="59"/>
    </row>
    <row r="8" spans="1:11" x14ac:dyDescent="0.2">
      <c r="A8" s="5"/>
      <c r="B8" s="156" t="s">
        <v>52</v>
      </c>
      <c r="C8" s="157"/>
      <c r="D8" s="157"/>
      <c r="E8" s="158"/>
      <c r="F8" s="58"/>
      <c r="G8" s="156" t="s">
        <v>53</v>
      </c>
      <c r="H8" s="157"/>
      <c r="I8" s="157"/>
      <c r="J8" s="158"/>
      <c r="K8" s="59"/>
    </row>
    <row r="9" spans="1:11" ht="17" x14ac:dyDescent="0.2">
      <c r="A9" s="5"/>
      <c r="B9" s="38" t="s">
        <v>7</v>
      </c>
      <c r="C9" s="36">
        <v>1</v>
      </c>
      <c r="D9" s="36">
        <v>2</v>
      </c>
      <c r="E9" s="37">
        <v>3</v>
      </c>
      <c r="F9" s="58"/>
      <c r="G9" s="38" t="s">
        <v>7</v>
      </c>
      <c r="H9" s="36">
        <v>1</v>
      </c>
      <c r="I9" s="36">
        <v>2</v>
      </c>
      <c r="J9" s="37">
        <v>3</v>
      </c>
      <c r="K9" s="59"/>
    </row>
    <row r="10" spans="1:11" x14ac:dyDescent="0.2">
      <c r="A10" s="5"/>
      <c r="B10" s="39">
        <v>2021</v>
      </c>
      <c r="C10" s="46">
        <v>325</v>
      </c>
      <c r="D10" s="46">
        <v>357</v>
      </c>
      <c r="E10" s="53">
        <v>308</v>
      </c>
      <c r="F10" s="58"/>
      <c r="G10" s="39">
        <v>2021</v>
      </c>
      <c r="H10" s="46">
        <v>343</v>
      </c>
      <c r="I10" s="46">
        <v>366</v>
      </c>
      <c r="J10" s="53">
        <v>324</v>
      </c>
      <c r="K10" s="59"/>
    </row>
    <row r="11" spans="1:11" x14ac:dyDescent="0.2">
      <c r="A11" s="5"/>
      <c r="B11" s="40">
        <v>2022</v>
      </c>
      <c r="C11" s="7">
        <v>673</v>
      </c>
      <c r="D11" s="7">
        <v>603</v>
      </c>
      <c r="E11" s="17">
        <v>786</v>
      </c>
      <c r="F11" s="58"/>
      <c r="G11" s="40">
        <v>2022</v>
      </c>
      <c r="H11" s="7">
        <v>743</v>
      </c>
      <c r="I11" s="7">
        <v>695</v>
      </c>
      <c r="J11" s="17">
        <v>761</v>
      </c>
      <c r="K11" s="59"/>
    </row>
    <row r="12" spans="1:11" x14ac:dyDescent="0.2">
      <c r="A12" s="5"/>
      <c r="B12" s="41">
        <v>2023</v>
      </c>
      <c r="C12" s="35">
        <v>2865</v>
      </c>
      <c r="D12" s="35">
        <v>3960</v>
      </c>
      <c r="E12" s="54">
        <v>3720</v>
      </c>
      <c r="F12" s="58"/>
      <c r="G12" s="41">
        <v>2023</v>
      </c>
      <c r="H12" s="35">
        <v>3240</v>
      </c>
      <c r="I12" s="35">
        <v>2980</v>
      </c>
      <c r="J12" s="54">
        <v>3310</v>
      </c>
      <c r="K12" s="59"/>
    </row>
    <row r="13" spans="1:11" x14ac:dyDescent="0.2">
      <c r="A13" s="5"/>
      <c r="B13" s="58"/>
      <c r="C13" s="58"/>
      <c r="D13" s="58"/>
      <c r="E13" s="58"/>
      <c r="F13" s="58"/>
      <c r="G13" s="58"/>
      <c r="H13" s="58"/>
      <c r="I13" s="58"/>
      <c r="J13" s="58"/>
      <c r="K13" s="59"/>
    </row>
    <row r="14" spans="1:11" x14ac:dyDescent="0.2">
      <c r="A14" s="5"/>
      <c r="B14" s="58"/>
      <c r="C14" s="58"/>
      <c r="D14" s="58"/>
      <c r="E14" s="58"/>
      <c r="F14" s="58"/>
      <c r="G14" s="58"/>
      <c r="H14" s="58"/>
      <c r="I14" s="58"/>
      <c r="J14" s="58"/>
      <c r="K14" s="59"/>
    </row>
    <row r="15" spans="1:11" x14ac:dyDescent="0.2">
      <c r="A15" s="5"/>
      <c r="B15" s="58"/>
      <c r="C15" s="58"/>
      <c r="D15" s="58"/>
      <c r="E15" s="156" t="s">
        <v>51</v>
      </c>
      <c r="F15" s="157"/>
      <c r="G15" s="158"/>
      <c r="H15" s="58"/>
      <c r="I15" s="58"/>
      <c r="J15" s="58"/>
      <c r="K15" s="59"/>
    </row>
    <row r="16" spans="1:11" ht="34" x14ac:dyDescent="0.2">
      <c r="A16" s="5"/>
      <c r="B16" s="58"/>
      <c r="C16" s="58"/>
      <c r="D16" s="58"/>
      <c r="E16" s="191" t="s">
        <v>7</v>
      </c>
      <c r="F16" s="46" t="s">
        <v>58</v>
      </c>
      <c r="G16" s="53" t="s">
        <v>59</v>
      </c>
      <c r="H16" s="58"/>
      <c r="I16" s="58"/>
      <c r="J16" s="58"/>
      <c r="K16" s="59"/>
    </row>
    <row r="17" spans="1:11" ht="17" x14ac:dyDescent="0.2">
      <c r="A17" s="5"/>
      <c r="B17" s="58"/>
      <c r="C17" s="58"/>
      <c r="D17" s="58"/>
      <c r="E17" s="192"/>
      <c r="F17" s="16" t="s">
        <v>60</v>
      </c>
      <c r="G17" s="15" t="s">
        <v>61</v>
      </c>
      <c r="H17" s="58"/>
      <c r="I17" s="58"/>
      <c r="J17" s="58"/>
      <c r="K17" s="59"/>
    </row>
    <row r="18" spans="1:11" x14ac:dyDescent="0.2">
      <c r="A18" s="5"/>
      <c r="B18" s="58"/>
      <c r="C18" s="58"/>
      <c r="D18" s="58"/>
      <c r="E18" s="39">
        <v>2021</v>
      </c>
      <c r="F18" s="55">
        <v>0.7</v>
      </c>
      <c r="G18" s="56">
        <v>0.3</v>
      </c>
      <c r="H18" s="58"/>
      <c r="I18" s="58"/>
      <c r="J18" s="58"/>
      <c r="K18" s="59"/>
    </row>
    <row r="19" spans="1:11" x14ac:dyDescent="0.2">
      <c r="A19" s="5"/>
      <c r="B19" s="58"/>
      <c r="C19" s="58"/>
      <c r="D19" s="58"/>
      <c r="E19" s="40">
        <v>2022</v>
      </c>
      <c r="F19" s="49">
        <v>0.5</v>
      </c>
      <c r="G19" s="50">
        <v>0.5</v>
      </c>
      <c r="H19" s="58"/>
      <c r="I19" s="58"/>
      <c r="J19" s="58"/>
      <c r="K19" s="59"/>
    </row>
    <row r="20" spans="1:11" x14ac:dyDescent="0.2">
      <c r="A20" s="5"/>
      <c r="B20" s="58"/>
      <c r="C20" s="58"/>
      <c r="D20" s="58"/>
      <c r="E20" s="41">
        <v>2023</v>
      </c>
      <c r="F20" s="51">
        <v>0.2</v>
      </c>
      <c r="G20" s="52">
        <v>0.8</v>
      </c>
      <c r="H20" s="58"/>
      <c r="I20" s="58"/>
      <c r="J20" s="58"/>
      <c r="K20" s="59"/>
    </row>
    <row r="21" spans="1:11" x14ac:dyDescent="0.2">
      <c r="A21" s="5"/>
      <c r="B21" s="58"/>
      <c r="C21" s="58"/>
      <c r="D21" s="58"/>
      <c r="E21" s="58"/>
      <c r="F21" s="58"/>
      <c r="G21" s="58"/>
      <c r="H21" s="58"/>
      <c r="I21" s="58"/>
      <c r="J21" s="58"/>
      <c r="K21" s="59"/>
    </row>
    <row r="22" spans="1:11" x14ac:dyDescent="0.2">
      <c r="A22" s="5"/>
      <c r="B22" s="58"/>
      <c r="C22" s="58"/>
      <c r="D22" s="58"/>
      <c r="E22" s="58"/>
      <c r="F22" s="58"/>
      <c r="G22" s="58"/>
      <c r="H22" s="58"/>
      <c r="I22" s="58"/>
      <c r="J22" s="58"/>
      <c r="K22" s="59"/>
    </row>
    <row r="23" spans="1:11" x14ac:dyDescent="0.2">
      <c r="A23" s="5"/>
      <c r="B23" s="58" t="s">
        <v>62</v>
      </c>
      <c r="C23" s="58"/>
      <c r="D23" s="58"/>
      <c r="E23" s="58"/>
      <c r="F23" s="58"/>
      <c r="G23" s="58"/>
      <c r="H23" s="58"/>
      <c r="I23" s="58"/>
      <c r="J23" s="58"/>
      <c r="K23" s="59"/>
    </row>
    <row r="24" spans="1:11" x14ac:dyDescent="0.2">
      <c r="A24" s="5"/>
      <c r="B24" s="58"/>
      <c r="C24" s="58"/>
      <c r="D24" s="58"/>
      <c r="E24" s="58"/>
      <c r="F24" s="58"/>
      <c r="G24" s="58"/>
      <c r="H24" s="58"/>
      <c r="I24" s="58"/>
      <c r="J24" s="58"/>
      <c r="K24" s="59"/>
    </row>
    <row r="25" spans="1:11" ht="17" x14ac:dyDescent="0.2">
      <c r="A25" s="5"/>
      <c r="B25" s="58"/>
      <c r="C25" s="58"/>
      <c r="D25" s="38" t="s">
        <v>7</v>
      </c>
      <c r="E25" s="36">
        <v>1</v>
      </c>
      <c r="F25" s="36">
        <v>2</v>
      </c>
      <c r="G25" s="37">
        <v>3</v>
      </c>
      <c r="H25" s="58"/>
      <c r="I25" s="58"/>
      <c r="J25" s="58"/>
      <c r="K25" s="59"/>
    </row>
    <row r="26" spans="1:11" x14ac:dyDescent="0.2">
      <c r="A26" s="5"/>
      <c r="B26" s="58"/>
      <c r="C26" s="58"/>
      <c r="D26" s="39">
        <v>2021</v>
      </c>
      <c r="E26" s="46">
        <v>0.17</v>
      </c>
      <c r="F26" s="46">
        <v>0.21</v>
      </c>
      <c r="G26" s="53">
        <v>0.83</v>
      </c>
      <c r="H26" s="58"/>
      <c r="I26" s="58"/>
      <c r="J26" s="58"/>
      <c r="K26" s="59"/>
    </row>
    <row r="27" spans="1:11" x14ac:dyDescent="0.2">
      <c r="A27" s="5"/>
      <c r="B27" s="58"/>
      <c r="C27" s="58"/>
      <c r="D27" s="40">
        <v>2022</v>
      </c>
      <c r="E27" s="7">
        <v>0.91</v>
      </c>
      <c r="F27" s="7">
        <v>0.95</v>
      </c>
      <c r="G27" s="17">
        <v>0.43</v>
      </c>
      <c r="H27" s="58"/>
      <c r="I27" s="58"/>
      <c r="J27" s="58"/>
      <c r="K27" s="59"/>
    </row>
    <row r="28" spans="1:11" x14ac:dyDescent="0.2">
      <c r="A28" s="5"/>
      <c r="B28" s="58"/>
      <c r="C28" s="58"/>
      <c r="D28" s="41">
        <v>2023</v>
      </c>
      <c r="E28" s="16">
        <v>0.06</v>
      </c>
      <c r="F28" s="16">
        <v>0.69</v>
      </c>
      <c r="G28" s="15">
        <v>0.84</v>
      </c>
      <c r="H28" s="58"/>
      <c r="I28" s="58"/>
      <c r="J28" s="58"/>
      <c r="K28" s="59"/>
    </row>
    <row r="29" spans="1:11" x14ac:dyDescent="0.2">
      <c r="A29" s="5"/>
      <c r="B29" s="58"/>
      <c r="C29" s="58"/>
      <c r="D29" s="58"/>
      <c r="E29" s="58"/>
      <c r="F29" s="58"/>
      <c r="G29" s="58"/>
      <c r="H29" s="58"/>
      <c r="I29" s="58"/>
      <c r="J29" s="58"/>
      <c r="K29" s="59"/>
    </row>
    <row r="30" spans="1:11" x14ac:dyDescent="0.2">
      <c r="A30" s="5"/>
      <c r="B30" s="58"/>
      <c r="C30" s="58"/>
      <c r="D30" s="58"/>
      <c r="E30" s="58"/>
      <c r="F30" s="58"/>
      <c r="G30" s="58"/>
      <c r="H30" s="58"/>
      <c r="I30" s="58"/>
      <c r="J30" s="58"/>
      <c r="K30" s="59"/>
    </row>
    <row r="31" spans="1:11" x14ac:dyDescent="0.2">
      <c r="A31" s="5"/>
      <c r="B31" s="58" t="s">
        <v>110</v>
      </c>
      <c r="C31" s="58"/>
      <c r="D31" s="58"/>
      <c r="E31" s="58"/>
      <c r="F31" s="58"/>
      <c r="G31" s="58"/>
      <c r="H31" s="58"/>
      <c r="I31" s="58"/>
      <c r="J31" s="58"/>
      <c r="K31" s="59"/>
    </row>
    <row r="32" spans="1:11" x14ac:dyDescent="0.2">
      <c r="A32" s="5"/>
      <c r="B32" s="58" t="s">
        <v>111</v>
      </c>
      <c r="C32" s="58"/>
      <c r="D32" s="58"/>
      <c r="E32" s="58"/>
      <c r="F32" s="58"/>
      <c r="G32" s="58"/>
      <c r="H32" s="58"/>
      <c r="I32" s="58"/>
      <c r="J32" s="58"/>
      <c r="K32" s="59"/>
    </row>
    <row r="33" spans="1:14" ht="17" thickBot="1" x14ac:dyDescent="0.25">
      <c r="A33" s="61"/>
      <c r="B33" s="62"/>
      <c r="C33" s="63"/>
      <c r="D33" s="63"/>
      <c r="E33" s="63"/>
      <c r="F33" s="62"/>
      <c r="G33" s="62"/>
      <c r="H33" s="62"/>
      <c r="I33" s="62"/>
      <c r="J33" s="62"/>
      <c r="K33" s="64"/>
    </row>
    <row r="35" spans="1:14" ht="19" x14ac:dyDescent="0.25">
      <c r="A35" s="2" t="s">
        <v>2</v>
      </c>
    </row>
    <row r="36" spans="1:14" x14ac:dyDescent="0.2">
      <c r="A36" s="68" t="s">
        <v>177</v>
      </c>
      <c r="B36" s="14" t="s">
        <v>112</v>
      </c>
      <c r="C36" s="65"/>
    </row>
    <row r="38" spans="1:14" x14ac:dyDescent="0.2">
      <c r="B38" s="160" t="s">
        <v>334</v>
      </c>
      <c r="C38" s="160"/>
      <c r="D38" s="160"/>
      <c r="E38" s="160"/>
      <c r="F38" s="160"/>
      <c r="G38" s="160"/>
      <c r="H38" s="160"/>
      <c r="I38" s="160"/>
    </row>
    <row r="39" spans="1:14" x14ac:dyDescent="0.2">
      <c r="B39" s="160"/>
      <c r="C39" s="160"/>
      <c r="D39" s="160"/>
      <c r="E39" s="160"/>
      <c r="F39" s="160"/>
      <c r="G39" s="160"/>
      <c r="H39" s="160"/>
      <c r="I39" s="160"/>
    </row>
    <row r="41" spans="1:14" x14ac:dyDescent="0.2">
      <c r="B41" s="161" t="s">
        <v>377</v>
      </c>
      <c r="C41" s="160"/>
      <c r="D41" s="160"/>
      <c r="E41" s="160"/>
      <c r="F41" s="160"/>
      <c r="G41" s="160"/>
      <c r="H41" s="160"/>
      <c r="I41" s="160"/>
    </row>
    <row r="42" spans="1:14" x14ac:dyDescent="0.2">
      <c r="B42" s="160"/>
      <c r="C42" s="160"/>
      <c r="D42" s="160"/>
      <c r="E42" s="160"/>
      <c r="F42" s="160"/>
      <c r="G42" s="160"/>
      <c r="H42" s="160"/>
      <c r="I42" s="160"/>
    </row>
    <row r="44" spans="1:14" x14ac:dyDescent="0.2">
      <c r="C44" s="159" t="s">
        <v>335</v>
      </c>
      <c r="D44" s="159"/>
      <c r="E44" s="159"/>
      <c r="F44" s="159"/>
      <c r="N44" s="4"/>
    </row>
    <row r="45" spans="1:14" ht="17" x14ac:dyDescent="0.2">
      <c r="C45" s="8" t="s">
        <v>7</v>
      </c>
      <c r="D45" s="9">
        <v>1</v>
      </c>
      <c r="E45" s="9">
        <v>2</v>
      </c>
      <c r="F45" s="9">
        <v>3</v>
      </c>
      <c r="N45" s="4"/>
    </row>
    <row r="46" spans="1:14" ht="17" x14ac:dyDescent="0.2">
      <c r="C46" s="10">
        <v>2021</v>
      </c>
      <c r="D46" s="13" t="str">
        <f>IF(E26&lt;$F18,"CL","BF")</f>
        <v>CL</v>
      </c>
      <c r="E46" s="13" t="str">
        <f t="shared" ref="E46:F46" si="0">IF(F26&lt;$F18,"CL","BF")</f>
        <v>CL</v>
      </c>
      <c r="F46" s="13" t="str">
        <f t="shared" si="0"/>
        <v>BF</v>
      </c>
      <c r="N46" s="4"/>
    </row>
    <row r="47" spans="1:14" ht="17" x14ac:dyDescent="0.2">
      <c r="C47" s="10">
        <v>2022</v>
      </c>
      <c r="D47" s="13" t="str">
        <f t="shared" ref="D47:F48" si="1">IF(E27&lt;$F19,"CL","BF")</f>
        <v>BF</v>
      </c>
      <c r="E47" s="13" t="str">
        <f t="shared" si="1"/>
        <v>BF</v>
      </c>
      <c r="F47" s="13" t="str">
        <f t="shared" si="1"/>
        <v>CL</v>
      </c>
      <c r="N47" s="4"/>
    </row>
    <row r="48" spans="1:14" ht="17" x14ac:dyDescent="0.2">
      <c r="C48" s="10">
        <v>2023</v>
      </c>
      <c r="D48" s="13" t="str">
        <f t="shared" si="1"/>
        <v>CL</v>
      </c>
      <c r="E48" s="13" t="str">
        <f t="shared" si="1"/>
        <v>BF</v>
      </c>
      <c r="F48" s="13" t="str">
        <f t="shared" si="1"/>
        <v>BF</v>
      </c>
      <c r="N48" s="4"/>
    </row>
    <row r="49" spans="1:15" x14ac:dyDescent="0.2">
      <c r="M49" s="4"/>
    </row>
    <row r="50" spans="1:15" x14ac:dyDescent="0.2">
      <c r="A50" s="68" t="s">
        <v>178</v>
      </c>
      <c r="B50" s="30" t="s">
        <v>376</v>
      </c>
      <c r="M50" s="4"/>
    </row>
    <row r="51" spans="1:15" x14ac:dyDescent="0.2">
      <c r="M51" s="4"/>
    </row>
    <row r="52" spans="1:15" x14ac:dyDescent="0.2">
      <c r="B52" s="3"/>
      <c r="C52" s="159" t="s">
        <v>113</v>
      </c>
      <c r="D52" s="159"/>
      <c r="E52" s="159"/>
      <c r="F52" s="159"/>
    </row>
    <row r="53" spans="1:15" ht="17" x14ac:dyDescent="0.2">
      <c r="C53" s="8" t="s">
        <v>7</v>
      </c>
      <c r="D53" s="9">
        <v>1</v>
      </c>
      <c r="E53" s="9">
        <v>2</v>
      </c>
      <c r="F53" s="9">
        <v>3</v>
      </c>
    </row>
    <row r="54" spans="1:15" x14ac:dyDescent="0.2">
      <c r="C54" s="10">
        <v>2021</v>
      </c>
      <c r="D54" s="11">
        <f>IF(E26&lt;=$F18,C10,H10)</f>
        <v>325</v>
      </c>
      <c r="E54" s="11">
        <f t="shared" ref="E54:F54" si="2">IF(F26&lt;=$F18,D10,I10)</f>
        <v>357</v>
      </c>
      <c r="F54" s="11">
        <f t="shared" si="2"/>
        <v>324</v>
      </c>
    </row>
    <row r="55" spans="1:15" x14ac:dyDescent="0.2">
      <c r="C55" s="10">
        <v>2022</v>
      </c>
      <c r="D55" s="11">
        <f t="shared" ref="D55:F55" si="3">IF(E27&lt;=$F19,C11,H11)</f>
        <v>743</v>
      </c>
      <c r="E55" s="11">
        <f t="shared" si="3"/>
        <v>695</v>
      </c>
      <c r="F55" s="11">
        <f t="shared" si="3"/>
        <v>786</v>
      </c>
    </row>
    <row r="56" spans="1:15" x14ac:dyDescent="0.2">
      <c r="C56" s="10">
        <v>2023</v>
      </c>
      <c r="D56" s="11">
        <f t="shared" ref="D56:F56" si="4">IF(E28&lt;=$F20,C12,H12)</f>
        <v>2865</v>
      </c>
      <c r="E56" s="11">
        <f t="shared" si="4"/>
        <v>2980</v>
      </c>
      <c r="F56" s="11">
        <f t="shared" si="4"/>
        <v>3310</v>
      </c>
    </row>
    <row r="58" spans="1:15" ht="19" x14ac:dyDescent="0.25">
      <c r="A58" s="2" t="s">
        <v>114</v>
      </c>
      <c r="M58" s="4"/>
      <c r="N58" s="4"/>
      <c r="O58" s="4"/>
    </row>
    <row r="59" spans="1:15" x14ac:dyDescent="0.2">
      <c r="B59" s="160" t="s">
        <v>336</v>
      </c>
      <c r="C59" s="160"/>
      <c r="D59" s="160"/>
      <c r="E59" s="160"/>
      <c r="F59" s="160"/>
      <c r="G59" s="160"/>
      <c r="H59" s="160"/>
      <c r="I59" s="160"/>
      <c r="M59" s="4"/>
      <c r="N59" s="4"/>
      <c r="O59" s="4"/>
    </row>
    <row r="60" spans="1:15" x14ac:dyDescent="0.2">
      <c r="B60" s="160"/>
      <c r="C60" s="160"/>
      <c r="D60" s="160"/>
      <c r="E60" s="160"/>
      <c r="F60" s="160"/>
      <c r="G60" s="160"/>
      <c r="H60" s="160"/>
      <c r="I60" s="160"/>
      <c r="M60" s="4"/>
      <c r="N60" s="4"/>
      <c r="O60" s="4"/>
    </row>
    <row r="61" spans="1:15" x14ac:dyDescent="0.2">
      <c r="B61" s="160"/>
      <c r="C61" s="160"/>
      <c r="D61" s="160"/>
      <c r="E61" s="160"/>
      <c r="F61" s="160"/>
      <c r="G61" s="160"/>
      <c r="H61" s="160"/>
      <c r="I61" s="160"/>
      <c r="M61" s="4"/>
      <c r="N61" s="4"/>
      <c r="O61" s="4"/>
    </row>
    <row r="62" spans="1:15" x14ac:dyDescent="0.2">
      <c r="M62" s="4"/>
      <c r="N62" s="4"/>
      <c r="O62" s="4"/>
    </row>
    <row r="63" spans="1:15" ht="19" x14ac:dyDescent="0.25">
      <c r="B63" s="31" t="s">
        <v>167</v>
      </c>
      <c r="M63" s="4"/>
      <c r="N63" s="4"/>
      <c r="O63" s="4"/>
    </row>
    <row r="64" spans="1:15" x14ac:dyDescent="0.2">
      <c r="B64" s="160" t="s">
        <v>337</v>
      </c>
      <c r="C64" s="160"/>
      <c r="D64" s="160"/>
      <c r="E64" s="160"/>
      <c r="F64" s="160"/>
      <c r="G64" s="160"/>
      <c r="H64" s="160"/>
      <c r="I64" s="160"/>
      <c r="M64" s="4"/>
      <c r="N64" s="4"/>
      <c r="O64" s="4"/>
    </row>
    <row r="65" spans="1:16" x14ac:dyDescent="0.2">
      <c r="B65" s="160"/>
      <c r="C65" s="160"/>
      <c r="D65" s="160"/>
      <c r="E65" s="160"/>
      <c r="F65" s="160"/>
      <c r="G65" s="160"/>
      <c r="H65" s="160"/>
      <c r="I65" s="160"/>
      <c r="M65" s="4"/>
      <c r="N65" s="4"/>
      <c r="O65" s="4"/>
    </row>
    <row r="66" spans="1:16" x14ac:dyDescent="0.2">
      <c r="B66" s="160"/>
      <c r="C66" s="160"/>
      <c r="D66" s="160"/>
      <c r="E66" s="160"/>
      <c r="F66" s="160"/>
      <c r="G66" s="160"/>
      <c r="H66" s="160"/>
      <c r="I66" s="160"/>
      <c r="M66" s="4"/>
      <c r="N66" s="4"/>
      <c r="O66" s="4"/>
    </row>
    <row r="67" spans="1:16" x14ac:dyDescent="0.2">
      <c r="N67" s="65"/>
    </row>
    <row r="68" spans="1:16" x14ac:dyDescent="0.2">
      <c r="B68" s="161" t="s">
        <v>378</v>
      </c>
      <c r="C68" s="160"/>
      <c r="D68" s="160"/>
      <c r="E68" s="160"/>
      <c r="F68" s="160"/>
      <c r="G68" s="160"/>
      <c r="H68" s="160"/>
      <c r="I68" s="160"/>
      <c r="M68" s="4"/>
      <c r="N68" s="4"/>
      <c r="O68" s="4"/>
    </row>
    <row r="69" spans="1:16" x14ac:dyDescent="0.2">
      <c r="B69" s="160"/>
      <c r="C69" s="160"/>
      <c r="D69" s="160"/>
      <c r="E69" s="160"/>
      <c r="F69" s="160"/>
      <c r="G69" s="160"/>
      <c r="H69" s="160"/>
      <c r="I69" s="160"/>
      <c r="M69" s="4"/>
      <c r="N69" s="4"/>
      <c r="O69" s="4"/>
    </row>
    <row r="70" spans="1:16" x14ac:dyDescent="0.2">
      <c r="M70" s="4"/>
      <c r="N70" s="4"/>
      <c r="O70" s="4"/>
    </row>
    <row r="71" spans="1:16" x14ac:dyDescent="0.2">
      <c r="B71" s="60" t="s">
        <v>168</v>
      </c>
      <c r="M71" s="4"/>
      <c r="N71" s="4"/>
      <c r="O71" s="4"/>
    </row>
    <row r="72" spans="1:16" x14ac:dyDescent="0.2">
      <c r="M72" s="4"/>
      <c r="N72" s="4"/>
      <c r="O72" s="4"/>
    </row>
    <row r="73" spans="1:16" ht="17" x14ac:dyDescent="0.2">
      <c r="A73" s="3"/>
      <c r="B73" s="3"/>
      <c r="C73" s="8" t="s">
        <v>7</v>
      </c>
      <c r="D73" s="9">
        <v>1</v>
      </c>
      <c r="E73" s="9">
        <v>2</v>
      </c>
      <c r="F73" s="9">
        <v>3</v>
      </c>
    </row>
    <row r="74" spans="1:16" ht="17" x14ac:dyDescent="0.2">
      <c r="C74" s="10">
        <f>B10</f>
        <v>2021</v>
      </c>
      <c r="D74" s="13" t="s">
        <v>169</v>
      </c>
      <c r="E74" s="13" t="s">
        <v>169</v>
      </c>
      <c r="F74" s="13" t="s">
        <v>170</v>
      </c>
      <c r="O74" s="65"/>
    </row>
    <row r="75" spans="1:16" ht="17" x14ac:dyDescent="0.2">
      <c r="C75" s="10">
        <f t="shared" ref="C75:C76" si="5">B11</f>
        <v>2022</v>
      </c>
      <c r="D75" s="13" t="s">
        <v>170</v>
      </c>
      <c r="E75" s="13" t="s">
        <v>170</v>
      </c>
      <c r="F75" s="13" t="s">
        <v>169</v>
      </c>
      <c r="N75" s="4"/>
      <c r="O75" s="4"/>
      <c r="P75" s="4"/>
    </row>
    <row r="76" spans="1:16" ht="17" x14ac:dyDescent="0.2">
      <c r="C76" s="10">
        <f t="shared" si="5"/>
        <v>2023</v>
      </c>
      <c r="D76" s="13" t="s">
        <v>169</v>
      </c>
      <c r="E76" s="13" t="s">
        <v>169</v>
      </c>
      <c r="F76" s="13" t="s">
        <v>170</v>
      </c>
      <c r="N76" s="4"/>
      <c r="O76" s="4"/>
      <c r="P76" s="4"/>
    </row>
    <row r="77" spans="1:16" x14ac:dyDescent="0.2">
      <c r="N77" s="4"/>
      <c r="O77" s="4"/>
      <c r="P77" s="4"/>
    </row>
    <row r="78" spans="1:16" x14ac:dyDescent="0.2">
      <c r="C78" s="159" t="s">
        <v>113</v>
      </c>
      <c r="D78" s="159"/>
      <c r="E78" s="159"/>
      <c r="F78" s="159"/>
      <c r="N78" s="4"/>
      <c r="O78" s="4"/>
      <c r="P78" s="4"/>
    </row>
    <row r="79" spans="1:16" ht="17" x14ac:dyDescent="0.2">
      <c r="C79" s="8" t="s">
        <v>7</v>
      </c>
      <c r="D79" s="9">
        <v>1</v>
      </c>
      <c r="E79" s="9">
        <v>2</v>
      </c>
      <c r="F79" s="9">
        <v>3</v>
      </c>
      <c r="N79" s="4"/>
      <c r="O79" s="4"/>
      <c r="P79" s="4"/>
    </row>
    <row r="80" spans="1:16" x14ac:dyDescent="0.2">
      <c r="C80" s="10">
        <f>B10</f>
        <v>2021</v>
      </c>
      <c r="D80" s="11">
        <f>IF(E26&lt;=$G18,H10,C10)</f>
        <v>343</v>
      </c>
      <c r="E80" s="11">
        <f t="shared" ref="E80:F80" si="6">IF(F26&lt;=$G18,I10,D10)</f>
        <v>366</v>
      </c>
      <c r="F80" s="11">
        <f t="shared" si="6"/>
        <v>308</v>
      </c>
      <c r="N80" s="4"/>
      <c r="O80" s="4"/>
      <c r="P80" s="4"/>
    </row>
    <row r="81" spans="1:66" x14ac:dyDescent="0.2">
      <c r="C81" s="10">
        <f t="shared" ref="C81:C82" si="7">B11</f>
        <v>2022</v>
      </c>
      <c r="D81" s="11">
        <f t="shared" ref="D81:F81" si="8">IF(E27&lt;=$G19,H11,C11)</f>
        <v>673</v>
      </c>
      <c r="E81" s="11">
        <f t="shared" si="8"/>
        <v>603</v>
      </c>
      <c r="F81" s="11">
        <f t="shared" si="8"/>
        <v>761</v>
      </c>
      <c r="N81" s="4"/>
      <c r="O81" s="4"/>
      <c r="P81" s="4"/>
    </row>
    <row r="82" spans="1:66" x14ac:dyDescent="0.2">
      <c r="C82" s="10">
        <f t="shared" si="7"/>
        <v>2023</v>
      </c>
      <c r="D82" s="11">
        <f t="shared" ref="D82:F82" si="9">IF(E28&lt;=$G20,H12,C12)</f>
        <v>3240</v>
      </c>
      <c r="E82" s="11">
        <f t="shared" si="9"/>
        <v>2980</v>
      </c>
      <c r="F82" s="11">
        <f t="shared" si="9"/>
        <v>3720</v>
      </c>
      <c r="N82" s="4"/>
      <c r="O82" s="4"/>
      <c r="P82" s="4"/>
    </row>
    <row r="83" spans="1:66" x14ac:dyDescent="0.2">
      <c r="N83" s="4"/>
      <c r="O83" s="4"/>
      <c r="P83" s="4"/>
    </row>
    <row r="84" spans="1:66" ht="19" x14ac:dyDescent="0.25">
      <c r="A84" s="2" t="s">
        <v>126</v>
      </c>
      <c r="M84" s="4"/>
      <c r="N84" s="4"/>
      <c r="O84" s="4"/>
    </row>
    <row r="85" spans="1:66" x14ac:dyDescent="0.2">
      <c r="B85" s="60" t="s">
        <v>165</v>
      </c>
      <c r="N85" s="65"/>
    </row>
    <row r="86" spans="1:66" x14ac:dyDescent="0.2">
      <c r="A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9" x14ac:dyDescent="0.25">
      <c r="A87" s="2" t="s">
        <v>121</v>
      </c>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x14ac:dyDescent="0.2">
      <c r="A88" s="4"/>
      <c r="B88" s="60" t="s">
        <v>171</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pans="1:6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6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66"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sheetData>
  <mergeCells count="12">
    <mergeCell ref="C78:F78"/>
    <mergeCell ref="B68:I69"/>
    <mergeCell ref="B41:I42"/>
    <mergeCell ref="C44:F44"/>
    <mergeCell ref="C52:F52"/>
    <mergeCell ref="B59:I61"/>
    <mergeCell ref="B64:I66"/>
    <mergeCell ref="B8:E8"/>
    <mergeCell ref="G8:J8"/>
    <mergeCell ref="E15:G15"/>
    <mergeCell ref="E16:E17"/>
    <mergeCell ref="B38:I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ODP GLM Setup</vt:lpstr>
      <vt:lpstr>Expected Loss from GLM</vt:lpstr>
      <vt:lpstr>ODP Bootstrap Model</vt:lpstr>
      <vt:lpstr>Std Pearson Residuals</vt:lpstr>
      <vt:lpstr>Negative Inc Values</vt:lpstr>
      <vt:lpstr>Heteroscedasticity-SD</vt:lpstr>
      <vt:lpstr>Heteroscedast-Scale</vt:lpstr>
      <vt:lpstr>Mult Models Same Vars</vt:lpstr>
      <vt:lpstr>Mult Models Indep Vars</vt:lpstr>
      <vt:lpstr>WeightMatrix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2025-06-19T01:02:36Z</dcterms:modified>
</cp:coreProperties>
</file>