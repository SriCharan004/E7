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D8FE0C03-FCA6-654B-900F-C04D33E3439B}" xr6:coauthVersionLast="47" xr6:coauthVersionMax="47" xr10:uidLastSave="{00000000-0000-0000-0000-000000000000}"/>
  <bookViews>
    <workbookView xWindow="15580" yWindow="500" windowWidth="17800" windowHeight="21100" xr2:uid="{00000000-000D-0000-FFFF-FFFF00000000}"/>
  </bookViews>
  <sheets>
    <sheet name="LDFs at Basic Limits" sheetId="17" r:id="rId1"/>
    <sheet name="Layer LDFs from Basic" sheetId="18" r:id="rId2"/>
    <sheet name="Simplified Model" sheetId="1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7" i="17" l="1"/>
  <c r="D100" i="19" l="1"/>
  <c r="F63" i="19" l="1"/>
  <c r="E63" i="19"/>
  <c r="E49" i="19" l="1"/>
  <c r="B47" i="18"/>
  <c r="B51" i="17"/>
  <c r="C173" i="19"/>
  <c r="C172" i="19" s="1"/>
  <c r="D101" i="19"/>
  <c r="F174" i="19"/>
  <c r="E48" i="19" l="1"/>
  <c r="E62" i="19"/>
  <c r="F62" i="19"/>
  <c r="E74" i="19"/>
  <c r="E86" i="19" s="1"/>
  <c r="B49" i="18"/>
  <c r="B48" i="18"/>
  <c r="G49" i="18"/>
  <c r="G48" i="18"/>
  <c r="G47" i="18"/>
  <c r="E53" i="17"/>
  <c r="C39" i="17"/>
  <c r="C40" i="17" s="1"/>
  <c r="B122" i="17"/>
  <c r="B121" i="17"/>
  <c r="B120" i="17"/>
  <c r="B115" i="17"/>
  <c r="B114" i="17"/>
  <c r="B113" i="17"/>
  <c r="G108" i="17"/>
  <c r="G107" i="17"/>
  <c r="G106" i="17"/>
  <c r="B108" i="17"/>
  <c r="B107" i="17"/>
  <c r="B106" i="17"/>
  <c r="B100" i="17"/>
  <c r="B99" i="17"/>
  <c r="B98" i="17"/>
  <c r="B81" i="17"/>
  <c r="B80" i="17"/>
  <c r="B79" i="17"/>
  <c r="G68" i="17"/>
  <c r="G67" i="17"/>
  <c r="G66" i="17"/>
  <c r="B68" i="17"/>
  <c r="B67" i="17"/>
  <c r="B66" i="17"/>
  <c r="B53" i="17"/>
  <c r="B52" i="17"/>
  <c r="G40" i="17"/>
  <c r="G39" i="17"/>
  <c r="G38" i="17"/>
  <c r="B40" i="17"/>
  <c r="B39" i="17"/>
  <c r="B38" i="17"/>
  <c r="D99" i="19"/>
  <c r="H174" i="19"/>
  <c r="E174" i="19"/>
  <c r="H173" i="19"/>
  <c r="D173" i="19"/>
  <c r="F173" i="19" s="1"/>
  <c r="H172" i="19"/>
  <c r="E37" i="18"/>
  <c r="E49" i="18" s="1"/>
  <c r="D37" i="18"/>
  <c r="C37" i="18"/>
  <c r="H49" i="18" s="1"/>
  <c r="D53" i="17"/>
  <c r="D68" i="17" s="1"/>
  <c r="C53" i="17"/>
  <c r="H39" i="17"/>
  <c r="H40" i="17" s="1"/>
  <c r="E39" i="17"/>
  <c r="E40" i="17" s="1"/>
  <c r="D39" i="17"/>
  <c r="M38" i="17"/>
  <c r="I38" i="17"/>
  <c r="N38" i="17" s="1"/>
  <c r="J68" i="17" l="1"/>
  <c r="E68" i="17"/>
  <c r="E101" i="19"/>
  <c r="E61" i="19"/>
  <c r="F61" i="19"/>
  <c r="E73" i="19"/>
  <c r="D49" i="18"/>
  <c r="D36" i="18"/>
  <c r="C68" i="17"/>
  <c r="D100" i="17"/>
  <c r="I39" i="17"/>
  <c r="I40" i="17" s="1"/>
  <c r="J38" i="17"/>
  <c r="O38" i="17" s="1"/>
  <c r="E173" i="19"/>
  <c r="G173" i="19" s="1"/>
  <c r="I173" i="19" s="1"/>
  <c r="D172" i="19"/>
  <c r="F172" i="19" s="1"/>
  <c r="G174" i="19"/>
  <c r="E35" i="18"/>
  <c r="E47" i="18" s="1"/>
  <c r="E36" i="18"/>
  <c r="J48" i="18" s="1"/>
  <c r="J49" i="18"/>
  <c r="G59" i="18" s="1"/>
  <c r="I49" i="18"/>
  <c r="C49" i="18"/>
  <c r="D35" i="18"/>
  <c r="D47" i="18" s="1"/>
  <c r="M40" i="17"/>
  <c r="C51" i="17" s="1"/>
  <c r="H66" i="17" s="1"/>
  <c r="E100" i="17"/>
  <c r="M39" i="17"/>
  <c r="D40" i="17"/>
  <c r="H68" i="17"/>
  <c r="C100" i="17"/>
  <c r="C36" i="18"/>
  <c r="I68" i="17"/>
  <c r="C35" i="18"/>
  <c r="C47" i="18" s="1"/>
  <c r="E85" i="19" l="1"/>
  <c r="E100" i="19"/>
  <c r="E72" i="19"/>
  <c r="N39" i="17"/>
  <c r="J39" i="17"/>
  <c r="J40" i="17" s="1"/>
  <c r="O40" i="17" s="1"/>
  <c r="E51" i="17" s="1"/>
  <c r="J66" i="17" s="1"/>
  <c r="N40" i="17"/>
  <c r="D51" i="17" s="1"/>
  <c r="I66" i="17" s="1"/>
  <c r="J47" i="18"/>
  <c r="C52" i="17"/>
  <c r="D48" i="18"/>
  <c r="I48" i="18"/>
  <c r="I174" i="19"/>
  <c r="E48" i="18"/>
  <c r="I47" i="18"/>
  <c r="H47" i="18"/>
  <c r="E172" i="19"/>
  <c r="C66" i="17"/>
  <c r="C79" i="17" s="1"/>
  <c r="C98" i="17"/>
  <c r="C81" i="17"/>
  <c r="C48" i="18"/>
  <c r="H48" i="18"/>
  <c r="C99" i="17" l="1"/>
  <c r="H67" i="17"/>
  <c r="E84" i="19"/>
  <c r="E99" i="19" s="1"/>
  <c r="H59" i="18"/>
  <c r="D52" i="17"/>
  <c r="I67" i="17" s="1"/>
  <c r="O39" i="17"/>
  <c r="E52" i="17" s="1"/>
  <c r="D98" i="17"/>
  <c r="C67" i="17"/>
  <c r="C80" i="17" s="1"/>
  <c r="G172" i="19"/>
  <c r="I172" i="19" s="1"/>
  <c r="E98" i="17"/>
  <c r="E66" i="17"/>
  <c r="O106" i="17"/>
  <c r="E67" i="17" l="1"/>
  <c r="J67" i="17"/>
  <c r="D67" i="17"/>
  <c r="D80" i="17" s="1"/>
  <c r="D99" i="17"/>
  <c r="D66" i="17"/>
  <c r="D79" i="17" s="1"/>
  <c r="E99" i="17"/>
  <c r="E79" i="17"/>
  <c r="J106" i="17"/>
  <c r="E113" i="17"/>
  <c r="E106" i="17"/>
  <c r="E120" i="17"/>
  <c r="D87" i="17" l="1"/>
  <c r="D94" i="17" s="1"/>
  <c r="I106" i="17" s="1"/>
  <c r="D121" i="17" l="1"/>
  <c r="D106" i="17"/>
  <c r="D120" i="17"/>
  <c r="N106" i="17"/>
  <c r="C94" i="17"/>
  <c r="D107" i="17"/>
  <c r="D113" i="17"/>
  <c r="N107" i="17"/>
  <c r="I107" i="17"/>
  <c r="D114" i="17"/>
  <c r="H107" i="17" l="1"/>
  <c r="M107" i="17"/>
  <c r="C121" i="17"/>
  <c r="M108" i="17"/>
  <c r="C108" i="17"/>
  <c r="C106" i="17"/>
  <c r="C114" i="17"/>
  <c r="C122" i="17"/>
  <c r="C115" i="17"/>
  <c r="H108" i="17"/>
  <c r="M106" i="17"/>
  <c r="C113" i="17"/>
  <c r="C120" i="17"/>
  <c r="C107" i="17"/>
  <c r="H106" i="17"/>
</calcChain>
</file>

<file path=xl/sharedStrings.xml><?xml version="1.0" encoding="utf-8"?>
<sst xmlns="http://schemas.openxmlformats.org/spreadsheetml/2006/main" count="225" uniqueCount="148">
  <si>
    <t>Solution</t>
  </si>
  <si>
    <t>Accident Year</t>
  </si>
  <si>
    <t>12 Months</t>
  </si>
  <si>
    <t>24 Months</t>
  </si>
  <si>
    <t>36 Months</t>
  </si>
  <si>
    <t>Claims Size Unlimited Means</t>
  </si>
  <si>
    <t>AY</t>
  </si>
  <si>
    <t>&lt;- Given</t>
  </si>
  <si>
    <t xml:space="preserve"> </t>
  </si>
  <si>
    <t>LDF</t>
  </si>
  <si>
    <t>Discussion</t>
  </si>
  <si>
    <t>If you're interested, below are additional calculations outside the problem for how to calculate adjusted CDFs to different limits and layers:</t>
  </si>
  <si>
    <t>CDF</t>
  </si>
  <si>
    <t>LEVs at Policy Limits</t>
  </si>
  <si>
    <t>Calculate Development Factors by Layer</t>
  </si>
  <si>
    <t>CDFs at Policy Limit</t>
  </si>
  <si>
    <t>CDFs at Data Limit</t>
  </si>
  <si>
    <t>CDFs at Basic Limit</t>
  </si>
  <si>
    <t>CDFs at Basic Limit to Policy Limit</t>
  </si>
  <si>
    <t>CDFs at Policy Limit to Unlimited</t>
  </si>
  <si>
    <t>12-Ult</t>
  </si>
  <si>
    <t>24-Ult</t>
  </si>
  <si>
    <t>Trend Indices</t>
  </si>
  <si>
    <t>Accident</t>
  </si>
  <si>
    <t>Year</t>
  </si>
  <si>
    <t>The exponential claims size model is parameterized with the following unlimited means by development period:</t>
  </si>
  <si>
    <t>36-Ult</t>
  </si>
  <si>
    <t>Given the following information:</t>
  </si>
  <si>
    <t>Decay Factor</t>
  </si>
  <si>
    <t>Maturity</t>
  </si>
  <si>
    <t>Ratio at Ultimate (U)</t>
  </si>
  <si>
    <t>Selected Ratio (R_j)</t>
  </si>
  <si>
    <t>CDF at Policy Lim</t>
  </si>
  <si>
    <t>Cumulative Losses (000) – Limited to $1,000,000</t>
  </si>
  <si>
    <t>The claims size model is based on the exponential distribution with the following unlimited claim size</t>
  </si>
  <si>
    <t>and basic limits.</t>
  </si>
  <si>
    <t>12-24 Months</t>
  </si>
  <si>
    <t>Calculate the loss development factors to-ultimate for the loss layer below the policy limit.</t>
  </si>
  <si>
    <t>Calculate the development factors to-ultimate for layer X.</t>
  </si>
  <si>
    <t>Cumulative Losses ($000) – $1,000,000 Limit</t>
  </si>
  <si>
    <t>Cumulative Losses ($000) – $500,000 Limit</t>
  </si>
  <si>
    <t>cost level of $240,000. Claim size models for earlier maturities are unavailable.</t>
  </si>
  <si>
    <t>The following decay factors are used to select the ratio of the limited expected value at policy limit to the</t>
  </si>
  <si>
    <t>limited expected value at basic limit:</t>
  </si>
  <si>
    <t>Cumulative LDFs at Basic Limit - Unadjusted</t>
  </si>
  <si>
    <t>Calculate the loss development factors to-ultimate for the loss layer from ground-up to the policy limit.</t>
  </si>
  <si>
    <t>Unlimited
Mean at Ult</t>
  </si>
  <si>
    <t>LEV at Basic Limit ($1M) at Ult</t>
  </si>
  <si>
    <t>LEV at Policy Limit ($500k) at Ultimate</t>
  </si>
  <si>
    <t>Calculate the ultimate limited expected values (LEV) at the basic limit and policy limit for each accident year.</t>
  </si>
  <si>
    <t>Calculate U, the ratio of the ultimate LEV at policy limit to the ultimate LEV at basic limit.</t>
  </si>
  <si>
    <t>Source</t>
  </si>
  <si>
    <t>Sahasrabuddhe – pg. 6 (section 3.2.1), also see examples 1 and 2 in the appendix</t>
  </si>
  <si>
    <t>More Practice</t>
  </si>
  <si>
    <t xml:space="preserve">CAS 2019 – 4 </t>
  </si>
  <si>
    <t>CAS 2017 – 7</t>
  </si>
  <si>
    <t>RF Sahasrabuddhe – 1</t>
  </si>
  <si>
    <t>RF Sahasrabuddhe – 3</t>
  </si>
  <si>
    <t>Sahasrabuddhe – pg. 7 (section 3.2.2), also see examples 1 and 2 in the appendix</t>
  </si>
  <si>
    <t>RF Sahasrabuddhe – 2</t>
  </si>
  <si>
    <t>Simplifying Assumption</t>
  </si>
  <si>
    <t>Properties of the Simplified Method when Limit X is Less than Basic Limit B</t>
  </si>
  <si>
    <t>Property 1</t>
  </si>
  <si>
    <t>Property 2</t>
  </si>
  <si>
    <t>Property 3</t>
  </si>
  <si>
    <t>o Rearranging this and since layer B is ground-up unlimited, we have:</t>
  </si>
  <si>
    <t>Sahasrabuddhe – pg. 7-8 and Example 3 on pg 23 (discussed on pg. 12-13)</t>
  </si>
  <si>
    <t xml:space="preserve">RF Sahasrabuddhe – 4 </t>
  </si>
  <si>
    <t>•  Calendar Year ground-up, unlimited loss trend</t>
  </si>
  <si>
    <t>•  Accident Year ground-up, unlimited loss trend</t>
  </si>
  <si>
    <t>•  Selected Basic Limit</t>
  </si>
  <si>
    <t>•  Policy Limit</t>
  </si>
  <si>
    <t>•  Basic Limit</t>
  </si>
  <si>
    <t>Sahasrabuddhe - Determine LDFs at Basic Limits</t>
  </si>
  <si>
    <t>Sahasrabuddhe - Calculate Layer LDFs from Basic Limit LDFs</t>
  </si>
  <si>
    <t>Sahasrabuddhe - Calculate Layer LDFs from Basic Limit LDFs: Simplified Model</t>
  </si>
  <si>
    <t>1)</t>
  </si>
  <si>
    <t>2)</t>
  </si>
  <si>
    <t>3)</t>
  </si>
  <si>
    <t>4)</t>
  </si>
  <si>
    <t>5)</t>
  </si>
  <si>
    <t>⇽ Given</t>
  </si>
  <si>
    <r>
      <t>R</t>
    </r>
    <r>
      <rPr>
        <b/>
        <vertAlign val="subscript"/>
        <sz val="12"/>
        <color rgb="FF000000"/>
        <rFont val="Calibri"/>
        <family val="2"/>
      </rPr>
      <t>j</t>
    </r>
    <r>
      <rPr>
        <b/>
        <sz val="12"/>
        <color rgb="FF000000"/>
        <rFont val="Calibri"/>
        <family val="2"/>
      </rPr>
      <t xml:space="preserve"> &gt; U = lim R</t>
    </r>
    <r>
      <rPr>
        <b/>
        <vertAlign val="subscript"/>
        <sz val="12"/>
        <color rgb="FF000000"/>
        <rFont val="Calibri"/>
        <family val="2"/>
      </rPr>
      <t>j</t>
    </r>
    <r>
      <rPr>
        <b/>
        <sz val="12"/>
        <color rgb="FF000000"/>
        <rFont val="Calibri"/>
        <family val="2"/>
      </rPr>
      <t xml:space="preserve"> at ultimate, where U is the ratio of LEVs at ultimate between layer X and B.</t>
    </r>
  </si>
  <si>
    <r>
      <t>If the Basic Limit is ground-up unlimited, then the maximum value for R</t>
    </r>
    <r>
      <rPr>
        <b/>
        <vertAlign val="subscript"/>
        <sz val="12"/>
        <color rgb="FF000000"/>
        <rFont val="Calibri"/>
        <family val="2"/>
      </rPr>
      <t>j</t>
    </r>
    <r>
      <rPr>
        <b/>
        <sz val="12"/>
        <color rgb="FF000000"/>
        <rFont val="Calibri"/>
        <family val="2"/>
      </rPr>
      <t xml:space="preserve"> is max(R</t>
    </r>
    <r>
      <rPr>
        <b/>
        <vertAlign val="subscript"/>
        <sz val="12"/>
        <color rgb="FF000000"/>
        <rFont val="Calibri"/>
        <family val="2"/>
      </rPr>
      <t>j</t>
    </r>
    <r>
      <rPr>
        <b/>
        <sz val="12"/>
        <color rgb="FF000000"/>
        <rFont val="Calibri"/>
        <family val="2"/>
      </rPr>
      <t xml:space="preserve"> )= U×CDF</t>
    </r>
  </si>
  <si>
    <r>
      <t>o This means CDF</t>
    </r>
    <r>
      <rPr>
        <vertAlign val="subscript"/>
        <sz val="12"/>
        <color rgb="FF000000"/>
        <rFont val="Calibri"/>
        <family val="2"/>
      </rPr>
      <t>Layer X</t>
    </r>
    <r>
      <rPr>
        <sz val="12"/>
        <color rgb="FF000000"/>
        <rFont val="Calibri"/>
        <family val="2"/>
      </rPr>
      <t xml:space="preserve"> = 1.00 and the ratio at ultimate can be calculated as: </t>
    </r>
  </si>
  <si>
    <t>Calculate the trend indices for each accident year and development period. Calculate accident year and calendar year trend indices separately and multiply to get the total trend indices.</t>
  </si>
  <si>
    <t>Start the first accident year-development period index to 1.00.</t>
  </si>
  <si>
    <t>Calculate the unlimited means for each development period trended backwards to prior AYs.</t>
  </si>
  <si>
    <t>means at the accident year 2023 cost level:</t>
  </si>
  <si>
    <t>Calculate the limited expected values (LEV) at the limits of the data triangle (limit L) and basic limits (limit B). To adjust to basic limits, you only need Basic Limit LEVs at the latest accident year.</t>
  </si>
  <si>
    <t>Calculate the loss triangle adjusted to basic limits and the latest exposure year cost level.</t>
  </si>
  <si>
    <t>Calculate the loss development factors at Basic Limits and the latest exposure year cost level using the adjusted cumulative loss triangle.</t>
  </si>
  <si>
    <t>The goal for this problem is to use data at one limit and calculate LDFs for a chosen “Basic Limit” at the most recent exposure year cost level. LDFs at basic limit and latest cost level can then be used along with the claim size model to calculate LDFs at any limit and cost level. This is demonstrated in the next recipe.</t>
  </si>
  <si>
    <t>The key to this type of problem is to trend the claim size model parameters with the loss trends and use these to calculate limited expected values (LEVs) at both the basic limit and the limit of the original data. Then use these LEVs to adjust the original losses to losses limited at the basic limit and adjusted to the most recent cost level. Finally, calculate the LDFs from the adjusted data.</t>
  </si>
  <si>
    <t>Looking at the process, notice the relationship between the trend, claim size model and the LDFs. This is a key concept of the paper.</t>
  </si>
  <si>
    <t>Given the following trend indices and basic limit loss development factors at accident year 2023 cost level:</t>
  </si>
  <si>
    <t>Calculate the necessary values of the trended back unlimited means.</t>
  </si>
  <si>
    <t>Calculate the necessary LEVs at the new layer (limit X) and at the basic limits (limit B).</t>
  </si>
  <si>
    <t>Exponential:</t>
  </si>
  <si>
    <t>The equation in step three is the key to this recipe. Using the claim size model and trend assumptions, we can calculate LEVs that can transform development factors from one cost level and layer to another.</t>
  </si>
  <si>
    <r>
      <t xml:space="preserve">The basic limit CDFs are </t>
    </r>
    <r>
      <rPr>
        <i/>
        <u/>
        <sz val="12"/>
        <color theme="1"/>
        <rFont val="Calibri"/>
        <family val="2"/>
      </rPr>
      <t>transformed in two ways:</t>
    </r>
    <r>
      <rPr>
        <sz val="12"/>
        <color theme="1"/>
        <rFont val="Calibri"/>
        <family val="2"/>
      </rPr>
      <t xml:space="preserve">
• Transformed to the limit for the new layer
• Transformed to the cost level appropriate for the CDF (e.g. the 24-ult CDF will apply to losses from AY 2022, so the CDF should be at the 2022 cost level).</t>
    </r>
  </si>
  <si>
    <t>Claim size is approximated by the exponential distribution with an average claim size at ultimate and 2023</t>
  </si>
  <si>
    <t>Calculate the CDFs for the policy limit by adjusting the basic limit CDFs using the ultimate ratio (step 3) and the selected ratio along the diagonal (step 4).</t>
  </si>
  <si>
    <t>This approach uses a simple formula to calculate a selected ratio by age (step 4). At the earlier ages, the selected ratio should be close to 1 because few losses will be in the excess layer (above $500k in this case). Then, the ratio should decrease until it equals the ultimate ratio at the final development period (assuming no development after that).</t>
  </si>
  <si>
    <t xml:space="preserve">As long as the limits we’re looking at are well above the average claim size (above the working layer, as Sahasrabuddhe puts it), then the ratios will be generally close to 1, and using this simplified model shouldn’t add much error to the estimated CDFs for the new layer. </t>
  </si>
  <si>
    <t>This simplifying assumption allows us to avoid needing a claims size model by development period.</t>
  </si>
  <si>
    <r>
      <t>R</t>
    </r>
    <r>
      <rPr>
        <vertAlign val="subscript"/>
        <sz val="12"/>
        <color rgb="FF000000"/>
        <rFont val="Calibri"/>
        <family val="2"/>
      </rPr>
      <t>j</t>
    </r>
    <r>
      <rPr>
        <sz val="12"/>
        <color rgb="FF000000"/>
        <rFont val="Calibri"/>
        <family val="2"/>
      </rPr>
      <t xml:space="preserve"> is the ratio along the diagonal of  </t>
    </r>
    <r>
      <rPr>
        <b/>
        <sz val="12"/>
        <color rgb="FF000000"/>
        <rFont val="Calibri"/>
        <family val="2"/>
      </rPr>
      <t>LEV(Limit X) / LEV(Basic Limit B)</t>
    </r>
    <r>
      <rPr>
        <sz val="12"/>
        <color rgb="FF000000"/>
        <rFont val="Calibri"/>
        <family val="2"/>
      </rPr>
      <t xml:space="preserve"> at the development period j. </t>
    </r>
  </si>
  <si>
    <t>The properties below (from Sahasrabuddhe pg. 8) hold when Limit X is less than Basic Limit B and if we assume no negative development (to better conceptualize, I use Limit X = $250K and Limit B =  $500K):</t>
  </si>
  <si>
    <r>
      <t>• At earlier maturities, most of the development will be in the $250K layer, so R</t>
    </r>
    <r>
      <rPr>
        <vertAlign val="subscript"/>
        <sz val="12"/>
        <color rgb="FF000000"/>
        <rFont val="Calibri"/>
        <family val="2"/>
      </rPr>
      <t>j</t>
    </r>
    <r>
      <rPr>
        <sz val="12"/>
        <color rgb="FF000000"/>
        <rFont val="Calibri"/>
        <family val="2"/>
      </rPr>
      <t xml:space="preserve"> will be close to 1. At later development periods, there will be more development above $250K and in the layer between Limits X and B. This means R</t>
    </r>
    <r>
      <rPr>
        <vertAlign val="subscript"/>
        <sz val="12"/>
        <color rgb="FF000000"/>
        <rFont val="Calibri"/>
        <family val="2"/>
      </rPr>
      <t xml:space="preserve">j </t>
    </r>
    <r>
      <rPr>
        <sz val="12"/>
        <color rgb="FF000000"/>
        <rFont val="Calibri"/>
        <family val="2"/>
      </rPr>
      <t>will decrease for later development periods.</t>
    </r>
  </si>
  <si>
    <t>• This follows from the bullet above. Rj keeps decreasing as maturity increases until losses are at ultimate and the ratio Rj is at its minimum, U. Sahasrabuddhe points out that U can be calculated as:</t>
  </si>
  <si>
    <t>• The ratio of CDFs develops both the numerator and denominator of Rj to ultimate, giving the ultimate ratio.</t>
  </si>
  <si>
    <t>Unlimited Mean at Ult
Mean at Ult</t>
  </si>
  <si>
    <r>
      <t>R</t>
    </r>
    <r>
      <rPr>
        <vertAlign val="subscript"/>
        <sz val="12"/>
        <color theme="1"/>
        <rFont val="Calibri"/>
        <family val="2"/>
      </rPr>
      <t>j</t>
    </r>
    <r>
      <rPr>
        <sz val="12"/>
        <color theme="1"/>
        <rFont val="Calibri"/>
        <family val="2"/>
      </rPr>
      <t xml:space="preserve"> Ratio 
at Ultimate</t>
    </r>
  </si>
  <si>
    <r>
      <t>R</t>
    </r>
    <r>
      <rPr>
        <vertAlign val="subscript"/>
        <sz val="12"/>
        <color theme="1"/>
        <rFont val="Calibri"/>
        <family val="2"/>
      </rPr>
      <t>j</t>
    </r>
    <r>
      <rPr>
        <sz val="12"/>
        <color theme="1"/>
        <rFont val="Calibri"/>
        <family val="2"/>
      </rPr>
      <t xml:space="preserve"> Ratio at Age</t>
    </r>
  </si>
  <si>
    <r>
      <t>R</t>
    </r>
    <r>
      <rPr>
        <vertAlign val="subscript"/>
        <sz val="12"/>
        <color rgb="FF000000"/>
        <rFont val="Calibri"/>
        <family val="2"/>
      </rPr>
      <t>AY,k</t>
    </r>
    <r>
      <rPr>
        <sz val="12"/>
        <color rgb="FF000000"/>
        <rFont val="Calibri"/>
        <family val="2"/>
      </rPr>
      <t xml:space="preserve"> is the ratio of the LEVs at the AY cost level and development period </t>
    </r>
    <r>
      <rPr>
        <i/>
        <u/>
        <sz val="12"/>
        <color rgb="FF000000"/>
        <rFont val="Calibri"/>
        <family val="2"/>
      </rPr>
      <t>along the diagonal</t>
    </r>
    <r>
      <rPr>
        <sz val="12"/>
        <color rgb="FF000000"/>
        <rFont val="Calibri"/>
        <family val="2"/>
      </rPr>
      <t xml:space="preserve">. We're making a simplifying assumption that the differences in cost level are immaterial to the </t>
    </r>
    <r>
      <rPr>
        <i/>
        <u/>
        <sz val="12"/>
        <color rgb="FF000000"/>
        <rFont val="Calibri"/>
        <family val="2"/>
      </rPr>
      <t>ratio</t>
    </r>
    <r>
      <rPr>
        <sz val="12"/>
        <color rgb="FF000000"/>
        <rFont val="Calibri"/>
        <family val="2"/>
      </rPr>
      <t xml:space="preserve"> of LEVs. We only need to estimate the ratio R</t>
    </r>
    <r>
      <rPr>
        <vertAlign val="subscript"/>
        <sz val="12"/>
        <color rgb="FF000000"/>
        <rFont val="Calibri"/>
        <family val="2"/>
      </rPr>
      <t>AY,k</t>
    </r>
    <r>
      <rPr>
        <sz val="12"/>
        <color rgb="FF000000"/>
        <rFont val="Calibri"/>
        <family val="2"/>
      </rPr>
      <t xml:space="preserve"> at each development period along the diagonal, and we can compare those to the </t>
    </r>
    <r>
      <rPr>
        <i/>
        <u/>
        <sz val="12"/>
        <color rgb="FF000000"/>
        <rFont val="Calibri"/>
        <family val="2"/>
      </rPr>
      <t>observed</t>
    </r>
    <r>
      <rPr>
        <sz val="12"/>
        <color rgb="FF000000"/>
        <rFont val="Calibri"/>
        <family val="2"/>
      </rPr>
      <t xml:space="preserve"> ratios along the diagonal.</t>
    </r>
  </si>
  <si>
    <r>
      <t>R</t>
    </r>
    <r>
      <rPr>
        <b/>
        <vertAlign val="subscript"/>
        <sz val="12"/>
        <color rgb="FF000000"/>
        <rFont val="Calibri"/>
        <family val="2"/>
      </rPr>
      <t>j</t>
    </r>
    <r>
      <rPr>
        <b/>
        <sz val="12"/>
        <color rgb="FF000000"/>
        <rFont val="Calibri"/>
        <family val="2"/>
      </rPr>
      <t xml:space="preserve"> decreases as age, </t>
    </r>
    <r>
      <rPr>
        <b/>
        <i/>
        <sz val="12"/>
        <color rgb="FF000000"/>
        <rFont val="Calibri"/>
        <family val="2"/>
      </rPr>
      <t>j</t>
    </r>
    <r>
      <rPr>
        <b/>
        <sz val="12"/>
        <color rgb="FF000000"/>
        <rFont val="Calibri"/>
        <family val="2"/>
      </rPr>
      <t>, increases.</t>
    </r>
  </si>
  <si>
    <r>
      <t xml:space="preserve">• In this case, the Basic Limit is Ground-Up Unlimited. For any maturity </t>
    </r>
    <r>
      <rPr>
        <i/>
        <sz val="12"/>
        <color rgb="FF000000"/>
        <rFont val="Calibri"/>
        <family val="2"/>
      </rPr>
      <t>j</t>
    </r>
    <r>
      <rPr>
        <sz val="12"/>
        <color rgb="FF000000"/>
        <rFont val="Calibri"/>
        <family val="2"/>
      </rPr>
      <t xml:space="preserve"> before ultimate, the maximum of what the ratio R</t>
    </r>
    <r>
      <rPr>
        <vertAlign val="subscript"/>
        <sz val="12"/>
        <color rgb="FF000000"/>
        <rFont val="Calibri"/>
        <family val="2"/>
      </rPr>
      <t>j</t>
    </r>
    <r>
      <rPr>
        <sz val="12"/>
        <color rgb="FF000000"/>
        <rFont val="Calibri"/>
        <family val="2"/>
      </rPr>
      <t xml:space="preserve"> can be is when losses limited at X are </t>
    </r>
    <r>
      <rPr>
        <i/>
        <sz val="12"/>
        <color rgb="FF000000"/>
        <rFont val="Calibri"/>
        <family val="2"/>
      </rPr>
      <t>fully developed</t>
    </r>
    <r>
      <rPr>
        <sz val="12"/>
        <color rgb="FF000000"/>
        <rFont val="Calibri"/>
        <family val="2"/>
      </rPr>
      <t xml:space="preserve"> as of time </t>
    </r>
    <r>
      <rPr>
        <i/>
        <sz val="12"/>
        <color rgb="FF000000"/>
        <rFont val="Calibri"/>
        <family val="2"/>
      </rPr>
      <t xml:space="preserve">j </t>
    </r>
    <r>
      <rPr>
        <sz val="12"/>
        <color rgb="FF000000"/>
        <rFont val="Calibri"/>
        <family val="2"/>
      </rPr>
      <t xml:space="preserve">and all future development after </t>
    </r>
    <r>
      <rPr>
        <i/>
        <sz val="12"/>
        <color rgb="FF000000"/>
        <rFont val="Calibri"/>
        <family val="2"/>
      </rPr>
      <t>j</t>
    </r>
    <r>
      <rPr>
        <sz val="12"/>
        <color rgb="FF000000"/>
        <rFont val="Calibri"/>
        <family val="2"/>
      </rPr>
      <t xml:space="preserve"> is in the layer excess limit X. </t>
    </r>
  </si>
  <si>
    <t>Unlimited Means, trended backward</t>
  </si>
  <si>
    <t>(750k) Triangle – New Limit LEVs</t>
  </si>
  <si>
    <t>LEV(500k) Triangle – Basic Limit LEVs</t>
  </si>
  <si>
    <t>CDFs for Layer X</t>
  </si>
  <si>
    <t>LEV(1M) Triangle – Data Limit LEVs</t>
  </si>
  <si>
    <t>(500k) Triangle – Basic Limit LEVs</t>
  </si>
  <si>
    <t xml:space="preserve">Adjusted Losses: Basic Limits-2023 Exposure Yr </t>
  </si>
  <si>
    <t>AY Trend</t>
  </si>
  <si>
    <t>CY Trend</t>
  </si>
  <si>
    <t>Total Trend</t>
  </si>
  <si>
    <t>24-36</t>
  </si>
  <si>
    <t>12-24</t>
  </si>
  <si>
    <t>X</t>
  </si>
  <si>
    <t>=</t>
  </si>
  <si>
    <t xml:space="preserve">Data Loss Limit = </t>
  </si>
  <si>
    <r>
      <t xml:space="preserve">A couple possible twists to this type of problem:
• Layer X might have a top limit </t>
    </r>
    <r>
      <rPr>
        <i/>
        <u/>
        <sz val="12"/>
        <color theme="1"/>
        <rFont val="Calibri"/>
        <family val="2"/>
      </rPr>
      <t>and</t>
    </r>
    <r>
      <rPr>
        <sz val="12"/>
        <color theme="1"/>
        <rFont val="Calibri"/>
        <family val="2"/>
      </rPr>
      <t xml:space="preserve"> bottom limit (e.g. loss layer from $1M to $2M). In this case, just use the difference of LEVs between the top and bottom of the layer for the LEV[X] input like below:</t>
    </r>
  </si>
  <si>
    <r>
      <t>• There might only be a claims size model at ultimate and not for earlier development periods. In this case a ratio of the LEV for layer X and the LEV for layer B (R</t>
    </r>
    <r>
      <rPr>
        <vertAlign val="subscript"/>
        <sz val="12"/>
        <color theme="1"/>
        <rFont val="Calibri"/>
        <family val="2"/>
      </rPr>
      <t>k</t>
    </r>
    <r>
      <rPr>
        <sz val="12"/>
        <color theme="1"/>
        <rFont val="Calibri"/>
        <family val="2"/>
      </rPr>
      <t>), can be used as the denominator for step three (see below). Check out the “Calculate Layer LDFs from Basic Limit LDFs: Simplified Model” recipe for how to solve this type of problem.</t>
    </r>
  </si>
  <si>
    <t>•  Accident year ground-up, unlimited loss trend =</t>
  </si>
  <si>
    <t>Trend the ultimate unlimited claim size mean backwards to prior accident years. Note that the formula for the simplified is different.</t>
  </si>
  <si>
    <r>
      <t>Calculate R</t>
    </r>
    <r>
      <rPr>
        <b/>
        <vertAlign val="subscript"/>
        <sz val="12"/>
        <color theme="1"/>
        <rFont val="Calibri"/>
        <family val="2"/>
      </rPr>
      <t>j</t>
    </r>
    <r>
      <rPr>
        <b/>
        <sz val="12"/>
        <color theme="1"/>
        <rFont val="Calibri"/>
        <family val="2"/>
      </rPr>
      <t>, the selected ratio of the LEV at policy limit to the LEV at basic limit for each development age along the diagonal. Use the decay factors to calculate the selected ratios.</t>
    </r>
  </si>
  <si>
    <t>CDF at 
Basic Lim</t>
  </si>
  <si>
    <r>
      <t>Use the relationship between the LEV(X) and LEV(B) along with the selected LEV ratio R</t>
    </r>
    <r>
      <rPr>
        <vertAlign val="subscript"/>
        <sz val="12"/>
        <color rgb="FF000000"/>
        <rFont val="Calibri"/>
        <family val="2"/>
      </rPr>
      <t>j</t>
    </r>
    <r>
      <rPr>
        <sz val="12"/>
        <color rgb="FF000000"/>
        <rFont val="Calibri"/>
        <family val="2"/>
      </rPr>
      <t>, to transform the CDF to layer X and the appropriate exposure year cost level:</t>
    </r>
  </si>
  <si>
    <r>
      <t>We use this simplified model when we don't have claim size models for each of the development periods. If we did</t>
    </r>
    <r>
      <rPr>
        <i/>
        <sz val="12"/>
        <color rgb="FF000000"/>
        <rFont val="Calibri"/>
        <family val="2"/>
      </rPr>
      <t xml:space="preserve"> </t>
    </r>
    <r>
      <rPr>
        <sz val="12"/>
        <color rgb="FF000000"/>
        <rFont val="Calibri"/>
        <family val="2"/>
      </rPr>
      <t>have those claim size models, we'd just use the original Sahasrabuddhe method.</t>
    </r>
  </si>
  <si>
    <t>For the exam, it's easiest to do all the work for calculating the selected ratio in one, compact table like below:</t>
  </si>
  <si>
    <t>•	Transformed to the basic limit
•	Transformed to the latest cost level</t>
  </si>
  <si>
    <t>The data are transformed in two ways:</t>
  </si>
  <si>
    <r>
      <t xml:space="preserve">This approach is based on the regular Sahasrabuddhe method. We’re taking advantage of the fact that we don’t really need the absolute value of the LEVs at the earlier development periods. Instead, we need the </t>
    </r>
    <r>
      <rPr>
        <i/>
        <u/>
        <sz val="12"/>
        <color rgb="FF000000"/>
        <rFont val="Calibri"/>
        <family val="2"/>
      </rPr>
      <t xml:space="preserve">ratio of the LEVs between the new layer and the basic limit layer. </t>
    </r>
  </si>
  <si>
    <t>Note:</t>
  </si>
  <si>
    <t>The policy limit isn't needed in this problem, but it is used in the next problem that follows from this one.</t>
  </si>
  <si>
    <t>Calculate the volume-weighted incremental loss development factors at the accident year 2023 cost level</t>
  </si>
  <si>
    <t>Exam Spreadsheet Tips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</si>
</sst>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00"/>
    <numFmt numFmtId="166" formatCode="_-* #,##0.000_-;\-* #,##0.000_-;_-* &quot;-&quot;??_-;_-@_-"/>
    <numFmt numFmtId="167" formatCode="_-* #,##0_-;\-* #,##0_-;_-* &quot;-&quot;??_-;_-@_-"/>
    <numFmt numFmtId="168" formatCode="0.0"/>
    <numFmt numFmtId="169" formatCode="0.0%"/>
  </numFmts>
  <fonts count="34"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FF0000"/>
      <name val="Calibri"/>
      <family val="2"/>
    </font>
    <font>
      <sz val="12"/>
      <name val="Calibri"/>
      <family val="2"/>
    </font>
    <font>
      <b/>
      <sz val="12"/>
      <color rgb="FF000000"/>
      <name val="Calibri"/>
      <family val="2"/>
    </font>
    <font>
      <b/>
      <sz val="14"/>
      <color rgb="FF000000"/>
      <name val="Calibri"/>
      <family val="2"/>
    </font>
    <font>
      <b/>
      <sz val="12"/>
      <name val="Calibri"/>
      <family val="2"/>
    </font>
    <font>
      <sz val="12"/>
      <color rgb="FF000000"/>
      <name val="Calibri"/>
      <family val="2"/>
    </font>
    <font>
      <vertAlign val="subscript"/>
      <sz val="12"/>
      <color theme="1"/>
      <name val="Calibri"/>
      <family val="2"/>
    </font>
    <font>
      <b/>
      <sz val="12"/>
      <color theme="1"/>
      <name val="Calibri"/>
      <family val="2"/>
    </font>
    <font>
      <u/>
      <sz val="12"/>
      <color rgb="FF000000"/>
      <name val="Calibri"/>
      <family val="2"/>
    </font>
    <font>
      <b/>
      <u/>
      <sz val="12"/>
      <color rgb="FF000000"/>
      <name val="Calibri"/>
      <family val="2"/>
    </font>
    <font>
      <u/>
      <sz val="12"/>
      <color theme="1"/>
      <name val="Calibri"/>
      <family val="2"/>
    </font>
    <font>
      <sz val="11"/>
      <color rgb="FF000000"/>
      <name val="Calibri"/>
      <family val="2"/>
    </font>
    <font>
      <i/>
      <u/>
      <sz val="12"/>
      <color rgb="FF000000"/>
      <name val="Calibri"/>
      <family val="2"/>
    </font>
    <font>
      <i/>
      <sz val="12"/>
      <color rgb="FF000000"/>
      <name val="Calibri"/>
      <family val="2"/>
    </font>
    <font>
      <u/>
      <sz val="14"/>
      <color rgb="FF000000"/>
      <name val="Calibri"/>
      <family val="2"/>
    </font>
    <font>
      <vertAlign val="subscript"/>
      <sz val="12"/>
      <color rgb="FF000000"/>
      <name val="Calibri"/>
      <family val="2"/>
    </font>
    <font>
      <b/>
      <u/>
      <sz val="14"/>
      <color rgb="FF000000"/>
      <name val="Calibri"/>
      <family val="2"/>
    </font>
    <font>
      <b/>
      <vertAlign val="subscript"/>
      <sz val="12"/>
      <color rgb="FF000000"/>
      <name val="Calibri"/>
      <family val="2"/>
    </font>
    <font>
      <i/>
      <u/>
      <sz val="12"/>
      <color theme="1"/>
      <name val="Calibri"/>
      <family val="2"/>
    </font>
    <font>
      <b/>
      <i/>
      <sz val="12"/>
      <color rgb="FF000000"/>
      <name val="Calibri"/>
      <family val="2"/>
    </font>
    <font>
      <sz val="8"/>
      <name val="Calibri"/>
      <family val="2"/>
      <scheme val="minor"/>
    </font>
    <font>
      <b/>
      <vertAlign val="subscript"/>
      <sz val="12"/>
      <color theme="1"/>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8" tint="0.59999389629810485"/>
        <bgColor indexed="64"/>
      </patternFill>
    </fill>
  </fills>
  <borders count="2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style="thin">
        <color auto="1"/>
      </right>
      <top style="dashed">
        <color auto="1"/>
      </top>
      <bottom/>
      <diagonal/>
    </border>
    <border>
      <left/>
      <right/>
      <top style="dashed">
        <color auto="1"/>
      </top>
      <bottom/>
      <diagonal/>
    </border>
    <border>
      <left/>
      <right style="medium">
        <color rgb="FF000000"/>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
    <xf numFmtId="0" fontId="0" fillId="0" borderId="0"/>
    <xf numFmtId="44"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cellStyleXfs>
  <cellXfs count="190">
    <xf numFmtId="0" fontId="0" fillId="0" borderId="0" xfId="0"/>
    <xf numFmtId="0" fontId="9" fillId="2" borderId="1" xfId="0" applyFont="1" applyFill="1" applyBorder="1"/>
    <xf numFmtId="0" fontId="9" fillId="0" borderId="0" xfId="0" applyFont="1"/>
    <xf numFmtId="0" fontId="10" fillId="0" borderId="0" xfId="0" applyFont="1"/>
    <xf numFmtId="0" fontId="11" fillId="0" borderId="0" xfId="0" applyFont="1"/>
    <xf numFmtId="2" fontId="12" fillId="2" borderId="1" xfId="0" applyNumberFormat="1" applyFont="1" applyFill="1" applyBorder="1" applyAlignment="1">
      <alignment horizontal="left"/>
    </xf>
    <xf numFmtId="0" fontId="13" fillId="2" borderId="8" xfId="0" applyFont="1" applyFill="1" applyBorder="1" applyAlignment="1">
      <alignment horizontal="center" vertical="center" wrapText="1"/>
    </xf>
    <xf numFmtId="0" fontId="14" fillId="0" borderId="0" xfId="0" applyFont="1"/>
    <xf numFmtId="0" fontId="15" fillId="0" borderId="0" xfId="0" applyFont="1"/>
    <xf numFmtId="166" fontId="13" fillId="0" borderId="0" xfId="2" applyNumberFormat="1" applyFont="1" applyFill="1" applyBorder="1" applyAlignment="1" applyProtection="1">
      <alignment horizontal="right"/>
    </xf>
    <xf numFmtId="167" fontId="13" fillId="0" borderId="0" xfId="2" applyNumberFormat="1" applyFont="1" applyFill="1" applyBorder="1" applyAlignment="1" applyProtection="1">
      <alignment horizontal="right"/>
    </xf>
    <xf numFmtId="0" fontId="17" fillId="2" borderId="0" xfId="0" applyFont="1" applyFill="1" applyAlignment="1">
      <alignment horizontal="center" vertical="center" wrapText="1"/>
    </xf>
    <xf numFmtId="166" fontId="13" fillId="2" borderId="0" xfId="2" applyNumberFormat="1" applyFont="1" applyFill="1" applyBorder="1" applyAlignment="1" applyProtection="1"/>
    <xf numFmtId="0" fontId="13" fillId="0" borderId="8" xfId="0" applyFont="1" applyBorder="1" applyAlignment="1">
      <alignment horizontal="center" vertical="center" wrapText="1"/>
    </xf>
    <xf numFmtId="0" fontId="13" fillId="2" borderId="17" xfId="0" applyFont="1" applyFill="1" applyBorder="1" applyAlignment="1">
      <alignment horizontal="center" wrapText="1"/>
    </xf>
    <xf numFmtId="0" fontId="13" fillId="2" borderId="20" xfId="0" applyFont="1" applyFill="1" applyBorder="1" applyAlignment="1">
      <alignment horizontal="center" wrapText="1"/>
    </xf>
    <xf numFmtId="0" fontId="13" fillId="2" borderId="19" xfId="0" applyFont="1" applyFill="1" applyBorder="1" applyAlignment="1">
      <alignment horizontal="center" wrapText="1"/>
    </xf>
    <xf numFmtId="0" fontId="13" fillId="2" borderId="13" xfId="0" applyFont="1" applyFill="1" applyBorder="1" applyAlignment="1">
      <alignment horizontal="center" vertical="center" wrapText="1"/>
    </xf>
    <xf numFmtId="3" fontId="13" fillId="2" borderId="0" xfId="0" applyNumberFormat="1" applyFont="1" applyFill="1" applyAlignment="1">
      <alignment horizontal="center" vertical="center" wrapText="1"/>
    </xf>
    <xf numFmtId="3" fontId="13" fillId="2" borderId="8" xfId="0" applyNumberFormat="1" applyFont="1" applyFill="1" applyBorder="1" applyAlignment="1">
      <alignment horizontal="center" vertical="center" wrapText="1"/>
    </xf>
    <xf numFmtId="0" fontId="13" fillId="2" borderId="12" xfId="0" applyFont="1" applyFill="1" applyBorder="1" applyAlignment="1">
      <alignment horizontal="center" vertical="center" wrapText="1"/>
    </xf>
    <xf numFmtId="3" fontId="13" fillId="2" borderId="7" xfId="0" applyNumberFormat="1"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19" xfId="0" applyFont="1" applyFill="1" applyBorder="1" applyAlignment="1">
      <alignment horizontal="center" vertical="center" wrapText="1"/>
    </xf>
    <xf numFmtId="166" fontId="13" fillId="2" borderId="21" xfId="2" applyNumberFormat="1" applyFont="1" applyFill="1" applyBorder="1" applyAlignment="1" applyProtection="1"/>
    <xf numFmtId="166" fontId="13" fillId="2" borderId="22" xfId="2" applyNumberFormat="1" applyFont="1" applyFill="1" applyBorder="1" applyAlignment="1" applyProtection="1"/>
    <xf numFmtId="166" fontId="13" fillId="2" borderId="8" xfId="2" applyNumberFormat="1" applyFont="1" applyFill="1" applyBorder="1" applyAlignment="1" applyProtection="1"/>
    <xf numFmtId="166" fontId="13" fillId="2" borderId="7" xfId="2" applyNumberFormat="1" applyFont="1" applyFill="1" applyBorder="1" applyAlignment="1" applyProtection="1"/>
    <xf numFmtId="166" fontId="13" fillId="2" borderId="6" xfId="2" applyNumberFormat="1" applyFont="1" applyFill="1" applyBorder="1" applyAlignment="1" applyProtection="1"/>
    <xf numFmtId="0" fontId="17" fillId="2" borderId="23"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7" fillId="2" borderId="17" xfId="0" applyFont="1" applyFill="1" applyBorder="1" applyAlignment="1">
      <alignment horizontal="center" vertical="center" wrapText="1"/>
    </xf>
    <xf numFmtId="168" fontId="17" fillId="2" borderId="19" xfId="0" applyNumberFormat="1" applyFont="1" applyFill="1" applyBorder="1" applyAlignment="1">
      <alignment horizontal="center" vertical="center" wrapText="1"/>
    </xf>
    <xf numFmtId="165" fontId="17" fillId="2" borderId="20" xfId="0" applyNumberFormat="1" applyFont="1" applyFill="1" applyBorder="1" applyAlignment="1">
      <alignment horizontal="center" vertical="center" wrapText="1"/>
    </xf>
    <xf numFmtId="165" fontId="17" fillId="2" borderId="19" xfId="0" applyNumberFormat="1" applyFont="1" applyFill="1" applyBorder="1" applyAlignment="1">
      <alignment horizontal="center" vertical="center" wrapText="1"/>
    </xf>
    <xf numFmtId="3" fontId="17" fillId="2" borderId="21" xfId="0" applyNumberFormat="1" applyFont="1" applyFill="1" applyBorder="1" applyAlignment="1">
      <alignment horizontal="center" vertical="center" wrapText="1"/>
    </xf>
    <xf numFmtId="3" fontId="17" fillId="2" borderId="22" xfId="0" applyNumberFormat="1" applyFont="1" applyFill="1" applyBorder="1" applyAlignment="1">
      <alignment horizontal="center" vertical="center" wrapText="1"/>
    </xf>
    <xf numFmtId="3" fontId="17" fillId="2" borderId="0" xfId="0" applyNumberFormat="1" applyFont="1" applyFill="1" applyAlignment="1">
      <alignment horizontal="center" vertical="center" wrapText="1"/>
    </xf>
    <xf numFmtId="3" fontId="17" fillId="2" borderId="8" xfId="0" applyNumberFormat="1" applyFont="1" applyFill="1" applyBorder="1" applyAlignment="1">
      <alignment horizontal="center" vertical="center" wrapText="1"/>
    </xf>
    <xf numFmtId="3" fontId="17" fillId="2" borderId="7" xfId="0" applyNumberFormat="1" applyFont="1" applyFill="1" applyBorder="1" applyAlignment="1">
      <alignment horizontal="center" vertical="center" wrapText="1"/>
    </xf>
    <xf numFmtId="3" fontId="17" fillId="2" borderId="6" xfId="0" applyNumberFormat="1" applyFont="1" applyFill="1" applyBorder="1" applyAlignment="1">
      <alignment horizontal="center" vertical="center" wrapText="1"/>
    </xf>
    <xf numFmtId="0" fontId="17" fillId="2" borderId="20" xfId="0" applyFont="1" applyFill="1" applyBorder="1" applyAlignment="1">
      <alignment horizontal="center" wrapText="1"/>
    </xf>
    <xf numFmtId="0" fontId="17" fillId="2" borderId="19" xfId="0" applyFont="1" applyFill="1" applyBorder="1" applyAlignment="1">
      <alignment horizontal="center" wrapText="1"/>
    </xf>
    <xf numFmtId="0" fontId="17" fillId="2" borderId="17" xfId="0" applyFont="1" applyFill="1" applyBorder="1" applyAlignment="1">
      <alignment horizontal="center" wrapText="1"/>
    </xf>
    <xf numFmtId="0" fontId="17" fillId="2" borderId="17" xfId="0" applyFont="1" applyFill="1" applyBorder="1" applyAlignment="1">
      <alignment horizontal="right" vertical="center"/>
    </xf>
    <xf numFmtId="37" fontId="13" fillId="0" borderId="0" xfId="2" applyNumberFormat="1" applyFont="1" applyFill="1" applyBorder="1" applyAlignment="1" applyProtection="1">
      <alignment horizontal="center"/>
    </xf>
    <xf numFmtId="0" fontId="7" fillId="2" borderId="0" xfId="0" applyFont="1" applyFill="1"/>
    <xf numFmtId="0" fontId="7" fillId="2" borderId="2" xfId="0" applyFont="1" applyFill="1" applyBorder="1"/>
    <xf numFmtId="0" fontId="7" fillId="0" borderId="0" xfId="0" applyFont="1"/>
    <xf numFmtId="0" fontId="7" fillId="2" borderId="18" xfId="0" applyFont="1" applyFill="1" applyBorder="1" applyAlignment="1">
      <alignment horizontal="center"/>
    </xf>
    <xf numFmtId="0" fontId="7" fillId="2" borderId="20" xfId="0" applyFont="1" applyFill="1" applyBorder="1" applyAlignment="1">
      <alignment horizontal="center"/>
    </xf>
    <xf numFmtId="0" fontId="7" fillId="2" borderId="19" xfId="0" applyFont="1" applyFill="1" applyBorder="1" applyAlignment="1">
      <alignment horizontal="center"/>
    </xf>
    <xf numFmtId="6" fontId="7" fillId="2" borderId="0" xfId="0" applyNumberFormat="1" applyFont="1" applyFill="1" applyAlignment="1">
      <alignment horizontal="center"/>
    </xf>
    <xf numFmtId="9" fontId="7" fillId="2" borderId="0" xfId="0" applyNumberFormat="1" applyFont="1" applyFill="1" applyAlignment="1">
      <alignment horizontal="center"/>
    </xf>
    <xf numFmtId="0" fontId="7" fillId="2" borderId="18" xfId="0" applyFont="1" applyFill="1" applyBorder="1"/>
    <xf numFmtId="0" fontId="7" fillId="2" borderId="19" xfId="0" applyFont="1" applyFill="1" applyBorder="1" applyAlignment="1">
      <alignment horizontal="right"/>
    </xf>
    <xf numFmtId="3" fontId="7" fillId="2" borderId="20" xfId="0" applyNumberFormat="1" applyFont="1" applyFill="1" applyBorder="1" applyAlignment="1">
      <alignment horizontal="center"/>
    </xf>
    <xf numFmtId="3" fontId="7" fillId="2" borderId="19" xfId="0" applyNumberFormat="1" applyFont="1" applyFill="1" applyBorder="1" applyAlignment="1">
      <alignment horizontal="center"/>
    </xf>
    <xf numFmtId="0" fontId="7" fillId="2" borderId="3" xfId="0" applyFont="1" applyFill="1" applyBorder="1"/>
    <xf numFmtId="0" fontId="7" fillId="2" borderId="4" xfId="0" applyFont="1" applyFill="1" applyBorder="1"/>
    <xf numFmtId="164" fontId="7" fillId="2" borderId="4" xfId="1" applyNumberFormat="1" applyFont="1" applyFill="1" applyBorder="1"/>
    <xf numFmtId="0" fontId="7" fillId="2" borderId="5" xfId="0" applyFont="1" applyFill="1" applyBorder="1"/>
    <xf numFmtId="6" fontId="7" fillId="0" borderId="0" xfId="0" applyNumberFormat="1" applyFont="1" applyAlignment="1">
      <alignment horizontal="center"/>
    </xf>
    <xf numFmtId="0" fontId="14" fillId="0" borderId="0" xfId="0" applyFont="1" applyAlignment="1">
      <alignment horizontal="right"/>
    </xf>
    <xf numFmtId="0" fontId="7" fillId="0" borderId="0" xfId="0" applyFont="1" applyAlignment="1">
      <alignment horizontal="centerContinuous"/>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165" fontId="7" fillId="0" borderId="0" xfId="0" applyNumberFormat="1" applyFont="1"/>
    <xf numFmtId="167" fontId="7" fillId="0" borderId="0" xfId="2" applyNumberFormat="1" applyFont="1"/>
    <xf numFmtId="0" fontId="7" fillId="0" borderId="9" xfId="0" applyFont="1" applyBorder="1" applyAlignment="1">
      <alignment horizontal="center"/>
    </xf>
    <xf numFmtId="167" fontId="7" fillId="0" borderId="10" xfId="2" applyNumberFormat="1" applyFont="1" applyBorder="1"/>
    <xf numFmtId="0" fontId="7" fillId="0" borderId="0" xfId="0" applyFont="1" applyAlignment="1">
      <alignment horizontal="center"/>
    </xf>
    <xf numFmtId="165" fontId="19" fillId="0" borderId="0" xfId="0" applyNumberFormat="1" applyFont="1"/>
    <xf numFmtId="166" fontId="19" fillId="0" borderId="0" xfId="2" applyNumberFormat="1" applyFont="1"/>
    <xf numFmtId="0" fontId="7" fillId="0" borderId="8" xfId="0" applyFont="1" applyBorder="1"/>
    <xf numFmtId="0" fontId="17" fillId="0" borderId="8" xfId="0" applyFont="1" applyBorder="1" applyAlignment="1">
      <alignment horizontal="center"/>
    </xf>
    <xf numFmtId="0" fontId="15" fillId="3" borderId="1" xfId="0" applyFont="1" applyFill="1" applyBorder="1"/>
    <xf numFmtId="0" fontId="15" fillId="3" borderId="0" xfId="0" applyFont="1" applyFill="1"/>
    <xf numFmtId="0" fontId="17" fillId="3" borderId="0" xfId="0" applyFont="1" applyFill="1"/>
    <xf numFmtId="0" fontId="17" fillId="3" borderId="2" xfId="0" applyFont="1" applyFill="1" applyBorder="1"/>
    <xf numFmtId="0" fontId="17" fillId="0" borderId="0" xfId="0" applyFont="1"/>
    <xf numFmtId="2" fontId="12" fillId="3" borderId="1" xfId="0" applyNumberFormat="1" applyFont="1" applyFill="1" applyBorder="1" applyAlignment="1">
      <alignment horizontal="left"/>
    </xf>
    <xf numFmtId="0" fontId="20" fillId="3" borderId="0" xfId="0" applyFont="1" applyFill="1"/>
    <xf numFmtId="6" fontId="17" fillId="3" borderId="0" xfId="0" applyNumberFormat="1" applyFont="1" applyFill="1" applyAlignment="1">
      <alignment horizontal="center"/>
    </xf>
    <xf numFmtId="9" fontId="17" fillId="3" borderId="0" xfId="0" applyNumberFormat="1" applyFont="1" applyFill="1" applyAlignment="1">
      <alignment horizontal="center"/>
    </xf>
    <xf numFmtId="0" fontId="17" fillId="3" borderId="11" xfId="0" applyFont="1" applyFill="1" applyBorder="1"/>
    <xf numFmtId="0" fontId="17" fillId="3" borderId="3" xfId="0" applyFont="1" applyFill="1" applyBorder="1"/>
    <xf numFmtId="0" fontId="17" fillId="3" borderId="4" xfId="0" applyFont="1" applyFill="1" applyBorder="1"/>
    <xf numFmtId="164" fontId="17" fillId="3" borderId="4" xfId="0" applyNumberFormat="1" applyFont="1" applyFill="1" applyBorder="1"/>
    <xf numFmtId="0" fontId="17" fillId="3" borderId="5" xfId="0" applyFont="1" applyFill="1" applyBorder="1"/>
    <xf numFmtId="0" fontId="21" fillId="0" borderId="0" xfId="0" applyFont="1"/>
    <xf numFmtId="0" fontId="17" fillId="0" borderId="8" xfId="0" applyFont="1" applyBorder="1"/>
    <xf numFmtId="9" fontId="7" fillId="0" borderId="0" xfId="3" applyFont="1"/>
    <xf numFmtId="9" fontId="7" fillId="0" borderId="0" xfId="0" applyNumberFormat="1" applyFont="1"/>
    <xf numFmtId="167" fontId="13" fillId="0" borderId="0" xfId="0" applyNumberFormat="1" applyFont="1" applyAlignment="1">
      <alignment horizontal="right"/>
    </xf>
    <xf numFmtId="0" fontId="17" fillId="0" borderId="0" xfId="0" applyFont="1" applyAlignment="1">
      <alignment horizontal="left"/>
    </xf>
    <xf numFmtId="167" fontId="13" fillId="0" borderId="0" xfId="0" applyNumberFormat="1" applyFont="1" applyAlignment="1">
      <alignment horizontal="left"/>
    </xf>
    <xf numFmtId="0" fontId="7" fillId="0" borderId="0" xfId="0" applyFont="1" applyAlignment="1">
      <alignment horizontal="left"/>
    </xf>
    <xf numFmtId="0" fontId="17" fillId="0" borderId="0" xfId="0" applyFont="1" applyAlignment="1">
      <alignment horizontal="center"/>
    </xf>
    <xf numFmtId="167" fontId="13" fillId="0" borderId="0" xfId="0" applyNumberFormat="1" applyFont="1" applyAlignment="1">
      <alignment horizontal="center"/>
    </xf>
    <xf numFmtId="0" fontId="7" fillId="0" borderId="14" xfId="0" applyFont="1" applyBorder="1" applyAlignment="1">
      <alignment horizontal="center" wrapText="1"/>
    </xf>
    <xf numFmtId="167" fontId="16" fillId="0" borderId="0" xfId="0" applyNumberFormat="1" applyFont="1" applyAlignment="1">
      <alignment horizontal="right"/>
    </xf>
    <xf numFmtId="0" fontId="23" fillId="0" borderId="0" xfId="0" applyFont="1"/>
    <xf numFmtId="0" fontId="20" fillId="0" borderId="0" xfId="0" applyFont="1"/>
    <xf numFmtId="0" fontId="26" fillId="0" borderId="0" xfId="0" applyFont="1"/>
    <xf numFmtId="0" fontId="28" fillId="0" borderId="0" xfId="0" applyFont="1"/>
    <xf numFmtId="0" fontId="7" fillId="2" borderId="23" xfId="0" applyFont="1" applyFill="1" applyBorder="1"/>
    <xf numFmtId="3" fontId="7" fillId="2" borderId="18" xfId="0" applyNumberFormat="1" applyFont="1" applyFill="1" applyBorder="1" applyAlignment="1">
      <alignment horizontal="center"/>
    </xf>
    <xf numFmtId="37" fontId="7" fillId="0" borderId="0" xfId="2" applyNumberFormat="1" applyFont="1" applyAlignment="1">
      <alignment horizontal="center"/>
    </xf>
    <xf numFmtId="37" fontId="7" fillId="0" borderId="10" xfId="2" applyNumberFormat="1" applyFont="1" applyBorder="1" applyAlignment="1">
      <alignment horizontal="center"/>
    </xf>
    <xf numFmtId="0" fontId="6" fillId="2" borderId="0" xfId="0" applyFont="1" applyFill="1"/>
    <xf numFmtId="0" fontId="14" fillId="0" borderId="0" xfId="0" applyFont="1" applyAlignment="1">
      <alignment horizontal="left" wrapText="1"/>
    </xf>
    <xf numFmtId="0" fontId="6" fillId="0" borderId="0" xfId="0" applyFont="1"/>
    <xf numFmtId="0" fontId="6" fillId="0" borderId="0" xfId="0" applyFont="1" applyAlignment="1">
      <alignment wrapText="1"/>
    </xf>
    <xf numFmtId="0" fontId="7" fillId="0" borderId="0" xfId="0" applyFont="1" applyAlignment="1">
      <alignment wrapText="1"/>
    </xf>
    <xf numFmtId="0" fontId="17" fillId="0" borderId="0" xfId="0" applyFont="1" applyAlignment="1">
      <alignment wrapText="1"/>
    </xf>
    <xf numFmtId="0" fontId="7" fillId="0" borderId="8" xfId="0" applyFont="1" applyBorder="1" applyAlignment="1">
      <alignment horizontal="center" vertical="center"/>
    </xf>
    <xf numFmtId="0" fontId="6" fillId="0" borderId="8" xfId="0" applyFont="1" applyBorder="1" applyAlignment="1">
      <alignment horizontal="center" vertical="center"/>
    </xf>
    <xf numFmtId="0" fontId="7" fillId="0" borderId="6" xfId="0" applyFont="1" applyBorder="1" applyAlignment="1">
      <alignment horizontal="center" vertical="center"/>
    </xf>
    <xf numFmtId="167" fontId="17" fillId="0" borderId="0" xfId="0" applyNumberFormat="1" applyFont="1" applyAlignment="1">
      <alignment horizontal="center"/>
    </xf>
    <xf numFmtId="167" fontId="7" fillId="0" borderId="0" xfId="0" applyNumberFormat="1" applyFont="1" applyAlignment="1">
      <alignment horizontal="center" vertical="center"/>
    </xf>
    <xf numFmtId="167" fontId="7" fillId="0" borderId="0" xfId="0" applyNumberFormat="1" applyFont="1" applyAlignment="1">
      <alignment horizontal="center"/>
    </xf>
    <xf numFmtId="0" fontId="17" fillId="0" borderId="6" xfId="0" applyFont="1" applyBorder="1" applyAlignment="1">
      <alignment horizontal="center"/>
    </xf>
    <xf numFmtId="165" fontId="7" fillId="0" borderId="0" xfId="0" applyNumberFormat="1" applyFont="1" applyAlignment="1">
      <alignment horizontal="center" vertical="center"/>
    </xf>
    <xf numFmtId="165" fontId="13" fillId="0" borderId="0" xfId="2" applyNumberFormat="1" applyFont="1" applyFill="1" applyBorder="1" applyAlignment="1" applyProtection="1">
      <alignment horizontal="center"/>
    </xf>
    <xf numFmtId="165" fontId="19" fillId="0" borderId="8" xfId="0" applyNumberFormat="1" applyFont="1" applyBorder="1"/>
    <xf numFmtId="0" fontId="6" fillId="0" borderId="22" xfId="0" applyFont="1" applyBorder="1" applyAlignment="1">
      <alignment horizontal="center"/>
    </xf>
    <xf numFmtId="0" fontId="5" fillId="0" borderId="0" xfId="0" quotePrefix="1" applyFont="1" applyAlignment="1">
      <alignment horizontal="center" vertical="center"/>
    </xf>
    <xf numFmtId="0" fontId="5" fillId="0" borderId="0" xfId="0" applyFont="1" applyAlignment="1">
      <alignment horizontal="center" vertical="center"/>
    </xf>
    <xf numFmtId="165" fontId="5" fillId="0" borderId="21" xfId="0" applyNumberFormat="1" applyFont="1" applyBorder="1" applyAlignment="1">
      <alignment horizontal="center"/>
    </xf>
    <xf numFmtId="167" fontId="13" fillId="4" borderId="0" xfId="2" applyNumberFormat="1" applyFont="1" applyFill="1" applyBorder="1" applyAlignment="1" applyProtection="1">
      <alignment horizontal="right"/>
    </xf>
    <xf numFmtId="166" fontId="19" fillId="0" borderId="0" xfId="2" applyNumberFormat="1" applyFont="1" applyFill="1"/>
    <xf numFmtId="166" fontId="19" fillId="0" borderId="0" xfId="2" applyNumberFormat="1" applyFont="1" applyFill="1" applyBorder="1"/>
    <xf numFmtId="165" fontId="19" fillId="0" borderId="6" xfId="0" applyNumberFormat="1" applyFont="1" applyBorder="1"/>
    <xf numFmtId="0" fontId="5" fillId="0" borderId="7" xfId="0" quotePrefix="1" applyFont="1" applyBorder="1" applyAlignment="1">
      <alignment horizontal="center" vertical="center"/>
    </xf>
    <xf numFmtId="0" fontId="5" fillId="0" borderId="7" xfId="0" applyFont="1" applyBorder="1" applyAlignment="1">
      <alignment horizontal="center" vertical="center"/>
    </xf>
    <xf numFmtId="166" fontId="5" fillId="0" borderId="7" xfId="2" applyNumberFormat="1" applyFont="1" applyFill="1" applyBorder="1" applyAlignment="1">
      <alignment horizontal="center"/>
    </xf>
    <xf numFmtId="166" fontId="7" fillId="0" borderId="0" xfId="2" applyNumberFormat="1" applyFont="1" applyFill="1"/>
    <xf numFmtId="166" fontId="16" fillId="0" borderId="0" xfId="2" applyNumberFormat="1" applyFont="1" applyFill="1" applyBorder="1" applyAlignment="1" applyProtection="1">
      <alignment horizontal="right"/>
    </xf>
    <xf numFmtId="0" fontId="6" fillId="0" borderId="0" xfId="0" applyFont="1" applyAlignment="1">
      <alignment horizontal="left" wrapText="1"/>
    </xf>
    <xf numFmtId="0" fontId="19" fillId="0" borderId="0" xfId="0" applyFont="1" applyAlignment="1">
      <alignment horizontal="left" wrapText="1"/>
    </xf>
    <xf numFmtId="0" fontId="4" fillId="0" borderId="0" xfId="0" applyFont="1" applyAlignment="1">
      <alignment horizontal="center"/>
    </xf>
    <xf numFmtId="0" fontId="4" fillId="0" borderId="0" xfId="0" applyFont="1" applyAlignment="1">
      <alignment horizontal="right"/>
    </xf>
    <xf numFmtId="166" fontId="13" fillId="0" borderId="0" xfId="2" applyNumberFormat="1" applyFont="1" applyFill="1" applyBorder="1" applyAlignment="1" applyProtection="1">
      <alignment horizontal="center"/>
    </xf>
    <xf numFmtId="37" fontId="13" fillId="4" borderId="0" xfId="2" applyNumberFormat="1" applyFont="1" applyFill="1" applyBorder="1" applyAlignment="1" applyProtection="1">
      <alignment horizontal="center"/>
    </xf>
    <xf numFmtId="0" fontId="22" fillId="0" borderId="0" xfId="0" applyFont="1"/>
    <xf numFmtId="0" fontId="4" fillId="0" borderId="7" xfId="0" applyFont="1" applyBorder="1" applyAlignment="1">
      <alignment horizontal="center" wrapText="1"/>
    </xf>
    <xf numFmtId="165" fontId="7" fillId="0" borderId="0" xfId="0" applyNumberFormat="1" applyFont="1" applyAlignment="1">
      <alignment horizontal="center"/>
    </xf>
    <xf numFmtId="165" fontId="7" fillId="0" borderId="15" xfId="0" applyNumberFormat="1" applyFont="1" applyBorder="1" applyAlignment="1">
      <alignment horizontal="center"/>
    </xf>
    <xf numFmtId="165" fontId="7" fillId="0" borderId="16" xfId="0" applyNumberFormat="1" applyFont="1" applyBorder="1" applyAlignment="1">
      <alignment horizontal="center"/>
    </xf>
    <xf numFmtId="0" fontId="17" fillId="0" borderId="0" xfId="0" applyFont="1" applyAlignment="1">
      <alignment horizontal="left" indent="2"/>
    </xf>
    <xf numFmtId="0" fontId="7" fillId="0" borderId="13" xfId="0" applyFont="1" applyBorder="1" applyAlignment="1">
      <alignment horizontal="center"/>
    </xf>
    <xf numFmtId="167" fontId="7" fillId="0" borderId="0" xfId="2" applyNumberFormat="1" applyFont="1" applyFill="1" applyAlignment="1">
      <alignment horizontal="center"/>
    </xf>
    <xf numFmtId="169" fontId="7" fillId="0" borderId="0" xfId="3" applyNumberFormat="1" applyFont="1" applyFill="1" applyAlignment="1">
      <alignment horizontal="center"/>
    </xf>
    <xf numFmtId="0" fontId="3" fillId="0" borderId="0" xfId="0" applyFont="1"/>
    <xf numFmtId="0" fontId="3" fillId="0" borderId="0" xfId="0" applyFont="1" applyAlignment="1">
      <alignment horizontal="left"/>
    </xf>
    <xf numFmtId="0" fontId="2" fillId="2" borderId="0" xfId="0" applyFont="1" applyFill="1"/>
    <xf numFmtId="0" fontId="7" fillId="2" borderId="18" xfId="0" applyFont="1" applyFill="1" applyBorder="1" applyAlignment="1">
      <alignment horizontal="center"/>
    </xf>
    <xf numFmtId="0" fontId="7" fillId="2" borderId="20" xfId="0" applyFont="1" applyFill="1" applyBorder="1" applyAlignment="1">
      <alignment horizontal="center"/>
    </xf>
    <xf numFmtId="0" fontId="7" fillId="2" borderId="19" xfId="0" applyFont="1" applyFill="1" applyBorder="1" applyAlignment="1">
      <alignment horizontal="center"/>
    </xf>
    <xf numFmtId="0" fontId="14" fillId="0" borderId="0" xfId="0" applyFont="1" applyAlignment="1">
      <alignment horizontal="left" wrapText="1"/>
    </xf>
    <xf numFmtId="165" fontId="19" fillId="0" borderId="0" xfId="0" applyNumberFormat="1" applyFont="1" applyAlignment="1">
      <alignment horizontal="left" wrapText="1"/>
    </xf>
    <xf numFmtId="0" fontId="6" fillId="0" borderId="0" xfId="0" applyFont="1" applyAlignment="1">
      <alignment horizontal="left" wrapText="1"/>
    </xf>
    <xf numFmtId="0" fontId="22" fillId="0" borderId="0" xfId="0" applyFont="1" applyAlignment="1">
      <alignment horizontal="center"/>
    </xf>
    <xf numFmtId="165" fontId="7" fillId="0" borderId="0" xfId="0" applyNumberFormat="1" applyFont="1" applyAlignment="1">
      <alignment horizontal="left" vertical="top" wrapText="1"/>
    </xf>
    <xf numFmtId="0" fontId="3" fillId="0" borderId="0" xfId="0" applyFont="1" applyAlignment="1">
      <alignment horizontal="left" vertical="top" wrapText="1" indent="2"/>
    </xf>
    <xf numFmtId="0" fontId="17" fillId="2" borderId="21" xfId="0" applyFont="1" applyFill="1" applyBorder="1" applyAlignment="1">
      <alignment horizontal="center" wrapText="1"/>
    </xf>
    <xf numFmtId="0" fontId="17" fillId="2" borderId="7" xfId="0" applyFont="1" applyFill="1" applyBorder="1" applyAlignment="1">
      <alignment horizontal="center" wrapText="1"/>
    </xf>
    <xf numFmtId="0" fontId="17" fillId="2" borderId="22" xfId="0" applyFont="1" applyFill="1" applyBorder="1" applyAlignment="1">
      <alignment horizontal="center" wrapText="1"/>
    </xf>
    <xf numFmtId="0" fontId="17" fillId="2" borderId="6" xfId="0" applyFont="1" applyFill="1" applyBorder="1" applyAlignment="1">
      <alignment horizontal="center" wrapText="1"/>
    </xf>
    <xf numFmtId="0" fontId="4" fillId="0" borderId="0" xfId="0" applyFont="1" applyAlignment="1">
      <alignment horizontal="left" wrapText="1"/>
    </xf>
    <xf numFmtId="0" fontId="7" fillId="0" borderId="0" xfId="0" applyFont="1" applyAlignment="1">
      <alignment horizontal="left" wrapText="1"/>
    </xf>
    <xf numFmtId="0" fontId="17" fillId="0" borderId="0" xfId="0" applyFont="1" applyAlignment="1">
      <alignment horizontal="left" wrapText="1"/>
    </xf>
    <xf numFmtId="0" fontId="17" fillId="3" borderId="18" xfId="0" applyFont="1" applyFill="1" applyBorder="1" applyAlignment="1">
      <alignment horizontal="center"/>
    </xf>
    <xf numFmtId="0" fontId="17" fillId="3" borderId="20" xfId="0" applyFont="1" applyFill="1" applyBorder="1" applyAlignment="1">
      <alignment horizontal="center"/>
    </xf>
    <xf numFmtId="0" fontId="17" fillId="3" borderId="19" xfId="0" applyFont="1" applyFill="1" applyBorder="1" applyAlignment="1">
      <alignment horizontal="center"/>
    </xf>
    <xf numFmtId="0" fontId="19" fillId="0" borderId="0" xfId="0" applyFont="1" applyAlignment="1">
      <alignment horizontal="left" wrapText="1"/>
    </xf>
    <xf numFmtId="0" fontId="7" fillId="0" borderId="0" xfId="0" applyFont="1" applyAlignment="1">
      <alignment horizontal="center" wrapText="1"/>
    </xf>
    <xf numFmtId="0" fontId="7" fillId="0" borderId="7" xfId="0" applyFont="1" applyBorder="1" applyAlignment="1">
      <alignment horizontal="center" wrapText="1"/>
    </xf>
    <xf numFmtId="0" fontId="6" fillId="0" borderId="0" xfId="0" applyFont="1" applyAlignment="1">
      <alignment horizontal="center" wrapText="1"/>
    </xf>
    <xf numFmtId="0" fontId="17" fillId="0" borderId="0" xfId="0" applyFont="1" applyAlignment="1">
      <alignment horizontal="center" wrapText="1"/>
    </xf>
    <xf numFmtId="0" fontId="17" fillId="0" borderId="7" xfId="0" applyFont="1" applyBorder="1" applyAlignment="1">
      <alignment horizont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17" fillId="0" borderId="0" xfId="0" applyFont="1" applyAlignment="1">
      <alignment horizontal="left" vertical="center" wrapText="1"/>
    </xf>
    <xf numFmtId="167" fontId="13" fillId="0" borderId="0" xfId="0" applyNumberFormat="1" applyFont="1" applyAlignment="1">
      <alignment horizontal="center"/>
    </xf>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254000</xdr:colOff>
      <xdr:row>31</xdr:row>
      <xdr:rowOff>0</xdr:rowOff>
    </xdr:from>
    <xdr:to>
      <xdr:col>3</xdr:col>
      <xdr:colOff>865993</xdr:colOff>
      <xdr:row>32</xdr:row>
      <xdr:rowOff>66264</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BEAEED6-BD0F-45AB-AFB6-D2706151AFB2}"/>
                </a:ext>
              </a:extLst>
            </xdr:cNvPr>
            <xdr:cNvSpPr txBox="1"/>
          </xdr:nvSpPr>
          <xdr:spPr>
            <a:xfrm>
              <a:off x="1079500" y="6339417"/>
              <a:ext cx="2389993" cy="26734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𝑇𝑜𝑡𝑎𝑙</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𝑇𝑟𝑒𝑛𝑑</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𝑇𝑟𝑒𝑛𝑑</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𝐶𝑌</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𝑇𝑟𝑒𝑛𝑑</m:t>
                    </m:r>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7BEAEED6-BD0F-45AB-AFB6-D2706151AFB2}"/>
                </a:ext>
              </a:extLst>
            </xdr:cNvPr>
            <xdr:cNvSpPr txBox="1"/>
          </xdr:nvSpPr>
          <xdr:spPr>
            <a:xfrm>
              <a:off x="1079500" y="6339417"/>
              <a:ext cx="2389993" cy="26734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𝑇𝑜𝑡𝑎𝑙 𝑇𝑟𝑒𝑛𝑑=𝐴𝑌 𝑇𝑟𝑒𝑛𝑑×𝐶𝑌 𝑇𝑟𝑒𝑛𝑑</a:t>
              </a:r>
              <a:endParaRPr lang="en-PH" sz="1100">
                <a:solidFill>
                  <a:schemeClr val="tx1"/>
                </a:solidFill>
                <a:effectLst/>
                <a:latin typeface="+mn-lt"/>
                <a:ea typeface="+mn-ea"/>
                <a:cs typeface="+mn-cs"/>
              </a:endParaRPr>
            </a:p>
          </xdr:txBody>
        </xdr:sp>
      </mc:Fallback>
    </mc:AlternateContent>
    <xdr:clientData/>
  </xdr:twoCellAnchor>
  <xdr:twoCellAnchor>
    <xdr:from>
      <xdr:col>1</xdr:col>
      <xdr:colOff>0</xdr:colOff>
      <xdr:row>44</xdr:row>
      <xdr:rowOff>0</xdr:rowOff>
    </xdr:from>
    <xdr:to>
      <xdr:col>2</xdr:col>
      <xdr:colOff>581025</xdr:colOff>
      <xdr:row>46</xdr:row>
      <xdr:rowOff>56909</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A6131ADC-ACFB-4678-948F-B830C5666A88}"/>
                </a:ext>
              </a:extLst>
            </xdr:cNvPr>
            <xdr:cNvSpPr txBox="1"/>
          </xdr:nvSpPr>
          <xdr:spPr>
            <a:xfrm>
              <a:off x="825500" y="9683750"/>
              <a:ext cx="1406525" cy="45907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A6131ADC-ACFB-4678-948F-B830C5666A88}"/>
                </a:ext>
              </a:extLst>
            </xdr:cNvPr>
            <xdr:cNvSpPr txBox="1"/>
          </xdr:nvSpPr>
          <xdr:spPr>
            <a:xfrm>
              <a:off x="825500" y="9683750"/>
              <a:ext cx="1406525" cy="45907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𝜃_(𝐴𝑌,𝑘)^′=𝜃_𝑘×〖𝑡𝑟𝑒𝑛𝑑〗_(𝐴𝑌,𝑘)/〖𝑡𝑟𝑒𝑛𝑑〗_(𝑛,𝑘)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238131</xdr:colOff>
      <xdr:row>44</xdr:row>
      <xdr:rowOff>9758</xdr:rowOff>
    </xdr:from>
    <xdr:ext cx="4206869" cy="38036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CF006DE-5A08-46FE-814B-93F2941C3AB8}"/>
                </a:ext>
              </a:extLst>
            </xdr:cNvPr>
            <xdr:cNvSpPr txBox="1"/>
          </xdr:nvSpPr>
          <xdr:spPr>
            <a:xfrm>
              <a:off x="2799298" y="9005591"/>
              <a:ext cx="420686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𝑇𝑟𝑒𝑛𝑑𝑒𝑑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𝐶𝑙𝑎𝑖𝑚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𝑆𝑖𝑧𝑒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𝑀𝑒𝑎𝑛</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𝑀𝑒𝑎𝑛</m:t>
                        </m:r>
                      </m:e>
                      <m:sub>
                        <m:argPr>
                          <m:argSz m:val="-1"/>
                        </m:argPr>
                        <m:eqArr>
                          <m:eqArrPr>
                            <m:ctrlPr>
                              <a:rPr lang="en-PH" sz="1100" i="1">
                                <a:solidFill>
                                  <a:schemeClr val="tx1"/>
                                </a:solidFill>
                                <a:effectLst/>
                                <a:latin typeface="Cambria Math" panose="02040503050406030204" pitchFamily="18" charset="0"/>
                                <a:ea typeface="+mn-ea"/>
                                <a:cs typeface="+mn-cs"/>
                              </a:rPr>
                            </m:ctrlPr>
                          </m:eqArrPr>
                          <m:e>
                            <m:argPr>
                              <m:argSz m:val="-1"/>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e>
                          <m:e>
                            <m:argPr>
                              <m:argSz m:val="-1"/>
                            </m:argPr>
                            <m:r>
                              <a:rPr lang="en-PH" sz="1100" i="1">
                                <a:solidFill>
                                  <a:schemeClr val="tx1"/>
                                </a:solidFill>
                                <a:effectLst/>
                                <a:latin typeface="Cambria Math" panose="02040503050406030204" pitchFamily="18" charset="0"/>
                                <a:ea typeface="+mn-ea"/>
                                <a:cs typeface="+mn-cs"/>
                              </a:rPr>
                              <m:t>𝐶𝑜𝑠𝑡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𝐿𝑒𝑣𝑒𝑙</m:t>
                            </m:r>
                          </m:e>
                        </m:eqAr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2"/>
                                </m:argPr>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𝐷𝑒𝑣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𝑃𝑒𝑟𝑖𝑜𝑑</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2"/>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𝐷𝑒𝑣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𝑃𝑒𝑟𝑖𝑜𝑑</m:t>
                                </m:r>
                              </m:sub>
                            </m:sSub>
                          </m:den>
                        </m:f>
                      </m:e>
                    </m:d>
                  </m:oMath>
                </m:oMathPara>
              </a14:m>
              <a:endParaRPr lang="en-PH"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8CF006DE-5A08-46FE-814B-93F2941C3AB8}"/>
                </a:ext>
              </a:extLst>
            </xdr:cNvPr>
            <xdr:cNvSpPr txBox="1"/>
          </xdr:nvSpPr>
          <xdr:spPr>
            <a:xfrm>
              <a:off x="2799298" y="9005591"/>
              <a:ext cx="420686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PH" sz="1100" i="0">
                  <a:solidFill>
                    <a:schemeClr val="tx1"/>
                  </a:solidFill>
                  <a:effectLst/>
                  <a:latin typeface="Cambria Math" panose="02040503050406030204" pitchFamily="18" charset="0"/>
                  <a:ea typeface="+mn-ea"/>
                  <a:cs typeface="+mn-cs"/>
                </a:rPr>
                <a:t>𝑇𝑟𝑒𝑛𝑑𝑒𝑑 𝐶𝑙𝑎𝑖𝑚 𝑆𝑖𝑧𝑒 𝑀𝑒𝑎𝑛=〖𝑀𝑒𝑎𝑛〗_█(𝐿𝑎𝑡𝑒𝑠𝑡 @𝐶𝑜𝑠𝑡 𝐿𝑒𝑣𝑒𝑙)×(〖𝑡𝑟𝑒𝑛𝑑〗_(𝑃𝑟𝑖𝑜𝑟 𝐴𝑌, 𝐷𝑒𝑣 𝑃𝑒𝑟𝑖𝑜𝑑)/〖𝑡𝑟𝑒𝑛𝑑〗_(𝐿𝑎𝑡𝑒𝑠𝑡 𝐴𝑌,  𝐷𝑒𝑣 𝑃𝑒𝑟𝑖𝑜𝑑) )</a:t>
              </a:r>
              <a:endParaRPr lang="en-PH" sz="1100">
                <a:solidFill>
                  <a:schemeClr val="tx1"/>
                </a:solidFill>
                <a:effectLst/>
                <a:latin typeface="+mn-lt"/>
                <a:ea typeface="+mn-ea"/>
                <a:cs typeface="+mn-cs"/>
              </a:endParaRPr>
            </a:p>
          </xdr:txBody>
        </xdr:sp>
      </mc:Fallback>
    </mc:AlternateContent>
    <xdr:clientData/>
  </xdr:oneCellAnchor>
  <xdr:twoCellAnchor>
    <xdr:from>
      <xdr:col>0</xdr:col>
      <xdr:colOff>822613</xdr:colOff>
      <xdr:row>58</xdr:row>
      <xdr:rowOff>0</xdr:rowOff>
    </xdr:from>
    <xdr:to>
      <xdr:col>2</xdr:col>
      <xdr:colOff>797873</xdr:colOff>
      <xdr:row>59</xdr:row>
      <xdr:rowOff>130951</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11052C46-F1EC-44CB-A79B-7346E5144A19}"/>
                </a:ext>
              </a:extLst>
            </xdr:cNvPr>
            <xdr:cNvSpPr txBox="1"/>
          </xdr:nvSpPr>
          <xdr:spPr>
            <a:xfrm>
              <a:off x="822613" y="12438166"/>
              <a:ext cx="1620487" cy="32887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LEV</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𝑥</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𝜃</m:t>
                    </m:r>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𝑒</m:t>
                            </m:r>
                          </m:e>
                          <m: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𝑥</m:t>
                                </m:r>
                              </m:num>
                              <m:den>
                                <m:r>
                                  <a:rPr lang="en-PH" sz="1100" i="1">
                                    <a:solidFill>
                                      <a:schemeClr val="tx1"/>
                                    </a:solidFill>
                                    <a:effectLst/>
                                    <a:latin typeface="Cambria Math" panose="02040503050406030204" pitchFamily="18" charset="0"/>
                                    <a:ea typeface="+mn-ea"/>
                                    <a:cs typeface="+mn-cs"/>
                                  </a:rPr>
                                  <m:t>𝜃</m:t>
                                </m:r>
                              </m:den>
                            </m:f>
                          </m:sup>
                        </m:sSup>
                      </m:e>
                    </m:d>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11052C46-F1EC-44CB-A79B-7346E5144A19}"/>
                </a:ext>
              </a:extLst>
            </xdr:cNvPr>
            <xdr:cNvSpPr txBox="1"/>
          </xdr:nvSpPr>
          <xdr:spPr>
            <a:xfrm>
              <a:off x="822613" y="12438166"/>
              <a:ext cx="1620487" cy="32887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LEV(𝑥)=𝜃×[1−𝑒^(−𝑥/𝜃)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284925</xdr:colOff>
      <xdr:row>58</xdr:row>
      <xdr:rowOff>27353</xdr:rowOff>
    </xdr:from>
    <xdr:ext cx="3376907" cy="25878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9989275-A41C-41DE-9EF7-3FA3EE8C8257}"/>
                </a:ext>
              </a:extLst>
            </xdr:cNvPr>
            <xdr:cNvSpPr txBox="1"/>
          </xdr:nvSpPr>
          <xdr:spPr>
            <a:xfrm>
              <a:off x="2846092" y="11838353"/>
              <a:ext cx="3376907" cy="2587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LEV</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𝑙𝑖𝑚𝑖𝑡</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𝑇𝑟𝑒𝑛𝑑𝑒𝑑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𝑀𝑒𝑎𝑛</m:t>
                    </m:r>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𝑒</m:t>
                            </m:r>
                          </m:e>
                          <m: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𝑙𝑖𝑚𝑖𝑡</m:t>
                                </m:r>
                              </m:num>
                              <m:den>
                                <m:r>
                                  <a:rPr lang="en-PH" sz="1100" i="1">
                                    <a:solidFill>
                                      <a:schemeClr val="tx1"/>
                                    </a:solidFill>
                                    <a:effectLst/>
                                    <a:latin typeface="Cambria Math" panose="02040503050406030204" pitchFamily="18" charset="0"/>
                                    <a:ea typeface="+mn-ea"/>
                                    <a:cs typeface="+mn-cs"/>
                                  </a:rPr>
                                  <m:t>𝑇𝑟𝑒𝑛𝑑𝑒𝑑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𝑀𝑒𝑎𝑛</m:t>
                                </m:r>
                              </m:den>
                            </m:f>
                          </m:sup>
                        </m:sSup>
                      </m:e>
                    </m:d>
                  </m:oMath>
                </m:oMathPara>
              </a14:m>
              <a:endParaRPr lang="en-PH"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79989275-A41C-41DE-9EF7-3FA3EE8C8257}"/>
                </a:ext>
              </a:extLst>
            </xdr:cNvPr>
            <xdr:cNvSpPr txBox="1"/>
          </xdr:nvSpPr>
          <xdr:spPr>
            <a:xfrm>
              <a:off x="2846092" y="11838353"/>
              <a:ext cx="3376907" cy="2587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PH" sz="1100" i="0">
                  <a:solidFill>
                    <a:schemeClr val="tx1"/>
                  </a:solidFill>
                  <a:effectLst/>
                  <a:latin typeface="Cambria Math" panose="02040503050406030204" pitchFamily="18" charset="0"/>
                  <a:ea typeface="+mn-ea"/>
                  <a:cs typeface="+mn-cs"/>
                </a:rPr>
                <a:t>LEV(𝑙𝑖𝑚𝑖𝑡)=𝑇𝑟𝑒𝑛𝑑𝑒𝑑 𝑀𝑒𝑎𝑛×[1−𝑒^(−𝑙𝑖𝑚𝑖𝑡/(𝑇𝑟𝑒𝑛𝑑𝑒𝑑 𝑀𝑒𝑎𝑛)) ]</a:t>
              </a:r>
              <a:endParaRPr lang="en-PH" sz="1100">
                <a:solidFill>
                  <a:schemeClr val="tx1"/>
                </a:solidFill>
                <a:effectLst/>
                <a:latin typeface="+mn-lt"/>
                <a:ea typeface="+mn-ea"/>
                <a:cs typeface="+mn-cs"/>
              </a:endParaRPr>
            </a:p>
          </xdr:txBody>
        </xdr:sp>
      </mc:Fallback>
    </mc:AlternateContent>
    <xdr:clientData/>
  </xdr:oneCellAnchor>
  <xdr:twoCellAnchor>
    <xdr:from>
      <xdr:col>1</xdr:col>
      <xdr:colOff>0</xdr:colOff>
      <xdr:row>72</xdr:row>
      <xdr:rowOff>0</xdr:rowOff>
    </xdr:from>
    <xdr:to>
      <xdr:col>2</xdr:col>
      <xdr:colOff>921575</xdr:colOff>
      <xdr:row>74</xdr:row>
      <xdr:rowOff>102947</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01450C4A-5E4A-4A01-A1AD-7C71BC09EEEF}"/>
                </a:ext>
              </a:extLst>
            </xdr:cNvPr>
            <xdr:cNvSpPr txBox="1"/>
          </xdr:nvSpPr>
          <xdr:spPr>
            <a:xfrm>
              <a:off x="822614" y="14813231"/>
              <a:ext cx="1744188" cy="49879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num>
                      <m:den>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𝐿</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01450C4A-5E4A-4A01-A1AD-7C71BC09EEEF}"/>
                </a:ext>
              </a:extLst>
            </xdr:cNvPr>
            <xdr:cNvSpPr txBox="1"/>
          </xdr:nvSpPr>
          <xdr:spPr>
            <a:xfrm>
              <a:off x="822614" y="14813231"/>
              <a:ext cx="1744188" cy="49879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𝐶_(𝐴𝑌,𝑘)^′=𝐶_(𝐴𝑌,𝑘)×(𝐿𝐸𝑉[𝐵│𝜃_(𝑛,𝑘) ])/(𝐿𝐸𝑉[𝐿│𝜃_(𝐴𝑌,𝑘) ]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593766</xdr:colOff>
      <xdr:row>72</xdr:row>
      <xdr:rowOff>24741</xdr:rowOff>
    </xdr:from>
    <xdr:ext cx="2768643" cy="406458"/>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CD2715AF-7BF8-4D7D-9DB2-91E4FE65F936}"/>
                </a:ext>
              </a:extLst>
            </xdr:cNvPr>
            <xdr:cNvSpPr txBox="1"/>
          </xdr:nvSpPr>
          <xdr:spPr>
            <a:xfrm>
              <a:off x="3197679" y="14837972"/>
              <a:ext cx="2768643"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𝐴𝑑𝑗𝑢𝑠𝑡𝑒𝑑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𝐵</m:t>
                                </m:r>
                              </m:e>
                              <m:sub>
                                <m:argPr>
                                  <m:argSz m:val="-2"/>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num>
                      <m:den>
                        <m:r>
                          <a:rPr lang="en-PH" sz="1100" i="1">
                            <a:solidFill>
                              <a:schemeClr val="tx1"/>
                            </a:solidFill>
                            <a:effectLst/>
                            <a:latin typeface="Cambria Math" panose="02040503050406030204" pitchFamily="18" charset="0"/>
                            <a:ea typeface="+mn-ea"/>
                            <a:cs typeface="+mn-cs"/>
                          </a:rPr>
                          <m:t>𝐿𝐸𝑉</m:t>
                        </m:r>
                        <m:r>
                          <a:rPr lang="en-PH" sz="1100" i="1">
                            <a:solidFill>
                              <a:schemeClr val="tx1"/>
                            </a:solidFill>
                            <a:effectLst/>
                            <a:latin typeface="Cambria Math" panose="02040503050406030204" pitchFamily="18" charset="0"/>
                            <a:ea typeface="+mn-ea"/>
                            <a:cs typeface="+mn-cs"/>
                          </a:rPr>
                          <m:t> </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10" name="TextBox 9">
              <a:extLst>
                <a:ext uri="{FF2B5EF4-FFF2-40B4-BE49-F238E27FC236}">
                  <a16:creationId xmlns:a16="http://schemas.microsoft.com/office/drawing/2014/main" id="{CD2715AF-7BF8-4D7D-9DB2-91E4FE65F936}"/>
                </a:ext>
              </a:extLst>
            </xdr:cNvPr>
            <xdr:cNvSpPr txBox="1"/>
          </xdr:nvSpPr>
          <xdr:spPr>
            <a:xfrm>
              <a:off x="3197679" y="14837972"/>
              <a:ext cx="2768643"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〖𝐴𝑑𝑗𝑢𝑠𝑡𝑒𝑑 𝐿𝑜𝑠𝑠〗_(𝐴𝑌,𝑘)=〖𝐿𝑜𝑠𝑠〗_(𝐴𝑌,𝑘)×𝐿𝐸𝑉[𝐵_(𝐿𝑎𝑡𝑒𝑠𝑡 𝐴𝑌,𝑘) ]/(𝐿𝐸𝑉 [𝐿_(𝐴𝑌,𝑘) ] )</a:t>
              </a:r>
              <a:endParaRPr lang="en-PH" sz="1100">
                <a:solidFill>
                  <a:schemeClr val="tx1"/>
                </a:solidFill>
                <a:effectLst/>
                <a:latin typeface="+mn-lt"/>
                <a:ea typeface="+mn-ea"/>
                <a:cs typeface="+mn-cs"/>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29</xdr:row>
      <xdr:rowOff>0</xdr:rowOff>
    </xdr:from>
    <xdr:to>
      <xdr:col>2</xdr:col>
      <xdr:colOff>484988</xdr:colOff>
      <xdr:row>31</xdr:row>
      <xdr:rowOff>50780</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5BCD0878-E86B-4EC5-A6BE-5C300AEF6A84}"/>
                </a:ext>
              </a:extLst>
            </xdr:cNvPr>
            <xdr:cNvSpPr txBox="1"/>
          </xdr:nvSpPr>
          <xdr:spPr>
            <a:xfrm>
              <a:off x="825792" y="6514576"/>
              <a:ext cx="1376318" cy="45275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5BCD0878-E86B-4EC5-A6BE-5C300AEF6A84}"/>
                </a:ext>
              </a:extLst>
            </xdr:cNvPr>
            <xdr:cNvSpPr txBox="1"/>
          </xdr:nvSpPr>
          <xdr:spPr>
            <a:xfrm>
              <a:off x="825792" y="6514576"/>
              <a:ext cx="1376318" cy="45275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𝜃_(𝐴𝑌,𝑘)^′=𝜃_𝑘×〖𝑡𝑟𝑒𝑛𝑑〗_(𝐴𝑌,𝑘)/〖𝑡𝑟𝑒𝑛𝑑〗_(𝑛,𝑘) </a:t>
              </a:r>
              <a:endParaRPr lang="en-PH" sz="1100">
                <a:solidFill>
                  <a:schemeClr val="tx1"/>
                </a:solidFill>
                <a:effectLst/>
                <a:latin typeface="+mn-lt"/>
                <a:ea typeface="+mn-ea"/>
                <a:cs typeface="+mn-cs"/>
              </a:endParaRPr>
            </a:p>
          </xdr:txBody>
        </xdr:sp>
      </mc:Fallback>
    </mc:AlternateContent>
    <xdr:clientData/>
  </xdr:twoCellAnchor>
  <xdr:oneCellAnchor>
    <xdr:from>
      <xdr:col>2</xdr:col>
      <xdr:colOff>869483</xdr:colOff>
      <xdr:row>29</xdr:row>
      <xdr:rowOff>4368</xdr:rowOff>
    </xdr:from>
    <xdr:ext cx="4274017" cy="38036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8937385-36C4-4E26-B867-C7550F405230}"/>
                </a:ext>
              </a:extLst>
            </xdr:cNvPr>
            <xdr:cNvSpPr txBox="1"/>
          </xdr:nvSpPr>
          <xdr:spPr>
            <a:xfrm>
              <a:off x="2583983" y="6396701"/>
              <a:ext cx="427401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𝑇𝑟𝑒𝑛𝑑𝑒𝑑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𝐶𝑙𝑎𝑖𝑚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𝑆𝑖𝑧𝑒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𝑀𝑒𝑎𝑛</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𝑀𝑒𝑎𝑛</m:t>
                        </m:r>
                      </m:e>
                      <m:sub>
                        <m:argPr>
                          <m:argSz m:val="-1"/>
                        </m:argPr>
                        <m:eqArr>
                          <m:eqArrPr>
                            <m:ctrlPr>
                              <a:rPr lang="en-PH" sz="1100" i="1">
                                <a:solidFill>
                                  <a:schemeClr val="tx1"/>
                                </a:solidFill>
                                <a:effectLst/>
                                <a:latin typeface="Cambria Math" panose="02040503050406030204" pitchFamily="18" charset="0"/>
                                <a:ea typeface="+mn-ea"/>
                                <a:cs typeface="+mn-cs"/>
                              </a:rPr>
                            </m:ctrlPr>
                          </m:eqArrPr>
                          <m:e>
                            <m:argPr>
                              <m:argSz m:val="-1"/>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e>
                          <m:e>
                            <m:argPr>
                              <m:argSz m:val="-1"/>
                            </m:argPr>
                            <m:r>
                              <a:rPr lang="en-PH" sz="1100" i="1">
                                <a:solidFill>
                                  <a:schemeClr val="tx1"/>
                                </a:solidFill>
                                <a:effectLst/>
                                <a:latin typeface="Cambria Math" panose="02040503050406030204" pitchFamily="18" charset="0"/>
                                <a:ea typeface="+mn-ea"/>
                                <a:cs typeface="+mn-cs"/>
                              </a:rPr>
                              <m:t>𝐶𝑜𝑠𝑡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𝐿𝑒𝑣𝑒𝑙</m:t>
                            </m:r>
                          </m:e>
                        </m:eqAr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2"/>
                                </m:argPr>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𝐷𝑒𝑣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𝑃𝑒𝑟𝑖𝑜𝑑</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2"/>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𝐷𝑒𝑣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𝑃𝑒𝑟𝑖𝑜𝑑</m:t>
                                </m:r>
                              </m:sub>
                            </m:sSub>
                          </m:den>
                        </m:f>
                      </m:e>
                    </m:d>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08937385-36C4-4E26-B867-C7550F405230}"/>
                </a:ext>
              </a:extLst>
            </xdr:cNvPr>
            <xdr:cNvSpPr txBox="1"/>
          </xdr:nvSpPr>
          <xdr:spPr>
            <a:xfrm>
              <a:off x="2583983" y="6396701"/>
              <a:ext cx="427401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𝑇𝑟𝑒𝑛𝑑𝑒𝑑 𝐶𝑙𝑎𝑖𝑚 𝑆𝑖𝑧𝑒 𝑀𝑒𝑎𝑛=〖𝑀𝑒𝑎𝑛〗_█(𝐿𝑎𝑡𝑒𝑠𝑡 @𝐶𝑜𝑠𝑡 𝐿𝑒𝑣𝑒𝑙)×(〖𝑡𝑟𝑒𝑛𝑑〗_(𝑃𝑟𝑖𝑜𝑟 𝐴𝑌, 𝐷𝑒𝑣 𝑃𝑒𝑟𝑖𝑜𝑑)/〖𝑡𝑟𝑒𝑛𝑑〗_(𝐿𝑎𝑡𝑒𝑠𝑡 𝐴𝑌,  𝐷𝑒𝑣 𝑃𝑒𝑟𝑖𝑜𝑑) )</a:t>
              </a:r>
              <a:endParaRPr lang="en-PH" sz="1100">
                <a:solidFill>
                  <a:schemeClr val="tx1"/>
                </a:solidFill>
                <a:effectLst/>
                <a:latin typeface="+mn-lt"/>
                <a:ea typeface="+mn-ea"/>
                <a:cs typeface="+mn-cs"/>
              </a:endParaRPr>
            </a:p>
          </xdr:txBody>
        </xdr:sp>
      </mc:Fallback>
    </mc:AlternateContent>
    <xdr:clientData/>
  </xdr:oneCellAnchor>
  <xdr:twoCellAnchor>
    <xdr:from>
      <xdr:col>1</xdr:col>
      <xdr:colOff>0</xdr:colOff>
      <xdr:row>41</xdr:row>
      <xdr:rowOff>52917</xdr:rowOff>
    </xdr:from>
    <xdr:to>
      <xdr:col>2</xdr:col>
      <xdr:colOff>664128</xdr:colOff>
      <xdr:row>42</xdr:row>
      <xdr:rowOff>178944</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5A0EBC63-C5DF-4313-890D-CABB87E92EA6}"/>
                </a:ext>
              </a:extLst>
            </xdr:cNvPr>
            <xdr:cNvSpPr txBox="1"/>
          </xdr:nvSpPr>
          <xdr:spPr>
            <a:xfrm>
              <a:off x="825500" y="8657167"/>
              <a:ext cx="1553128" cy="32711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LEV</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𝑥</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𝜃</m:t>
                    </m:r>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𝑒</m:t>
                            </m:r>
                          </m:e>
                          <m: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𝑥</m:t>
                                </m:r>
                              </m:num>
                              <m:den>
                                <m:r>
                                  <a:rPr lang="en-PH" sz="1100" i="1">
                                    <a:solidFill>
                                      <a:schemeClr val="tx1"/>
                                    </a:solidFill>
                                    <a:effectLst/>
                                    <a:latin typeface="Cambria Math" panose="02040503050406030204" pitchFamily="18" charset="0"/>
                                    <a:ea typeface="+mn-ea"/>
                                    <a:cs typeface="+mn-cs"/>
                                  </a:rPr>
                                  <m:t>𝜃</m:t>
                                </m:r>
                              </m:den>
                            </m:f>
                          </m:sup>
                        </m:sSup>
                      </m:e>
                    </m:d>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5A0EBC63-C5DF-4313-890D-CABB87E92EA6}"/>
                </a:ext>
              </a:extLst>
            </xdr:cNvPr>
            <xdr:cNvSpPr txBox="1"/>
          </xdr:nvSpPr>
          <xdr:spPr>
            <a:xfrm>
              <a:off x="825500" y="8657167"/>
              <a:ext cx="1553128" cy="32711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LEV(𝑥)=𝜃×[1−𝑒^(−𝑥/𝜃)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22526</xdr:colOff>
      <xdr:row>41</xdr:row>
      <xdr:rowOff>133407</xdr:rowOff>
    </xdr:from>
    <xdr:ext cx="2227341"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DC6CFB3-368C-41C1-A617-BEB43FBA3B1A}"/>
                </a:ext>
              </a:extLst>
            </xdr:cNvPr>
            <xdr:cNvSpPr txBox="1"/>
          </xdr:nvSpPr>
          <xdr:spPr>
            <a:xfrm>
              <a:off x="2626026" y="8737657"/>
              <a:ext cx="222734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PH" sz="1100" b="0" i="1">
                        <a:solidFill>
                          <a:schemeClr val="tx1"/>
                        </a:solidFill>
                        <a:effectLst/>
                        <a:latin typeface="Cambria Math" panose="02040503050406030204" pitchFamily="18" charset="0"/>
                        <a:ea typeface="+mn-ea"/>
                        <a:cs typeface="+mn-cs"/>
                      </a:rPr>
                      <m:t>𝑥</m:t>
                    </m:r>
                    <m:r>
                      <a:rPr lang="en-PH" sz="1100" b="0" i="1">
                        <a:solidFill>
                          <a:schemeClr val="tx1"/>
                        </a:solidFill>
                        <a:effectLst/>
                        <a:latin typeface="Cambria Math" panose="02040503050406030204" pitchFamily="18" charset="0"/>
                        <a:ea typeface="+mn-ea"/>
                        <a:cs typeface="+mn-cs"/>
                      </a:rPr>
                      <m:t>→</m:t>
                    </m:r>
                    <m:r>
                      <a:rPr lang="en-PH" sz="1100" b="0" i="1">
                        <a:solidFill>
                          <a:schemeClr val="tx1"/>
                        </a:solidFill>
                        <a:effectLst/>
                        <a:latin typeface="Cambria Math" panose="02040503050406030204" pitchFamily="18" charset="0"/>
                        <a:ea typeface="+mn-ea"/>
                        <a:cs typeface="+mn-cs"/>
                      </a:rPr>
                      <m:t>𝐿𝑖𝑚𝑖𝑡</m:t>
                    </m:r>
                    <m:r>
                      <a:rPr lang="en-PH" sz="1100" b="0" i="1">
                        <a:solidFill>
                          <a:schemeClr val="tx1"/>
                        </a:solidFill>
                        <a:effectLst/>
                        <a:latin typeface="Cambria Math" panose="02040503050406030204" pitchFamily="18" charset="0"/>
                        <a:ea typeface="+mn-ea"/>
                        <a:cs typeface="+mn-cs"/>
                      </a:rPr>
                      <m:t> </m:t>
                    </m:r>
                    <m:r>
                      <a:rPr lang="en-PH" sz="1100" b="0" i="1">
                        <a:solidFill>
                          <a:schemeClr val="tx1"/>
                        </a:solidFill>
                        <a:effectLst/>
                        <a:latin typeface="Cambria Math" panose="02040503050406030204" pitchFamily="18" charset="0"/>
                        <a:ea typeface="+mn-ea"/>
                        <a:cs typeface="+mn-cs"/>
                      </a:rPr>
                      <m:t>𝑜𝑓</m:t>
                    </m:r>
                    <m:r>
                      <a:rPr lang="en-PH" sz="1100" b="0" i="1">
                        <a:solidFill>
                          <a:schemeClr val="tx1"/>
                        </a:solidFill>
                        <a:effectLst/>
                        <a:latin typeface="Cambria Math" panose="02040503050406030204" pitchFamily="18" charset="0"/>
                        <a:ea typeface="+mn-ea"/>
                        <a:cs typeface="+mn-cs"/>
                      </a:rPr>
                      <m:t> </m:t>
                    </m:r>
                    <m:r>
                      <a:rPr lang="en-PH" sz="1100" b="0" i="1">
                        <a:solidFill>
                          <a:schemeClr val="tx1"/>
                        </a:solidFill>
                        <a:effectLst/>
                        <a:latin typeface="Cambria Math" panose="02040503050406030204" pitchFamily="18" charset="0"/>
                        <a:ea typeface="+mn-ea"/>
                        <a:cs typeface="+mn-cs"/>
                      </a:rPr>
                      <m:t>𝑡h𝑒</m:t>
                    </m:r>
                    <m:r>
                      <a:rPr lang="en-PH" sz="1100" b="0" i="1">
                        <a:solidFill>
                          <a:schemeClr val="tx1"/>
                        </a:solidFill>
                        <a:effectLst/>
                        <a:latin typeface="Cambria Math" panose="02040503050406030204" pitchFamily="18" charset="0"/>
                        <a:ea typeface="+mn-ea"/>
                        <a:cs typeface="+mn-cs"/>
                      </a:rPr>
                      <m:t> </m:t>
                    </m:r>
                    <m:r>
                      <a:rPr lang="en-PH" sz="1100" b="0" i="1">
                        <a:solidFill>
                          <a:schemeClr val="tx1"/>
                        </a:solidFill>
                        <a:effectLst/>
                        <a:latin typeface="Cambria Math" panose="02040503050406030204" pitchFamily="18" charset="0"/>
                        <a:ea typeface="+mn-ea"/>
                        <a:cs typeface="+mn-cs"/>
                      </a:rPr>
                      <m:t>𝑙𝑎𝑦𝑒𝑟</m:t>
                    </m:r>
                    <m:r>
                      <a:rPr lang="en-PH" sz="1100" b="0" i="1">
                        <a:solidFill>
                          <a:schemeClr val="tx1"/>
                        </a:solidFill>
                        <a:effectLst/>
                        <a:latin typeface="Cambria Math" panose="02040503050406030204" pitchFamily="18" charset="0"/>
                        <a:ea typeface="+mn-ea"/>
                        <a:cs typeface="+mn-cs"/>
                      </a:rPr>
                      <m:t> </m:t>
                    </m:r>
                    <m:r>
                      <a:rPr lang="en-PH" sz="1100" b="0" i="1">
                        <a:solidFill>
                          <a:schemeClr val="tx1"/>
                        </a:solidFill>
                        <a:effectLst/>
                        <a:latin typeface="Cambria Math" panose="02040503050406030204" pitchFamily="18" charset="0"/>
                        <a:ea typeface="+mn-ea"/>
                        <a:cs typeface="+mn-cs"/>
                      </a:rPr>
                      <m:t>𝑓𝑜𝑟</m:t>
                    </m:r>
                    <m:r>
                      <a:rPr lang="en-PH" sz="1100" b="0" i="1">
                        <a:solidFill>
                          <a:schemeClr val="tx1"/>
                        </a:solidFill>
                        <a:effectLst/>
                        <a:latin typeface="Cambria Math" panose="02040503050406030204" pitchFamily="18" charset="0"/>
                        <a:ea typeface="+mn-ea"/>
                        <a:cs typeface="+mn-cs"/>
                      </a:rPr>
                      <m:t> </m:t>
                    </m:r>
                    <m:r>
                      <a:rPr lang="en-PH" sz="1100" b="0" i="1">
                        <a:solidFill>
                          <a:schemeClr val="tx1"/>
                        </a:solidFill>
                        <a:effectLst/>
                        <a:latin typeface="Cambria Math" panose="02040503050406030204" pitchFamily="18" charset="0"/>
                        <a:ea typeface="+mn-ea"/>
                        <a:cs typeface="+mn-cs"/>
                      </a:rPr>
                      <m:t>𝑡h𝑒</m:t>
                    </m:r>
                    <m:r>
                      <a:rPr lang="en-PH" sz="1100" b="0" i="1">
                        <a:solidFill>
                          <a:schemeClr val="tx1"/>
                        </a:solidFill>
                        <a:effectLst/>
                        <a:latin typeface="Cambria Math" panose="02040503050406030204" pitchFamily="18" charset="0"/>
                        <a:ea typeface="+mn-ea"/>
                        <a:cs typeface="+mn-cs"/>
                      </a:rPr>
                      <m:t> </m:t>
                    </m:r>
                    <m:r>
                      <a:rPr lang="en-PH" sz="1100" b="0" i="1">
                        <a:solidFill>
                          <a:schemeClr val="tx1"/>
                        </a:solidFill>
                        <a:effectLst/>
                        <a:latin typeface="Cambria Math" panose="02040503050406030204" pitchFamily="18" charset="0"/>
                        <a:ea typeface="+mn-ea"/>
                        <a:cs typeface="+mn-cs"/>
                      </a:rPr>
                      <m:t>𝐿𝐸𝑉</m:t>
                    </m:r>
                  </m:oMath>
                </m:oMathPara>
              </a14:m>
              <a:endParaRPr lang="en-PH" sz="1100" b="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BDC6CFB3-368C-41C1-A617-BEB43FBA3B1A}"/>
                </a:ext>
              </a:extLst>
            </xdr:cNvPr>
            <xdr:cNvSpPr txBox="1"/>
          </xdr:nvSpPr>
          <xdr:spPr>
            <a:xfrm>
              <a:off x="2626026" y="8737657"/>
              <a:ext cx="222734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b="0" i="0">
                  <a:solidFill>
                    <a:schemeClr val="tx1"/>
                  </a:solidFill>
                  <a:effectLst/>
                  <a:latin typeface="Cambria Math" panose="02040503050406030204" pitchFamily="18" charset="0"/>
                  <a:ea typeface="+mn-ea"/>
                  <a:cs typeface="+mn-cs"/>
                </a:rPr>
                <a:t>𝑥→𝐿𝑖𝑚𝑖𝑡 𝑜𝑓 𝑡ℎ𝑒 𝑙𝑎𝑦𝑒𝑟 𝑓𝑜𝑟 𝑡ℎ𝑒 𝐿𝐸𝑉</a:t>
              </a:r>
              <a:endParaRPr lang="en-PH" sz="1100" b="0">
                <a:solidFill>
                  <a:schemeClr val="tx1"/>
                </a:solidFill>
                <a:effectLst/>
                <a:latin typeface="+mn-lt"/>
                <a:ea typeface="+mn-ea"/>
                <a:cs typeface="+mn-cs"/>
              </a:endParaRPr>
            </a:p>
          </xdr:txBody>
        </xdr:sp>
      </mc:Fallback>
    </mc:AlternateContent>
    <xdr:clientData/>
  </xdr:oneCellAnchor>
  <xdr:twoCellAnchor>
    <xdr:from>
      <xdr:col>1</xdr:col>
      <xdr:colOff>95541</xdr:colOff>
      <xdr:row>52</xdr:row>
      <xdr:rowOff>0</xdr:rowOff>
    </xdr:from>
    <xdr:to>
      <xdr:col>4</xdr:col>
      <xdr:colOff>63500</xdr:colOff>
      <xdr:row>54</xdr:row>
      <xdr:rowOff>96819</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34619E99-9E49-40B4-BDBA-74C67A3F29BE}"/>
                </a:ext>
              </a:extLst>
            </xdr:cNvPr>
            <xdr:cNvSpPr txBox="1"/>
          </xdr:nvSpPr>
          <xdr:spPr>
            <a:xfrm>
              <a:off x="921041" y="10816167"/>
              <a:ext cx="2571459" cy="4989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sub>
                            </m:sSub>
                          </m:e>
                        </m:d>
                      </m:num>
                      <m:den>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34619E99-9E49-40B4-BDBA-74C67A3F29BE}"/>
                </a:ext>
              </a:extLst>
            </xdr:cNvPr>
            <xdr:cNvSpPr txBox="1"/>
          </xdr:nvSpPr>
          <xdr:spPr>
            <a:xfrm>
              <a:off x="921041" y="10816167"/>
              <a:ext cx="2571459" cy="49898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𝐹_(𝐴𝑌,𝑘)^𝑋=𝐹_(𝑛,𝑘)^𝐵×(LEV[𝑋│𝜃_(𝐴𝑌,∞) ]/𝐿𝐸𝑉[𝐵│𝜃_(𝑛,∞) ])/(LEV[𝑋│𝜃_(𝐴𝑌,𝑘) ]/𝐿𝐸𝑉[𝐵│𝜃_(𝑛,𝑘) ] )</a:t>
              </a:r>
              <a:endParaRPr lang="en-PH" sz="1100">
                <a:solidFill>
                  <a:schemeClr val="tx1"/>
                </a:solidFill>
                <a:effectLst/>
                <a:latin typeface="+mn-lt"/>
                <a:ea typeface="+mn-ea"/>
                <a:cs typeface="+mn-cs"/>
              </a:endParaRPr>
            </a:p>
          </xdr:txBody>
        </xdr:sp>
      </mc:Fallback>
    </mc:AlternateContent>
    <xdr:clientData/>
  </xdr:twoCellAnchor>
  <xdr:oneCellAnchor>
    <xdr:from>
      <xdr:col>4</xdr:col>
      <xdr:colOff>348958</xdr:colOff>
      <xdr:row>52</xdr:row>
      <xdr:rowOff>37479</xdr:rowOff>
    </xdr:from>
    <xdr:ext cx="3588042" cy="40645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AAE9815-5FA6-4080-92E1-AAFB1F4B3EC9}"/>
                </a:ext>
              </a:extLst>
            </xdr:cNvPr>
            <xdr:cNvSpPr txBox="1"/>
          </xdr:nvSpPr>
          <xdr:spPr>
            <a:xfrm>
              <a:off x="3777958" y="10853646"/>
              <a:ext cx="3588042"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𝐶𝐷𝐹</m:t>
                        </m:r>
                      </m:e>
                      <m:sup>
                        <m:argPr>
                          <m:argSz m:val="-1"/>
                        </m:argPr>
                        <m:r>
                          <a:rPr lang="en-PH" sz="1100" i="1">
                            <a:solidFill>
                              <a:schemeClr val="tx1"/>
                            </a:solidFill>
                            <a:effectLst/>
                            <a:latin typeface="Cambria Math" panose="02040503050406030204" pitchFamily="18" charset="0"/>
                            <a:ea typeface="+mn-ea"/>
                            <a:cs typeface="+mn-cs"/>
                          </a:rPr>
                          <m:t>𝑋</m:t>
                        </m:r>
                      </m:sup>
                    </m:sSup>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𝐶𝐷𝐹</m:t>
                        </m:r>
                      </m:e>
                      <m:sup>
                        <m:argPr>
                          <m:argSz m:val="-1"/>
                        </m:argPr>
                        <m:r>
                          <a:rPr lang="en-PH" sz="1100" i="1">
                            <a:solidFill>
                              <a:schemeClr val="tx1"/>
                            </a:solidFill>
                            <a:effectLst/>
                            <a:latin typeface="Cambria Math" panose="02040503050406030204" pitchFamily="18" charset="0"/>
                            <a:ea typeface="+mn-ea"/>
                            <a:cs typeface="+mn-cs"/>
                          </a:rPr>
                          <m:t>𝐵𝑎𝑠𝑖𝑐</m:t>
                        </m:r>
                      </m:sup>
                    </m:s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𝑈𝑙𝑡𝑖𝑚𝑎𝑡𝑒</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𝐵</m:t>
                                </m:r>
                              </m:e>
                              <m:sub>
                                <m:argPr>
                                  <m:argSz m:val="-1"/>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𝑈𝑙𝑡𝑖𝑚𝑎𝑡𝑒</m:t>
                                </m:r>
                              </m:sub>
                            </m:sSub>
                          </m:e>
                        </m:d>
                      </m:num>
                      <m:den>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𝐿𝐸𝑉</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𝐵</m:t>
                                </m:r>
                              </m:e>
                              <m:sub>
                                <m:argPr>
                                  <m:argSz m:val="-1"/>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FAAE9815-5FA6-4080-92E1-AAFB1F4B3EC9}"/>
                </a:ext>
              </a:extLst>
            </xdr:cNvPr>
            <xdr:cNvSpPr txBox="1"/>
          </xdr:nvSpPr>
          <xdr:spPr>
            <a:xfrm>
              <a:off x="3777958" y="10853646"/>
              <a:ext cx="3588042" cy="406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PH" sz="1100" i="0">
                  <a:solidFill>
                    <a:schemeClr val="tx1"/>
                  </a:solidFill>
                  <a:effectLst/>
                  <a:latin typeface="Cambria Math" panose="02040503050406030204" pitchFamily="18" charset="0"/>
                  <a:ea typeface="+mn-ea"/>
                  <a:cs typeface="+mn-cs"/>
                </a:rPr>
                <a:t>〖𝐶𝐷𝐹〗^𝑋=〖𝐶𝐷𝐹〗^𝐵𝑎𝑠𝑖𝑐×(𝐿𝐸𝑉[𝑋_(𝐴𝑌,𝑈𝑙𝑡𝑖𝑚𝑎𝑡𝑒) ]/𝐿𝐸𝑉[𝐵_(𝐿𝑎𝑡𝑒𝑠𝑡 𝐴𝑌,𝑈𝑙𝑡𝑖𝑚𝑎𝑡𝑒) ])/(𝐿𝐸𝑉[𝑋_(𝐴𝑌,𝑘) ]/𝐿𝐸𝑉[𝐵_(𝐿𝑎𝑡𝑒𝑠𝑡 𝐴𝑌,𝑘) ] )</a:t>
              </a:r>
              <a:endParaRPr lang="en-PH" sz="1100">
                <a:solidFill>
                  <a:schemeClr val="tx1"/>
                </a:solidFill>
                <a:effectLst/>
                <a:latin typeface="+mn-lt"/>
                <a:ea typeface="+mn-ea"/>
                <a:cs typeface="+mn-cs"/>
              </a:endParaRPr>
            </a:p>
          </xdr:txBody>
        </xdr:sp>
      </mc:Fallback>
    </mc:AlternateContent>
    <xdr:clientData/>
  </xdr:oneCellAnchor>
  <xdr:twoCellAnchor>
    <xdr:from>
      <xdr:col>2</xdr:col>
      <xdr:colOff>80963</xdr:colOff>
      <xdr:row>73</xdr:row>
      <xdr:rowOff>161925</xdr:rowOff>
    </xdr:from>
    <xdr:to>
      <xdr:col>6</xdr:col>
      <xdr:colOff>656167</xdr:colOff>
      <xdr:row>76</xdr:row>
      <xdr:rowOff>63847</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B8EF475F-2C6C-48BE-8256-00C39BC0D817}"/>
                </a:ext>
              </a:extLst>
            </xdr:cNvPr>
            <xdr:cNvSpPr txBox="1"/>
          </xdr:nvSpPr>
          <xdr:spPr>
            <a:xfrm>
              <a:off x="1795463" y="15211425"/>
              <a:ext cx="3940704" cy="50517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𝑡𝑜𝑝</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𝑏𝑜𝑡</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sub>
                            </m:sSub>
                          </m:e>
                        </m:d>
                      </m:num>
                      <m:den>
                        <m:d>
                          <m:dPr>
                            <m:ctrlPr>
                              <a:rPr lang="en-PH" sz="1100" i="1">
                                <a:solidFill>
                                  <a:schemeClr val="tx1"/>
                                </a:solidFill>
                                <a:effectLst/>
                                <a:latin typeface="Cambria Math" panose="02040503050406030204" pitchFamily="18" charset="0"/>
                                <a:ea typeface="+mn-ea"/>
                                <a:cs typeface="+mn-cs"/>
                              </a:rPr>
                            </m:ctrlPr>
                          </m:dPr>
                          <m:e>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𝑡𝑜𝑝</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1"/>
                                    </m:argPr>
                                    <m:r>
                                      <a:rPr lang="en-PH" sz="1100" i="1">
                                        <a:solidFill>
                                          <a:schemeClr val="tx1"/>
                                        </a:solidFill>
                                        <a:effectLst/>
                                        <a:latin typeface="Cambria Math" panose="02040503050406030204" pitchFamily="18" charset="0"/>
                                        <a:ea typeface="+mn-ea"/>
                                        <a:cs typeface="+mn-cs"/>
                                      </a:rPr>
                                      <m:t>𝑏𝑜𝑡</m:t>
                                    </m:r>
                                  </m:sub>
                                </m:sSub>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Sub>
                          </m:e>
                        </m:d>
                      </m:den>
                    </m:f>
                  </m:oMath>
                </m:oMathPara>
              </a14:m>
              <a:endParaRPr lang="en-PH"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B8EF475F-2C6C-48BE-8256-00C39BC0D817}"/>
                </a:ext>
              </a:extLst>
            </xdr:cNvPr>
            <xdr:cNvSpPr txBox="1"/>
          </xdr:nvSpPr>
          <xdr:spPr>
            <a:xfrm>
              <a:off x="1795463" y="15211425"/>
              <a:ext cx="3940704" cy="50517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𝐹_(𝐴𝑌,𝑘)^𝑋=𝐹_(𝑛.𝑘)^𝐵×((LEV[𝑋_𝑡𝑜𝑝│𝜃_(𝐴𝑌,∞) ]−LEV[𝑋_𝑏𝑜𝑡│𝜃_(𝐴𝑌,∞) ])/LEV[𝐵│𝜃_(𝑛,∞) ])/((LEV[𝑋_𝑡𝑜𝑝│𝜃_(𝐴𝑌,𝑘) ]−LEV[𝑋_𝑏𝑜𝑡│𝜃_(𝐴𝑌,𝑘) ])/LEV[𝐵│𝜃_(𝑛,𝑘) ] )</a:t>
              </a:r>
              <a:endParaRPr lang="en-PH" sz="1100">
                <a:solidFill>
                  <a:schemeClr val="tx1"/>
                </a:solidFill>
                <a:effectLst/>
                <a:latin typeface="+mn-lt"/>
                <a:ea typeface="+mn-ea"/>
                <a:cs typeface="+mn-cs"/>
              </a:endParaRPr>
            </a:p>
          </xdr:txBody>
        </xdr:sp>
      </mc:Fallback>
    </mc:AlternateContent>
    <xdr:clientData/>
  </xdr:twoCellAnchor>
  <xdr:oneCellAnchor>
    <xdr:from>
      <xdr:col>2</xdr:col>
      <xdr:colOff>642938</xdr:colOff>
      <xdr:row>81</xdr:row>
      <xdr:rowOff>133350</xdr:rowOff>
    </xdr:from>
    <xdr:ext cx="2389372" cy="377604"/>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26BD93C0-8162-49C9-923A-7D97D65146E9}"/>
                </a:ext>
              </a:extLst>
            </xdr:cNvPr>
            <xdr:cNvSpPr txBox="1"/>
          </xdr:nvSpPr>
          <xdr:spPr>
            <a:xfrm>
              <a:off x="2357438" y="17883188"/>
              <a:ext cx="2389372" cy="3776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1"/>
                            </m:argPr>
                            <m:r>
                              <a:rPr lang="en-PH" sz="1100" i="1">
                                <a:solidFill>
                                  <a:schemeClr val="tx1"/>
                                </a:solidFill>
                                <a:effectLst/>
                                <a:latin typeface="Cambria Math" panose="02040503050406030204" pitchFamily="18" charset="0"/>
                                <a:ea typeface="+mn-ea"/>
                                <a:cs typeface="+mn-cs"/>
                              </a:rPr>
                              <m:t>𝑘</m:t>
                            </m:r>
                          </m:sub>
                        </m:sSub>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m:t>
                            </m:r>
                          </m:e>
                        </m:d>
                      </m:den>
                    </m:f>
                  </m:oMath>
                </m:oMathPara>
              </a14:m>
              <a:endParaRPr lang="en-PH" sz="1100">
                <a:solidFill>
                  <a:schemeClr val="tx1"/>
                </a:solidFill>
                <a:effectLst/>
                <a:latin typeface="+mn-lt"/>
                <a:ea typeface="+mn-ea"/>
                <a:cs typeface="+mn-cs"/>
              </a:endParaRPr>
            </a:p>
          </xdr:txBody>
        </xdr:sp>
      </mc:Choice>
      <mc:Fallback xmlns="">
        <xdr:sp macro="" textlink="">
          <xdr:nvSpPr>
            <xdr:cNvPr id="9" name="TextBox 8">
              <a:extLst>
                <a:ext uri="{FF2B5EF4-FFF2-40B4-BE49-F238E27FC236}">
                  <a16:creationId xmlns:a16="http://schemas.microsoft.com/office/drawing/2014/main" id="{26BD93C0-8162-49C9-923A-7D97D65146E9}"/>
                </a:ext>
              </a:extLst>
            </xdr:cNvPr>
            <xdr:cNvSpPr txBox="1"/>
          </xdr:nvSpPr>
          <xdr:spPr>
            <a:xfrm>
              <a:off x="2357438" y="17883188"/>
              <a:ext cx="2389372" cy="3776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𝐹_(𝐴𝑌,𝑘)^𝑋=𝐹_(𝑛,𝑘)^𝐵×(LEV[𝑋│𝜃_(𝐴𝑌,∞) ]/LEV[𝐵│𝜃_(𝐴𝑌,∞) ])/(𝑅_𝑘 (𝑋,𝐵) )</a:t>
              </a:r>
              <a:endParaRPr lang="en-PH" sz="1100">
                <a:solidFill>
                  <a:schemeClr val="tx1"/>
                </a:solidFill>
                <a:effectLst/>
                <a:latin typeface="+mn-lt"/>
                <a:ea typeface="+mn-ea"/>
                <a:cs typeface="+mn-cs"/>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232833</xdr:colOff>
      <xdr:row>41</xdr:row>
      <xdr:rowOff>179917</xdr:rowOff>
    </xdr:from>
    <xdr:to>
      <xdr:col>3</xdr:col>
      <xdr:colOff>226483</xdr:colOff>
      <xdr:row>44</xdr:row>
      <xdr:rowOff>31537</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F7F89BE2-DB52-4CCA-AF88-9B366F326C7C}"/>
                </a:ext>
              </a:extLst>
            </xdr:cNvPr>
            <xdr:cNvSpPr txBox="1"/>
          </xdr:nvSpPr>
          <xdr:spPr>
            <a:xfrm>
              <a:off x="1058333" y="9027584"/>
              <a:ext cx="1644650" cy="4548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up>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𝑈𝑙𝑡</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F7F89BE2-DB52-4CCA-AF88-9B366F326C7C}"/>
                </a:ext>
              </a:extLst>
            </xdr:cNvPr>
            <xdr:cNvSpPr txBox="1"/>
          </xdr:nvSpPr>
          <xdr:spPr>
            <a:xfrm>
              <a:off x="1058333" y="9027584"/>
              <a:ext cx="1644650" cy="4548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𝜃_(𝐴𝑌,𝑈𝑙𝑡)^′=𝜃_𝑈𝑙𝑡×〖𝑡𝑟𝑒𝑛𝑑〗_(𝐴𝑌,𝑈𝑙𝑡)/〖𝑡𝑟𝑒𝑛𝑑〗_(𝑛,𝑈𝑙𝑡)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520700</xdr:colOff>
      <xdr:row>42</xdr:row>
      <xdr:rowOff>3703</xdr:rowOff>
    </xdr:from>
    <xdr:ext cx="3853299" cy="38036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1D29D7A-1B5E-4C2F-9F5D-60BAEAA1D195}"/>
                </a:ext>
              </a:extLst>
            </xdr:cNvPr>
            <xdr:cNvSpPr txBox="1"/>
          </xdr:nvSpPr>
          <xdr:spPr>
            <a:xfrm>
              <a:off x="2997200" y="9052453"/>
              <a:ext cx="385329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𝑇𝑟𝑒𝑛𝑑𝑒𝑑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𝐶𝑙𝑎𝑖𝑚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𝑆𝑖𝑧𝑒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𝑀𝑒𝑎𝑛</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𝑀𝑒𝑎𝑛</m:t>
                        </m:r>
                      </m:e>
                      <m:sub>
                        <m:eqArr>
                          <m:eqArrPr>
                            <m:ctrlPr>
                              <a:rPr lang="en-PH" sz="1100" i="1">
                                <a:solidFill>
                                  <a:schemeClr val="tx1"/>
                                </a:solidFill>
                                <a:effectLst/>
                                <a:latin typeface="Cambria Math" panose="02040503050406030204" pitchFamily="18" charset="0"/>
                                <a:ea typeface="+mn-ea"/>
                                <a:cs typeface="+mn-cs"/>
                              </a:rPr>
                            </m:ctrlPr>
                          </m:eqArrPr>
                          <m:e>
                            <m:r>
                              <a:rPr lang="en-PH" sz="1100" i="1">
                                <a:solidFill>
                                  <a:schemeClr val="tx1"/>
                                </a:solidFill>
                                <a:effectLst/>
                                <a:latin typeface="Cambria Math" panose="02040503050406030204" pitchFamily="18" charset="0"/>
                                <a:ea typeface="+mn-ea"/>
                                <a:cs typeface="+mn-cs"/>
                              </a:rPr>
                              <m:t>𝐿𝑎𝑡𝑒𝑠𝑡</m:t>
                            </m:r>
                          </m:e>
                          <m:e>
                            <m:r>
                              <a:rPr lang="en-PH" sz="1100" i="1">
                                <a:solidFill>
                                  <a:schemeClr val="tx1"/>
                                </a:solidFill>
                                <a:effectLst/>
                                <a:latin typeface="Cambria Math" panose="02040503050406030204" pitchFamily="18" charset="0"/>
                                <a:ea typeface="+mn-ea"/>
                                <a:cs typeface="+mn-cs"/>
                              </a:rPr>
                              <m:t>𝐶𝑜𝑠𝑡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𝐿𝑒𝑣𝑒𝑙</m:t>
                            </m:r>
                          </m:e>
                        </m:eqAr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𝑡𝑟𝑒𝑛𝑑</m:t>
                                </m:r>
                              </m:e>
                              <m:sub>
                                <m:argPr>
                                  <m:argSz m:val="-1"/>
                                </m:argPr>
                                <m:r>
                                  <a:rPr lang="en-PH" sz="1100" i="1">
                                    <a:solidFill>
                                      <a:schemeClr val="tx1"/>
                                    </a:solidFill>
                                    <a:effectLst/>
                                    <a:latin typeface="Cambria Math" panose="02040503050406030204" pitchFamily="18" charset="0"/>
                                    <a:ea typeface="+mn-ea"/>
                                    <a:cs typeface="+mn-cs"/>
                                  </a:rPr>
                                  <m:t>𝐿𝑎𝑡𝑒𝑠𝑡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𝑈𝑙𝑡</m:t>
                                </m:r>
                              </m:sub>
                            </m:sSub>
                          </m:den>
                        </m:f>
                      </m:e>
                    </m:d>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A1D29D7A-1B5E-4C2F-9F5D-60BAEAA1D195}"/>
                </a:ext>
              </a:extLst>
            </xdr:cNvPr>
            <xdr:cNvSpPr txBox="1"/>
          </xdr:nvSpPr>
          <xdr:spPr>
            <a:xfrm>
              <a:off x="2997200" y="9052453"/>
              <a:ext cx="385329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𝑇𝑟𝑒𝑛𝑑𝑒𝑑 𝐶𝑙𝑎𝑖𝑚 𝑆𝑖𝑧𝑒 𝑀𝑒𝑎𝑛=〖𝑀𝑒𝑎𝑛〗_█(𝐿𝑎𝑡𝑒𝑠𝑡@𝐶𝑜𝑠𝑡 𝐿𝑒𝑣𝑒𝑙)×(〖𝑡𝑟𝑒𝑛𝑑〗_(𝑃𝑟𝑖𝑜𝑟 𝐴𝑌,𝑈𝑙𝑡)/〖𝑡𝑟𝑒𝑛𝑑〗_(𝐿𝑎𝑡𝑒𝑠𝑡 𝐴𝑌, 𝑈𝑙𝑡) )</a:t>
              </a:r>
              <a:endParaRPr lang="en-PH" sz="1100">
                <a:solidFill>
                  <a:schemeClr val="tx1"/>
                </a:solidFill>
                <a:effectLst/>
                <a:latin typeface="+mn-lt"/>
                <a:ea typeface="+mn-ea"/>
                <a:cs typeface="+mn-cs"/>
              </a:endParaRPr>
            </a:p>
          </xdr:txBody>
        </xdr:sp>
      </mc:Fallback>
    </mc:AlternateContent>
    <xdr:clientData/>
  </xdr:oneCellAnchor>
  <xdr:twoCellAnchor>
    <xdr:from>
      <xdr:col>1</xdr:col>
      <xdr:colOff>231245</xdr:colOff>
      <xdr:row>52</xdr:row>
      <xdr:rowOff>179916</xdr:rowOff>
    </xdr:from>
    <xdr:to>
      <xdr:col>3</xdr:col>
      <xdr:colOff>229657</xdr:colOff>
      <xdr:row>54</xdr:row>
      <xdr:rowOff>107681</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FDE8EDF0-7C82-48DD-A4EB-DE9D8798045C}"/>
                </a:ext>
              </a:extLst>
            </xdr:cNvPr>
            <xdr:cNvSpPr txBox="1"/>
          </xdr:nvSpPr>
          <xdr:spPr>
            <a:xfrm>
              <a:off x="1056745" y="11228916"/>
              <a:ext cx="1649412" cy="3299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LEV</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𝑥</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𝜃</m:t>
                    </m:r>
                    <m:r>
                      <a:rPr lang="en-PH" sz="1100" i="1">
                        <a:solidFill>
                          <a:schemeClr val="tx1"/>
                        </a:solidFill>
                        <a:effectLst/>
                        <a:latin typeface="Cambria Math" panose="02040503050406030204" pitchFamily="18" charset="0"/>
                        <a:ea typeface="+mn-ea"/>
                        <a:cs typeface="+mn-cs"/>
                      </a:rPr>
                      <m:t>×</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𝑒</m:t>
                            </m:r>
                          </m:e>
                          <m: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𝑥</m:t>
                                </m:r>
                              </m:num>
                              <m:den>
                                <m:r>
                                  <a:rPr lang="en-PH" sz="1100" i="1">
                                    <a:solidFill>
                                      <a:schemeClr val="tx1"/>
                                    </a:solidFill>
                                    <a:effectLst/>
                                    <a:latin typeface="Cambria Math" panose="02040503050406030204" pitchFamily="18" charset="0"/>
                                    <a:ea typeface="+mn-ea"/>
                                    <a:cs typeface="+mn-cs"/>
                                  </a:rPr>
                                  <m:t>𝜃</m:t>
                                </m:r>
                              </m:den>
                            </m:f>
                          </m:sup>
                        </m:sSup>
                      </m:e>
                    </m:d>
                  </m:oMath>
                </m:oMathPara>
              </a14:m>
              <a:endParaRPr lang="en-PH"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FDE8EDF0-7C82-48DD-A4EB-DE9D8798045C}"/>
                </a:ext>
              </a:extLst>
            </xdr:cNvPr>
            <xdr:cNvSpPr txBox="1"/>
          </xdr:nvSpPr>
          <xdr:spPr>
            <a:xfrm>
              <a:off x="1056745" y="11228916"/>
              <a:ext cx="1649412" cy="3299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LEV(𝑥)=𝜃×[1−𝑒^(−𝑥/𝜃)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385763</xdr:colOff>
      <xdr:row>53</xdr:row>
      <xdr:rowOff>71438</xdr:rowOff>
    </xdr:from>
    <xdr:ext cx="2213491"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D1B5D5A-D88B-43EC-B06B-7CA5E685CD43}"/>
                </a:ext>
              </a:extLst>
            </xdr:cNvPr>
            <xdr:cNvSpPr txBox="1"/>
          </xdr:nvSpPr>
          <xdr:spPr>
            <a:xfrm>
              <a:off x="2976563" y="10948988"/>
              <a:ext cx="22134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𝑥</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𝐿𝑖𝑚𝑖𝑡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𝑜𝑓</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𝑡h𝑒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𝑙𝑎𝑦𝑒𝑟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𝑓𝑜𝑟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𝑡h𝑒</m:t>
                    </m:r>
                    <m:r>
                      <a:rPr lang="en-PH" sz="1100" i="1">
                        <a:solidFill>
                          <a:schemeClr val="tx1"/>
                        </a:solidFill>
                        <a:effectLst/>
                        <a:latin typeface="Cambria Math" panose="02040503050406030204" pitchFamily="18" charset="0"/>
                        <a:ea typeface="+mn-ea"/>
                        <a:cs typeface="+mn-cs"/>
                      </a:rPr>
                      <m:t> </m:t>
                    </m:r>
                    <m:r>
                      <m:rPr>
                        <m:sty m:val="p"/>
                      </m:rPr>
                      <a:rPr lang="en-PH" sz="1100">
                        <a:solidFill>
                          <a:schemeClr val="tx1"/>
                        </a:solidFill>
                        <a:effectLst/>
                        <a:latin typeface="Cambria Math" panose="02040503050406030204" pitchFamily="18" charset="0"/>
                        <a:ea typeface="+mn-ea"/>
                        <a:cs typeface="+mn-cs"/>
                      </a:rPr>
                      <m:t>LEV</m:t>
                    </m:r>
                  </m:oMath>
                </m:oMathPara>
              </a14:m>
              <a:endParaRPr lang="en-US" sz="1100">
                <a:solidFill>
                  <a:schemeClr val="tx1"/>
                </a:solidFill>
              </a:endParaRPr>
            </a:p>
          </xdr:txBody>
        </xdr:sp>
      </mc:Choice>
      <mc:Fallback xmlns="">
        <xdr:sp macro="" textlink="">
          <xdr:nvSpPr>
            <xdr:cNvPr id="6" name="TextBox 5">
              <a:extLst>
                <a:ext uri="{FF2B5EF4-FFF2-40B4-BE49-F238E27FC236}">
                  <a16:creationId xmlns:a16="http://schemas.microsoft.com/office/drawing/2014/main" id="{ED1B5D5A-D88B-43EC-B06B-7CA5E685CD43}"/>
                </a:ext>
              </a:extLst>
            </xdr:cNvPr>
            <xdr:cNvSpPr txBox="1"/>
          </xdr:nvSpPr>
          <xdr:spPr>
            <a:xfrm>
              <a:off x="2976563" y="10948988"/>
              <a:ext cx="22134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𝑥→𝐿𝑖𝑚𝑖𝑡 𝑜𝑓 𝑡ℎ𝑒 𝑙𝑎𝑦𝑒𝑟 𝑓𝑜𝑟 𝑡ℎ𝑒 LEV</a:t>
              </a:r>
              <a:endParaRPr lang="en-US" sz="1100">
                <a:solidFill>
                  <a:schemeClr val="tx1"/>
                </a:solidFill>
              </a:endParaRPr>
            </a:p>
          </xdr:txBody>
        </xdr:sp>
      </mc:Fallback>
    </mc:AlternateContent>
    <xdr:clientData/>
  </xdr:oneCellAnchor>
  <xdr:twoCellAnchor>
    <xdr:from>
      <xdr:col>1</xdr:col>
      <xdr:colOff>232834</xdr:colOff>
      <xdr:row>65</xdr:row>
      <xdr:rowOff>148166</xdr:rowOff>
    </xdr:from>
    <xdr:to>
      <xdr:col>4</xdr:col>
      <xdr:colOff>137584</xdr:colOff>
      <xdr:row>67</xdr:row>
      <xdr:rowOff>30469</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32F87132-DCF9-4397-9172-3EF5DE6F9CD4}"/>
                </a:ext>
              </a:extLst>
            </xdr:cNvPr>
            <xdr:cNvSpPr txBox="1"/>
          </xdr:nvSpPr>
          <xdr:spPr>
            <a:xfrm>
              <a:off x="1058334" y="13800666"/>
              <a:ext cx="2381250" cy="284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32F87132-DCF9-4397-9172-3EF5DE6F9CD4}"/>
                </a:ext>
              </a:extLst>
            </xdr:cNvPr>
            <xdr:cNvSpPr txBox="1"/>
          </xdr:nvSpPr>
          <xdr:spPr>
            <a:xfrm>
              <a:off x="1058334" y="13800666"/>
              <a:ext cx="2381250" cy="284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𝑅_(𝐴𝑌,𝑈𝑙𝑡)=LEV[𝑋│𝜃_(𝐴𝑌,∞) ]/LEV[𝐵│𝜃_(𝐴𝑌,∞) ]</a:t>
              </a:r>
              <a:endParaRPr lang="en-PH" sz="1100">
                <a:solidFill>
                  <a:schemeClr val="tx1"/>
                </a:solidFill>
                <a:effectLst/>
                <a:latin typeface="+mn-lt"/>
                <a:ea typeface="+mn-ea"/>
                <a:cs typeface="+mn-cs"/>
              </a:endParaRPr>
            </a:p>
          </xdr:txBody>
        </xdr:sp>
      </mc:Fallback>
    </mc:AlternateContent>
    <xdr:clientData/>
  </xdr:twoCellAnchor>
  <xdr:oneCellAnchor>
    <xdr:from>
      <xdr:col>4</xdr:col>
      <xdr:colOff>430741</xdr:colOff>
      <xdr:row>66</xdr:row>
      <xdr:rowOff>21696</xdr:rowOff>
    </xdr:from>
    <xdr:ext cx="2913592" cy="3063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8AFCD1F-0693-4504-8F99-D8FC8CEE5A45}"/>
                </a:ext>
              </a:extLst>
            </xdr:cNvPr>
            <xdr:cNvSpPr txBox="1"/>
          </xdr:nvSpPr>
          <xdr:spPr>
            <a:xfrm>
              <a:off x="3732741" y="13875279"/>
              <a:ext cx="2913592" cy="306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𝑅𝑎𝑡𝑖𝑜</m:t>
                    </m:r>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𝑈𝑙𝑡𝑖𝑚𝑎𝑡𝑒</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𝐵</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𝑈𝑙𝑡𝑖𝑚𝑎𝑡𝑒</m:t>
                            </m:r>
                          </m:sub>
                        </m:sSub>
                      </m:e>
                    </m:d>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78AFCD1F-0693-4504-8F99-D8FC8CEE5A45}"/>
                </a:ext>
              </a:extLst>
            </xdr:cNvPr>
            <xdr:cNvSpPr txBox="1"/>
          </xdr:nvSpPr>
          <xdr:spPr>
            <a:xfrm>
              <a:off x="3732741" y="13875279"/>
              <a:ext cx="2913592" cy="306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PH" sz="1100" i="0">
                  <a:solidFill>
                    <a:schemeClr val="tx1"/>
                  </a:solidFill>
                  <a:effectLst/>
                  <a:latin typeface="Cambria Math" panose="02040503050406030204" pitchFamily="18" charset="0"/>
                  <a:ea typeface="+mn-ea"/>
                  <a:cs typeface="+mn-cs"/>
                </a:rPr>
                <a:t>𝑈𝑙𝑡 𝑅𝑎𝑡𝑖𝑜=LEV[𝑋_(𝐴𝑌,𝑈𝑙𝑡𝑖𝑚𝑎𝑡𝑒) ]/LEV[𝐵_(𝐴𝑌,𝑈𝑙𝑡𝑖𝑚𝑎𝑡𝑒) ]</a:t>
              </a:r>
              <a:endParaRPr lang="en-US" sz="1100">
                <a:solidFill>
                  <a:schemeClr val="tx1"/>
                </a:solidFill>
              </a:endParaRPr>
            </a:p>
          </xdr:txBody>
        </xdr:sp>
      </mc:Fallback>
    </mc:AlternateContent>
    <xdr:clientData/>
  </xdr:oneCellAnchor>
  <xdr:twoCellAnchor>
    <xdr:from>
      <xdr:col>1</xdr:col>
      <xdr:colOff>169333</xdr:colOff>
      <xdr:row>77</xdr:row>
      <xdr:rowOff>179916</xdr:rowOff>
    </xdr:from>
    <xdr:to>
      <xdr:col>4</xdr:col>
      <xdr:colOff>222250</xdr:colOff>
      <xdr:row>79</xdr:row>
      <xdr:rowOff>62219</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18DAF656-1921-4F01-B0B3-0DE8F799CF97}"/>
                </a:ext>
              </a:extLst>
            </xdr:cNvPr>
            <xdr:cNvSpPr txBox="1"/>
          </xdr:nvSpPr>
          <xdr:spPr>
            <a:xfrm>
              <a:off x="994833" y="16245416"/>
              <a:ext cx="2529417" cy="284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𝑠𝑒𝑙𝑒𝑐𝑡</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𝐷𝑒𝑐𝑎𝑦</m:t>
                        </m:r>
                      </m:e>
                      <m:sub>
                        <m:argPr>
                          <m:argSz m:val="-2"/>
                        </m:argPr>
                        <m:r>
                          <a:rPr lang="en-PH" sz="1100" i="1">
                            <a:solidFill>
                              <a:schemeClr val="tx1"/>
                            </a:solidFill>
                            <a:effectLst/>
                            <a:latin typeface="Cambria Math" panose="02040503050406030204" pitchFamily="18" charset="0"/>
                            <a:ea typeface="+mn-ea"/>
                            <a:cs typeface="+mn-cs"/>
                          </a:rPr>
                          <m:t>𝑘</m:t>
                        </m:r>
                      </m:sub>
                    </m:sSub>
                  </m:oMath>
                </m:oMathPara>
              </a14:m>
              <a:endParaRPr lang="en-PH"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18DAF656-1921-4F01-B0B3-0DE8F799CF97}"/>
                </a:ext>
              </a:extLst>
            </xdr:cNvPr>
            <xdr:cNvSpPr txBox="1"/>
          </xdr:nvSpPr>
          <xdr:spPr>
            <a:xfrm>
              <a:off x="994833" y="16245416"/>
              <a:ext cx="2529417" cy="2844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𝑅_(𝐴𝑌,𝑘)^𝑠𝑒𝑙𝑒𝑐𝑡=𝑅_(𝐴𝑌,𝑈𝑙𝑡)+(1−𝑅_(𝐴𝑌,𝑈𝑙𝑡) )×〖𝐷𝑒𝑐𝑎𝑦〗_𝑘</a:t>
              </a:r>
              <a:endParaRPr lang="en-PH" sz="1100">
                <a:solidFill>
                  <a:schemeClr val="tx1"/>
                </a:solidFill>
                <a:effectLst/>
                <a:latin typeface="+mn-lt"/>
                <a:ea typeface="+mn-ea"/>
                <a:cs typeface="+mn-cs"/>
              </a:endParaRPr>
            </a:p>
          </xdr:txBody>
        </xdr:sp>
      </mc:Fallback>
    </mc:AlternateContent>
    <xdr:clientData/>
  </xdr:twoCellAnchor>
  <xdr:oneCellAnchor>
    <xdr:from>
      <xdr:col>4</xdr:col>
      <xdr:colOff>415395</xdr:colOff>
      <xdr:row>78</xdr:row>
      <xdr:rowOff>53447</xdr:rowOff>
    </xdr:from>
    <xdr:ext cx="3836691"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8CC8B8F-6693-4126-8C10-5E02939ACA9D}"/>
                </a:ext>
              </a:extLst>
            </xdr:cNvPr>
            <xdr:cNvSpPr txBox="1"/>
          </xdr:nvSpPr>
          <xdr:spPr>
            <a:xfrm>
              <a:off x="3717395" y="16320030"/>
              <a:ext cx="38366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𝑆𝑒𝑙𝑒𝑐𝑡𝑒𝑑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𝑅𝑎𝑡𝑖𝑜</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𝑅𝑎𝑡𝑖𝑜</m:t>
                    </m:r>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1−</m:t>
                        </m:r>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𝑅𝑎𝑡𝑖𝑜</m:t>
                        </m:r>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𝐷𝑒𝑐𝑎𝑦</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𝐹𝑎𝑐𝑡𝑜𝑟</m:t>
                    </m:r>
                  </m:oMath>
                </m:oMathPara>
              </a14:m>
              <a:endParaRPr lang="en-US" sz="1100">
                <a:solidFill>
                  <a:schemeClr val="tx1"/>
                </a:solidFill>
              </a:endParaRPr>
            </a:p>
          </xdr:txBody>
        </xdr:sp>
      </mc:Choice>
      <mc:Fallback xmlns="">
        <xdr:sp macro="" textlink="">
          <xdr:nvSpPr>
            <xdr:cNvPr id="11" name="TextBox 10">
              <a:extLst>
                <a:ext uri="{FF2B5EF4-FFF2-40B4-BE49-F238E27FC236}">
                  <a16:creationId xmlns:a16="http://schemas.microsoft.com/office/drawing/2014/main" id="{98CC8B8F-6693-4126-8C10-5E02939ACA9D}"/>
                </a:ext>
              </a:extLst>
            </xdr:cNvPr>
            <xdr:cNvSpPr txBox="1"/>
          </xdr:nvSpPr>
          <xdr:spPr>
            <a:xfrm>
              <a:off x="3717395" y="16320030"/>
              <a:ext cx="38366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𝑆𝑒𝑙𝑒𝑐𝑡𝑒𝑑 𝑅𝑎𝑡𝑖𝑜=𝑈𝑙𝑡 𝑅𝑎𝑡𝑖𝑜+(1−𝑈𝑙𝑡 𝑅𝑎𝑡𝑖𝑜)×𝐷𝑒𝑐𝑎𝑦 𝐹𝑎𝑐𝑡𝑜𝑟</a:t>
              </a:r>
              <a:endParaRPr lang="en-US" sz="1100">
                <a:solidFill>
                  <a:schemeClr val="tx1"/>
                </a:solidFill>
              </a:endParaRPr>
            </a:p>
          </xdr:txBody>
        </xdr:sp>
      </mc:Fallback>
    </mc:AlternateContent>
    <xdr:clientData/>
  </xdr:oneCellAnchor>
  <xdr:oneCellAnchor>
    <xdr:from>
      <xdr:col>3</xdr:col>
      <xdr:colOff>251883</xdr:colOff>
      <xdr:row>145</xdr:row>
      <xdr:rowOff>173567</xdr:rowOff>
    </xdr:from>
    <xdr:ext cx="962828" cy="3310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FE978DF8-8728-4C74-B4D4-D170B613CB8E}"/>
                </a:ext>
              </a:extLst>
            </xdr:cNvPr>
            <xdr:cNvSpPr txBox="1"/>
          </xdr:nvSpPr>
          <xdr:spPr>
            <a:xfrm>
              <a:off x="2728383" y="32209317"/>
              <a:ext cx="962828" cy="331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𝑈</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𝐶𝐷𝐹</m:t>
                            </m:r>
                          </m:e>
                          <m:sup>
                            <m:argPr>
                              <m:argSz m:val="-2"/>
                            </m:argPr>
                            <m:r>
                              <a:rPr lang="en-PH" sz="1100" i="1">
                                <a:solidFill>
                                  <a:schemeClr val="tx1"/>
                                </a:solidFill>
                                <a:effectLst/>
                                <a:latin typeface="Cambria Math" panose="02040503050406030204" pitchFamily="18" charset="0"/>
                                <a:ea typeface="+mn-ea"/>
                                <a:cs typeface="+mn-cs"/>
                              </a:rPr>
                              <m:t>𝑋</m:t>
                            </m:r>
                          </m:sup>
                        </m:sSup>
                      </m:num>
                      <m:den>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𝐶𝐷𝐹</m:t>
                            </m:r>
                          </m:e>
                          <m:sup>
                            <m:argPr>
                              <m:argSz m:val="-2"/>
                            </m:argPr>
                            <m:r>
                              <a:rPr lang="en-PH" sz="1100" i="1">
                                <a:solidFill>
                                  <a:schemeClr val="tx1"/>
                                </a:solidFill>
                                <a:effectLst/>
                                <a:latin typeface="Cambria Math" panose="02040503050406030204" pitchFamily="18" charset="0"/>
                                <a:ea typeface="+mn-ea"/>
                                <a:cs typeface="+mn-cs"/>
                              </a:rPr>
                              <m:t>𝐵</m:t>
                            </m:r>
                          </m:sup>
                        </m:sSup>
                      </m:den>
                    </m:f>
                  </m:oMath>
                </m:oMathPara>
              </a14:m>
              <a:endParaRPr lang="en-PH" sz="1100">
                <a:solidFill>
                  <a:schemeClr val="tx1"/>
                </a:solidFill>
                <a:effectLst/>
                <a:latin typeface="+mn-lt"/>
                <a:ea typeface="+mn-ea"/>
                <a:cs typeface="+mn-cs"/>
              </a:endParaRPr>
            </a:p>
          </xdr:txBody>
        </xdr:sp>
      </mc:Choice>
      <mc:Fallback xmlns="">
        <xdr:sp macro="" textlink="">
          <xdr:nvSpPr>
            <xdr:cNvPr id="13" name="TextBox 12">
              <a:extLst>
                <a:ext uri="{FF2B5EF4-FFF2-40B4-BE49-F238E27FC236}">
                  <a16:creationId xmlns:a16="http://schemas.microsoft.com/office/drawing/2014/main" id="{FE978DF8-8728-4C74-B4D4-D170B613CB8E}"/>
                </a:ext>
              </a:extLst>
            </xdr:cNvPr>
            <xdr:cNvSpPr txBox="1"/>
          </xdr:nvSpPr>
          <xdr:spPr>
            <a:xfrm>
              <a:off x="2728383" y="32209317"/>
              <a:ext cx="962828" cy="331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𝑈=𝑅_𝑗×〖𝐶𝐷𝐹〗^𝑋/〖𝐶𝐷𝐹〗^𝐵 </a:t>
              </a:r>
              <a:endParaRPr lang="en-PH" sz="1100">
                <a:solidFill>
                  <a:schemeClr val="tx1"/>
                </a:solidFill>
                <a:effectLst/>
                <a:latin typeface="+mn-lt"/>
                <a:ea typeface="+mn-ea"/>
                <a:cs typeface="+mn-cs"/>
              </a:endParaRPr>
            </a:p>
          </xdr:txBody>
        </xdr:sp>
      </mc:Fallback>
    </mc:AlternateContent>
    <xdr:clientData/>
  </xdr:oneCellAnchor>
  <xdr:oneCellAnchor>
    <xdr:from>
      <xdr:col>3</xdr:col>
      <xdr:colOff>230187</xdr:colOff>
      <xdr:row>158</xdr:row>
      <xdr:rowOff>108480</xdr:rowOff>
    </xdr:from>
    <xdr:ext cx="1118255" cy="31803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F62920B-13EB-4650-B374-F62B891078F2}"/>
                </a:ext>
              </a:extLst>
            </xdr:cNvPr>
            <xdr:cNvSpPr txBox="1"/>
          </xdr:nvSpPr>
          <xdr:spPr>
            <a:xfrm>
              <a:off x="2706687" y="35096980"/>
              <a:ext cx="1118255"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𝑈</m:t>
                    </m:r>
                    <m:r>
                      <a:rPr lang="en-PH" sz="1100">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𝑗</m:t>
                        </m:r>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𝑚𝑎𝑥</m:t>
                        </m:r>
                      </m:sub>
                    </m:sSub>
                    <m:r>
                      <a:rPr lang="en-PH" sz="1100">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a:solidFill>
                              <a:schemeClr val="tx1"/>
                            </a:solidFill>
                            <a:effectLst/>
                            <a:latin typeface="Cambria Math" panose="02040503050406030204" pitchFamily="18" charset="0"/>
                            <a:ea typeface="+mn-ea"/>
                            <a:cs typeface="+mn-cs"/>
                          </a:rPr>
                          <m:t>1.00</m:t>
                        </m:r>
                      </m:num>
                      <m:den>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𝐶𝐷𝐹</m:t>
                            </m:r>
                          </m:e>
                          <m:sup>
                            <m:argPr>
                              <m:argSz m:val="-2"/>
                            </m:argPr>
                            <m:r>
                              <a:rPr lang="en-PH" sz="1100" i="1">
                                <a:solidFill>
                                  <a:schemeClr val="tx1"/>
                                </a:solidFill>
                                <a:effectLst/>
                                <a:latin typeface="Cambria Math" panose="02040503050406030204" pitchFamily="18" charset="0"/>
                                <a:ea typeface="+mn-ea"/>
                                <a:cs typeface="+mn-cs"/>
                              </a:rPr>
                              <m:t>𝐵</m:t>
                            </m:r>
                          </m:sup>
                        </m:sSup>
                      </m:den>
                    </m:f>
                  </m:oMath>
                </m:oMathPara>
              </a14:m>
              <a:endParaRPr lang="en-PH" sz="1100">
                <a:solidFill>
                  <a:schemeClr val="tx1"/>
                </a:solidFill>
                <a:effectLst/>
                <a:latin typeface="+mn-lt"/>
                <a:ea typeface="+mn-ea"/>
                <a:cs typeface="+mn-cs"/>
              </a:endParaRPr>
            </a:p>
          </xdr:txBody>
        </xdr:sp>
      </mc:Choice>
      <mc:Fallback xmlns="">
        <xdr:sp macro="" textlink="">
          <xdr:nvSpPr>
            <xdr:cNvPr id="14" name="TextBox 13">
              <a:extLst>
                <a:ext uri="{FF2B5EF4-FFF2-40B4-BE49-F238E27FC236}">
                  <a16:creationId xmlns:a16="http://schemas.microsoft.com/office/drawing/2014/main" id="{1F62920B-13EB-4650-B374-F62B891078F2}"/>
                </a:ext>
              </a:extLst>
            </xdr:cNvPr>
            <xdr:cNvSpPr txBox="1"/>
          </xdr:nvSpPr>
          <xdr:spPr>
            <a:xfrm>
              <a:off x="2706687" y="35096980"/>
              <a:ext cx="1118255"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𝑈=𝑅_(𝑗,𝑚𝑎𝑥)×1.00/〖𝐶𝐷𝐹〗^𝐵 </a:t>
              </a:r>
              <a:endParaRPr lang="en-PH" sz="1100">
                <a:solidFill>
                  <a:schemeClr val="tx1"/>
                </a:solidFill>
                <a:effectLst/>
                <a:latin typeface="+mn-lt"/>
                <a:ea typeface="+mn-ea"/>
                <a:cs typeface="+mn-cs"/>
              </a:endParaRPr>
            </a:p>
          </xdr:txBody>
        </xdr:sp>
      </mc:Fallback>
    </mc:AlternateContent>
    <xdr:clientData/>
  </xdr:oneCellAnchor>
  <xdr:oneCellAnchor>
    <xdr:from>
      <xdr:col>3</xdr:col>
      <xdr:colOff>222779</xdr:colOff>
      <xdr:row>162</xdr:row>
      <xdr:rowOff>142875</xdr:rowOff>
    </xdr:from>
    <xdr:ext cx="1056892" cy="181588"/>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1DBCCFD5-2F01-4D7E-943D-C3AEC2663367}"/>
                </a:ext>
              </a:extLst>
            </xdr:cNvPr>
            <xdr:cNvSpPr txBox="1"/>
          </xdr:nvSpPr>
          <xdr:spPr>
            <a:xfrm>
              <a:off x="2699279" y="35935708"/>
              <a:ext cx="1056892" cy="181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2"/>
                        </m:argPr>
                        <m:r>
                          <a:rPr lang="en-PH" sz="1100" i="1">
                            <a:solidFill>
                              <a:schemeClr val="tx1"/>
                            </a:solidFill>
                            <a:effectLst/>
                            <a:latin typeface="Cambria Math" panose="02040503050406030204" pitchFamily="18" charset="0"/>
                            <a:ea typeface="+mn-ea"/>
                            <a:cs typeface="+mn-cs"/>
                          </a:rPr>
                          <m:t>𝑗</m:t>
                        </m:r>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𝑚𝑎𝑥</m:t>
                        </m:r>
                      </m:sub>
                    </m:sSub>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m:t>
                    </m:r>
                    <m:r>
                      <a:rPr lang="en-PH" sz="1100">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𝐶𝐷𝐹</m:t>
                    </m:r>
                  </m:oMath>
                </m:oMathPara>
              </a14:m>
              <a:endParaRPr lang="en-PH" sz="1100">
                <a:solidFill>
                  <a:schemeClr val="tx1"/>
                </a:solidFill>
                <a:effectLst/>
                <a:latin typeface="+mn-lt"/>
                <a:ea typeface="+mn-ea"/>
                <a:cs typeface="+mn-cs"/>
              </a:endParaRPr>
            </a:p>
          </xdr:txBody>
        </xdr:sp>
      </mc:Choice>
      <mc:Fallback xmlns="">
        <xdr:sp macro="" textlink="">
          <xdr:nvSpPr>
            <xdr:cNvPr id="15" name="TextBox 14">
              <a:extLst>
                <a:ext uri="{FF2B5EF4-FFF2-40B4-BE49-F238E27FC236}">
                  <a16:creationId xmlns:a16="http://schemas.microsoft.com/office/drawing/2014/main" id="{1DBCCFD5-2F01-4D7E-943D-C3AEC2663367}"/>
                </a:ext>
              </a:extLst>
            </xdr:cNvPr>
            <xdr:cNvSpPr txBox="1"/>
          </xdr:nvSpPr>
          <xdr:spPr>
            <a:xfrm>
              <a:off x="2699279" y="35935708"/>
              <a:ext cx="1056892" cy="181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𝑅_(𝑗,𝑚𝑎𝑥)=𝑈×𝐶𝐷𝐹</a:t>
              </a:r>
              <a:endParaRPr lang="en-PH" sz="1100">
                <a:solidFill>
                  <a:schemeClr val="tx1"/>
                </a:solidFill>
                <a:effectLst/>
                <a:latin typeface="+mn-lt"/>
                <a:ea typeface="+mn-ea"/>
                <a:cs typeface="+mn-cs"/>
              </a:endParaRPr>
            </a:p>
          </xdr:txBody>
        </xdr:sp>
      </mc:Fallback>
    </mc:AlternateContent>
    <xdr:clientData/>
  </xdr:oneCellAnchor>
  <xdr:twoCellAnchor>
    <xdr:from>
      <xdr:col>1</xdr:col>
      <xdr:colOff>190500</xdr:colOff>
      <xdr:row>93</xdr:row>
      <xdr:rowOff>10583</xdr:rowOff>
    </xdr:from>
    <xdr:to>
      <xdr:col>4</xdr:col>
      <xdr:colOff>391583</xdr:colOff>
      <xdr:row>95</xdr:row>
      <xdr:rowOff>80470</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2D147B4C-1F71-4895-BD20-42E7963312CB}"/>
                </a:ext>
              </a:extLst>
            </xdr:cNvPr>
            <xdr:cNvSpPr txBox="1"/>
          </xdr:nvSpPr>
          <xdr:spPr>
            <a:xfrm>
              <a:off x="1016000" y="20489333"/>
              <a:ext cx="2677583" cy="47205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𝑋</m:t>
                        </m:r>
                      </m:sup>
                    </m:sSubSup>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𝐹</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𝑘</m:t>
                        </m:r>
                      </m:sub>
                      <m:sup>
                        <m:argPr>
                          <m:argSz m:val="-1"/>
                        </m:argPr>
                        <m:r>
                          <a:rPr lang="en-PH" sz="1100" i="1">
                            <a:solidFill>
                              <a:schemeClr val="tx1"/>
                            </a:solidFill>
                            <a:effectLst/>
                            <a:latin typeface="Cambria Math" panose="02040503050406030204" pitchFamily="18" charset="0"/>
                            <a:ea typeface="+mn-ea"/>
                            <a:cs typeface="+mn-cs"/>
                          </a:rPr>
                          <m:t>𝐵</m:t>
                        </m:r>
                      </m:sup>
                    </m:sSub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1"/>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r>
                          <a:rPr lang="en-PH" sz="1100" i="1">
                            <a:solidFill>
                              <a:schemeClr val="tx1"/>
                            </a:solidFill>
                            <a:effectLst/>
                            <a:latin typeface="Cambria Math" panose="02040503050406030204" pitchFamily="18" charset="0"/>
                            <a:ea typeface="+mn-ea"/>
                            <a:cs typeface="+mn-cs"/>
                          </a:rPr>
                          <m:t>/</m:t>
                        </m:r>
                        <m:r>
                          <m:rPr>
                            <m:sty m:val="p"/>
                          </m:rPr>
                          <a:rPr lang="en-PH" sz="1100">
                            <a:solidFill>
                              <a:schemeClr val="tx1"/>
                            </a:solidFill>
                            <a:effectLst/>
                            <a:latin typeface="Cambria Math" panose="02040503050406030204" pitchFamily="18" charset="0"/>
                            <a:ea typeface="+mn-ea"/>
                            <a:cs typeface="+mn-cs"/>
                          </a:rPr>
                          <m:t>LEV</m:t>
                        </m:r>
                        <m:d>
                          <m:dPr>
                            <m:begChr m:val="["/>
                            <m:endChr m:val="]"/>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𝐵</m:t>
                            </m:r>
                          </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𝜃</m:t>
                                </m:r>
                              </m:e>
                              <m:sub>
                                <m:argPr>
                                  <m:argSz m:val="-2"/>
                                </m:argPr>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sub>
                            </m:sSub>
                          </m:e>
                        </m:d>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m:t>
                            </m:r>
                          </m:e>
                          <m:sub>
                            <m:argPr>
                              <m:argSz m:val="-1"/>
                            </m:argPr>
                            <m:r>
                              <a:rPr lang="en-PH" sz="1100" i="1">
                                <a:solidFill>
                                  <a:schemeClr val="tx1"/>
                                </a:solidFill>
                                <a:effectLst/>
                                <a:latin typeface="Cambria Math" panose="02040503050406030204" pitchFamily="18" charset="0"/>
                                <a:ea typeface="+mn-ea"/>
                                <a:cs typeface="+mn-cs"/>
                              </a:rPr>
                              <m:t>𝑘</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2D147B4C-1F71-4895-BD20-42E7963312CB}"/>
                </a:ext>
              </a:extLst>
            </xdr:cNvPr>
            <xdr:cNvSpPr txBox="1"/>
          </xdr:nvSpPr>
          <xdr:spPr>
            <a:xfrm>
              <a:off x="1016000" y="20489333"/>
              <a:ext cx="2677583" cy="47205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𝐹_(𝐴𝑌,𝑘)^𝑋=𝐹_(𝑛,𝑘)^𝐵×(LEV[𝑋│𝜃_(𝐴𝑌,∞) ]/LEV[𝐵│𝜃_(𝐴𝑌,∞) ])/𝑅_𝑘 </a:t>
              </a:r>
              <a:endParaRPr lang="en-PH" sz="1100">
                <a:solidFill>
                  <a:schemeClr val="tx1"/>
                </a:solidFill>
                <a:effectLst/>
                <a:latin typeface="+mn-lt"/>
                <a:ea typeface="+mn-ea"/>
                <a:cs typeface="+mn-cs"/>
              </a:endParaRPr>
            </a:p>
          </xdr:txBody>
        </xdr:sp>
      </mc:Fallback>
    </mc:AlternateContent>
    <xdr:clientData/>
  </xdr:twoCellAnchor>
  <xdr:oneCellAnchor>
    <xdr:from>
      <xdr:col>4</xdr:col>
      <xdr:colOff>567267</xdr:colOff>
      <xdr:row>93</xdr:row>
      <xdr:rowOff>40216</xdr:rowOff>
    </xdr:from>
    <xdr:ext cx="2300373" cy="390492"/>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9DC3E021-A93B-46F5-B353-456F57294716}"/>
                </a:ext>
              </a:extLst>
            </xdr:cNvPr>
            <xdr:cNvSpPr txBox="1"/>
          </xdr:nvSpPr>
          <xdr:spPr>
            <a:xfrm>
              <a:off x="3869267" y="20518966"/>
              <a:ext cx="2300373" cy="3904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𝐶𝐷𝐹</m:t>
                        </m:r>
                      </m:e>
                      <m:sup>
                        <m:argPr>
                          <m:argSz m:val="-2"/>
                        </m:argPr>
                        <m:r>
                          <a:rPr lang="en-PH" sz="1100" i="1">
                            <a:solidFill>
                              <a:schemeClr val="tx1"/>
                            </a:solidFill>
                            <a:effectLst/>
                            <a:latin typeface="Cambria Math" panose="02040503050406030204" pitchFamily="18" charset="0"/>
                            <a:ea typeface="+mn-ea"/>
                            <a:cs typeface="+mn-cs"/>
                          </a:rPr>
                          <m:t>𝑋</m:t>
                        </m:r>
                      </m:sup>
                    </m:sSup>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𝐶𝐷𝐹</m:t>
                        </m:r>
                      </m:e>
                      <m:sup>
                        <m:argPr>
                          <m:argSz m:val="-2"/>
                        </m:argPr>
                        <m:r>
                          <a:rPr lang="en-PH" sz="1100" i="1">
                            <a:solidFill>
                              <a:schemeClr val="tx1"/>
                            </a:solidFill>
                            <a:effectLst/>
                            <a:latin typeface="Cambria Math" panose="02040503050406030204" pitchFamily="18" charset="0"/>
                            <a:ea typeface="+mn-ea"/>
                            <a:cs typeface="+mn-cs"/>
                          </a:rPr>
                          <m:t>𝐵𝑎𝑠𝑖𝑐</m:t>
                        </m:r>
                      </m:sup>
                    </m:sSup>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𝑆𝑒𝑣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𝑅𝑒𝑙𝑎𝑡𝑖𝑣𝑖𝑡𝑦</m:t>
                            </m:r>
                          </m:e>
                          <m:sub>
                            <m:argPr>
                              <m:argSz m:val="-2"/>
                            </m:argPr>
                            <m:r>
                              <a:rPr lang="en-PH" sz="1100" i="1">
                                <a:solidFill>
                                  <a:schemeClr val="tx1"/>
                                </a:solidFill>
                                <a:effectLst/>
                                <a:latin typeface="Cambria Math" panose="02040503050406030204" pitchFamily="18" charset="0"/>
                                <a:ea typeface="+mn-ea"/>
                                <a:cs typeface="+mn-cs"/>
                              </a:rPr>
                              <m:t>𝑈𝑙𝑡</m:t>
                            </m:r>
                          </m:sub>
                          <m:sup>
                            <m:argPr>
                              <m:argSz m:val="-2"/>
                            </m:argPr>
                            <m:r>
                              <a:rPr lang="en-PH" sz="1100" i="1">
                                <a:solidFill>
                                  <a:schemeClr val="tx1"/>
                                </a:solidFill>
                                <a:effectLst/>
                                <a:latin typeface="Cambria Math" panose="02040503050406030204" pitchFamily="18" charset="0"/>
                                <a:ea typeface="+mn-ea"/>
                                <a:cs typeface="+mn-cs"/>
                              </a:rPr>
                              <m:t>𝑋</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m:t>
                            </m:r>
                          </m:sup>
                        </m:sSubSup>
                      </m:num>
                      <m:den>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𝑆𝑒𝑣</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𝑅𝑒𝑙𝑎𝑡𝑖𝑣𝑖𝑡𝑦</m:t>
                            </m:r>
                          </m:e>
                          <m:sub>
                            <m:argPr>
                              <m:argSz m:val="-1"/>
                            </m:argPr>
                            <m:r>
                              <a:rPr lang="en-PH" sz="1100" i="1">
                                <a:solidFill>
                                  <a:schemeClr val="tx1"/>
                                </a:solidFill>
                                <a:effectLst/>
                                <a:latin typeface="Cambria Math" panose="02040503050406030204" pitchFamily="18" charset="0"/>
                                <a:ea typeface="+mn-ea"/>
                                <a:cs typeface="+mn-cs"/>
                              </a:rPr>
                              <m:t>𝑘</m:t>
                            </m:r>
                          </m:sub>
                          <m:sup>
                            <m:argPr>
                              <m:argSz m:val="-2"/>
                            </m:argPr>
                            <m:r>
                              <a:rPr lang="en-PH" sz="1100" i="1">
                                <a:solidFill>
                                  <a:schemeClr val="tx1"/>
                                </a:solidFill>
                                <a:effectLst/>
                                <a:latin typeface="Cambria Math" panose="02040503050406030204" pitchFamily="18" charset="0"/>
                                <a:ea typeface="+mn-ea"/>
                                <a:cs typeface="+mn-cs"/>
                              </a:rPr>
                              <m:t>𝑋</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m:t>
                            </m:r>
                          </m:sup>
                        </m:sSubSup>
                      </m:den>
                    </m:f>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9DC3E021-A93B-46F5-B353-456F57294716}"/>
                </a:ext>
              </a:extLst>
            </xdr:cNvPr>
            <xdr:cNvSpPr txBox="1"/>
          </xdr:nvSpPr>
          <xdr:spPr>
            <a:xfrm>
              <a:off x="3869267" y="20518966"/>
              <a:ext cx="2300373" cy="3904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〖𝐶𝐷𝐹〗^𝑋=〖𝐶𝐷𝐹〗^𝐵𝑎𝑠𝑖𝑐×(〖𝑆𝑒𝑣 𝑅𝑒𝑙𝑎𝑡𝑖𝑣𝑖𝑡𝑦〗_𝑈𝑙𝑡^(𝑋,𝐵))/(〖𝑆𝑒𝑣 𝑅𝑒𝑙𝑎𝑡𝑖𝑣𝑖𝑡𝑦〗_𝑘^(𝑋,𝐵) )</a:t>
              </a:r>
              <a:endParaRPr lang="en-US" sz="1100">
                <a:solidFill>
                  <a:schemeClr val="tx1"/>
                </a:solidFill>
              </a:endParaRPr>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36"/>
  <sheetViews>
    <sheetView showGridLines="0" tabSelected="1" zoomScale="120" zoomScaleNormal="120" workbookViewId="0"/>
  </sheetViews>
  <sheetFormatPr baseColWidth="10" defaultColWidth="10.83203125" defaultRowHeight="16" x14ac:dyDescent="0.2"/>
  <cols>
    <col min="1" max="2" width="10.83203125" style="51"/>
    <col min="3" max="3" width="12" style="51" customWidth="1"/>
    <col min="4" max="4" width="12.5" style="51" customWidth="1"/>
    <col min="5" max="16384" width="10.83203125" style="51"/>
  </cols>
  <sheetData>
    <row r="1" spans="1:10" ht="19" x14ac:dyDescent="0.25">
      <c r="A1" s="1" t="s">
        <v>73</v>
      </c>
      <c r="B1" s="49"/>
      <c r="C1" s="49"/>
      <c r="D1" s="49"/>
      <c r="E1" s="49"/>
      <c r="F1" s="49"/>
      <c r="G1" s="49"/>
      <c r="H1" s="49"/>
      <c r="I1" s="49"/>
      <c r="J1" s="50"/>
    </row>
    <row r="2" spans="1:10" x14ac:dyDescent="0.2">
      <c r="A2" s="5"/>
      <c r="B2" s="49"/>
      <c r="C2" s="49"/>
      <c r="D2" s="49"/>
      <c r="E2" s="49"/>
      <c r="F2" s="49"/>
      <c r="G2" s="49"/>
      <c r="H2" s="49"/>
      <c r="I2" s="49"/>
      <c r="J2" s="50"/>
    </row>
    <row r="3" spans="1:10" x14ac:dyDescent="0.2">
      <c r="A3" s="5"/>
      <c r="B3" s="49" t="s">
        <v>27</v>
      </c>
      <c r="C3" s="49"/>
      <c r="D3" s="49"/>
      <c r="E3" s="49"/>
      <c r="F3" s="49"/>
      <c r="G3" s="49"/>
      <c r="H3" s="49"/>
      <c r="I3" s="49"/>
      <c r="J3" s="50"/>
    </row>
    <row r="4" spans="1:10" x14ac:dyDescent="0.2">
      <c r="A4" s="5"/>
      <c r="B4" s="49"/>
      <c r="C4" s="49"/>
      <c r="D4" s="49"/>
      <c r="E4" s="49"/>
      <c r="F4" s="49"/>
      <c r="G4" s="49"/>
      <c r="H4" s="49"/>
      <c r="I4" s="49"/>
      <c r="J4" s="50"/>
    </row>
    <row r="5" spans="1:10" x14ac:dyDescent="0.2">
      <c r="A5" s="5"/>
      <c r="B5" s="49"/>
      <c r="C5" s="161" t="s">
        <v>33</v>
      </c>
      <c r="D5" s="162"/>
      <c r="E5" s="162"/>
      <c r="F5" s="163"/>
      <c r="G5" s="49"/>
      <c r="H5" s="49"/>
      <c r="I5" s="49"/>
      <c r="J5" s="50"/>
    </row>
    <row r="6" spans="1:10" ht="34" x14ac:dyDescent="0.2">
      <c r="A6" s="5"/>
      <c r="B6" s="49"/>
      <c r="C6" s="14" t="s">
        <v>1</v>
      </c>
      <c r="D6" s="15" t="s">
        <v>2</v>
      </c>
      <c r="E6" s="15" t="s">
        <v>3</v>
      </c>
      <c r="F6" s="16" t="s">
        <v>4</v>
      </c>
      <c r="G6" s="49"/>
      <c r="H6" s="49"/>
      <c r="I6" s="49"/>
      <c r="J6" s="50"/>
    </row>
    <row r="7" spans="1:10" x14ac:dyDescent="0.2">
      <c r="A7" s="5"/>
      <c r="B7" s="49"/>
      <c r="C7" s="17">
        <v>2021</v>
      </c>
      <c r="D7" s="18">
        <v>1290</v>
      </c>
      <c r="E7" s="18">
        <v>2215</v>
      </c>
      <c r="F7" s="19">
        <v>3235</v>
      </c>
      <c r="G7" s="49"/>
      <c r="H7" s="49"/>
      <c r="I7" s="49"/>
      <c r="J7" s="50"/>
    </row>
    <row r="8" spans="1:10" x14ac:dyDescent="0.2">
      <c r="A8" s="5"/>
      <c r="B8" s="49"/>
      <c r="C8" s="17">
        <v>2022</v>
      </c>
      <c r="D8" s="18">
        <v>1420</v>
      </c>
      <c r="E8" s="18">
        <v>2195</v>
      </c>
      <c r="F8" s="6"/>
      <c r="G8" s="49"/>
      <c r="H8" s="49"/>
      <c r="I8" s="49"/>
      <c r="J8" s="50"/>
    </row>
    <row r="9" spans="1:10" x14ac:dyDescent="0.2">
      <c r="A9" s="5"/>
      <c r="B9" s="49"/>
      <c r="C9" s="20">
        <v>2023</v>
      </c>
      <c r="D9" s="21">
        <v>1135</v>
      </c>
      <c r="E9" s="22"/>
      <c r="F9" s="23"/>
      <c r="G9" s="49"/>
      <c r="H9" s="49"/>
      <c r="I9" s="49"/>
      <c r="J9" s="50"/>
    </row>
    <row r="10" spans="1:10" x14ac:dyDescent="0.2">
      <c r="A10" s="5"/>
      <c r="B10" s="49"/>
      <c r="C10" s="49"/>
      <c r="D10" s="49"/>
      <c r="E10" s="49"/>
      <c r="F10" s="49"/>
      <c r="G10" s="49"/>
      <c r="H10" s="49"/>
      <c r="I10" s="49"/>
      <c r="J10" s="50"/>
    </row>
    <row r="11" spans="1:10" x14ac:dyDescent="0.2">
      <c r="A11" s="5"/>
      <c r="B11" s="49"/>
      <c r="C11" s="49"/>
      <c r="D11" s="49"/>
      <c r="E11" s="49"/>
      <c r="F11" s="49"/>
      <c r="G11" s="49"/>
      <c r="H11" s="49"/>
      <c r="I11" s="49"/>
      <c r="J11" s="50"/>
    </row>
    <row r="12" spans="1:10" x14ac:dyDescent="0.2">
      <c r="A12" s="5"/>
      <c r="B12" s="49" t="s">
        <v>70</v>
      </c>
      <c r="C12" s="49"/>
      <c r="D12" s="49"/>
      <c r="E12" s="49"/>
      <c r="F12" s="55">
        <v>500000</v>
      </c>
      <c r="G12" s="49"/>
      <c r="H12" s="49"/>
      <c r="I12" s="49"/>
      <c r="J12" s="50"/>
    </row>
    <row r="13" spans="1:10" x14ac:dyDescent="0.2">
      <c r="A13" s="5"/>
      <c r="B13" s="49" t="s">
        <v>71</v>
      </c>
      <c r="C13" s="49"/>
      <c r="D13" s="49"/>
      <c r="E13" s="49"/>
      <c r="F13" s="55">
        <v>750000</v>
      </c>
      <c r="G13" s="49"/>
      <c r="H13" s="49"/>
      <c r="I13" s="49"/>
      <c r="J13" s="50"/>
    </row>
    <row r="14" spans="1:10" x14ac:dyDescent="0.2">
      <c r="A14" s="5"/>
      <c r="B14" s="49" t="s">
        <v>68</v>
      </c>
      <c r="C14" s="49"/>
      <c r="D14" s="49"/>
      <c r="E14" s="49"/>
      <c r="F14" s="56">
        <v>0.03</v>
      </c>
      <c r="G14" s="49"/>
      <c r="H14" s="49"/>
      <c r="I14" s="49"/>
      <c r="J14" s="50"/>
    </row>
    <row r="15" spans="1:10" x14ac:dyDescent="0.2">
      <c r="A15" s="5"/>
      <c r="B15" s="49" t="s">
        <v>69</v>
      </c>
      <c r="C15" s="49"/>
      <c r="D15" s="49"/>
      <c r="E15" s="49"/>
      <c r="F15" s="56">
        <v>0.02</v>
      </c>
      <c r="G15" s="49"/>
      <c r="H15" s="49"/>
      <c r="I15" s="49"/>
      <c r="J15" s="50"/>
    </row>
    <row r="16" spans="1:10" x14ac:dyDescent="0.2">
      <c r="A16" s="5"/>
      <c r="B16" s="49"/>
      <c r="C16" s="49"/>
      <c r="D16" s="49"/>
      <c r="E16" s="49"/>
      <c r="F16" s="49"/>
      <c r="G16" s="49"/>
      <c r="H16" s="49"/>
      <c r="I16" s="49"/>
      <c r="J16" s="50"/>
    </row>
    <row r="17" spans="1:10" x14ac:dyDescent="0.2">
      <c r="A17" s="5"/>
      <c r="B17" s="49" t="s">
        <v>34</v>
      </c>
      <c r="C17" s="49"/>
      <c r="D17" s="49"/>
      <c r="E17" s="49"/>
      <c r="F17" s="49"/>
      <c r="G17" s="49"/>
      <c r="H17" s="49"/>
      <c r="I17" s="49"/>
      <c r="J17" s="50"/>
    </row>
    <row r="18" spans="1:10" x14ac:dyDescent="0.2">
      <c r="A18" s="5"/>
      <c r="B18" s="114" t="s">
        <v>88</v>
      </c>
      <c r="C18" s="49"/>
      <c r="D18" s="49"/>
      <c r="E18" s="49"/>
      <c r="F18" s="49"/>
      <c r="G18" s="49"/>
      <c r="H18" s="49"/>
      <c r="I18" s="49"/>
      <c r="J18" s="50"/>
    </row>
    <row r="19" spans="1:10" x14ac:dyDescent="0.2">
      <c r="A19" s="5"/>
      <c r="B19" s="49"/>
      <c r="C19" s="49"/>
      <c r="D19" s="49"/>
      <c r="E19" s="49"/>
      <c r="F19" s="49"/>
      <c r="G19" s="49"/>
      <c r="H19" s="49"/>
      <c r="I19" s="49"/>
      <c r="J19" s="50"/>
    </row>
    <row r="20" spans="1:10" x14ac:dyDescent="0.2">
      <c r="A20" s="5"/>
      <c r="B20" s="49"/>
      <c r="C20" s="57"/>
      <c r="D20" s="54"/>
      <c r="E20" s="53" t="s">
        <v>2</v>
      </c>
      <c r="F20" s="53" t="s">
        <v>3</v>
      </c>
      <c r="G20" s="54" t="s">
        <v>4</v>
      </c>
      <c r="H20" s="49"/>
      <c r="I20" s="49"/>
      <c r="J20" s="50"/>
    </row>
    <row r="21" spans="1:10" x14ac:dyDescent="0.2">
      <c r="A21" s="5"/>
      <c r="B21" s="49"/>
      <c r="C21" s="57"/>
      <c r="D21" s="58" t="s">
        <v>5</v>
      </c>
      <c r="E21" s="59">
        <v>76000</v>
      </c>
      <c r="F21" s="59">
        <v>135000</v>
      </c>
      <c r="G21" s="60">
        <v>163000</v>
      </c>
      <c r="H21" s="49"/>
      <c r="I21" s="49"/>
      <c r="J21" s="50"/>
    </row>
    <row r="22" spans="1:10" x14ac:dyDescent="0.2">
      <c r="A22" s="5"/>
      <c r="B22" s="49"/>
      <c r="C22" s="49"/>
      <c r="D22" s="49"/>
      <c r="E22" s="49"/>
      <c r="F22" s="49"/>
      <c r="G22" s="49"/>
      <c r="H22" s="49"/>
      <c r="I22" s="49"/>
      <c r="J22" s="50"/>
    </row>
    <row r="23" spans="1:10" x14ac:dyDescent="0.2">
      <c r="A23" s="5"/>
      <c r="B23" s="49"/>
      <c r="C23" s="49"/>
      <c r="D23" s="49"/>
      <c r="E23" s="49"/>
      <c r="F23" s="49"/>
      <c r="G23" s="49"/>
      <c r="H23" s="49"/>
      <c r="I23" s="49"/>
      <c r="J23" s="50"/>
    </row>
    <row r="24" spans="1:10" x14ac:dyDescent="0.2">
      <c r="A24" s="5"/>
      <c r="B24" s="160" t="s">
        <v>146</v>
      </c>
      <c r="C24" s="49"/>
      <c r="D24" s="49"/>
      <c r="E24" s="49"/>
      <c r="F24" s="49"/>
      <c r="G24" s="49"/>
      <c r="H24" s="49"/>
      <c r="I24" s="49"/>
      <c r="J24" s="50"/>
    </row>
    <row r="25" spans="1:10" x14ac:dyDescent="0.2">
      <c r="A25" s="5"/>
      <c r="B25" s="49" t="s">
        <v>35</v>
      </c>
      <c r="C25" s="49"/>
      <c r="D25" s="49"/>
      <c r="E25" s="49"/>
      <c r="F25" s="49"/>
      <c r="G25" s="49"/>
      <c r="H25" s="49"/>
      <c r="I25" s="49"/>
      <c r="J25" s="50"/>
    </row>
    <row r="26" spans="1:10" ht="17" thickBot="1" x14ac:dyDescent="0.25">
      <c r="A26" s="61"/>
      <c r="B26" s="62"/>
      <c r="C26" s="63"/>
      <c r="D26" s="63"/>
      <c r="E26" s="63"/>
      <c r="F26" s="62"/>
      <c r="G26" s="62"/>
      <c r="H26" s="62"/>
      <c r="I26" s="62"/>
      <c r="J26" s="64"/>
    </row>
    <row r="28" spans="1:10" ht="19" x14ac:dyDescent="0.25">
      <c r="A28" s="2" t="s">
        <v>0</v>
      </c>
    </row>
    <row r="29" spans="1:10" x14ac:dyDescent="0.2">
      <c r="A29" s="66" t="s">
        <v>76</v>
      </c>
      <c r="B29" s="164" t="s">
        <v>85</v>
      </c>
      <c r="C29" s="164"/>
      <c r="D29" s="164"/>
      <c r="E29" s="164"/>
      <c r="F29" s="164"/>
      <c r="G29" s="164"/>
      <c r="H29" s="164"/>
      <c r="I29" s="164"/>
    </row>
    <row r="30" spans="1:10" x14ac:dyDescent="0.2">
      <c r="A30" s="66"/>
      <c r="B30" s="164"/>
      <c r="C30" s="164"/>
      <c r="D30" s="164"/>
      <c r="E30" s="164"/>
      <c r="F30" s="164"/>
      <c r="G30" s="164"/>
      <c r="H30" s="164"/>
      <c r="I30" s="164"/>
    </row>
    <row r="31" spans="1:10" x14ac:dyDescent="0.2">
      <c r="A31" s="66"/>
      <c r="B31" s="115"/>
      <c r="C31" s="115"/>
      <c r="D31" s="115"/>
      <c r="E31" s="115"/>
      <c r="F31" s="115"/>
      <c r="G31" s="115"/>
      <c r="H31" s="115"/>
      <c r="I31" s="115"/>
    </row>
    <row r="32" spans="1:10" x14ac:dyDescent="0.2">
      <c r="A32" s="66"/>
      <c r="B32" s="115"/>
      <c r="C32" s="115"/>
      <c r="D32" s="115"/>
      <c r="E32" s="115"/>
      <c r="F32" s="115"/>
      <c r="G32" s="115"/>
      <c r="H32" s="115"/>
      <c r="I32" s="115"/>
    </row>
    <row r="33" spans="1:15" x14ac:dyDescent="0.2">
      <c r="A33" s="66"/>
      <c r="B33" s="115"/>
      <c r="C33" s="115"/>
      <c r="D33" s="115"/>
      <c r="E33" s="115"/>
      <c r="F33" s="115"/>
      <c r="G33" s="115"/>
      <c r="H33" s="115"/>
      <c r="I33" s="115"/>
    </row>
    <row r="34" spans="1:15" x14ac:dyDescent="0.2">
      <c r="A34" s="66"/>
      <c r="B34" s="84" t="s">
        <v>86</v>
      </c>
    </row>
    <row r="35" spans="1:15" ht="19" x14ac:dyDescent="0.25">
      <c r="B35" s="8"/>
    </row>
    <row r="36" spans="1:15" x14ac:dyDescent="0.2">
      <c r="B36" s="167" t="s">
        <v>124</v>
      </c>
      <c r="C36" s="167"/>
      <c r="D36" s="167"/>
      <c r="E36" s="167"/>
      <c r="G36" s="167" t="s">
        <v>125</v>
      </c>
      <c r="H36" s="167"/>
      <c r="I36" s="167"/>
      <c r="J36" s="167"/>
      <c r="L36" s="167" t="s">
        <v>126</v>
      </c>
      <c r="M36" s="167"/>
      <c r="N36" s="167"/>
      <c r="O36" s="167"/>
    </row>
    <row r="37" spans="1:15" x14ac:dyDescent="0.2">
      <c r="B37" s="68" t="s">
        <v>6</v>
      </c>
      <c r="C37" s="69">
        <v>12</v>
      </c>
      <c r="D37" s="69">
        <v>24</v>
      </c>
      <c r="E37" s="69">
        <v>36</v>
      </c>
      <c r="G37" s="68" t="s">
        <v>6</v>
      </c>
      <c r="H37" s="69">
        <v>12</v>
      </c>
      <c r="I37" s="69">
        <v>24</v>
      </c>
      <c r="J37" s="69">
        <v>36</v>
      </c>
      <c r="L37" s="68" t="s">
        <v>6</v>
      </c>
      <c r="M37" s="69">
        <v>12</v>
      </c>
      <c r="N37" s="69">
        <v>24</v>
      </c>
      <c r="O37" s="69">
        <v>36</v>
      </c>
    </row>
    <row r="38" spans="1:15" x14ac:dyDescent="0.2">
      <c r="B38" s="70">
        <f>$C$7</f>
        <v>2021</v>
      </c>
      <c r="C38" s="147">
        <v>1</v>
      </c>
      <c r="D38" s="147">
        <v>1</v>
      </c>
      <c r="E38" s="147">
        <v>1</v>
      </c>
      <c r="G38" s="70">
        <f>$C$7</f>
        <v>2021</v>
      </c>
      <c r="H38" s="9">
        <v>1</v>
      </c>
      <c r="I38" s="9">
        <f>H38*(1+$F$14)</f>
        <v>1.03</v>
      </c>
      <c r="J38" s="9">
        <f>I38*(1+$F$14)</f>
        <v>1.0609</v>
      </c>
      <c r="L38" s="70">
        <v>2021</v>
      </c>
      <c r="M38" s="9">
        <f>C38*H38</f>
        <v>1</v>
      </c>
      <c r="N38" s="9">
        <f t="shared" ref="N38:O40" si="0">D38*I38</f>
        <v>1.03</v>
      </c>
      <c r="O38" s="9">
        <f t="shared" si="0"/>
        <v>1.0609</v>
      </c>
    </row>
    <row r="39" spans="1:15" x14ac:dyDescent="0.2">
      <c r="B39" s="70">
        <f>$C$8</f>
        <v>2022</v>
      </c>
      <c r="C39" s="147">
        <f>C38*(1+$F$15)</f>
        <v>1.02</v>
      </c>
      <c r="D39" s="147">
        <f t="shared" ref="C39:E40" si="1">D38*(1+$F$15)</f>
        <v>1.02</v>
      </c>
      <c r="E39" s="147">
        <f t="shared" si="1"/>
        <v>1.02</v>
      </c>
      <c r="F39" s="145" t="s">
        <v>129</v>
      </c>
      <c r="G39" s="70">
        <f>$C$8</f>
        <v>2022</v>
      </c>
      <c r="H39" s="9">
        <f t="shared" ref="H39:J40" si="2">H38*(1+$F$14)</f>
        <v>1.03</v>
      </c>
      <c r="I39" s="9">
        <f t="shared" si="2"/>
        <v>1.0609</v>
      </c>
      <c r="J39" s="9">
        <f t="shared" si="2"/>
        <v>1.092727</v>
      </c>
      <c r="K39" s="145" t="s">
        <v>130</v>
      </c>
      <c r="L39" s="70">
        <v>2022</v>
      </c>
      <c r="M39" s="9">
        <f t="shared" ref="M39:M40" si="3">C39*H39</f>
        <v>1.0506</v>
      </c>
      <c r="N39" s="9">
        <f t="shared" si="0"/>
        <v>1.0821179999999999</v>
      </c>
      <c r="O39" s="9">
        <f t="shared" si="0"/>
        <v>1.1145815400000001</v>
      </c>
    </row>
    <row r="40" spans="1:15" x14ac:dyDescent="0.2">
      <c r="B40" s="70">
        <f>$C$9</f>
        <v>2023</v>
      </c>
      <c r="C40" s="147">
        <f t="shared" si="1"/>
        <v>1.0404</v>
      </c>
      <c r="D40" s="147">
        <f t="shared" si="1"/>
        <v>1.0404</v>
      </c>
      <c r="E40" s="147">
        <f t="shared" si="1"/>
        <v>1.0404</v>
      </c>
      <c r="G40" s="70">
        <f>$C$9</f>
        <v>2023</v>
      </c>
      <c r="H40" s="9">
        <f t="shared" si="2"/>
        <v>1.0609</v>
      </c>
      <c r="I40" s="9">
        <f t="shared" si="2"/>
        <v>1.092727</v>
      </c>
      <c r="J40" s="9">
        <f t="shared" si="2"/>
        <v>1.1255088100000001</v>
      </c>
      <c r="L40" s="70">
        <v>2023</v>
      </c>
      <c r="M40" s="9">
        <f t="shared" si="3"/>
        <v>1.1037603599999999</v>
      </c>
      <c r="N40" s="9">
        <f t="shared" si="0"/>
        <v>1.1368731707999999</v>
      </c>
      <c r="O40" s="9">
        <f t="shared" si="0"/>
        <v>1.1709793659240002</v>
      </c>
    </row>
    <row r="41" spans="1:15" x14ac:dyDescent="0.2">
      <c r="C41" s="75"/>
      <c r="D41" s="75"/>
      <c r="E41" s="75"/>
      <c r="M41" s="71"/>
      <c r="N41" s="71"/>
      <c r="O41" s="71"/>
    </row>
    <row r="42" spans="1:15" x14ac:dyDescent="0.2">
      <c r="M42" s="71"/>
      <c r="N42" s="71"/>
      <c r="O42" s="71"/>
    </row>
    <row r="43" spans="1:15" x14ac:dyDescent="0.2">
      <c r="A43" s="66" t="s">
        <v>77</v>
      </c>
      <c r="B43" s="7" t="s">
        <v>87</v>
      </c>
      <c r="M43" s="71"/>
      <c r="N43" s="71"/>
      <c r="O43" s="71"/>
    </row>
    <row r="49" spans="1:10" x14ac:dyDescent="0.2">
      <c r="B49" s="167" t="s">
        <v>117</v>
      </c>
      <c r="C49" s="167"/>
      <c r="D49" s="167"/>
      <c r="E49" s="167"/>
    </row>
    <row r="50" spans="1:10" x14ac:dyDescent="0.2">
      <c r="A50" s="3"/>
      <c r="B50" s="68" t="s">
        <v>6</v>
      </c>
      <c r="C50" s="69">
        <v>12</v>
      </c>
      <c r="D50" s="69">
        <v>24</v>
      </c>
      <c r="E50" s="69">
        <v>36</v>
      </c>
    </row>
    <row r="51" spans="1:10" x14ac:dyDescent="0.2">
      <c r="B51" s="70">
        <f>$C$7</f>
        <v>2021</v>
      </c>
      <c r="C51" s="72">
        <f>C$53*M38/M$40</f>
        <v>68855.52584983212</v>
      </c>
      <c r="D51" s="72">
        <f>D$53*N38/N$40</f>
        <v>122309.15775957021</v>
      </c>
      <c r="E51" s="72">
        <f>E$53*O38/O$40</f>
        <v>147676.98307266619</v>
      </c>
    </row>
    <row r="52" spans="1:10" x14ac:dyDescent="0.2">
      <c r="B52" s="70">
        <f>$C$8</f>
        <v>2022</v>
      </c>
      <c r="C52" s="72">
        <f t="shared" ref="C52" si="4">C$53*M39/M$40</f>
        <v>72339.615457833614</v>
      </c>
      <c r="D52" s="72">
        <f>D$53*N39/N$40</f>
        <v>128498.00114220445</v>
      </c>
      <c r="E52" s="72">
        <f>E$53*O39/O$40</f>
        <v>155149.43841614312</v>
      </c>
    </row>
    <row r="53" spans="1:10" x14ac:dyDescent="0.2">
      <c r="B53" s="73">
        <f>$C$9</f>
        <v>2023</v>
      </c>
      <c r="C53" s="74">
        <f>E21</f>
        <v>76000</v>
      </c>
      <c r="D53" s="74">
        <f>F21</f>
        <v>135000</v>
      </c>
      <c r="E53" s="74">
        <f>G21</f>
        <v>163000</v>
      </c>
      <c r="F53" s="51" t="s">
        <v>7</v>
      </c>
    </row>
    <row r="56" spans="1:10" x14ac:dyDescent="0.2">
      <c r="A56" s="66" t="s">
        <v>78</v>
      </c>
      <c r="B56" s="164" t="s">
        <v>89</v>
      </c>
      <c r="C56" s="164"/>
      <c r="D56" s="164"/>
      <c r="E56" s="164"/>
      <c r="F56" s="164"/>
      <c r="G56" s="164"/>
      <c r="H56" s="164"/>
      <c r="I56" s="164"/>
    </row>
    <row r="57" spans="1:10" x14ac:dyDescent="0.2">
      <c r="A57" s="66"/>
      <c r="B57" s="164"/>
      <c r="C57" s="164"/>
      <c r="D57" s="164"/>
      <c r="E57" s="164"/>
      <c r="F57" s="164"/>
      <c r="G57" s="164"/>
      <c r="H57" s="164"/>
      <c r="I57" s="164"/>
    </row>
    <row r="58" spans="1:10" x14ac:dyDescent="0.2">
      <c r="A58" s="66"/>
      <c r="B58" s="7"/>
    </row>
    <row r="59" spans="1:10" x14ac:dyDescent="0.2">
      <c r="A59" s="66"/>
      <c r="B59" s="7"/>
    </row>
    <row r="60" spans="1:10" x14ac:dyDescent="0.2">
      <c r="A60" s="66"/>
      <c r="B60" s="7"/>
    </row>
    <row r="61" spans="1:10" x14ac:dyDescent="0.2">
      <c r="A61" s="66"/>
      <c r="B61" s="7"/>
    </row>
    <row r="62" spans="1:10" ht="19" x14ac:dyDescent="0.25">
      <c r="A62" s="2"/>
      <c r="C62" s="146" t="s">
        <v>131</v>
      </c>
      <c r="D62" s="65">
        <v>1000000</v>
      </c>
    </row>
    <row r="63" spans="1:10" ht="16" customHeight="1" x14ac:dyDescent="0.25">
      <c r="A63" s="2"/>
    </row>
    <row r="64" spans="1:10" x14ac:dyDescent="0.2">
      <c r="B64" s="167" t="s">
        <v>121</v>
      </c>
      <c r="C64" s="167"/>
      <c r="D64" s="167"/>
      <c r="E64" s="167"/>
      <c r="G64" s="167" t="s">
        <v>122</v>
      </c>
      <c r="H64" s="167"/>
      <c r="I64" s="167"/>
      <c r="J64" s="167"/>
    </row>
    <row r="65" spans="1:10" x14ac:dyDescent="0.2">
      <c r="B65" s="68" t="s">
        <v>6</v>
      </c>
      <c r="C65" s="69">
        <v>12</v>
      </c>
      <c r="D65" s="69">
        <v>24</v>
      </c>
      <c r="E65" s="69">
        <v>36</v>
      </c>
      <c r="G65" s="68" t="s">
        <v>6</v>
      </c>
      <c r="H65" s="69">
        <v>12</v>
      </c>
      <c r="I65" s="69">
        <v>24</v>
      </c>
      <c r="J65" s="69">
        <v>36</v>
      </c>
    </row>
    <row r="66" spans="1:10" x14ac:dyDescent="0.2">
      <c r="B66" s="70">
        <f>$C$7</f>
        <v>2021</v>
      </c>
      <c r="C66" s="134">
        <f>C51*(1-EXP(-$D$62/C51))</f>
        <v>68855.491917836</v>
      </c>
      <c r="D66" s="134">
        <f>D51*(1-EXP(-$D$62/D51))</f>
        <v>122274.74922843745</v>
      </c>
      <c r="E66" s="134">
        <f>E51*(1-EXP(-$D$62/E51))</f>
        <v>147507.75511468912</v>
      </c>
      <c r="G66" s="70">
        <f>$C$7</f>
        <v>2021</v>
      </c>
      <c r="H66" s="10">
        <f t="shared" ref="H66:H67" si="5">C51*(1-EXP(-$F$12/C51))</f>
        <v>68807.189471854756</v>
      </c>
      <c r="I66" s="10">
        <f t="shared" ref="I66:I67" si="6">D51*(1-EXP(-$F$12/D51))</f>
        <v>120257.70011618768</v>
      </c>
      <c r="J66" s="10">
        <f t="shared" ref="J66:J67" si="7">E51*(1-EXP(-$F$12/E51))</f>
        <v>142677.87572378866</v>
      </c>
    </row>
    <row r="67" spans="1:10" x14ac:dyDescent="0.2">
      <c r="A67" s="3"/>
      <c r="B67" s="70">
        <f>$C$8</f>
        <v>2022</v>
      </c>
      <c r="C67" s="134">
        <f>C52*(1-EXP(-$D$62/C52))</f>
        <v>72339.543707087156</v>
      </c>
      <c r="D67" s="134">
        <f>D52*(1-EXP(-$D$62/D52))</f>
        <v>128444.4066446275</v>
      </c>
      <c r="E67" s="10">
        <f t="shared" ref="E67:E68" si="8">E52*(1-EXP(-$D$62/E52))</f>
        <v>154903.09038982858</v>
      </c>
      <c r="G67" s="70">
        <f>$C$8</f>
        <v>2022</v>
      </c>
      <c r="H67" s="10">
        <f t="shared" si="5"/>
        <v>72267.570878526007</v>
      </c>
      <c r="I67" s="10">
        <f t="shared" si="6"/>
        <v>125873.73251821447</v>
      </c>
      <c r="J67" s="10">
        <f t="shared" si="7"/>
        <v>148967.14451034841</v>
      </c>
    </row>
    <row r="68" spans="1:10" x14ac:dyDescent="0.2">
      <c r="B68" s="70">
        <f>$C$9</f>
        <v>2023</v>
      </c>
      <c r="C68" s="134">
        <f>C53*(1-EXP(-$D$62/C53))</f>
        <v>75999.853305944707</v>
      </c>
      <c r="D68" s="10">
        <f>D53*(1-EXP(-$D$62/D53))</f>
        <v>134918.08987168907</v>
      </c>
      <c r="E68" s="10">
        <f t="shared" si="8"/>
        <v>162646.97596069262</v>
      </c>
      <c r="G68" s="70">
        <f>$C$9</f>
        <v>2023</v>
      </c>
      <c r="H68" s="134">
        <f t="shared" ref="H68:J68" si="9">C53*(1-EXP(-$F$12/C53))</f>
        <v>75894.412367192621</v>
      </c>
      <c r="I68" s="134">
        <f t="shared" si="9"/>
        <v>131674.662825821</v>
      </c>
      <c r="J68" s="134">
        <f t="shared" si="9"/>
        <v>155414.29512786688</v>
      </c>
    </row>
    <row r="71" spans="1:10" x14ac:dyDescent="0.2">
      <c r="A71" s="66" t="s">
        <v>79</v>
      </c>
      <c r="B71" s="7" t="s">
        <v>90</v>
      </c>
    </row>
    <row r="72" spans="1:10" x14ac:dyDescent="0.2">
      <c r="A72" s="66"/>
      <c r="B72" s="7"/>
    </row>
    <row r="73" spans="1:10" x14ac:dyDescent="0.2">
      <c r="A73" s="66"/>
      <c r="B73" s="7"/>
    </row>
    <row r="74" spans="1:10" x14ac:dyDescent="0.2">
      <c r="A74" s="51" t="s">
        <v>8</v>
      </c>
    </row>
    <row r="77" spans="1:10" x14ac:dyDescent="0.2">
      <c r="B77" s="167" t="s">
        <v>123</v>
      </c>
      <c r="C77" s="167"/>
      <c r="D77" s="167"/>
      <c r="E77" s="167"/>
    </row>
    <row r="78" spans="1:10" x14ac:dyDescent="0.2">
      <c r="B78" s="68" t="s">
        <v>6</v>
      </c>
      <c r="C78" s="69">
        <v>12</v>
      </c>
      <c r="D78" s="69">
        <v>24</v>
      </c>
      <c r="E78" s="69">
        <v>36</v>
      </c>
    </row>
    <row r="79" spans="1:10" x14ac:dyDescent="0.2">
      <c r="B79" s="70">
        <f>$C$7</f>
        <v>2021</v>
      </c>
      <c r="C79" s="10">
        <f>D7*H$68/C66</f>
        <v>1421.8733934906061</v>
      </c>
      <c r="D79" s="10">
        <f>E7*I$68/D66</f>
        <v>2385.2788903644077</v>
      </c>
      <c r="E79" s="10">
        <f>F7*J$68/E66</f>
        <v>3408.3987268855331</v>
      </c>
    </row>
    <row r="80" spans="1:10" x14ac:dyDescent="0.2">
      <c r="B80" s="70">
        <f>$C$8</f>
        <v>2022</v>
      </c>
      <c r="C80" s="10">
        <f>D8*H$68/C67</f>
        <v>1489.7808313222083</v>
      </c>
      <c r="D80" s="10">
        <f>E8*I$68/D67</f>
        <v>2250.2021882691788</v>
      </c>
      <c r="E80" s="10"/>
    </row>
    <row r="81" spans="1:9" x14ac:dyDescent="0.2">
      <c r="B81" s="70">
        <f>$C$9</f>
        <v>2023</v>
      </c>
      <c r="C81" s="10">
        <f>D9*H$68/C68</f>
        <v>1133.4253197831599</v>
      </c>
      <c r="D81" s="10"/>
      <c r="E81" s="10"/>
    </row>
    <row r="82" spans="1:9" x14ac:dyDescent="0.2">
      <c r="B82" s="75"/>
      <c r="C82" s="10"/>
      <c r="D82" s="10"/>
      <c r="E82" s="10"/>
    </row>
    <row r="83" spans="1:9" x14ac:dyDescent="0.2">
      <c r="A83" s="66" t="s">
        <v>80</v>
      </c>
      <c r="B83" s="165" t="s">
        <v>91</v>
      </c>
      <c r="C83" s="165"/>
      <c r="D83" s="165"/>
      <c r="E83" s="165"/>
      <c r="F83" s="165"/>
      <c r="G83" s="165"/>
      <c r="H83" s="165"/>
      <c r="I83" s="165"/>
    </row>
    <row r="84" spans="1:9" x14ac:dyDescent="0.2">
      <c r="B84" s="165"/>
      <c r="C84" s="165"/>
      <c r="D84" s="165"/>
      <c r="E84" s="165"/>
      <c r="F84" s="165"/>
      <c r="G84" s="165"/>
      <c r="H84" s="165"/>
      <c r="I84" s="165"/>
    </row>
    <row r="85" spans="1:9" x14ac:dyDescent="0.2">
      <c r="B85" s="76"/>
      <c r="C85" s="76"/>
      <c r="D85" s="76"/>
      <c r="E85" s="77"/>
    </row>
    <row r="86" spans="1:9" x14ac:dyDescent="0.2">
      <c r="B86" s="129"/>
      <c r="C86" s="131" t="s">
        <v>128</v>
      </c>
      <c r="D86" s="132" t="s">
        <v>127</v>
      </c>
      <c r="E86" s="77"/>
    </row>
    <row r="87" spans="1:9" x14ac:dyDescent="0.2">
      <c r="B87" s="130" t="s">
        <v>9</v>
      </c>
      <c r="C87" s="133">
        <f>SUM(D79:D80)/SUM(C79:C80)</f>
        <v>1.592043807650819</v>
      </c>
      <c r="D87" s="133">
        <f>E79/D79</f>
        <v>1.4289309064252942</v>
      </c>
      <c r="E87" s="77"/>
    </row>
    <row r="88" spans="1:9" x14ac:dyDescent="0.2">
      <c r="B88" s="76"/>
      <c r="C88" s="76"/>
      <c r="D88" s="76"/>
      <c r="E88" s="77"/>
    </row>
    <row r="89" spans="1:9" ht="19" x14ac:dyDescent="0.25">
      <c r="A89" s="2" t="s">
        <v>10</v>
      </c>
      <c r="B89" s="76"/>
      <c r="C89" s="76"/>
      <c r="D89" s="76"/>
      <c r="E89" s="135"/>
    </row>
    <row r="90" spans="1:9" x14ac:dyDescent="0.2">
      <c r="B90" s="168" t="s">
        <v>11</v>
      </c>
      <c r="C90" s="168"/>
      <c r="D90" s="168"/>
      <c r="E90" s="168"/>
      <c r="F90" s="168"/>
      <c r="G90" s="168"/>
      <c r="H90" s="168"/>
      <c r="I90" s="168"/>
    </row>
    <row r="91" spans="1:9" x14ac:dyDescent="0.2">
      <c r="B91" s="168"/>
      <c r="C91" s="168"/>
      <c r="D91" s="168"/>
      <c r="E91" s="168"/>
      <c r="F91" s="168"/>
      <c r="G91" s="168"/>
      <c r="H91" s="168"/>
      <c r="I91" s="168"/>
    </row>
    <row r="92" spans="1:9" x14ac:dyDescent="0.2">
      <c r="B92" s="76"/>
      <c r="C92" s="76"/>
      <c r="D92" s="76"/>
      <c r="E92" s="136"/>
    </row>
    <row r="93" spans="1:9" x14ac:dyDescent="0.2">
      <c r="B93" s="137"/>
      <c r="C93" s="138" t="s">
        <v>20</v>
      </c>
      <c r="D93" s="139" t="s">
        <v>21</v>
      </c>
      <c r="E93" s="140" t="s">
        <v>26</v>
      </c>
    </row>
    <row r="94" spans="1:9" x14ac:dyDescent="0.2">
      <c r="B94" s="78" t="s">
        <v>12</v>
      </c>
      <c r="C94" s="71">
        <f>C87*D94</f>
        <v>2.2749206011352614</v>
      </c>
      <c r="D94" s="71">
        <f>D87*E94</f>
        <v>1.4289309064252942</v>
      </c>
      <c r="E94" s="141">
        <v>1</v>
      </c>
    </row>
    <row r="95" spans="1:9" x14ac:dyDescent="0.2">
      <c r="B95" s="75"/>
      <c r="C95" s="10"/>
      <c r="D95" s="10"/>
      <c r="E95" s="10"/>
    </row>
    <row r="96" spans="1:9" x14ac:dyDescent="0.2">
      <c r="B96" s="67" t="s">
        <v>13</v>
      </c>
      <c r="C96" s="67"/>
      <c r="D96" s="67"/>
      <c r="E96" s="67"/>
    </row>
    <row r="97" spans="2:15" x14ac:dyDescent="0.2">
      <c r="B97" s="68" t="s">
        <v>6</v>
      </c>
      <c r="C97" s="69">
        <v>12</v>
      </c>
      <c r="D97" s="69">
        <v>24</v>
      </c>
      <c r="E97" s="69">
        <v>36</v>
      </c>
    </row>
    <row r="98" spans="2:15" x14ac:dyDescent="0.2">
      <c r="B98" s="70">
        <f>$C$7</f>
        <v>2021</v>
      </c>
      <c r="C98" s="10">
        <f t="shared" ref="C98:E100" si="10">C51*(1-EXP(-$F$13/C51))</f>
        <v>68854.245166502806</v>
      </c>
      <c r="D98" s="10">
        <f t="shared" si="10"/>
        <v>122043.47440632827</v>
      </c>
      <c r="E98" s="10">
        <f t="shared" si="10"/>
        <v>146757.20661702129</v>
      </c>
    </row>
    <row r="99" spans="2:15" x14ac:dyDescent="0.2">
      <c r="B99" s="70">
        <f>$C$8</f>
        <v>2022</v>
      </c>
      <c r="C99" s="10">
        <f t="shared" si="10"/>
        <v>72337.341858848842</v>
      </c>
      <c r="D99" s="10">
        <f t="shared" si="10"/>
        <v>128122.97266540609</v>
      </c>
      <c r="E99" s="10">
        <f t="shared" si="10"/>
        <v>153915.34121503256</v>
      </c>
    </row>
    <row r="100" spans="2:15" x14ac:dyDescent="0.2">
      <c r="B100" s="70">
        <f>$C$9</f>
        <v>2023</v>
      </c>
      <c r="C100" s="10">
        <f t="shared" si="10"/>
        <v>75996.064383397141</v>
      </c>
      <c r="D100" s="10">
        <f t="shared" si="10"/>
        <v>134478.10078117118</v>
      </c>
      <c r="E100" s="10">
        <f t="shared" si="10"/>
        <v>161363.55990792386</v>
      </c>
    </row>
    <row r="101" spans="2:15" x14ac:dyDescent="0.2">
      <c r="B101" s="75"/>
      <c r="C101" s="10"/>
      <c r="D101" s="10"/>
      <c r="E101" s="10"/>
    </row>
    <row r="102" spans="2:15" x14ac:dyDescent="0.2">
      <c r="B102" s="7" t="s">
        <v>14</v>
      </c>
      <c r="C102" s="10"/>
      <c r="D102" s="10"/>
      <c r="E102" s="10"/>
    </row>
    <row r="103" spans="2:15" x14ac:dyDescent="0.2">
      <c r="B103" s="75"/>
      <c r="C103" s="10"/>
      <c r="D103" s="10"/>
      <c r="E103" s="10"/>
    </row>
    <row r="104" spans="2:15" x14ac:dyDescent="0.2">
      <c r="B104" s="67" t="s">
        <v>15</v>
      </c>
      <c r="C104" s="67"/>
      <c r="D104" s="67"/>
      <c r="E104" s="67"/>
      <c r="G104" s="67" t="s">
        <v>16</v>
      </c>
      <c r="H104" s="67"/>
      <c r="I104" s="67"/>
      <c r="J104" s="67"/>
      <c r="L104" s="67" t="s">
        <v>17</v>
      </c>
      <c r="M104" s="67"/>
      <c r="N104" s="67"/>
      <c r="O104" s="67"/>
    </row>
    <row r="105" spans="2:15" x14ac:dyDescent="0.2">
      <c r="B105" s="68" t="s">
        <v>6</v>
      </c>
      <c r="C105" s="69">
        <v>12</v>
      </c>
      <c r="D105" s="69">
        <v>24</v>
      </c>
      <c r="E105" s="69">
        <v>36</v>
      </c>
      <c r="G105" s="68" t="s">
        <v>6</v>
      </c>
      <c r="H105" s="69">
        <v>12</v>
      </c>
      <c r="I105" s="69">
        <v>24</v>
      </c>
      <c r="J105" s="69">
        <v>36</v>
      </c>
      <c r="L105" s="68" t="s">
        <v>6</v>
      </c>
      <c r="M105" s="69">
        <v>12</v>
      </c>
      <c r="N105" s="69">
        <v>24</v>
      </c>
      <c r="O105" s="69">
        <v>36</v>
      </c>
    </row>
    <row r="106" spans="2:15" x14ac:dyDescent="0.2">
      <c r="B106" s="70">
        <f>$C$7</f>
        <v>2021</v>
      </c>
      <c r="C106" s="9">
        <f>C$94*($E98/$J$68)/(C98/H$68)</f>
        <v>2.3678478815595176</v>
      </c>
      <c r="D106" s="9">
        <f>D$94*($E98/$J$68)/(D98/I$68)</f>
        <v>1.4558189075068311</v>
      </c>
      <c r="E106" s="142">
        <f>E$94*($E98/$J$68)/(E98/J$68)</f>
        <v>1</v>
      </c>
      <c r="G106" s="70">
        <f>$C$7</f>
        <v>2021</v>
      </c>
      <c r="H106" s="9">
        <f>C$94*($E66/$J$68)/(C66/H$68)</f>
        <v>2.3799144808648403</v>
      </c>
      <c r="I106" s="9">
        <f>D$94*($E66/$J$68)/(D66/I$68)</f>
        <v>1.4604966139954856</v>
      </c>
      <c r="J106" s="142">
        <f>E$94*($E66/$J$68)/(E66/J$68)</f>
        <v>1</v>
      </c>
      <c r="L106" s="79">
        <v>2014</v>
      </c>
      <c r="M106" s="9">
        <f>C$94*($J66/$J$68)/(H66/H$68)</f>
        <v>2.3036043982899272</v>
      </c>
      <c r="N106" s="9">
        <f>D$94*($J66/$J$68)/(I66/I$68)</f>
        <v>1.4363696578066325</v>
      </c>
      <c r="O106" s="142">
        <f>E$94*($J66/$J$68)/(J66/J$68)</f>
        <v>1</v>
      </c>
    </row>
    <row r="107" spans="2:15" x14ac:dyDescent="0.2">
      <c r="B107" s="70">
        <f>$C$8</f>
        <v>2022</v>
      </c>
      <c r="C107" s="9">
        <f>C$94*($E99/$J$68)/(C99/H$68)</f>
        <v>2.3637658105787871</v>
      </c>
      <c r="D107" s="142">
        <f>D$94*($E99/$J$68)/(D99/I$68)</f>
        <v>1.4543782951720177</v>
      </c>
      <c r="E107" s="9"/>
      <c r="G107" s="70">
        <f>$C$8</f>
        <v>2022</v>
      </c>
      <c r="H107" s="9">
        <f>C$94*($E67/$J$68)/(C67/H$68)</f>
        <v>2.3788628295714256</v>
      </c>
      <c r="I107" s="142">
        <f>D$94*($E67/$J$68)/(D67/I$68)</f>
        <v>1.4600487842593393</v>
      </c>
      <c r="J107" s="9"/>
      <c r="L107" s="79">
        <v>2015</v>
      </c>
      <c r="M107" s="9">
        <f>C$94*($J67/$J$68)/(H67/H$68)</f>
        <v>2.2899822663975193</v>
      </c>
      <c r="N107" s="142">
        <f>D$94*($J67/$J$68)/(I67/I$68)</f>
        <v>1.4327745682485313</v>
      </c>
      <c r="O107" s="9"/>
    </row>
    <row r="108" spans="2:15" x14ac:dyDescent="0.2">
      <c r="B108" s="70">
        <f>$C$9</f>
        <v>2023</v>
      </c>
      <c r="C108" s="142">
        <f>C$94*($E100/$J$68)/(C100/H$68)</f>
        <v>2.3588452356903038</v>
      </c>
      <c r="D108" s="9"/>
      <c r="E108" s="9"/>
      <c r="G108" s="70">
        <f>$C$9</f>
        <v>2023</v>
      </c>
      <c r="H108" s="142">
        <f>C$94*($E68/$J$68)/(C68/H$68)</f>
        <v>2.377487937764132</v>
      </c>
      <c r="I108" s="9"/>
      <c r="J108" s="9"/>
      <c r="L108" s="79">
        <v>2016</v>
      </c>
      <c r="M108" s="142">
        <f>C$94*($J68/$J$68)/(H68/H$68)</f>
        <v>2.2749206011352614</v>
      </c>
      <c r="N108" s="9"/>
      <c r="O108" s="9"/>
    </row>
    <row r="109" spans="2:15" x14ac:dyDescent="0.2">
      <c r="B109" s="75"/>
      <c r="C109" s="10"/>
      <c r="D109" s="10"/>
      <c r="E109" s="10"/>
    </row>
    <row r="110" spans="2:15" x14ac:dyDescent="0.2">
      <c r="B110" s="75"/>
      <c r="C110" s="10"/>
      <c r="D110" s="10"/>
      <c r="E110" s="10"/>
    </row>
    <row r="111" spans="2:15" x14ac:dyDescent="0.2">
      <c r="B111" s="67" t="s">
        <v>18</v>
      </c>
      <c r="C111" s="67"/>
      <c r="D111" s="67"/>
      <c r="E111" s="67"/>
    </row>
    <row r="112" spans="2:15" x14ac:dyDescent="0.2">
      <c r="B112" s="68" t="s">
        <v>6</v>
      </c>
      <c r="C112" s="69">
        <v>12</v>
      </c>
      <c r="D112" s="69">
        <v>24</v>
      </c>
      <c r="E112" s="69">
        <v>36</v>
      </c>
    </row>
    <row r="113" spans="2:13" x14ac:dyDescent="0.2">
      <c r="B113" s="70">
        <f>$C$7</f>
        <v>2021</v>
      </c>
      <c r="C113" s="9">
        <f>C$94*(($E98-$J66)/$J$68)/((C98-H66)/H$68)</f>
        <v>96.3078812553061</v>
      </c>
      <c r="D113" s="9">
        <f>D$94*(($E98-$J66)/$J$68)/((D98-I66)/I$68)</f>
        <v>2.7655712378235462</v>
      </c>
      <c r="E113" s="142">
        <f>E$94*(($E98-$J66)/$J$68)/((E98-J66)/J$68)</f>
        <v>1</v>
      </c>
    </row>
    <row r="114" spans="2:13" x14ac:dyDescent="0.2">
      <c r="B114" s="70">
        <f>$C$8</f>
        <v>2022</v>
      </c>
      <c r="C114" s="9">
        <f>C$94*(($E99-$J67)/$J$68)/((C99-H67)/H$68)</f>
        <v>78.787480714918161</v>
      </c>
      <c r="D114" s="142">
        <f>D$94*(($E99-$J67)/$J$68)/((D99-I67)/I$68)</f>
        <v>2.6633829217161451</v>
      </c>
      <c r="E114" s="9"/>
    </row>
    <row r="115" spans="2:13" x14ac:dyDescent="0.2">
      <c r="B115" s="70">
        <f>$C$9</f>
        <v>2023</v>
      </c>
      <c r="C115" s="142">
        <f>C$94*(($E100-$J68)/$J$68)/((C100-H68)/H$68)</f>
        <v>65.017817093870903</v>
      </c>
      <c r="D115" s="9"/>
      <c r="E115" s="9"/>
    </row>
    <row r="116" spans="2:13" x14ac:dyDescent="0.2">
      <c r="B116" s="75"/>
      <c r="C116" s="10"/>
      <c r="D116" s="10"/>
      <c r="E116" s="10"/>
    </row>
    <row r="117" spans="2:13" x14ac:dyDescent="0.2">
      <c r="B117" s="75"/>
      <c r="C117" s="10"/>
      <c r="D117" s="10"/>
      <c r="E117" s="10"/>
    </row>
    <row r="118" spans="2:13" x14ac:dyDescent="0.2">
      <c r="B118" s="67" t="s">
        <v>19</v>
      </c>
      <c r="C118" s="67"/>
      <c r="D118" s="67"/>
      <c r="E118" s="67"/>
    </row>
    <row r="119" spans="2:13" x14ac:dyDescent="0.2">
      <c r="B119" s="68" t="s">
        <v>6</v>
      </c>
      <c r="C119" s="69">
        <v>12</v>
      </c>
      <c r="D119" s="69">
        <v>24</v>
      </c>
      <c r="E119" s="69">
        <v>36</v>
      </c>
    </row>
    <row r="120" spans="2:13" x14ac:dyDescent="0.2">
      <c r="B120" s="70">
        <f>$C$7</f>
        <v>2021</v>
      </c>
      <c r="C120" s="9">
        <f>C$94*(($E51-$E98)/$J$68)/((C51-C98)/H$68)</f>
        <v>797.85802062584196</v>
      </c>
      <c r="D120" s="9">
        <f>D$94*(($E51-$E98)/$J$68)/((D51-D98)/I$68)</f>
        <v>4.1912196928903311</v>
      </c>
      <c r="E120" s="142">
        <f>E$94*(($E51-$E98)/$J$68)/((E51-E98)/J$68)</f>
        <v>1</v>
      </c>
    </row>
    <row r="121" spans="2:13" x14ac:dyDescent="0.2">
      <c r="B121" s="70">
        <f>$C$8</f>
        <v>2022</v>
      </c>
      <c r="C121" s="9">
        <f>C$94*(($E52-$E99)/$J$68)/((C52-C99)/H$68)</f>
        <v>603.00454273587241</v>
      </c>
      <c r="D121" s="142">
        <f>D$94*(($E52-$E99)/$J$68)/((D52-D99)/I$68)</f>
        <v>3.9838924259181492</v>
      </c>
      <c r="E121" s="9"/>
    </row>
    <row r="122" spans="2:13" x14ac:dyDescent="0.2">
      <c r="B122" s="70">
        <f>$C$9</f>
        <v>2023</v>
      </c>
      <c r="C122" s="142">
        <f>C$94*(($E53-$E100)/$J$68)/((C53-C100)/H$68)</f>
        <v>461.92600267382716</v>
      </c>
      <c r="D122" s="9"/>
      <c r="E122" s="9"/>
    </row>
    <row r="124" spans="2:13" ht="15.75" customHeight="1" x14ac:dyDescent="0.2">
      <c r="B124" s="166" t="s">
        <v>92</v>
      </c>
      <c r="C124" s="166"/>
      <c r="D124" s="166"/>
      <c r="E124" s="166"/>
      <c r="F124" s="166"/>
      <c r="G124" s="166"/>
      <c r="H124" s="166"/>
      <c r="I124" s="166"/>
    </row>
    <row r="125" spans="2:13" x14ac:dyDescent="0.2">
      <c r="B125" s="166"/>
      <c r="C125" s="166"/>
      <c r="D125" s="166"/>
      <c r="E125" s="166"/>
      <c r="F125" s="166"/>
      <c r="G125" s="166"/>
      <c r="H125" s="166"/>
      <c r="I125" s="166"/>
    </row>
    <row r="126" spans="2:13" x14ac:dyDescent="0.2">
      <c r="B126" s="166"/>
      <c r="C126" s="166"/>
      <c r="D126" s="166"/>
      <c r="E126" s="166"/>
      <c r="F126" s="166"/>
      <c r="G126" s="166"/>
      <c r="H126" s="166"/>
      <c r="I126" s="166"/>
    </row>
    <row r="127" spans="2:13" x14ac:dyDescent="0.2">
      <c r="B127" s="117"/>
      <c r="C127" s="117"/>
      <c r="D127" s="117"/>
      <c r="E127" s="117"/>
      <c r="F127" s="117"/>
      <c r="G127" s="117"/>
      <c r="H127" s="117"/>
      <c r="I127" s="117"/>
      <c r="M127" s="71"/>
    </row>
    <row r="128" spans="2:13" x14ac:dyDescent="0.2">
      <c r="B128" s="166" t="s">
        <v>93</v>
      </c>
      <c r="C128" s="166"/>
      <c r="D128" s="166"/>
      <c r="E128" s="166"/>
      <c r="F128" s="166"/>
      <c r="G128" s="166"/>
      <c r="H128" s="166"/>
      <c r="I128" s="166"/>
    </row>
    <row r="129" spans="1:65" x14ac:dyDescent="0.2">
      <c r="B129" s="166"/>
      <c r="C129" s="166"/>
      <c r="D129" s="166"/>
      <c r="E129" s="166"/>
      <c r="F129" s="166"/>
      <c r="G129" s="166"/>
      <c r="H129" s="166"/>
      <c r="I129" s="166"/>
    </row>
    <row r="130" spans="1:65" x14ac:dyDescent="0.2">
      <c r="B130" s="166"/>
      <c r="C130" s="166"/>
      <c r="D130" s="166"/>
      <c r="E130" s="166"/>
      <c r="F130" s="166"/>
      <c r="G130" s="166"/>
      <c r="H130" s="166"/>
      <c r="I130" s="166"/>
    </row>
    <row r="131" spans="1:65" x14ac:dyDescent="0.2">
      <c r="B131" s="166"/>
      <c r="C131" s="166"/>
      <c r="D131" s="166"/>
      <c r="E131" s="166"/>
      <c r="F131" s="166"/>
      <c r="G131" s="166"/>
      <c r="H131" s="166"/>
      <c r="I131" s="166"/>
    </row>
    <row r="133" spans="1:65" x14ac:dyDescent="0.2">
      <c r="B133" s="158" t="s">
        <v>142</v>
      </c>
    </row>
    <row r="134" spans="1:65" x14ac:dyDescent="0.2">
      <c r="B134" s="169" t="s">
        <v>141</v>
      </c>
      <c r="C134" s="169"/>
      <c r="D134" s="169"/>
      <c r="E134" s="169"/>
      <c r="F134" s="169"/>
      <c r="G134" s="169"/>
      <c r="H134" s="169"/>
      <c r="I134" s="169"/>
    </row>
    <row r="135" spans="1:65" x14ac:dyDescent="0.2">
      <c r="B135" s="169"/>
      <c r="C135" s="169"/>
      <c r="D135" s="169"/>
      <c r="E135" s="169"/>
      <c r="F135" s="169"/>
      <c r="G135" s="169"/>
      <c r="H135" s="169"/>
      <c r="I135" s="169"/>
    </row>
    <row r="137" spans="1:65" x14ac:dyDescent="0.2">
      <c r="B137" s="166" t="s">
        <v>94</v>
      </c>
      <c r="C137" s="166"/>
      <c r="D137" s="166"/>
      <c r="E137" s="166"/>
      <c r="F137" s="166"/>
      <c r="G137" s="166"/>
      <c r="H137" s="166"/>
      <c r="I137" s="166"/>
    </row>
    <row r="138" spans="1:65" x14ac:dyDescent="0.2">
      <c r="B138" s="166"/>
      <c r="C138" s="166"/>
      <c r="D138" s="166"/>
      <c r="E138" s="166"/>
      <c r="F138" s="166"/>
      <c r="G138" s="166"/>
      <c r="H138" s="166"/>
      <c r="I138" s="166"/>
    </row>
    <row r="139" spans="1:65" x14ac:dyDescent="0.2">
      <c r="B139" s="143"/>
      <c r="C139" s="143"/>
      <c r="D139" s="143"/>
      <c r="E139" s="143"/>
      <c r="F139" s="143"/>
      <c r="G139" s="143"/>
      <c r="H139" s="143"/>
      <c r="I139" s="143"/>
    </row>
    <row r="140" spans="1:65" ht="17" x14ac:dyDescent="0.2">
      <c r="B140" s="144" t="s">
        <v>144</v>
      </c>
      <c r="C140" s="143"/>
      <c r="D140" s="143"/>
      <c r="E140" s="143"/>
      <c r="F140" s="143"/>
      <c r="G140" s="143"/>
      <c r="H140" s="143"/>
      <c r="I140" s="143"/>
    </row>
    <row r="141" spans="1:65" x14ac:dyDescent="0.2">
      <c r="B141" s="159" t="s">
        <v>145</v>
      </c>
      <c r="C141" s="143"/>
      <c r="D141" s="143"/>
      <c r="E141" s="143"/>
      <c r="F141" s="143"/>
      <c r="G141" s="143"/>
      <c r="H141" s="143"/>
      <c r="I141" s="143"/>
    </row>
    <row r="143" spans="1:65" ht="19" x14ac:dyDescent="0.25">
      <c r="A143" s="2" t="s">
        <v>51</v>
      </c>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51" t="s">
        <v>52</v>
      </c>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ht="19" x14ac:dyDescent="0.25">
      <c r="A146" s="2" t="s">
        <v>53</v>
      </c>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51" t="s">
        <v>54</v>
      </c>
      <c r="D147" s="51" t="s">
        <v>56</v>
      </c>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51" t="s">
        <v>55</v>
      </c>
      <c r="D148" s="51" t="s">
        <v>57</v>
      </c>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sheetData>
  <mergeCells count="16">
    <mergeCell ref="L36:O36"/>
    <mergeCell ref="B128:I131"/>
    <mergeCell ref="B137:I138"/>
    <mergeCell ref="B49:E49"/>
    <mergeCell ref="B64:E64"/>
    <mergeCell ref="G64:J64"/>
    <mergeCell ref="B77:E77"/>
    <mergeCell ref="B134:I135"/>
    <mergeCell ref="C5:F5"/>
    <mergeCell ref="B29:I30"/>
    <mergeCell ref="B56:I57"/>
    <mergeCell ref="B83:I84"/>
    <mergeCell ref="B124:I126"/>
    <mergeCell ref="B36:E36"/>
    <mergeCell ref="G36:J36"/>
    <mergeCell ref="B90:I91"/>
  </mergeCells>
  <phoneticPr fontId="3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58"/>
  <sheetViews>
    <sheetView showGridLines="0" zoomScale="120" zoomScaleNormal="120" workbookViewId="0"/>
  </sheetViews>
  <sheetFormatPr baseColWidth="10" defaultColWidth="10.83203125" defaultRowHeight="16" x14ac:dyDescent="0.2"/>
  <cols>
    <col min="1" max="1" width="10.83203125" style="51"/>
    <col min="2" max="3" width="11.6640625" style="51" customWidth="1"/>
    <col min="4" max="16384" width="10.83203125" style="51"/>
  </cols>
  <sheetData>
    <row r="1" spans="1:10" ht="19" x14ac:dyDescent="0.25">
      <c r="A1" s="1" t="s">
        <v>74</v>
      </c>
      <c r="B1" s="49"/>
      <c r="C1" s="49"/>
      <c r="D1" s="49"/>
      <c r="E1" s="49"/>
      <c r="F1" s="49"/>
      <c r="G1" s="49"/>
      <c r="H1" s="49"/>
      <c r="I1" s="49"/>
      <c r="J1" s="50"/>
    </row>
    <row r="2" spans="1:10" x14ac:dyDescent="0.2">
      <c r="A2" s="5"/>
      <c r="B2" s="49"/>
      <c r="C2" s="49"/>
      <c r="D2" s="49"/>
      <c r="E2" s="49"/>
      <c r="F2" s="49"/>
      <c r="G2" s="49"/>
      <c r="H2" s="49"/>
      <c r="I2" s="49"/>
      <c r="J2" s="50"/>
    </row>
    <row r="3" spans="1:10" x14ac:dyDescent="0.2">
      <c r="A3" s="5"/>
      <c r="B3" s="114" t="s">
        <v>95</v>
      </c>
      <c r="C3" s="49"/>
      <c r="D3" s="49"/>
      <c r="E3" s="49"/>
      <c r="F3" s="49"/>
      <c r="G3" s="49"/>
      <c r="H3" s="49"/>
      <c r="I3" s="49"/>
      <c r="J3" s="50"/>
    </row>
    <row r="4" spans="1:10" x14ac:dyDescent="0.2">
      <c r="A4" s="5"/>
      <c r="B4" s="49"/>
      <c r="C4" s="49"/>
      <c r="D4" s="49"/>
      <c r="E4" s="49"/>
      <c r="F4" s="49"/>
      <c r="G4" s="49"/>
      <c r="H4" s="49"/>
      <c r="I4" s="49"/>
      <c r="J4" s="50"/>
    </row>
    <row r="5" spans="1:10" ht="34" x14ac:dyDescent="0.2">
      <c r="A5" s="5"/>
      <c r="B5" s="49"/>
      <c r="C5" s="34"/>
      <c r="D5" s="24" t="s">
        <v>36</v>
      </c>
      <c r="E5" s="45" t="s">
        <v>21</v>
      </c>
      <c r="F5" s="49"/>
      <c r="G5" s="49"/>
      <c r="H5" s="49"/>
      <c r="I5" s="49"/>
      <c r="J5" s="50"/>
    </row>
    <row r="6" spans="1:10" ht="17" x14ac:dyDescent="0.2">
      <c r="A6" s="5"/>
      <c r="B6" s="49"/>
      <c r="C6" s="34" t="s">
        <v>9</v>
      </c>
      <c r="D6" s="24">
        <v>1.5920000000000001</v>
      </c>
      <c r="E6" s="25">
        <v>1.4279999999999999</v>
      </c>
      <c r="F6" s="49"/>
      <c r="G6" s="49"/>
      <c r="H6" s="49"/>
      <c r="I6" s="49"/>
      <c r="J6" s="50"/>
    </row>
    <row r="7" spans="1:10" x14ac:dyDescent="0.2">
      <c r="A7" s="5"/>
      <c r="B7" s="49"/>
      <c r="C7" s="49"/>
      <c r="D7" s="49"/>
      <c r="E7" s="49"/>
      <c r="F7" s="49"/>
      <c r="G7" s="49"/>
      <c r="H7" s="49"/>
      <c r="I7" s="49"/>
      <c r="J7" s="50"/>
    </row>
    <row r="8" spans="1:10" x14ac:dyDescent="0.2">
      <c r="A8" s="5"/>
      <c r="B8" s="49"/>
      <c r="C8" s="110"/>
      <c r="D8" s="161" t="s">
        <v>22</v>
      </c>
      <c r="E8" s="162"/>
      <c r="F8" s="163"/>
      <c r="G8" s="49"/>
      <c r="H8" s="49"/>
      <c r="I8" s="49"/>
      <c r="J8" s="50"/>
    </row>
    <row r="9" spans="1:10" ht="17" x14ac:dyDescent="0.2">
      <c r="A9" s="5"/>
      <c r="B9" s="49"/>
      <c r="C9" s="33" t="s">
        <v>23</v>
      </c>
      <c r="D9" s="170" t="s">
        <v>2</v>
      </c>
      <c r="E9" s="170" t="s">
        <v>3</v>
      </c>
      <c r="F9" s="172" t="s">
        <v>4</v>
      </c>
      <c r="G9" s="49"/>
      <c r="H9" s="49"/>
      <c r="I9" s="49"/>
      <c r="J9" s="50"/>
    </row>
    <row r="10" spans="1:10" ht="17" x14ac:dyDescent="0.2">
      <c r="A10" s="5"/>
      <c r="B10" s="49"/>
      <c r="C10" s="32" t="s">
        <v>24</v>
      </c>
      <c r="D10" s="171"/>
      <c r="E10" s="171"/>
      <c r="F10" s="173"/>
      <c r="G10" s="49"/>
      <c r="H10" s="49"/>
      <c r="I10" s="49"/>
      <c r="J10" s="50"/>
    </row>
    <row r="11" spans="1:10" x14ac:dyDescent="0.2">
      <c r="A11" s="5"/>
      <c r="B11" s="49"/>
      <c r="C11" s="31">
        <v>2021</v>
      </c>
      <c r="D11" s="26">
        <v>1</v>
      </c>
      <c r="E11" s="26">
        <v>1.03</v>
      </c>
      <c r="F11" s="27">
        <v>1.0609999999999999</v>
      </c>
      <c r="G11" s="49"/>
      <c r="H11" s="49"/>
      <c r="I11" s="49"/>
      <c r="J11" s="50"/>
    </row>
    <row r="12" spans="1:10" x14ac:dyDescent="0.2">
      <c r="A12" s="5"/>
      <c r="B12" s="49"/>
      <c r="C12" s="33">
        <v>2022</v>
      </c>
      <c r="D12" s="12">
        <v>1.0509999999999999</v>
      </c>
      <c r="E12" s="12">
        <v>1.0820000000000001</v>
      </c>
      <c r="F12" s="28">
        <v>1.115</v>
      </c>
      <c r="G12" s="49"/>
      <c r="H12" s="49"/>
      <c r="I12" s="49"/>
      <c r="J12" s="50"/>
    </row>
    <row r="13" spans="1:10" x14ac:dyDescent="0.2">
      <c r="A13" s="5"/>
      <c r="B13" s="49"/>
      <c r="C13" s="32">
        <v>2023</v>
      </c>
      <c r="D13" s="29">
        <v>1.1040000000000001</v>
      </c>
      <c r="E13" s="29">
        <v>1.137</v>
      </c>
      <c r="F13" s="30">
        <v>1.171</v>
      </c>
      <c r="G13" s="49"/>
      <c r="H13" s="49"/>
      <c r="I13" s="49"/>
      <c r="J13" s="50"/>
    </row>
    <row r="14" spans="1:10" x14ac:dyDescent="0.2">
      <c r="A14" s="5"/>
      <c r="B14" s="49"/>
      <c r="C14" s="49"/>
      <c r="D14" s="49"/>
      <c r="E14" s="49"/>
      <c r="F14" s="49"/>
      <c r="G14" s="49"/>
      <c r="H14" s="49"/>
      <c r="I14" s="49"/>
      <c r="J14" s="50"/>
    </row>
    <row r="15" spans="1:10" x14ac:dyDescent="0.2">
      <c r="A15" s="5"/>
      <c r="B15" s="49" t="s">
        <v>25</v>
      </c>
      <c r="C15" s="49"/>
      <c r="D15" s="49"/>
      <c r="E15" s="49"/>
      <c r="F15" s="49"/>
      <c r="G15" s="49"/>
      <c r="H15" s="49"/>
      <c r="I15" s="49"/>
      <c r="J15" s="50"/>
    </row>
    <row r="16" spans="1:10" x14ac:dyDescent="0.2">
      <c r="A16" s="5"/>
      <c r="B16" s="49"/>
      <c r="C16" s="49"/>
      <c r="D16" s="49"/>
      <c r="E16" s="49"/>
      <c r="F16" s="49"/>
      <c r="G16" s="49"/>
      <c r="H16" s="49"/>
      <c r="I16" s="49"/>
      <c r="J16" s="50"/>
    </row>
    <row r="17" spans="1:15" x14ac:dyDescent="0.2">
      <c r="A17" s="5"/>
      <c r="B17" s="57"/>
      <c r="C17" s="54"/>
      <c r="D17" s="52" t="s">
        <v>2</v>
      </c>
      <c r="E17" s="53" t="s">
        <v>3</v>
      </c>
      <c r="F17" s="54" t="s">
        <v>4</v>
      </c>
      <c r="G17" s="49"/>
      <c r="H17" s="49"/>
      <c r="I17" s="49"/>
      <c r="J17" s="50"/>
    </row>
    <row r="18" spans="1:15" x14ac:dyDescent="0.2">
      <c r="A18" s="5"/>
      <c r="B18" s="57"/>
      <c r="C18" s="58" t="s">
        <v>5</v>
      </c>
      <c r="D18" s="111">
        <v>76000</v>
      </c>
      <c r="E18" s="59">
        <v>135000</v>
      </c>
      <c r="F18" s="60">
        <v>163000</v>
      </c>
      <c r="G18" s="49"/>
      <c r="H18" s="49"/>
      <c r="I18" s="49"/>
      <c r="J18" s="50"/>
    </row>
    <row r="19" spans="1:15" x14ac:dyDescent="0.2">
      <c r="A19" s="5"/>
      <c r="B19" s="49"/>
      <c r="C19" s="49"/>
      <c r="D19" s="49"/>
      <c r="E19" s="49"/>
      <c r="F19" s="49"/>
      <c r="G19" s="49"/>
      <c r="H19" s="49"/>
      <c r="I19" s="49"/>
      <c r="J19" s="50"/>
    </row>
    <row r="20" spans="1:15" x14ac:dyDescent="0.2">
      <c r="A20" s="5"/>
      <c r="B20" s="49" t="s">
        <v>72</v>
      </c>
      <c r="C20" s="55">
        <v>500000</v>
      </c>
      <c r="D20" s="49"/>
      <c r="E20" s="49"/>
      <c r="F20" s="49"/>
      <c r="G20" s="49"/>
      <c r="H20" s="49"/>
      <c r="I20" s="49"/>
      <c r="J20" s="50"/>
    </row>
    <row r="21" spans="1:15" x14ac:dyDescent="0.2">
      <c r="A21" s="5"/>
      <c r="B21" s="49" t="s">
        <v>71</v>
      </c>
      <c r="C21" s="55">
        <v>750000</v>
      </c>
      <c r="D21" s="49"/>
      <c r="E21" s="49"/>
      <c r="F21" s="49"/>
      <c r="G21" s="49"/>
      <c r="H21" s="49"/>
      <c r="I21" s="49"/>
      <c r="J21" s="50"/>
    </row>
    <row r="22" spans="1:15" x14ac:dyDescent="0.2">
      <c r="A22" s="5"/>
      <c r="B22" s="49"/>
      <c r="C22" s="49"/>
      <c r="D22" s="49"/>
      <c r="E22" s="49"/>
      <c r="F22" s="49"/>
      <c r="G22" s="49"/>
      <c r="H22" s="49"/>
      <c r="I22" s="49"/>
      <c r="J22" s="50"/>
    </row>
    <row r="23" spans="1:15" x14ac:dyDescent="0.2">
      <c r="A23" s="5"/>
      <c r="B23" s="49"/>
      <c r="C23" s="49"/>
      <c r="D23" s="49"/>
      <c r="E23" s="49"/>
      <c r="F23" s="49"/>
      <c r="G23" s="49"/>
      <c r="H23" s="49"/>
      <c r="I23" s="49"/>
      <c r="J23" s="50"/>
    </row>
    <row r="24" spans="1:15" x14ac:dyDescent="0.2">
      <c r="A24" s="5"/>
      <c r="B24" s="49" t="s">
        <v>37</v>
      </c>
      <c r="C24" s="49"/>
      <c r="D24" s="49"/>
      <c r="E24" s="49"/>
      <c r="F24" s="49"/>
      <c r="G24" s="49"/>
      <c r="H24" s="49"/>
      <c r="I24" s="49"/>
      <c r="J24" s="50"/>
    </row>
    <row r="25" spans="1:15" ht="17" thickBot="1" x14ac:dyDescent="0.25">
      <c r="A25" s="61"/>
      <c r="B25" s="62"/>
      <c r="C25" s="63"/>
      <c r="D25" s="63"/>
      <c r="E25" s="63"/>
      <c r="F25" s="62"/>
      <c r="G25" s="62"/>
      <c r="H25" s="62"/>
      <c r="I25" s="62"/>
      <c r="J25" s="64"/>
    </row>
    <row r="27" spans="1:15" ht="19" x14ac:dyDescent="0.25">
      <c r="A27" s="2" t="s">
        <v>0</v>
      </c>
    </row>
    <row r="28" spans="1:15" x14ac:dyDescent="0.2">
      <c r="A28" s="66" t="s">
        <v>76</v>
      </c>
      <c r="B28" s="7" t="s">
        <v>96</v>
      </c>
      <c r="M28" s="71"/>
      <c r="N28" s="71"/>
      <c r="O28" s="71"/>
    </row>
    <row r="29" spans="1:15" x14ac:dyDescent="0.2">
      <c r="A29" s="66"/>
      <c r="B29" s="7"/>
      <c r="M29" s="71"/>
      <c r="N29" s="71"/>
      <c r="O29" s="71"/>
    </row>
    <row r="30" spans="1:15" x14ac:dyDescent="0.2">
      <c r="A30" s="66"/>
      <c r="B30" s="7"/>
      <c r="M30" s="71"/>
      <c r="N30" s="71"/>
      <c r="O30" s="71"/>
    </row>
    <row r="33" spans="1:10" x14ac:dyDescent="0.2">
      <c r="B33" s="167" t="s">
        <v>117</v>
      </c>
      <c r="C33" s="167"/>
      <c r="D33" s="167"/>
      <c r="E33" s="167"/>
    </row>
    <row r="34" spans="1:10" x14ac:dyDescent="0.2">
      <c r="A34" s="3"/>
      <c r="B34" s="68" t="s">
        <v>6</v>
      </c>
      <c r="C34" s="69">
        <v>12</v>
      </c>
      <c r="D34" s="69">
        <v>24</v>
      </c>
      <c r="E34" s="69">
        <v>36</v>
      </c>
    </row>
    <row r="35" spans="1:10" x14ac:dyDescent="0.2">
      <c r="B35" s="70">
        <v>2021</v>
      </c>
      <c r="C35" s="112">
        <f t="shared" ref="C35:E36" si="0">C$37*D11/D$13</f>
        <v>68840.579710144928</v>
      </c>
      <c r="D35" s="112">
        <f t="shared" si="0"/>
        <v>122295.51451187335</v>
      </c>
      <c r="E35" s="112">
        <f t="shared" si="0"/>
        <v>147688.30059777966</v>
      </c>
    </row>
    <row r="36" spans="1:10" x14ac:dyDescent="0.2">
      <c r="B36" s="70">
        <v>2022</v>
      </c>
      <c r="C36" s="112">
        <f t="shared" si="0"/>
        <v>72351.44927536232</v>
      </c>
      <c r="D36" s="112">
        <f t="shared" si="0"/>
        <v>128469.65699208443</v>
      </c>
      <c r="E36" s="112">
        <f t="shared" si="0"/>
        <v>155204.95303159693</v>
      </c>
    </row>
    <row r="37" spans="1:10" x14ac:dyDescent="0.2">
      <c r="B37" s="73">
        <v>2023</v>
      </c>
      <c r="C37" s="113">
        <f>D18</f>
        <v>76000</v>
      </c>
      <c r="D37" s="113">
        <f>E18</f>
        <v>135000</v>
      </c>
      <c r="E37" s="113">
        <f>F18</f>
        <v>163000</v>
      </c>
      <c r="F37" s="51" t="s">
        <v>81</v>
      </c>
    </row>
    <row r="39" spans="1:10" x14ac:dyDescent="0.2">
      <c r="A39" s="66" t="s">
        <v>77</v>
      </c>
      <c r="B39" s="7" t="s">
        <v>97</v>
      </c>
    </row>
    <row r="40" spans="1:10" x14ac:dyDescent="0.2">
      <c r="A40" s="66"/>
      <c r="B40" s="7"/>
    </row>
    <row r="41" spans="1:10" x14ac:dyDescent="0.2">
      <c r="B41" s="116" t="s">
        <v>98</v>
      </c>
    </row>
    <row r="42" spans="1:10" x14ac:dyDescent="0.2">
      <c r="B42" s="116"/>
    </row>
    <row r="43" spans="1:10" x14ac:dyDescent="0.2">
      <c r="B43" s="116"/>
    </row>
    <row r="45" spans="1:10" x14ac:dyDescent="0.2">
      <c r="B45" s="167" t="s">
        <v>118</v>
      </c>
      <c r="C45" s="167"/>
      <c r="D45" s="167"/>
      <c r="E45" s="167"/>
      <c r="G45" s="167" t="s">
        <v>119</v>
      </c>
      <c r="H45" s="167"/>
      <c r="I45" s="167"/>
      <c r="J45" s="167"/>
    </row>
    <row r="46" spans="1:10" x14ac:dyDescent="0.2">
      <c r="B46" s="68" t="s">
        <v>6</v>
      </c>
      <c r="C46" s="69">
        <v>12</v>
      </c>
      <c r="D46" s="69">
        <v>24</v>
      </c>
      <c r="E46" s="69">
        <v>36</v>
      </c>
      <c r="G46" s="68" t="s">
        <v>6</v>
      </c>
      <c r="H46" s="69">
        <v>12</v>
      </c>
      <c r="I46" s="69">
        <v>24</v>
      </c>
      <c r="J46" s="69">
        <v>36</v>
      </c>
    </row>
    <row r="47" spans="1:10" x14ac:dyDescent="0.2">
      <c r="B47" s="70">
        <f>$C$11</f>
        <v>2021</v>
      </c>
      <c r="C47" s="48">
        <f>C35*(1-EXP(-$C$21/C35))</f>
        <v>68839.302329219994</v>
      </c>
      <c r="D47" s="48">
        <f t="shared" ref="C47:E49" si="1">D35*(1-EXP(-$C$21/D35))</f>
        <v>122030.04246222362</v>
      </c>
      <c r="E47" s="148">
        <f t="shared" si="1"/>
        <v>146768.09559476617</v>
      </c>
      <c r="G47" s="70">
        <f>$C$11</f>
        <v>2021</v>
      </c>
      <c r="H47" s="48">
        <f t="shared" ref="H47:J49" si="2">C35*(1-EXP(-$C$20/C35))</f>
        <v>68792.329953860288</v>
      </c>
      <c r="I47" s="48">
        <f t="shared" si="2"/>
        <v>120245.2209650257</v>
      </c>
      <c r="J47" s="48">
        <f t="shared" si="2"/>
        <v>142687.51281952337</v>
      </c>
    </row>
    <row r="48" spans="1:10" x14ac:dyDescent="0.2">
      <c r="A48" s="3"/>
      <c r="B48" s="70">
        <f>$C$12</f>
        <v>2022</v>
      </c>
      <c r="C48" s="48">
        <f t="shared" si="1"/>
        <v>72349.171445081098</v>
      </c>
      <c r="D48" s="148">
        <f t="shared" si="1"/>
        <v>128095.19376067526</v>
      </c>
      <c r="E48" s="148">
        <f t="shared" si="1"/>
        <v>153968.27780178966</v>
      </c>
      <c r="G48" s="70">
        <f>$C$12</f>
        <v>2022</v>
      </c>
      <c r="H48" s="48">
        <f t="shared" si="2"/>
        <v>72279.311404553941</v>
      </c>
      <c r="I48" s="48">
        <f>D36*(1-EXP(-$C$20/D36))</f>
        <v>125848.21868194059</v>
      </c>
      <c r="J48" s="48">
        <f t="shared" si="2"/>
        <v>149013.31393863997</v>
      </c>
    </row>
    <row r="49" spans="1:65" x14ac:dyDescent="0.2">
      <c r="B49" s="70">
        <f>$C$13</f>
        <v>2023</v>
      </c>
      <c r="C49" s="148">
        <f t="shared" si="1"/>
        <v>75996.064383397141</v>
      </c>
      <c r="D49" s="148">
        <f t="shared" si="1"/>
        <v>134478.10078117118</v>
      </c>
      <c r="E49" s="148">
        <f t="shared" si="1"/>
        <v>161363.55990792386</v>
      </c>
      <c r="G49" s="70">
        <f>$C$13</f>
        <v>2023</v>
      </c>
      <c r="H49" s="148">
        <f t="shared" si="2"/>
        <v>75894.412367192621</v>
      </c>
      <c r="I49" s="148">
        <f t="shared" si="2"/>
        <v>131674.662825821</v>
      </c>
      <c r="J49" s="148">
        <f t="shared" si="2"/>
        <v>155414.29512786688</v>
      </c>
    </row>
    <row r="51" spans="1:65" x14ac:dyDescent="0.2">
      <c r="A51" s="66" t="s">
        <v>78</v>
      </c>
      <c r="B51" s="7" t="s">
        <v>38</v>
      </c>
      <c r="C51" s="10"/>
      <c r="D51" s="10"/>
      <c r="E51" s="10"/>
    </row>
    <row r="52" spans="1:65" x14ac:dyDescent="0.2">
      <c r="A52" s="66"/>
      <c r="B52" s="7"/>
      <c r="C52" s="10"/>
      <c r="D52" s="10"/>
      <c r="E52" s="10"/>
    </row>
    <row r="53" spans="1:65" x14ac:dyDescent="0.2">
      <c r="A53" s="66"/>
      <c r="B53" s="7"/>
      <c r="C53" s="10"/>
      <c r="D53" s="10"/>
      <c r="E53" s="10"/>
    </row>
    <row r="54" spans="1:65" x14ac:dyDescent="0.2">
      <c r="B54" s="101"/>
      <c r="C54" s="10"/>
      <c r="D54" s="10"/>
      <c r="E54" s="10"/>
    </row>
    <row r="55" spans="1:65" x14ac:dyDescent="0.2">
      <c r="B55" s="101"/>
      <c r="C55" s="10"/>
      <c r="D55" s="10"/>
      <c r="E55" s="10"/>
    </row>
    <row r="56" spans="1:65" x14ac:dyDescent="0.2">
      <c r="B56" s="101"/>
      <c r="C56" s="10"/>
      <c r="D56" s="10"/>
      <c r="E56" s="10"/>
    </row>
    <row r="57" spans="1:65" x14ac:dyDescent="0.2">
      <c r="B57" s="149"/>
      <c r="C57" s="149"/>
      <c r="D57" s="149"/>
      <c r="E57" s="67"/>
      <c r="F57" s="167" t="s">
        <v>120</v>
      </c>
      <c r="G57" s="167"/>
      <c r="H57" s="167"/>
    </row>
    <row r="58" spans="1:65" x14ac:dyDescent="0.2">
      <c r="B58" s="149"/>
      <c r="C58" s="149"/>
      <c r="D58" s="149"/>
      <c r="F58" s="68"/>
      <c r="G58" s="69" t="s">
        <v>20</v>
      </c>
      <c r="H58" s="69" t="s">
        <v>21</v>
      </c>
    </row>
    <row r="59" spans="1:65" x14ac:dyDescent="0.2">
      <c r="B59" s="149"/>
      <c r="C59" s="149"/>
      <c r="D59" s="149"/>
      <c r="F59" s="70" t="s">
        <v>12</v>
      </c>
      <c r="G59" s="128">
        <f>D6*E6*($E49/$J$49)/(C49/H$49)</f>
        <v>2.3572436523088287</v>
      </c>
      <c r="H59" s="128">
        <f>E6*($E48/$J$49)/(D48/I$49)</f>
        <v>1.4542459950106865</v>
      </c>
    </row>
    <row r="60" spans="1:65" x14ac:dyDescent="0.2">
      <c r="E60" s="9"/>
    </row>
    <row r="61" spans="1:65" ht="19" x14ac:dyDescent="0.25">
      <c r="A61" s="2" t="s">
        <v>10</v>
      </c>
      <c r="B61" s="75"/>
      <c r="C61" s="10"/>
      <c r="D61" s="10"/>
      <c r="E61" s="10"/>
    </row>
    <row r="62" spans="1:65" ht="15.75" customHeight="1" x14ac:dyDescent="0.2">
      <c r="A62" s="4"/>
      <c r="B62" s="166" t="s">
        <v>99</v>
      </c>
      <c r="C62" s="166"/>
      <c r="D62" s="166"/>
      <c r="E62" s="166"/>
      <c r="F62" s="166"/>
      <c r="G62" s="166"/>
      <c r="H62" s="166"/>
      <c r="I62" s="166"/>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row>
    <row r="63" spans="1:65" x14ac:dyDescent="0.2">
      <c r="A63" s="4"/>
      <c r="B63" s="166"/>
      <c r="C63" s="166"/>
      <c r="D63" s="166"/>
      <c r="E63" s="166"/>
      <c r="F63" s="166"/>
      <c r="G63" s="166"/>
      <c r="H63" s="166"/>
      <c r="I63" s="166"/>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row>
    <row r="64" spans="1:65" x14ac:dyDescent="0.2">
      <c r="A64" s="4"/>
      <c r="B64" s="118"/>
      <c r="C64" s="118"/>
      <c r="D64" s="118"/>
      <c r="E64" s="118"/>
      <c r="F64" s="118"/>
      <c r="G64" s="118"/>
      <c r="H64" s="118"/>
      <c r="I64" s="118"/>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row>
    <row r="65" spans="1:65" ht="15.75" customHeight="1" x14ac:dyDescent="0.2">
      <c r="A65" s="4"/>
      <c r="B65" s="166" t="s">
        <v>100</v>
      </c>
      <c r="C65" s="166"/>
      <c r="D65" s="166"/>
      <c r="E65" s="166"/>
      <c r="F65" s="166"/>
      <c r="G65" s="166"/>
      <c r="H65" s="166"/>
      <c r="I65" s="166"/>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row>
    <row r="66" spans="1:65" x14ac:dyDescent="0.2">
      <c r="A66" s="4"/>
      <c r="B66" s="166"/>
      <c r="C66" s="166"/>
      <c r="D66" s="166"/>
      <c r="E66" s="166"/>
      <c r="F66" s="166"/>
      <c r="G66" s="166"/>
      <c r="H66" s="166"/>
      <c r="I66" s="166"/>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row>
    <row r="67" spans="1:65" x14ac:dyDescent="0.2">
      <c r="A67" s="4"/>
      <c r="B67" s="166"/>
      <c r="C67" s="166"/>
      <c r="D67" s="166"/>
      <c r="E67" s="166"/>
      <c r="F67" s="166"/>
      <c r="G67" s="166"/>
      <c r="H67" s="166"/>
      <c r="I67" s="166"/>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row>
    <row r="68" spans="1:65" x14ac:dyDescent="0.2">
      <c r="A68" s="4"/>
      <c r="B68" s="166"/>
      <c r="C68" s="166"/>
      <c r="D68" s="166"/>
      <c r="E68" s="166"/>
      <c r="F68" s="166"/>
      <c r="G68" s="166"/>
      <c r="H68" s="166"/>
      <c r="I68" s="166"/>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row>
    <row r="69" spans="1:65"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row>
    <row r="70" spans="1:65" ht="15.75" customHeight="1" x14ac:dyDescent="0.2">
      <c r="A70" s="4"/>
      <c r="B70" s="174" t="s">
        <v>132</v>
      </c>
      <c r="C70" s="166"/>
      <c r="D70" s="166"/>
      <c r="E70" s="166"/>
      <c r="F70" s="166"/>
      <c r="G70" s="166"/>
      <c r="H70" s="166"/>
      <c r="I70" s="166"/>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row>
    <row r="71" spans="1:65" ht="15.75" customHeight="1" x14ac:dyDescent="0.2">
      <c r="A71" s="4"/>
      <c r="B71" s="166"/>
      <c r="C71" s="166"/>
      <c r="D71" s="166"/>
      <c r="E71" s="166"/>
      <c r="F71" s="166"/>
      <c r="G71" s="166"/>
      <c r="H71" s="166"/>
      <c r="I71" s="166"/>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row>
    <row r="72" spans="1:65" x14ac:dyDescent="0.2">
      <c r="A72" s="4"/>
      <c r="B72" s="166"/>
      <c r="C72" s="166"/>
      <c r="D72" s="166"/>
      <c r="E72" s="166"/>
      <c r="F72" s="166"/>
      <c r="G72" s="166"/>
      <c r="H72" s="166"/>
      <c r="I72" s="166"/>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row>
    <row r="73" spans="1:65" x14ac:dyDescent="0.2">
      <c r="A73" s="4"/>
      <c r="B73" s="166"/>
      <c r="C73" s="166"/>
      <c r="D73" s="166"/>
      <c r="E73" s="166"/>
      <c r="F73" s="166"/>
      <c r="G73" s="166"/>
      <c r="H73" s="166"/>
      <c r="I73" s="166"/>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row>
    <row r="74" spans="1:65" x14ac:dyDescent="0.2">
      <c r="A74" s="4"/>
      <c r="B74" s="118"/>
      <c r="C74" s="118"/>
      <c r="D74" s="118"/>
      <c r="E74" s="118"/>
      <c r="F74" s="118"/>
      <c r="G74" s="118"/>
      <c r="H74" s="118"/>
      <c r="I74" s="118"/>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row>
    <row r="75" spans="1:65"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row>
    <row r="76" spans="1:65"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row>
    <row r="77" spans="1:65" x14ac:dyDescent="0.2">
      <c r="A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row>
    <row r="78" spans="1:65" x14ac:dyDescent="0.2">
      <c r="A78" s="4"/>
      <c r="B78" s="174" t="s">
        <v>133</v>
      </c>
      <c r="C78" s="175"/>
      <c r="D78" s="175"/>
      <c r="E78" s="175"/>
      <c r="F78" s="175"/>
      <c r="G78" s="175"/>
      <c r="H78" s="175"/>
      <c r="I78" s="175"/>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row>
    <row r="79" spans="1:65" ht="18" customHeight="1" x14ac:dyDescent="0.2">
      <c r="A79" s="4"/>
      <c r="B79" s="175"/>
      <c r="C79" s="175"/>
      <c r="D79" s="175"/>
      <c r="E79" s="175"/>
      <c r="F79" s="175"/>
      <c r="G79" s="175"/>
      <c r="H79" s="175"/>
      <c r="I79" s="175"/>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row>
    <row r="80" spans="1:65" x14ac:dyDescent="0.2">
      <c r="A80" s="4"/>
      <c r="B80" s="175"/>
      <c r="C80" s="175"/>
      <c r="D80" s="175"/>
      <c r="E80" s="175"/>
      <c r="F80" s="175"/>
      <c r="G80" s="175"/>
      <c r="H80" s="175"/>
      <c r="I80" s="175"/>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row>
    <row r="81" spans="1:65" x14ac:dyDescent="0.2">
      <c r="A81" s="4"/>
      <c r="B81" s="175"/>
      <c r="C81" s="175"/>
      <c r="D81" s="175"/>
      <c r="E81" s="175"/>
      <c r="F81" s="175"/>
      <c r="G81" s="175"/>
      <c r="H81" s="175"/>
      <c r="I81" s="175"/>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row>
    <row r="82" spans="1:65" x14ac:dyDescent="0.2">
      <c r="A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row>
    <row r="83" spans="1:65"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row>
    <row r="84" spans="1:65"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row>
    <row r="85" spans="1:65" ht="19" x14ac:dyDescent="0.25">
      <c r="A85" s="2" t="s">
        <v>51</v>
      </c>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row>
    <row r="86" spans="1:65" x14ac:dyDescent="0.2">
      <c r="A86" s="4"/>
      <c r="B86" s="51" t="s">
        <v>58</v>
      </c>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row>
    <row r="87" spans="1:65"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row>
    <row r="88" spans="1:65" ht="19" x14ac:dyDescent="0.25">
      <c r="A88" s="2" t="s">
        <v>53</v>
      </c>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row>
    <row r="89" spans="1:65" x14ac:dyDescent="0.2">
      <c r="A89" s="4"/>
      <c r="B89" s="51" t="s">
        <v>54</v>
      </c>
      <c r="C89" s="4"/>
      <c r="D89" s="51" t="s">
        <v>59</v>
      </c>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5" x14ac:dyDescent="0.2">
      <c r="A90" s="4"/>
      <c r="B90" s="51" t="s">
        <v>55</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5" x14ac:dyDescent="0.2">
      <c r="A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5"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5"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5"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sheetData>
  <mergeCells count="12">
    <mergeCell ref="B78:I81"/>
    <mergeCell ref="B33:E33"/>
    <mergeCell ref="B45:E45"/>
    <mergeCell ref="G45:J45"/>
    <mergeCell ref="F57:H57"/>
    <mergeCell ref="B62:I63"/>
    <mergeCell ref="B65:I68"/>
    <mergeCell ref="D9:D10"/>
    <mergeCell ref="E9:E10"/>
    <mergeCell ref="F9:F10"/>
    <mergeCell ref="D8:F8"/>
    <mergeCell ref="B70:I73"/>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217"/>
  <sheetViews>
    <sheetView showGridLines="0" zoomScale="120" zoomScaleNormal="120" workbookViewId="0"/>
  </sheetViews>
  <sheetFormatPr baseColWidth="10" defaultColWidth="10.83203125" defaultRowHeight="16" x14ac:dyDescent="0.2"/>
  <cols>
    <col min="1" max="1" width="10.83203125" style="51"/>
    <col min="2" max="9" width="10.83203125" style="51" customWidth="1"/>
    <col min="10" max="12" width="10.83203125" style="51"/>
    <col min="13" max="13" width="11.5" style="51" bestFit="1" customWidth="1"/>
    <col min="14" max="16384" width="10.83203125" style="51"/>
  </cols>
  <sheetData>
    <row r="1" spans="1:65" ht="19" x14ac:dyDescent="0.25">
      <c r="A1" s="80" t="s">
        <v>75</v>
      </c>
      <c r="B1" s="81"/>
      <c r="C1" s="81"/>
      <c r="D1" s="82"/>
      <c r="E1" s="82"/>
      <c r="F1" s="82"/>
      <c r="G1" s="82"/>
      <c r="H1" s="82"/>
      <c r="I1" s="82"/>
      <c r="J1" s="83"/>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row>
    <row r="2" spans="1:65" x14ac:dyDescent="0.2">
      <c r="A2" s="85"/>
      <c r="B2" s="82"/>
      <c r="C2" s="82"/>
      <c r="D2" s="82"/>
      <c r="E2" s="82"/>
      <c r="F2" s="82"/>
      <c r="G2" s="82"/>
      <c r="H2" s="82"/>
      <c r="I2" s="82"/>
      <c r="J2" s="83"/>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4"/>
    </row>
    <row r="3" spans="1:65" x14ac:dyDescent="0.2">
      <c r="A3" s="85"/>
      <c r="B3" s="82" t="s">
        <v>27</v>
      </c>
      <c r="C3" s="82"/>
      <c r="D3" s="82"/>
      <c r="E3" s="82"/>
      <c r="F3" s="82"/>
      <c r="G3" s="82"/>
      <c r="H3" s="82"/>
      <c r="I3" s="82"/>
      <c r="J3" s="83"/>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row>
    <row r="4" spans="1:65" x14ac:dyDescent="0.2">
      <c r="A4" s="85"/>
      <c r="B4" s="82"/>
      <c r="C4" s="82"/>
      <c r="D4" s="82"/>
      <c r="E4" s="82"/>
      <c r="F4" s="82"/>
      <c r="G4" s="82"/>
      <c r="H4" s="82"/>
      <c r="I4" s="82"/>
      <c r="J4" s="83"/>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row>
    <row r="5" spans="1:65" x14ac:dyDescent="0.2">
      <c r="A5" s="85"/>
      <c r="B5" s="82"/>
      <c r="C5" s="177" t="s">
        <v>39</v>
      </c>
      <c r="D5" s="178"/>
      <c r="E5" s="178"/>
      <c r="F5" s="179"/>
      <c r="G5" s="86"/>
      <c r="H5" s="86"/>
      <c r="I5" s="82"/>
      <c r="J5" s="83"/>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row>
    <row r="6" spans="1:65" ht="34" x14ac:dyDescent="0.2">
      <c r="A6" s="85"/>
      <c r="B6" s="82"/>
      <c r="C6" s="46" t="s">
        <v>1</v>
      </c>
      <c r="D6" s="44" t="s">
        <v>2</v>
      </c>
      <c r="E6" s="44" t="s">
        <v>3</v>
      </c>
      <c r="F6" s="45" t="s">
        <v>4</v>
      </c>
      <c r="G6" s="49"/>
      <c r="H6" s="49"/>
      <c r="I6" s="82"/>
      <c r="J6" s="83"/>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c r="BC6" s="84"/>
      <c r="BD6" s="84"/>
      <c r="BE6" s="84"/>
      <c r="BF6" s="84"/>
      <c r="BG6" s="84"/>
      <c r="BH6" s="84"/>
      <c r="BI6" s="84"/>
      <c r="BJ6" s="84"/>
      <c r="BK6" s="84"/>
      <c r="BL6" s="84"/>
      <c r="BM6" s="84"/>
    </row>
    <row r="7" spans="1:65" x14ac:dyDescent="0.2">
      <c r="A7" s="85"/>
      <c r="B7" s="82"/>
      <c r="C7" s="31">
        <v>2021</v>
      </c>
      <c r="D7" s="38">
        <v>2220</v>
      </c>
      <c r="E7" s="38">
        <v>3610</v>
      </c>
      <c r="F7" s="39">
        <v>4150</v>
      </c>
      <c r="G7" s="49"/>
      <c r="H7" s="49"/>
      <c r="I7" s="82"/>
      <c r="J7" s="83"/>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84"/>
      <c r="BK7" s="84"/>
      <c r="BL7" s="84"/>
      <c r="BM7" s="84"/>
    </row>
    <row r="8" spans="1:65" x14ac:dyDescent="0.2">
      <c r="A8" s="85"/>
      <c r="B8" s="82"/>
      <c r="C8" s="33">
        <v>2022</v>
      </c>
      <c r="D8" s="40">
        <v>3350</v>
      </c>
      <c r="E8" s="40">
        <v>4920</v>
      </c>
      <c r="F8" s="41"/>
      <c r="G8" s="49"/>
      <c r="H8" s="49"/>
      <c r="I8" s="82"/>
      <c r="J8" s="83"/>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4"/>
    </row>
    <row r="9" spans="1:65" x14ac:dyDescent="0.2">
      <c r="A9" s="85"/>
      <c r="B9" s="82"/>
      <c r="C9" s="32">
        <v>2023</v>
      </c>
      <c r="D9" s="42">
        <v>2890</v>
      </c>
      <c r="E9" s="42"/>
      <c r="F9" s="43"/>
      <c r="G9" s="11"/>
      <c r="H9" s="11"/>
      <c r="I9" s="82"/>
      <c r="J9" s="83"/>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row>
    <row r="10" spans="1:65" x14ac:dyDescent="0.2">
      <c r="A10" s="85"/>
      <c r="B10" s="82"/>
      <c r="C10" s="82"/>
      <c r="D10" s="82"/>
      <c r="E10" s="82"/>
      <c r="F10" s="82"/>
      <c r="G10" s="82"/>
      <c r="H10" s="82"/>
      <c r="I10" s="82"/>
      <c r="J10" s="83"/>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row>
    <row r="11" spans="1:65" x14ac:dyDescent="0.2">
      <c r="A11" s="85"/>
      <c r="B11" s="82"/>
      <c r="C11" s="177" t="s">
        <v>40</v>
      </c>
      <c r="D11" s="178"/>
      <c r="E11" s="178"/>
      <c r="F11" s="179"/>
      <c r="G11" s="86"/>
      <c r="H11" s="86"/>
      <c r="I11" s="82"/>
      <c r="J11" s="83"/>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row>
    <row r="12" spans="1:65" ht="34" x14ac:dyDescent="0.2">
      <c r="A12" s="85"/>
      <c r="B12" s="82"/>
      <c r="C12" s="46" t="s">
        <v>1</v>
      </c>
      <c r="D12" s="44" t="s">
        <v>2</v>
      </c>
      <c r="E12" s="44" t="s">
        <v>3</v>
      </c>
      <c r="F12" s="45" t="s">
        <v>4</v>
      </c>
      <c r="G12" s="49"/>
      <c r="H12" s="49"/>
      <c r="I12" s="82"/>
      <c r="J12" s="83"/>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row>
    <row r="13" spans="1:65" x14ac:dyDescent="0.2">
      <c r="A13" s="85"/>
      <c r="B13" s="82"/>
      <c r="C13" s="31">
        <v>2021</v>
      </c>
      <c r="D13" s="38">
        <v>2110</v>
      </c>
      <c r="E13" s="38">
        <v>3250</v>
      </c>
      <c r="F13" s="39">
        <v>3770</v>
      </c>
      <c r="G13" s="49"/>
      <c r="H13" s="49"/>
      <c r="I13" s="82"/>
      <c r="J13" s="83"/>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row>
    <row r="14" spans="1:65" x14ac:dyDescent="0.2">
      <c r="A14" s="85"/>
      <c r="B14" s="82"/>
      <c r="C14" s="33">
        <v>2022</v>
      </c>
      <c r="D14" s="40">
        <v>3150</v>
      </c>
      <c r="E14" s="40">
        <v>4330</v>
      </c>
      <c r="F14" s="41"/>
      <c r="G14" s="49"/>
      <c r="H14" s="49"/>
      <c r="I14" s="82"/>
      <c r="J14" s="83"/>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row>
    <row r="15" spans="1:65" x14ac:dyDescent="0.2">
      <c r="A15" s="85"/>
      <c r="B15" s="82"/>
      <c r="C15" s="32">
        <v>2023</v>
      </c>
      <c r="D15" s="42">
        <v>2690</v>
      </c>
      <c r="E15" s="42"/>
      <c r="F15" s="43"/>
      <c r="G15" s="11"/>
      <c r="H15" s="11"/>
      <c r="I15" s="82"/>
      <c r="J15" s="83"/>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row>
    <row r="16" spans="1:65" x14ac:dyDescent="0.2">
      <c r="A16" s="85"/>
      <c r="B16" s="82"/>
      <c r="C16" s="82"/>
      <c r="D16" s="82"/>
      <c r="E16" s="82"/>
      <c r="F16" s="82"/>
      <c r="G16" s="82"/>
      <c r="H16" s="82"/>
      <c r="I16" s="82"/>
      <c r="J16" s="83"/>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row>
    <row r="17" spans="1:65" x14ac:dyDescent="0.2">
      <c r="A17" s="85"/>
      <c r="B17" s="82"/>
      <c r="C17" s="82"/>
      <c r="D17" s="82"/>
      <c r="E17" s="82"/>
      <c r="F17" s="82"/>
      <c r="G17" s="82"/>
      <c r="H17" s="82"/>
      <c r="I17" s="82"/>
      <c r="J17" s="83"/>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row>
    <row r="18" spans="1:65" x14ac:dyDescent="0.2">
      <c r="A18" s="85"/>
      <c r="B18" s="82" t="s">
        <v>72</v>
      </c>
      <c r="C18" s="87">
        <v>1000000</v>
      </c>
      <c r="D18" s="82"/>
      <c r="E18" s="82"/>
      <c r="F18" s="82"/>
      <c r="G18" s="82"/>
      <c r="H18" s="82"/>
      <c r="I18" s="82"/>
      <c r="J18" s="83"/>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row>
    <row r="19" spans="1:65" x14ac:dyDescent="0.2">
      <c r="A19" s="85"/>
      <c r="B19" s="82" t="s">
        <v>71</v>
      </c>
      <c r="C19" s="87">
        <v>500000</v>
      </c>
      <c r="D19" s="82"/>
      <c r="E19" s="82"/>
      <c r="F19" s="82"/>
      <c r="G19" s="82"/>
      <c r="H19" s="82"/>
      <c r="I19" s="82"/>
      <c r="J19" s="83"/>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row>
    <row r="20" spans="1:65" x14ac:dyDescent="0.2">
      <c r="A20" s="85"/>
      <c r="B20" s="82" t="s">
        <v>134</v>
      </c>
      <c r="C20" s="82"/>
      <c r="D20" s="82"/>
      <c r="E20" s="82"/>
      <c r="F20" s="88">
        <v>0.02</v>
      </c>
      <c r="G20" s="82"/>
      <c r="H20" s="82"/>
      <c r="I20" s="82"/>
      <c r="J20" s="83"/>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row>
    <row r="21" spans="1:65" x14ac:dyDescent="0.2">
      <c r="A21" s="85"/>
      <c r="B21" s="82"/>
      <c r="C21" s="82"/>
      <c r="D21" s="82"/>
      <c r="E21" s="82"/>
      <c r="F21" s="82"/>
      <c r="G21" s="82"/>
      <c r="H21" s="82"/>
      <c r="I21" s="82"/>
      <c r="J21" s="83"/>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row>
    <row r="22" spans="1:65" x14ac:dyDescent="0.2">
      <c r="A22" s="85"/>
      <c r="B22" s="82" t="s">
        <v>101</v>
      </c>
      <c r="C22" s="82"/>
      <c r="D22" s="82"/>
      <c r="E22" s="82"/>
      <c r="F22" s="82"/>
      <c r="G22" s="82"/>
      <c r="H22" s="82"/>
      <c r="I22" s="82"/>
      <c r="J22" s="83"/>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row>
    <row r="23" spans="1:65" x14ac:dyDescent="0.2">
      <c r="A23" s="85"/>
      <c r="B23" s="82" t="s">
        <v>41</v>
      </c>
      <c r="C23" s="82"/>
      <c r="D23" s="82"/>
      <c r="E23" s="82"/>
      <c r="F23" s="82"/>
      <c r="G23" s="82"/>
      <c r="H23" s="82"/>
      <c r="I23" s="82"/>
      <c r="J23" s="83"/>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row>
    <row r="24" spans="1:65" x14ac:dyDescent="0.2">
      <c r="A24" s="85"/>
      <c r="B24" s="82"/>
      <c r="C24" s="82"/>
      <c r="D24" s="82"/>
      <c r="E24" s="82"/>
      <c r="F24" s="82"/>
      <c r="G24" s="82"/>
      <c r="H24" s="82"/>
      <c r="I24" s="82"/>
      <c r="J24" s="83"/>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row>
    <row r="25" spans="1:65" x14ac:dyDescent="0.2">
      <c r="A25" s="85"/>
      <c r="B25" s="82" t="s">
        <v>42</v>
      </c>
      <c r="C25" s="82"/>
      <c r="D25" s="82"/>
      <c r="E25" s="82"/>
      <c r="F25" s="82"/>
      <c r="G25" s="82"/>
      <c r="H25" s="82"/>
      <c r="I25" s="82"/>
      <c r="J25" s="83"/>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row>
    <row r="26" spans="1:65" x14ac:dyDescent="0.2">
      <c r="A26" s="85"/>
      <c r="B26" s="82" t="s">
        <v>43</v>
      </c>
      <c r="C26" s="82"/>
      <c r="D26" s="82"/>
      <c r="E26" s="82"/>
      <c r="F26" s="82"/>
      <c r="G26" s="82"/>
      <c r="H26" s="82"/>
      <c r="I26" s="82"/>
      <c r="J26" s="83"/>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row>
    <row r="27" spans="1:65" x14ac:dyDescent="0.2">
      <c r="A27" s="85"/>
      <c r="B27" s="82"/>
      <c r="C27" s="82"/>
      <c r="D27" s="82"/>
      <c r="E27" s="82"/>
      <c r="F27" s="82"/>
      <c r="G27" s="82"/>
      <c r="H27" s="82"/>
      <c r="I27" s="82"/>
      <c r="J27" s="83"/>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row>
    <row r="28" spans="1:65" ht="17" x14ac:dyDescent="0.2">
      <c r="A28" s="85"/>
      <c r="B28" s="82"/>
      <c r="C28" s="34"/>
      <c r="D28" s="24" t="s">
        <v>2</v>
      </c>
      <c r="E28" s="24" t="s">
        <v>3</v>
      </c>
      <c r="F28" s="25" t="s">
        <v>4</v>
      </c>
      <c r="G28" s="82"/>
      <c r="H28" s="82"/>
      <c r="I28" s="82"/>
      <c r="J28" s="83"/>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row>
    <row r="29" spans="1:65" ht="17" customHeight="1" x14ac:dyDescent="0.2">
      <c r="A29" s="85"/>
      <c r="B29" s="82"/>
      <c r="C29" s="47" t="s">
        <v>28</v>
      </c>
      <c r="D29" s="24">
        <v>0.75</v>
      </c>
      <c r="E29" s="24">
        <v>0.4</v>
      </c>
      <c r="F29" s="35">
        <v>0</v>
      </c>
      <c r="G29" s="82"/>
      <c r="H29" s="82"/>
      <c r="I29" s="82"/>
      <c r="J29" s="83"/>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row>
    <row r="30" spans="1:65" x14ac:dyDescent="0.2">
      <c r="A30" s="85"/>
      <c r="B30" s="82"/>
      <c r="C30" s="82"/>
      <c r="D30" s="82"/>
      <c r="E30" s="82"/>
      <c r="F30" s="82"/>
      <c r="G30" s="82"/>
      <c r="H30" s="82"/>
      <c r="I30" s="82"/>
      <c r="J30" s="83"/>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row>
    <row r="31" spans="1:65" x14ac:dyDescent="0.2">
      <c r="A31" s="85"/>
      <c r="B31" s="82"/>
      <c r="C31" s="177" t="s">
        <v>44</v>
      </c>
      <c r="D31" s="178"/>
      <c r="E31" s="178"/>
      <c r="F31" s="179"/>
      <c r="G31" s="82"/>
      <c r="H31" s="82"/>
      <c r="I31" s="82"/>
      <c r="J31" s="83"/>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row>
    <row r="32" spans="1:65" ht="17" x14ac:dyDescent="0.2">
      <c r="A32" s="85"/>
      <c r="B32" s="82"/>
      <c r="C32" s="34"/>
      <c r="D32" s="24" t="s">
        <v>20</v>
      </c>
      <c r="E32" s="24" t="s">
        <v>21</v>
      </c>
      <c r="F32" s="25" t="s">
        <v>26</v>
      </c>
      <c r="G32" s="82"/>
      <c r="H32" s="82"/>
      <c r="I32" s="82"/>
      <c r="J32" s="83"/>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row>
    <row r="33" spans="1:65" ht="17" x14ac:dyDescent="0.2">
      <c r="A33" s="85"/>
      <c r="B33" s="82"/>
      <c r="C33" s="34" t="s">
        <v>12</v>
      </c>
      <c r="D33" s="36">
        <v>1.76</v>
      </c>
      <c r="E33" s="36">
        <v>1.1499999999999999</v>
      </c>
      <c r="F33" s="37">
        <v>1</v>
      </c>
      <c r="G33" s="82"/>
      <c r="H33" s="82"/>
      <c r="I33" s="82"/>
      <c r="J33" s="83"/>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row>
    <row r="34" spans="1:65" x14ac:dyDescent="0.2">
      <c r="A34" s="85"/>
      <c r="B34" s="82"/>
      <c r="C34" s="82"/>
      <c r="D34" s="82"/>
      <c r="E34" s="82"/>
      <c r="F34" s="82"/>
      <c r="G34" s="82"/>
      <c r="H34" s="82"/>
      <c r="I34" s="82"/>
      <c r="J34" s="83"/>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row>
    <row r="35" spans="1:65" x14ac:dyDescent="0.2">
      <c r="A35" s="85"/>
      <c r="B35" s="82"/>
      <c r="C35" s="82"/>
      <c r="D35" s="82"/>
      <c r="E35" s="82"/>
      <c r="F35" s="82"/>
      <c r="G35" s="82"/>
      <c r="H35" s="82"/>
      <c r="I35" s="82"/>
      <c r="J35" s="83"/>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row>
    <row r="36" spans="1:65" x14ac:dyDescent="0.2">
      <c r="A36" s="85"/>
      <c r="B36" s="82" t="s">
        <v>45</v>
      </c>
      <c r="C36" s="82"/>
      <c r="D36" s="82"/>
      <c r="E36" s="82"/>
      <c r="F36" s="82"/>
      <c r="G36" s="82"/>
      <c r="H36" s="82"/>
      <c r="I36" s="82"/>
      <c r="J36" s="89"/>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row>
    <row r="37" spans="1:65" ht="17" thickBot="1" x14ac:dyDescent="0.25">
      <c r="A37" s="90"/>
      <c r="B37" s="91"/>
      <c r="C37" s="92"/>
      <c r="D37" s="92"/>
      <c r="E37" s="92"/>
      <c r="F37" s="91"/>
      <c r="G37" s="91"/>
      <c r="H37" s="91"/>
      <c r="I37" s="91"/>
      <c r="J37" s="93"/>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row>
    <row r="38" spans="1:65" x14ac:dyDescent="0.2">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row>
    <row r="39" spans="1:65" ht="19" x14ac:dyDescent="0.25">
      <c r="A39" s="8" t="s">
        <v>0</v>
      </c>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row>
    <row r="40" spans="1:65" x14ac:dyDescent="0.2">
      <c r="A40" s="66" t="s">
        <v>76</v>
      </c>
      <c r="B40" s="164" t="s">
        <v>135</v>
      </c>
      <c r="C40" s="164"/>
      <c r="D40" s="164"/>
      <c r="E40" s="164"/>
      <c r="F40" s="164"/>
      <c r="G40" s="164"/>
      <c r="H40" s="164"/>
      <c r="I40" s="16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row>
    <row r="41" spans="1:65" x14ac:dyDescent="0.2">
      <c r="A41" s="66"/>
      <c r="B41" s="164"/>
      <c r="C41" s="164"/>
      <c r="D41" s="164"/>
      <c r="E41" s="164"/>
      <c r="F41" s="164"/>
      <c r="G41" s="164"/>
      <c r="H41" s="164"/>
      <c r="I41" s="16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row>
    <row r="42" spans="1:65" x14ac:dyDescent="0.2">
      <c r="A42" s="94"/>
      <c r="B42" s="7"/>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row>
    <row r="43" spans="1:65" x14ac:dyDescent="0.2">
      <c r="A43" s="94"/>
      <c r="B43" s="7"/>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row>
    <row r="44" spans="1:65" x14ac:dyDescent="0.2">
      <c r="A44" s="94"/>
      <c r="B44" s="7"/>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row>
    <row r="46" spans="1:65" ht="15.75" customHeight="1" x14ac:dyDescent="0.2">
      <c r="D46" s="121"/>
      <c r="E46" s="186" t="s">
        <v>111</v>
      </c>
    </row>
    <row r="47" spans="1:65" x14ac:dyDescent="0.2">
      <c r="D47" s="122" t="s">
        <v>6</v>
      </c>
      <c r="E47" s="187"/>
    </row>
    <row r="48" spans="1:65" x14ac:dyDescent="0.2">
      <c r="D48" s="120">
        <v>2021</v>
      </c>
      <c r="E48" s="124">
        <f>E49/(1+$F$20)</f>
        <v>230680.50749711649</v>
      </c>
    </row>
    <row r="49" spans="1:65" x14ac:dyDescent="0.2">
      <c r="D49" s="120">
        <v>2022</v>
      </c>
      <c r="E49" s="124">
        <f>E50/(1+$F$20)</f>
        <v>235294.11764705883</v>
      </c>
    </row>
    <row r="50" spans="1:65" x14ac:dyDescent="0.2">
      <c r="D50" s="70">
        <v>2023</v>
      </c>
      <c r="E50" s="125">
        <v>240000</v>
      </c>
    </row>
    <row r="51" spans="1:65" x14ac:dyDescent="0.2">
      <c r="C51" s="75"/>
      <c r="D51" s="75"/>
    </row>
    <row r="52" spans="1:65" x14ac:dyDescent="0.2">
      <c r="A52" s="66" t="s">
        <v>77</v>
      </c>
      <c r="B52" s="7" t="s">
        <v>49</v>
      </c>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row>
    <row r="53" spans="1:65" x14ac:dyDescent="0.2">
      <c r="A53" s="66"/>
      <c r="B53" s="7"/>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row>
    <row r="54" spans="1:65" x14ac:dyDescent="0.2">
      <c r="A54" s="66"/>
      <c r="B54" s="7"/>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row>
    <row r="55" spans="1:65" x14ac:dyDescent="0.2">
      <c r="A55" s="66"/>
      <c r="B55" s="7"/>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row>
    <row r="56" spans="1:65" x14ac:dyDescent="0.2">
      <c r="A56" s="66"/>
      <c r="B56" s="7"/>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row>
    <row r="57" spans="1:65" x14ac:dyDescent="0.2">
      <c r="A57" s="66"/>
      <c r="B57" s="7"/>
      <c r="C57" s="84"/>
      <c r="D57" s="95"/>
      <c r="E57" s="84"/>
      <c r="F57" s="184" t="s">
        <v>48</v>
      </c>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row>
    <row r="58" spans="1:65" ht="15.75" customHeight="1" x14ac:dyDescent="0.2">
      <c r="A58" s="66"/>
      <c r="B58" s="7"/>
      <c r="C58" s="84"/>
      <c r="D58" s="95"/>
      <c r="E58" s="184" t="s">
        <v>47</v>
      </c>
      <c r="F58" s="1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row>
    <row r="59" spans="1:65" x14ac:dyDescent="0.2">
      <c r="A59" s="66"/>
      <c r="B59" s="7"/>
      <c r="C59" s="84"/>
      <c r="D59" s="95"/>
      <c r="E59" s="184"/>
      <c r="F59" s="1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row>
    <row r="60" spans="1:65" x14ac:dyDescent="0.2">
      <c r="A60" s="66"/>
      <c r="B60" s="7"/>
      <c r="C60" s="84"/>
      <c r="D60" s="126" t="s">
        <v>6</v>
      </c>
      <c r="E60" s="185"/>
      <c r="F60" s="185"/>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row>
    <row r="61" spans="1:65" x14ac:dyDescent="0.2">
      <c r="A61" s="66"/>
      <c r="B61" s="7"/>
      <c r="C61" s="84"/>
      <c r="D61" s="79">
        <v>2021</v>
      </c>
      <c r="E61" s="123">
        <f>E48*(1-EXP(-$C$18/E48))</f>
        <v>227658.16053679545</v>
      </c>
      <c r="F61" s="123">
        <f>E48*(1-EXP(-$C$19/E48))</f>
        <v>204276.02813017531</v>
      </c>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row>
    <row r="62" spans="1:65" x14ac:dyDescent="0.2">
      <c r="A62" s="94"/>
      <c r="C62" s="84"/>
      <c r="D62" s="79">
        <v>2022</v>
      </c>
      <c r="E62" s="123">
        <f t="shared" ref="E62:E63" si="0">E49*(1-EXP(-$C$18/E49))</f>
        <v>231937.8273155296</v>
      </c>
      <c r="F62" s="123">
        <f t="shared" ref="F62:F63" si="1">E49*(1-EXP(-$C$19/E49))</f>
        <v>207192.24276077186</v>
      </c>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row>
    <row r="63" spans="1:65" x14ac:dyDescent="0.2">
      <c r="A63" s="94"/>
      <c r="C63" s="84"/>
      <c r="D63" s="79">
        <v>2023</v>
      </c>
      <c r="E63" s="123">
        <f t="shared" si="0"/>
        <v>236279.07513623778</v>
      </c>
      <c r="F63" s="123">
        <f t="shared" si="1"/>
        <v>210116.5268534105</v>
      </c>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row>
    <row r="64" spans="1:65" x14ac:dyDescent="0.2">
      <c r="A64" s="9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row>
    <row r="65" spans="1:62" x14ac:dyDescent="0.2">
      <c r="A65" s="66" t="s">
        <v>78</v>
      </c>
      <c r="B65" s="7" t="s">
        <v>50</v>
      </c>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row>
    <row r="66" spans="1:62" x14ac:dyDescent="0.2">
      <c r="A66" s="66"/>
      <c r="B66" s="7"/>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row>
    <row r="67" spans="1:62" x14ac:dyDescent="0.2">
      <c r="A67" s="66"/>
      <c r="B67" s="7"/>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row>
    <row r="68" spans="1:62" x14ac:dyDescent="0.2">
      <c r="A68" s="66"/>
      <c r="B68" s="7"/>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row>
    <row r="69" spans="1:62" x14ac:dyDescent="0.2">
      <c r="A69" s="66"/>
      <c r="B69" s="7"/>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row>
    <row r="70" spans="1:62" x14ac:dyDescent="0.2">
      <c r="A70" s="66"/>
      <c r="B70" s="7"/>
      <c r="C70" s="84"/>
      <c r="D70" s="121"/>
      <c r="E70" s="186" t="s">
        <v>112</v>
      </c>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row>
    <row r="71" spans="1:62" x14ac:dyDescent="0.2">
      <c r="A71" s="66"/>
      <c r="B71" s="7"/>
      <c r="C71" s="84"/>
      <c r="D71" s="122" t="s">
        <v>6</v>
      </c>
      <c r="E71" s="187"/>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row>
    <row r="72" spans="1:62" x14ac:dyDescent="0.2">
      <c r="A72" s="66"/>
      <c r="B72" s="7"/>
      <c r="C72" s="84"/>
      <c r="D72" s="120">
        <v>2021</v>
      </c>
      <c r="E72" s="127">
        <f>F61/E61</f>
        <v>0.89729279920611071</v>
      </c>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row>
    <row r="73" spans="1:62" x14ac:dyDescent="0.2">
      <c r="A73" s="94"/>
      <c r="C73" s="84"/>
      <c r="D73" s="120">
        <v>2022</v>
      </c>
      <c r="E73" s="127">
        <f>F62/E62</f>
        <v>0.89330940605434872</v>
      </c>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row>
    <row r="74" spans="1:62" x14ac:dyDescent="0.2">
      <c r="A74" s="94"/>
      <c r="C74" s="84"/>
      <c r="D74" s="70">
        <v>2023</v>
      </c>
      <c r="E74" s="127">
        <f>F63/E63</f>
        <v>0.88927268202763177</v>
      </c>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row>
    <row r="75" spans="1:62" x14ac:dyDescent="0.2">
      <c r="A75" s="94"/>
      <c r="C75" s="84"/>
      <c r="D75" s="75"/>
      <c r="E75" s="125"/>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row>
    <row r="76" spans="1:62" x14ac:dyDescent="0.2">
      <c r="A76" s="66" t="s">
        <v>79</v>
      </c>
      <c r="B76" s="180" t="s">
        <v>136</v>
      </c>
      <c r="C76" s="180"/>
      <c r="D76" s="180"/>
      <c r="E76" s="180"/>
      <c r="F76" s="180"/>
      <c r="G76" s="180"/>
      <c r="H76" s="180"/>
      <c r="I76" s="180"/>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row>
    <row r="77" spans="1:62" x14ac:dyDescent="0.2">
      <c r="A77" s="94"/>
      <c r="B77" s="180"/>
      <c r="C77" s="180"/>
      <c r="D77" s="180"/>
      <c r="E77" s="180"/>
      <c r="F77" s="180"/>
      <c r="G77" s="180"/>
      <c r="H77" s="180"/>
      <c r="I77" s="180"/>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row>
    <row r="78" spans="1:62" x14ac:dyDescent="0.2">
      <c r="A78" s="9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row>
    <row r="79" spans="1:62" x14ac:dyDescent="0.2">
      <c r="A79" s="9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row>
    <row r="80" spans="1:62" ht="15.75" customHeight="1" x14ac:dyDescent="0.2">
      <c r="A80" s="94"/>
      <c r="C80" s="84"/>
      <c r="D80" s="84"/>
      <c r="E80" s="117"/>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row>
    <row r="81" spans="1:65" x14ac:dyDescent="0.2">
      <c r="A81" s="94"/>
      <c r="C81" s="84"/>
      <c r="D81" s="84"/>
      <c r="E81" s="117"/>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row>
    <row r="82" spans="1:65" x14ac:dyDescent="0.2">
      <c r="A82" s="94"/>
      <c r="C82" s="84"/>
      <c r="D82" s="121"/>
      <c r="E82" s="186" t="s">
        <v>113</v>
      </c>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row>
    <row r="83" spans="1:65" x14ac:dyDescent="0.2">
      <c r="A83" s="94"/>
      <c r="C83" s="84"/>
      <c r="D83" s="122" t="s">
        <v>6</v>
      </c>
      <c r="E83" s="187"/>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row>
    <row r="84" spans="1:65" x14ac:dyDescent="0.2">
      <c r="A84" s="94"/>
      <c r="C84" s="84"/>
      <c r="D84" s="120">
        <v>2021</v>
      </c>
      <c r="E84" s="127">
        <f>E72+(1-E72)*F29</f>
        <v>0.89729279920611071</v>
      </c>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row>
    <row r="85" spans="1:65" x14ac:dyDescent="0.2">
      <c r="A85" s="94"/>
      <c r="C85" s="84"/>
      <c r="D85" s="120">
        <v>2022</v>
      </c>
      <c r="E85" s="127">
        <f>E73+(1-E73)*E29</f>
        <v>0.93598564363260928</v>
      </c>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row>
    <row r="86" spans="1:65" x14ac:dyDescent="0.2">
      <c r="A86" s="94"/>
      <c r="C86" s="84"/>
      <c r="D86" s="70">
        <v>2023</v>
      </c>
      <c r="E86" s="127">
        <f>E74+(1-E74)*D29</f>
        <v>0.97231817050690794</v>
      </c>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row>
    <row r="87" spans="1:65" x14ac:dyDescent="0.2">
      <c r="A87" s="94"/>
      <c r="C87" s="84"/>
      <c r="D87" s="84"/>
      <c r="E87" s="118"/>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row>
    <row r="88" spans="1:65" x14ac:dyDescent="0.2">
      <c r="A88" s="66" t="s">
        <v>80</v>
      </c>
      <c r="B88" s="164" t="s">
        <v>102</v>
      </c>
      <c r="C88" s="164"/>
      <c r="D88" s="164"/>
      <c r="E88" s="164"/>
      <c r="F88" s="164"/>
      <c r="G88" s="164"/>
      <c r="H88" s="164"/>
      <c r="I88" s="16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row>
    <row r="89" spans="1:65" x14ac:dyDescent="0.2">
      <c r="A89" s="66"/>
      <c r="B89" s="164"/>
      <c r="C89" s="164"/>
      <c r="D89" s="164"/>
      <c r="E89" s="164"/>
      <c r="F89" s="164"/>
      <c r="G89" s="164"/>
      <c r="H89" s="164"/>
      <c r="I89" s="16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row>
    <row r="90" spans="1:65" x14ac:dyDescent="0.2">
      <c r="A90" s="66"/>
      <c r="B90" s="115"/>
      <c r="C90" s="115"/>
      <c r="D90" s="115"/>
      <c r="E90" s="115"/>
      <c r="F90" s="115"/>
      <c r="G90" s="115"/>
      <c r="H90" s="115"/>
      <c r="I90" s="115"/>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row>
    <row r="91" spans="1:65" x14ac:dyDescent="0.2">
      <c r="A91" s="94"/>
      <c r="B91" s="176" t="s">
        <v>138</v>
      </c>
      <c r="C91" s="176"/>
      <c r="D91" s="176"/>
      <c r="E91" s="176"/>
      <c r="F91" s="176"/>
      <c r="G91" s="176"/>
      <c r="H91" s="176"/>
      <c r="I91" s="176"/>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row>
    <row r="92" spans="1:65" x14ac:dyDescent="0.2">
      <c r="A92" s="94"/>
      <c r="B92" s="176"/>
      <c r="C92" s="176"/>
      <c r="D92" s="176"/>
      <c r="E92" s="176"/>
      <c r="F92" s="176"/>
      <c r="G92" s="176"/>
      <c r="H92" s="176"/>
      <c r="I92" s="176"/>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row>
    <row r="93" spans="1:65" x14ac:dyDescent="0.2">
      <c r="A93" s="94"/>
      <c r="B93" s="99"/>
      <c r="C93" s="100"/>
      <c r="D93" s="100"/>
      <c r="E93" s="100"/>
      <c r="F93" s="99"/>
      <c r="G93" s="99"/>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row>
    <row r="94" spans="1:65" x14ac:dyDescent="0.2">
      <c r="A94" s="94"/>
      <c r="B94" s="101"/>
      <c r="C94" s="100"/>
      <c r="D94" s="100"/>
      <c r="E94" s="100"/>
      <c r="F94" s="99"/>
      <c r="G94" s="99"/>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row>
    <row r="95" spans="1:65" x14ac:dyDescent="0.2">
      <c r="A95" s="94"/>
      <c r="B95" s="102"/>
      <c r="C95" s="98"/>
      <c r="D95" s="189"/>
      <c r="E95" s="189"/>
      <c r="F95" s="189"/>
      <c r="G95" s="189"/>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row>
    <row r="96" spans="1:65" x14ac:dyDescent="0.2">
      <c r="A96" s="94"/>
      <c r="B96" s="102"/>
      <c r="C96" s="98"/>
      <c r="D96" s="103"/>
      <c r="E96" s="103"/>
      <c r="F96" s="103"/>
      <c r="G96" s="103"/>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row>
    <row r="97" spans="1:65" ht="17" thickBot="1" x14ac:dyDescent="0.25">
      <c r="A97" s="94"/>
      <c r="B97" s="102"/>
      <c r="C97" s="98"/>
      <c r="D97" s="103"/>
      <c r="E97" s="103"/>
      <c r="F97" s="103"/>
      <c r="G97" s="103"/>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row>
    <row r="98" spans="1:65" ht="34" x14ac:dyDescent="0.2">
      <c r="A98" s="94"/>
      <c r="B98" s="94"/>
      <c r="C98" s="68" t="s">
        <v>6</v>
      </c>
      <c r="D98" s="150" t="s">
        <v>137</v>
      </c>
      <c r="E98" s="104" t="s">
        <v>32</v>
      </c>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row>
    <row r="99" spans="1:65" x14ac:dyDescent="0.2">
      <c r="A99" s="94"/>
      <c r="B99" s="94"/>
      <c r="C99" s="13">
        <v>2021</v>
      </c>
      <c r="D99" s="151">
        <f>F33</f>
        <v>1</v>
      </c>
      <c r="E99" s="152">
        <f>D99*E72/E84</f>
        <v>1</v>
      </c>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row>
    <row r="100" spans="1:65" x14ac:dyDescent="0.2">
      <c r="A100" s="94"/>
      <c r="B100" s="94"/>
      <c r="C100" s="13">
        <v>2022</v>
      </c>
      <c r="D100" s="151">
        <f>E33</f>
        <v>1.1499999999999999</v>
      </c>
      <c r="E100" s="152">
        <f>D100*E73/E85</f>
        <v>1.0975657842095454</v>
      </c>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row>
    <row r="101" spans="1:65" ht="17" thickBot="1" x14ac:dyDescent="0.25">
      <c r="A101" s="94"/>
      <c r="B101" s="94"/>
      <c r="C101" s="13">
        <v>2023</v>
      </c>
      <c r="D101" s="151">
        <f>D33</f>
        <v>1.76</v>
      </c>
      <c r="E101" s="153">
        <f>D101*E74/E86</f>
        <v>1.6096787737214382</v>
      </c>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row>
    <row r="102" spans="1:65" x14ac:dyDescent="0.2">
      <c r="A102" s="94"/>
      <c r="B102" s="102"/>
      <c r="C102" s="98"/>
      <c r="D102" s="105"/>
      <c r="E102" s="7"/>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row>
    <row r="103" spans="1:65" ht="19" x14ac:dyDescent="0.25">
      <c r="A103" s="8" t="s">
        <v>10</v>
      </c>
      <c r="B103" s="84"/>
      <c r="C103" s="84"/>
      <c r="D103" s="84"/>
      <c r="E103" s="84"/>
      <c r="F103" s="84"/>
      <c r="G103" s="84"/>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c r="AZ103" s="106"/>
      <c r="BA103" s="106"/>
      <c r="BB103" s="106"/>
      <c r="BC103" s="106"/>
      <c r="BD103" s="106"/>
      <c r="BE103" s="106"/>
      <c r="BF103" s="106"/>
      <c r="BG103" s="106"/>
      <c r="BH103" s="106"/>
      <c r="BI103" s="106"/>
      <c r="BJ103" s="106"/>
      <c r="BK103" s="106"/>
      <c r="BL103" s="106"/>
      <c r="BM103" s="106"/>
    </row>
    <row r="104" spans="1:65" ht="15.75" customHeight="1" x14ac:dyDescent="0.2">
      <c r="A104" s="106"/>
      <c r="B104" s="176" t="s">
        <v>143</v>
      </c>
      <c r="C104" s="176"/>
      <c r="D104" s="176"/>
      <c r="E104" s="176"/>
      <c r="F104" s="176"/>
      <c r="G104" s="176"/>
      <c r="H104" s="176"/>
      <c r="I104" s="17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6"/>
    </row>
    <row r="105" spans="1:65" x14ac:dyDescent="0.2">
      <c r="A105" s="106"/>
      <c r="B105" s="176"/>
      <c r="C105" s="176"/>
      <c r="D105" s="176"/>
      <c r="E105" s="176"/>
      <c r="F105" s="176"/>
      <c r="G105" s="176"/>
      <c r="H105" s="176"/>
      <c r="I105" s="17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c r="AZ105" s="106"/>
      <c r="BA105" s="106"/>
      <c r="BB105" s="106"/>
      <c r="BC105" s="106"/>
      <c r="BD105" s="106"/>
      <c r="BE105" s="106"/>
      <c r="BF105" s="106"/>
      <c r="BG105" s="106"/>
      <c r="BH105" s="106"/>
      <c r="BI105" s="106"/>
      <c r="BJ105" s="106"/>
      <c r="BK105" s="106"/>
      <c r="BL105" s="106"/>
      <c r="BM105" s="106"/>
    </row>
    <row r="106" spans="1:65" x14ac:dyDescent="0.2">
      <c r="A106" s="106"/>
      <c r="B106" s="176"/>
      <c r="C106" s="176"/>
      <c r="D106" s="176"/>
      <c r="E106" s="176"/>
      <c r="F106" s="176"/>
      <c r="G106" s="176"/>
      <c r="H106" s="176"/>
      <c r="I106" s="17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c r="AZ106" s="106"/>
      <c r="BA106" s="106"/>
      <c r="BB106" s="106"/>
      <c r="BC106" s="106"/>
      <c r="BD106" s="106"/>
      <c r="BE106" s="106"/>
      <c r="BF106" s="106"/>
      <c r="BG106" s="106"/>
      <c r="BH106" s="106"/>
      <c r="BI106" s="106"/>
      <c r="BJ106" s="106"/>
      <c r="BK106" s="106"/>
      <c r="BL106" s="106"/>
      <c r="BM106" s="106"/>
    </row>
    <row r="107" spans="1:65" x14ac:dyDescent="0.2">
      <c r="A107" s="106"/>
      <c r="B107" s="84"/>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c r="AZ107" s="106"/>
      <c r="BA107" s="106"/>
      <c r="BB107" s="106"/>
      <c r="BC107" s="106"/>
      <c r="BD107" s="106"/>
      <c r="BE107" s="106"/>
      <c r="BF107" s="106"/>
      <c r="BG107" s="106"/>
      <c r="BH107" s="106"/>
      <c r="BI107" s="106"/>
      <c r="BJ107" s="106"/>
      <c r="BK107" s="106"/>
      <c r="BL107" s="106"/>
      <c r="BM107" s="106"/>
    </row>
    <row r="108" spans="1:65" x14ac:dyDescent="0.2">
      <c r="A108" s="106"/>
      <c r="B108" s="176" t="s">
        <v>139</v>
      </c>
      <c r="C108" s="176"/>
      <c r="D108" s="176"/>
      <c r="E108" s="176"/>
      <c r="F108" s="176"/>
      <c r="G108" s="176"/>
      <c r="H108" s="176"/>
      <c r="I108" s="17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c r="AZ108" s="106"/>
      <c r="BA108" s="106"/>
      <c r="BB108" s="106"/>
      <c r="BC108" s="106"/>
      <c r="BD108" s="106"/>
      <c r="BE108" s="106"/>
      <c r="BF108" s="106"/>
      <c r="BG108" s="106"/>
      <c r="BH108" s="106"/>
      <c r="BI108" s="106"/>
      <c r="BJ108" s="106"/>
      <c r="BK108" s="106"/>
      <c r="BL108" s="106"/>
      <c r="BM108" s="106"/>
    </row>
    <row r="109" spans="1:65" x14ac:dyDescent="0.2">
      <c r="A109" s="106"/>
      <c r="B109" s="176"/>
      <c r="C109" s="176"/>
      <c r="D109" s="176"/>
      <c r="E109" s="176"/>
      <c r="F109" s="176"/>
      <c r="G109" s="176"/>
      <c r="H109" s="176"/>
      <c r="I109" s="17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c r="AZ109" s="106"/>
      <c r="BA109" s="106"/>
      <c r="BB109" s="106"/>
      <c r="BC109" s="106"/>
      <c r="BD109" s="106"/>
      <c r="BE109" s="106"/>
      <c r="BF109" s="106"/>
      <c r="BG109" s="106"/>
      <c r="BH109" s="106"/>
      <c r="BI109" s="106"/>
      <c r="BJ109" s="106"/>
      <c r="BK109" s="106"/>
      <c r="BL109" s="106"/>
      <c r="BM109" s="106"/>
    </row>
    <row r="110" spans="1:65" x14ac:dyDescent="0.2">
      <c r="A110" s="106"/>
      <c r="B110" s="84"/>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c r="AZ110" s="106"/>
      <c r="BA110" s="106"/>
      <c r="BB110" s="106"/>
      <c r="BC110" s="106"/>
      <c r="BD110" s="106"/>
      <c r="BE110" s="106"/>
      <c r="BF110" s="106"/>
      <c r="BG110" s="106"/>
      <c r="BH110" s="106"/>
      <c r="BI110" s="106"/>
      <c r="BJ110" s="106"/>
      <c r="BK110" s="106"/>
      <c r="BL110" s="106"/>
      <c r="BM110" s="106"/>
    </row>
    <row r="111" spans="1:65" x14ac:dyDescent="0.2">
      <c r="A111" s="106"/>
      <c r="B111" s="176" t="s">
        <v>103</v>
      </c>
      <c r="C111" s="176"/>
      <c r="D111" s="176"/>
      <c r="E111" s="176"/>
      <c r="F111" s="176"/>
      <c r="G111" s="176"/>
      <c r="H111" s="176"/>
      <c r="I111" s="17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c r="AZ111" s="106"/>
      <c r="BA111" s="106"/>
      <c r="BB111" s="106"/>
      <c r="BC111" s="106"/>
      <c r="BD111" s="106"/>
      <c r="BE111" s="106"/>
      <c r="BF111" s="106"/>
      <c r="BG111" s="106"/>
      <c r="BH111" s="106"/>
      <c r="BI111" s="106"/>
      <c r="BJ111" s="106"/>
      <c r="BK111" s="106"/>
      <c r="BL111" s="106"/>
      <c r="BM111" s="106"/>
    </row>
    <row r="112" spans="1:65" x14ac:dyDescent="0.2">
      <c r="A112" s="106"/>
      <c r="B112" s="176"/>
      <c r="C112" s="176"/>
      <c r="D112" s="176"/>
      <c r="E112" s="176"/>
      <c r="F112" s="176"/>
      <c r="G112" s="176"/>
      <c r="H112" s="176"/>
      <c r="I112" s="17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c r="AZ112" s="106"/>
      <c r="BA112" s="106"/>
      <c r="BB112" s="106"/>
      <c r="BC112" s="106"/>
      <c r="BD112" s="106"/>
      <c r="BE112" s="106"/>
      <c r="BF112" s="106"/>
      <c r="BG112" s="106"/>
      <c r="BH112" s="106"/>
      <c r="BI112" s="106"/>
      <c r="BJ112" s="106"/>
      <c r="BK112" s="106"/>
      <c r="BL112" s="106"/>
      <c r="BM112" s="106"/>
    </row>
    <row r="113" spans="1:65" x14ac:dyDescent="0.2">
      <c r="A113" s="106"/>
      <c r="B113" s="176"/>
      <c r="C113" s="176"/>
      <c r="D113" s="176"/>
      <c r="E113" s="176"/>
      <c r="F113" s="176"/>
      <c r="G113" s="176"/>
      <c r="H113" s="176"/>
      <c r="I113" s="17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c r="AZ113" s="106"/>
      <c r="BA113" s="106"/>
      <c r="BB113" s="106"/>
      <c r="BC113" s="106"/>
      <c r="BD113" s="106"/>
      <c r="BE113" s="106"/>
      <c r="BF113" s="106"/>
      <c r="BG113" s="106"/>
      <c r="BH113" s="106"/>
      <c r="BI113" s="106"/>
      <c r="BJ113" s="106"/>
      <c r="BK113" s="106"/>
      <c r="BL113" s="106"/>
      <c r="BM113" s="106"/>
    </row>
    <row r="114" spans="1:65" x14ac:dyDescent="0.2">
      <c r="A114" s="106"/>
      <c r="B114" s="176"/>
      <c r="C114" s="176"/>
      <c r="D114" s="176"/>
      <c r="E114" s="176"/>
      <c r="F114" s="176"/>
      <c r="G114" s="176"/>
      <c r="H114" s="176"/>
      <c r="I114" s="17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c r="AZ114" s="106"/>
      <c r="BA114" s="106"/>
      <c r="BB114" s="106"/>
      <c r="BC114" s="106"/>
      <c r="BD114" s="106"/>
      <c r="BE114" s="106"/>
      <c r="BF114" s="106"/>
      <c r="BG114" s="106"/>
      <c r="BH114" s="106"/>
      <c r="BI114" s="106"/>
      <c r="BJ114" s="106"/>
      <c r="BK114" s="106"/>
      <c r="BL114" s="106"/>
      <c r="BM114" s="106"/>
    </row>
    <row r="115" spans="1:65" x14ac:dyDescent="0.2">
      <c r="A115" s="106"/>
      <c r="B115" s="84"/>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c r="AZ115" s="106"/>
      <c r="BA115" s="106"/>
      <c r="BB115" s="106"/>
      <c r="BC115" s="106"/>
      <c r="BD115" s="106"/>
      <c r="BE115" s="106"/>
      <c r="BF115" s="106"/>
      <c r="BG115" s="106"/>
      <c r="BH115" s="106"/>
      <c r="BI115" s="106"/>
      <c r="BJ115" s="106"/>
      <c r="BK115" s="106"/>
      <c r="BL115" s="106"/>
      <c r="BM115" s="106"/>
    </row>
    <row r="116" spans="1:65" x14ac:dyDescent="0.2">
      <c r="A116" s="106"/>
      <c r="B116" s="176" t="s">
        <v>104</v>
      </c>
      <c r="C116" s="176"/>
      <c r="D116" s="176"/>
      <c r="E116" s="176"/>
      <c r="F116" s="176"/>
      <c r="G116" s="176"/>
      <c r="H116" s="176"/>
      <c r="I116" s="17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c r="AZ116" s="106"/>
      <c r="BA116" s="106"/>
      <c r="BB116" s="106"/>
      <c r="BC116" s="106"/>
      <c r="BD116" s="106"/>
      <c r="BE116" s="106"/>
      <c r="BF116" s="106"/>
      <c r="BG116" s="106"/>
      <c r="BH116" s="106"/>
      <c r="BI116" s="106"/>
      <c r="BJ116" s="106"/>
      <c r="BK116" s="106"/>
      <c r="BL116" s="106"/>
      <c r="BM116" s="106"/>
    </row>
    <row r="117" spans="1:65" x14ac:dyDescent="0.2">
      <c r="A117" s="106"/>
      <c r="B117" s="176"/>
      <c r="C117" s="176"/>
      <c r="D117" s="176"/>
      <c r="E117" s="176"/>
      <c r="F117" s="176"/>
      <c r="G117" s="176"/>
      <c r="H117" s="176"/>
      <c r="I117" s="17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row>
    <row r="118" spans="1:65" x14ac:dyDescent="0.2">
      <c r="A118" s="106"/>
      <c r="B118" s="176"/>
      <c r="C118" s="176"/>
      <c r="D118" s="176"/>
      <c r="E118" s="176"/>
      <c r="F118" s="176"/>
      <c r="G118" s="176"/>
      <c r="H118" s="176"/>
      <c r="I118" s="17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c r="AZ118" s="106"/>
      <c r="BA118" s="106"/>
      <c r="BB118" s="106"/>
      <c r="BC118" s="106"/>
      <c r="BD118" s="106"/>
      <c r="BE118" s="106"/>
      <c r="BF118" s="106"/>
      <c r="BG118" s="106"/>
      <c r="BH118" s="106"/>
      <c r="BI118" s="106"/>
      <c r="BJ118" s="106"/>
      <c r="BK118" s="106"/>
      <c r="BL118" s="106"/>
      <c r="BM118" s="106"/>
    </row>
    <row r="119" spans="1:65" x14ac:dyDescent="0.2">
      <c r="A119" s="106"/>
      <c r="B119" s="107"/>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row>
    <row r="120" spans="1:65" ht="19" x14ac:dyDescent="0.25">
      <c r="A120" s="106"/>
      <c r="B120" s="108" t="s">
        <v>60</v>
      </c>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row>
    <row r="121" spans="1:65" ht="18" customHeight="1" x14ac:dyDescent="0.2">
      <c r="A121" s="106"/>
      <c r="B121" s="176" t="s">
        <v>114</v>
      </c>
      <c r="C121" s="176"/>
      <c r="D121" s="176"/>
      <c r="E121" s="176"/>
      <c r="F121" s="176"/>
      <c r="G121" s="176"/>
      <c r="H121" s="176"/>
      <c r="I121" s="17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6"/>
    </row>
    <row r="122" spans="1:65" x14ac:dyDescent="0.2">
      <c r="A122" s="106"/>
      <c r="B122" s="176"/>
      <c r="C122" s="176"/>
      <c r="D122" s="176"/>
      <c r="E122" s="176"/>
      <c r="F122" s="176"/>
      <c r="G122" s="176"/>
      <c r="H122" s="176"/>
      <c r="I122" s="17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c r="AZ122" s="106"/>
      <c r="BA122" s="106"/>
      <c r="BB122" s="106"/>
      <c r="BC122" s="106"/>
      <c r="BD122" s="106"/>
      <c r="BE122" s="106"/>
      <c r="BF122" s="106"/>
      <c r="BG122" s="106"/>
      <c r="BH122" s="106"/>
      <c r="BI122" s="106"/>
      <c r="BJ122" s="106"/>
      <c r="BK122" s="106"/>
      <c r="BL122" s="106"/>
      <c r="BM122" s="106"/>
    </row>
    <row r="123" spans="1:65" ht="18" customHeight="1" x14ac:dyDescent="0.2">
      <c r="A123" s="106"/>
      <c r="B123" s="176"/>
      <c r="C123" s="176"/>
      <c r="D123" s="176"/>
      <c r="E123" s="176"/>
      <c r="F123" s="176"/>
      <c r="G123" s="176"/>
      <c r="H123" s="176"/>
      <c r="I123" s="17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row>
    <row r="124" spans="1:65" x14ac:dyDescent="0.2">
      <c r="A124" s="106"/>
      <c r="B124" s="176"/>
      <c r="C124" s="176"/>
      <c r="D124" s="176"/>
      <c r="E124" s="176"/>
      <c r="F124" s="176"/>
      <c r="G124" s="176"/>
      <c r="H124" s="176"/>
      <c r="I124" s="17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row>
    <row r="125" spans="1:65" x14ac:dyDescent="0.2">
      <c r="A125" s="106"/>
      <c r="B125" s="84"/>
      <c r="C125" s="84"/>
      <c r="D125" s="84"/>
      <c r="E125" s="84"/>
      <c r="F125" s="84"/>
      <c r="G125" s="84"/>
      <c r="H125" s="84"/>
      <c r="I125" s="84"/>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c r="AZ125" s="106"/>
      <c r="BA125" s="106"/>
      <c r="BB125" s="106"/>
      <c r="BC125" s="106"/>
      <c r="BD125" s="106"/>
      <c r="BE125" s="106"/>
      <c r="BF125" s="106"/>
      <c r="BG125" s="106"/>
      <c r="BH125" s="106"/>
      <c r="BI125" s="106"/>
      <c r="BJ125" s="106"/>
      <c r="BK125" s="106"/>
      <c r="BL125" s="106"/>
      <c r="BM125" s="106"/>
    </row>
    <row r="126" spans="1:65" x14ac:dyDescent="0.2">
      <c r="A126" s="106"/>
      <c r="B126" s="84" t="s">
        <v>105</v>
      </c>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c r="AZ126" s="106"/>
      <c r="BA126" s="106"/>
      <c r="BB126" s="106"/>
      <c r="BC126" s="106"/>
      <c r="BD126" s="106"/>
      <c r="BE126" s="106"/>
      <c r="BF126" s="106"/>
      <c r="BG126" s="106"/>
      <c r="BH126" s="106"/>
      <c r="BI126" s="106"/>
      <c r="BJ126" s="106"/>
      <c r="BK126" s="106"/>
      <c r="BL126" s="106"/>
      <c r="BM126" s="106"/>
    </row>
    <row r="127" spans="1:65" x14ac:dyDescent="0.2">
      <c r="A127" s="106"/>
      <c r="B127" s="84"/>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c r="AZ127" s="106"/>
      <c r="BA127" s="106"/>
      <c r="BB127" s="106"/>
      <c r="BC127" s="106"/>
      <c r="BD127" s="106"/>
      <c r="BE127" s="106"/>
      <c r="BF127" s="106"/>
      <c r="BG127" s="106"/>
      <c r="BH127" s="106"/>
      <c r="BI127" s="106"/>
      <c r="BJ127" s="106"/>
      <c r="BK127" s="106"/>
      <c r="BL127" s="106"/>
      <c r="BM127" s="106"/>
    </row>
    <row r="128" spans="1:65" ht="19" x14ac:dyDescent="0.25">
      <c r="A128" s="106"/>
      <c r="B128" s="108" t="s">
        <v>61</v>
      </c>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row>
    <row r="129" spans="1:65" ht="18" x14ac:dyDescent="0.25">
      <c r="A129" s="106"/>
      <c r="B129" s="84" t="s">
        <v>106</v>
      </c>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row>
    <row r="130" spans="1:65" x14ac:dyDescent="0.2">
      <c r="A130" s="106"/>
      <c r="B130" s="84"/>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106"/>
      <c r="BH130" s="106"/>
      <c r="BI130" s="106"/>
      <c r="BJ130" s="106"/>
      <c r="BK130" s="106"/>
      <c r="BL130" s="106"/>
      <c r="BM130" s="106"/>
    </row>
    <row r="131" spans="1:65" x14ac:dyDescent="0.2">
      <c r="A131" s="106"/>
      <c r="B131" s="176" t="s">
        <v>107</v>
      </c>
      <c r="C131" s="176"/>
      <c r="D131" s="176"/>
      <c r="E131" s="176"/>
      <c r="F131" s="176"/>
      <c r="G131" s="176"/>
      <c r="H131" s="176"/>
      <c r="I131" s="17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c r="AZ131" s="106"/>
      <c r="BA131" s="106"/>
      <c r="BB131" s="106"/>
      <c r="BC131" s="106"/>
      <c r="BD131" s="106"/>
      <c r="BE131" s="106"/>
      <c r="BF131" s="106"/>
      <c r="BG131" s="106"/>
      <c r="BH131" s="106"/>
      <c r="BI131" s="106"/>
      <c r="BJ131" s="106"/>
      <c r="BK131" s="106"/>
      <c r="BL131" s="106"/>
      <c r="BM131" s="106"/>
    </row>
    <row r="132" spans="1:65" x14ac:dyDescent="0.2">
      <c r="A132" s="106"/>
      <c r="B132" s="176"/>
      <c r="C132" s="176"/>
      <c r="D132" s="176"/>
      <c r="E132" s="176"/>
      <c r="F132" s="176"/>
      <c r="G132" s="176"/>
      <c r="H132" s="176"/>
      <c r="I132" s="17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c r="AZ132" s="106"/>
      <c r="BA132" s="106"/>
      <c r="BB132" s="106"/>
      <c r="BC132" s="106"/>
      <c r="BD132" s="106"/>
      <c r="BE132" s="106"/>
      <c r="BF132" s="106"/>
      <c r="BG132" s="106"/>
      <c r="BH132" s="106"/>
      <c r="BI132" s="106"/>
      <c r="BJ132" s="106"/>
      <c r="BK132" s="106"/>
      <c r="BL132" s="106"/>
      <c r="BM132" s="106"/>
    </row>
    <row r="133" spans="1:65" x14ac:dyDescent="0.2">
      <c r="A133" s="106"/>
      <c r="B133" s="84"/>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c r="AZ133" s="106"/>
      <c r="BA133" s="106"/>
      <c r="BB133" s="106"/>
      <c r="BC133" s="106"/>
      <c r="BD133" s="106"/>
      <c r="BE133" s="106"/>
      <c r="BF133" s="106"/>
      <c r="BG133" s="106"/>
      <c r="BH133" s="106"/>
      <c r="BI133" s="106"/>
      <c r="BJ133" s="106"/>
      <c r="BK133" s="106"/>
      <c r="BL133" s="106"/>
      <c r="BM133" s="106"/>
    </row>
    <row r="134" spans="1:65" ht="19" x14ac:dyDescent="0.25">
      <c r="A134" s="106"/>
      <c r="B134" s="109" t="s">
        <v>62</v>
      </c>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c r="AZ134" s="106"/>
      <c r="BA134" s="106"/>
      <c r="BB134" s="106"/>
      <c r="BC134" s="106"/>
      <c r="BD134" s="106"/>
      <c r="BE134" s="106"/>
      <c r="BF134" s="106"/>
      <c r="BG134" s="106"/>
      <c r="BH134" s="106"/>
      <c r="BI134" s="106"/>
      <c r="BJ134" s="106"/>
      <c r="BK134" s="106"/>
      <c r="BL134" s="106"/>
      <c r="BM134" s="106"/>
    </row>
    <row r="135" spans="1:65" ht="18" x14ac:dyDescent="0.25">
      <c r="A135" s="106"/>
      <c r="B135" s="7" t="s">
        <v>115</v>
      </c>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c r="AZ135" s="106"/>
      <c r="BA135" s="106"/>
      <c r="BB135" s="106"/>
      <c r="BC135" s="106"/>
      <c r="BD135" s="106"/>
      <c r="BE135" s="106"/>
      <c r="BF135" s="106"/>
      <c r="BG135" s="106"/>
      <c r="BH135" s="106"/>
      <c r="BI135" s="106"/>
      <c r="BJ135" s="106"/>
      <c r="BK135" s="106"/>
      <c r="BL135" s="106"/>
      <c r="BM135" s="106"/>
    </row>
    <row r="136" spans="1:65" x14ac:dyDescent="0.2">
      <c r="A136" s="106"/>
      <c r="B136" s="7"/>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c r="AZ136" s="106"/>
      <c r="BA136" s="106"/>
      <c r="BB136" s="106"/>
      <c r="BC136" s="106"/>
      <c r="BD136" s="106"/>
      <c r="BE136" s="106"/>
      <c r="BF136" s="106"/>
      <c r="BG136" s="106"/>
      <c r="BH136" s="106"/>
      <c r="BI136" s="106"/>
      <c r="BJ136" s="106"/>
      <c r="BK136" s="106"/>
      <c r="BL136" s="106"/>
      <c r="BM136" s="106"/>
    </row>
    <row r="137" spans="1:65" ht="18" customHeight="1" x14ac:dyDescent="0.2">
      <c r="A137" s="106"/>
      <c r="B137" s="188" t="s">
        <v>108</v>
      </c>
      <c r="C137" s="188"/>
      <c r="D137" s="188"/>
      <c r="E137" s="188"/>
      <c r="F137" s="188"/>
      <c r="G137" s="188"/>
      <c r="H137" s="188"/>
      <c r="I137" s="188"/>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c r="AZ137" s="106"/>
      <c r="BA137" s="106"/>
      <c r="BB137" s="106"/>
      <c r="BC137" s="106"/>
      <c r="BD137" s="106"/>
      <c r="BE137" s="106"/>
      <c r="BF137" s="106"/>
      <c r="BG137" s="106"/>
      <c r="BH137" s="106"/>
      <c r="BI137" s="106"/>
      <c r="BJ137" s="106"/>
      <c r="BK137" s="106"/>
      <c r="BL137" s="106"/>
      <c r="BM137" s="106"/>
    </row>
    <row r="138" spans="1:65" x14ac:dyDescent="0.2">
      <c r="A138" s="106"/>
      <c r="B138" s="188"/>
      <c r="C138" s="188"/>
      <c r="D138" s="188"/>
      <c r="E138" s="188"/>
      <c r="F138" s="188"/>
      <c r="G138" s="188"/>
      <c r="H138" s="188"/>
      <c r="I138" s="188"/>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c r="AZ138" s="106"/>
      <c r="BA138" s="106"/>
      <c r="BB138" s="106"/>
      <c r="BC138" s="106"/>
      <c r="BD138" s="106"/>
      <c r="BE138" s="106"/>
      <c r="BF138" s="106"/>
      <c r="BG138" s="106"/>
      <c r="BH138" s="106"/>
      <c r="BI138" s="106"/>
      <c r="BJ138" s="106"/>
      <c r="BK138" s="106"/>
      <c r="BL138" s="106"/>
      <c r="BM138" s="106"/>
    </row>
    <row r="139" spans="1:65" ht="18" customHeight="1" x14ac:dyDescent="0.2">
      <c r="A139" s="106"/>
      <c r="B139" s="188"/>
      <c r="C139" s="188"/>
      <c r="D139" s="188"/>
      <c r="E139" s="188"/>
      <c r="F139" s="188"/>
      <c r="G139" s="188"/>
      <c r="H139" s="188"/>
      <c r="I139" s="188"/>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c r="AZ139" s="106"/>
      <c r="BA139" s="106"/>
      <c r="BB139" s="106"/>
      <c r="BC139" s="106"/>
      <c r="BD139" s="106"/>
      <c r="BE139" s="106"/>
      <c r="BF139" s="106"/>
      <c r="BG139" s="106"/>
      <c r="BH139" s="106"/>
      <c r="BI139" s="106"/>
      <c r="BJ139" s="106"/>
      <c r="BK139" s="106"/>
      <c r="BL139" s="106"/>
      <c r="BM139" s="106"/>
    </row>
    <row r="140" spans="1:65" x14ac:dyDescent="0.2">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c r="AZ140" s="106"/>
      <c r="BA140" s="106"/>
      <c r="BB140" s="106"/>
      <c r="BC140" s="106"/>
      <c r="BD140" s="106"/>
      <c r="BE140" s="106"/>
      <c r="BF140" s="106"/>
      <c r="BG140" s="106"/>
      <c r="BH140" s="106"/>
      <c r="BI140" s="106"/>
      <c r="BJ140" s="106"/>
      <c r="BK140" s="106"/>
      <c r="BL140" s="106"/>
      <c r="BM140" s="106"/>
    </row>
    <row r="141" spans="1:65" ht="19" x14ac:dyDescent="0.25">
      <c r="A141" s="106"/>
      <c r="B141" s="109" t="s">
        <v>63</v>
      </c>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c r="AZ141" s="106"/>
      <c r="BA141" s="106"/>
      <c r="BB141" s="106"/>
      <c r="BC141" s="106"/>
      <c r="BD141" s="106"/>
      <c r="BE141" s="106"/>
      <c r="BF141" s="106"/>
      <c r="BG141" s="106"/>
      <c r="BH141" s="106"/>
      <c r="BI141" s="106"/>
      <c r="BJ141" s="106"/>
      <c r="BK141" s="106"/>
      <c r="BL141" s="106"/>
      <c r="BM141" s="106"/>
    </row>
    <row r="142" spans="1:65" ht="18" x14ac:dyDescent="0.25">
      <c r="A142" s="106"/>
      <c r="B142" s="7" t="s">
        <v>82</v>
      </c>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c r="AZ142" s="106"/>
      <c r="BA142" s="106"/>
      <c r="BB142" s="106"/>
      <c r="BC142" s="106"/>
      <c r="BD142" s="106"/>
      <c r="BE142" s="106"/>
      <c r="BF142" s="106"/>
      <c r="BG142" s="106"/>
      <c r="BH142" s="106"/>
      <c r="BI142" s="106"/>
      <c r="BJ142" s="106"/>
      <c r="BK142" s="106"/>
      <c r="BL142" s="106"/>
      <c r="BM142" s="106"/>
    </row>
    <row r="143" spans="1:65" x14ac:dyDescent="0.2">
      <c r="A143" s="106"/>
      <c r="B143" s="7"/>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row>
    <row r="144" spans="1:65" ht="15.75" customHeight="1" x14ac:dyDescent="0.2">
      <c r="A144" s="106"/>
      <c r="B144" s="176" t="s">
        <v>109</v>
      </c>
      <c r="C144" s="176"/>
      <c r="D144" s="176"/>
      <c r="E144" s="176"/>
      <c r="F144" s="176"/>
      <c r="G144" s="176"/>
      <c r="H144" s="176"/>
      <c r="I144" s="17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c r="AZ144" s="106"/>
      <c r="BA144" s="106"/>
      <c r="BB144" s="106"/>
      <c r="BC144" s="106"/>
      <c r="BD144" s="106"/>
      <c r="BE144" s="106"/>
      <c r="BF144" s="106"/>
      <c r="BG144" s="106"/>
      <c r="BH144" s="106"/>
      <c r="BI144" s="106"/>
      <c r="BJ144" s="106"/>
      <c r="BK144" s="106"/>
      <c r="BL144" s="106"/>
      <c r="BM144" s="106"/>
    </row>
    <row r="145" spans="1:65" ht="18" customHeight="1" x14ac:dyDescent="0.2">
      <c r="A145" s="106"/>
      <c r="B145" s="176"/>
      <c r="C145" s="176"/>
      <c r="D145" s="176"/>
      <c r="E145" s="176"/>
      <c r="F145" s="176"/>
      <c r="G145" s="176"/>
      <c r="H145" s="176"/>
      <c r="I145" s="17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c r="AZ145" s="106"/>
      <c r="BA145" s="106"/>
      <c r="BB145" s="106"/>
      <c r="BC145" s="106"/>
      <c r="BD145" s="106"/>
      <c r="BE145" s="106"/>
      <c r="BF145" s="106"/>
      <c r="BG145" s="106"/>
      <c r="BH145" s="106"/>
      <c r="BI145" s="106"/>
      <c r="BJ145" s="106"/>
      <c r="BK145" s="106"/>
      <c r="BL145" s="106"/>
      <c r="BM145" s="106"/>
    </row>
    <row r="146" spans="1:65" x14ac:dyDescent="0.2">
      <c r="A146" s="106"/>
      <c r="B146" s="119"/>
      <c r="C146" s="119"/>
      <c r="D146" s="119"/>
      <c r="E146" s="119"/>
      <c r="F146" s="119"/>
      <c r="G146" s="119"/>
      <c r="H146" s="119"/>
      <c r="I146" s="119"/>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c r="AZ146" s="106"/>
      <c r="BA146" s="106"/>
      <c r="BB146" s="106"/>
      <c r="BC146" s="106"/>
      <c r="BD146" s="106"/>
      <c r="BE146" s="106"/>
      <c r="BF146" s="106"/>
      <c r="BG146" s="106"/>
      <c r="BH146" s="106"/>
      <c r="BI146" s="106"/>
      <c r="BJ146" s="106"/>
      <c r="BK146" s="106"/>
      <c r="BL146" s="106"/>
      <c r="BM146" s="106"/>
    </row>
    <row r="147" spans="1:65" x14ac:dyDescent="0.2">
      <c r="A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c r="AZ147" s="106"/>
      <c r="BA147" s="106"/>
      <c r="BB147" s="106"/>
      <c r="BC147" s="106"/>
      <c r="BD147" s="106"/>
      <c r="BE147" s="106"/>
      <c r="BF147" s="106"/>
      <c r="BG147" s="106"/>
      <c r="BH147" s="106"/>
      <c r="BI147" s="106"/>
      <c r="BJ147" s="106"/>
      <c r="BK147" s="106"/>
      <c r="BL147" s="106"/>
      <c r="BM147" s="106"/>
    </row>
    <row r="148" spans="1:65" x14ac:dyDescent="0.2">
      <c r="A148" s="106"/>
      <c r="B148" s="84"/>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c r="AZ148" s="106"/>
      <c r="BA148" s="106"/>
      <c r="BB148" s="106"/>
      <c r="BC148" s="106"/>
      <c r="BD148" s="106"/>
      <c r="BE148" s="106"/>
      <c r="BF148" s="106"/>
      <c r="BG148" s="106"/>
      <c r="BH148" s="106"/>
      <c r="BI148" s="106"/>
      <c r="BJ148" s="106"/>
      <c r="BK148" s="106"/>
      <c r="BL148" s="106"/>
      <c r="BM148" s="106"/>
    </row>
    <row r="149" spans="1:65" ht="18" customHeight="1" x14ac:dyDescent="0.2">
      <c r="A149" s="106"/>
      <c r="B149" s="176" t="s">
        <v>110</v>
      </c>
      <c r="C149" s="176"/>
      <c r="D149" s="176"/>
      <c r="E149" s="176"/>
      <c r="F149" s="176"/>
      <c r="G149" s="176"/>
      <c r="H149" s="176"/>
      <c r="I149" s="17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c r="AZ149" s="106"/>
      <c r="BA149" s="106"/>
      <c r="BB149" s="106"/>
      <c r="BC149" s="106"/>
      <c r="BD149" s="106"/>
      <c r="BE149" s="106"/>
      <c r="BF149" s="106"/>
      <c r="BG149" s="106"/>
      <c r="BH149" s="106"/>
      <c r="BI149" s="106"/>
      <c r="BJ149" s="106"/>
      <c r="BK149" s="106"/>
      <c r="BL149" s="106"/>
      <c r="BM149" s="106"/>
    </row>
    <row r="150" spans="1:65" x14ac:dyDescent="0.2">
      <c r="A150" s="106"/>
      <c r="B150" s="84"/>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c r="AZ150" s="106"/>
      <c r="BA150" s="106"/>
      <c r="BB150" s="106"/>
      <c r="BC150" s="106"/>
      <c r="BD150" s="106"/>
      <c r="BE150" s="106"/>
      <c r="BF150" s="106"/>
      <c r="BG150" s="106"/>
      <c r="BH150" s="106"/>
      <c r="BI150" s="106"/>
      <c r="BJ150" s="106"/>
      <c r="BK150" s="106"/>
      <c r="BL150" s="106"/>
      <c r="BM150" s="106"/>
    </row>
    <row r="151" spans="1:65" ht="19" x14ac:dyDescent="0.25">
      <c r="A151" s="106"/>
      <c r="B151" s="109" t="s">
        <v>64</v>
      </c>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c r="AZ151" s="106"/>
      <c r="BA151" s="106"/>
      <c r="BB151" s="106"/>
      <c r="BC151" s="106"/>
      <c r="BD151" s="106"/>
      <c r="BE151" s="106"/>
      <c r="BF151" s="106"/>
      <c r="BG151" s="106"/>
      <c r="BH151" s="106"/>
      <c r="BI151" s="106"/>
      <c r="BJ151" s="106"/>
      <c r="BK151" s="106"/>
      <c r="BL151" s="106"/>
      <c r="BM151" s="106"/>
    </row>
    <row r="152" spans="1:65" ht="18" x14ac:dyDescent="0.25">
      <c r="A152" s="106"/>
      <c r="B152" s="7" t="s">
        <v>83</v>
      </c>
      <c r="C152" s="84"/>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row>
    <row r="153" spans="1:65" x14ac:dyDescent="0.2">
      <c r="A153" s="106"/>
      <c r="B153" s="7"/>
      <c r="C153" s="84"/>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c r="AX153" s="106"/>
      <c r="AY153" s="106"/>
      <c r="AZ153" s="106"/>
      <c r="BA153" s="106"/>
      <c r="BB153" s="106"/>
      <c r="BC153" s="106"/>
      <c r="BD153" s="106"/>
      <c r="BE153" s="106"/>
      <c r="BF153" s="106"/>
      <c r="BG153" s="106"/>
      <c r="BH153" s="106"/>
      <c r="BI153" s="106"/>
      <c r="BJ153" s="106"/>
      <c r="BK153" s="106"/>
      <c r="BL153" s="106"/>
      <c r="BM153" s="106"/>
    </row>
    <row r="154" spans="1:65" x14ac:dyDescent="0.2">
      <c r="A154" s="106"/>
      <c r="B154" s="176" t="s">
        <v>116</v>
      </c>
      <c r="C154" s="176"/>
      <c r="D154" s="176"/>
      <c r="E154" s="176"/>
      <c r="F154" s="176"/>
      <c r="G154" s="176"/>
      <c r="H154" s="176"/>
      <c r="I154" s="17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c r="AZ154" s="106"/>
      <c r="BA154" s="106"/>
      <c r="BB154" s="106"/>
      <c r="BC154" s="106"/>
      <c r="BD154" s="106"/>
      <c r="BE154" s="106"/>
      <c r="BF154" s="106"/>
      <c r="BG154" s="106"/>
      <c r="BH154" s="106"/>
      <c r="BI154" s="106"/>
      <c r="BJ154" s="106"/>
      <c r="BK154" s="106"/>
      <c r="BL154" s="106"/>
      <c r="BM154" s="106"/>
    </row>
    <row r="155" spans="1:65" x14ac:dyDescent="0.2">
      <c r="A155" s="106"/>
      <c r="B155" s="176"/>
      <c r="C155" s="176"/>
      <c r="D155" s="176"/>
      <c r="E155" s="176"/>
      <c r="F155" s="176"/>
      <c r="G155" s="176"/>
      <c r="H155" s="176"/>
      <c r="I155" s="17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c r="AZ155" s="106"/>
      <c r="BA155" s="106"/>
      <c r="BB155" s="106"/>
      <c r="BC155" s="106"/>
      <c r="BD155" s="106"/>
      <c r="BE155" s="106"/>
      <c r="BF155" s="106"/>
      <c r="BG155" s="106"/>
      <c r="BH155" s="106"/>
      <c r="BI155" s="106"/>
      <c r="BJ155" s="106"/>
      <c r="BK155" s="106"/>
      <c r="BL155" s="106"/>
      <c r="BM155" s="106"/>
    </row>
    <row r="156" spans="1:65" x14ac:dyDescent="0.2">
      <c r="A156" s="106"/>
      <c r="B156" s="176"/>
      <c r="C156" s="176"/>
      <c r="D156" s="176"/>
      <c r="E156" s="176"/>
      <c r="F156" s="176"/>
      <c r="G156" s="176"/>
      <c r="H156" s="176"/>
      <c r="I156" s="17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c r="AZ156" s="106"/>
      <c r="BA156" s="106"/>
      <c r="BB156" s="106"/>
      <c r="BC156" s="106"/>
      <c r="BD156" s="106"/>
      <c r="BE156" s="106"/>
      <c r="BF156" s="106"/>
      <c r="BG156" s="106"/>
      <c r="BH156" s="106"/>
      <c r="BI156" s="106"/>
      <c r="BJ156" s="106"/>
      <c r="BK156" s="106"/>
      <c r="BL156" s="106"/>
      <c r="BM156" s="106"/>
    </row>
    <row r="157" spans="1:65" x14ac:dyDescent="0.2">
      <c r="A157" s="106"/>
      <c r="B157" s="84"/>
      <c r="C157" s="84"/>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c r="AZ157" s="106"/>
      <c r="BA157" s="106"/>
      <c r="BB157" s="106"/>
      <c r="BC157" s="106"/>
      <c r="BD157" s="106"/>
      <c r="BE157" s="106"/>
      <c r="BF157" s="106"/>
      <c r="BG157" s="106"/>
      <c r="BH157" s="106"/>
      <c r="BI157" s="106"/>
      <c r="BJ157" s="106"/>
      <c r="BK157" s="106"/>
      <c r="BL157" s="106"/>
      <c r="BM157" s="106"/>
    </row>
    <row r="158" spans="1:65" ht="18" x14ac:dyDescent="0.25">
      <c r="A158" s="106"/>
      <c r="B158" s="154" t="s">
        <v>84</v>
      </c>
      <c r="C158" s="84"/>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c r="AZ158" s="106"/>
      <c r="BA158" s="106"/>
      <c r="BB158" s="106"/>
      <c r="BC158" s="106"/>
      <c r="BD158" s="106"/>
      <c r="BE158" s="106"/>
      <c r="BF158" s="106"/>
      <c r="BG158" s="106"/>
      <c r="BH158" s="106"/>
      <c r="BI158" s="106"/>
      <c r="BJ158" s="106"/>
      <c r="BK158" s="106"/>
      <c r="BL158" s="106"/>
      <c r="BM158" s="106"/>
    </row>
    <row r="159" spans="1:65" x14ac:dyDescent="0.2">
      <c r="A159" s="106"/>
      <c r="C159" s="84"/>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c r="AZ159" s="106"/>
      <c r="BA159" s="106"/>
      <c r="BB159" s="106"/>
      <c r="BC159" s="106"/>
      <c r="BD159" s="106"/>
      <c r="BE159" s="106"/>
      <c r="BF159" s="106"/>
      <c r="BG159" s="106"/>
      <c r="BH159" s="106"/>
      <c r="BI159" s="106"/>
      <c r="BJ159" s="106"/>
      <c r="BK159" s="106"/>
      <c r="BL159" s="106"/>
      <c r="BM159" s="106"/>
    </row>
    <row r="160" spans="1:65" x14ac:dyDescent="0.2">
      <c r="A160" s="106"/>
      <c r="B160" s="84"/>
      <c r="C160" s="84"/>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c r="AZ160" s="106"/>
      <c r="BA160" s="106"/>
      <c r="BB160" s="106"/>
      <c r="BC160" s="106"/>
      <c r="BD160" s="106"/>
      <c r="BE160" s="106"/>
      <c r="BF160" s="106"/>
      <c r="BG160" s="106"/>
      <c r="BH160" s="106"/>
      <c r="BI160" s="106"/>
      <c r="BJ160" s="106"/>
      <c r="BK160" s="106"/>
      <c r="BL160" s="106"/>
      <c r="BM160" s="106"/>
    </row>
    <row r="161" spans="1:65" x14ac:dyDescent="0.2">
      <c r="A161" s="106"/>
      <c r="B161" s="84"/>
      <c r="C161" s="84"/>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c r="AZ161" s="106"/>
      <c r="BA161" s="106"/>
      <c r="BB161" s="106"/>
      <c r="BC161" s="106"/>
      <c r="BD161" s="106"/>
      <c r="BE161" s="106"/>
      <c r="BF161" s="106"/>
      <c r="BG161" s="106"/>
      <c r="BH161" s="106"/>
      <c r="BI161" s="106"/>
      <c r="BJ161" s="106"/>
      <c r="BK161" s="106"/>
      <c r="BL161" s="106"/>
      <c r="BM161" s="106"/>
    </row>
    <row r="162" spans="1:65" x14ac:dyDescent="0.2">
      <c r="A162" s="106"/>
      <c r="B162" s="154" t="s">
        <v>65</v>
      </c>
      <c r="C162" s="84"/>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c r="AZ162" s="106"/>
      <c r="BA162" s="106"/>
      <c r="BB162" s="106"/>
      <c r="BC162" s="106"/>
      <c r="BD162" s="106"/>
      <c r="BE162" s="106"/>
      <c r="BF162" s="106"/>
      <c r="BG162" s="106"/>
      <c r="BH162" s="106"/>
      <c r="BI162" s="106"/>
      <c r="BJ162" s="106"/>
      <c r="BK162" s="106"/>
      <c r="BL162" s="106"/>
      <c r="BM162" s="106"/>
    </row>
    <row r="163" spans="1:65" x14ac:dyDescent="0.2">
      <c r="A163" s="106"/>
      <c r="C163" s="84"/>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c r="AZ163" s="106"/>
      <c r="BA163" s="106"/>
      <c r="BB163" s="106"/>
      <c r="BC163" s="106"/>
      <c r="BD163" s="106"/>
      <c r="BE163" s="106"/>
      <c r="BF163" s="106"/>
      <c r="BG163" s="106"/>
      <c r="BH163" s="106"/>
      <c r="BI163" s="106"/>
      <c r="BJ163" s="106"/>
      <c r="BK163" s="106"/>
      <c r="BL163" s="106"/>
      <c r="BM163" s="106"/>
    </row>
    <row r="164" spans="1:65" x14ac:dyDescent="0.2">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c r="AZ164" s="106"/>
      <c r="BA164" s="106"/>
      <c r="BB164" s="106"/>
      <c r="BC164" s="106"/>
      <c r="BD164" s="106"/>
      <c r="BE164" s="106"/>
      <c r="BF164" s="106"/>
      <c r="BG164" s="106"/>
      <c r="BH164" s="106"/>
      <c r="BI164" s="106"/>
      <c r="BJ164" s="106"/>
      <c r="BK164" s="106"/>
      <c r="BL164" s="106"/>
      <c r="BM164" s="106"/>
    </row>
    <row r="165" spans="1:65" ht="19" x14ac:dyDescent="0.25">
      <c r="A165" s="8" t="s">
        <v>147</v>
      </c>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c r="AZ165" s="106"/>
      <c r="BA165" s="106"/>
      <c r="BB165" s="106"/>
      <c r="BC165" s="106"/>
      <c r="BD165" s="106"/>
      <c r="BE165" s="106"/>
      <c r="BF165" s="106"/>
      <c r="BG165" s="106"/>
      <c r="BH165" s="106"/>
      <c r="BI165" s="106"/>
      <c r="BJ165" s="106"/>
      <c r="BK165" s="106"/>
      <c r="BL165" s="106"/>
      <c r="BM165" s="106"/>
    </row>
    <row r="166" spans="1:65" x14ac:dyDescent="0.2">
      <c r="A166" s="106"/>
      <c r="B166" s="84" t="s">
        <v>140</v>
      </c>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c r="AZ166" s="106"/>
      <c r="BA166" s="106"/>
      <c r="BB166" s="106"/>
      <c r="BC166" s="106"/>
      <c r="BD166" s="106"/>
      <c r="BE166" s="106"/>
      <c r="BF166" s="106"/>
      <c r="BG166" s="106"/>
      <c r="BH166" s="106"/>
      <c r="BI166" s="106"/>
      <c r="BJ166" s="106"/>
      <c r="BK166" s="106"/>
      <c r="BL166" s="106"/>
      <c r="BM166" s="106"/>
    </row>
    <row r="167" spans="1:65" x14ac:dyDescent="0.2">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row>
    <row r="168" spans="1:65" x14ac:dyDescent="0.2">
      <c r="A168" s="94"/>
      <c r="C168" s="84"/>
      <c r="D168" s="84"/>
      <c r="E168" s="84"/>
      <c r="F168" s="184" t="s">
        <v>48</v>
      </c>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c r="AY168" s="84"/>
      <c r="AZ168" s="84"/>
      <c r="BA168" s="84"/>
      <c r="BB168" s="84"/>
      <c r="BC168" s="84"/>
      <c r="BD168" s="84"/>
      <c r="BE168" s="84"/>
      <c r="BF168" s="84"/>
      <c r="BG168" s="84"/>
      <c r="BH168" s="84"/>
      <c r="BI168" s="84"/>
      <c r="BJ168" s="84"/>
    </row>
    <row r="169" spans="1:65" x14ac:dyDescent="0.2">
      <c r="A169" s="94"/>
      <c r="C169" s="84"/>
      <c r="D169" s="84"/>
      <c r="E169" s="183" t="s">
        <v>47</v>
      </c>
      <c r="F169" s="1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84"/>
      <c r="AW169" s="84"/>
      <c r="AX169" s="84"/>
      <c r="AY169" s="84"/>
      <c r="AZ169" s="84"/>
      <c r="BA169" s="84"/>
      <c r="BB169" s="84"/>
      <c r="BC169" s="84"/>
      <c r="BD169" s="84"/>
      <c r="BE169" s="84"/>
      <c r="BF169" s="84"/>
      <c r="BG169" s="84"/>
      <c r="BH169" s="84"/>
      <c r="BI169" s="84"/>
      <c r="BJ169" s="84"/>
    </row>
    <row r="170" spans="1:65" x14ac:dyDescent="0.2">
      <c r="A170" s="94"/>
      <c r="B170" s="78"/>
      <c r="C170" s="95"/>
      <c r="D170" s="181" t="s">
        <v>46</v>
      </c>
      <c r="E170" s="181"/>
      <c r="F170" s="184"/>
      <c r="G170" s="181" t="s">
        <v>30</v>
      </c>
      <c r="H170" s="181" t="s">
        <v>28</v>
      </c>
      <c r="I170" s="181" t="s">
        <v>31</v>
      </c>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c r="AS170" s="84"/>
      <c r="AT170" s="84"/>
      <c r="AU170" s="84"/>
      <c r="AV170" s="84"/>
      <c r="AW170" s="84"/>
      <c r="AX170" s="84"/>
      <c r="AY170" s="84"/>
      <c r="AZ170" s="84"/>
      <c r="BA170" s="84"/>
      <c r="BB170" s="84"/>
      <c r="BC170" s="84"/>
      <c r="BD170" s="84"/>
      <c r="BE170" s="84"/>
      <c r="BF170" s="84"/>
      <c r="BG170" s="84"/>
      <c r="BH170" s="84"/>
      <c r="BI170" s="84"/>
      <c r="BJ170" s="84"/>
    </row>
    <row r="171" spans="1:65" x14ac:dyDescent="0.2">
      <c r="B171" s="68" t="s">
        <v>6</v>
      </c>
      <c r="C171" s="68" t="s">
        <v>29</v>
      </c>
      <c r="D171" s="182"/>
      <c r="E171" s="182"/>
      <c r="F171" s="185"/>
      <c r="G171" s="182"/>
      <c r="H171" s="182"/>
      <c r="I171" s="182"/>
    </row>
    <row r="172" spans="1:65" x14ac:dyDescent="0.2">
      <c r="B172" s="13">
        <v>2014</v>
      </c>
      <c r="C172" s="155">
        <f>C173+12</f>
        <v>36</v>
      </c>
      <c r="D172" s="156">
        <f>D173/(1+$F$20)</f>
        <v>230680.50749711649</v>
      </c>
      <c r="E172" s="156">
        <f>D172*(1-EXP(-1000000/D172))</f>
        <v>227658.16053679545</v>
      </c>
      <c r="F172" s="156">
        <f>D172*(1-EXP(-500000/D172))</f>
        <v>204276.02813017531</v>
      </c>
      <c r="G172" s="157">
        <f>F172/E172</f>
        <v>0.89729279920611071</v>
      </c>
      <c r="H172" s="75">
        <f>F29</f>
        <v>0</v>
      </c>
      <c r="I172" s="157">
        <f>G172+(1-G172)*H172</f>
        <v>0.89729279920611071</v>
      </c>
      <c r="N172" s="96"/>
      <c r="O172" s="97"/>
    </row>
    <row r="173" spans="1:65" x14ac:dyDescent="0.2">
      <c r="B173" s="13">
        <v>2015</v>
      </c>
      <c r="C173" s="155">
        <f>C174+12</f>
        <v>24</v>
      </c>
      <c r="D173" s="156">
        <f>D174/(1+$F$20)</f>
        <v>235294.11764705883</v>
      </c>
      <c r="E173" s="156">
        <f>D173*(1-EXP(-1000000/D173))</f>
        <v>231937.8273155296</v>
      </c>
      <c r="F173" s="156">
        <f>D173*(1-EXP(-500000/D173))</f>
        <v>207192.24276077186</v>
      </c>
      <c r="G173" s="157">
        <f>F173/E173</f>
        <v>0.89330940605434872</v>
      </c>
      <c r="H173" s="75">
        <f>E29</f>
        <v>0.4</v>
      </c>
      <c r="I173" s="157">
        <f>G173+(1-G173)*H173</f>
        <v>0.93598564363260928</v>
      </c>
      <c r="N173" s="96"/>
      <c r="O173" s="97"/>
    </row>
    <row r="174" spans="1:65" x14ac:dyDescent="0.2">
      <c r="B174" s="13">
        <v>2016</v>
      </c>
      <c r="C174" s="155">
        <v>12</v>
      </c>
      <c r="D174" s="156">
        <v>240000</v>
      </c>
      <c r="E174" s="156">
        <f>D174*(1-EXP(-1000000/D174))</f>
        <v>236279.07513623778</v>
      </c>
      <c r="F174" s="156">
        <f>D174*(1-EXP(-500000/D174))</f>
        <v>210116.5268534105</v>
      </c>
      <c r="G174" s="157">
        <f>F174/E174</f>
        <v>0.88927268202763177</v>
      </c>
      <c r="H174" s="75">
        <f>D29</f>
        <v>0.75</v>
      </c>
      <c r="I174" s="157">
        <f>G174+(1-G174)*H174</f>
        <v>0.97231817050690794</v>
      </c>
      <c r="N174" s="96"/>
      <c r="O174" s="97"/>
    </row>
    <row r="175" spans="1:65" x14ac:dyDescent="0.2">
      <c r="A175" s="9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c r="AP175" s="84"/>
      <c r="AQ175" s="84"/>
      <c r="AR175" s="84"/>
      <c r="AS175" s="84"/>
      <c r="AT175" s="84"/>
      <c r="AU175" s="84"/>
      <c r="AV175" s="84"/>
      <c r="AW175" s="84"/>
      <c r="AX175" s="84"/>
      <c r="AY175" s="84"/>
      <c r="AZ175" s="84"/>
      <c r="BA175" s="84"/>
      <c r="BB175" s="84"/>
      <c r="BC175" s="84"/>
      <c r="BD175" s="84"/>
      <c r="BE175" s="84"/>
      <c r="BF175" s="84"/>
      <c r="BG175" s="84"/>
      <c r="BH175" s="84"/>
      <c r="BI175" s="84"/>
      <c r="BJ175" s="84"/>
      <c r="BK175" s="84"/>
      <c r="BL175" s="84"/>
      <c r="BM175" s="84"/>
    </row>
    <row r="176" spans="1:65" ht="19" x14ac:dyDescent="0.25">
      <c r="A176" s="8" t="s">
        <v>51</v>
      </c>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c r="AZ176" s="106"/>
      <c r="BA176" s="106"/>
      <c r="BB176" s="106"/>
      <c r="BC176" s="106"/>
      <c r="BD176" s="106"/>
      <c r="BE176" s="106"/>
      <c r="BF176" s="106"/>
      <c r="BG176" s="106"/>
      <c r="BH176" s="106"/>
      <c r="BI176" s="106"/>
      <c r="BJ176" s="106"/>
      <c r="BK176" s="106"/>
      <c r="BL176" s="106"/>
      <c r="BM176" s="106"/>
    </row>
    <row r="177" spans="1:65" x14ac:dyDescent="0.2">
      <c r="A177" s="106"/>
      <c r="B177" s="84" t="s">
        <v>66</v>
      </c>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c r="AZ177" s="106"/>
      <c r="BA177" s="106"/>
      <c r="BB177" s="106"/>
      <c r="BC177" s="106"/>
      <c r="BD177" s="106"/>
      <c r="BE177" s="106"/>
      <c r="BF177" s="106"/>
      <c r="BG177" s="106"/>
      <c r="BH177" s="106"/>
      <c r="BI177" s="106"/>
      <c r="BJ177" s="106"/>
      <c r="BK177" s="106"/>
      <c r="BL177" s="106"/>
      <c r="BM177" s="106"/>
    </row>
    <row r="178" spans="1:65" x14ac:dyDescent="0.2">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c r="AZ178" s="106"/>
      <c r="BA178" s="106"/>
      <c r="BB178" s="106"/>
      <c r="BC178" s="106"/>
      <c r="BD178" s="106"/>
      <c r="BE178" s="106"/>
      <c r="BF178" s="106"/>
      <c r="BG178" s="106"/>
      <c r="BH178" s="106"/>
      <c r="BI178" s="106"/>
      <c r="BJ178" s="106"/>
      <c r="BK178" s="106"/>
      <c r="BL178" s="106"/>
      <c r="BM178" s="106"/>
    </row>
    <row r="179" spans="1:65" ht="19" x14ac:dyDescent="0.25">
      <c r="A179" s="8" t="s">
        <v>53</v>
      </c>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c r="AZ179" s="106"/>
      <c r="BA179" s="106"/>
      <c r="BB179" s="106"/>
      <c r="BC179" s="106"/>
      <c r="BD179" s="106"/>
      <c r="BE179" s="106"/>
      <c r="BF179" s="106"/>
      <c r="BG179" s="106"/>
      <c r="BH179" s="106"/>
      <c r="BI179" s="106"/>
      <c r="BJ179" s="106"/>
      <c r="BK179" s="106"/>
      <c r="BL179" s="106"/>
      <c r="BM179" s="106"/>
    </row>
    <row r="180" spans="1:65" x14ac:dyDescent="0.2">
      <c r="A180" s="106"/>
      <c r="B180" s="84" t="s">
        <v>67</v>
      </c>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c r="AZ180" s="106"/>
      <c r="BA180" s="106"/>
      <c r="BB180" s="106"/>
      <c r="BC180" s="106"/>
      <c r="BD180" s="106"/>
      <c r="BE180" s="106"/>
      <c r="BF180" s="106"/>
      <c r="BG180" s="106"/>
      <c r="BH180" s="106"/>
      <c r="BI180" s="106"/>
      <c r="BJ180" s="106"/>
      <c r="BK180" s="106"/>
      <c r="BL180" s="106"/>
      <c r="BM180" s="106"/>
    </row>
    <row r="181" spans="1:65" x14ac:dyDescent="0.2">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c r="AZ181" s="106"/>
      <c r="BA181" s="106"/>
      <c r="BB181" s="106"/>
      <c r="BC181" s="106"/>
      <c r="BD181" s="106"/>
      <c r="BE181" s="106"/>
      <c r="BF181" s="106"/>
      <c r="BG181" s="106"/>
      <c r="BH181" s="106"/>
      <c r="BI181" s="106"/>
      <c r="BJ181" s="106"/>
      <c r="BK181" s="106"/>
      <c r="BL181" s="106"/>
      <c r="BM181" s="106"/>
    </row>
    <row r="182" spans="1:65" x14ac:dyDescent="0.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c r="AZ182" s="106"/>
      <c r="BA182" s="106"/>
      <c r="BB182" s="106"/>
      <c r="BC182" s="106"/>
      <c r="BD182" s="106"/>
      <c r="BE182" s="106"/>
      <c r="BF182" s="106"/>
      <c r="BG182" s="106"/>
      <c r="BH182" s="106"/>
      <c r="BI182" s="106"/>
      <c r="BJ182" s="106"/>
      <c r="BK182" s="106"/>
      <c r="BL182" s="106"/>
      <c r="BM182" s="106"/>
    </row>
    <row r="183" spans="1:65" x14ac:dyDescent="0.2">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c r="AZ183" s="106"/>
      <c r="BA183" s="106"/>
      <c r="BB183" s="106"/>
      <c r="BC183" s="106"/>
      <c r="BD183" s="106"/>
      <c r="BE183" s="106"/>
      <c r="BF183" s="106"/>
      <c r="BG183" s="106"/>
      <c r="BH183" s="106"/>
      <c r="BI183" s="106"/>
      <c r="BJ183" s="106"/>
      <c r="BK183" s="106"/>
      <c r="BL183" s="106"/>
      <c r="BM183" s="106"/>
    </row>
    <row r="184" spans="1:65" x14ac:dyDescent="0.2">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c r="AZ184" s="106"/>
      <c r="BA184" s="106"/>
      <c r="BB184" s="106"/>
      <c r="BC184" s="106"/>
      <c r="BD184" s="106"/>
      <c r="BE184" s="106"/>
      <c r="BF184" s="106"/>
      <c r="BG184" s="106"/>
      <c r="BH184" s="106"/>
      <c r="BI184" s="106"/>
      <c r="BJ184" s="106"/>
      <c r="BK184" s="106"/>
      <c r="BL184" s="106"/>
      <c r="BM184" s="106"/>
    </row>
    <row r="185" spans="1:65" x14ac:dyDescent="0.2">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106"/>
      <c r="BH185" s="106"/>
      <c r="BI185" s="106"/>
      <c r="BJ185" s="106"/>
      <c r="BK185" s="106"/>
      <c r="BL185" s="106"/>
      <c r="BM185" s="106"/>
    </row>
    <row r="186" spans="1:65" x14ac:dyDescent="0.2">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row>
    <row r="187" spans="1:65" x14ac:dyDescent="0.2">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c r="AZ187" s="106"/>
      <c r="BA187" s="106"/>
      <c r="BB187" s="106"/>
      <c r="BC187" s="106"/>
      <c r="BD187" s="106"/>
      <c r="BE187" s="106"/>
      <c r="BF187" s="106"/>
      <c r="BG187" s="106"/>
      <c r="BH187" s="106"/>
      <c r="BI187" s="106"/>
      <c r="BJ187" s="106"/>
      <c r="BK187" s="106"/>
      <c r="BL187" s="106"/>
      <c r="BM187" s="106"/>
    </row>
    <row r="188" spans="1:65" x14ac:dyDescent="0.2">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c r="AZ188" s="106"/>
      <c r="BA188" s="106"/>
      <c r="BB188" s="106"/>
      <c r="BC188" s="106"/>
      <c r="BD188" s="106"/>
      <c r="BE188" s="106"/>
      <c r="BF188" s="106"/>
      <c r="BG188" s="106"/>
      <c r="BH188" s="106"/>
      <c r="BI188" s="106"/>
      <c r="BJ188" s="106"/>
      <c r="BK188" s="106"/>
      <c r="BL188" s="106"/>
      <c r="BM188" s="106"/>
    </row>
    <row r="189" spans="1:65" x14ac:dyDescent="0.2">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c r="AZ189" s="106"/>
      <c r="BA189" s="106"/>
      <c r="BB189" s="106"/>
      <c r="BC189" s="106"/>
      <c r="BD189" s="106"/>
      <c r="BE189" s="106"/>
      <c r="BF189" s="106"/>
      <c r="BG189" s="106"/>
      <c r="BH189" s="106"/>
      <c r="BI189" s="106"/>
      <c r="BJ189" s="106"/>
      <c r="BK189" s="106"/>
      <c r="BL189" s="106"/>
      <c r="BM189" s="106"/>
    </row>
    <row r="190" spans="1:65" x14ac:dyDescent="0.2">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c r="AZ190" s="106"/>
      <c r="BA190" s="106"/>
      <c r="BB190" s="106"/>
      <c r="BC190" s="106"/>
      <c r="BD190" s="106"/>
      <c r="BE190" s="106"/>
      <c r="BF190" s="106"/>
      <c r="BG190" s="106"/>
      <c r="BH190" s="106"/>
      <c r="BI190" s="106"/>
      <c r="BJ190" s="106"/>
      <c r="BK190" s="106"/>
      <c r="BL190" s="106"/>
      <c r="BM190" s="106"/>
    </row>
    <row r="191" spans="1:65" x14ac:dyDescent="0.2">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c r="AZ191" s="106"/>
      <c r="BA191" s="106"/>
      <c r="BB191" s="106"/>
      <c r="BC191" s="106"/>
      <c r="BD191" s="106"/>
      <c r="BE191" s="106"/>
      <c r="BF191" s="106"/>
      <c r="BG191" s="106"/>
      <c r="BH191" s="106"/>
      <c r="BI191" s="106"/>
      <c r="BJ191" s="106"/>
      <c r="BK191" s="106"/>
      <c r="BL191" s="106"/>
      <c r="BM191" s="106"/>
    </row>
    <row r="192" spans="1:65" x14ac:dyDescent="0.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c r="AZ192" s="106"/>
      <c r="BA192" s="106"/>
      <c r="BB192" s="106"/>
      <c r="BC192" s="106"/>
      <c r="BD192" s="106"/>
      <c r="BE192" s="106"/>
      <c r="BF192" s="106"/>
      <c r="BG192" s="106"/>
      <c r="BH192" s="106"/>
      <c r="BI192" s="106"/>
      <c r="BJ192" s="106"/>
      <c r="BK192" s="106"/>
      <c r="BL192" s="106"/>
      <c r="BM192" s="106"/>
    </row>
    <row r="193" spans="1:65" x14ac:dyDescent="0.2">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c r="AZ193" s="106"/>
      <c r="BA193" s="106"/>
      <c r="BB193" s="106"/>
      <c r="BC193" s="106"/>
      <c r="BD193" s="106"/>
      <c r="BE193" s="106"/>
      <c r="BF193" s="106"/>
      <c r="BG193" s="106"/>
      <c r="BH193" s="106"/>
      <c r="BI193" s="106"/>
      <c r="BJ193" s="106"/>
      <c r="BK193" s="106"/>
      <c r="BL193" s="106"/>
      <c r="BM193" s="106"/>
    </row>
    <row r="194" spans="1:65" x14ac:dyDescent="0.2">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c r="AZ194" s="106"/>
      <c r="BA194" s="106"/>
      <c r="BB194" s="106"/>
      <c r="BC194" s="106"/>
      <c r="BD194" s="106"/>
      <c r="BE194" s="106"/>
      <c r="BF194" s="106"/>
      <c r="BG194" s="106"/>
      <c r="BH194" s="106"/>
      <c r="BI194" s="106"/>
      <c r="BJ194" s="106"/>
      <c r="BK194" s="106"/>
      <c r="BL194" s="106"/>
      <c r="BM194" s="106"/>
    </row>
    <row r="195" spans="1:65" x14ac:dyDescent="0.2">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c r="AZ195" s="106"/>
      <c r="BA195" s="106"/>
      <c r="BB195" s="106"/>
      <c r="BC195" s="106"/>
      <c r="BD195" s="106"/>
      <c r="BE195" s="106"/>
      <c r="BF195" s="106"/>
      <c r="BG195" s="106"/>
      <c r="BH195" s="106"/>
      <c r="BI195" s="106"/>
      <c r="BJ195" s="106"/>
      <c r="BK195" s="106"/>
      <c r="BL195" s="106"/>
      <c r="BM195" s="106"/>
    </row>
    <row r="196" spans="1:65" x14ac:dyDescent="0.2">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c r="AZ196" s="106"/>
      <c r="BA196" s="106"/>
      <c r="BB196" s="106"/>
      <c r="BC196" s="106"/>
      <c r="BD196" s="106"/>
      <c r="BE196" s="106"/>
      <c r="BF196" s="106"/>
      <c r="BG196" s="106"/>
      <c r="BH196" s="106"/>
      <c r="BI196" s="106"/>
      <c r="BJ196" s="106"/>
      <c r="BK196" s="106"/>
      <c r="BL196" s="106"/>
      <c r="BM196" s="106"/>
    </row>
    <row r="197" spans="1:65" x14ac:dyDescent="0.2">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c r="AZ197" s="106"/>
      <c r="BA197" s="106"/>
      <c r="BB197" s="106"/>
      <c r="BC197" s="106"/>
      <c r="BD197" s="106"/>
      <c r="BE197" s="106"/>
      <c r="BF197" s="106"/>
      <c r="BG197" s="106"/>
      <c r="BH197" s="106"/>
      <c r="BI197" s="106"/>
      <c r="BJ197" s="106"/>
      <c r="BK197" s="106"/>
      <c r="BL197" s="106"/>
      <c r="BM197" s="106"/>
    </row>
    <row r="198" spans="1:65" x14ac:dyDescent="0.2">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c r="AZ198" s="106"/>
      <c r="BA198" s="106"/>
      <c r="BB198" s="106"/>
      <c r="BC198" s="106"/>
      <c r="BD198" s="106"/>
      <c r="BE198" s="106"/>
      <c r="BF198" s="106"/>
      <c r="BG198" s="106"/>
      <c r="BH198" s="106"/>
      <c r="BI198" s="106"/>
      <c r="BJ198" s="106"/>
      <c r="BK198" s="106"/>
      <c r="BL198" s="106"/>
      <c r="BM198" s="106"/>
    </row>
    <row r="199" spans="1:65" x14ac:dyDescent="0.2">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c r="AZ199" s="106"/>
      <c r="BA199" s="106"/>
      <c r="BB199" s="106"/>
      <c r="BC199" s="106"/>
      <c r="BD199" s="106"/>
      <c r="BE199" s="106"/>
      <c r="BF199" s="106"/>
      <c r="BG199" s="106"/>
      <c r="BH199" s="106"/>
      <c r="BI199" s="106"/>
      <c r="BJ199" s="106"/>
      <c r="BK199" s="106"/>
      <c r="BL199" s="106"/>
      <c r="BM199" s="106"/>
    </row>
    <row r="200" spans="1:65" x14ac:dyDescent="0.2">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c r="BC200" s="106"/>
      <c r="BD200" s="106"/>
      <c r="BE200" s="106"/>
      <c r="BF200" s="106"/>
      <c r="BG200" s="106"/>
      <c r="BH200" s="106"/>
      <c r="BI200" s="106"/>
      <c r="BJ200" s="106"/>
      <c r="BK200" s="106"/>
      <c r="BL200" s="106"/>
      <c r="BM200" s="106"/>
    </row>
    <row r="201" spans="1:65" x14ac:dyDescent="0.2">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c r="BC201" s="106"/>
      <c r="BD201" s="106"/>
      <c r="BE201" s="106"/>
      <c r="BF201" s="106"/>
      <c r="BG201" s="106"/>
      <c r="BH201" s="106"/>
      <c r="BI201" s="106"/>
      <c r="BJ201" s="106"/>
      <c r="BK201" s="106"/>
      <c r="BL201" s="106"/>
      <c r="BM201" s="106"/>
    </row>
    <row r="202" spans="1:65" x14ac:dyDescent="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c r="BC202" s="106"/>
      <c r="BD202" s="106"/>
      <c r="BE202" s="106"/>
      <c r="BF202" s="106"/>
      <c r="BG202" s="106"/>
      <c r="BH202" s="106"/>
      <c r="BI202" s="106"/>
      <c r="BJ202" s="106"/>
      <c r="BK202" s="106"/>
      <c r="BL202" s="106"/>
      <c r="BM202" s="106"/>
    </row>
    <row r="203" spans="1:65" x14ac:dyDescent="0.2">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c r="BC203" s="106"/>
      <c r="BD203" s="106"/>
      <c r="BE203" s="106"/>
      <c r="BF203" s="106"/>
      <c r="BG203" s="106"/>
      <c r="BH203" s="106"/>
      <c r="BI203" s="106"/>
      <c r="BJ203" s="106"/>
      <c r="BK203" s="106"/>
      <c r="BL203" s="106"/>
      <c r="BM203" s="106"/>
    </row>
    <row r="204" spans="1:65" x14ac:dyDescent="0.2">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row>
    <row r="205" spans="1:65" x14ac:dyDescent="0.2">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c r="BC205" s="106"/>
      <c r="BD205" s="106"/>
      <c r="BE205" s="106"/>
      <c r="BF205" s="106"/>
      <c r="BG205" s="106"/>
      <c r="BH205" s="106"/>
      <c r="BI205" s="106"/>
      <c r="BJ205" s="106"/>
      <c r="BK205" s="106"/>
      <c r="BL205" s="106"/>
      <c r="BM205" s="106"/>
    </row>
    <row r="206" spans="1:65" x14ac:dyDescent="0.2">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c r="BC206" s="106"/>
      <c r="BD206" s="106"/>
      <c r="BE206" s="106"/>
      <c r="BF206" s="106"/>
      <c r="BG206" s="106"/>
      <c r="BH206" s="106"/>
      <c r="BI206" s="106"/>
      <c r="BJ206" s="106"/>
      <c r="BK206" s="106"/>
      <c r="BL206" s="106"/>
      <c r="BM206" s="106"/>
    </row>
    <row r="207" spans="1:65" x14ac:dyDescent="0.2">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c r="BC207" s="106"/>
      <c r="BD207" s="106"/>
      <c r="BE207" s="106"/>
      <c r="BF207" s="106"/>
      <c r="BG207" s="106"/>
      <c r="BH207" s="106"/>
      <c r="BI207" s="106"/>
      <c r="BJ207" s="106"/>
      <c r="BK207" s="106"/>
      <c r="BL207" s="106"/>
      <c r="BM207" s="106"/>
    </row>
    <row r="208" spans="1:65" x14ac:dyDescent="0.2">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c r="BC208" s="106"/>
      <c r="BD208" s="106"/>
      <c r="BE208" s="106"/>
      <c r="BF208" s="106"/>
      <c r="BG208" s="106"/>
      <c r="BH208" s="106"/>
      <c r="BI208" s="106"/>
      <c r="BJ208" s="106"/>
      <c r="BK208" s="106"/>
      <c r="BL208" s="106"/>
      <c r="BM208" s="106"/>
    </row>
    <row r="209" spans="1:65" x14ac:dyDescent="0.2">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c r="BC209" s="106"/>
      <c r="BD209" s="106"/>
      <c r="BE209" s="106"/>
      <c r="BF209" s="106"/>
      <c r="BG209" s="106"/>
      <c r="BH209" s="106"/>
      <c r="BI209" s="106"/>
      <c r="BJ209" s="106"/>
      <c r="BK209" s="106"/>
      <c r="BL209" s="106"/>
      <c r="BM209" s="106"/>
    </row>
    <row r="210" spans="1:65" x14ac:dyDescent="0.2">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c r="BC210" s="106"/>
      <c r="BD210" s="106"/>
      <c r="BE210" s="106"/>
      <c r="BF210" s="106"/>
      <c r="BG210" s="106"/>
      <c r="BH210" s="106"/>
      <c r="BI210" s="106"/>
      <c r="BJ210" s="106"/>
      <c r="BK210" s="106"/>
      <c r="BL210" s="106"/>
      <c r="BM210" s="106"/>
    </row>
    <row r="211" spans="1:65" x14ac:dyDescent="0.2">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c r="BC211" s="106"/>
      <c r="BD211" s="106"/>
      <c r="BE211" s="106"/>
      <c r="BF211" s="106"/>
      <c r="BG211" s="106"/>
      <c r="BH211" s="106"/>
      <c r="BI211" s="106"/>
      <c r="BJ211" s="106"/>
      <c r="BK211" s="106"/>
      <c r="BL211" s="106"/>
      <c r="BM211" s="106"/>
    </row>
    <row r="212" spans="1:65" x14ac:dyDescent="0.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c r="BC212" s="106"/>
      <c r="BD212" s="106"/>
      <c r="BE212" s="106"/>
      <c r="BF212" s="106"/>
      <c r="BG212" s="106"/>
      <c r="BH212" s="106"/>
      <c r="BI212" s="106"/>
      <c r="BJ212" s="106"/>
      <c r="BK212" s="106"/>
      <c r="BL212" s="106"/>
      <c r="BM212" s="106"/>
    </row>
    <row r="213" spans="1:65" x14ac:dyDescent="0.2">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c r="BC213" s="106"/>
      <c r="BD213" s="106"/>
      <c r="BE213" s="106"/>
      <c r="BF213" s="106"/>
      <c r="BG213" s="106"/>
      <c r="BH213" s="106"/>
      <c r="BI213" s="106"/>
      <c r="BJ213" s="106"/>
      <c r="BK213" s="106"/>
      <c r="BL213" s="106"/>
      <c r="BM213" s="106"/>
    </row>
    <row r="214" spans="1:65" x14ac:dyDescent="0.2">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c r="BC214" s="106"/>
      <c r="BD214" s="106"/>
      <c r="BE214" s="106"/>
      <c r="BF214" s="106"/>
      <c r="BG214" s="106"/>
      <c r="BH214" s="106"/>
      <c r="BI214" s="106"/>
      <c r="BJ214" s="106"/>
      <c r="BK214" s="106"/>
      <c r="BL214" s="106"/>
      <c r="BM214" s="106"/>
    </row>
    <row r="215" spans="1:65" x14ac:dyDescent="0.2">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c r="BC215" s="106"/>
      <c r="BD215" s="106"/>
      <c r="BE215" s="106"/>
      <c r="BF215" s="106"/>
      <c r="BG215" s="106"/>
      <c r="BH215" s="106"/>
      <c r="BI215" s="106"/>
      <c r="BJ215" s="106"/>
      <c r="BK215" s="106"/>
      <c r="BL215" s="106"/>
      <c r="BM215" s="106"/>
    </row>
    <row r="216" spans="1:65" x14ac:dyDescent="0.2">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c r="BC216" s="106"/>
      <c r="BD216" s="106"/>
      <c r="BE216" s="106"/>
      <c r="BF216" s="106"/>
      <c r="BG216" s="106"/>
      <c r="BH216" s="106"/>
      <c r="BI216" s="106"/>
      <c r="BJ216" s="106"/>
      <c r="BK216" s="106"/>
      <c r="BL216" s="106"/>
      <c r="BM216" s="106"/>
    </row>
    <row r="217" spans="1:65" x14ac:dyDescent="0.2">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c r="BC217" s="106"/>
      <c r="BD217" s="106"/>
      <c r="BE217" s="106"/>
      <c r="BF217" s="106"/>
      <c r="BG217" s="106"/>
      <c r="BH217" s="106"/>
      <c r="BI217" s="106"/>
      <c r="BJ217" s="106"/>
      <c r="BK217" s="106"/>
      <c r="BL217" s="106"/>
      <c r="BM217" s="106"/>
    </row>
  </sheetData>
  <mergeCells count="29">
    <mergeCell ref="B144:I145"/>
    <mergeCell ref="B149:I149"/>
    <mergeCell ref="B154:I156"/>
    <mergeCell ref="E46:E47"/>
    <mergeCell ref="E58:E60"/>
    <mergeCell ref="F57:F60"/>
    <mergeCell ref="E70:E71"/>
    <mergeCell ref="E82:E83"/>
    <mergeCell ref="B121:I124"/>
    <mergeCell ref="B131:I132"/>
    <mergeCell ref="B137:I139"/>
    <mergeCell ref="B104:I106"/>
    <mergeCell ref="B108:I109"/>
    <mergeCell ref="B111:I114"/>
    <mergeCell ref="B116:I118"/>
    <mergeCell ref="D95:G95"/>
    <mergeCell ref="I170:I171"/>
    <mergeCell ref="H170:H171"/>
    <mergeCell ref="G170:G171"/>
    <mergeCell ref="E169:E171"/>
    <mergeCell ref="D170:D171"/>
    <mergeCell ref="F168:F171"/>
    <mergeCell ref="B91:I92"/>
    <mergeCell ref="B88:I89"/>
    <mergeCell ref="C5:F5"/>
    <mergeCell ref="C11:F11"/>
    <mergeCell ref="C31:F31"/>
    <mergeCell ref="B40:I41"/>
    <mergeCell ref="B76:I77"/>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LDFs at Basic Limits</vt:lpstr>
      <vt:lpstr>Layer LDFs from Basic</vt:lpstr>
      <vt:lpstr>Simplified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2025-06-19T01:02:58Z</dcterms:modified>
</cp:coreProperties>
</file>