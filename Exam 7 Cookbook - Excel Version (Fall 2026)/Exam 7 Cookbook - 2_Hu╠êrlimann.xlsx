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ACF15B02-4DE7-7C47-A4AE-A90A8EF76CFB}" xr6:coauthVersionLast="47" xr6:coauthVersionMax="47" xr10:uidLastSave="{00000000-0000-0000-0000-000000000000}"/>
  <bookViews>
    <workbookView xWindow="23480" yWindow="500" windowWidth="16280" windowHeight="20640" xr2:uid="{00000000-000D-0000-FFFF-FFFF00000000}"/>
  </bookViews>
  <sheets>
    <sheet name="Credible Loss Ratio" sheetId="1" r:id="rId1"/>
    <sheet name="Optimal Cred Weigh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6" i="2" l="1"/>
  <c r="C56" i="2"/>
  <c r="D55" i="2"/>
  <c r="C55" i="2"/>
  <c r="D54" i="2"/>
  <c r="C54" i="2"/>
  <c r="C38" i="2"/>
  <c r="C37" i="2"/>
  <c r="C36" i="2"/>
  <c r="C48" i="2"/>
  <c r="C47" i="2"/>
  <c r="C46" i="2"/>
  <c r="B56" i="2"/>
  <c r="B55" i="2"/>
  <c r="B54" i="2"/>
  <c r="C57" i="2" l="1"/>
  <c r="D57" i="2"/>
  <c r="C83" i="1" l="1"/>
  <c r="C82" i="1"/>
  <c r="C43" i="1"/>
  <c r="C44" i="1"/>
  <c r="C74" i="1"/>
  <c r="C73" i="1"/>
  <c r="C72" i="1"/>
  <c r="C42" i="1"/>
  <c r="D36" i="2"/>
  <c r="E36" i="2" s="1"/>
  <c r="D46" i="2" s="1"/>
  <c r="E54" i="2" s="1"/>
  <c r="D37" i="2"/>
  <c r="D38" i="2"/>
  <c r="E38" i="2" s="1"/>
  <c r="D48" i="2" s="1"/>
  <c r="E56" i="2" s="1"/>
  <c r="D27" i="1"/>
  <c r="E27" i="1"/>
  <c r="F27" i="1"/>
  <c r="E59" i="1"/>
  <c r="D59" i="1"/>
  <c r="E60" i="1"/>
  <c r="D60" i="1"/>
  <c r="E58" i="1"/>
  <c r="D58" i="1"/>
  <c r="C60" i="1"/>
  <c r="C59" i="1"/>
  <c r="C58" i="1"/>
  <c r="G34" i="1" l="1"/>
  <c r="D44" i="1" s="1"/>
  <c r="F74" i="1" s="1"/>
  <c r="E37" i="2"/>
  <c r="D47" i="2" s="1"/>
  <c r="E55" i="2" l="1"/>
  <c r="E57" i="2" s="1"/>
  <c r="D42" i="1"/>
  <c r="D43" i="1"/>
  <c r="D73" i="1" s="1"/>
  <c r="E44" i="1"/>
  <c r="F60" i="1" s="1"/>
  <c r="E74" i="1"/>
  <c r="D74" i="1"/>
  <c r="E42" i="1"/>
  <c r="F72" i="1"/>
  <c r="D72" i="1"/>
  <c r="E72" i="1"/>
  <c r="E73" i="1" l="1"/>
  <c r="E43" i="1"/>
  <c r="G59" i="1" s="1"/>
  <c r="F73" i="1"/>
  <c r="G60" i="1"/>
  <c r="F83" i="1" s="1"/>
  <c r="F58" i="1"/>
  <c r="G58" i="1"/>
  <c r="E83" i="1" l="1"/>
  <c r="D83" i="1"/>
  <c r="F59" i="1"/>
  <c r="E82" i="1" s="1"/>
  <c r="D82" i="1" l="1"/>
  <c r="F82" i="1"/>
</calcChain>
</file>

<file path=xl/sharedStrings.xml><?xml version="1.0" encoding="utf-8"?>
<sst xmlns="http://schemas.openxmlformats.org/spreadsheetml/2006/main" count="128" uniqueCount="108">
  <si>
    <t>Solution</t>
  </si>
  <si>
    <t>Given the following information:</t>
  </si>
  <si>
    <t>Incremental Paid Claims ($000)</t>
  </si>
  <si>
    <t>Accident Year</t>
  </si>
  <si>
    <t>0-12 Months</t>
  </si>
  <si>
    <t>12-24 Months</t>
  </si>
  <si>
    <t>24-36 Months</t>
  </si>
  <si>
    <t>Earned Premium ($000)</t>
  </si>
  <si>
    <t>Prem</t>
  </si>
  <si>
    <t>p(i)</t>
  </si>
  <si>
    <t>Calculate R_ind and R_coll, the reserve estimates for the individual loss ratio and collective loss ratio methods.</t>
  </si>
  <si>
    <t xml:space="preserve">Reserve estimates ($000) </t>
  </si>
  <si>
    <t>i.    Benktander loss ratio claims reserve</t>
  </si>
  <si>
    <t>ii.   Neuhaus loss ratio claims reserve</t>
  </si>
  <si>
    <t xml:space="preserve">iii.  Optimal credible loss ratio claims reserve </t>
  </si>
  <si>
    <t>Individual Loss Ratio Claims Reserve</t>
  </si>
  <si>
    <t>Collective Loss Ratio Claims Reserve</t>
  </si>
  <si>
    <t>Claims Reserve Estimates</t>
  </si>
  <si>
    <t>12 Months</t>
  </si>
  <si>
    <t>24 Months</t>
  </si>
  <si>
    <t>36 Months</t>
  </si>
  <si>
    <t>Loss Ratio Payout Factor (pi)</t>
  </si>
  <si>
    <r>
      <t>p</t>
    </r>
    <r>
      <rPr>
        <i/>
        <vertAlign val="subscript"/>
        <sz val="12"/>
        <color rgb="FF000000"/>
        <rFont val="Calibri"/>
        <family val="2"/>
      </rPr>
      <t>i</t>
    </r>
  </si>
  <si>
    <t>ultimate loss estimate.</t>
  </si>
  <si>
    <t>Calculate the ratio between the variance of the ultimate loss, Var(U(i)), and the variance of the burning cost ultimate loss estimate, Var(U_BC(i)).</t>
  </si>
  <si>
    <t xml:space="preserve">f(i) = </t>
  </si>
  <si>
    <t>(given)</t>
  </si>
  <si>
    <t>R_ind</t>
  </si>
  <si>
    <t>R_coll</t>
  </si>
  <si>
    <t>t_opt</t>
  </si>
  <si>
    <t>Z_opt</t>
  </si>
  <si>
    <t>R_opt</t>
  </si>
  <si>
    <t>Discussion</t>
  </si>
  <si>
    <t>Source</t>
  </si>
  <si>
    <t>More Practice</t>
  </si>
  <si>
    <t>CAS 2019 – 2</t>
  </si>
  <si>
    <t>CAS 2019 – 3</t>
  </si>
  <si>
    <t xml:space="preserve">CAS 2017 – 1 </t>
  </si>
  <si>
    <t xml:space="preserve">CAS 2016 – 1 </t>
  </si>
  <si>
    <t>CAS 2015 – 1</t>
  </si>
  <si>
    <t>CAS 2013 – 2</t>
  </si>
  <si>
    <t>RF Hürlimann – 1</t>
  </si>
  <si>
    <t>RF Hürlimann – 2</t>
  </si>
  <si>
    <t>RF Hürlimann – 3</t>
  </si>
  <si>
    <t>RF Hürlimann – 4</t>
  </si>
  <si>
    <t>This problem is more of a fringe topic and I don’t see it as a likely problem.</t>
  </si>
  <si>
    <t>A potential twist to this problem is to use the general version of the optimal credibility formula.</t>
  </si>
  <si>
    <t>simplifies to the version above.</t>
  </si>
  <si>
    <r>
      <t>If an exam problem gives a different assumption (e.g. Var(U</t>
    </r>
    <r>
      <rPr>
        <vertAlign val="subscript"/>
        <sz val="12"/>
        <color theme="1"/>
        <rFont val="Calibri"/>
        <family val="2"/>
      </rPr>
      <t>i</t>
    </r>
    <r>
      <rPr>
        <sz val="12"/>
        <color theme="1"/>
        <rFont val="Calibri"/>
        <family val="2"/>
      </rPr>
      <t>) is 25% greater than Var(U</t>
    </r>
    <r>
      <rPr>
        <vertAlign val="subscript"/>
        <sz val="12"/>
        <color theme="1"/>
        <rFont val="Calibri"/>
        <family val="2"/>
      </rPr>
      <t>i</t>
    </r>
    <r>
      <rPr>
        <vertAlign val="superscript"/>
        <sz val="12"/>
        <color theme="1"/>
        <rFont val="Calibri"/>
        <family val="2"/>
      </rPr>
      <t>BC</t>
    </r>
    <r>
      <rPr>
        <sz val="12"/>
        <color theme="1"/>
        <rFont val="Calibri"/>
        <family val="2"/>
      </rPr>
      <t>)), then</t>
    </r>
  </si>
  <si>
    <t>you need to use the general optimal credibility  weight formulas to calculate the optimal credibility</t>
  </si>
  <si>
    <t>Overall, the Hürlimann method is very similar to the credibility method in Mack (2000), which</t>
  </si>
  <si>
    <t>uses the following as the Benktander loss reserve:</t>
  </si>
  <si>
    <t xml:space="preserve">in Hürlimann: </t>
  </si>
  <si>
    <t>As you can see, the Mack (2000) formula, has the same form as the credibility-weighted formula</t>
  </si>
  <si>
    <r>
      <t>The key difference is that Hürlimann uses expected incremental loss ratios, m</t>
    </r>
    <r>
      <rPr>
        <vertAlign val="subscript"/>
        <sz val="12"/>
        <color theme="1"/>
        <rFont val="Calibri"/>
        <family val="2"/>
      </rPr>
      <t>k</t>
    </r>
    <r>
      <rPr>
        <sz val="12"/>
        <color theme="1"/>
        <rFont val="Calibri"/>
        <family val="2"/>
      </rPr>
      <t xml:space="preserve"> , to specify</t>
    </r>
  </si>
  <si>
    <t>the chain ladder reserve and the collective loss ratio reserve is used instead of the BF reserve.</t>
  </si>
  <si>
    <r>
      <t>the payment pattern (p</t>
    </r>
    <r>
      <rPr>
        <vertAlign val="subscript"/>
        <sz val="12"/>
        <color theme="1"/>
        <rFont val="Calibri"/>
        <family val="2"/>
      </rPr>
      <t>i</t>
    </r>
    <r>
      <rPr>
        <sz val="12"/>
        <color theme="1"/>
        <rFont val="Calibri"/>
        <family val="2"/>
      </rPr>
      <t>) instead of LDFs. Also, the individual loss ratio reserve is used instead of</t>
    </r>
  </si>
  <si>
    <t>See Hürlimann – pg. 82-85 for discussion of the method and pg. 90-91 for the optimal credibility</t>
  </si>
  <si>
    <t>method.</t>
  </si>
  <si>
    <t>weight. Don’t get too sidetracked on all the proofs and notation. Focus on how to apply the</t>
  </si>
  <si>
    <r>
      <t>of credible loss reserves among  f</t>
    </r>
    <r>
      <rPr>
        <vertAlign val="subscript"/>
        <sz val="12"/>
        <color theme="1"/>
        <rFont val="Calibri"/>
        <family val="2"/>
      </rPr>
      <t>i</t>
    </r>
    <r>
      <rPr>
        <sz val="12"/>
        <color theme="1"/>
        <rFont val="Calibri"/>
        <family val="2"/>
      </rPr>
      <t xml:space="preserve"> ≥ 1.</t>
    </r>
  </si>
  <si>
    <r>
      <t>the burning cost (expected) ultimate loss, Var(U</t>
    </r>
    <r>
      <rPr>
        <vertAlign val="subscript"/>
        <sz val="12"/>
        <color theme="1"/>
        <rFont val="Calibri"/>
        <family val="2"/>
      </rPr>
      <t>i</t>
    </r>
    <r>
      <rPr>
        <vertAlign val="superscript"/>
        <sz val="12"/>
        <color theme="1"/>
        <rFont val="Calibri"/>
        <family val="2"/>
      </rPr>
      <t>BC</t>
    </r>
    <r>
      <rPr>
        <sz val="12"/>
        <color theme="1"/>
        <rFont val="Calibri"/>
        <family val="2"/>
      </rPr>
      <t>), then f</t>
    </r>
    <r>
      <rPr>
        <vertAlign val="subscript"/>
        <sz val="12"/>
        <color theme="1"/>
        <rFont val="Calibri"/>
        <family val="2"/>
      </rPr>
      <t>i</t>
    </r>
    <r>
      <rPr>
        <sz val="12"/>
        <color theme="1"/>
        <rFont val="Calibri"/>
        <family val="2"/>
      </rPr>
      <t xml:space="preserve"> = 1, and the optimal credibility weight</t>
    </r>
  </si>
  <si>
    <r>
      <t>weight, Z</t>
    </r>
    <r>
      <rPr>
        <vertAlign val="subscript"/>
        <sz val="12"/>
        <color theme="1"/>
        <rFont val="Calibri"/>
        <family val="2"/>
      </rPr>
      <t>i</t>
    </r>
    <r>
      <rPr>
        <vertAlign val="superscript"/>
        <sz val="12"/>
        <color theme="1"/>
        <rFont val="Calibri"/>
        <family val="2"/>
      </rPr>
      <t>opt</t>
    </r>
    <r>
      <rPr>
        <sz val="12"/>
        <color theme="1"/>
        <rFont val="Calibri"/>
        <family val="2"/>
      </rPr>
      <t>. See the “Optimal Credibility Weights” recipe on the next tab for how to do this.</t>
    </r>
  </si>
  <si>
    <r>
      <t>f</t>
    </r>
    <r>
      <rPr>
        <vertAlign val="subscript"/>
        <sz val="12"/>
        <color theme="1"/>
        <rFont val="Calibri"/>
        <family val="2"/>
      </rPr>
      <t>i</t>
    </r>
    <r>
      <rPr>
        <sz val="12"/>
        <color theme="1"/>
        <rFont val="Calibri"/>
        <family val="2"/>
      </rPr>
      <t xml:space="preserve"> = 1 resulting in                          . According to Hürlimann, using f</t>
    </r>
    <r>
      <rPr>
        <vertAlign val="subscript"/>
        <sz val="12"/>
        <color theme="1"/>
        <rFont val="Calibri"/>
        <family val="2"/>
      </rPr>
      <t>i</t>
    </r>
    <r>
      <rPr>
        <sz val="12"/>
        <color theme="1"/>
        <rFont val="Calibri"/>
        <family val="2"/>
      </rPr>
      <t xml:space="preserve"> = 1 results in the minimum variance </t>
    </r>
  </si>
  <si>
    <t>1)</t>
  </si>
  <si>
    <t>2)</t>
  </si>
  <si>
    <t>3)</t>
  </si>
  <si>
    <t>4)</t>
  </si>
  <si>
    <t>Hurlimann - Credible Loss Ratio Claims Reserve</t>
  </si>
  <si>
    <t>Hurlimann - Optimal Credibility Weights</t>
  </si>
  <si>
    <r>
      <t>Calculate the credibility weights, Z</t>
    </r>
    <r>
      <rPr>
        <b/>
        <vertAlign val="superscript"/>
        <sz val="12"/>
        <color theme="1"/>
        <rFont val="Calibri"/>
        <family val="2"/>
      </rPr>
      <t>opt</t>
    </r>
    <r>
      <rPr>
        <b/>
        <sz val="12"/>
        <color theme="1"/>
        <rFont val="Calibri"/>
        <family val="2"/>
      </rPr>
      <t>.</t>
    </r>
  </si>
  <si>
    <t>Calculate t_opt(i), based on the variance ratio assumption (step 1) and the % paid loss, p(i).</t>
  </si>
  <si>
    <r>
      <t>Calculate the loss reserve estimates as a credibility weighting of R</t>
    </r>
    <r>
      <rPr>
        <b/>
        <vertAlign val="superscript"/>
        <sz val="12"/>
        <color theme="1"/>
        <rFont val="Calibri"/>
        <family val="2"/>
      </rPr>
      <t>ind</t>
    </r>
    <r>
      <rPr>
        <b/>
        <sz val="12"/>
        <color theme="1"/>
        <rFont val="Calibri"/>
        <family val="2"/>
      </rPr>
      <t xml:space="preserve"> and R</t>
    </r>
    <r>
      <rPr>
        <b/>
        <vertAlign val="superscript"/>
        <sz val="12"/>
        <color theme="1"/>
        <rFont val="Calibri"/>
        <family val="2"/>
      </rPr>
      <t>coll</t>
    </r>
    <r>
      <rPr>
        <b/>
        <sz val="12"/>
        <color theme="1"/>
        <rFont val="Calibri"/>
        <family val="2"/>
      </rPr>
      <t>.</t>
    </r>
  </si>
  <si>
    <t xml:space="preserve">•  The variance of the ultimate loss is assumed to be 50% greater than the variance of the burning cost </t>
  </si>
  <si>
    <r>
      <t>Calculate m</t>
    </r>
    <r>
      <rPr>
        <b/>
        <vertAlign val="subscript"/>
        <sz val="12"/>
        <color theme="1"/>
        <rFont val="Calibri"/>
        <family val="2"/>
      </rPr>
      <t>k</t>
    </r>
    <r>
      <rPr>
        <b/>
        <sz val="12"/>
        <color theme="1"/>
        <rFont val="Calibri"/>
        <family val="2"/>
      </rPr>
      <t>, the expected incremental loss ratio for each development period.</t>
    </r>
  </si>
  <si>
    <t>Calculate the expected loss ratio.</t>
  </si>
  <si>
    <r>
      <t>Calculate p</t>
    </r>
    <r>
      <rPr>
        <b/>
        <vertAlign val="subscript"/>
        <sz val="12"/>
        <color theme="1"/>
        <rFont val="Calibri"/>
        <family val="2"/>
      </rPr>
      <t>i</t>
    </r>
    <r>
      <rPr>
        <b/>
        <sz val="12"/>
        <color theme="1"/>
        <rFont val="Calibri"/>
        <family val="2"/>
      </rPr>
      <t>, the % loss paid for each accident year as of the latest development period.</t>
    </r>
  </si>
  <si>
    <t>5)</t>
  </si>
  <si>
    <r>
      <t>Calculate credibility weights, Z</t>
    </r>
    <r>
      <rPr>
        <b/>
        <vertAlign val="subscript"/>
        <sz val="12"/>
        <color theme="1"/>
        <rFont val="Calibri"/>
        <family val="2"/>
      </rPr>
      <t>i</t>
    </r>
    <r>
      <rPr>
        <b/>
        <sz val="12"/>
        <color theme="1"/>
        <rFont val="Calibri"/>
        <family val="2"/>
      </rPr>
      <t>, for each method.</t>
    </r>
  </si>
  <si>
    <t>Calculate the loss reserve estimate as a credibility weighting of R_ind and R_coll.</t>
  </si>
  <si>
    <t>6)</t>
  </si>
  <si>
    <t>Calculate the loss reserve estimate for accident years 2022 and 2023 for each of the following methods:</t>
  </si>
  <si>
    <t>Year</t>
  </si>
  <si>
    <t xml:space="preserve">ELR = </t>
  </si>
  <si>
    <t>Cumulative</t>
  </si>
  <si>
    <t>Loss</t>
  </si>
  <si>
    <t>Benktander:</t>
  </si>
  <si>
    <t>Neuhaus:</t>
  </si>
  <si>
    <t>Z_GB</t>
  </si>
  <si>
    <t>Z_WN</t>
  </si>
  <si>
    <t>Optimal:</t>
  </si>
  <si>
    <t>Assume:</t>
  </si>
  <si>
    <t>R_GB</t>
  </si>
  <si>
    <t>R_WN</t>
  </si>
  <si>
    <t>Calculate the optimal credibility loss ratio claims reserve estimate for accident years 2021-2023 combined.</t>
  </si>
  <si>
    <t>Given the following information as of December 31, 2023:</t>
  </si>
  <si>
    <t>Total</t>
  </si>
  <si>
    <t>Mean Squared Errors of Collective, Individual, and Optimal Methods</t>
  </si>
  <si>
    <t>The point of the optimal credibility weights is that they are the weights that minimize the mean squared error (MSE) between the estimated reserve and the true reserve from the actual outcome.
The formulas below give the MSE for the different methods. It’s unlikely you’d be asked a question to solve for MSE directly, but it’s simple to do it with the following formulas:</t>
  </si>
  <si>
    <t>Hürlimann – pg. 88, 91</t>
  </si>
  <si>
    <t>CAS 2018 – 3</t>
  </si>
  <si>
    <t xml:space="preserve">Notice that the normal optimal credibility weight is a special case of the formulas above, where    </t>
  </si>
  <si>
    <r>
      <t>m</t>
    </r>
    <r>
      <rPr>
        <vertAlign val="subscript"/>
        <sz val="12"/>
        <color theme="1"/>
        <rFont val="Calibri"/>
        <family val="2"/>
      </rPr>
      <t>k</t>
    </r>
  </si>
  <si>
    <r>
      <t>p</t>
    </r>
    <r>
      <rPr>
        <vertAlign val="subscript"/>
        <sz val="12"/>
        <color theme="1"/>
        <rFont val="Calibri"/>
        <family val="2"/>
      </rPr>
      <t>i</t>
    </r>
  </si>
  <si>
    <r>
      <t>q</t>
    </r>
    <r>
      <rPr>
        <vertAlign val="subscript"/>
        <sz val="12"/>
        <color theme="1"/>
        <rFont val="Calibri"/>
        <family val="2"/>
      </rPr>
      <t>i</t>
    </r>
  </si>
  <si>
    <r>
      <t>Var(U</t>
    </r>
    <r>
      <rPr>
        <vertAlign val="subscript"/>
        <sz val="12"/>
        <color theme="1"/>
        <rFont val="Calibri"/>
        <family val="2"/>
      </rPr>
      <t>i</t>
    </r>
    <r>
      <rPr>
        <sz val="12"/>
        <color theme="1"/>
        <rFont val="Calibri"/>
        <family val="2"/>
      </rPr>
      <t>) = Var(U</t>
    </r>
    <r>
      <rPr>
        <vertAlign val="subscript"/>
        <sz val="12"/>
        <color theme="1"/>
        <rFont val="Calibri"/>
        <family val="2"/>
      </rPr>
      <t>i_</t>
    </r>
    <r>
      <rPr>
        <sz val="12"/>
        <color theme="1"/>
        <rFont val="Calibri"/>
        <family val="2"/>
      </rPr>
      <t xml:space="preserve">BC) </t>
    </r>
  </si>
  <si>
    <r>
      <t>The optimal credibility is based on an assumption about the ratio between Var(U</t>
    </r>
    <r>
      <rPr>
        <vertAlign val="subscript"/>
        <sz val="12"/>
        <color theme="1"/>
        <rFont val="Calibri"/>
        <family val="2"/>
      </rPr>
      <t>i</t>
    </r>
    <r>
      <rPr>
        <sz val="12"/>
        <color theme="1"/>
        <rFont val="Calibri"/>
        <family val="2"/>
      </rPr>
      <t>) and Var(U</t>
    </r>
    <r>
      <rPr>
        <vertAlign val="subscript"/>
        <sz val="12"/>
        <color theme="1"/>
        <rFont val="Calibri"/>
        <family val="2"/>
      </rPr>
      <t>i</t>
    </r>
    <r>
      <rPr>
        <vertAlign val="superscript"/>
        <sz val="12"/>
        <color theme="1"/>
        <rFont val="Calibri"/>
        <family val="2"/>
      </rPr>
      <t>BC</t>
    </r>
    <r>
      <rPr>
        <sz val="12"/>
        <color theme="1"/>
        <rFont val="Calibri"/>
        <family val="2"/>
      </rPr>
      <t>), f</t>
    </r>
    <r>
      <rPr>
        <vertAlign val="subscript"/>
        <sz val="12"/>
        <color theme="1"/>
        <rFont val="Calibri"/>
        <family val="2"/>
      </rPr>
      <t>i</t>
    </r>
    <r>
      <rPr>
        <sz val="12"/>
        <color theme="1"/>
        <rFont val="Calibri"/>
        <family val="2"/>
      </rPr>
      <t xml:space="preserve">. </t>
    </r>
  </si>
  <si>
    <r>
      <t>If we assume that the variance of the actual ultimate loss, Var(U</t>
    </r>
    <r>
      <rPr>
        <vertAlign val="subscript"/>
        <sz val="12"/>
        <color theme="1"/>
        <rFont val="Calibri"/>
        <family val="2"/>
      </rPr>
      <t>i</t>
    </r>
    <r>
      <rPr>
        <sz val="12"/>
        <color theme="1"/>
        <rFont val="Calibri"/>
        <family val="2"/>
      </rPr>
      <t xml:space="preserve">), is equal to the variance of the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</si>
</sst>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quot;* #,##0_);_(&quot;$&quot;* \(#,##0\);_(&quot;$&quot;* &quot;-&quot;??_);_(@_)"/>
    <numFmt numFmtId="165" formatCode="0.000"/>
    <numFmt numFmtId="166" formatCode="0.0%"/>
    <numFmt numFmtId="167" formatCode="_-* #,##0.0_-;\-* #,##0.0_-;_-* &quot;-&quot;??_-;_-@_-"/>
    <numFmt numFmtId="168" formatCode="#,##0.000"/>
    <numFmt numFmtId="169" formatCode="#,##0.0"/>
  </numFmts>
  <fonts count="18" x14ac:knownFonts="1">
    <font>
      <sz val="12"/>
      <color theme="1"/>
      <name val="Calibri"/>
      <family val="2"/>
      <scheme val="minor"/>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000000"/>
      <name val="Calibri"/>
      <family val="2"/>
    </font>
    <font>
      <b/>
      <sz val="12"/>
      <color theme="1"/>
      <name val="Calibri"/>
      <family val="2"/>
    </font>
    <font>
      <sz val="12"/>
      <name val="Calibri"/>
      <family val="2"/>
    </font>
    <font>
      <i/>
      <sz val="12"/>
      <color rgb="FF000000"/>
      <name val="Calibri"/>
      <family val="2"/>
    </font>
    <font>
      <i/>
      <vertAlign val="subscript"/>
      <sz val="12"/>
      <color rgb="FF000000"/>
      <name val="Calibri"/>
      <family val="2"/>
    </font>
    <font>
      <vertAlign val="subscript"/>
      <sz val="12"/>
      <color theme="1"/>
      <name val="Calibri"/>
      <family val="2"/>
    </font>
    <font>
      <vertAlign val="superscript"/>
      <sz val="12"/>
      <color theme="1"/>
      <name val="Calibri"/>
      <family val="2"/>
    </font>
    <font>
      <b/>
      <vertAlign val="superscript"/>
      <sz val="12"/>
      <color theme="1"/>
      <name val="Calibri"/>
      <family val="2"/>
    </font>
    <font>
      <b/>
      <vertAlign val="subscript"/>
      <sz val="12"/>
      <color theme="1"/>
      <name val="Calibri"/>
      <family val="2"/>
    </font>
    <font>
      <u/>
      <sz val="14"/>
      <color theme="1"/>
      <name val="Calibri"/>
      <family val="2"/>
    </font>
    <font>
      <u/>
      <sz val="12"/>
      <color theme="1"/>
      <name val="Calibri"/>
      <family val="2"/>
    </font>
  </fonts>
  <fills count="3">
    <fill>
      <patternFill patternType="none"/>
    </fill>
    <fill>
      <patternFill patternType="gray125"/>
    </fill>
    <fill>
      <patternFill patternType="solid">
        <fgColor theme="0" tint="-4.9989318521683403E-2"/>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
    <xf numFmtId="0" fontId="0" fillId="0" borderId="0"/>
    <xf numFmtId="44"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104">
    <xf numFmtId="0" fontId="0" fillId="0" borderId="0" xfId="0"/>
    <xf numFmtId="0" fontId="4" fillId="2" borderId="1" xfId="0" applyFont="1" applyFill="1" applyBorder="1"/>
    <xf numFmtId="0" fontId="4" fillId="0" borderId="0" xfId="0" applyFont="1"/>
    <xf numFmtId="0" fontId="5" fillId="0" borderId="0" xfId="0" applyFont="1"/>
    <xf numFmtId="0" fontId="6" fillId="0" borderId="0" xfId="0" applyFont="1"/>
    <xf numFmtId="0" fontId="8" fillId="0" borderId="0" xfId="0" applyFont="1"/>
    <xf numFmtId="3" fontId="9" fillId="0" borderId="0" xfId="0" applyNumberFormat="1" applyFont="1" applyAlignment="1">
      <alignment horizontal="center" vertical="center" wrapText="1"/>
    </xf>
    <xf numFmtId="0" fontId="9" fillId="0" borderId="7" xfId="0" applyFont="1" applyBorder="1" applyAlignment="1">
      <alignment horizontal="center" wrapText="1"/>
    </xf>
    <xf numFmtId="0" fontId="9" fillId="0" borderId="6" xfId="0" applyFont="1" applyBorder="1" applyAlignment="1">
      <alignment horizontal="center" wrapText="1"/>
    </xf>
    <xf numFmtId="0" fontId="9" fillId="0" borderId="8" xfId="0" applyFont="1" applyBorder="1" applyAlignment="1">
      <alignment horizontal="center" vertical="center" wrapText="1"/>
    </xf>
    <xf numFmtId="3" fontId="9" fillId="0" borderId="8" xfId="0" applyNumberFormat="1" applyFont="1" applyBorder="1" applyAlignment="1">
      <alignment horizontal="center" vertical="center" wrapText="1"/>
    </xf>
    <xf numFmtId="168" fontId="9" fillId="0" borderId="0" xfId="0" applyNumberFormat="1" applyFont="1" applyAlignment="1">
      <alignment horizontal="center" vertical="center" wrapText="1"/>
    </xf>
    <xf numFmtId="3" fontId="8" fillId="0" borderId="11" xfId="0" applyNumberFormat="1" applyFont="1" applyBorder="1" applyAlignment="1">
      <alignment horizontal="center"/>
    </xf>
    <xf numFmtId="0" fontId="8" fillId="0" borderId="0" xfId="0" applyFont="1" applyAlignment="1">
      <alignment horizontal="right"/>
    </xf>
    <xf numFmtId="0" fontId="8" fillId="0" borderId="0" xfId="0" applyFont="1" applyAlignment="1">
      <alignment horizontal="left" vertical="top" wrapText="1"/>
    </xf>
    <xf numFmtId="0" fontId="7" fillId="2" borderId="0" xfId="0" applyFont="1" applyFill="1" applyAlignment="1">
      <alignment horizontal="center"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3" fontId="7" fillId="2" borderId="21" xfId="0" applyNumberFormat="1"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9"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6" xfId="0" applyFont="1" applyFill="1" applyBorder="1" applyAlignment="1">
      <alignment horizontal="center" vertical="center" wrapText="1"/>
    </xf>
    <xf numFmtId="3" fontId="7" fillId="2" borderId="18" xfId="0" applyNumberFormat="1" applyFont="1" applyFill="1" applyBorder="1" applyAlignment="1">
      <alignment horizontal="center" vertical="center" wrapText="1"/>
    </xf>
    <xf numFmtId="3" fontId="7" fillId="2" borderId="19" xfId="0" applyNumberFormat="1" applyFont="1" applyFill="1" applyBorder="1" applyAlignment="1">
      <alignment horizontal="center" vertical="center" wrapText="1"/>
    </xf>
    <xf numFmtId="3" fontId="7" fillId="2" borderId="20" xfId="0" applyNumberFormat="1" applyFont="1" applyFill="1" applyBorder="1" applyAlignment="1">
      <alignment horizontal="center" vertical="center" wrapText="1"/>
    </xf>
    <xf numFmtId="0" fontId="9" fillId="2" borderId="14" xfId="0" applyFont="1" applyFill="1" applyBorder="1" applyAlignment="1">
      <alignment horizontal="center" wrapText="1"/>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20" xfId="0" applyFont="1" applyFill="1" applyBorder="1" applyAlignment="1">
      <alignment horizontal="center" vertical="center" wrapText="1"/>
    </xf>
    <xf numFmtId="3" fontId="9" fillId="2" borderId="21" xfId="0" applyNumberFormat="1" applyFont="1" applyFill="1" applyBorder="1" applyAlignment="1">
      <alignment horizontal="center" vertical="center" wrapText="1"/>
    </xf>
    <xf numFmtId="3" fontId="9" fillId="2" borderId="23" xfId="0" applyNumberFormat="1" applyFont="1" applyFill="1" applyBorder="1" applyAlignment="1">
      <alignment horizontal="center" vertical="center" wrapText="1"/>
    </xf>
    <xf numFmtId="3" fontId="9" fillId="2" borderId="10" xfId="0" applyNumberFormat="1" applyFont="1" applyFill="1" applyBorder="1" applyAlignment="1">
      <alignment horizontal="center" vertical="center" wrapText="1"/>
    </xf>
    <xf numFmtId="3" fontId="9" fillId="2" borderId="8" xfId="0" applyNumberFormat="1" applyFont="1" applyFill="1" applyBorder="1" applyAlignment="1">
      <alignment horizontal="center" vertical="center" wrapText="1"/>
    </xf>
    <xf numFmtId="3" fontId="9" fillId="2" borderId="9" xfId="0" applyNumberFormat="1" applyFont="1" applyFill="1" applyBorder="1" applyAlignment="1">
      <alignment horizontal="center" vertical="center" wrapText="1"/>
    </xf>
    <xf numFmtId="3" fontId="9" fillId="2" borderId="6" xfId="0" applyNumberFormat="1"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166" fontId="9" fillId="2" borderId="15" xfId="0" applyNumberFormat="1" applyFont="1" applyFill="1" applyBorder="1" applyAlignment="1">
      <alignment horizontal="center" vertical="center" wrapText="1"/>
    </xf>
    <xf numFmtId="166" fontId="9" fillId="2" borderId="16" xfId="0" applyNumberFormat="1" applyFont="1" applyFill="1" applyBorder="1" applyAlignment="1">
      <alignment horizontal="center" vertical="center" wrapText="1"/>
    </xf>
    <xf numFmtId="166" fontId="9" fillId="2" borderId="17" xfId="0" applyNumberFormat="1" applyFont="1" applyFill="1" applyBorder="1" applyAlignment="1">
      <alignment horizontal="center" vertical="center" wrapText="1"/>
    </xf>
    <xf numFmtId="0" fontId="9" fillId="2" borderId="16" xfId="0" applyFont="1" applyFill="1" applyBorder="1" applyAlignment="1">
      <alignment horizontal="center" vertical="center" wrapText="1"/>
    </xf>
    <xf numFmtId="0" fontId="9" fillId="0" borderId="6" xfId="0" applyFont="1" applyBorder="1" applyAlignment="1">
      <alignment horizontal="center" vertical="center" wrapText="1"/>
    </xf>
    <xf numFmtId="3" fontId="9" fillId="0" borderId="7" xfId="0" applyNumberFormat="1" applyFont="1" applyBorder="1" applyAlignment="1">
      <alignment horizontal="center" vertical="center" wrapText="1"/>
    </xf>
    <xf numFmtId="3" fontId="9" fillId="0" borderId="6" xfId="0" applyNumberFormat="1" applyFont="1" applyBorder="1" applyAlignment="1">
      <alignment horizontal="center" vertical="center" wrapText="1"/>
    </xf>
    <xf numFmtId="0" fontId="16" fillId="0" borderId="0" xfId="0" applyFont="1"/>
    <xf numFmtId="0" fontId="2" fillId="2" borderId="0" xfId="0" applyFont="1" applyFill="1"/>
    <xf numFmtId="0" fontId="2" fillId="2" borderId="2" xfId="0" applyFont="1" applyFill="1" applyBorder="1"/>
    <xf numFmtId="0" fontId="2" fillId="0" borderId="0" xfId="0" applyFont="1"/>
    <xf numFmtId="2" fontId="2" fillId="2" borderId="1" xfId="0" applyNumberFormat="1" applyFont="1" applyFill="1" applyBorder="1" applyAlignment="1">
      <alignment horizontal="left"/>
    </xf>
    <xf numFmtId="0" fontId="2" fillId="2" borderId="15" xfId="0" applyFont="1" applyFill="1" applyBorder="1"/>
    <xf numFmtId="0" fontId="2" fillId="2" borderId="16" xfId="0" applyFont="1" applyFill="1" applyBorder="1"/>
    <xf numFmtId="0" fontId="2" fillId="2" borderId="17" xfId="0" applyFont="1" applyFill="1" applyBorder="1"/>
    <xf numFmtId="0" fontId="2" fillId="2" borderId="3" xfId="0" applyFont="1" applyFill="1" applyBorder="1"/>
    <xf numFmtId="0" fontId="2" fillId="2" borderId="4" xfId="0" applyFont="1" applyFill="1" applyBorder="1"/>
    <xf numFmtId="164" fontId="2" fillId="2" borderId="4" xfId="1" applyNumberFormat="1" applyFont="1" applyFill="1" applyBorder="1"/>
    <xf numFmtId="0" fontId="2" fillId="2" borderId="5" xfId="0" applyFont="1" applyFill="1" applyBorder="1"/>
    <xf numFmtId="165" fontId="2" fillId="0" borderId="0" xfId="0" applyNumberFormat="1" applyFont="1"/>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166" fontId="2" fillId="0" borderId="0" xfId="3" applyNumberFormat="1" applyFont="1" applyAlignment="1">
      <alignment horizontal="center"/>
    </xf>
    <xf numFmtId="0" fontId="2" fillId="0" borderId="24" xfId="0" applyFont="1" applyBorder="1" applyAlignment="1">
      <alignment horizontal="center"/>
    </xf>
    <xf numFmtId="166" fontId="2" fillId="0" borderId="25" xfId="3" applyNumberFormat="1" applyFont="1" applyBorder="1" applyAlignment="1">
      <alignment horizontal="center"/>
    </xf>
    <xf numFmtId="166" fontId="2" fillId="0" borderId="0" xfId="0" applyNumberFormat="1" applyFont="1" applyAlignment="1">
      <alignment horizontal="center"/>
    </xf>
    <xf numFmtId="0" fontId="2" fillId="0" borderId="9" xfId="0" applyFont="1" applyBorder="1" applyAlignment="1">
      <alignment horizontal="center"/>
    </xf>
    <xf numFmtId="3" fontId="2" fillId="0" borderId="0" xfId="0" applyNumberFormat="1" applyFont="1" applyAlignment="1">
      <alignment horizontal="center"/>
    </xf>
    <xf numFmtId="3" fontId="2" fillId="0" borderId="8" xfId="0" applyNumberFormat="1" applyFont="1" applyBorder="1" applyAlignment="1">
      <alignment horizontal="center"/>
    </xf>
    <xf numFmtId="169" fontId="2" fillId="0" borderId="0" xfId="0" applyNumberFormat="1" applyFont="1" applyAlignment="1">
      <alignment horizontal="center"/>
    </xf>
    <xf numFmtId="166" fontId="2" fillId="0" borderId="10" xfId="3" applyNumberFormat="1" applyFont="1" applyBorder="1" applyAlignment="1">
      <alignment horizontal="center"/>
    </xf>
    <xf numFmtId="166" fontId="2" fillId="0" borderId="0" xfId="3" applyNumberFormat="1" applyFont="1" applyBorder="1" applyAlignment="1">
      <alignment horizontal="center"/>
    </xf>
    <xf numFmtId="167" fontId="8" fillId="0" borderId="12" xfId="2" applyNumberFormat="1" applyFont="1" applyBorder="1" applyAlignment="1">
      <alignment horizontal="center"/>
    </xf>
    <xf numFmtId="167" fontId="8" fillId="0" borderId="26" xfId="2" applyNumberFormat="1" applyFont="1" applyBorder="1" applyAlignment="1">
      <alignment horizontal="center"/>
    </xf>
    <xf numFmtId="167" fontId="8" fillId="0" borderId="13" xfId="2" applyNumberFormat="1" applyFont="1" applyBorder="1" applyAlignment="1">
      <alignment horizontal="center"/>
    </xf>
    <xf numFmtId="167" fontId="8" fillId="0" borderId="3" xfId="2" applyNumberFormat="1" applyFont="1" applyBorder="1" applyAlignment="1">
      <alignment horizontal="center"/>
    </xf>
    <xf numFmtId="167" fontId="8" fillId="0" borderId="4" xfId="2" applyNumberFormat="1" applyFont="1" applyBorder="1" applyAlignment="1">
      <alignment horizontal="center"/>
    </xf>
    <xf numFmtId="167" fontId="8" fillId="0" borderId="5" xfId="2" applyNumberFormat="1" applyFont="1" applyBorder="1" applyAlignment="1">
      <alignment horizontal="center"/>
    </xf>
    <xf numFmtId="0" fontId="2" fillId="0" borderId="25" xfId="0" applyFont="1" applyBorder="1" applyAlignment="1">
      <alignment horizontal="center"/>
    </xf>
    <xf numFmtId="165" fontId="2" fillId="0" borderId="0" xfId="0" applyNumberFormat="1" applyFont="1" applyAlignment="1">
      <alignment horizontal="center"/>
    </xf>
    <xf numFmtId="0" fontId="8" fillId="0" borderId="0" xfId="0" applyFont="1" applyAlignment="1">
      <alignment horizontal="left" vertical="top" wrapText="1"/>
    </xf>
    <xf numFmtId="0" fontId="17" fillId="0" borderId="0" xfId="0" applyFont="1" applyAlignment="1">
      <alignment horizont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19" xfId="0" applyFont="1" applyFill="1" applyBorder="1" applyAlignment="1">
      <alignment horizontal="center" wrapText="1"/>
    </xf>
    <xf numFmtId="0" fontId="7" fillId="2" borderId="20" xfId="0" applyFont="1" applyFill="1" applyBorder="1" applyAlignment="1">
      <alignment horizontal="center" wrapText="1"/>
    </xf>
    <xf numFmtId="0" fontId="7" fillId="2" borderId="10" xfId="0" applyFont="1" applyFill="1" applyBorder="1" applyAlignment="1">
      <alignment horizontal="center" wrapText="1"/>
    </xf>
    <xf numFmtId="0" fontId="7" fillId="2" borderId="9" xfId="0" applyFont="1" applyFill="1" applyBorder="1" applyAlignment="1">
      <alignment horizontal="center" wrapText="1"/>
    </xf>
    <xf numFmtId="0" fontId="7" fillId="2" borderId="8"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7" fillId="2" borderId="7" xfId="0" applyFont="1" applyFill="1" applyBorder="1" applyAlignment="1">
      <alignment horizontal="center" wrapText="1"/>
    </xf>
    <xf numFmtId="0" fontId="2" fillId="0" borderId="0" xfId="0" applyFont="1" applyAlignment="1">
      <alignment horizontal="left" vertical="top" wrapText="1"/>
    </xf>
    <xf numFmtId="0" fontId="2" fillId="2" borderId="21" xfId="0" applyFont="1" applyFill="1" applyBorder="1" applyAlignment="1">
      <alignment horizontal="center"/>
    </xf>
    <xf numFmtId="0" fontId="2" fillId="2" borderId="22" xfId="0" applyFont="1" applyFill="1" applyBorder="1" applyAlignment="1">
      <alignment horizontal="center"/>
    </xf>
    <xf numFmtId="0" fontId="2" fillId="2" borderId="23" xfId="0" applyFont="1" applyFill="1" applyBorder="1" applyAlignment="1">
      <alignment horizontal="center"/>
    </xf>
    <xf numFmtId="0" fontId="9" fillId="0" borderId="8" xfId="0" applyFont="1" applyBorder="1" applyAlignment="1">
      <alignment horizontal="center" wrapText="1"/>
    </xf>
    <xf numFmtId="0" fontId="9" fillId="0" borderId="6" xfId="0" applyFont="1" applyBorder="1" applyAlignment="1">
      <alignment horizontal="center" wrapText="1"/>
    </xf>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539611</xdr:colOff>
      <xdr:row>97</xdr:row>
      <xdr:rowOff>188223</xdr:rowOff>
    </xdr:from>
    <xdr:ext cx="4379725"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67872" y="12123462"/>
              <a:ext cx="43797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𝐺𝐵</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𝑞</m:t>
                            </m:r>
                          </m:e>
                          <m:sub>
                            <m:r>
                              <a:rPr lang="en-US" sz="1100" b="0" i="1">
                                <a:latin typeface="Cambria Math" panose="02040503050406030204" pitchFamily="18" charset="0"/>
                              </a:rPr>
                              <m:t>𝑘</m:t>
                            </m:r>
                          </m:sub>
                        </m:sSub>
                      </m:e>
                    </m:d>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𝐶𝐿</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𝑞</m:t>
                        </m:r>
                      </m:e>
                      <m:sub>
                        <m:r>
                          <a:rPr lang="en-US" sz="1100" b="0" i="1">
                            <a:latin typeface="Cambria Math" panose="02040503050406030204" pitchFamily="18" charset="0"/>
                          </a:rPr>
                          <m:t>𝑘</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𝑅</m:t>
                        </m:r>
                      </m:e>
                      <m:sub>
                        <m:r>
                          <a:rPr lang="en-US" sz="1100" b="0" i="1">
                            <a:latin typeface="Cambria Math" panose="02040503050406030204" pitchFamily="18" charset="0"/>
                            <a:ea typeface="Cambria Math" panose="02040503050406030204" pitchFamily="18" charset="0"/>
                          </a:rPr>
                          <m:t>𝐵𝐹</m:t>
                        </m:r>
                      </m:sub>
                    </m:sSub>
                    <m:r>
                      <a:rPr lang="en-US" sz="1100" b="0" i="1">
                        <a:latin typeface="Cambria Math" panose="02040503050406030204" pitchFamily="18" charset="0"/>
                        <a:ea typeface="Cambria Math" panose="02040503050406030204" pitchFamily="18" charset="0"/>
                      </a:rPr>
                      <m:t>          →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𝑅</m:t>
                        </m:r>
                      </m:e>
                      <m:sub>
                        <m:r>
                          <a:rPr lang="en-US" sz="1100" b="0" i="1">
                            <a:latin typeface="Cambria Math" panose="02040503050406030204" pitchFamily="18" charset="0"/>
                            <a:ea typeface="Cambria Math" panose="02040503050406030204" pitchFamily="18" charset="0"/>
                          </a:rPr>
                          <m:t>𝐺𝐵</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𝑝</m:t>
                        </m:r>
                      </m:e>
                      <m:sub>
                        <m:r>
                          <a:rPr lang="en-US" sz="1100" b="0" i="1">
                            <a:latin typeface="Cambria Math" panose="02040503050406030204" pitchFamily="18" charset="0"/>
                            <a:ea typeface="Cambria Math" panose="02040503050406030204" pitchFamily="18" charset="0"/>
                          </a:rPr>
                          <m:t>𝑘</m:t>
                        </m:r>
                      </m:sub>
                    </m:sSub>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𝑅</m:t>
                        </m:r>
                      </m:e>
                      <m:sub>
                        <m:r>
                          <a:rPr lang="en-US" sz="1100" b="0" i="1">
                            <a:latin typeface="Cambria Math" panose="02040503050406030204" pitchFamily="18" charset="0"/>
                            <a:ea typeface="Cambria Math" panose="02040503050406030204" pitchFamily="18" charset="0"/>
                          </a:rPr>
                          <m:t>𝐶𝐿</m:t>
                        </m:r>
                      </m:sub>
                    </m:sSub>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𝑝</m:t>
                        </m:r>
                      </m:e>
                      <m:sub>
                        <m:r>
                          <a:rPr lang="en-US" sz="1100" b="0" i="1">
                            <a:latin typeface="Cambria Math" panose="02040503050406030204" pitchFamily="18" charset="0"/>
                            <a:ea typeface="Cambria Math" panose="02040503050406030204" pitchFamily="18" charset="0"/>
                          </a:rPr>
                          <m:t>𝑘</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𝑅</m:t>
                        </m:r>
                      </m:e>
                      <m:sub>
                        <m:r>
                          <a:rPr lang="en-US" sz="1100" b="0" i="1">
                            <a:latin typeface="Cambria Math" panose="02040503050406030204" pitchFamily="18" charset="0"/>
                            <a:ea typeface="Cambria Math" panose="02040503050406030204" pitchFamily="18" charset="0"/>
                          </a:rPr>
                          <m:t>𝐵𝐹</m:t>
                        </m:r>
                      </m:sub>
                    </m:sSub>
                  </m:oMath>
                </m:oMathPara>
              </a14:m>
              <a:endParaRPr lang="en-US" sz="1100"/>
            </a:p>
          </xdr:txBody>
        </xdr:sp>
      </mc:Choice>
      <mc:Fallback xmlns="">
        <xdr:sp macro="" textlink="">
          <xdr:nvSpPr>
            <xdr:cNvPr id="2" name="TextBox 1"/>
            <xdr:cNvSpPr txBox="1"/>
          </xdr:nvSpPr>
          <xdr:spPr>
            <a:xfrm>
              <a:off x="1367872" y="12123462"/>
              <a:ext cx="43797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𝑅_𝐺𝐵=(1−𝑞_𝑘 ) 𝑅_𝐶𝐿+𝑞_𝑘</a:t>
              </a:r>
              <a:r>
                <a:rPr lang="en-US" sz="1100" b="0" i="0">
                  <a:latin typeface="Cambria Math" panose="02040503050406030204" pitchFamily="18" charset="0"/>
                  <a:ea typeface="Cambria Math" panose="02040503050406030204" pitchFamily="18" charset="0"/>
                </a:rPr>
                <a:t>×𝑅_𝐵𝐹           →          𝑅_𝐺𝐵=𝑝_𝑘 𝑅_𝐶𝐿+(1−𝑝_𝑘)𝑅_𝐵𝐹</a:t>
              </a:r>
              <a:endParaRPr lang="en-US" sz="1100"/>
            </a:p>
          </xdr:txBody>
        </xdr:sp>
      </mc:Fallback>
    </mc:AlternateContent>
    <xdr:clientData/>
  </xdr:oneCellAnchor>
  <xdr:oneCellAnchor>
    <xdr:from>
      <xdr:col>3</xdr:col>
      <xdr:colOff>200254</xdr:colOff>
      <xdr:row>102</xdr:row>
      <xdr:rowOff>57864</xdr:rowOff>
    </xdr:from>
    <xdr:ext cx="1953740" cy="18133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676754" y="21182197"/>
              <a:ext cx="1953740"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𝐺𝐵</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𝑖</m:t>
                      </m:r>
                    </m:sub>
                  </m:sSub>
                  <m:sSup>
                    <m:sSupPr>
                      <m:ctrlPr>
                        <a:rPr lang="en-US" sz="1100" b="0" i="1">
                          <a:latin typeface="Cambria Math" panose="02040503050406030204" pitchFamily="18" charset="0"/>
                        </a:rPr>
                      </m:ctrlPr>
                    </m:sSupPr>
                    <m:e>
                      <m:r>
                        <a:rPr lang="en-US" sz="1100" b="0" i="1">
                          <a:latin typeface="Cambria Math" panose="02040503050406030204" pitchFamily="18" charset="0"/>
                        </a:rPr>
                        <m:t>𝑅</m:t>
                      </m:r>
                    </m:e>
                    <m:sup>
                      <m:r>
                        <a:rPr lang="en-US" sz="1100" b="0" i="1">
                          <a:latin typeface="Cambria Math" panose="02040503050406030204" pitchFamily="18" charset="0"/>
                        </a:rPr>
                        <m:t>𝑖𝑛𝑑</m:t>
                      </m:r>
                    </m:sup>
                  </m:sSup>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𝑖</m:t>
                      </m:r>
                    </m:sub>
                  </m:sSub>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𝑅</m:t>
                      </m:r>
                    </m:e>
                    <m:sup>
                      <m:r>
                        <a:rPr lang="en-US" sz="1100" b="0" i="1">
                          <a:latin typeface="Cambria Math" panose="02040503050406030204" pitchFamily="18" charset="0"/>
                          <a:ea typeface="Cambria Math" panose="02040503050406030204" pitchFamily="18" charset="0"/>
                        </a:rPr>
                        <m:t>𝑐𝑜𝑙𝑙</m:t>
                      </m:r>
                    </m:sup>
                  </m:sSup>
                </m:oMath>
              </a14:m>
              <a:r>
                <a:rPr lang="en-US" sz="1100"/>
                <a:t> </a:t>
              </a:r>
            </a:p>
          </xdr:txBody>
        </xdr:sp>
      </mc:Choice>
      <mc:Fallback xmlns="">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676754" y="21182197"/>
              <a:ext cx="1953740"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𝑅_𝐺𝐵=𝑝_𝑖 𝑅^𝑖𝑛𝑑+(1−𝑝_𝑖)</a:t>
              </a:r>
              <a:r>
                <a:rPr lang="en-US" sz="1100" b="0" i="0">
                  <a:latin typeface="Cambria Math" panose="02040503050406030204" pitchFamily="18" charset="0"/>
                  <a:ea typeface="Cambria Math" panose="02040503050406030204" pitchFamily="18" charset="0"/>
                </a:rPr>
                <a:t>×𝑅^𝑐𝑜𝑙𝑙</a:t>
              </a:r>
              <a:r>
                <a:rPr lang="en-US" sz="1100"/>
                <a:t> </a:t>
              </a:r>
            </a:p>
          </xdr:txBody>
        </xdr:sp>
      </mc:Fallback>
    </mc:AlternateContent>
    <xdr:clientData/>
  </xdr:oneCellAnchor>
  <xdr:oneCellAnchor>
    <xdr:from>
      <xdr:col>1</xdr:col>
      <xdr:colOff>285750</xdr:colOff>
      <xdr:row>21</xdr:row>
      <xdr:rowOff>137583</xdr:rowOff>
    </xdr:from>
    <xdr:ext cx="1175194" cy="44788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4791083-E540-DD40-A98D-9EBD6EF15DF8}"/>
                </a:ext>
              </a:extLst>
            </xdr:cNvPr>
            <xdr:cNvSpPr txBox="1"/>
          </xdr:nvSpPr>
          <xdr:spPr>
            <a:xfrm>
              <a:off x="1111250" y="4487333"/>
              <a:ext cx="1175194" cy="447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m:t>
                                </m:r>
                              </m:e>
                              <m:sub>
                                <m:argPr>
                                  <m:argSz m:val="-1"/>
                                </m:argPr>
                                <m:r>
                                  <a:rPr lang="en-US" sz="1100" i="1">
                                    <a:solidFill>
                                      <a:schemeClr val="tx1"/>
                                    </a:solidFill>
                                    <a:effectLst/>
                                    <a:latin typeface="Cambria Math" panose="02040503050406030204" pitchFamily="18" charset="0"/>
                                    <a:ea typeface="+mn-ea"/>
                                    <a:cs typeface="+mn-cs"/>
                                  </a:rPr>
                                  <m:t>𝑖</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B4791083-E540-DD40-A98D-9EBD6EF15DF8}"/>
                </a:ext>
              </a:extLst>
            </xdr:cNvPr>
            <xdr:cNvSpPr txBox="1"/>
          </xdr:nvSpPr>
          <xdr:spPr>
            <a:xfrm>
              <a:off x="1111250" y="4487333"/>
              <a:ext cx="1175194" cy="447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𝑚_𝑘=(∑1▒〖𝐼𝑛𝑐𝐿𝑜𝑠𝑠〗_(𝑖,𝑘) )/(∑1▒〖𝑃𝑟𝑒𝑚〗_𝑖 )</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254000</xdr:colOff>
      <xdr:row>29</xdr:row>
      <xdr:rowOff>158751</xdr:rowOff>
    </xdr:from>
    <xdr:ext cx="931333" cy="47624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7E195F4-3E0B-E54C-8155-D652472D4A96}"/>
                </a:ext>
              </a:extLst>
            </xdr:cNvPr>
            <xdr:cNvSpPr txBox="1"/>
          </xdr:nvSpPr>
          <xdr:spPr>
            <a:xfrm>
              <a:off x="1079500" y="6148918"/>
              <a:ext cx="931333" cy="4762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E7E195F4-3E0B-E54C-8155-D652472D4A96}"/>
                </a:ext>
              </a:extLst>
            </xdr:cNvPr>
            <xdr:cNvSpPr txBox="1"/>
          </xdr:nvSpPr>
          <xdr:spPr>
            <a:xfrm>
              <a:off x="1079500" y="6148918"/>
              <a:ext cx="931333" cy="4762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r>
                <a:rPr lang="en-US" sz="1100" i="0">
                  <a:solidFill>
                    <a:schemeClr val="tx1"/>
                  </a:solidFill>
                  <a:effectLst/>
                  <a:latin typeface="+mn-lt"/>
                  <a:ea typeface="+mn-ea"/>
                  <a:cs typeface="+mn-cs"/>
                </a:rPr>
                <a:t>𝐸𝐿𝑅=∑1▒𝑚_𝑘 </a:t>
              </a:r>
              <a:endParaRPr lang="en-US" sz="1100">
                <a:solidFill>
                  <a:schemeClr val="tx1"/>
                </a:solidFill>
                <a:effectLst/>
                <a:latin typeface="+mn-lt"/>
                <a:ea typeface="+mn-ea"/>
                <a:cs typeface="+mn-cs"/>
              </a:endParaRPr>
            </a:p>
          </xdr:txBody>
        </xdr:sp>
      </mc:Fallback>
    </mc:AlternateContent>
    <xdr:clientData/>
  </xdr:oneCellAnchor>
  <xdr:oneCellAnchor>
    <xdr:from>
      <xdr:col>1</xdr:col>
      <xdr:colOff>317500</xdr:colOff>
      <xdr:row>36</xdr:row>
      <xdr:rowOff>158749</xdr:rowOff>
    </xdr:from>
    <xdr:ext cx="739690" cy="4184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7AD23F2-C457-8641-8350-93832A00CEEB}"/>
                </a:ext>
              </a:extLst>
            </xdr:cNvPr>
            <xdr:cNvSpPr txBox="1"/>
          </xdr:nvSpPr>
          <xdr:spPr>
            <a:xfrm>
              <a:off x="1143000" y="7609416"/>
              <a:ext cx="739690" cy="4184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r>
                                  <a:rPr lang="en-US" sz="1100" i="1">
                                    <a:solidFill>
                                      <a:schemeClr val="tx1"/>
                                    </a:solidFill>
                                    <a:effectLst/>
                                    <a:latin typeface="Cambria Math" panose="02040503050406030204" pitchFamily="18" charset="0"/>
                                    <a:ea typeface="+mn-ea"/>
                                    <a:cs typeface="+mn-cs"/>
                                  </a:rPr>
                                  <m:t>𝑘</m:t>
                                </m:r>
                              </m:sub>
                            </m:sSub>
                          </m:e>
                        </m:nary>
                      </m:num>
                      <m:den>
                        <m:r>
                          <a:rPr lang="en-US" sz="1100" i="1">
                            <a:solidFill>
                              <a:schemeClr val="tx1"/>
                            </a:solidFill>
                            <a:effectLst/>
                            <a:latin typeface="Cambria Math" panose="02040503050406030204" pitchFamily="18" charset="0"/>
                            <a:ea typeface="+mn-ea"/>
                            <a:cs typeface="+mn-cs"/>
                          </a:rPr>
                          <m:t>𝐸𝐿𝑅</m:t>
                        </m:r>
                      </m:den>
                    </m:f>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B7AD23F2-C457-8641-8350-93832A00CEEB}"/>
                </a:ext>
              </a:extLst>
            </xdr:cNvPr>
            <xdr:cNvSpPr txBox="1"/>
          </xdr:nvSpPr>
          <xdr:spPr>
            <a:xfrm>
              <a:off x="1143000" y="7609416"/>
              <a:ext cx="739690" cy="4184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𝑝_𝑖=(∑1▒𝑚_𝑘 )/𝐸𝐿𝑅</a:t>
              </a:r>
              <a:endParaRPr lang="en-US" sz="1100">
                <a:solidFill>
                  <a:schemeClr val="tx1"/>
                </a:solidFill>
                <a:effectLst/>
                <a:latin typeface="+mn-lt"/>
                <a:ea typeface="+mn-ea"/>
                <a:cs typeface="+mn-cs"/>
              </a:endParaRPr>
            </a:p>
          </xdr:txBody>
        </xdr:sp>
      </mc:Fallback>
    </mc:AlternateContent>
    <xdr:clientData/>
  </xdr:oneCellAnchor>
  <xdr:oneCellAnchor>
    <xdr:from>
      <xdr:col>1</xdr:col>
      <xdr:colOff>359833</xdr:colOff>
      <xdr:row>47</xdr:row>
      <xdr:rowOff>158750</xdr:rowOff>
    </xdr:from>
    <xdr:ext cx="766877" cy="26443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C46623F-788B-4D41-8371-33AC5CED2BFE}"/>
                </a:ext>
              </a:extLst>
            </xdr:cNvPr>
            <xdr:cNvSpPr txBox="1"/>
          </xdr:nvSpPr>
          <xdr:spPr>
            <a:xfrm>
              <a:off x="1185333" y="9821333"/>
              <a:ext cx="76687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oMath>
                </m:oMathPara>
              </a14:m>
              <a:endParaRPr lang="en-US"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5C46623F-788B-4D41-8371-33AC5CED2BFE}"/>
                </a:ext>
              </a:extLst>
            </xdr:cNvPr>
            <xdr:cNvSpPr txBox="1"/>
          </xdr:nvSpPr>
          <xdr:spPr>
            <a:xfrm>
              <a:off x="1185333" y="9821333"/>
              <a:ext cx="76687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𝑞_𝑖=1−𝑝_𝑖</a:t>
              </a:r>
              <a:endParaRPr lang="en-US" sz="1100">
                <a:solidFill>
                  <a:schemeClr val="tx1"/>
                </a:solidFill>
                <a:effectLst/>
                <a:latin typeface="+mn-lt"/>
                <a:ea typeface="+mn-ea"/>
                <a:cs typeface="+mn-cs"/>
              </a:endParaRPr>
            </a:p>
          </xdr:txBody>
        </xdr:sp>
      </mc:Fallback>
    </mc:AlternateContent>
    <xdr:clientData/>
  </xdr:oneCellAnchor>
  <xdr:oneCellAnchor>
    <xdr:from>
      <xdr:col>2</xdr:col>
      <xdr:colOff>328083</xdr:colOff>
      <xdr:row>62</xdr:row>
      <xdr:rowOff>179917</xdr:rowOff>
    </xdr:from>
    <xdr:ext cx="618951" cy="26443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300C0A-CA6C-2C49-8350-8172DCED9FA4}"/>
                </a:ext>
              </a:extLst>
            </xdr:cNvPr>
            <xdr:cNvSpPr txBox="1"/>
          </xdr:nvSpPr>
          <xdr:spPr>
            <a:xfrm>
              <a:off x="1979083" y="12922250"/>
              <a:ext cx="6189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𝐺𝐵</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oMath>
                </m:oMathPara>
              </a14:m>
              <a:endParaRPr lang="en-US"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9A300C0A-CA6C-2C49-8350-8172DCED9FA4}"/>
                </a:ext>
              </a:extLst>
            </xdr:cNvPr>
            <xdr:cNvSpPr txBox="1"/>
          </xdr:nvSpPr>
          <xdr:spPr>
            <a:xfrm>
              <a:off x="1979083" y="12922250"/>
              <a:ext cx="6189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𝑍_𝑖^𝐺𝐵=𝑝_𝑖</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243417</xdr:colOff>
      <xdr:row>76</xdr:row>
      <xdr:rowOff>169332</xdr:rowOff>
    </xdr:from>
    <xdr:ext cx="1846851" cy="26443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9102B7-7B7A-524D-837F-6B15D4360950}"/>
                </a:ext>
              </a:extLst>
            </xdr:cNvPr>
            <xdr:cNvSpPr txBox="1"/>
          </xdr:nvSpPr>
          <xdr:spPr>
            <a:xfrm>
              <a:off x="1068917" y="15726832"/>
              <a:ext cx="18468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𝑖𝑛𝑑</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Sub>
                      </m:e>
                    </m:d>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𝑐𝑜𝑙𝑙</m:t>
                        </m:r>
                      </m:sup>
                    </m:sSubSup>
                  </m:oMath>
                </m:oMathPara>
              </a14:m>
              <a:endParaRPr lang="en-US"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419102B7-7B7A-524D-837F-6B15D4360950}"/>
                </a:ext>
              </a:extLst>
            </xdr:cNvPr>
            <xdr:cNvSpPr txBox="1"/>
          </xdr:nvSpPr>
          <xdr:spPr>
            <a:xfrm>
              <a:off x="1068917" y="15726832"/>
              <a:ext cx="18468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𝑅_𝑖=𝑍_𝑖×𝑅_𝑖^𝑖𝑛𝑑+(1−𝑍_𝑖 )×𝑅_𝑖^𝑐𝑜𝑙𝑙</a:t>
              </a:r>
              <a:endParaRPr lang="en-US" sz="1100">
                <a:solidFill>
                  <a:schemeClr val="tx1"/>
                </a:solidFill>
                <a:effectLst/>
                <a:latin typeface="+mn-lt"/>
                <a:ea typeface="+mn-ea"/>
                <a:cs typeface="+mn-cs"/>
              </a:endParaRPr>
            </a:p>
          </xdr:txBody>
        </xdr:sp>
      </mc:Fallback>
    </mc:AlternateContent>
    <xdr:clientData/>
  </xdr:oneCellAnchor>
  <xdr:oneCellAnchor>
    <xdr:from>
      <xdr:col>4</xdr:col>
      <xdr:colOff>264583</xdr:colOff>
      <xdr:row>48</xdr:row>
      <xdr:rowOff>10584</xdr:rowOff>
    </xdr:from>
    <xdr:ext cx="1688026" cy="17209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637FC68-BCE3-F940-9511-20BEEC865052}"/>
                </a:ext>
              </a:extLst>
            </xdr:cNvPr>
            <xdr:cNvSpPr txBox="1"/>
          </xdr:nvSpPr>
          <xdr:spPr>
            <a:xfrm>
              <a:off x="3566583" y="9874251"/>
              <a:ext cx="168802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=1−</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𝑃𝑎𝑖𝑑</m:t>
                        </m:r>
                      </m:e>
                      <m:sub>
                        <m:argPr>
                          <m:argSz m:val="-1"/>
                        </m:argPr>
                        <m:r>
                          <a:rPr lang="en-US" sz="1100" i="1">
                            <a:solidFill>
                              <a:schemeClr val="tx1"/>
                            </a:solidFill>
                            <a:effectLst/>
                            <a:latin typeface="Cambria Math" panose="02040503050406030204" pitchFamily="18" charset="0"/>
                            <a:ea typeface="+mn-ea"/>
                            <a:cs typeface="+mn-cs"/>
                          </a:rPr>
                          <m:t>𝐴𝑌</m:t>
                        </m:r>
                      </m:sub>
                    </m:sSub>
                  </m:oMath>
                </m:oMathPara>
              </a14:m>
              <a:endParaRPr lang="en-US"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3637FC68-BCE3-F940-9511-20BEEC865052}"/>
                </a:ext>
              </a:extLst>
            </xdr:cNvPr>
            <xdr:cNvSpPr txBox="1"/>
          </xdr:nvSpPr>
          <xdr:spPr>
            <a:xfrm>
              <a:off x="3566583" y="9874251"/>
              <a:ext cx="168802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〖%𝑈𝑛𝑝𝑎𝑖𝑑〗_𝐴𝑌=1−〖%𝑃𝑎𝑖𝑑〗_𝐴𝑌</a:t>
              </a:r>
              <a:endParaRPr lang="en-US" sz="1100">
                <a:solidFill>
                  <a:schemeClr val="tx1"/>
                </a:solidFill>
                <a:effectLst/>
                <a:latin typeface="+mn-lt"/>
                <a:ea typeface="+mn-ea"/>
                <a:cs typeface="+mn-cs"/>
              </a:endParaRPr>
            </a:p>
          </xdr:txBody>
        </xdr:sp>
      </mc:Fallback>
    </mc:AlternateContent>
    <xdr:clientData/>
  </xdr:oneCellAnchor>
  <xdr:oneCellAnchor>
    <xdr:from>
      <xdr:col>4</xdr:col>
      <xdr:colOff>349250</xdr:colOff>
      <xdr:row>36</xdr:row>
      <xdr:rowOff>137583</xdr:rowOff>
    </xdr:from>
    <xdr:ext cx="1729704" cy="48481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6F8198C-6C7D-9940-8507-A1705251F289}"/>
                </a:ext>
              </a:extLst>
            </xdr:cNvPr>
            <xdr:cNvSpPr txBox="1"/>
          </xdr:nvSpPr>
          <xdr:spPr>
            <a:xfrm>
              <a:off x="3651250" y="7588250"/>
              <a:ext cx="1729704" cy="48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𝑃𝑎𝑖𝑑</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up>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𝐷𝑒𝑣</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𝑃𝑒𝑟𝑖𝑜𝑑𝑠</m:t>
                                </m:r>
                              </m:e>
                              <m:e>
                                <m:r>
                                  <a:rPr lang="en-US" sz="1100" i="1">
                                    <a:solidFill>
                                      <a:schemeClr val="tx1"/>
                                    </a:solidFill>
                                    <a:effectLst/>
                                    <a:latin typeface="Cambria Math" panose="02040503050406030204" pitchFamily="18" charset="0"/>
                                    <a:ea typeface="+mn-ea"/>
                                    <a:cs typeface="+mn-cs"/>
                                  </a:rPr>
                                  <m:t>𝑡𝑜</m:t>
                                </m:r>
                                <m:r>
                                  <a:rPr lang="en-US" sz="1100" b="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𝑑𝑎𝑡𝑒</m:t>
                                </m:r>
                              </m:e>
                            </m:eqAr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e>
                        </m:nary>
                        <m:r>
                          <m:rPr>
                            <m:sty m:val="p"/>
                          </m:rPr>
                          <a:rPr lang="en-US" sz="1100">
                            <a:solidFill>
                              <a:schemeClr val="tx1"/>
                            </a:solidFill>
                            <a:effectLst/>
                            <a:latin typeface="Cambria Math" panose="02040503050406030204" pitchFamily="18" charset="0"/>
                            <a:ea typeface="+mn-ea"/>
                            <a:cs typeface="+mn-cs"/>
                          </a:rPr>
                          <m:t>for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all</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AYs</m:t>
                        </m:r>
                      </m:den>
                    </m:f>
                    <m:r>
                      <m:rPr>
                        <m:nor/>
                      </m:rPr>
                      <a:rPr lang="en-US">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36F8198C-6C7D-9940-8507-A1705251F289}"/>
                </a:ext>
              </a:extLst>
            </xdr:cNvPr>
            <xdr:cNvSpPr txBox="1"/>
          </xdr:nvSpPr>
          <xdr:spPr>
            <a:xfrm>
              <a:off x="3651250" y="7588250"/>
              <a:ext cx="1729704" cy="48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〖%𝑃𝑎𝑖𝑑〗_𝐴𝑌=(∑1_(𝑘=1)^█(𝐷𝑒𝑣 𝑃𝑒𝑟𝑖𝑜𝑑𝑠@𝑡𝑜</a:t>
              </a:r>
              <a:r>
                <a:rPr lang="en-US" sz="1100" b="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𝑑𝑎𝑡𝑒)▒𝑚_𝑘 )/(∑1▒𝑚_𝑘  for all AYs)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4</xdr:col>
      <xdr:colOff>254000</xdr:colOff>
      <xdr:row>30</xdr:row>
      <xdr:rowOff>52917</xdr:rowOff>
    </xdr:from>
    <xdr:ext cx="2916248" cy="40985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3101E82-3F78-7646-825A-BECC1E8392E2}"/>
                </a:ext>
              </a:extLst>
            </xdr:cNvPr>
            <xdr:cNvSpPr txBox="1"/>
          </xdr:nvSpPr>
          <xdr:spPr>
            <a:xfrm>
              <a:off x="3556000" y="6244167"/>
              <a:ext cx="2916248"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𝑅𝑎𝑡𝑖𝑜𝑠</m:t>
                            </m:r>
                          </m:e>
                        </m:d>
                      </m:e>
                    </m:nary>
                    <m:r>
                      <m:rPr>
                        <m:nor/>
                      </m:rPr>
                      <a:rPr lang="en-US">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13101E82-3F78-7646-825A-BECC1E8392E2}"/>
                </a:ext>
              </a:extLst>
            </xdr:cNvPr>
            <xdr:cNvSpPr txBox="1"/>
          </xdr:nvSpPr>
          <xdr:spPr>
            <a:xfrm>
              <a:off x="3556000" y="6244167"/>
              <a:ext cx="2916248"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𝐸𝑥𝑝𝑒𝑐𝑡𝑒𝑑 𝐿𝑜𝑠𝑠 𝑅𝑎𝑡𝑖𝑜=∑1▒𝐸[𝐼𝑛𝑐 𝐿𝑜𝑠𝑠 𝑅𝑎𝑡𝑖𝑜𝑠]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4</xdr:col>
      <xdr:colOff>264583</xdr:colOff>
      <xdr:row>21</xdr:row>
      <xdr:rowOff>158750</xdr:rowOff>
    </xdr:from>
    <xdr:ext cx="1996316" cy="40979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B5A2721-7711-134C-AD6C-B155EB099995}"/>
                </a:ext>
              </a:extLst>
            </xdr:cNvPr>
            <xdr:cNvSpPr txBox="1"/>
          </xdr:nvSpPr>
          <xdr:spPr>
            <a:xfrm>
              <a:off x="3566583" y="4508500"/>
              <a:ext cx="1996316" cy="409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=1</m:t>
                            </m:r>
                          </m:sub>
                          <m:sup>
                            <m:argPr>
                              <m:argSz m:val="-2"/>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𝑑𝑒𝑣</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𝑝𝑒𝑟𝑖𝑜𝑑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𝑘</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num>
                      <m:den>
                        <m:nary>
                          <m:naryPr>
                            <m:chr m:val="∑"/>
                            <m:limLoc m:val="undOvr"/>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=1</m:t>
                            </m:r>
                          </m:sub>
                          <m:sup>
                            <m:argPr>
                              <m:argSz m:val="-1"/>
                            </m:argP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𝑑𝑒𝑣</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𝑝𝑒𝑟𝑖𝑜𝑑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𝑘</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m:t>
                                </m:r>
                              </m:e>
                              <m:sub>
                                <m:argPr>
                                  <m:argSz m:val="-1"/>
                                </m:argPr>
                                <m:r>
                                  <a:rPr lang="en-US" sz="1100" i="1">
                                    <a:solidFill>
                                      <a:schemeClr val="tx1"/>
                                    </a:solidFill>
                                    <a:effectLst/>
                                    <a:latin typeface="Cambria Math" panose="02040503050406030204" pitchFamily="18" charset="0"/>
                                    <a:ea typeface="+mn-ea"/>
                                    <a:cs typeface="+mn-cs"/>
                                  </a:rPr>
                                  <m:t>𝐴𝑌</m:t>
                                </m:r>
                              </m:sub>
                            </m:sSub>
                          </m:e>
                        </m:nary>
                      </m:den>
                    </m:f>
                    <m:r>
                      <m:rPr>
                        <m:nor/>
                      </m:rPr>
                      <a:rPr lang="en-US" sz="1100">
                        <a:effectLst/>
                      </a:rPr>
                      <m:t> </m:t>
                    </m:r>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CB5A2721-7711-134C-AD6C-B155EB099995}"/>
                </a:ext>
              </a:extLst>
            </xdr:cNvPr>
            <xdr:cNvSpPr txBox="1"/>
          </xdr:nvSpPr>
          <xdr:spPr>
            <a:xfrm>
              <a:off x="3566583" y="4508500"/>
              <a:ext cx="1996316" cy="409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𝑚_𝑘=(∑1_(𝐴𝑌=1)^(#𝐴𝑌𝑠 𝑖𝑛 𝑑𝑒𝑣 𝑝𝑒𝑟𝑖𝑜𝑑 𝑘)▒〖𝐼𝑛𝑐𝐿𝑜𝑠𝑠〗_(𝐴𝑌,𝑘) )/(∑1_(𝐴𝑌=1)^(#𝐴𝑌𝑠 𝑖𝑛 𝑑𝑒𝑣 𝑝𝑒𝑟𝑖𝑜𝑑 𝑘)▒〖𝑃𝑟𝑒𝑚〗_𝐴𝑌 ) </a:t>
              </a:r>
              <a:r>
                <a:rPr lang="en-US" sz="1100" i="0">
                  <a:solidFill>
                    <a:schemeClr val="tx1"/>
                  </a:solidFill>
                  <a:effectLst/>
                  <a:latin typeface="Cambria Math" panose="02040503050406030204" pitchFamily="18" charset="0"/>
                  <a:ea typeface="+mn-ea"/>
                  <a:cs typeface="+mn-cs"/>
                </a:rPr>
                <a:t>"</a:t>
              </a:r>
              <a:r>
                <a:rPr lang="en-US" sz="1100" i="0">
                  <a:effectLst/>
                  <a:latin typeface="Cambria Math" panose="02040503050406030204" pitchFamily="18" charset="0"/>
                </a:rPr>
                <a:t> </a:t>
              </a:r>
              <a:r>
                <a:rPr lang="en-US" sz="1100" i="0">
                  <a:effectLst/>
                </a:rPr>
                <a:t>"</a:t>
              </a:r>
              <a:endParaRPr lang="en-US" sz="1100">
                <a:solidFill>
                  <a:schemeClr val="tx1"/>
                </a:solidFill>
              </a:endParaRPr>
            </a:p>
          </xdr:txBody>
        </xdr:sp>
      </mc:Fallback>
    </mc:AlternateContent>
    <xdr:clientData/>
  </xdr:oneCellAnchor>
  <xdr:oneCellAnchor>
    <xdr:from>
      <xdr:col>1</xdr:col>
      <xdr:colOff>359833</xdr:colOff>
      <xdr:row>49</xdr:row>
      <xdr:rowOff>169334</xdr:rowOff>
    </xdr:from>
    <xdr:ext cx="1082476" cy="437749"/>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28A91B67-28E3-A24E-8736-2017BD0DBA8B}"/>
                </a:ext>
              </a:extLst>
            </xdr:cNvPr>
            <xdr:cNvSpPr txBox="1"/>
          </xdr:nvSpPr>
          <xdr:spPr>
            <a:xfrm>
              <a:off x="1185333" y="10234084"/>
              <a:ext cx="1082476" cy="437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𝑖𝑛𝑑</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16" name="TextBox 15">
              <a:extLst>
                <a:ext uri="{FF2B5EF4-FFF2-40B4-BE49-F238E27FC236}">
                  <a16:creationId xmlns:a16="http://schemas.microsoft.com/office/drawing/2014/main" id="{28A91B67-28E3-A24E-8736-2017BD0DBA8B}"/>
                </a:ext>
              </a:extLst>
            </xdr:cNvPr>
            <xdr:cNvSpPr txBox="1"/>
          </xdr:nvSpPr>
          <xdr:spPr>
            <a:xfrm>
              <a:off x="1185333" y="10234084"/>
              <a:ext cx="1082476" cy="437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𝑅^𝑖𝑛𝑑=(𝑞_𝑖×〖𝐿𝑜𝑠𝑠〗_𝑖)/𝑝_𝑖 </a:t>
              </a:r>
              <a:endParaRPr lang="en-US" sz="1100">
                <a:solidFill>
                  <a:schemeClr val="tx1"/>
                </a:solidFill>
                <a:effectLst/>
                <a:latin typeface="+mn-lt"/>
                <a:ea typeface="+mn-ea"/>
                <a:cs typeface="+mn-cs"/>
              </a:endParaRPr>
            </a:p>
          </xdr:txBody>
        </xdr:sp>
      </mc:Fallback>
    </mc:AlternateContent>
    <xdr:clientData/>
  </xdr:oneCellAnchor>
  <xdr:oneCellAnchor>
    <xdr:from>
      <xdr:col>1</xdr:col>
      <xdr:colOff>374650</xdr:colOff>
      <xdr:row>52</xdr:row>
      <xdr:rowOff>152401</xdr:rowOff>
    </xdr:from>
    <xdr:ext cx="1455077" cy="26443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1431B16-EF6C-E641-824C-5242E474527D}"/>
                </a:ext>
              </a:extLst>
            </xdr:cNvPr>
            <xdr:cNvSpPr txBox="1"/>
          </xdr:nvSpPr>
          <xdr:spPr>
            <a:xfrm>
              <a:off x="1200150" y="10820401"/>
              <a:ext cx="145507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2"/>
                        </m:argPr>
                        <m:r>
                          <a:rPr lang="en-US" sz="1100" i="1">
                            <a:solidFill>
                              <a:schemeClr val="tx1"/>
                            </a:solidFill>
                            <a:effectLst/>
                            <a:latin typeface="Cambria Math" panose="02040503050406030204" pitchFamily="18" charset="0"/>
                            <a:ea typeface="+mn-ea"/>
                            <a:cs typeface="+mn-cs"/>
                          </a:rPr>
                          <m:t>𝑐𝑜𝑙𝑙</m:t>
                        </m:r>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2"/>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17" name="TextBox 16">
              <a:extLst>
                <a:ext uri="{FF2B5EF4-FFF2-40B4-BE49-F238E27FC236}">
                  <a16:creationId xmlns:a16="http://schemas.microsoft.com/office/drawing/2014/main" id="{01431B16-EF6C-E641-824C-5242E474527D}"/>
                </a:ext>
              </a:extLst>
            </xdr:cNvPr>
            <xdr:cNvSpPr txBox="1"/>
          </xdr:nvSpPr>
          <xdr:spPr>
            <a:xfrm>
              <a:off x="1200150" y="10820401"/>
              <a:ext cx="145507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𝑅^𝑐𝑜𝑙𝑙=𝑞_𝑖×𝑃𝑟𝑒𝑚×𝐸𝐿𝑅</a:t>
              </a:r>
              <a:endParaRPr lang="en-US" sz="1100">
                <a:solidFill>
                  <a:schemeClr val="tx1"/>
                </a:solidFill>
                <a:effectLst/>
                <a:latin typeface="+mn-lt"/>
                <a:ea typeface="+mn-ea"/>
                <a:cs typeface="+mn-cs"/>
              </a:endParaRPr>
            </a:p>
          </xdr:txBody>
        </xdr:sp>
      </mc:Fallback>
    </mc:AlternateContent>
    <xdr:clientData/>
  </xdr:oneCellAnchor>
  <xdr:oneCellAnchor>
    <xdr:from>
      <xdr:col>4</xdr:col>
      <xdr:colOff>264583</xdr:colOff>
      <xdr:row>50</xdr:row>
      <xdr:rowOff>63500</xdr:rowOff>
    </xdr:from>
    <xdr:ext cx="1688859" cy="34907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43AE1DF-43C1-434D-86D1-AE6034280175}"/>
                </a:ext>
              </a:extLst>
            </xdr:cNvPr>
            <xdr:cNvSpPr txBox="1"/>
          </xdr:nvSpPr>
          <xdr:spPr>
            <a:xfrm>
              <a:off x="3566583" y="10329333"/>
              <a:ext cx="1688859" cy="349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𝑖𝑛𝑑</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𝑃𝑎𝑖𝑑</m:t>
                            </m:r>
                          </m:e>
                          <m:sub>
                            <m:argPr>
                              <m:argSz m:val="-1"/>
                            </m:argPr>
                            <m:r>
                              <a:rPr lang="en-US" sz="1100" i="1">
                                <a:solidFill>
                                  <a:schemeClr val="tx1"/>
                                </a:solidFill>
                                <a:effectLst/>
                                <a:latin typeface="Cambria Math" panose="02040503050406030204" pitchFamily="18" charset="0"/>
                                <a:ea typeface="+mn-ea"/>
                                <a:cs typeface="+mn-cs"/>
                              </a:rPr>
                              <m:t>𝐴𝑌</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443AE1DF-43C1-434D-86D1-AE6034280175}"/>
                </a:ext>
              </a:extLst>
            </xdr:cNvPr>
            <xdr:cNvSpPr txBox="1"/>
          </xdr:nvSpPr>
          <xdr:spPr>
            <a:xfrm>
              <a:off x="3566583" y="10329333"/>
              <a:ext cx="1688859" cy="349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𝑅^𝑖𝑛𝑑=(〖%𝑈𝑛𝑝𝑎𝑖𝑑〗_𝐴𝑌×〖𝐿𝑜𝑠𝑠〗_𝐴𝑌)/〖%𝑃𝑎𝑖𝑑〗_𝐴𝑌 </a:t>
              </a:r>
              <a:endParaRPr lang="en-US" sz="1100">
                <a:solidFill>
                  <a:schemeClr val="tx1"/>
                </a:solidFill>
                <a:effectLst/>
                <a:latin typeface="+mn-lt"/>
                <a:ea typeface="+mn-ea"/>
                <a:cs typeface="+mn-cs"/>
              </a:endParaRPr>
            </a:p>
          </xdr:txBody>
        </xdr:sp>
      </mc:Fallback>
    </mc:AlternateContent>
    <xdr:clientData/>
  </xdr:oneCellAnchor>
  <xdr:oneCellAnchor>
    <xdr:from>
      <xdr:col>4</xdr:col>
      <xdr:colOff>268817</xdr:colOff>
      <xdr:row>52</xdr:row>
      <xdr:rowOff>194733</xdr:rowOff>
    </xdr:from>
    <xdr:ext cx="2306529" cy="172098"/>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934BD19C-2073-C745-94DB-D8E8BBD36656}"/>
                </a:ext>
              </a:extLst>
            </xdr:cNvPr>
            <xdr:cNvSpPr txBox="1"/>
          </xdr:nvSpPr>
          <xdr:spPr>
            <a:xfrm>
              <a:off x="3570817" y="10862733"/>
              <a:ext cx="230652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𝑐𝑜𝑙𝑙</m:t>
                        </m:r>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𝑃𝑟𝑒𝑚𝑖𝑢𝑚</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19" name="TextBox 18">
              <a:extLst>
                <a:ext uri="{FF2B5EF4-FFF2-40B4-BE49-F238E27FC236}">
                  <a16:creationId xmlns:a16="http://schemas.microsoft.com/office/drawing/2014/main" id="{934BD19C-2073-C745-94DB-D8E8BBD36656}"/>
                </a:ext>
              </a:extLst>
            </xdr:cNvPr>
            <xdr:cNvSpPr txBox="1"/>
          </xdr:nvSpPr>
          <xdr:spPr>
            <a:xfrm>
              <a:off x="3570817" y="10862733"/>
              <a:ext cx="230652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𝑅^𝑐𝑜𝑙𝑙=〖%𝑈𝑛𝑝𝑎𝑖𝑑〗_𝐴𝑌×〖𝑃𝑟𝑒𝑚𝑖𝑢𝑚〗_𝐴𝑌×𝐸𝐿𝑅</a:t>
              </a:r>
              <a:endParaRPr lang="en-US" sz="1100">
                <a:solidFill>
                  <a:schemeClr val="tx1"/>
                </a:solidFill>
                <a:effectLst/>
                <a:latin typeface="+mn-lt"/>
                <a:ea typeface="+mn-ea"/>
                <a:cs typeface="+mn-cs"/>
              </a:endParaRPr>
            </a:p>
          </xdr:txBody>
        </xdr:sp>
      </mc:Fallback>
    </mc:AlternateContent>
    <xdr:clientData/>
  </xdr:oneCellAnchor>
  <xdr:oneCellAnchor>
    <xdr:from>
      <xdr:col>2</xdr:col>
      <xdr:colOff>306916</xdr:colOff>
      <xdr:row>64</xdr:row>
      <xdr:rowOff>179917</xdr:rowOff>
    </xdr:from>
    <xdr:ext cx="1010340" cy="264431"/>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3C0FF84-E388-7842-BDA5-9BFD9891A082}"/>
                </a:ext>
              </a:extLst>
            </xdr:cNvPr>
            <xdr:cNvSpPr txBox="1"/>
          </xdr:nvSpPr>
          <xdr:spPr>
            <a:xfrm>
              <a:off x="1957916" y="13324417"/>
              <a:ext cx="101034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𝑊𝑁</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20" name="TextBox 19">
              <a:extLst>
                <a:ext uri="{FF2B5EF4-FFF2-40B4-BE49-F238E27FC236}">
                  <a16:creationId xmlns:a16="http://schemas.microsoft.com/office/drawing/2014/main" id="{43C0FF84-E388-7842-BDA5-9BFD9891A082}"/>
                </a:ext>
              </a:extLst>
            </xdr:cNvPr>
            <xdr:cNvSpPr txBox="1"/>
          </xdr:nvSpPr>
          <xdr:spPr>
            <a:xfrm>
              <a:off x="1957916" y="13324417"/>
              <a:ext cx="101034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𝑍_𝑖^𝑊𝑁=𝑝_𝑖×𝐸𝐿𝑅</a:t>
              </a:r>
              <a:endParaRPr lang="en-US" sz="1100">
                <a:solidFill>
                  <a:schemeClr val="tx1"/>
                </a:solidFill>
                <a:effectLst/>
                <a:latin typeface="+mn-lt"/>
                <a:ea typeface="+mn-ea"/>
                <a:cs typeface="+mn-cs"/>
              </a:endParaRPr>
            </a:p>
          </xdr:txBody>
        </xdr:sp>
      </mc:Fallback>
    </mc:AlternateContent>
    <xdr:clientData/>
  </xdr:oneCellAnchor>
  <xdr:oneCellAnchor>
    <xdr:from>
      <xdr:col>2</xdr:col>
      <xdr:colOff>300567</xdr:colOff>
      <xdr:row>67</xdr:row>
      <xdr:rowOff>4234</xdr:rowOff>
    </xdr:from>
    <xdr:ext cx="1037913" cy="42114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8B71F380-0B6B-0845-9518-8E8754A0EF51}"/>
                </a:ext>
              </a:extLst>
            </xdr:cNvPr>
            <xdr:cNvSpPr txBox="1"/>
          </xdr:nvSpPr>
          <xdr:spPr>
            <a:xfrm>
              <a:off x="1951567" y="13751984"/>
              <a:ext cx="1037913" cy="4211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e>
                        </m:rad>
                      </m:den>
                    </m:f>
                  </m:oMath>
                </m:oMathPara>
              </a14:m>
              <a:endParaRPr lang="en-US" sz="1100">
                <a:solidFill>
                  <a:schemeClr val="tx1"/>
                </a:solidFill>
                <a:effectLst/>
                <a:latin typeface="+mn-lt"/>
                <a:ea typeface="+mn-ea"/>
                <a:cs typeface="+mn-cs"/>
              </a:endParaRPr>
            </a:p>
          </xdr:txBody>
        </xdr:sp>
      </mc:Choice>
      <mc:Fallback xmlns="">
        <xdr:sp macro="" textlink="">
          <xdr:nvSpPr>
            <xdr:cNvPr id="21" name="TextBox 20">
              <a:extLst>
                <a:ext uri="{FF2B5EF4-FFF2-40B4-BE49-F238E27FC236}">
                  <a16:creationId xmlns:a16="http://schemas.microsoft.com/office/drawing/2014/main" id="{8B71F380-0B6B-0845-9518-8E8754A0EF51}"/>
                </a:ext>
              </a:extLst>
            </xdr:cNvPr>
            <xdr:cNvSpPr txBox="1"/>
          </xdr:nvSpPr>
          <xdr:spPr>
            <a:xfrm>
              <a:off x="1951567" y="13751984"/>
              <a:ext cx="1037913" cy="4211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𝑍_𝑖^𝑜𝑝𝑡=𝑝_𝑖/(𝑝_𝑖+√(𝑝_𝑖 ))</a:t>
              </a:r>
              <a:endParaRPr lang="en-US" sz="1100">
                <a:solidFill>
                  <a:schemeClr val="tx1"/>
                </a:solidFill>
                <a:effectLst/>
                <a:latin typeface="+mn-lt"/>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2</xdr:col>
      <xdr:colOff>244061</xdr:colOff>
      <xdr:row>64</xdr:row>
      <xdr:rowOff>33314</xdr:rowOff>
    </xdr:from>
    <xdr:ext cx="706411" cy="17325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895061" y="11145814"/>
              <a:ext cx="706411" cy="173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panose="02040503050406030204" pitchFamily="18" charset="0"/>
                          </a:rPr>
                        </m:ctrlPr>
                      </m:sSupPr>
                      <m:e>
                        <m:sSub>
                          <m:sSubPr>
                            <m:ctrlPr>
                              <a:rPr lang="en-US" sz="110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m:t>
                            </m:r>
                          </m:sub>
                        </m:sSub>
                      </m:e>
                      <m:sup>
                        <m:r>
                          <a:rPr lang="en-US" sz="1100" b="0" i="1">
                            <a:latin typeface="Cambria Math" panose="02040503050406030204" pitchFamily="18" charset="0"/>
                          </a:rPr>
                          <m:t>𝑜𝑝𝑡</m:t>
                        </m:r>
                      </m:sup>
                    </m:sSup>
                    <m:r>
                      <a:rPr lang="en-US" sz="1100" b="0" i="1">
                        <a:latin typeface="Cambria Math" panose="02040503050406030204" pitchFamily="18" charset="0"/>
                      </a:rPr>
                      <m:t>=</m:t>
                    </m:r>
                    <m:rad>
                      <m:radPr>
                        <m:degHide m:val="on"/>
                        <m:ctrlPr>
                          <a:rPr lang="en-US" sz="1100" b="0" i="1">
                            <a:latin typeface="Cambria Math" panose="02040503050406030204" pitchFamily="18" charset="0"/>
                          </a:rPr>
                        </m:ctrlPr>
                      </m:radPr>
                      <m:deg/>
                      <m:e>
                        <m:sSub>
                          <m:sSubPr>
                            <m:ctrlPr>
                              <a:rPr lang="en-US" sz="1100" b="0" i="1">
                                <a:latin typeface="Cambria Math" panose="02040503050406030204" pitchFamily="18" charset="0"/>
                              </a:rPr>
                            </m:ctrlPr>
                          </m:sSubPr>
                          <m:e>
                            <m:r>
                              <a:rPr lang="en-US" sz="1100" b="0" i="1">
                                <a:latin typeface="Cambria Math" panose="02040503050406030204" pitchFamily="18" charset="0"/>
                              </a:rPr>
                              <m:t>𝑝</m:t>
                            </m:r>
                          </m:e>
                          <m:sub>
                            <m:r>
                              <a:rPr lang="en-US" sz="1100" b="0" i="1">
                                <a:latin typeface="Cambria Math" panose="02040503050406030204" pitchFamily="18" charset="0"/>
                              </a:rPr>
                              <m:t>𝑖</m:t>
                            </m:r>
                          </m:sub>
                        </m:sSub>
                      </m:e>
                    </m:rad>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895061" y="11145814"/>
              <a:ext cx="706411" cy="173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𝑡_𝑖〗^𝑜𝑝𝑡=√(𝑝_𝑖 )</a:t>
              </a:r>
              <a:endParaRPr lang="en-US" sz="1100"/>
            </a:p>
          </xdr:txBody>
        </xdr:sp>
      </mc:Fallback>
    </mc:AlternateContent>
    <xdr:clientData/>
  </xdr:oneCellAnchor>
  <xdr:oneCellAnchor>
    <xdr:from>
      <xdr:col>1</xdr:col>
      <xdr:colOff>190499</xdr:colOff>
      <xdr:row>23</xdr:row>
      <xdr:rowOff>148166</xdr:rowOff>
    </xdr:from>
    <xdr:ext cx="1175194" cy="44788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DB620C6-ABDE-1C48-840C-5A0E6554C49F}"/>
                </a:ext>
              </a:extLst>
            </xdr:cNvPr>
            <xdr:cNvSpPr txBox="1"/>
          </xdr:nvSpPr>
          <xdr:spPr>
            <a:xfrm>
              <a:off x="1015999" y="5312833"/>
              <a:ext cx="1175194" cy="447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m:t>
                                </m:r>
                              </m:e>
                              <m:sub>
                                <m:argPr>
                                  <m:argSz m:val="-1"/>
                                </m:argPr>
                                <m:r>
                                  <a:rPr lang="en-US" sz="1100" i="1">
                                    <a:solidFill>
                                      <a:schemeClr val="tx1"/>
                                    </a:solidFill>
                                    <a:effectLst/>
                                    <a:latin typeface="Cambria Math" panose="02040503050406030204" pitchFamily="18" charset="0"/>
                                    <a:ea typeface="+mn-ea"/>
                                    <a:cs typeface="+mn-cs"/>
                                  </a:rPr>
                                  <m:t>𝑖</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FDB620C6-ABDE-1C48-840C-5A0E6554C49F}"/>
                </a:ext>
              </a:extLst>
            </xdr:cNvPr>
            <xdr:cNvSpPr txBox="1"/>
          </xdr:nvSpPr>
          <xdr:spPr>
            <a:xfrm>
              <a:off x="1015999" y="5312833"/>
              <a:ext cx="1175194" cy="447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𝑚_𝑘=(∑1▒〖𝐼𝑛𝑐𝐿𝑜𝑠𝑠〗_(𝑖,𝑘) )/(∑1▒〖𝑃𝑟𝑒𝑚〗_𝑖 )</a:t>
              </a:r>
              <a:endParaRPr lang="en-US" sz="1100">
                <a:solidFill>
                  <a:schemeClr val="tx1"/>
                </a:solidFill>
                <a:effectLst/>
                <a:latin typeface="+mn-lt"/>
                <a:ea typeface="+mn-ea"/>
                <a:cs typeface="+mn-cs"/>
              </a:endParaRPr>
            </a:p>
          </xdr:txBody>
        </xdr:sp>
      </mc:Fallback>
    </mc:AlternateContent>
    <xdr:clientData/>
  </xdr:oneCellAnchor>
  <xdr:oneCellAnchor>
    <xdr:from>
      <xdr:col>1</xdr:col>
      <xdr:colOff>190499</xdr:colOff>
      <xdr:row>30</xdr:row>
      <xdr:rowOff>95250</xdr:rowOff>
    </xdr:from>
    <xdr:ext cx="2465226" cy="45724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BFB7A36-2D80-9747-975C-2FA3CCF3BBEF}"/>
                </a:ext>
              </a:extLst>
            </xdr:cNvPr>
            <xdr:cNvSpPr txBox="1"/>
          </xdr:nvSpPr>
          <xdr:spPr>
            <a:xfrm>
              <a:off x="1015999" y="6688667"/>
              <a:ext cx="2465226" cy="457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−1+2</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e>
                            </m:d>
                          </m:e>
                        </m:rad>
                      </m:num>
                      <m:den>
                        <m:r>
                          <a:rPr lang="en-US" sz="1100" i="1">
                            <a:solidFill>
                              <a:schemeClr val="tx1"/>
                            </a:solidFill>
                            <a:effectLst/>
                            <a:latin typeface="Cambria Math" panose="02040503050406030204" pitchFamily="18" charset="0"/>
                            <a:ea typeface="+mn-ea"/>
                            <a:cs typeface="+mn-cs"/>
                          </a:rPr>
                          <m:t>2</m:t>
                        </m:r>
                      </m:den>
                    </m:f>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9BFB7A36-2D80-9747-975C-2FA3CCF3BBEF}"/>
                </a:ext>
              </a:extLst>
            </xdr:cNvPr>
            <xdr:cNvSpPr txBox="1"/>
          </xdr:nvSpPr>
          <xdr:spPr>
            <a:xfrm>
              <a:off x="1015999" y="6688667"/>
              <a:ext cx="2465226" cy="45724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𝑡_𝑖^𝑜𝑝𝑡=(𝑓_𝑖−1+√((𝑓_𝑖+1)×(𝑓_𝑖−1+2𝑝_𝑖 ) ))/2</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232833</xdr:colOff>
      <xdr:row>40</xdr:row>
      <xdr:rowOff>137584</xdr:rowOff>
    </xdr:from>
    <xdr:ext cx="998991" cy="43005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5333F4D-2FCA-A54B-A5C5-DE00E4E35DE3}"/>
                </a:ext>
              </a:extLst>
            </xdr:cNvPr>
            <xdr:cNvSpPr txBox="1"/>
          </xdr:nvSpPr>
          <xdr:spPr>
            <a:xfrm>
              <a:off x="1058333" y="7778751"/>
              <a:ext cx="998991" cy="4300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𝑍</m:t>
                        </m:r>
                      </m:e>
                      <m:sub>
                        <m:argPr>
                          <m:argSz m:val="-1"/>
                        </m:argPr>
                        <m:r>
                          <a:rPr lang="en-US" sz="1100" i="1">
                            <a:solidFill>
                              <a:schemeClr val="tx1"/>
                            </a:solidFill>
                            <a:effectLst/>
                            <a:latin typeface="Cambria Math" panose="02040503050406030204" pitchFamily="18" charset="0"/>
                            <a:ea typeface="+mn-ea"/>
                            <a:cs typeface="+mn-cs"/>
                          </a:rPr>
                          <m:t>𝑖</m:t>
                        </m:r>
                      </m:sub>
                      <m:sup>
                        <m:argPr>
                          <m:argSz m:val="-2"/>
                        </m:argPr>
                        <m:r>
                          <a:rPr lang="en-US" sz="1100" i="1">
                            <a:solidFill>
                              <a:schemeClr val="tx1"/>
                            </a:solidFill>
                            <a:effectLst/>
                            <a:latin typeface="Cambria Math" panose="02040503050406030204" pitchFamily="18" charset="0"/>
                            <a:ea typeface="+mn-ea"/>
                            <a:cs typeface="+mn-cs"/>
                          </a:rPr>
                          <m:t>𝑜𝑝𝑡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𝑝</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𝑜𝑝𝑡</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A5333F4D-2FCA-A54B-A5C5-DE00E4E35DE3}"/>
                </a:ext>
              </a:extLst>
            </xdr:cNvPr>
            <xdr:cNvSpPr txBox="1"/>
          </xdr:nvSpPr>
          <xdr:spPr>
            <a:xfrm>
              <a:off x="1058333" y="7778751"/>
              <a:ext cx="998991" cy="4300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i="0">
                  <a:solidFill>
                    <a:schemeClr val="tx1"/>
                  </a:solidFill>
                  <a:effectLst/>
                  <a:latin typeface="+mn-lt"/>
                  <a:ea typeface="+mn-ea"/>
                  <a:cs typeface="+mn-cs"/>
                </a:rPr>
                <a:t>𝑍_𝑖^𝑜𝑝𝑡=𝑝_𝑖/(𝑝_𝑖+𝑡_𝑖^𝑜𝑝𝑡 )</a:t>
              </a:r>
              <a:endParaRPr lang="en-US" sz="1100">
                <a:solidFill>
                  <a:schemeClr val="tx1"/>
                </a:solidFill>
                <a:effectLst/>
                <a:latin typeface="+mn-lt"/>
                <a:ea typeface="+mn-ea"/>
                <a:cs typeface="+mn-cs"/>
              </a:endParaRPr>
            </a:p>
          </xdr:txBody>
        </xdr:sp>
      </mc:Fallback>
    </mc:AlternateContent>
    <xdr:clientData/>
  </xdr:oneCellAnchor>
  <xdr:twoCellAnchor>
    <xdr:from>
      <xdr:col>1</xdr:col>
      <xdr:colOff>232833</xdr:colOff>
      <xdr:row>73</xdr:row>
      <xdr:rowOff>84667</xdr:rowOff>
    </xdr:from>
    <xdr:to>
      <xdr:col>4</xdr:col>
      <xdr:colOff>158749</xdr:colOff>
      <xdr:row>75</xdr:row>
      <xdr:rowOff>91440</xdr:rowOff>
    </xdr:to>
    <mc:AlternateContent xmlns:mc="http://schemas.openxmlformats.org/markup-compatibility/2006">
      <mc:Choice xmlns:a14="http://schemas.microsoft.com/office/drawing/2010/main" Requires="a14">
        <xdr:sp macro="" textlink="">
          <xdr:nvSpPr>
            <xdr:cNvPr id="6" name="TextBox 2">
              <a:extLst>
                <a:ext uri="{FF2B5EF4-FFF2-40B4-BE49-F238E27FC236}">
                  <a16:creationId xmlns:a16="http://schemas.microsoft.com/office/drawing/2014/main" id="{94255DBD-6AC5-1A29-BA16-C621B34B296B}"/>
                </a:ext>
              </a:extLst>
            </xdr:cNvPr>
            <xdr:cNvSpPr txBox="1"/>
          </xdr:nvSpPr>
          <xdr:spPr>
            <a:xfrm>
              <a:off x="1058333" y="15705667"/>
              <a:ext cx="2476499" cy="408940"/>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𝑚𝑠𝑒</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𝑅</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𝑐𝑜𝑙𝑙</m:t>
                            </m:r>
                          </m:sup>
                        </m:sSubSup>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𝐸</m:t>
                    </m:r>
                    <m:d>
                      <m:dPr>
                        <m:begChr m:val="["/>
                        <m:endChr m:val="]"/>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𝛼</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bSup>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𝑈</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𝑞</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𝑞</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num>
                          <m:den>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𝑡</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en>
                        </m:f>
                      </m:e>
                    </m:d>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dr:sp macro="" textlink="">
          <xdr:nvSpPr>
            <xdr:cNvPr id="6" name="TextBox 2">
              <a:extLst>
                <a:ext uri="{FF2B5EF4-FFF2-40B4-BE49-F238E27FC236}">
                  <a16:creationId xmlns:a16="http://schemas.microsoft.com/office/drawing/2014/main" id="{94255DBD-6AC5-1A29-BA16-C621B34B296B}"/>
                </a:ext>
              </a:extLst>
            </xdr:cNvPr>
            <xdr:cNvSpPr txBox="1"/>
          </xdr:nvSpPr>
          <xdr:spPr>
            <a:xfrm>
              <a:off x="1058333" y="15705667"/>
              <a:ext cx="2476499" cy="408940"/>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𝑚𝑠𝑒</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𝑅_𝑖^𝑐𝑜𝑙𝑙 )  =𝐸</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𝛼_𝑖^2 (𝑈_𝑖 )  ]×𝑞_𝑖 </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1+𝑞_𝑖/𝑡_𝑖 )</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253999</xdr:colOff>
      <xdr:row>76</xdr:row>
      <xdr:rowOff>84667</xdr:rowOff>
    </xdr:from>
    <xdr:to>
      <xdr:col>3</xdr:col>
      <xdr:colOff>509904</xdr:colOff>
      <xdr:row>78</xdr:row>
      <xdr:rowOff>91440</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29A6817E-2E61-18D8-6993-C82EBD969158}"/>
                </a:ext>
              </a:extLst>
            </xdr:cNvPr>
            <xdr:cNvSpPr txBox="1"/>
          </xdr:nvSpPr>
          <xdr:spPr>
            <a:xfrm>
              <a:off x="1079499" y="16308917"/>
              <a:ext cx="1906905" cy="408940"/>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𝑚𝑠𝑒</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𝑅</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𝑖𝑛𝑑</m:t>
                            </m:r>
                          </m:sup>
                        </m:sSubSup>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𝐸</m:t>
                    </m:r>
                    <m:d>
                      <m:dPr>
                        <m:begChr m:val="["/>
                        <m:endChr m:val="]"/>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𝛼</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bSup>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𝑈</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𝑞</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num>
                      <m:den>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𝑝</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en>
                    </m:f>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7" name="TextBox 2">
              <a:extLst>
                <a:ext uri="{FF2B5EF4-FFF2-40B4-BE49-F238E27FC236}">
                  <a16:creationId xmlns:a16="http://schemas.microsoft.com/office/drawing/2014/main" id="{29A6817E-2E61-18D8-6993-C82EBD969158}"/>
                </a:ext>
              </a:extLst>
            </xdr:cNvPr>
            <xdr:cNvSpPr txBox="1"/>
          </xdr:nvSpPr>
          <xdr:spPr>
            <a:xfrm>
              <a:off x="1079499" y="16308917"/>
              <a:ext cx="1906905" cy="408940"/>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𝑚𝑠𝑒</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𝑅_𝑖^𝑖𝑛𝑑 )  =𝐸</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𝛼_𝑖^2 (𝑈_𝑖 )  ]×𝑞_𝑖/𝑝_𝑖 </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253999</xdr:colOff>
      <xdr:row>79</xdr:row>
      <xdr:rowOff>105833</xdr:rowOff>
    </xdr:from>
    <xdr:to>
      <xdr:col>5</xdr:col>
      <xdr:colOff>127000</xdr:colOff>
      <xdr:row>81</xdr:row>
      <xdr:rowOff>164676</xdr:rowOff>
    </xdr:to>
    <mc:AlternateContent xmlns:mc="http://schemas.openxmlformats.org/markup-compatibility/2006">
      <mc:Choice xmlns:a14="http://schemas.microsoft.com/office/drawing/2010/main" Requires="a14">
        <xdr:sp macro="" textlink="">
          <xdr:nvSpPr>
            <xdr:cNvPr id="8" name="TextBox 2">
              <a:extLst>
                <a:ext uri="{FF2B5EF4-FFF2-40B4-BE49-F238E27FC236}">
                  <a16:creationId xmlns:a16="http://schemas.microsoft.com/office/drawing/2014/main" id="{5D9A9A9E-EFA6-A99C-30B3-42BFA67AE119}"/>
                </a:ext>
              </a:extLst>
            </xdr:cNvPr>
            <xdr:cNvSpPr txBox="1"/>
          </xdr:nvSpPr>
          <xdr:spPr>
            <a:xfrm>
              <a:off x="1079499" y="16933333"/>
              <a:ext cx="3354918" cy="461010"/>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𝑚𝑠𝑒</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𝑅</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𝑜𝑝𝑡</m:t>
                            </m:r>
                          </m:sup>
                        </m:sSubSup>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𝐸</m:t>
                    </m:r>
                    <m:d>
                      <m:dPr>
                        <m:begChr m:val="["/>
                        <m:endChr m:val="]"/>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𝛼</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bSup>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𝑈</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𝑍</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bSup>
                          </m:num>
                          <m:den>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𝑝</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en>
                        </m:f>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num>
                          <m:den>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𝑞</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en>
                        </m:f>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𝑍</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e>
                                </m:d>
                              </m:e>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p>
                          </m:num>
                          <m:den>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𝑡</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Sub>
                          </m:den>
                        </m:f>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bSup>
                      <m:sSub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𝑞</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𝑖</m:t>
                        </m:r>
                      </m:sub>
                      <m:sup>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2</m:t>
                        </m:r>
                      </m:sup>
                    </m:sSubSup>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dr:sp macro="" textlink="">
          <xdr:nvSpPr>
            <xdr:cNvPr id="8" name="TextBox 2">
              <a:extLst>
                <a:ext uri="{FF2B5EF4-FFF2-40B4-BE49-F238E27FC236}">
                  <a16:creationId xmlns:a16="http://schemas.microsoft.com/office/drawing/2014/main" id="{5D9A9A9E-EFA6-A99C-30B3-42BFA67AE119}"/>
                </a:ext>
              </a:extLst>
            </xdr:cNvPr>
            <xdr:cNvSpPr txBox="1"/>
          </xdr:nvSpPr>
          <xdr:spPr>
            <a:xfrm>
              <a:off x="1079499" y="16933333"/>
              <a:ext cx="3354918" cy="461010"/>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𝑚𝑠𝑒</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𝑅_𝑖^𝑜𝑝𝑡 )  =𝐸</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𝛼_𝑖^2 (𝑈_𝑖 )  ]×</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𝑍_𝑖^2)/𝑝_𝑖 +1/𝑞_𝑖 +(1−𝑍_𝑖 )^2/𝑡_𝑖 )×𝑞_𝑖^2</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45"/>
  <sheetViews>
    <sheetView showGridLines="0" tabSelected="1" zoomScale="120" zoomScaleNormal="120" workbookViewId="0"/>
  </sheetViews>
  <sheetFormatPr baseColWidth="10" defaultColWidth="10.83203125" defaultRowHeight="16" x14ac:dyDescent="0.2"/>
  <cols>
    <col min="1" max="6" width="10.83203125" style="54"/>
    <col min="7" max="7" width="9" style="54" customWidth="1"/>
    <col min="8" max="16384" width="10.83203125" style="54"/>
  </cols>
  <sheetData>
    <row r="1" spans="1:10" ht="19" x14ac:dyDescent="0.25">
      <c r="A1" s="1" t="s">
        <v>68</v>
      </c>
      <c r="B1" s="52"/>
      <c r="C1" s="52"/>
      <c r="D1" s="52"/>
      <c r="E1" s="52"/>
      <c r="F1" s="52"/>
      <c r="G1" s="52"/>
      <c r="H1" s="52"/>
      <c r="I1" s="52"/>
      <c r="J1" s="53"/>
    </row>
    <row r="2" spans="1:10" x14ac:dyDescent="0.2">
      <c r="A2" s="55"/>
      <c r="B2" s="52"/>
      <c r="C2" s="52"/>
      <c r="D2" s="52"/>
      <c r="E2" s="52"/>
      <c r="F2" s="52"/>
      <c r="G2" s="52"/>
      <c r="H2" s="52"/>
      <c r="I2" s="52"/>
      <c r="J2" s="53"/>
    </row>
    <row r="3" spans="1:10" x14ac:dyDescent="0.2">
      <c r="A3" s="55"/>
      <c r="B3" s="52" t="s">
        <v>1</v>
      </c>
      <c r="C3" s="52"/>
      <c r="D3" s="52"/>
      <c r="E3" s="52"/>
      <c r="F3" s="52"/>
      <c r="G3" s="52"/>
      <c r="H3" s="52"/>
      <c r="I3" s="52"/>
      <c r="J3" s="53"/>
    </row>
    <row r="4" spans="1:10" x14ac:dyDescent="0.2">
      <c r="A4" s="55"/>
      <c r="B4" s="52"/>
      <c r="C4" s="52"/>
      <c r="D4" s="52"/>
      <c r="E4" s="52"/>
      <c r="F4" s="52"/>
      <c r="G4" s="52"/>
      <c r="H4" s="52"/>
      <c r="I4" s="52"/>
      <c r="J4" s="53"/>
    </row>
    <row r="5" spans="1:10" x14ac:dyDescent="0.2">
      <c r="A5" s="55"/>
      <c r="B5" s="52"/>
      <c r="C5" s="56"/>
      <c r="D5" s="57" t="s">
        <v>2</v>
      </c>
      <c r="E5" s="57"/>
      <c r="F5" s="58"/>
      <c r="G5" s="87" t="s">
        <v>7</v>
      </c>
      <c r="H5" s="52"/>
      <c r="I5" s="52"/>
      <c r="J5" s="53"/>
    </row>
    <row r="6" spans="1:10" x14ac:dyDescent="0.2">
      <c r="A6" s="55"/>
      <c r="B6" s="52"/>
      <c r="C6" s="90" t="s">
        <v>3</v>
      </c>
      <c r="D6" s="92" t="s">
        <v>4</v>
      </c>
      <c r="E6" s="96" t="s">
        <v>5</v>
      </c>
      <c r="F6" s="94" t="s">
        <v>6</v>
      </c>
      <c r="G6" s="88"/>
      <c r="H6" s="52"/>
      <c r="I6" s="52"/>
      <c r="J6" s="53"/>
    </row>
    <row r="7" spans="1:10" x14ac:dyDescent="0.2">
      <c r="A7" s="55"/>
      <c r="B7" s="52"/>
      <c r="C7" s="91"/>
      <c r="D7" s="93"/>
      <c r="E7" s="97"/>
      <c r="F7" s="95"/>
      <c r="G7" s="89"/>
      <c r="H7" s="52"/>
      <c r="I7" s="52"/>
      <c r="J7" s="53"/>
    </row>
    <row r="8" spans="1:10" x14ac:dyDescent="0.2">
      <c r="A8" s="55"/>
      <c r="B8" s="52"/>
      <c r="C8" s="16">
        <v>2021</v>
      </c>
      <c r="D8" s="19">
        <v>180</v>
      </c>
      <c r="E8" s="20">
        <v>135</v>
      </c>
      <c r="F8" s="21">
        <v>65</v>
      </c>
      <c r="G8" s="27">
        <v>450</v>
      </c>
      <c r="H8" s="52"/>
      <c r="I8" s="52"/>
      <c r="J8" s="53"/>
    </row>
    <row r="9" spans="1:10" x14ac:dyDescent="0.2">
      <c r="A9" s="55"/>
      <c r="B9" s="52"/>
      <c r="C9" s="17">
        <v>2022</v>
      </c>
      <c r="D9" s="22">
        <v>225</v>
      </c>
      <c r="E9" s="15">
        <v>160</v>
      </c>
      <c r="F9" s="23"/>
      <c r="G9" s="28">
        <v>475</v>
      </c>
      <c r="H9" s="52"/>
      <c r="I9" s="52"/>
      <c r="J9" s="53"/>
    </row>
    <row r="10" spans="1:10" x14ac:dyDescent="0.2">
      <c r="A10" s="55"/>
      <c r="B10" s="52"/>
      <c r="C10" s="18">
        <v>2023</v>
      </c>
      <c r="D10" s="24">
        <v>175</v>
      </c>
      <c r="E10" s="25"/>
      <c r="F10" s="26"/>
      <c r="G10" s="29">
        <v>490</v>
      </c>
      <c r="H10" s="52"/>
      <c r="I10" s="52"/>
      <c r="J10" s="53"/>
    </row>
    <row r="11" spans="1:10" x14ac:dyDescent="0.2">
      <c r="A11" s="55"/>
      <c r="B11" s="52"/>
      <c r="C11" s="52"/>
      <c r="D11" s="52"/>
      <c r="E11" s="52"/>
      <c r="F11" s="52"/>
      <c r="G11" s="52"/>
      <c r="H11" s="52"/>
      <c r="I11" s="52"/>
      <c r="J11" s="53"/>
    </row>
    <row r="12" spans="1:10" x14ac:dyDescent="0.2">
      <c r="A12" s="55"/>
      <c r="B12" s="52"/>
      <c r="C12" s="52"/>
      <c r="D12" s="52"/>
      <c r="E12" s="52"/>
      <c r="F12" s="52"/>
      <c r="G12" s="52"/>
      <c r="H12" s="52"/>
      <c r="I12" s="52"/>
      <c r="J12" s="53"/>
    </row>
    <row r="13" spans="1:10" x14ac:dyDescent="0.2">
      <c r="A13" s="55"/>
      <c r="B13" s="52" t="s">
        <v>81</v>
      </c>
      <c r="C13" s="52"/>
      <c r="D13" s="52"/>
      <c r="E13" s="52"/>
      <c r="F13" s="52"/>
      <c r="G13" s="52"/>
      <c r="H13" s="52"/>
      <c r="I13" s="52"/>
      <c r="J13" s="53"/>
    </row>
    <row r="14" spans="1:10" x14ac:dyDescent="0.2">
      <c r="A14" s="55"/>
      <c r="B14" s="52"/>
      <c r="C14" s="52"/>
      <c r="D14" s="52"/>
      <c r="E14" s="52"/>
      <c r="F14" s="52"/>
      <c r="G14" s="52"/>
      <c r="H14" s="52"/>
      <c r="I14" s="52"/>
      <c r="J14" s="53"/>
    </row>
    <row r="15" spans="1:10" x14ac:dyDescent="0.2">
      <c r="A15" s="55"/>
      <c r="B15" s="52" t="s">
        <v>12</v>
      </c>
      <c r="C15" s="52"/>
      <c r="D15" s="52"/>
      <c r="E15" s="52"/>
      <c r="F15" s="52"/>
      <c r="G15" s="52"/>
      <c r="H15" s="52"/>
      <c r="I15" s="52"/>
      <c r="J15" s="53"/>
    </row>
    <row r="16" spans="1:10" x14ac:dyDescent="0.2">
      <c r="A16" s="55"/>
      <c r="B16" s="52" t="s">
        <v>13</v>
      </c>
      <c r="C16" s="52"/>
      <c r="D16" s="52"/>
      <c r="E16" s="52"/>
      <c r="F16" s="52"/>
      <c r="G16" s="52"/>
      <c r="H16" s="52"/>
      <c r="I16" s="52"/>
      <c r="J16" s="53"/>
    </row>
    <row r="17" spans="1:10" x14ac:dyDescent="0.2">
      <c r="A17" s="55"/>
      <c r="B17" s="52" t="s">
        <v>14</v>
      </c>
      <c r="C17" s="52"/>
      <c r="D17" s="52"/>
      <c r="E17" s="52"/>
      <c r="F17" s="52"/>
      <c r="G17" s="52"/>
      <c r="H17" s="52"/>
      <c r="I17" s="52"/>
      <c r="J17" s="53"/>
    </row>
    <row r="18" spans="1:10" ht="17" thickBot="1" x14ac:dyDescent="0.25">
      <c r="A18" s="59"/>
      <c r="B18" s="60"/>
      <c r="C18" s="61"/>
      <c r="D18" s="61"/>
      <c r="E18" s="61"/>
      <c r="F18" s="60"/>
      <c r="G18" s="60"/>
      <c r="H18" s="60"/>
      <c r="I18" s="60"/>
      <c r="J18" s="62"/>
    </row>
    <row r="20" spans="1:10" ht="19" x14ac:dyDescent="0.25">
      <c r="A20" s="2" t="s">
        <v>0</v>
      </c>
    </row>
    <row r="21" spans="1:10" ht="18" x14ac:dyDescent="0.25">
      <c r="A21" s="13" t="s">
        <v>64</v>
      </c>
      <c r="B21" s="5" t="s">
        <v>74</v>
      </c>
      <c r="C21" s="63"/>
    </row>
    <row r="22" spans="1:10" x14ac:dyDescent="0.2">
      <c r="A22" s="13"/>
    </row>
    <row r="23" spans="1:10" x14ac:dyDescent="0.2">
      <c r="A23" s="13"/>
    </row>
    <row r="24" spans="1:10" x14ac:dyDescent="0.2">
      <c r="A24" s="13"/>
    </row>
    <row r="25" spans="1:10" x14ac:dyDescent="0.2">
      <c r="A25" s="13"/>
      <c r="C25" s="63"/>
    </row>
    <row r="26" spans="1:10" x14ac:dyDescent="0.2">
      <c r="A26" s="13"/>
      <c r="C26" s="64"/>
      <c r="D26" s="65">
        <v>12</v>
      </c>
      <c r="E26" s="65">
        <v>24</v>
      </c>
      <c r="F26" s="65">
        <v>36</v>
      </c>
    </row>
    <row r="27" spans="1:10" ht="18" x14ac:dyDescent="0.25">
      <c r="A27" s="13"/>
      <c r="C27" s="66" t="s">
        <v>102</v>
      </c>
      <c r="D27" s="67">
        <f>SUM(D8:D10)/SUM($G$8:$G$10)</f>
        <v>0.40989399293286222</v>
      </c>
      <c r="E27" s="67">
        <f>SUM(E8:E9)/SUM($G$8:$G$9)</f>
        <v>0.31891891891891894</v>
      </c>
      <c r="F27" s="67">
        <f>SUM(F8)/SUM($G$8)</f>
        <v>0.14444444444444443</v>
      </c>
    </row>
    <row r="28" spans="1:10" x14ac:dyDescent="0.2">
      <c r="A28" s="13"/>
    </row>
    <row r="29" spans="1:10" x14ac:dyDescent="0.2">
      <c r="A29" s="13" t="s">
        <v>65</v>
      </c>
      <c r="B29" s="5" t="s">
        <v>75</v>
      </c>
    </row>
    <row r="30" spans="1:10" x14ac:dyDescent="0.2">
      <c r="A30" s="13"/>
    </row>
    <row r="31" spans="1:10" x14ac:dyDescent="0.2">
      <c r="A31" s="13"/>
    </row>
    <row r="32" spans="1:10" x14ac:dyDescent="0.2">
      <c r="A32" s="13"/>
    </row>
    <row r="33" spans="1:9" ht="17" thickBot="1" x14ac:dyDescent="0.25">
      <c r="A33" s="13"/>
    </row>
    <row r="34" spans="1:9" ht="17" thickBot="1" x14ac:dyDescent="0.25">
      <c r="A34" s="13"/>
      <c r="F34" s="68" t="s">
        <v>83</v>
      </c>
      <c r="G34" s="69">
        <f>SUM(D27:F27)</f>
        <v>0.87325735629622558</v>
      </c>
    </row>
    <row r="35" spans="1:9" x14ac:dyDescent="0.2">
      <c r="A35" s="13"/>
    </row>
    <row r="36" spans="1:9" ht="18" x14ac:dyDescent="0.25">
      <c r="A36" s="13" t="s">
        <v>66</v>
      </c>
      <c r="B36" s="5" t="s">
        <v>76</v>
      </c>
    </row>
    <row r="37" spans="1:9" x14ac:dyDescent="0.2">
      <c r="A37" s="13"/>
    </row>
    <row r="38" spans="1:9" x14ac:dyDescent="0.2">
      <c r="A38" s="13"/>
    </row>
    <row r="39" spans="1:9" x14ac:dyDescent="0.2">
      <c r="A39" s="13"/>
    </row>
    <row r="40" spans="1:9" x14ac:dyDescent="0.2">
      <c r="A40" s="13"/>
    </row>
    <row r="41" spans="1:9" ht="18" x14ac:dyDescent="0.25">
      <c r="A41" s="13"/>
      <c r="C41" s="64" t="s">
        <v>82</v>
      </c>
      <c r="D41" s="65" t="s">
        <v>103</v>
      </c>
      <c r="E41" s="65" t="s">
        <v>104</v>
      </c>
    </row>
    <row r="42" spans="1:9" x14ac:dyDescent="0.2">
      <c r="A42" s="13"/>
      <c r="C42" s="66">
        <f>C8</f>
        <v>2021</v>
      </c>
      <c r="D42" s="67">
        <f>SUM($D$27:$F$27)/$G$34</f>
        <v>1</v>
      </c>
      <c r="E42" s="70">
        <f>1-D42</f>
        <v>0</v>
      </c>
    </row>
    <row r="43" spans="1:9" x14ac:dyDescent="0.2">
      <c r="A43" s="13"/>
      <c r="C43" s="66">
        <f>C9</f>
        <v>2022</v>
      </c>
      <c r="D43" s="67">
        <f>SUM($D$27:$E$27)/$G$34</f>
        <v>0.83459120796063924</v>
      </c>
      <c r="E43" s="70">
        <f t="shared" ref="E43:E44" si="0">1-D43</f>
        <v>0.16540879203936076</v>
      </c>
    </row>
    <row r="44" spans="1:9" x14ac:dyDescent="0.2">
      <c r="A44" s="13"/>
      <c r="C44" s="66">
        <f>C10</f>
        <v>2023</v>
      </c>
      <c r="D44" s="67">
        <f>SUM($D$27)/$G$34</f>
        <v>0.46938510162841196</v>
      </c>
      <c r="E44" s="70">
        <f t="shared" si="0"/>
        <v>0.53061489837158804</v>
      </c>
    </row>
    <row r="45" spans="1:9" x14ac:dyDescent="0.2">
      <c r="A45" s="13"/>
    </row>
    <row r="46" spans="1:9" x14ac:dyDescent="0.2">
      <c r="A46" s="13" t="s">
        <v>67</v>
      </c>
      <c r="B46" s="85" t="s">
        <v>10</v>
      </c>
      <c r="C46" s="85"/>
      <c r="D46" s="85"/>
      <c r="E46" s="85"/>
      <c r="F46" s="85"/>
      <c r="G46" s="85"/>
      <c r="H46" s="85"/>
      <c r="I46" s="85"/>
    </row>
    <row r="47" spans="1:9" x14ac:dyDescent="0.2">
      <c r="A47" s="13"/>
      <c r="B47" s="85"/>
      <c r="C47" s="85"/>
      <c r="D47" s="85"/>
      <c r="E47" s="85"/>
      <c r="F47" s="85"/>
      <c r="G47" s="85"/>
      <c r="H47" s="85"/>
      <c r="I47" s="85"/>
    </row>
    <row r="48" spans="1:9" x14ac:dyDescent="0.2">
      <c r="A48" s="13"/>
      <c r="B48" s="5"/>
    </row>
    <row r="49" spans="1:7" x14ac:dyDescent="0.2">
      <c r="A49" s="13"/>
      <c r="B49" s="5"/>
    </row>
    <row r="50" spans="1:7" x14ac:dyDescent="0.2">
      <c r="A50" s="13"/>
      <c r="B50" s="5"/>
    </row>
    <row r="51" spans="1:7" x14ac:dyDescent="0.2">
      <c r="A51" s="13"/>
      <c r="B51" s="5"/>
    </row>
    <row r="52" spans="1:7" x14ac:dyDescent="0.2">
      <c r="A52" s="13"/>
      <c r="B52" s="5"/>
    </row>
    <row r="53" spans="1:7" x14ac:dyDescent="0.2">
      <c r="A53" s="13"/>
      <c r="B53" s="5"/>
    </row>
    <row r="54" spans="1:7" x14ac:dyDescent="0.2">
      <c r="A54" s="13"/>
      <c r="B54" s="5"/>
    </row>
    <row r="55" spans="1:7" x14ac:dyDescent="0.2">
      <c r="A55" s="13"/>
      <c r="B55" s="5"/>
    </row>
    <row r="56" spans="1:7" x14ac:dyDescent="0.2">
      <c r="A56" s="13"/>
      <c r="B56" s="5"/>
      <c r="E56" s="66" t="s">
        <v>84</v>
      </c>
    </row>
    <row r="57" spans="1:7" x14ac:dyDescent="0.2">
      <c r="A57" s="13"/>
      <c r="C57" s="64" t="s">
        <v>82</v>
      </c>
      <c r="D57" s="71" t="s">
        <v>8</v>
      </c>
      <c r="E57" s="64" t="s">
        <v>85</v>
      </c>
      <c r="F57" s="65" t="s">
        <v>27</v>
      </c>
      <c r="G57" s="65" t="s">
        <v>28</v>
      </c>
    </row>
    <row r="58" spans="1:7" x14ac:dyDescent="0.2">
      <c r="A58" s="13"/>
      <c r="C58" s="66">
        <f>C8</f>
        <v>2021</v>
      </c>
      <c r="D58" s="72">
        <f>G8</f>
        <v>450</v>
      </c>
      <c r="E58" s="73">
        <f>SUM(D8:F8)</f>
        <v>380</v>
      </c>
      <c r="F58" s="72">
        <f>E42*E58/D42</f>
        <v>0</v>
      </c>
      <c r="G58" s="72">
        <f>D58*$G$34*E42</f>
        <v>0</v>
      </c>
    </row>
    <row r="59" spans="1:7" x14ac:dyDescent="0.2">
      <c r="A59" s="13"/>
      <c r="C59" s="66">
        <f>C9</f>
        <v>2022</v>
      </c>
      <c r="D59" s="72">
        <f>G9</f>
        <v>475</v>
      </c>
      <c r="E59" s="73">
        <f>SUM(D9:F9)</f>
        <v>385</v>
      </c>
      <c r="F59" s="74">
        <f>E43*E59/D43</f>
        <v>76.30368535844589</v>
      </c>
      <c r="G59" s="74">
        <f>D59*$G$34*E43</f>
        <v>68.611111111111057</v>
      </c>
    </row>
    <row r="60" spans="1:7" x14ac:dyDescent="0.2">
      <c r="A60" s="13"/>
      <c r="C60" s="66">
        <f>C10</f>
        <v>2023</v>
      </c>
      <c r="D60" s="72">
        <f>G10</f>
        <v>490</v>
      </c>
      <c r="E60" s="73">
        <f>SUM(D10:F10)</f>
        <v>175</v>
      </c>
      <c r="F60" s="74">
        <f>E44*E60/D44</f>
        <v>197.82819457388425</v>
      </c>
      <c r="G60" s="74">
        <f>D60*$G$34*E44</f>
        <v>227.04804804804803</v>
      </c>
    </row>
    <row r="61" spans="1:7" x14ac:dyDescent="0.2">
      <c r="A61" s="13"/>
      <c r="B61" s="5"/>
    </row>
    <row r="62" spans="1:7" ht="18" x14ac:dyDescent="0.25">
      <c r="A62" s="13" t="s">
        <v>77</v>
      </c>
      <c r="B62" s="5" t="s">
        <v>78</v>
      </c>
    </row>
    <row r="63" spans="1:7" x14ac:dyDescent="0.2">
      <c r="A63" s="13"/>
      <c r="B63" s="5"/>
    </row>
    <row r="64" spans="1:7" x14ac:dyDescent="0.2">
      <c r="A64" s="13"/>
      <c r="B64" s="54" t="s">
        <v>86</v>
      </c>
      <c r="F64" s="54" t="s">
        <v>91</v>
      </c>
    </row>
    <row r="65" spans="1:6" ht="18" x14ac:dyDescent="0.25">
      <c r="A65" s="13"/>
      <c r="B65" s="5"/>
      <c r="F65" s="54" t="s">
        <v>105</v>
      </c>
    </row>
    <row r="66" spans="1:6" x14ac:dyDescent="0.2">
      <c r="A66" s="13"/>
      <c r="B66" s="54" t="s">
        <v>87</v>
      </c>
    </row>
    <row r="67" spans="1:6" x14ac:dyDescent="0.2">
      <c r="A67" s="13"/>
      <c r="B67" s="5"/>
    </row>
    <row r="68" spans="1:6" x14ac:dyDescent="0.2">
      <c r="A68" s="13"/>
      <c r="B68" s="54" t="s">
        <v>90</v>
      </c>
    </row>
    <row r="69" spans="1:6" x14ac:dyDescent="0.2">
      <c r="A69" s="13"/>
      <c r="B69" s="5"/>
    </row>
    <row r="70" spans="1:6" x14ac:dyDescent="0.2">
      <c r="A70" s="13"/>
      <c r="B70" s="5"/>
    </row>
    <row r="71" spans="1:6" x14ac:dyDescent="0.2">
      <c r="A71" s="13"/>
      <c r="C71" s="64" t="s">
        <v>82</v>
      </c>
      <c r="D71" s="71" t="s">
        <v>88</v>
      </c>
      <c r="E71" s="65" t="s">
        <v>89</v>
      </c>
      <c r="F71" s="65" t="s">
        <v>30</v>
      </c>
    </row>
    <row r="72" spans="1:6" x14ac:dyDescent="0.2">
      <c r="A72" s="13"/>
      <c r="C72" s="66">
        <f>C8</f>
        <v>2021</v>
      </c>
      <c r="D72" s="75">
        <f>D42</f>
        <v>1</v>
      </c>
      <c r="E72" s="76">
        <f>D42*$G$34</f>
        <v>0.87325735629622558</v>
      </c>
      <c r="F72" s="67">
        <f>D42/(D42+SQRT(D42))</f>
        <v>0.5</v>
      </c>
    </row>
    <row r="73" spans="1:6" x14ac:dyDescent="0.2">
      <c r="A73" s="13"/>
      <c r="C73" s="66">
        <f>C9</f>
        <v>2022</v>
      </c>
      <c r="D73" s="75">
        <f>D43</f>
        <v>0.83459120796063924</v>
      </c>
      <c r="E73" s="76">
        <f>D43*$G$34</f>
        <v>0.72881291185178121</v>
      </c>
      <c r="F73" s="67">
        <f>D43/(D43+SQRT(D43))</f>
        <v>0.47741372604788579</v>
      </c>
    </row>
    <row r="74" spans="1:6" x14ac:dyDescent="0.2">
      <c r="A74" s="13"/>
      <c r="C74" s="66">
        <f>C10</f>
        <v>2023</v>
      </c>
      <c r="D74" s="75">
        <f>D44</f>
        <v>0.46938510162841196</v>
      </c>
      <c r="E74" s="76">
        <f>D44*$G$34</f>
        <v>0.40989399293286222</v>
      </c>
      <c r="F74" s="67">
        <f>D44/(D44+SQRT(D44))</f>
        <v>0.40656934354715929</v>
      </c>
    </row>
    <row r="75" spans="1:6" x14ac:dyDescent="0.2">
      <c r="A75" s="13"/>
      <c r="B75" s="5"/>
    </row>
    <row r="76" spans="1:6" x14ac:dyDescent="0.2">
      <c r="A76" s="13" t="s">
        <v>80</v>
      </c>
      <c r="B76" s="5" t="s">
        <v>79</v>
      </c>
    </row>
    <row r="77" spans="1:6" x14ac:dyDescent="0.2">
      <c r="A77" s="13"/>
      <c r="B77" s="5"/>
    </row>
    <row r="78" spans="1:6" x14ac:dyDescent="0.2">
      <c r="A78" s="13"/>
    </row>
    <row r="79" spans="1:6" x14ac:dyDescent="0.2">
      <c r="A79" s="13"/>
    </row>
    <row r="80" spans="1:6" x14ac:dyDescent="0.2">
      <c r="A80" s="13"/>
      <c r="D80" s="86" t="s">
        <v>11</v>
      </c>
      <c r="E80" s="86"/>
      <c r="F80" s="86"/>
    </row>
    <row r="81" spans="1:6" ht="17" thickBot="1" x14ac:dyDescent="0.25">
      <c r="A81" s="13"/>
      <c r="C81" s="64" t="s">
        <v>82</v>
      </c>
      <c r="D81" s="71" t="s">
        <v>92</v>
      </c>
      <c r="E81" s="65" t="s">
        <v>93</v>
      </c>
      <c r="F81" s="65" t="s">
        <v>31</v>
      </c>
    </row>
    <row r="82" spans="1:6" x14ac:dyDescent="0.2">
      <c r="A82" s="13"/>
      <c r="C82" s="66">
        <f>C9</f>
        <v>2022</v>
      </c>
      <c r="D82" s="77">
        <f t="shared" ref="D82:F83" si="1">D73*$F59+(1-D73)*$G59</f>
        <v>75.031265944521138</v>
      </c>
      <c r="E82" s="78">
        <f t="shared" si="1"/>
        <v>74.217558547947178</v>
      </c>
      <c r="F82" s="79">
        <f t="shared" si="1"/>
        <v>72.283651645431178</v>
      </c>
    </row>
    <row r="83" spans="1:6" ht="17" thickBot="1" x14ac:dyDescent="0.25">
      <c r="C83" s="66">
        <f>C10</f>
        <v>2023</v>
      </c>
      <c r="D83" s="80">
        <f t="shared" si="1"/>
        <v>213.33268415551035</v>
      </c>
      <c r="E83" s="81">
        <f t="shared" si="1"/>
        <v>215.07100563460989</v>
      </c>
      <c r="F83" s="82">
        <f t="shared" si="1"/>
        <v>215.16815140251305</v>
      </c>
    </row>
    <row r="85" spans="1:6" ht="19" x14ac:dyDescent="0.25">
      <c r="A85" s="2" t="s">
        <v>32</v>
      </c>
      <c r="B85" s="5"/>
    </row>
    <row r="86" spans="1:6" x14ac:dyDescent="0.2">
      <c r="B86" s="54" t="s">
        <v>46</v>
      </c>
    </row>
    <row r="87" spans="1:6" ht="20" x14ac:dyDescent="0.25">
      <c r="B87" s="54" t="s">
        <v>106</v>
      </c>
    </row>
    <row r="88" spans="1:6" ht="18" x14ac:dyDescent="0.25">
      <c r="B88" s="54" t="s">
        <v>107</v>
      </c>
    </row>
    <row r="89" spans="1:6" ht="20" x14ac:dyDescent="0.25">
      <c r="B89" s="54" t="s">
        <v>61</v>
      </c>
    </row>
    <row r="90" spans="1:6" x14ac:dyDescent="0.2">
      <c r="B90" s="54" t="s">
        <v>47</v>
      </c>
    </row>
    <row r="92" spans="1:6" ht="20" x14ac:dyDescent="0.25">
      <c r="B92" s="54" t="s">
        <v>48</v>
      </c>
    </row>
    <row r="93" spans="1:6" x14ac:dyDescent="0.2">
      <c r="B93" s="54" t="s">
        <v>49</v>
      </c>
    </row>
    <row r="94" spans="1:6" ht="20" x14ac:dyDescent="0.25">
      <c r="B94" s="54" t="s">
        <v>62</v>
      </c>
    </row>
    <row r="96" spans="1:6" x14ac:dyDescent="0.2">
      <c r="B96" s="54" t="s">
        <v>50</v>
      </c>
    </row>
    <row r="97" spans="1:14" x14ac:dyDescent="0.2">
      <c r="B97" s="54" t="s">
        <v>51</v>
      </c>
    </row>
    <row r="100" spans="1:14" x14ac:dyDescent="0.2">
      <c r="A100" s="3"/>
      <c r="C100" s="63"/>
    </row>
    <row r="101" spans="1:14" x14ac:dyDescent="0.2">
      <c r="B101" s="54" t="s">
        <v>53</v>
      </c>
      <c r="L101" s="4"/>
      <c r="M101" s="4"/>
      <c r="N101" s="4"/>
    </row>
    <row r="102" spans="1:14" x14ac:dyDescent="0.2">
      <c r="B102" s="54" t="s">
        <v>52</v>
      </c>
      <c r="L102" s="4"/>
      <c r="M102" s="4"/>
      <c r="N102" s="4"/>
    </row>
    <row r="103" spans="1:14" x14ac:dyDescent="0.2">
      <c r="L103" s="4"/>
      <c r="M103" s="4"/>
      <c r="N103" s="4"/>
    </row>
    <row r="104" spans="1:14" x14ac:dyDescent="0.2">
      <c r="L104" s="4"/>
      <c r="M104" s="4"/>
      <c r="N104" s="4"/>
    </row>
    <row r="105" spans="1:14" ht="18" x14ac:dyDescent="0.25">
      <c r="B105" s="54" t="s">
        <v>54</v>
      </c>
      <c r="L105" s="4"/>
      <c r="M105" s="4"/>
      <c r="N105" s="4"/>
    </row>
    <row r="106" spans="1:14" ht="18" x14ac:dyDescent="0.25">
      <c r="B106" s="54" t="s">
        <v>56</v>
      </c>
      <c r="L106" s="4"/>
      <c r="M106" s="4"/>
      <c r="N106" s="4"/>
    </row>
    <row r="107" spans="1:14" x14ac:dyDescent="0.2">
      <c r="B107" s="54" t="s">
        <v>55</v>
      </c>
      <c r="L107" s="4"/>
      <c r="M107" s="4"/>
      <c r="N107" s="4"/>
    </row>
    <row r="108" spans="1:14" x14ac:dyDescent="0.2">
      <c r="L108" s="4"/>
      <c r="M108" s="4"/>
      <c r="N108" s="4"/>
    </row>
    <row r="109" spans="1:14" ht="19" x14ac:dyDescent="0.25">
      <c r="A109" s="2" t="s">
        <v>33</v>
      </c>
      <c r="L109" s="4"/>
      <c r="M109" s="4"/>
      <c r="N109" s="4"/>
    </row>
    <row r="110" spans="1:14" x14ac:dyDescent="0.2">
      <c r="B110" s="54" t="s">
        <v>57</v>
      </c>
      <c r="L110" s="4"/>
      <c r="M110" s="4"/>
      <c r="N110" s="4"/>
    </row>
    <row r="111" spans="1:14" x14ac:dyDescent="0.2">
      <c r="B111" s="54" t="s">
        <v>59</v>
      </c>
      <c r="L111" s="4"/>
      <c r="M111" s="4"/>
      <c r="N111" s="4"/>
    </row>
    <row r="112" spans="1:14" x14ac:dyDescent="0.2">
      <c r="B112" s="54" t="s">
        <v>58</v>
      </c>
      <c r="L112" s="4"/>
      <c r="M112" s="4"/>
      <c r="N112" s="4"/>
    </row>
    <row r="113" spans="1:14" x14ac:dyDescent="0.2">
      <c r="M113" s="63"/>
    </row>
    <row r="114" spans="1:14" ht="19" x14ac:dyDescent="0.25">
      <c r="A114" s="2" t="s">
        <v>34</v>
      </c>
      <c r="L114" s="4"/>
      <c r="M114" s="4"/>
      <c r="N114" s="4"/>
    </row>
    <row r="115" spans="1:14" x14ac:dyDescent="0.2">
      <c r="B115" s="54" t="s">
        <v>35</v>
      </c>
      <c r="D115" s="54" t="s">
        <v>41</v>
      </c>
      <c r="L115" s="4"/>
      <c r="M115" s="4"/>
      <c r="N115" s="4"/>
    </row>
    <row r="116" spans="1:14" x14ac:dyDescent="0.2">
      <c r="B116" s="54" t="s">
        <v>36</v>
      </c>
      <c r="D116" s="54" t="s">
        <v>42</v>
      </c>
      <c r="L116" s="4"/>
      <c r="M116" s="4"/>
      <c r="N116" s="4"/>
    </row>
    <row r="117" spans="1:14" x14ac:dyDescent="0.2">
      <c r="B117" s="54" t="s">
        <v>37</v>
      </c>
      <c r="D117" s="54" t="s">
        <v>43</v>
      </c>
      <c r="L117" s="4"/>
      <c r="M117" s="4"/>
      <c r="N117" s="4"/>
    </row>
    <row r="118" spans="1:14" x14ac:dyDescent="0.2">
      <c r="B118" s="54" t="s">
        <v>38</v>
      </c>
      <c r="D118" s="54" t="s">
        <v>44</v>
      </c>
      <c r="L118" s="4"/>
      <c r="M118" s="4"/>
      <c r="N118" s="4"/>
    </row>
    <row r="119" spans="1:14" x14ac:dyDescent="0.2">
      <c r="B119" s="54" t="s">
        <v>39</v>
      </c>
      <c r="L119" s="4"/>
      <c r="M119" s="4"/>
      <c r="N119" s="4"/>
    </row>
    <row r="120" spans="1:14" x14ac:dyDescent="0.2">
      <c r="B120" s="54" t="s">
        <v>40</v>
      </c>
      <c r="L120" s="4"/>
      <c r="M120" s="4"/>
      <c r="N120" s="4"/>
    </row>
    <row r="121" spans="1:14" x14ac:dyDescent="0.2">
      <c r="L121" s="4"/>
      <c r="M121" s="4"/>
      <c r="N121" s="4"/>
    </row>
    <row r="122" spans="1:14" x14ac:dyDescent="0.2">
      <c r="L122" s="4"/>
      <c r="M122" s="4"/>
      <c r="N122" s="4"/>
    </row>
    <row r="123" spans="1:14" x14ac:dyDescent="0.2">
      <c r="M123" s="63"/>
    </row>
    <row r="124" spans="1:14" x14ac:dyDescent="0.2">
      <c r="L124" s="4"/>
      <c r="M124" s="4"/>
      <c r="N124" s="4"/>
    </row>
    <row r="125" spans="1:14" x14ac:dyDescent="0.2">
      <c r="L125" s="4"/>
      <c r="M125" s="4"/>
      <c r="N125" s="4"/>
    </row>
    <row r="126" spans="1:14" x14ac:dyDescent="0.2">
      <c r="L126" s="4"/>
      <c r="M126" s="4"/>
      <c r="N126" s="4"/>
    </row>
    <row r="127" spans="1:14" x14ac:dyDescent="0.2">
      <c r="L127" s="4"/>
      <c r="M127" s="4"/>
      <c r="N127" s="4"/>
    </row>
    <row r="128" spans="1:14" x14ac:dyDescent="0.2">
      <c r="L128" s="4"/>
      <c r="M128" s="4"/>
      <c r="N128" s="4"/>
    </row>
    <row r="129" spans="1:65" x14ac:dyDescent="0.2">
      <c r="L129" s="4"/>
      <c r="M129" s="4"/>
      <c r="N129" s="4"/>
    </row>
    <row r="130" spans="1:65" x14ac:dyDescent="0.2">
      <c r="L130" s="4"/>
      <c r="M130" s="4"/>
      <c r="N130" s="4"/>
    </row>
    <row r="131" spans="1:65" x14ac:dyDescent="0.2">
      <c r="L131" s="4"/>
      <c r="M131" s="4"/>
      <c r="N131" s="4"/>
    </row>
    <row r="132" spans="1:65" x14ac:dyDescent="0.2">
      <c r="L132" s="4"/>
      <c r="M132" s="4"/>
      <c r="N132" s="4"/>
    </row>
    <row r="133" spans="1:65" x14ac:dyDescent="0.2">
      <c r="M133" s="63"/>
    </row>
    <row r="134" spans="1:65" x14ac:dyDescent="0.2">
      <c r="L134" s="4"/>
      <c r="M134" s="4"/>
      <c r="N134" s="4"/>
    </row>
    <row r="135" spans="1:65" x14ac:dyDescent="0.2">
      <c r="L135" s="4"/>
      <c r="M135" s="4"/>
      <c r="N135" s="4"/>
    </row>
    <row r="136" spans="1:65" x14ac:dyDescent="0.2">
      <c r="L136" s="4"/>
      <c r="M136" s="4"/>
      <c r="N136" s="4"/>
    </row>
    <row r="137" spans="1:65" x14ac:dyDescent="0.2">
      <c r="L137" s="4"/>
      <c r="M137" s="4"/>
      <c r="N137" s="4"/>
    </row>
    <row r="138" spans="1:65" x14ac:dyDescent="0.2">
      <c r="L138" s="4"/>
      <c r="M138" s="4"/>
      <c r="N138" s="4"/>
    </row>
    <row r="139" spans="1:65" x14ac:dyDescent="0.2">
      <c r="L139" s="4"/>
      <c r="M139" s="4"/>
      <c r="N139" s="4"/>
    </row>
    <row r="140" spans="1:65" x14ac:dyDescent="0.2">
      <c r="L140" s="4"/>
      <c r="M140" s="4"/>
      <c r="N140" s="4"/>
    </row>
    <row r="141" spans="1:65" x14ac:dyDescent="0.2">
      <c r="L141" s="4"/>
      <c r="M141" s="4"/>
      <c r="N141" s="4"/>
    </row>
    <row r="142" spans="1:65" x14ac:dyDescent="0.2">
      <c r="L142" s="4"/>
      <c r="M142" s="4"/>
      <c r="N142" s="4"/>
    </row>
    <row r="143" spans="1:65" x14ac:dyDescent="0.2">
      <c r="M143" s="63"/>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row r="245" spans="1:6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row>
  </sheetData>
  <mergeCells count="7">
    <mergeCell ref="B46:I47"/>
    <mergeCell ref="D80:F80"/>
    <mergeCell ref="G5:G7"/>
    <mergeCell ref="C6:C7"/>
    <mergeCell ref="D6:D7"/>
    <mergeCell ref="F6:F7"/>
    <mergeCell ref="E6:E7"/>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08"/>
  <sheetViews>
    <sheetView showGridLines="0" zoomScale="120" zoomScaleNormal="120" workbookViewId="0"/>
  </sheetViews>
  <sheetFormatPr baseColWidth="10" defaultColWidth="10.83203125" defaultRowHeight="16" x14ac:dyDescent="0.2"/>
  <cols>
    <col min="1" max="3" width="10.83203125" style="54"/>
    <col min="4" max="4" width="11.83203125" style="54" customWidth="1"/>
    <col min="5" max="5" width="12.1640625" style="54" customWidth="1"/>
    <col min="6" max="16384" width="10.83203125" style="54"/>
  </cols>
  <sheetData>
    <row r="1" spans="1:10" ht="19" x14ac:dyDescent="0.25">
      <c r="A1" s="1" t="s">
        <v>69</v>
      </c>
      <c r="B1" s="52"/>
      <c r="C1" s="52"/>
      <c r="D1" s="52"/>
      <c r="E1" s="52"/>
      <c r="F1" s="52"/>
      <c r="G1" s="52"/>
      <c r="H1" s="52"/>
      <c r="I1" s="52"/>
      <c r="J1" s="53"/>
    </row>
    <row r="2" spans="1:10" x14ac:dyDescent="0.2">
      <c r="A2" s="55"/>
      <c r="B2" s="52"/>
      <c r="C2" s="52"/>
      <c r="D2" s="52"/>
      <c r="E2" s="52"/>
      <c r="F2" s="52"/>
      <c r="G2" s="52"/>
      <c r="H2" s="52"/>
      <c r="I2" s="52"/>
      <c r="J2" s="53"/>
    </row>
    <row r="3" spans="1:10" x14ac:dyDescent="0.2">
      <c r="A3" s="55"/>
      <c r="B3" s="52" t="s">
        <v>95</v>
      </c>
      <c r="C3" s="52"/>
      <c r="D3" s="52"/>
      <c r="E3" s="52"/>
      <c r="F3" s="52"/>
      <c r="G3" s="52"/>
      <c r="H3" s="52"/>
      <c r="I3" s="52"/>
      <c r="J3" s="53"/>
    </row>
    <row r="4" spans="1:10" x14ac:dyDescent="0.2">
      <c r="A4" s="55"/>
      <c r="B4" s="52"/>
      <c r="C4" s="52"/>
      <c r="D4" s="52"/>
      <c r="E4" s="52"/>
      <c r="F4" s="52"/>
      <c r="G4" s="52"/>
      <c r="H4" s="52"/>
      <c r="I4" s="52"/>
      <c r="J4" s="53"/>
    </row>
    <row r="5" spans="1:10" x14ac:dyDescent="0.2">
      <c r="A5" s="55"/>
      <c r="B5" s="52"/>
      <c r="C5" s="99" t="s">
        <v>17</v>
      </c>
      <c r="D5" s="100"/>
      <c r="E5" s="101"/>
      <c r="F5" s="52"/>
      <c r="G5" s="52"/>
      <c r="H5" s="52"/>
      <c r="I5" s="52"/>
      <c r="J5" s="53"/>
    </row>
    <row r="6" spans="1:10" ht="47" customHeight="1" x14ac:dyDescent="0.2">
      <c r="A6" s="55"/>
      <c r="B6" s="52"/>
      <c r="C6" s="30" t="s">
        <v>3</v>
      </c>
      <c r="D6" s="40" t="s">
        <v>15</v>
      </c>
      <c r="E6" s="41" t="s">
        <v>16</v>
      </c>
      <c r="F6" s="52"/>
      <c r="G6" s="52"/>
      <c r="H6" s="52"/>
      <c r="I6" s="52"/>
      <c r="J6" s="53"/>
    </row>
    <row r="7" spans="1:10" x14ac:dyDescent="0.2">
      <c r="A7" s="55"/>
      <c r="B7" s="52"/>
      <c r="C7" s="31">
        <v>2021</v>
      </c>
      <c r="D7" s="34">
        <v>23900</v>
      </c>
      <c r="E7" s="35">
        <v>24600</v>
      </c>
      <c r="F7" s="52"/>
      <c r="G7" s="52"/>
      <c r="H7" s="52"/>
      <c r="I7" s="52"/>
      <c r="J7" s="53"/>
    </row>
    <row r="8" spans="1:10" x14ac:dyDescent="0.2">
      <c r="A8" s="55"/>
      <c r="B8" s="52"/>
      <c r="C8" s="32">
        <v>2022</v>
      </c>
      <c r="D8" s="36">
        <v>126700</v>
      </c>
      <c r="E8" s="37">
        <v>130300</v>
      </c>
      <c r="F8" s="52"/>
      <c r="G8" s="52"/>
      <c r="H8" s="52"/>
      <c r="I8" s="52"/>
      <c r="J8" s="53"/>
    </row>
    <row r="9" spans="1:10" x14ac:dyDescent="0.2">
      <c r="A9" s="55"/>
      <c r="B9" s="52"/>
      <c r="C9" s="33">
        <v>2023</v>
      </c>
      <c r="D9" s="38">
        <v>566700</v>
      </c>
      <c r="E9" s="39">
        <v>577800</v>
      </c>
      <c r="F9" s="52"/>
      <c r="G9" s="52"/>
      <c r="H9" s="52"/>
      <c r="I9" s="52"/>
      <c r="J9" s="53"/>
    </row>
    <row r="10" spans="1:10" x14ac:dyDescent="0.2">
      <c r="A10" s="55"/>
      <c r="B10" s="52"/>
      <c r="C10" s="52"/>
      <c r="D10" s="52"/>
      <c r="E10" s="52"/>
      <c r="F10" s="52"/>
      <c r="G10" s="52"/>
      <c r="H10" s="52"/>
      <c r="I10" s="52"/>
      <c r="J10" s="53"/>
    </row>
    <row r="11" spans="1:10" x14ac:dyDescent="0.2">
      <c r="A11" s="55"/>
      <c r="B11" s="52"/>
      <c r="C11" s="99" t="s">
        <v>21</v>
      </c>
      <c r="D11" s="100"/>
      <c r="E11" s="100"/>
      <c r="F11" s="101"/>
      <c r="G11" s="52"/>
      <c r="H11" s="52"/>
      <c r="I11" s="52"/>
      <c r="J11" s="53"/>
    </row>
    <row r="12" spans="1:10" ht="17" x14ac:dyDescent="0.2">
      <c r="A12" s="55"/>
      <c r="B12" s="52"/>
      <c r="C12" s="42"/>
      <c r="D12" s="40" t="s">
        <v>18</v>
      </c>
      <c r="E12" s="47" t="s">
        <v>19</v>
      </c>
      <c r="F12" s="41" t="s">
        <v>20</v>
      </c>
      <c r="G12" s="52"/>
      <c r="H12" s="52"/>
      <c r="I12" s="52"/>
      <c r="J12" s="53"/>
    </row>
    <row r="13" spans="1:10" ht="19" x14ac:dyDescent="0.2">
      <c r="A13" s="55"/>
      <c r="B13" s="52"/>
      <c r="C13" s="43" t="s">
        <v>22</v>
      </c>
      <c r="D13" s="44">
        <v>0.76800000000000002</v>
      </c>
      <c r="E13" s="45">
        <v>0.93700000000000006</v>
      </c>
      <c r="F13" s="46">
        <v>0.97399999999999998</v>
      </c>
      <c r="G13" s="52"/>
      <c r="H13" s="52"/>
      <c r="I13" s="52"/>
      <c r="J13" s="53"/>
    </row>
    <row r="14" spans="1:10" x14ac:dyDescent="0.2">
      <c r="A14" s="55"/>
      <c r="B14" s="52"/>
      <c r="C14" s="52"/>
      <c r="D14" s="52"/>
      <c r="E14" s="52"/>
      <c r="F14" s="52"/>
      <c r="G14" s="52"/>
      <c r="H14" s="52"/>
      <c r="I14" s="52"/>
      <c r="J14" s="53"/>
    </row>
    <row r="15" spans="1:10" x14ac:dyDescent="0.2">
      <c r="A15" s="55"/>
      <c r="B15" s="52" t="s">
        <v>73</v>
      </c>
      <c r="C15" s="52"/>
      <c r="D15" s="52"/>
      <c r="E15" s="52"/>
      <c r="F15" s="52"/>
      <c r="G15" s="52"/>
      <c r="H15" s="52"/>
      <c r="I15" s="52"/>
      <c r="J15" s="53"/>
    </row>
    <row r="16" spans="1:10" x14ac:dyDescent="0.2">
      <c r="A16" s="55"/>
      <c r="B16" s="52" t="s">
        <v>23</v>
      </c>
      <c r="C16" s="52"/>
      <c r="D16" s="52"/>
      <c r="E16" s="52"/>
      <c r="F16" s="52"/>
      <c r="G16" s="52"/>
      <c r="H16" s="52"/>
      <c r="I16" s="52"/>
      <c r="J16" s="53"/>
    </row>
    <row r="17" spans="1:12" x14ac:dyDescent="0.2">
      <c r="A17" s="55"/>
      <c r="B17" s="52"/>
      <c r="C17" s="52"/>
      <c r="D17" s="52"/>
      <c r="E17" s="52"/>
      <c r="F17" s="52"/>
      <c r="G17" s="52"/>
      <c r="H17" s="52"/>
      <c r="I17" s="52"/>
      <c r="J17" s="53"/>
    </row>
    <row r="18" spans="1:12" x14ac:dyDescent="0.2">
      <c r="A18" s="55"/>
      <c r="B18" s="52" t="s">
        <v>94</v>
      </c>
      <c r="C18" s="52"/>
      <c r="D18" s="52"/>
      <c r="E18" s="52"/>
      <c r="F18" s="52"/>
      <c r="G18" s="52"/>
      <c r="H18" s="52"/>
      <c r="I18" s="52"/>
      <c r="J18" s="53"/>
    </row>
    <row r="19" spans="1:12" ht="17" thickBot="1" x14ac:dyDescent="0.25">
      <c r="A19" s="59"/>
      <c r="B19" s="60"/>
      <c r="C19" s="61"/>
      <c r="D19" s="61"/>
      <c r="E19" s="61"/>
      <c r="F19" s="60"/>
      <c r="G19" s="60"/>
      <c r="H19" s="60"/>
      <c r="I19" s="60"/>
      <c r="J19" s="62"/>
    </row>
    <row r="21" spans="1:12" ht="19" x14ac:dyDescent="0.25">
      <c r="A21" s="2" t="s">
        <v>0</v>
      </c>
    </row>
    <row r="22" spans="1:12" x14ac:dyDescent="0.2">
      <c r="A22" s="13" t="s">
        <v>64</v>
      </c>
      <c r="B22" s="85" t="s">
        <v>24</v>
      </c>
      <c r="C22" s="85"/>
      <c r="D22" s="85"/>
      <c r="E22" s="85"/>
      <c r="F22" s="85"/>
      <c r="G22" s="85"/>
      <c r="H22" s="85"/>
      <c r="I22" s="85"/>
    </row>
    <row r="23" spans="1:12" x14ac:dyDescent="0.2">
      <c r="A23" s="13"/>
      <c r="B23" s="85"/>
      <c r="C23" s="85"/>
      <c r="D23" s="85"/>
      <c r="E23" s="85"/>
      <c r="F23" s="85"/>
      <c r="G23" s="85"/>
      <c r="H23" s="85"/>
      <c r="I23" s="85"/>
      <c r="L23" s="4"/>
    </row>
    <row r="24" spans="1:12" x14ac:dyDescent="0.2">
      <c r="A24" s="13"/>
      <c r="B24" s="14"/>
      <c r="C24" s="14"/>
      <c r="D24" s="14"/>
      <c r="E24" s="14"/>
      <c r="F24" s="14"/>
      <c r="G24" s="14"/>
      <c r="H24" s="14"/>
      <c r="I24" s="14"/>
      <c r="L24" s="4"/>
    </row>
    <row r="25" spans="1:12" x14ac:dyDescent="0.2">
      <c r="A25" s="13"/>
      <c r="B25" s="14"/>
      <c r="C25" s="14"/>
      <c r="D25" s="14"/>
      <c r="E25" s="14"/>
      <c r="F25" s="14"/>
      <c r="G25" s="14"/>
      <c r="H25" s="14"/>
      <c r="I25" s="14"/>
      <c r="L25" s="4"/>
    </row>
    <row r="26" spans="1:12" x14ac:dyDescent="0.2">
      <c r="A26" s="13"/>
      <c r="B26" s="14"/>
      <c r="C26" s="14"/>
      <c r="D26" s="14"/>
      <c r="E26" s="14"/>
      <c r="F26" s="14"/>
      <c r="G26" s="14"/>
      <c r="H26" s="14"/>
      <c r="I26" s="14"/>
      <c r="L26" s="4"/>
    </row>
    <row r="27" spans="1:12" ht="17" thickBot="1" x14ac:dyDescent="0.25">
      <c r="A27" s="13"/>
      <c r="B27" s="14"/>
      <c r="C27" s="14"/>
      <c r="D27" s="14"/>
      <c r="E27" s="14"/>
      <c r="F27" s="14"/>
      <c r="G27" s="14"/>
      <c r="H27" s="14"/>
      <c r="I27" s="14"/>
      <c r="L27" s="4"/>
    </row>
    <row r="28" spans="1:12" ht="17" thickBot="1" x14ac:dyDescent="0.25">
      <c r="A28" s="13"/>
      <c r="C28" s="68" t="s">
        <v>25</v>
      </c>
      <c r="D28" s="83">
        <v>1.5</v>
      </c>
      <c r="E28" s="54" t="s">
        <v>26</v>
      </c>
      <c r="L28" s="4"/>
    </row>
    <row r="29" spans="1:12" x14ac:dyDescent="0.2">
      <c r="A29" s="13"/>
      <c r="L29" s="4"/>
    </row>
    <row r="30" spans="1:12" x14ac:dyDescent="0.2">
      <c r="A30" s="13" t="s">
        <v>65</v>
      </c>
      <c r="B30" s="85" t="s">
        <v>71</v>
      </c>
      <c r="C30" s="85"/>
      <c r="D30" s="85"/>
      <c r="E30" s="85"/>
      <c r="F30" s="85"/>
      <c r="G30" s="85"/>
      <c r="H30" s="85"/>
      <c r="I30" s="85"/>
      <c r="L30" s="4"/>
    </row>
    <row r="31" spans="1:12" x14ac:dyDescent="0.2">
      <c r="A31" s="13"/>
      <c r="L31" s="4"/>
    </row>
    <row r="32" spans="1:12" x14ac:dyDescent="0.2">
      <c r="A32" s="13"/>
      <c r="L32" s="4"/>
    </row>
    <row r="33" spans="1:12" x14ac:dyDescent="0.2">
      <c r="A33" s="13"/>
      <c r="L33" s="4"/>
    </row>
    <row r="34" spans="1:12" x14ac:dyDescent="0.2">
      <c r="A34" s="13"/>
      <c r="L34" s="4"/>
    </row>
    <row r="35" spans="1:12" ht="17" x14ac:dyDescent="0.2">
      <c r="A35" s="13"/>
      <c r="C35" s="64" t="s">
        <v>82</v>
      </c>
      <c r="D35" s="7" t="s">
        <v>9</v>
      </c>
      <c r="E35" s="65" t="s">
        <v>29</v>
      </c>
      <c r="L35" s="4"/>
    </row>
    <row r="36" spans="1:12" x14ac:dyDescent="0.2">
      <c r="A36" s="13"/>
      <c r="C36" s="66">
        <f>C7</f>
        <v>2021</v>
      </c>
      <c r="D36" s="11">
        <f>F13</f>
        <v>0.97399999999999998</v>
      </c>
      <c r="E36" s="84">
        <f>($D$28-1+SQRT(($D$28+1)*($D$28-1+2*D36)))/2</f>
        <v>1.4869316876852983</v>
      </c>
      <c r="L36" s="4"/>
    </row>
    <row r="37" spans="1:12" x14ac:dyDescent="0.2">
      <c r="A37" s="13"/>
      <c r="C37" s="66">
        <f t="shared" ref="C37:C38" si="0">C8</f>
        <v>2022</v>
      </c>
      <c r="D37" s="11">
        <f>E13</f>
        <v>0.93700000000000006</v>
      </c>
      <c r="E37" s="84">
        <f>($D$28-1+SQRT(($D$28+1)*($D$28-1+2*D37)))/2</f>
        <v>1.4680927715079835</v>
      </c>
      <c r="L37" s="4"/>
    </row>
    <row r="38" spans="1:12" x14ac:dyDescent="0.2">
      <c r="A38" s="13"/>
      <c r="C38" s="66">
        <f t="shared" si="0"/>
        <v>2023</v>
      </c>
      <c r="D38" s="11">
        <f>D13</f>
        <v>0.76800000000000002</v>
      </c>
      <c r="E38" s="84">
        <f>($D$28-1+SQRT(($D$28+1)*($D$28-1+2*D38)))/2</f>
        <v>1.3780514172678477</v>
      </c>
      <c r="L38" s="4"/>
    </row>
    <row r="39" spans="1:12" x14ac:dyDescent="0.2">
      <c r="A39" s="13"/>
      <c r="L39" s="4"/>
    </row>
    <row r="40" spans="1:12" ht="19" x14ac:dyDescent="0.2">
      <c r="A40" s="13" t="s">
        <v>66</v>
      </c>
      <c r="B40" s="5" t="s">
        <v>70</v>
      </c>
      <c r="L40" s="4"/>
    </row>
    <row r="41" spans="1:12" x14ac:dyDescent="0.2">
      <c r="A41" s="13"/>
      <c r="L41" s="4"/>
    </row>
    <row r="42" spans="1:12" x14ac:dyDescent="0.2">
      <c r="A42" s="13"/>
      <c r="L42" s="4"/>
    </row>
    <row r="43" spans="1:12" x14ac:dyDescent="0.2">
      <c r="A43" s="13"/>
      <c r="L43" s="4"/>
    </row>
    <row r="44" spans="1:12" x14ac:dyDescent="0.2">
      <c r="A44" s="13"/>
      <c r="L44" s="4"/>
    </row>
    <row r="45" spans="1:12" x14ac:dyDescent="0.2">
      <c r="A45" s="13"/>
      <c r="C45" s="64" t="s">
        <v>82</v>
      </c>
      <c r="D45" s="65" t="s">
        <v>30</v>
      </c>
      <c r="L45" s="4"/>
    </row>
    <row r="46" spans="1:12" x14ac:dyDescent="0.2">
      <c r="A46" s="13"/>
      <c r="C46" s="66">
        <f>C7</f>
        <v>2021</v>
      </c>
      <c r="D46" s="84">
        <f>D36/(D36+E36)</f>
        <v>0.39578506176094808</v>
      </c>
      <c r="L46" s="4"/>
    </row>
    <row r="47" spans="1:12" x14ac:dyDescent="0.2">
      <c r="A47" s="13"/>
      <c r="C47" s="66">
        <f t="shared" ref="C47:C48" si="1">C8</f>
        <v>2022</v>
      </c>
      <c r="D47" s="84">
        <f>D37/(D37+E37)</f>
        <v>0.38958996139367413</v>
      </c>
      <c r="L47" s="4"/>
    </row>
    <row r="48" spans="1:12" x14ac:dyDescent="0.2">
      <c r="A48" s="13"/>
      <c r="C48" s="66">
        <f t="shared" si="1"/>
        <v>2023</v>
      </c>
      <c r="D48" s="84">
        <f>D38/(D38+E38)</f>
        <v>0.35786654216223107</v>
      </c>
      <c r="L48" s="4"/>
    </row>
    <row r="49" spans="1:14" x14ac:dyDescent="0.2">
      <c r="A49" s="13"/>
      <c r="L49" s="4"/>
    </row>
    <row r="50" spans="1:14" ht="19" x14ac:dyDescent="0.2">
      <c r="A50" s="13" t="s">
        <v>67</v>
      </c>
      <c r="B50" s="5" t="s">
        <v>72</v>
      </c>
      <c r="C50" s="63"/>
    </row>
    <row r="51" spans="1:14" x14ac:dyDescent="0.2">
      <c r="A51" s="13"/>
    </row>
    <row r="52" spans="1:14" x14ac:dyDescent="0.2">
      <c r="A52" s="13"/>
      <c r="B52" s="102" t="s">
        <v>3</v>
      </c>
    </row>
    <row r="53" spans="1:14" ht="17" x14ac:dyDescent="0.2">
      <c r="A53" s="13"/>
      <c r="B53" s="103"/>
      <c r="C53" s="7" t="s">
        <v>27</v>
      </c>
      <c r="D53" s="8" t="s">
        <v>28</v>
      </c>
      <c r="E53" s="65" t="s">
        <v>31</v>
      </c>
    </row>
    <row r="54" spans="1:14" x14ac:dyDescent="0.2">
      <c r="A54" s="13"/>
      <c r="B54" s="9">
        <f>C7</f>
        <v>2021</v>
      </c>
      <c r="C54" s="6">
        <f>D7</f>
        <v>23900</v>
      </c>
      <c r="D54" s="10">
        <f t="shared" ref="D54:D56" si="2">E7</f>
        <v>24600</v>
      </c>
      <c r="E54" s="6">
        <f>D46*C54+(1-D46)*D54</f>
        <v>24322.950456767336</v>
      </c>
    </row>
    <row r="55" spans="1:14" x14ac:dyDescent="0.2">
      <c r="A55" s="13"/>
      <c r="B55" s="9">
        <f t="shared" ref="B55:C56" si="3">C8</f>
        <v>2022</v>
      </c>
      <c r="C55" s="6">
        <f t="shared" si="3"/>
        <v>126700</v>
      </c>
      <c r="D55" s="10">
        <f t="shared" si="2"/>
        <v>130300</v>
      </c>
      <c r="E55" s="6">
        <f>D47*C55+(1-D47)*D55</f>
        <v>128897.47613898276</v>
      </c>
    </row>
    <row r="56" spans="1:14" ht="17" thickBot="1" x14ac:dyDescent="0.25">
      <c r="A56" s="13"/>
      <c r="B56" s="48">
        <f t="shared" si="3"/>
        <v>2023</v>
      </c>
      <c r="C56" s="49">
        <f t="shared" si="3"/>
        <v>566700</v>
      </c>
      <c r="D56" s="50">
        <f t="shared" si="2"/>
        <v>577800</v>
      </c>
      <c r="E56" s="6">
        <f>D48*C56+(1-D48)*D56</f>
        <v>573827.68138199928</v>
      </c>
    </row>
    <row r="57" spans="1:14" ht="18" thickBot="1" x14ac:dyDescent="0.25">
      <c r="A57" s="13"/>
      <c r="B57" s="9" t="s">
        <v>96</v>
      </c>
      <c r="C57" s="6">
        <f>SUM(C54:C56)</f>
        <v>717300</v>
      </c>
      <c r="D57" s="10">
        <f t="shared" ref="D57" si="4">SUM(D54:D56)</f>
        <v>732700</v>
      </c>
      <c r="E57" s="12">
        <f>SUM(E54:E56)</f>
        <v>727048.10797774931</v>
      </c>
    </row>
    <row r="58" spans="1:14" x14ac:dyDescent="0.2">
      <c r="A58" s="13"/>
    </row>
    <row r="59" spans="1:14" ht="19" x14ac:dyDescent="0.25">
      <c r="A59" s="2" t="s">
        <v>32</v>
      </c>
      <c r="L59" s="4"/>
      <c r="M59" s="4"/>
      <c r="N59" s="4"/>
    </row>
    <row r="60" spans="1:14" ht="19" x14ac:dyDescent="0.25">
      <c r="A60" s="2"/>
      <c r="L60" s="4"/>
      <c r="M60" s="4"/>
      <c r="N60" s="4"/>
    </row>
    <row r="61" spans="1:14" ht="19" x14ac:dyDescent="0.25">
      <c r="A61" s="2"/>
      <c r="L61" s="4"/>
      <c r="M61" s="4"/>
      <c r="N61" s="4"/>
    </row>
    <row r="62" spans="1:14" x14ac:dyDescent="0.2">
      <c r="B62" s="54" t="s">
        <v>45</v>
      </c>
      <c r="L62" s="4"/>
      <c r="M62" s="4"/>
      <c r="N62" s="4"/>
    </row>
    <row r="63" spans="1:14" x14ac:dyDescent="0.2">
      <c r="L63" s="4"/>
      <c r="M63" s="4"/>
      <c r="N63" s="4"/>
    </row>
    <row r="64" spans="1:14" x14ac:dyDescent="0.2">
      <c r="B64" s="54" t="s">
        <v>101</v>
      </c>
      <c r="L64" s="4"/>
      <c r="M64" s="4"/>
      <c r="N64" s="4"/>
    </row>
    <row r="65" spans="2:14" ht="18" x14ac:dyDescent="0.25">
      <c r="B65" s="54" t="s">
        <v>63</v>
      </c>
      <c r="L65" s="4"/>
      <c r="M65" s="4"/>
      <c r="N65" s="4"/>
    </row>
    <row r="66" spans="2:14" ht="18" x14ac:dyDescent="0.25">
      <c r="B66" s="54" t="s">
        <v>60</v>
      </c>
      <c r="L66" s="4"/>
      <c r="M66" s="4"/>
      <c r="N66" s="4"/>
    </row>
    <row r="67" spans="2:14" x14ac:dyDescent="0.2">
      <c r="L67" s="4"/>
      <c r="M67" s="4"/>
      <c r="N67" s="4"/>
    </row>
    <row r="68" spans="2:14" ht="19" x14ac:dyDescent="0.25">
      <c r="B68" s="51" t="s">
        <v>97</v>
      </c>
      <c r="L68" s="4"/>
      <c r="M68" s="4"/>
      <c r="N68" s="4"/>
    </row>
    <row r="69" spans="2:14" x14ac:dyDescent="0.2">
      <c r="B69" s="98" t="s">
        <v>98</v>
      </c>
      <c r="C69" s="98"/>
      <c r="D69" s="98"/>
      <c r="E69" s="98"/>
      <c r="F69" s="98"/>
      <c r="G69" s="98"/>
      <c r="H69" s="98"/>
      <c r="I69" s="98"/>
      <c r="L69" s="4"/>
      <c r="M69" s="4"/>
      <c r="N69" s="4"/>
    </row>
    <row r="70" spans="2:14" x14ac:dyDescent="0.2">
      <c r="B70" s="98"/>
      <c r="C70" s="98"/>
      <c r="D70" s="98"/>
      <c r="E70" s="98"/>
      <c r="F70" s="98"/>
      <c r="G70" s="98"/>
      <c r="H70" s="98"/>
      <c r="I70" s="98"/>
      <c r="L70" s="4"/>
      <c r="M70" s="4"/>
      <c r="N70" s="4"/>
    </row>
    <row r="71" spans="2:14" x14ac:dyDescent="0.2">
      <c r="B71" s="98"/>
      <c r="C71" s="98"/>
      <c r="D71" s="98"/>
      <c r="E71" s="98"/>
      <c r="F71" s="98"/>
      <c r="G71" s="98"/>
      <c r="H71" s="98"/>
      <c r="I71" s="98"/>
      <c r="L71" s="4"/>
      <c r="M71" s="4"/>
      <c r="N71" s="4"/>
    </row>
    <row r="72" spans="2:14" x14ac:dyDescent="0.2">
      <c r="B72" s="98"/>
      <c r="C72" s="98"/>
      <c r="D72" s="98"/>
      <c r="E72" s="98"/>
      <c r="F72" s="98"/>
      <c r="G72" s="98"/>
      <c r="H72" s="98"/>
      <c r="I72" s="98"/>
      <c r="L72" s="4"/>
      <c r="M72" s="4"/>
      <c r="N72" s="4"/>
    </row>
    <row r="73" spans="2:14" x14ac:dyDescent="0.2">
      <c r="B73" s="98"/>
      <c r="C73" s="98"/>
      <c r="D73" s="98"/>
      <c r="E73" s="98"/>
      <c r="F73" s="98"/>
      <c r="G73" s="98"/>
      <c r="H73" s="98"/>
      <c r="I73" s="98"/>
      <c r="L73" s="4"/>
      <c r="M73" s="4"/>
      <c r="N73" s="4"/>
    </row>
    <row r="74" spans="2:14" x14ac:dyDescent="0.2">
      <c r="L74" s="4"/>
      <c r="M74" s="4"/>
      <c r="N74" s="4"/>
    </row>
    <row r="75" spans="2:14" x14ac:dyDescent="0.2">
      <c r="L75" s="4"/>
      <c r="M75" s="4"/>
      <c r="N75" s="4"/>
    </row>
    <row r="76" spans="2:14" x14ac:dyDescent="0.2">
      <c r="L76" s="4"/>
      <c r="M76" s="4"/>
      <c r="N76" s="4"/>
    </row>
    <row r="77" spans="2:14" x14ac:dyDescent="0.2">
      <c r="L77" s="4"/>
      <c r="M77" s="4"/>
      <c r="N77" s="4"/>
    </row>
    <row r="78" spans="2:14" x14ac:dyDescent="0.2">
      <c r="L78" s="4"/>
      <c r="M78" s="4"/>
      <c r="N78" s="4"/>
    </row>
    <row r="79" spans="2:14" x14ac:dyDescent="0.2">
      <c r="L79" s="4"/>
      <c r="M79" s="4"/>
      <c r="N79" s="4"/>
    </row>
    <row r="80" spans="2:14" x14ac:dyDescent="0.2">
      <c r="L80" s="4"/>
      <c r="M80" s="4"/>
      <c r="N80" s="4"/>
    </row>
    <row r="81" spans="1:14" x14ac:dyDescent="0.2">
      <c r="L81" s="4"/>
      <c r="M81" s="4"/>
      <c r="N81" s="4"/>
    </row>
    <row r="82" spans="1:14" x14ac:dyDescent="0.2">
      <c r="L82" s="4"/>
      <c r="M82" s="4"/>
      <c r="N82" s="4"/>
    </row>
    <row r="83" spans="1:14" x14ac:dyDescent="0.2">
      <c r="L83" s="4"/>
      <c r="M83" s="4"/>
      <c r="N83" s="4"/>
    </row>
    <row r="84" spans="1:14" ht="19" x14ac:dyDescent="0.25">
      <c r="A84" s="2" t="s">
        <v>33</v>
      </c>
      <c r="L84" s="4"/>
      <c r="M84" s="4"/>
      <c r="N84" s="4"/>
    </row>
    <row r="85" spans="1:14" x14ac:dyDescent="0.2">
      <c r="B85" s="54" t="s">
        <v>99</v>
      </c>
      <c r="L85" s="4"/>
      <c r="M85" s="4"/>
      <c r="N85" s="4"/>
    </row>
    <row r="86" spans="1:14" x14ac:dyDescent="0.2">
      <c r="M86" s="63"/>
    </row>
    <row r="87" spans="1:14" ht="19" x14ac:dyDescent="0.25">
      <c r="A87" s="2" t="s">
        <v>34</v>
      </c>
      <c r="L87" s="4"/>
      <c r="M87" s="4"/>
      <c r="N87" s="4"/>
    </row>
    <row r="88" spans="1:14" x14ac:dyDescent="0.2">
      <c r="B88" s="54" t="s">
        <v>100</v>
      </c>
      <c r="D88" s="54" t="s">
        <v>43</v>
      </c>
      <c r="L88" s="4"/>
      <c r="M88" s="4"/>
      <c r="N88" s="4"/>
    </row>
    <row r="89" spans="1:14" x14ac:dyDescent="0.2">
      <c r="L89" s="4"/>
      <c r="M89" s="4"/>
      <c r="N89" s="4"/>
    </row>
    <row r="90" spans="1:14" x14ac:dyDescent="0.2">
      <c r="L90" s="4"/>
      <c r="M90" s="4"/>
      <c r="N90" s="4"/>
    </row>
    <row r="91" spans="1:14" x14ac:dyDescent="0.2">
      <c r="L91" s="4"/>
      <c r="M91" s="4"/>
      <c r="N91" s="4"/>
    </row>
    <row r="92" spans="1:14" x14ac:dyDescent="0.2">
      <c r="L92" s="4"/>
      <c r="M92" s="4"/>
      <c r="N92" s="4"/>
    </row>
    <row r="93" spans="1:14" x14ac:dyDescent="0.2">
      <c r="L93" s="4"/>
      <c r="M93" s="4"/>
      <c r="N93" s="4"/>
    </row>
    <row r="94" spans="1:14" x14ac:dyDescent="0.2">
      <c r="L94" s="4"/>
      <c r="M94" s="4"/>
      <c r="N94" s="4"/>
    </row>
    <row r="95" spans="1:14" x14ac:dyDescent="0.2">
      <c r="L95" s="4"/>
      <c r="M95" s="4"/>
      <c r="N95" s="4"/>
    </row>
    <row r="96" spans="1:14" x14ac:dyDescent="0.2">
      <c r="M96" s="63"/>
    </row>
    <row r="97" spans="1:65" x14ac:dyDescent="0.2">
      <c r="L97" s="4"/>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4"/>
      <c r="N102" s="4"/>
    </row>
    <row r="103" spans="1:65" x14ac:dyDescent="0.2">
      <c r="L103" s="4"/>
      <c r="M103" s="4"/>
      <c r="N103" s="4"/>
    </row>
    <row r="104" spans="1:65" x14ac:dyDescent="0.2">
      <c r="L104" s="4"/>
      <c r="M104" s="4"/>
      <c r="N104" s="4"/>
    </row>
    <row r="105" spans="1:65" x14ac:dyDescent="0.2">
      <c r="L105" s="4"/>
      <c r="M105" s="4"/>
      <c r="N105" s="4"/>
    </row>
    <row r="106" spans="1:65" x14ac:dyDescent="0.2">
      <c r="M106" s="63"/>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sheetData>
  <mergeCells count="6">
    <mergeCell ref="B69:I73"/>
    <mergeCell ref="C5:E5"/>
    <mergeCell ref="C11:F11"/>
    <mergeCell ref="B52:B53"/>
    <mergeCell ref="B22:I23"/>
    <mergeCell ref="B30:I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Credible Loss Ratio</vt:lpstr>
      <vt:lpstr>Optimal Cred 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2024-12-18T17:57:09Z</dcterms:modified>
</cp:coreProperties>
</file>