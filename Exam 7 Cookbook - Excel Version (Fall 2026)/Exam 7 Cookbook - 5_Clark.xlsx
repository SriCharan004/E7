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embeddings/oleObject1.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Fall 2026)/"/>
    </mc:Choice>
  </mc:AlternateContent>
  <xr:revisionPtr revIDLastSave="0" documentId="13_ncr:1_{47E4CA11-D583-5742-A204-2C5917D1E7AA}" xr6:coauthVersionLast="47" xr6:coauthVersionMax="47" xr10:uidLastSave="{00000000-0000-0000-0000-000000000000}"/>
  <bookViews>
    <workbookView xWindow="9500" yWindow="780" windowWidth="18080" windowHeight="21060" xr2:uid="{00000000-000D-0000-FFFF-FFFF00000000}"/>
  </bookViews>
  <sheets>
    <sheet name="LDF Method" sheetId="1" r:id="rId1"/>
    <sheet name="Cape Cod Method" sheetId="2" r:id="rId2"/>
    <sheet name="Normalized Residuals" sheetId="3" r:id="rId3"/>
    <sheet name="Variance of Prospective Losses" sheetId="4" r:id="rId4"/>
    <sheet name="Variance of CY Develop" sheetId="5" r:id="rId5"/>
    <sheet name="Best-fit Parameters ML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8" i="5" l="1"/>
  <c r="I52" i="5"/>
  <c r="I49" i="5"/>
  <c r="D155" i="1"/>
  <c r="H155" i="1"/>
  <c r="H154" i="1"/>
  <c r="H153" i="1"/>
  <c r="G52" i="1"/>
  <c r="E155" i="1"/>
  <c r="B155" i="1"/>
  <c r="B154" i="1"/>
  <c r="B153" i="1"/>
  <c r="C154" i="1"/>
  <c r="E154" i="1" s="1"/>
  <c r="D154" i="1" l="1"/>
  <c r="F154" i="1" s="1"/>
  <c r="C153" i="1"/>
  <c r="F155" i="1"/>
  <c r="C45" i="6"/>
  <c r="C44" i="6"/>
  <c r="C43" i="6"/>
  <c r="E64" i="5"/>
  <c r="H104" i="3"/>
  <c r="H103" i="3"/>
  <c r="H102" i="3"/>
  <c r="H101" i="3"/>
  <c r="H100" i="3"/>
  <c r="H99" i="3"/>
  <c r="E114" i="2"/>
  <c r="D98" i="2"/>
  <c r="D99" i="2"/>
  <c r="C96" i="2"/>
  <c r="C95" i="2"/>
  <c r="C94" i="2"/>
  <c r="C80" i="2"/>
  <c r="C79" i="2"/>
  <c r="C78" i="2"/>
  <c r="C63" i="2"/>
  <c r="F47" i="2"/>
  <c r="F46" i="2"/>
  <c r="F45" i="2"/>
  <c r="C65" i="2"/>
  <c r="C64" i="2"/>
  <c r="B45" i="2"/>
  <c r="G29" i="2"/>
  <c r="G31" i="2" s="1"/>
  <c r="E153" i="1" l="1"/>
  <c r="D153" i="1"/>
  <c r="F48" i="2"/>
  <c r="C160" i="2"/>
  <c r="C159" i="2"/>
  <c r="C158" i="2"/>
  <c r="F153" i="1" l="1"/>
  <c r="E82" i="1"/>
  <c r="D158" i="2"/>
  <c r="F158" i="2"/>
  <c r="E43" i="6"/>
  <c r="D33" i="6"/>
  <c r="E33" i="6" s="1"/>
  <c r="E34" i="6"/>
  <c r="D45" i="6" s="1"/>
  <c r="E44" i="6"/>
  <c r="E45" i="6"/>
  <c r="C33" i="6"/>
  <c r="C56" i="6" s="1"/>
  <c r="C72" i="6" s="1"/>
  <c r="C34" i="6"/>
  <c r="C57" i="6" s="1"/>
  <c r="C73" i="6" s="1"/>
  <c r="C32" i="6"/>
  <c r="C55" i="6" s="1"/>
  <c r="C71" i="6" s="1"/>
  <c r="H48" i="5"/>
  <c r="D51" i="5"/>
  <c r="F51" i="5" s="1"/>
  <c r="H49" i="5"/>
  <c r="H50" i="5"/>
  <c r="H51" i="5"/>
  <c r="C49" i="5"/>
  <c r="C50" i="5"/>
  <c r="C51" i="5"/>
  <c r="C48" i="5"/>
  <c r="B49" i="5"/>
  <c r="B50" i="5"/>
  <c r="B51" i="5"/>
  <c r="B48" i="5"/>
  <c r="G22" i="4"/>
  <c r="G26" i="4" s="1"/>
  <c r="G30" i="4"/>
  <c r="H37" i="3"/>
  <c r="D38" i="3"/>
  <c r="D37" i="3" s="1"/>
  <c r="E37" i="3" s="1"/>
  <c r="F37" i="3" s="1"/>
  <c r="H38" i="3"/>
  <c r="E39" i="3"/>
  <c r="F39" i="3" s="1"/>
  <c r="G39" i="3" s="1"/>
  <c r="H39" i="3"/>
  <c r="H74" i="3"/>
  <c r="H73" i="3"/>
  <c r="H72" i="3"/>
  <c r="H70" i="3"/>
  <c r="H71" i="3"/>
  <c r="H69" i="3"/>
  <c r="C62" i="3"/>
  <c r="C61" i="3"/>
  <c r="C60" i="3"/>
  <c r="C50" i="3"/>
  <c r="C49" i="3"/>
  <c r="C48" i="3"/>
  <c r="C39" i="3"/>
  <c r="C38" i="3"/>
  <c r="C37" i="3"/>
  <c r="D159" i="2"/>
  <c r="D160" i="2"/>
  <c r="C46" i="2"/>
  <c r="D46" i="2" s="1"/>
  <c r="E46" i="2" s="1"/>
  <c r="D47" i="2"/>
  <c r="E47" i="2" s="1"/>
  <c r="D82" i="2" s="1"/>
  <c r="F159" i="2"/>
  <c r="F160" i="2"/>
  <c r="G45" i="2"/>
  <c r="G46" i="2"/>
  <c r="G47" i="2"/>
  <c r="B47" i="2"/>
  <c r="B46" i="2"/>
  <c r="D82" i="1"/>
  <c r="C53" i="1"/>
  <c r="C52" i="1" s="1"/>
  <c r="D52" i="1" s="1"/>
  <c r="E52" i="1" s="1"/>
  <c r="D54" i="1"/>
  <c r="E54" i="1" s="1"/>
  <c r="F82" i="1"/>
  <c r="D83" i="1"/>
  <c r="G53" i="1"/>
  <c r="E83" i="1"/>
  <c r="D84" i="1"/>
  <c r="G54" i="1"/>
  <c r="G29" i="1"/>
  <c r="G31" i="1" s="1"/>
  <c r="E107" i="1"/>
  <c r="C90" i="1"/>
  <c r="C89" i="1"/>
  <c r="C88" i="1"/>
  <c r="C84" i="1"/>
  <c r="C67" i="1"/>
  <c r="C83" i="1"/>
  <c r="C66" i="1"/>
  <c r="C82" i="1"/>
  <c r="C65" i="1"/>
  <c r="B54" i="1"/>
  <c r="B53" i="1"/>
  <c r="B52" i="1"/>
  <c r="G153" i="1" l="1"/>
  <c r="I153" i="1" s="1"/>
  <c r="H156" i="1"/>
  <c r="F52" i="1"/>
  <c r="G154" i="1"/>
  <c r="G155" i="1"/>
  <c r="I155" i="1" s="1"/>
  <c r="E59" i="6"/>
  <c r="E46" i="6"/>
  <c r="D32" i="6"/>
  <c r="F45" i="6"/>
  <c r="G57" i="6" s="1"/>
  <c r="G48" i="4"/>
  <c r="G50" i="4" s="1"/>
  <c r="I39" i="3"/>
  <c r="G50" i="3" s="1"/>
  <c r="H40" i="3"/>
  <c r="H52" i="1"/>
  <c r="D93" i="1"/>
  <c r="D92" i="1"/>
  <c r="G55" i="1"/>
  <c r="F54" i="1"/>
  <c r="H54" i="1" s="1"/>
  <c r="D59" i="6"/>
  <c r="D57" i="6" s="1"/>
  <c r="D73" i="6" s="1"/>
  <c r="E38" i="3"/>
  <c r="F38" i="3" s="1"/>
  <c r="G38" i="3" s="1"/>
  <c r="I38" i="3" s="1"/>
  <c r="G49" i="3" s="1"/>
  <c r="E160" i="2"/>
  <c r="G160" i="2" s="1"/>
  <c r="D65" i="2"/>
  <c r="F161" i="2"/>
  <c r="D44" i="6"/>
  <c r="F44" i="6" s="1"/>
  <c r="G56" i="6" s="1"/>
  <c r="E159" i="2"/>
  <c r="G159" i="2" s="1"/>
  <c r="H46" i="2"/>
  <c r="E82" i="2"/>
  <c r="D64" i="2"/>
  <c r="D161" i="2"/>
  <c r="H47" i="2"/>
  <c r="C45" i="2"/>
  <c r="D45" i="2" s="1"/>
  <c r="E45" i="2" s="1"/>
  <c r="F52" i="3"/>
  <c r="G37" i="3"/>
  <c r="I37" i="3" s="1"/>
  <c r="D52" i="3"/>
  <c r="G65" i="1"/>
  <c r="G67" i="1"/>
  <c r="D69" i="1"/>
  <c r="D53" i="1"/>
  <c r="E53" i="1" s="1"/>
  <c r="G66" i="1" s="1"/>
  <c r="D50" i="5"/>
  <c r="E51" i="5"/>
  <c r="G51" i="5" s="1"/>
  <c r="I51" i="5" s="1"/>
  <c r="H52" i="5"/>
  <c r="J155" i="1" l="1"/>
  <c r="I154" i="1"/>
  <c r="J154" i="1" s="1"/>
  <c r="J153" i="1"/>
  <c r="I156" i="1"/>
  <c r="E32" i="6"/>
  <c r="F59" i="6" s="1"/>
  <c r="E52" i="3"/>
  <c r="E49" i="3" s="1"/>
  <c r="E61" i="3" s="1"/>
  <c r="D50" i="3"/>
  <c r="D62" i="3" s="1"/>
  <c r="I86" i="3" s="1"/>
  <c r="D65" i="1"/>
  <c r="D88" i="1" s="1"/>
  <c r="I54" i="1"/>
  <c r="D67" i="1"/>
  <c r="D90" i="1" s="1"/>
  <c r="D56" i="6"/>
  <c r="D72" i="6" s="1"/>
  <c r="E56" i="6"/>
  <c r="E72" i="6" s="1"/>
  <c r="F82" i="2"/>
  <c r="D63" i="2"/>
  <c r="H45" i="2"/>
  <c r="H48" i="2" s="1"/>
  <c r="H50" i="2" s="1"/>
  <c r="E158" i="2"/>
  <c r="G158" i="2" s="1"/>
  <c r="G48" i="3"/>
  <c r="I40" i="3"/>
  <c r="D49" i="3"/>
  <c r="D61" i="3" s="1"/>
  <c r="E69" i="1"/>
  <c r="E65" i="1" s="1"/>
  <c r="E88" i="1" s="1"/>
  <c r="F53" i="1"/>
  <c r="H53" i="1" s="1"/>
  <c r="I52" i="1"/>
  <c r="F69" i="1"/>
  <c r="F65" i="1" s="1"/>
  <c r="F88" i="1" s="1"/>
  <c r="E50" i="5"/>
  <c r="G50" i="5" s="1"/>
  <c r="F50" i="5"/>
  <c r="D49" i="5"/>
  <c r="J156" i="1" l="1"/>
  <c r="D43" i="6"/>
  <c r="F43" i="6" s="1"/>
  <c r="H86" i="3"/>
  <c r="I104" i="3"/>
  <c r="I71" i="3"/>
  <c r="I53" i="1"/>
  <c r="I55" i="1" s="1"/>
  <c r="H55" i="1"/>
  <c r="G161" i="2"/>
  <c r="I50" i="5"/>
  <c r="E64" i="2"/>
  <c r="E65" i="2"/>
  <c r="E63" i="2"/>
  <c r="G78" i="2" s="1"/>
  <c r="H88" i="3"/>
  <c r="H85" i="3"/>
  <c r="F48" i="3"/>
  <c r="F60" i="3" s="1"/>
  <c r="E48" i="3"/>
  <c r="E60" i="3" s="1"/>
  <c r="D48" i="3"/>
  <c r="D60" i="3" s="1"/>
  <c r="E66" i="1"/>
  <c r="E89" i="1" s="1"/>
  <c r="D66" i="1"/>
  <c r="D89" i="1" s="1"/>
  <c r="D95" i="1" s="1"/>
  <c r="F49" i="5"/>
  <c r="E49" i="5"/>
  <c r="G49" i="5" s="1"/>
  <c r="D48" i="5"/>
  <c r="F46" i="6" l="1"/>
  <c r="G55" i="6"/>
  <c r="D101" i="1"/>
  <c r="E109" i="1" s="1"/>
  <c r="F63" i="2"/>
  <c r="D78" i="2"/>
  <c r="D94" i="2" s="1"/>
  <c r="F78" i="2"/>
  <c r="F94" i="2" s="1"/>
  <c r="E78" i="2"/>
  <c r="E94" i="2" s="1"/>
  <c r="G80" i="2"/>
  <c r="D80" i="2" s="1"/>
  <c r="D96" i="2" s="1"/>
  <c r="F65" i="2"/>
  <c r="G79" i="2"/>
  <c r="F64" i="2"/>
  <c r="H84" i="3"/>
  <c r="H87" i="3"/>
  <c r="H89" i="3"/>
  <c r="I88" i="3"/>
  <c r="I103" i="3"/>
  <c r="I73" i="3"/>
  <c r="I85" i="3"/>
  <c r="I70" i="3"/>
  <c r="I101" i="3"/>
  <c r="F48" i="5"/>
  <c r="E48" i="5"/>
  <c r="G48" i="5" s="1"/>
  <c r="I48" i="5" s="1"/>
  <c r="E55" i="6" l="1"/>
  <c r="E71" i="6" s="1"/>
  <c r="F55" i="6"/>
  <c r="F71" i="6" s="1"/>
  <c r="D55" i="6"/>
  <c r="D71" i="6" s="1"/>
  <c r="D75" i="6" s="1"/>
  <c r="F66" i="2"/>
  <c r="E79" i="2"/>
  <c r="E95" i="2" s="1"/>
  <c r="D79" i="2"/>
  <c r="D95" i="2" s="1"/>
  <c r="I89" i="3"/>
  <c r="I74" i="3"/>
  <c r="I102" i="3"/>
  <c r="I72" i="3"/>
  <c r="I100" i="3"/>
  <c r="I87" i="3"/>
  <c r="I99" i="3"/>
  <c r="I84" i="3"/>
  <c r="I69" i="3"/>
  <c r="E66" i="5" l="1"/>
  <c r="D101" i="2"/>
  <c r="D107" i="2" s="1"/>
  <c r="E115" i="2" s="1"/>
  <c r="E11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F152" authorId="0" shapeId="0" xr:uid="{C7870635-02F5-324E-90D2-C5AE99E123CA}">
      <text>
        <r>
          <rPr>
            <b/>
            <sz val="10"/>
            <color rgb="FF000000"/>
            <rFont val="Tahoma"/>
            <family val="2"/>
          </rPr>
          <t>Rising Fellow:</t>
        </r>
        <r>
          <rPr>
            <sz val="10"/>
            <color rgb="FF000000"/>
            <rFont val="Tahoma"/>
            <family val="2"/>
          </rPr>
          <t xml:space="preserve">
</t>
        </r>
        <r>
          <rPr>
            <sz val="10"/>
            <color rgb="FF000000"/>
            <rFont val="Tahoma"/>
            <family val="2"/>
          </rPr>
          <t>G(t) = Expos(t)xG*(x)</t>
        </r>
      </text>
    </comment>
    <comment ref="G155" authorId="0" shapeId="0" xr:uid="{FD606400-106A-F649-BB88-64CC9EB35B85}">
      <text>
        <r>
          <rPr>
            <b/>
            <sz val="10"/>
            <color rgb="FF000000"/>
            <rFont val="Tahoma"/>
            <family val="2"/>
          </rPr>
          <t>Rising Fellow:</t>
        </r>
        <r>
          <rPr>
            <sz val="10"/>
            <color rgb="FF000000"/>
            <rFont val="Tahoma"/>
            <family val="2"/>
          </rPr>
          <t xml:space="preserve">
</t>
        </r>
        <r>
          <rPr>
            <sz val="10"/>
            <color rgb="FF000000"/>
            <rFont val="Tahoma"/>
            <family val="2"/>
          </rPr>
          <t xml:space="preserve">This is an exposure-modified LDF that will both:
</t>
        </r>
        <r>
          <rPr>
            <sz val="10"/>
            <color rgb="FF000000"/>
            <rFont val="Tahoma"/>
            <family val="2"/>
          </rPr>
          <t xml:space="preserve">•  Develop losses to ultimate AND
</t>
        </r>
        <r>
          <rPr>
            <sz val="10"/>
            <color rgb="FF000000"/>
            <rFont val="Tahoma"/>
            <family val="2"/>
          </rPr>
          <t>•  Annualize losses to 100% earned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E114" authorId="0" shapeId="0" xr:uid="{E5550813-B37E-FE4B-9075-F8B60834CC79}">
      <text>
        <r>
          <rPr>
            <b/>
            <sz val="10"/>
            <color rgb="FF000000"/>
            <rFont val="Tahoma"/>
            <family val="2"/>
          </rPr>
          <t>Rising Fellow:</t>
        </r>
        <r>
          <rPr>
            <sz val="10"/>
            <color rgb="FF000000"/>
            <rFont val="Tahoma"/>
            <family val="2"/>
          </rPr>
          <t xml:space="preserve">
</t>
        </r>
        <r>
          <rPr>
            <sz val="10"/>
            <color rgb="FF000000"/>
            <rFont val="Tahoma"/>
            <family val="2"/>
          </rPr>
          <t>Parameter standard deviation is given</t>
        </r>
      </text>
    </comment>
  </commentList>
</comments>
</file>

<file path=xl/sharedStrings.xml><?xml version="1.0" encoding="utf-8"?>
<sst xmlns="http://schemas.openxmlformats.org/spreadsheetml/2006/main" count="388" uniqueCount="246">
  <si>
    <t>Solution</t>
  </si>
  <si>
    <t>Given the following information:</t>
  </si>
  <si>
    <t>Cumulative Paid Losses ($000)</t>
  </si>
  <si>
    <t>Accident Year</t>
  </si>
  <si>
    <t>12 Months</t>
  </si>
  <si>
    <t>24 Months</t>
  </si>
  <si>
    <t>36 Months</t>
  </si>
  <si>
    <t>Expected loss emergence is estimated by a Weibull growth curve (in months) with the following parameters:</t>
  </si>
  <si>
    <t xml:space="preserve">θ = </t>
  </si>
  <si>
    <t xml:space="preserve">⍵ = </t>
  </si>
  <si>
    <t>Calculate the standard deviation of the total reserve using the LDF method.</t>
  </si>
  <si>
    <t>AY</t>
  </si>
  <si>
    <t>Age</t>
  </si>
  <si>
    <t>Avg Age(x)</t>
  </si>
  <si>
    <t>G(x)</t>
  </si>
  <si>
    <t>Cumulative Loss</t>
  </si>
  <si>
    <t>Est Reserve</t>
  </si>
  <si>
    <t>Expected Incremental Losses</t>
  </si>
  <si>
    <t>Actual Incremental Losses</t>
  </si>
  <si>
    <t>%Inc Emerg</t>
  </si>
  <si>
    <t>Chi-Squared Calc</t>
  </si>
  <si>
    <t xml:space="preserve">Parameter Variance = </t>
  </si>
  <si>
    <t xml:space="preserve">Standard Dev(Resv) = </t>
  </si>
  <si>
    <t>(000)s</t>
  </si>
  <si>
    <t>Truncated LDF</t>
  </si>
  <si>
    <t>Loss @120mo</t>
  </si>
  <si>
    <t>Untruncated Ult Loss</t>
  </si>
  <si>
    <t>Incremental Paid Losses ($000)</t>
  </si>
  <si>
    <t>On-Level Earned Prem ($000)</t>
  </si>
  <si>
    <t>Expected loss emergence is estimated by a Loglogistic growth curve with the following parameters:</t>
  </si>
  <si>
    <t>Calculate the coefficient of variation of the total reserve estimate using the Cape Cod method.</t>
  </si>
  <si>
    <t>Premium</t>
  </si>
  <si>
    <t>Used Premium</t>
  </si>
  <si>
    <t>% Unpaid</t>
  </si>
  <si>
    <t>Expected Loss</t>
  </si>
  <si>
    <t>ELR</t>
  </si>
  <si>
    <t>E[Loss]</t>
  </si>
  <si>
    <t>Loss-to-date</t>
  </si>
  <si>
    <t>Prem</t>
  </si>
  <si>
    <t>Discussion</t>
  </si>
  <si>
    <t>Incremental Paid Losses</t>
  </si>
  <si>
    <t>Expected loss emergence is estimated by a Weibull growth curve with the following parameters:</t>
  </si>
  <si>
    <t>LDF</t>
  </si>
  <si>
    <t>Ult Loss</t>
  </si>
  <si>
    <t>Calendar Year</t>
  </si>
  <si>
    <t>Normalized Residual</t>
  </si>
  <si>
    <t xml:space="preserve">Graph the following residual plots: </t>
  </si>
  <si>
    <t>ii.  Normalized residuals against expected incremental loss</t>
  </si>
  <si>
    <t>iii. Normalized residuals against calendar year</t>
  </si>
  <si>
    <t>i.   Normalized residuals against the increment age of loss emergence</t>
  </si>
  <si>
    <t>Increment Age</t>
  </si>
  <si>
    <t>Expected Incremental</t>
  </si>
  <si>
    <t>The parameter variance is calculated using the following covariance matrix from the model:</t>
  </si>
  <si>
    <t>⍵</t>
  </si>
  <si>
    <t>θ</t>
  </si>
  <si>
    <t>Calculate the coefficient of variation of losses for the prospective year.</t>
  </si>
  <si>
    <t xml:space="preserve">Process Var = </t>
  </si>
  <si>
    <t xml:space="preserve">Parameter Var = </t>
  </si>
  <si>
    <t xml:space="preserve">CV = </t>
  </si>
  <si>
    <t>Next year’s plan premium for an insurer’s auto book is $9,600,000 with an expected loss ratio of 67.2%.</t>
  </si>
  <si>
    <t>From the reserve analysis, the Cape Cod method is used with LDF curve fitting. Process variance is</t>
  </si>
  <si>
    <t xml:space="preserve">calculated with a variance/mean ratio of 74,000. </t>
  </si>
  <si>
    <t>Reported Losses ($000)</t>
  </si>
  <si>
    <t>Estimated Ultimate ($000)</t>
  </si>
  <si>
    <t>The expected accident year loss emergence is estimated by a Weibull growth curve with the following parameters:</t>
  </si>
  <si>
    <t>Calculate the total standard deviation of estimated loss development over the next 12 months.</t>
  </si>
  <si>
    <t>G(x+12)</t>
  </si>
  <si>
    <t>Reported Loss</t>
  </si>
  <si>
    <t>Avg Age (x)</t>
  </si>
  <si>
    <t>Avg Age after development (x+12)</t>
  </si>
  <si>
    <t>Incremental Losses</t>
  </si>
  <si>
    <t>Expected loss emergence is estimated by a Loglogistic growth curve (in months). The Loglogistic curve is</t>
  </si>
  <si>
    <t>being fit to the incremental losses using maximum likelihood. You are testing the fit of the following set of</t>
  </si>
  <si>
    <t>parameters:</t>
  </si>
  <si>
    <t>Calculate the sum of the MLE term for this set of test parameters using the LDF method.</t>
  </si>
  <si>
    <t>LDF-to-Ult</t>
  </si>
  <si>
    <t xml:space="preserve"> Ult Loss</t>
  </si>
  <si>
    <t xml:space="preserve">loglikelihood = </t>
  </si>
  <si>
    <t>The best-fitting parameters (θ and ⍵) will maximize the loglikelihood.</t>
  </si>
  <si>
    <t>For the Cape Cod method, use the Cape Cod expected incremental loss formula below:</t>
  </si>
  <si>
    <t>expos(t)</t>
  </si>
  <si>
    <t>AvgAge(t)</t>
  </si>
  <si>
    <t>Using Truncation on the Exam</t>
  </si>
  <si>
    <t>Calculating with whole numbers</t>
  </si>
  <si>
    <t>Process Variance vs Parameter Variance</t>
  </si>
  <si>
    <t>Note on the Number of Parameters</t>
  </si>
  <si>
    <t xml:space="preserve">LDF Method parameters: </t>
  </si>
  <si>
    <t xml:space="preserve">p = #AYs* + #parameters in G(x)  </t>
  </si>
  <si>
    <t>* There's one parameter for the Ultimate of each accident year in the LDF method</t>
  </si>
  <si>
    <t>Source</t>
  </si>
  <si>
    <t>Clark – pg. 59-66</t>
  </si>
  <si>
    <t>More Practice</t>
  </si>
  <si>
    <t xml:space="preserve">CAS 2016 – 3 </t>
  </si>
  <si>
    <t>CAS 2015 – 2</t>
  </si>
  <si>
    <t>CAS 2014 – 5</t>
  </si>
  <si>
    <t>CAS 2013 – 3</t>
  </si>
  <si>
    <t>RF Clark – 1</t>
  </si>
  <si>
    <t>RF Clark – 6</t>
  </si>
  <si>
    <t>RF Clark - 8</t>
  </si>
  <si>
    <t>Clark – pg. 66-69</t>
  </si>
  <si>
    <t xml:space="preserve">CAS 2018 – 6 </t>
  </si>
  <si>
    <t xml:space="preserve">CAS 2017 – 4 </t>
  </si>
  <si>
    <t xml:space="preserve">CAS 2017 – 5 </t>
  </si>
  <si>
    <t>CAS 2016 – 3</t>
  </si>
  <si>
    <t xml:space="preserve">CAS 2016 – 4 </t>
  </si>
  <si>
    <t>CAS 2014 – 3</t>
  </si>
  <si>
    <t>CAS 2012 – 2</t>
  </si>
  <si>
    <t>CAS 2011 – 2</t>
  </si>
  <si>
    <t>RF Clark – 2</t>
  </si>
  <si>
    <t>RF Clark – 7</t>
  </si>
  <si>
    <t>RF Clark - 9</t>
  </si>
  <si>
    <t>A few things to look for:</t>
  </si>
  <si>
    <t>Clark – pg. 62-63</t>
  </si>
  <si>
    <t xml:space="preserve">CAS 2019 – 6 </t>
  </si>
  <si>
    <t>RF Clark – 3</t>
  </si>
  <si>
    <t>Derivation of the Prospective Loss Parameter Variance Formula (Step 3)</t>
  </si>
  <si>
    <t>Clark – pg. 70</t>
  </si>
  <si>
    <t>CAS 2019 – 5</t>
  </si>
  <si>
    <t>RF Clark – 4</t>
  </si>
  <si>
    <t>Clark – pg. 71</t>
  </si>
  <si>
    <t>RF Clark – 5</t>
  </si>
  <si>
    <t>Clark – pg. 50-52</t>
  </si>
  <si>
    <t>RF Clark – 10</t>
  </si>
  <si>
    <t>-&gt; Parameters: Omega, theta, and one for each year</t>
  </si>
  <si>
    <t>1)</t>
  </si>
  <si>
    <t>2)</t>
  </si>
  <si>
    <t>Clark - Variance of Calendar Year Development</t>
  </si>
  <si>
    <t>Clark - Variance of Prospective Losses</t>
  </si>
  <si>
    <t>Clark - Normalized Residuals</t>
  </si>
  <si>
    <t>Clark - Variance of Reserves (Cape Cod Method)</t>
  </si>
  <si>
    <t>Clark - Variance of Reserves (LDF Method)</t>
  </si>
  <si>
    <t>Clark - Finding Best-Fit Parameters with MLE</t>
  </si>
  <si>
    <t xml:space="preserve">•  Parameter standard deviation of the total estimated reserve = </t>
  </si>
  <si>
    <t>•  A truncation point of 10 years is used</t>
  </si>
  <si>
    <t>•  Process variance is calculated with a variance/mean ratio of:</t>
  </si>
  <si>
    <t>•  Parameter standard deviation for 12-month development is:</t>
  </si>
  <si>
    <t>3)</t>
  </si>
  <si>
    <t>4)</t>
  </si>
  <si>
    <t>5)</t>
  </si>
  <si>
    <t>6)</t>
  </si>
  <si>
    <t>7)</t>
  </si>
  <si>
    <r>
      <t xml:space="preserve">Calculate G(x) at each accident year’s </t>
    </r>
    <r>
      <rPr>
        <b/>
        <i/>
        <u/>
        <sz val="12"/>
        <color theme="1"/>
        <rFont val="Calibri"/>
        <family val="2"/>
      </rPr>
      <t>average age</t>
    </r>
    <r>
      <rPr>
        <b/>
        <sz val="12"/>
        <color theme="1"/>
        <rFont val="Calibri"/>
        <family val="2"/>
      </rPr>
      <t xml:space="preserve"> as well as at the truncation point’s </t>
    </r>
    <r>
      <rPr>
        <b/>
        <i/>
        <u/>
        <sz val="12"/>
        <color theme="1"/>
        <rFont val="Calibri"/>
        <family val="2"/>
      </rPr>
      <t>average age</t>
    </r>
    <r>
      <rPr>
        <b/>
        <sz val="12"/>
        <color theme="1"/>
        <rFont val="Calibri"/>
        <family val="2"/>
      </rPr>
      <t>.</t>
    </r>
  </si>
  <si>
    <t>See Step 3 for the accident year calculations.</t>
  </si>
  <si>
    <t>If no truncation:</t>
  </si>
  <si>
    <t>Calculate the truncated LDF for each accident year. The truncated LDF develops loss to the truncation point (10 years here) to avoid extrapolation in the tail from the fitted curve.</t>
  </si>
  <si>
    <t>Estimated Reserve</t>
  </si>
  <si>
    <r>
      <t xml:space="preserve">Calculate the developed loss and loss reserve for each accident year at the </t>
    </r>
    <r>
      <rPr>
        <b/>
        <i/>
        <u/>
        <sz val="12"/>
        <color theme="1"/>
        <rFont val="Calibri"/>
        <family val="2"/>
      </rPr>
      <t>truncation point</t>
    </r>
    <r>
      <rPr>
        <b/>
        <sz val="12"/>
        <color theme="1"/>
        <rFont val="Calibri"/>
        <family val="2"/>
      </rPr>
      <t>.</t>
    </r>
  </si>
  <si>
    <r>
      <t>[If σ</t>
    </r>
    <r>
      <rPr>
        <b/>
        <vertAlign val="superscript"/>
        <sz val="12"/>
        <color theme="1"/>
        <rFont val="Calibri"/>
        <family val="2"/>
      </rPr>
      <t>2</t>
    </r>
    <r>
      <rPr>
        <b/>
        <sz val="12"/>
        <color theme="1"/>
        <rFont val="Calibri"/>
        <family val="2"/>
      </rPr>
      <t xml:space="preserve"> not given] Calculate the expected incremental loss triangle, μ</t>
    </r>
    <r>
      <rPr>
        <b/>
        <vertAlign val="subscript"/>
        <sz val="12"/>
        <color theme="1"/>
        <rFont val="Calibri"/>
        <family val="2"/>
      </rPr>
      <t>AY,k</t>
    </r>
    <r>
      <rPr>
        <b/>
        <sz val="12"/>
        <color theme="1"/>
        <rFont val="Calibri"/>
        <family val="2"/>
      </rPr>
      <t>. Use the true ultimate Ult</t>
    </r>
    <r>
      <rPr>
        <b/>
        <vertAlign val="subscript"/>
        <sz val="12"/>
        <color theme="1"/>
        <rFont val="Calibri"/>
        <family val="2"/>
      </rPr>
      <t>AY</t>
    </r>
    <r>
      <rPr>
        <b/>
        <sz val="12"/>
        <color theme="1"/>
        <rFont val="Calibri"/>
        <family val="2"/>
      </rPr>
      <t>, not the truncated ultimate, when calculating expected incremental losses.</t>
    </r>
  </si>
  <si>
    <r>
      <t>[If σ</t>
    </r>
    <r>
      <rPr>
        <b/>
        <vertAlign val="superscript"/>
        <sz val="12"/>
        <color theme="1"/>
        <rFont val="Calibri"/>
        <family val="2"/>
      </rPr>
      <t>2</t>
    </r>
    <r>
      <rPr>
        <b/>
        <sz val="12"/>
        <color theme="1"/>
        <rFont val="Calibri"/>
        <family val="2"/>
      </rPr>
      <t xml:space="preserve"> not given] Calculate σ</t>
    </r>
    <r>
      <rPr>
        <b/>
        <vertAlign val="superscript"/>
        <sz val="12"/>
        <color theme="1"/>
        <rFont val="Calibri"/>
        <family val="2"/>
      </rPr>
      <t>2</t>
    </r>
    <r>
      <rPr>
        <b/>
        <sz val="12"/>
        <color theme="1"/>
        <rFont val="Calibri"/>
        <family val="2"/>
      </rPr>
      <t>, the variance/mean ratio for the process variance.</t>
    </r>
  </si>
  <si>
    <t>%Incremental</t>
  </si>
  <si>
    <t>Emergence</t>
  </si>
  <si>
    <r>
      <t>[If σ</t>
    </r>
    <r>
      <rPr>
        <b/>
        <vertAlign val="superscript"/>
        <sz val="12"/>
        <color theme="1"/>
        <rFont val="Calibri"/>
        <family val="2"/>
      </rPr>
      <t>2</t>
    </r>
    <r>
      <rPr>
        <b/>
        <sz val="12"/>
        <color theme="1"/>
        <rFont val="Calibri"/>
        <family val="2"/>
      </rPr>
      <t xml:space="preserve"> not given] Calculate σ</t>
    </r>
    <r>
      <rPr>
        <b/>
        <vertAlign val="superscript"/>
        <sz val="12"/>
        <color theme="1"/>
        <rFont val="Calibri"/>
        <family val="2"/>
      </rPr>
      <t>2</t>
    </r>
    <r>
      <rPr>
        <b/>
        <sz val="12"/>
        <color theme="1"/>
        <rFont val="Calibri"/>
        <family val="2"/>
      </rPr>
      <t>, the variance/mean ratio for the process variance, as the chi-square error term.</t>
    </r>
  </si>
  <si>
    <t>The standard deviation of the total reserve is $241,300.</t>
  </si>
  <si>
    <t>Calculate the process variance, the variance due to randomness in the insurance process.</t>
  </si>
  <si>
    <t>Calculate the standard deviation of the reserve estimate using both the process and parameter variance.</t>
  </si>
  <si>
    <t>Average age (months) with accident years:</t>
  </si>
  <si>
    <t>-&gt; Number of cells in the loss triangle</t>
  </si>
  <si>
    <t>On the exam, only use truncation if the problem specifically mentions it, like this one. If it’s not explicitly mentioned, solve the problem without truncation. On the 2016 exam for question 3, truncation wasn’t mentioned in the problem and the examiner’s report said that credit was “neither earned nor lost” for using truncation.</t>
  </si>
  <si>
    <r>
      <rPr>
        <b/>
        <sz val="12"/>
        <color theme="1"/>
        <rFont val="Calibri"/>
        <family val="2"/>
      </rPr>
      <t>•  Parameter variance</t>
    </r>
    <r>
      <rPr>
        <sz val="12"/>
        <color theme="1"/>
        <rFont val="Calibri"/>
        <family val="2"/>
      </rPr>
      <t xml:space="preserve"> is the variance in the estimate of the parameters.</t>
    </r>
  </si>
  <si>
    <r>
      <rPr>
        <b/>
        <sz val="12"/>
        <color theme="1"/>
        <rFont val="Calibri"/>
        <family val="2"/>
      </rPr>
      <t>•  Process variance</t>
    </r>
    <r>
      <rPr>
        <sz val="12"/>
        <color theme="1"/>
        <rFont val="Calibri"/>
        <family val="2"/>
      </rPr>
      <t xml:space="preserve"> is the variance due to randomness in the insurance process.</t>
    </r>
  </si>
  <si>
    <t>The solution here used (000s) throughout. You could also use whole numbers to solve the problem. Below are the key calculations and you can see how it ties with the values above:</t>
  </si>
  <si>
    <t>We should see that parameter variance is greater than process variance. This is because most of the uncertainty is due to the inability to estimate the expected reserve (parameter variance) rather than uncertainty due to random events (process variance). 
This is because there are so few data points in a loss triangle to estimate the parameters. Compared to the LDF method, the Cape Cod method (the next recipe) lowers the parameter variance by including the exposure data and using fewer parameters.</t>
  </si>
  <si>
    <t>For the framework used by Clark, the estimated incremental loss is based on the G(x) curve (2 parameters) and the Ultimate loss for the AY, so these are the parameters in the LDF method. Look at pg. 47-48 in Clark for some more discussion about the number of parameters and their importance.</t>
  </si>
  <si>
    <t>n =</t>
  </si>
  <si>
    <t>p =</t>
  </si>
  <si>
    <r>
      <t>σ</t>
    </r>
    <r>
      <rPr>
        <vertAlign val="superscript"/>
        <sz val="12"/>
        <color theme="1"/>
        <rFont val="Calibri"/>
        <family val="2"/>
      </rPr>
      <t>2</t>
    </r>
    <r>
      <rPr>
        <sz val="12"/>
        <color theme="1"/>
        <rFont val="Calibri"/>
        <family val="2"/>
      </rPr>
      <t xml:space="preserve"> =</t>
    </r>
  </si>
  <si>
    <t>Weibull Curve:</t>
  </si>
  <si>
    <t>Loglogistic Curve:</t>
  </si>
  <si>
    <t>Calculate the ELR, the expected loss ratio.</t>
  </si>
  <si>
    <t>•  A truncation point of 10 years is used to avoid extrapolation of loss development</t>
  </si>
  <si>
    <t>Calculate the estimated loss reserve for each accident year with the Cape Cod method.</t>
  </si>
  <si>
    <t>Note:</t>
  </si>
  <si>
    <t>%Unpaid is limited at the truncation point</t>
  </si>
  <si>
    <t>Total</t>
  </si>
  <si>
    <t>Loss to-date</t>
  </si>
  <si>
    <t>ELR =</t>
  </si>
  <si>
    <t>See Step 2 for the accident year calculations.</t>
  </si>
  <si>
    <t>-&gt; Parameters: 1 + #parameters in G(x) curve</t>
  </si>
  <si>
    <r>
      <t>x</t>
    </r>
    <r>
      <rPr>
        <vertAlign val="subscript"/>
        <sz val="12"/>
        <color theme="1"/>
        <rFont val="Calibri"/>
        <family val="2"/>
      </rPr>
      <t>trunc</t>
    </r>
    <r>
      <rPr>
        <sz val="12"/>
        <color theme="1"/>
        <rFont val="Calibri"/>
        <family val="2"/>
      </rPr>
      <t xml:space="preserve"> = </t>
    </r>
  </si>
  <si>
    <r>
      <t>G(x</t>
    </r>
    <r>
      <rPr>
        <vertAlign val="subscript"/>
        <sz val="12"/>
        <color theme="1"/>
        <rFont val="Calibri"/>
        <family val="2"/>
      </rPr>
      <t>trunc</t>
    </r>
    <r>
      <rPr>
        <sz val="12"/>
        <color theme="1"/>
        <rFont val="Calibri"/>
        <family val="2"/>
      </rPr>
      <t xml:space="preserve">) = </t>
    </r>
  </si>
  <si>
    <r>
      <t>Be careful with the number of parameters when calculating σ</t>
    </r>
    <r>
      <rPr>
        <vertAlign val="superscript"/>
        <sz val="12"/>
        <color theme="1"/>
        <rFont val="Calibri"/>
        <family val="2"/>
      </rPr>
      <t>2</t>
    </r>
    <r>
      <rPr>
        <sz val="12"/>
        <color theme="1"/>
        <rFont val="Calibri"/>
        <family val="2"/>
      </rPr>
      <t xml:space="preserve">, since the number differs between the LDF and Cape Cod methods. With the LDF method, there is one parameter for the ultimate loss of each accident year in the data and typically two parameters to define the G(x) curve. </t>
    </r>
  </si>
  <si>
    <r>
      <t>p represents the number of parameters in the</t>
    </r>
    <r>
      <rPr>
        <i/>
        <u/>
        <sz val="12"/>
        <color theme="1"/>
        <rFont val="Calibri"/>
        <family val="2"/>
      </rPr>
      <t xml:space="preserve"> whole model</t>
    </r>
    <r>
      <rPr>
        <sz val="12"/>
        <color theme="1"/>
        <rFont val="Calibri"/>
        <family val="2"/>
      </rPr>
      <t xml:space="preserve">, not just the emergence curve. </t>
    </r>
  </si>
  <si>
    <t>Calculate the process variance.</t>
  </si>
  <si>
    <t xml:space="preserve">Coefficient of Variation = </t>
  </si>
  <si>
    <t>Calculate the standard deviation and coefficient of variation of the reserve estimate using both the process and parameter variance.</t>
  </si>
  <si>
    <t>Ultimate Loss Ratio</t>
  </si>
  <si>
    <r>
      <t>Be careful with the number of parameters when calculating σ</t>
    </r>
    <r>
      <rPr>
        <vertAlign val="superscript"/>
        <sz val="12"/>
        <color theme="1"/>
        <rFont val="Calibri"/>
        <family val="2"/>
      </rPr>
      <t>2</t>
    </r>
    <r>
      <rPr>
        <sz val="12"/>
        <color theme="1"/>
        <rFont val="Calibri"/>
        <family val="2"/>
      </rPr>
      <t>. With the Cape Cod method, there is one parameter for the ELR and typically two parameters to define the G(x) curve. A different G(x) curve could have a different number of parameters.</t>
    </r>
  </si>
  <si>
    <t>Testing the Assumption of a Constant ELR</t>
  </si>
  <si>
    <t xml:space="preserve">The Cape Cod method assumes a constant ELR across all accident years. You can test this assumption by graphing the estimated ultimate loss ratios by accident year, using the formula below: </t>
  </si>
  <si>
    <t>These are the estimated ultimate loss ratios by accident year for the problem above:</t>
  </si>
  <si>
    <t>If there is a pattern, such as an increasing loss ratio, then the assumption of a constant ELR isn’t reasonable. For this problem, a constant ELR seems reasonable.</t>
  </si>
  <si>
    <t>Using Truncation – LDF vs. Cape Cod Method</t>
  </si>
  <si>
    <r>
      <t xml:space="preserve">If truncation is used, we only calculate the reserve up to the truncation point in the future, so that we don't extrapolate too much into the tail of the G(x) distribution. 
For both the LDF and Cape Cod methods, the truncation point only comes into play when calculating the estimated reserve. Everything else is done the same whether there's truncation or not. In particular, we shouldn't be taking truncation into account when calculating the expected incremental loss. These are incremental losses that happen before the truncation point. The truncation point should always be beyond the oldest maturity of the triangle.
For the two methods, we apply the %Unpaid differently because they estimate reserves differently:
•  </t>
    </r>
    <r>
      <rPr>
        <b/>
        <sz val="12"/>
        <color theme="1"/>
        <rFont val="Calibri"/>
        <family val="2"/>
      </rPr>
      <t>Cape Cod method</t>
    </r>
    <r>
      <rPr>
        <sz val="12"/>
        <color theme="1"/>
        <rFont val="Calibri"/>
        <family val="2"/>
      </rPr>
      <t xml:space="preserve">: the expected incremental is based on the expected loss, like the BF method
•  </t>
    </r>
    <r>
      <rPr>
        <b/>
        <sz val="12"/>
        <color theme="1"/>
        <rFont val="Calibri"/>
        <family val="2"/>
      </rPr>
      <t>LDF method</t>
    </r>
    <r>
      <rPr>
        <sz val="12"/>
        <color theme="1"/>
        <rFont val="Calibri"/>
        <family val="2"/>
      </rPr>
      <t>: the expected incremental is based on the LDF Ultimate Loss, untruncated (Ult = Loss / G(x)) 
The formulas are in the Clark paper on pg 47.</t>
    </r>
  </si>
  <si>
    <t>•  The LDF method was used to estimate unpaid loss.</t>
  </si>
  <si>
    <r>
      <t>•  Process variance/mean ratio (σ</t>
    </r>
    <r>
      <rPr>
        <vertAlign val="superscript"/>
        <sz val="12"/>
        <color theme="1"/>
        <rFont val="Calibri"/>
        <family val="2"/>
      </rPr>
      <t>2</t>
    </r>
    <r>
      <rPr>
        <sz val="12"/>
        <color theme="1"/>
        <rFont val="Calibri"/>
        <family val="2"/>
      </rPr>
      <t xml:space="preserve">) = </t>
    </r>
  </si>
  <si>
    <t>Calculate the expected ultimate losses by accident year.</t>
  </si>
  <si>
    <t>Ultimate Loss</t>
  </si>
  <si>
    <t xml:space="preserve">Note: </t>
  </si>
  <si>
    <t>Calculate the expected incremental loss triangle.</t>
  </si>
  <si>
    <t>Calculate the normalized residuals between actual and expected incremental losses.</t>
  </si>
  <si>
    <t>Graph the relevant residual plots.</t>
  </si>
  <si>
    <t>On the exam, you won't need to create a graph, but you should know how a residual graph is created and its interpretation.</t>
  </si>
  <si>
    <r>
      <rPr>
        <b/>
        <sz val="12"/>
        <color theme="1"/>
        <rFont val="Calibri"/>
        <family val="2"/>
      </rPr>
      <t>• Normalized Residuals vs. Increment Age:</t>
    </r>
    <r>
      <rPr>
        <sz val="12"/>
        <color theme="1"/>
        <rFont val="Calibri"/>
        <family val="2"/>
      </rPr>
      <t xml:space="preserve"> </t>
    </r>
  </si>
  <si>
    <t xml:space="preserve">• Normalized Residuals vs. Calendar Year: </t>
  </si>
  <si>
    <r>
      <rPr>
        <b/>
        <sz val="12"/>
        <color theme="1"/>
        <rFont val="Calibri"/>
        <family val="2"/>
      </rPr>
      <t>• Normalized Residuals vs. Expected Incremental Loss:</t>
    </r>
    <r>
      <rPr>
        <sz val="12"/>
        <color theme="1"/>
        <rFont val="Calibri"/>
        <family val="2"/>
      </rPr>
      <t xml:space="preserve"> </t>
    </r>
  </si>
  <si>
    <t>Residual graphs are used to test the assumptions in the model. The normalized residuals should be randomly scattered around zero. Look for patterns or trends of positive/negative residuals.</t>
  </si>
  <si>
    <t>Use this graph to test how well the loss emergence curve G(x) fits incremental losses at different development periods. See whether the curve overestimates for some development periods and underestimates for others.</t>
  </si>
  <si>
    <r>
      <t>Use this graph to check the assumption that the variance/mean scale parameter, σ</t>
    </r>
    <r>
      <rPr>
        <vertAlign val="superscript"/>
        <sz val="12"/>
        <color theme="1"/>
        <rFont val="Calibri"/>
        <family val="2"/>
      </rPr>
      <t>2</t>
    </r>
    <r>
      <rPr>
        <sz val="12"/>
        <color theme="1"/>
        <rFont val="Calibri"/>
        <family val="2"/>
      </rPr>
      <t>, is constant. If the residuals are clustered closer to zero at either high or low expected incremental losses, this assumption may not be appropriate.</t>
    </r>
  </si>
  <si>
    <t>Use this graph to test for diagonal effects. You might see particularly high or low residuals for a specific calendar year. In the graph above, calendar year 2022 has negative residuals. This might be evidence of calendar year effects that are resulting in lower losses than expected.</t>
  </si>
  <si>
    <t>This problem type is like Clark problems about calculating the variance of loss reserves. First, we calculate the prospective expected losses with the expected loss ratio. Then, this is treated similarly to the estimated loss reserve in the other problems, because no losses have occurred yet for the prospective year.
An exam problem might show a covariance matrix instead of the stand-alone Var(ELR). Just grab the variance of the ELR from matrix.</t>
  </si>
  <si>
    <t xml:space="preserve">We’re giving the parameter variance of the ELR, which is the parameter variance of the prospective Expected Loss-to-Premium ratio, but we need the parameter variance of the prospective Expected Loss. </t>
  </si>
  <si>
    <r>
      <t>E[Loss</t>
    </r>
    <r>
      <rPr>
        <vertAlign val="subscript"/>
        <sz val="12"/>
        <color theme="1"/>
        <rFont val="Calibri"/>
        <family val="2"/>
      </rPr>
      <t>prosp</t>
    </r>
    <r>
      <rPr>
        <sz val="12"/>
        <color theme="1"/>
        <rFont val="Calibri"/>
        <family val="2"/>
      </rPr>
      <t xml:space="preserve">] = </t>
    </r>
  </si>
  <si>
    <r>
      <t>SD(Loss</t>
    </r>
    <r>
      <rPr>
        <vertAlign val="subscript"/>
        <sz val="12"/>
        <color theme="1"/>
        <rFont val="Calibri"/>
        <family val="2"/>
      </rPr>
      <t>prosp</t>
    </r>
    <r>
      <rPr>
        <sz val="12"/>
        <color theme="1"/>
        <rFont val="Calibri"/>
        <family val="2"/>
      </rPr>
      <t>) =</t>
    </r>
  </si>
  <si>
    <t>Calculate the expected losses for the prospective year.</t>
  </si>
  <si>
    <t>Calculate the process variance for the prospective year.</t>
  </si>
  <si>
    <t>Calculate the parameter variance using the variance of the ELR.</t>
  </si>
  <si>
    <t>Calculate the standard deviation and coefficient of variation of prospective losses.</t>
  </si>
  <si>
    <r>
      <t xml:space="preserve">For </t>
    </r>
    <r>
      <rPr>
        <i/>
        <u/>
        <sz val="12"/>
        <color theme="1"/>
        <rFont val="Calibri"/>
        <family val="2"/>
      </rPr>
      <t>prospective losses</t>
    </r>
    <r>
      <rPr>
        <sz val="12"/>
        <color theme="1"/>
        <rFont val="Calibri"/>
        <family val="2"/>
      </rPr>
      <t>, the parameter variance only depends on the variance in the ELR parameter, because the only uncertain parameter for a prospective year is the ELR. Before the year starts, we know that 0% of losses are developed. 
For</t>
    </r>
    <r>
      <rPr>
        <i/>
        <u/>
        <sz val="12"/>
        <color theme="1"/>
        <rFont val="Calibri"/>
        <family val="2"/>
      </rPr>
      <t xml:space="preserve"> loss reserves</t>
    </r>
    <r>
      <rPr>
        <sz val="12"/>
        <color theme="1"/>
        <rFont val="Calibri"/>
        <family val="2"/>
      </rPr>
      <t>, there is also uncertainty regarding the development pattern (i.e. what percentage of losses are developed at a given point in time). This uncertainty is reflected in the growth function, G(x). The parameter variance of the loss reserve takes all of this into account and is much more complicated to calculate (see page 53-55 of the Clark paper).</t>
    </r>
  </si>
  <si>
    <t>Below is a summary of estimated ultimate losses from the LDF method as of December 31, 2023:</t>
  </si>
  <si>
    <r>
      <t xml:space="preserve">Calculate G(x) at each accident year’s </t>
    </r>
    <r>
      <rPr>
        <b/>
        <i/>
        <u/>
        <sz val="12"/>
        <color theme="1"/>
        <rFont val="Calibri"/>
        <family val="2"/>
      </rPr>
      <t>average age</t>
    </r>
    <r>
      <rPr>
        <b/>
        <sz val="12"/>
        <color theme="1"/>
        <rFont val="Calibri"/>
        <family val="2"/>
      </rPr>
      <t xml:space="preserve"> and at the </t>
    </r>
    <r>
      <rPr>
        <b/>
        <i/>
        <u/>
        <sz val="12"/>
        <color theme="1"/>
        <rFont val="Calibri"/>
        <family val="2"/>
      </rPr>
      <t>average age</t>
    </r>
    <r>
      <rPr>
        <b/>
        <sz val="12"/>
        <color theme="1"/>
        <rFont val="Calibri"/>
        <family val="2"/>
      </rPr>
      <t xml:space="preserve"> after the calendar year’s development.</t>
    </r>
  </si>
  <si>
    <t>Calculate the estimated development for the next calendar period.</t>
  </si>
  <si>
    <t>Cape Cod Method:</t>
  </si>
  <si>
    <t>LDF Method:</t>
  </si>
  <si>
    <t>Estimated Development</t>
  </si>
  <si>
    <t>Calculate the process variance for the development period.</t>
  </si>
  <si>
    <t>Calculate the total standard deviation of the estimated loss development.</t>
  </si>
  <si>
    <t>The advantage of this type of calculation is that the model can be tested in a relatively short period of time. After one year, the actual 12-month loss development can be compared to the original forecasted range to test whether the actual development falls within the range.
One twist to this type of problem is to use the Cape Cod method instead of the LDF method.</t>
  </si>
  <si>
    <t>Given the following information as of December 31, 2023:</t>
  </si>
  <si>
    <t>Calculate G(x) at each accident year, using the average age, x.</t>
  </si>
  <si>
    <t>Calculate the ultimate loss estimate for each accident year.</t>
  </si>
  <si>
    <t>Calculate the expected incremental loss triangle, E[IncLoss].</t>
  </si>
  <si>
    <t>Calculate the loglikelihood as the sum of the triangle of the MLE terms. The best-fitting parameters for G(x) will maximize the loglikelihood.</t>
  </si>
  <si>
    <r>
      <t>The true loglikelihood term includes σ</t>
    </r>
    <r>
      <rPr>
        <vertAlign val="superscript"/>
        <sz val="12"/>
        <color theme="1"/>
        <rFont val="Calibri"/>
        <family val="2"/>
      </rPr>
      <t>2</t>
    </r>
    <r>
      <rPr>
        <sz val="12"/>
        <color theme="1"/>
        <rFont val="Calibri"/>
        <family val="2"/>
      </rPr>
      <t xml:space="preserve">, but since we assume it’s fixed, we can find the best-fitting parameters by maximizing the simpler function of the loglikelihood. 
One potential twist is that the original data could be in thousands. Make sure to use whole numbers because the MLE term uses a logarithm and you won’t get the correct solution using thousands. </t>
    </r>
  </si>
  <si>
    <t>In practice, this approach would be used to find the best-fit θ and ω parameters for the growth curve that maximize the loglikelihood. In the Pearson Vue environment, it is possible that one parameter could be given (say θ) and you would need to find the other parameter through trial-and-error that maximizes the loglikelihood.</t>
  </si>
  <si>
    <t>A few things to look out for:</t>
  </si>
  <si>
    <t>Expos(t)</t>
  </si>
  <si>
    <t>G(t)</t>
  </si>
  <si>
    <r>
      <rPr>
        <i/>
        <u/>
        <sz val="12"/>
        <color theme="1"/>
        <rFont val="Calibri"/>
        <family val="2"/>
      </rPr>
      <t>Annualized</t>
    </r>
    <r>
      <rPr>
        <sz val="12"/>
        <color theme="1"/>
        <rFont val="Calibri"/>
        <family val="2"/>
      </rPr>
      <t xml:space="preserve"> Loss @120mo</t>
    </r>
  </si>
  <si>
    <t>Adjustment for Partial Exposure Periods (Appendix B)</t>
  </si>
  <si>
    <r>
      <t xml:space="preserve">•  Make sure to use the </t>
    </r>
    <r>
      <rPr>
        <i/>
        <u/>
        <sz val="12"/>
        <color theme="1"/>
        <rFont val="Calibri"/>
        <family val="2"/>
      </rPr>
      <t>average age</t>
    </r>
    <r>
      <rPr>
        <sz val="12"/>
        <color theme="1"/>
        <rFont val="Calibri"/>
        <family val="2"/>
      </rPr>
      <t xml:space="preserve"> and not the total months of development for x. 
•  Watch out for cumulative vs. incremental losses in the problem. 
•  Watch out for switching between thousands and whole dollars in how the inputs are given.
•  When calculating σ</t>
    </r>
    <r>
      <rPr>
        <vertAlign val="superscript"/>
        <sz val="12"/>
        <color theme="1"/>
        <rFont val="Calibri"/>
        <family val="2"/>
      </rPr>
      <t>2</t>
    </r>
    <r>
      <rPr>
        <sz val="12"/>
        <color theme="1"/>
        <rFont val="Calibri"/>
        <family val="2"/>
      </rPr>
      <t xml:space="preserve">, make sure to use the untruncated ultimate losses to calculate the expected  incremental losses.
</t>
    </r>
  </si>
  <si>
    <t>The paper also shows the formulas for Policy Year, but those are highly unlikely to be tested in our opinion.</t>
  </si>
  <si>
    <r>
      <t xml:space="preserve">For the same problem, let's assume the first development period (t) is at </t>
    </r>
    <r>
      <rPr>
        <b/>
        <sz val="12"/>
        <color theme="1"/>
        <rFont val="Calibri"/>
        <family val="2"/>
      </rPr>
      <t>9 months</t>
    </r>
    <r>
      <rPr>
        <sz val="12"/>
        <color theme="1"/>
        <rFont val="Calibri"/>
        <family val="2"/>
      </rPr>
      <t>. Below is how we would calculate the estimated reserve, including annualization, to 100% earned exposure as done in Clark:
For AY 2023 (evaluated at 9/30/2023), the average age of occurrence for the 9 months earned is 4.5 months and 75% of the ultimate exposure for the full accident year has been earned.</t>
    </r>
  </si>
  <si>
    <t>The estimated reserve for the unearned 3 months in AY 2023 would really be UEPR, not a true loss reserve.</t>
  </si>
  <si>
    <r>
      <t xml:space="preserve">If the most recent accident year isn't fully earned (e.g. losses are evaluated at 9 months), then we need to make some adjustments that are discussed in Appendix B of the paper. 
For a partially-earned accident year, the method shown in the Clark paper does two things at once:
    •  Develops losses to ultimate level AND
    •  </t>
    </r>
    <r>
      <rPr>
        <i/>
        <u/>
        <sz val="12"/>
        <color theme="1"/>
        <rFont val="Calibri"/>
        <family val="2"/>
      </rPr>
      <t>Annualizes exposures</t>
    </r>
    <r>
      <rPr>
        <sz val="12"/>
        <color theme="1"/>
        <rFont val="Calibri"/>
        <family val="2"/>
      </rPr>
      <t xml:space="preserve"> from a partially-earned accident year to a full accident year exposure
Clark uses the exposure-adjusted G(t) formula below for the cumulative percent of ultimate curve </t>
    </r>
    <r>
      <rPr>
        <i/>
        <u/>
        <sz val="12"/>
        <color theme="1"/>
        <rFont val="Calibri"/>
        <family val="2"/>
      </rPr>
      <t>including annualization</t>
    </r>
    <r>
      <rPr>
        <sz val="12"/>
        <color theme="1"/>
        <rFont val="Calibri"/>
        <family val="2"/>
      </rPr>
      <t>:</t>
    </r>
  </si>
  <si>
    <t>Partial Exposure Period Example</t>
  </si>
  <si>
    <t xml:space="preserve">Standard Dev(Est Dev.)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</si>
</sst>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00"/>
    <numFmt numFmtId="166" formatCode="0.0%"/>
    <numFmt numFmtId="167" formatCode="_-* #,##0_-;\-* #,##0_-;_-* &quot;-&quot;??_-;_-@"/>
    <numFmt numFmtId="168" formatCode="_-* #,##0.00_-;\-* #,##0.00_-;_-* &quot;-&quot;??_-;_-@"/>
    <numFmt numFmtId="169" formatCode="#,##0.0"/>
    <numFmt numFmtId="170" formatCode="_(* #,##0_);_(* \(#,##0\);_(* &quot;-&quot;??_);_(@_)"/>
    <numFmt numFmtId="171" formatCode="0.000E+00"/>
    <numFmt numFmtId="172" formatCode="#,##0.0_);\(#,##0.0\)"/>
  </numFmts>
  <fonts count="27"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000000"/>
      <name val="Calibri"/>
      <family val="2"/>
    </font>
    <font>
      <b/>
      <sz val="12"/>
      <color theme="1"/>
      <name val="Calibri"/>
      <family val="2"/>
    </font>
    <font>
      <b/>
      <sz val="12"/>
      <color rgb="FF000000"/>
      <name val="Calibri"/>
      <family val="2"/>
    </font>
    <font>
      <sz val="12"/>
      <color rgb="FFFF0000"/>
      <name val="Calibri"/>
      <family val="2"/>
    </font>
    <font>
      <sz val="12"/>
      <name val="Calibri"/>
      <family val="2"/>
    </font>
    <font>
      <vertAlign val="superscript"/>
      <sz val="12"/>
      <color theme="1"/>
      <name val="Calibri"/>
      <family val="2"/>
    </font>
    <font>
      <u/>
      <sz val="14"/>
      <color theme="1"/>
      <name val="Calibri"/>
      <family val="2"/>
    </font>
    <font>
      <b/>
      <i/>
      <u/>
      <sz val="12"/>
      <color theme="1"/>
      <name val="Calibri"/>
      <family val="2"/>
    </font>
    <font>
      <b/>
      <vertAlign val="superscript"/>
      <sz val="12"/>
      <color theme="1"/>
      <name val="Calibri"/>
      <family val="2"/>
    </font>
    <font>
      <b/>
      <vertAlign val="subscript"/>
      <sz val="12"/>
      <color theme="1"/>
      <name val="Calibri"/>
      <family val="2"/>
    </font>
    <font>
      <u/>
      <sz val="12"/>
      <color theme="1"/>
      <name val="Calibri"/>
      <family val="2"/>
    </font>
    <font>
      <i/>
      <u/>
      <sz val="12"/>
      <color theme="1"/>
      <name val="Calibri"/>
      <family val="2"/>
    </font>
    <font>
      <vertAlign val="subscript"/>
      <sz val="12"/>
      <color theme="1"/>
      <name val="Calibri"/>
      <family val="2"/>
    </font>
    <font>
      <sz val="10"/>
      <color rgb="FF000000"/>
      <name val="Tahoma"/>
      <family val="2"/>
    </font>
    <font>
      <b/>
      <sz val="10"/>
      <color rgb="FF000000"/>
      <name val="Tahoma"/>
      <family val="2"/>
    </font>
  </fonts>
  <fills count="5">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8" tint="0.59999389629810485"/>
        <bgColor indexed="64"/>
      </patternFill>
    </fill>
  </fills>
  <borders count="3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thin">
        <color rgb="FF000000"/>
      </bottom>
      <diagonal/>
    </border>
    <border>
      <left/>
      <right/>
      <top/>
      <bottom style="thin">
        <color rgb="FF000000"/>
      </bottom>
      <diagonal/>
    </border>
    <border>
      <left/>
      <right style="thin">
        <color auto="1"/>
      </right>
      <top/>
      <bottom/>
      <diagonal/>
    </border>
    <border>
      <left/>
      <right/>
      <top style="thin">
        <color rgb="FF000000"/>
      </top>
      <bottom/>
      <diagonal/>
    </border>
    <border>
      <left/>
      <right style="thin">
        <color auto="1"/>
      </right>
      <top/>
      <bottom style="thin">
        <color indexed="64"/>
      </bottom>
      <diagonal/>
    </border>
    <border>
      <left/>
      <right/>
      <top/>
      <bottom style="thin">
        <color indexed="64"/>
      </bottom>
      <diagonal/>
    </border>
    <border>
      <left/>
      <right style="thin">
        <color rgb="FF000000"/>
      </right>
      <top/>
      <bottom style="thin">
        <color rgb="FF000000"/>
      </bottom>
      <diagonal/>
    </border>
    <border>
      <left/>
      <right style="thin">
        <color rgb="FF00000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indexed="64"/>
      </bottom>
      <diagonal/>
    </border>
  </borders>
  <cellStyleXfs count="4">
    <xf numFmtId="0" fontId="0" fillId="0" borderId="0"/>
    <xf numFmtId="44"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cellStyleXfs>
  <cellXfs count="198">
    <xf numFmtId="0" fontId="0" fillId="0" borderId="0" xfId="0"/>
    <xf numFmtId="0" fontId="9" fillId="2" borderId="1" xfId="0" applyFont="1" applyFill="1" applyBorder="1"/>
    <xf numFmtId="0" fontId="9" fillId="0" borderId="0" xfId="0" applyFont="1"/>
    <xf numFmtId="0" fontId="10" fillId="0" borderId="0" xfId="0" applyFont="1"/>
    <xf numFmtId="0" fontId="11" fillId="0" borderId="0" xfId="0" applyFont="1"/>
    <xf numFmtId="0" fontId="13" fillId="0" borderId="0" xfId="0" applyFont="1"/>
    <xf numFmtId="0" fontId="14" fillId="0" borderId="0" xfId="0" applyFont="1"/>
    <xf numFmtId="2" fontId="15" fillId="2" borderId="1" xfId="0" applyNumberFormat="1" applyFont="1" applyFill="1" applyBorder="1" applyAlignment="1">
      <alignment horizontal="left"/>
    </xf>
    <xf numFmtId="0" fontId="12" fillId="2" borderId="10" xfId="0" applyFont="1" applyFill="1" applyBorder="1" applyAlignment="1">
      <alignment horizontal="center" wrapText="1"/>
    </xf>
    <xf numFmtId="0" fontId="12" fillId="2" borderId="11" xfId="0" applyFont="1" applyFill="1" applyBorder="1" applyAlignment="1">
      <alignment horizontal="center" wrapText="1"/>
    </xf>
    <xf numFmtId="0" fontId="12" fillId="2" borderId="8" xfId="0" applyFont="1" applyFill="1" applyBorder="1" applyAlignment="1">
      <alignment horizontal="center" vertical="center" wrapText="1"/>
    </xf>
    <xf numFmtId="0" fontId="12" fillId="0" borderId="0" xfId="0" applyFont="1" applyAlignment="1">
      <alignment horizontal="center" vertical="center" wrapText="1"/>
    </xf>
    <xf numFmtId="166" fontId="12" fillId="0" borderId="0" xfId="0" applyNumberFormat="1" applyFont="1" applyAlignment="1">
      <alignment horizontal="center" vertical="center" wrapText="1"/>
    </xf>
    <xf numFmtId="0" fontId="12" fillId="0" borderId="11" xfId="0" applyFont="1" applyBorder="1" applyAlignment="1">
      <alignment horizontal="center" vertical="center" wrapText="1"/>
    </xf>
    <xf numFmtId="166" fontId="12" fillId="0" borderId="11" xfId="0" applyNumberFormat="1" applyFont="1" applyBorder="1" applyAlignment="1">
      <alignment horizontal="center" vertical="center" wrapText="1"/>
    </xf>
    <xf numFmtId="0" fontId="12" fillId="0" borderId="8" xfId="0" applyFont="1" applyBorder="1" applyAlignment="1">
      <alignment horizontal="center" vertical="center" wrapText="1"/>
    </xf>
    <xf numFmtId="0" fontId="12" fillId="0" borderId="10" xfId="0" applyFont="1" applyBorder="1" applyAlignment="1">
      <alignment horizontal="center" vertical="center" wrapText="1"/>
    </xf>
    <xf numFmtId="3" fontId="12" fillId="0" borderId="8" xfId="0" applyNumberFormat="1" applyFont="1" applyBorder="1" applyAlignment="1">
      <alignment horizontal="center" vertical="center" wrapText="1"/>
    </xf>
    <xf numFmtId="165" fontId="12" fillId="0" borderId="0" xfId="0" applyNumberFormat="1" applyFont="1" applyAlignment="1">
      <alignment horizontal="center" vertical="center"/>
    </xf>
    <xf numFmtId="170" fontId="13" fillId="0" borderId="15" xfId="2" applyNumberFormat="1" applyFont="1" applyBorder="1"/>
    <xf numFmtId="0" fontId="18" fillId="0" borderId="0" xfId="0" applyFont="1"/>
    <xf numFmtId="0" fontId="13" fillId="0" borderId="0" xfId="0" applyFont="1" applyAlignment="1">
      <alignment horizontal="right"/>
    </xf>
    <xf numFmtId="0" fontId="12" fillId="2" borderId="0" xfId="0" applyFont="1" applyFill="1" applyAlignment="1">
      <alignment horizontal="center" vertical="center" wrapText="1"/>
    </xf>
    <xf numFmtId="0" fontId="12" fillId="2" borderId="18" xfId="0" applyFont="1" applyFill="1" applyBorder="1" applyAlignment="1">
      <alignment horizontal="center" vertical="center" wrapText="1"/>
    </xf>
    <xf numFmtId="0" fontId="12" fillId="2" borderId="20"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12" fillId="2" borderId="21" xfId="0" applyFont="1" applyFill="1" applyBorder="1" applyAlignment="1">
      <alignment horizontal="center" vertical="center" wrapText="1"/>
    </xf>
    <xf numFmtId="0" fontId="12" fillId="2" borderId="22" xfId="0" applyFont="1" applyFill="1" applyBorder="1" applyAlignment="1">
      <alignment horizontal="center" vertical="center" wrapText="1"/>
    </xf>
    <xf numFmtId="0" fontId="12" fillId="2" borderId="23" xfId="0" applyFont="1" applyFill="1" applyBorder="1" applyAlignment="1">
      <alignment horizontal="center" vertical="center" wrapText="1"/>
    </xf>
    <xf numFmtId="0" fontId="12" fillId="2" borderId="24" xfId="0" applyFont="1" applyFill="1" applyBorder="1" applyAlignment="1">
      <alignment horizontal="center" vertical="center" wrapText="1"/>
    </xf>
    <xf numFmtId="0" fontId="12" fillId="2" borderId="25"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25" xfId="0" applyFont="1" applyFill="1" applyBorder="1" applyAlignment="1">
      <alignment horizontal="center" wrapText="1"/>
    </xf>
    <xf numFmtId="3" fontId="12" fillId="2" borderId="22" xfId="0" applyNumberFormat="1" applyFont="1" applyFill="1" applyBorder="1" applyAlignment="1">
      <alignment horizontal="center" vertical="center" wrapText="1"/>
    </xf>
    <xf numFmtId="3" fontId="12" fillId="2" borderId="23" xfId="0" applyNumberFormat="1" applyFont="1" applyFill="1" applyBorder="1" applyAlignment="1">
      <alignment horizontal="center" vertical="center" wrapText="1"/>
    </xf>
    <xf numFmtId="3" fontId="12" fillId="2" borderId="0" xfId="0" applyNumberFormat="1" applyFont="1" applyFill="1" applyAlignment="1">
      <alignment horizontal="center" vertical="center" wrapText="1"/>
    </xf>
    <xf numFmtId="3" fontId="16" fillId="2" borderId="21" xfId="0" applyNumberFormat="1" applyFont="1" applyFill="1" applyBorder="1" applyAlignment="1">
      <alignment horizontal="center" vertical="center" wrapText="1"/>
    </xf>
    <xf numFmtId="3" fontId="16" fillId="2" borderId="23" xfId="0" applyNumberFormat="1" applyFont="1" applyFill="1" applyBorder="1" applyAlignment="1">
      <alignment horizontal="center" vertical="center" wrapText="1"/>
    </xf>
    <xf numFmtId="3" fontId="16" fillId="2" borderId="24" xfId="0" applyNumberFormat="1" applyFont="1" applyFill="1" applyBorder="1" applyAlignment="1">
      <alignment horizontal="center" vertical="center" wrapText="1"/>
    </xf>
    <xf numFmtId="3" fontId="16" fillId="2" borderId="8" xfId="0" applyNumberFormat="1" applyFont="1" applyFill="1" applyBorder="1" applyAlignment="1">
      <alignment horizontal="center" vertical="center" wrapText="1"/>
    </xf>
    <xf numFmtId="0" fontId="16" fillId="2" borderId="25" xfId="0" applyFont="1" applyFill="1" applyBorder="1" applyAlignment="1">
      <alignment horizontal="center" vertical="center" wrapText="1"/>
    </xf>
    <xf numFmtId="3" fontId="16" fillId="2" borderId="10" xfId="0" applyNumberFormat="1" applyFont="1" applyFill="1" applyBorder="1" applyAlignment="1">
      <alignment horizontal="center" vertical="center" wrapText="1"/>
    </xf>
    <xf numFmtId="3" fontId="12" fillId="2" borderId="21" xfId="0" applyNumberFormat="1" applyFont="1" applyFill="1" applyBorder="1" applyAlignment="1">
      <alignment horizontal="center" vertical="center" wrapText="1"/>
    </xf>
    <xf numFmtId="3" fontId="12" fillId="2" borderId="24" xfId="0" applyNumberFormat="1" applyFont="1" applyFill="1" applyBorder="1" applyAlignment="1">
      <alignment horizontal="center" vertical="center" wrapText="1"/>
    </xf>
    <xf numFmtId="3" fontId="12" fillId="2" borderId="25" xfId="0" applyNumberFormat="1" applyFont="1" applyFill="1" applyBorder="1" applyAlignment="1">
      <alignment horizontal="center" vertical="center" wrapText="1"/>
    </xf>
    <xf numFmtId="0" fontId="12" fillId="0" borderId="10" xfId="0" applyFont="1" applyBorder="1" applyAlignment="1">
      <alignment horizontal="center" wrapText="1"/>
    </xf>
    <xf numFmtId="0" fontId="12" fillId="0" borderId="11" xfId="0" applyFont="1" applyBorder="1" applyAlignment="1">
      <alignment horizontal="center" wrapText="1"/>
    </xf>
    <xf numFmtId="0" fontId="13" fillId="0" borderId="0" xfId="0" applyFont="1" applyAlignment="1">
      <alignment horizontal="left" vertical="top" wrapText="1"/>
    </xf>
    <xf numFmtId="0" fontId="13" fillId="0" borderId="0" xfId="0" applyFont="1" applyAlignment="1">
      <alignment vertical="top"/>
    </xf>
    <xf numFmtId="3" fontId="14" fillId="0" borderId="0" xfId="0" applyNumberFormat="1" applyFont="1" applyAlignment="1">
      <alignment horizontal="center"/>
    </xf>
    <xf numFmtId="0" fontId="12" fillId="3" borderId="0" xfId="0" applyFont="1" applyFill="1"/>
    <xf numFmtId="166" fontId="14" fillId="0" borderId="0" xfId="0" applyNumberFormat="1" applyFont="1" applyAlignment="1">
      <alignment horizontal="center" vertical="center" wrapText="1"/>
    </xf>
    <xf numFmtId="0" fontId="12" fillId="0" borderId="8" xfId="0" applyFont="1" applyBorder="1" applyAlignment="1">
      <alignment horizontal="center" vertical="center"/>
    </xf>
    <xf numFmtId="3" fontId="12" fillId="0" borderId="8" xfId="0" applyNumberFormat="1" applyFont="1" applyBorder="1" applyAlignment="1">
      <alignment horizontal="center" vertical="center"/>
    </xf>
    <xf numFmtId="0" fontId="13" fillId="0" borderId="14" xfId="0" applyFont="1" applyBorder="1" applyAlignment="1">
      <alignment horizontal="center"/>
    </xf>
    <xf numFmtId="166" fontId="13" fillId="0" borderId="15" xfId="3" applyNumberFormat="1" applyFont="1" applyBorder="1" applyAlignment="1">
      <alignment horizontal="center"/>
    </xf>
    <xf numFmtId="0" fontId="7" fillId="2" borderId="0" xfId="0" applyFont="1" applyFill="1"/>
    <xf numFmtId="0" fontId="7" fillId="2" borderId="2" xfId="0" applyFont="1" applyFill="1" applyBorder="1"/>
    <xf numFmtId="0" fontId="7" fillId="0" borderId="0" xfId="0" applyFont="1"/>
    <xf numFmtId="2" fontId="7" fillId="2" borderId="1" xfId="0" applyNumberFormat="1" applyFont="1" applyFill="1" applyBorder="1" applyAlignment="1">
      <alignment horizontal="left"/>
    </xf>
    <xf numFmtId="0" fontId="7" fillId="2" borderId="27" xfId="0" applyFont="1" applyFill="1" applyBorder="1" applyAlignment="1">
      <alignment horizontal="center"/>
    </xf>
    <xf numFmtId="0" fontId="7" fillId="2" borderId="28" xfId="0" applyFont="1" applyFill="1" applyBorder="1" applyAlignment="1">
      <alignment horizontal="center"/>
    </xf>
    <xf numFmtId="0" fontId="7" fillId="2" borderId="21" xfId="0" applyFont="1" applyFill="1" applyBorder="1" applyAlignment="1">
      <alignment horizontal="center"/>
    </xf>
    <xf numFmtId="0" fontId="7" fillId="2" borderId="22" xfId="0" applyFont="1" applyFill="1" applyBorder="1" applyAlignment="1">
      <alignment horizontal="center"/>
    </xf>
    <xf numFmtId="0" fontId="7" fillId="2" borderId="23" xfId="0" applyFont="1" applyFill="1" applyBorder="1" applyAlignment="1">
      <alignment horizontal="center"/>
    </xf>
    <xf numFmtId="0" fontId="7" fillId="2" borderId="0" xfId="0" applyFont="1" applyFill="1" applyAlignment="1">
      <alignment horizontal="right"/>
    </xf>
    <xf numFmtId="0" fontId="7" fillId="2" borderId="0" xfId="0" applyFont="1" applyFill="1" applyAlignment="1">
      <alignment horizontal="center"/>
    </xf>
    <xf numFmtId="0" fontId="7" fillId="2" borderId="0" xfId="0" quotePrefix="1" applyFont="1" applyFill="1"/>
    <xf numFmtId="6" fontId="7" fillId="2" borderId="0" xfId="0" applyNumberFormat="1" applyFont="1" applyFill="1"/>
    <xf numFmtId="0" fontId="7" fillId="2" borderId="3" xfId="0" applyFont="1" applyFill="1" applyBorder="1"/>
    <xf numFmtId="0" fontId="7" fillId="2" borderId="4" xfId="0" applyFont="1" applyFill="1" applyBorder="1"/>
    <xf numFmtId="164" fontId="7" fillId="2" borderId="4" xfId="1" applyNumberFormat="1" applyFont="1" applyFill="1" applyBorder="1"/>
    <xf numFmtId="0" fontId="7" fillId="2" borderId="5" xfId="0" applyFont="1" applyFill="1" applyBorder="1"/>
    <xf numFmtId="165" fontId="7" fillId="0" borderId="0" xfId="0" applyNumberFormat="1" applyFont="1"/>
    <xf numFmtId="0" fontId="7" fillId="0" borderId="0" xfId="0" applyFont="1" applyAlignment="1">
      <alignment horizontal="center"/>
    </xf>
    <xf numFmtId="0" fontId="7" fillId="0" borderId="14" xfId="0" applyFont="1" applyBorder="1" applyAlignment="1">
      <alignment horizontal="center"/>
    </xf>
    <xf numFmtId="166" fontId="7" fillId="0" borderId="15" xfId="0" applyNumberFormat="1"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7" xfId="0" applyFont="1" applyBorder="1" applyAlignment="1">
      <alignment horizontal="center" wrapText="1"/>
    </xf>
    <xf numFmtId="0" fontId="7" fillId="0" borderId="6" xfId="0" applyFont="1" applyBorder="1" applyAlignment="1">
      <alignment horizontal="center" wrapText="1"/>
    </xf>
    <xf numFmtId="0" fontId="7" fillId="0" borderId="11" xfId="0" applyFont="1" applyBorder="1" applyAlignment="1">
      <alignment horizontal="center" wrapText="1"/>
    </xf>
    <xf numFmtId="0" fontId="7" fillId="0" borderId="8" xfId="0" applyFont="1" applyBorder="1" applyAlignment="1">
      <alignment horizontal="center"/>
    </xf>
    <xf numFmtId="166" fontId="7" fillId="0" borderId="0" xfId="0" applyNumberFormat="1" applyFont="1" applyAlignment="1">
      <alignment horizontal="center"/>
    </xf>
    <xf numFmtId="165" fontId="7" fillId="0" borderId="0" xfId="0" applyNumberFormat="1" applyFont="1" applyAlignment="1">
      <alignment horizontal="center"/>
    </xf>
    <xf numFmtId="3" fontId="7" fillId="0" borderId="0" xfId="0" applyNumberFormat="1" applyFont="1" applyAlignment="1">
      <alignment horizontal="center"/>
    </xf>
    <xf numFmtId="3" fontId="7" fillId="0" borderId="8" xfId="0" applyNumberFormat="1"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166" fontId="7" fillId="0" borderId="11" xfId="0" applyNumberFormat="1" applyFont="1" applyBorder="1" applyAlignment="1">
      <alignment horizontal="center"/>
    </xf>
    <xf numFmtId="165" fontId="7" fillId="0" borderId="11" xfId="0" applyNumberFormat="1" applyFont="1" applyBorder="1" applyAlignment="1">
      <alignment horizontal="center"/>
    </xf>
    <xf numFmtId="3" fontId="7" fillId="0" borderId="11" xfId="0" applyNumberFormat="1" applyFont="1" applyBorder="1" applyAlignment="1">
      <alignment horizontal="center"/>
    </xf>
    <xf numFmtId="3" fontId="7" fillId="0" borderId="10" xfId="0" applyNumberFormat="1" applyFont="1" applyBorder="1" applyAlignment="1">
      <alignment horizontal="center"/>
    </xf>
    <xf numFmtId="0" fontId="7" fillId="0" borderId="8" xfId="0" applyFont="1" applyBorder="1"/>
    <xf numFmtId="0" fontId="7" fillId="0" borderId="12" xfId="0" applyFont="1" applyBorder="1" applyAlignment="1">
      <alignment horizontal="center"/>
    </xf>
    <xf numFmtId="0" fontId="7" fillId="0" borderId="0" xfId="0" applyFont="1" applyAlignment="1">
      <alignment horizontal="center" wrapText="1"/>
    </xf>
    <xf numFmtId="0" fontId="7" fillId="0" borderId="13" xfId="0" applyFont="1" applyBorder="1" applyAlignment="1">
      <alignment horizontal="center"/>
    </xf>
    <xf numFmtId="37" fontId="7" fillId="0" borderId="0" xfId="0" applyNumberFormat="1" applyFont="1" applyAlignment="1">
      <alignment horizontal="center"/>
    </xf>
    <xf numFmtId="0" fontId="7" fillId="0" borderId="0" xfId="0" applyFont="1" applyAlignment="1">
      <alignment horizontal="right"/>
    </xf>
    <xf numFmtId="0" fontId="7" fillId="0" borderId="7" xfId="0" applyFont="1" applyBorder="1"/>
    <xf numFmtId="168" fontId="7" fillId="0" borderId="0" xfId="0" applyNumberFormat="1" applyFont="1"/>
    <xf numFmtId="167" fontId="7" fillId="0" borderId="0" xfId="0" applyNumberFormat="1" applyFont="1"/>
    <xf numFmtId="0" fontId="7" fillId="0" borderId="0" xfId="0" quotePrefix="1" applyFont="1"/>
    <xf numFmtId="169" fontId="7" fillId="0" borderId="15" xfId="0" applyNumberFormat="1" applyFont="1" applyBorder="1" applyAlignment="1">
      <alignment horizontal="center"/>
    </xf>
    <xf numFmtId="170" fontId="7" fillId="0" borderId="0" xfId="0" applyNumberFormat="1" applyFont="1"/>
    <xf numFmtId="0" fontId="7" fillId="0" borderId="14" xfId="0" applyFont="1" applyBorder="1"/>
    <xf numFmtId="170" fontId="7" fillId="0" borderId="15" xfId="0" applyNumberFormat="1" applyFont="1" applyBorder="1"/>
    <xf numFmtId="0" fontId="7" fillId="0" borderId="16" xfId="0" applyFont="1" applyBorder="1"/>
    <xf numFmtId="172" fontId="7" fillId="0" borderId="15" xfId="0" applyNumberFormat="1" applyFont="1" applyBorder="1" applyAlignment="1">
      <alignment horizont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1" xfId="0" applyFont="1" applyBorder="1"/>
    <xf numFmtId="0" fontId="7" fillId="0" borderId="0" xfId="0" applyFont="1" applyAlignment="1">
      <alignment horizontal="center" vertical="center"/>
    </xf>
    <xf numFmtId="0" fontId="7" fillId="2" borderId="18"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7" fillId="2" borderId="19" xfId="0" applyFont="1" applyFill="1" applyBorder="1" applyAlignment="1">
      <alignment horizontal="center" vertical="center" wrapText="1"/>
    </xf>
    <xf numFmtId="3" fontId="7" fillId="0" borderId="9" xfId="0" applyNumberFormat="1" applyFont="1" applyBorder="1" applyAlignment="1">
      <alignment horizontal="center"/>
    </xf>
    <xf numFmtId="0" fontId="7" fillId="0" borderId="29" xfId="0" applyFont="1" applyBorder="1" applyAlignment="1">
      <alignment horizontal="center"/>
    </xf>
    <xf numFmtId="0" fontId="7" fillId="0" borderId="23" xfId="0" applyFont="1" applyBorder="1"/>
    <xf numFmtId="165" fontId="7" fillId="0" borderId="0" xfId="0" applyNumberFormat="1" applyFont="1" applyAlignment="1">
      <alignment horizontal="right"/>
    </xf>
    <xf numFmtId="166" fontId="7" fillId="0" borderId="0" xfId="0" applyNumberFormat="1" applyFont="1"/>
    <xf numFmtId="3" fontId="7" fillId="0" borderId="15" xfId="0" applyNumberFormat="1" applyFont="1" applyBorder="1" applyAlignment="1">
      <alignment horizontal="center"/>
    </xf>
    <xf numFmtId="171" fontId="7" fillId="0" borderId="15" xfId="0" applyNumberFormat="1" applyFont="1" applyBorder="1"/>
    <xf numFmtId="171" fontId="7" fillId="0" borderId="0" xfId="0" applyNumberFormat="1" applyFont="1"/>
    <xf numFmtId="0" fontId="7" fillId="2" borderId="17" xfId="0" applyFont="1" applyFill="1" applyBorder="1"/>
    <xf numFmtId="0" fontId="7" fillId="2" borderId="20" xfId="0" applyFont="1" applyFill="1" applyBorder="1" applyAlignment="1">
      <alignment horizontal="center"/>
    </xf>
    <xf numFmtId="0" fontId="7" fillId="2" borderId="8" xfId="0" applyFont="1" applyFill="1" applyBorder="1" applyAlignment="1">
      <alignment horizontal="center"/>
    </xf>
    <xf numFmtId="0" fontId="7" fillId="2" borderId="19" xfId="0" applyFont="1" applyFill="1" applyBorder="1" applyAlignment="1">
      <alignment horizontal="center"/>
    </xf>
    <xf numFmtId="0" fontId="7" fillId="2" borderId="11" xfId="0" applyFont="1" applyFill="1" applyBorder="1" applyAlignment="1">
      <alignment horizontal="center"/>
    </xf>
    <xf numFmtId="0" fontId="7" fillId="2" borderId="10" xfId="0" applyFont="1" applyFill="1" applyBorder="1" applyAlignment="1">
      <alignment horizontal="center"/>
    </xf>
    <xf numFmtId="170" fontId="7" fillId="0" borderId="15" xfId="2" applyNumberFormat="1" applyFont="1" applyBorder="1" applyAlignment="1">
      <alignment horizontal="center"/>
    </xf>
    <xf numFmtId="171" fontId="7" fillId="0" borderId="15" xfId="0" applyNumberFormat="1" applyFont="1" applyBorder="1" applyAlignment="1">
      <alignment horizontal="center"/>
    </xf>
    <xf numFmtId="170" fontId="7" fillId="0" borderId="0" xfId="2" applyNumberFormat="1" applyFont="1" applyAlignment="1">
      <alignment horizontal="center"/>
    </xf>
    <xf numFmtId="0" fontId="7" fillId="2" borderId="24" xfId="0" applyFont="1" applyFill="1" applyBorder="1" applyAlignment="1">
      <alignment horizontal="center"/>
    </xf>
    <xf numFmtId="3" fontId="7" fillId="2" borderId="20" xfId="0" applyNumberFormat="1" applyFont="1" applyFill="1" applyBorder="1" applyAlignment="1">
      <alignment horizontal="center"/>
    </xf>
    <xf numFmtId="3" fontId="7" fillId="2" borderId="19" xfId="0" applyNumberFormat="1" applyFont="1" applyFill="1" applyBorder="1" applyAlignment="1">
      <alignment horizontal="center"/>
    </xf>
    <xf numFmtId="3" fontId="7" fillId="0" borderId="0" xfId="2" applyNumberFormat="1" applyFont="1" applyAlignment="1">
      <alignment horizontal="center"/>
    </xf>
    <xf numFmtId="3" fontId="7" fillId="0" borderId="8" xfId="2" applyNumberFormat="1" applyFont="1" applyBorder="1" applyAlignment="1">
      <alignment horizontal="center"/>
    </xf>
    <xf numFmtId="3" fontId="7" fillId="0" borderId="11" xfId="2" applyNumberFormat="1" applyFont="1" applyBorder="1" applyAlignment="1">
      <alignment horizontal="center"/>
    </xf>
    <xf numFmtId="3" fontId="7" fillId="0" borderId="10" xfId="2" applyNumberFormat="1" applyFont="1" applyBorder="1" applyAlignment="1">
      <alignment horizontal="center"/>
    </xf>
    <xf numFmtId="3" fontId="7" fillId="0" borderId="7" xfId="0" applyNumberFormat="1" applyFont="1" applyBorder="1" applyAlignment="1">
      <alignment horizontal="center"/>
    </xf>
    <xf numFmtId="4" fontId="7" fillId="0" borderId="15" xfId="0" applyNumberFormat="1" applyFont="1" applyBorder="1" applyAlignment="1">
      <alignment horizontal="center"/>
    </xf>
    <xf numFmtId="169" fontId="7" fillId="0" borderId="0" xfId="2" applyNumberFormat="1" applyFont="1" applyBorder="1" applyAlignment="1">
      <alignment horizontal="center"/>
    </xf>
    <xf numFmtId="166" fontId="7" fillId="0" borderId="15" xfId="3" applyNumberFormat="1" applyFont="1" applyBorder="1" applyAlignment="1">
      <alignment horizontal="center"/>
    </xf>
    <xf numFmtId="0" fontId="7" fillId="0" borderId="0" xfId="0" applyFont="1" applyAlignment="1">
      <alignment horizontal="left" vertical="top" wrapText="1"/>
    </xf>
    <xf numFmtId="0" fontId="6" fillId="0" borderId="0" xfId="0" applyFont="1" applyAlignment="1">
      <alignment horizontal="left" vertical="top"/>
    </xf>
    <xf numFmtId="0" fontId="6" fillId="0" borderId="7" xfId="0" applyFont="1" applyBorder="1" applyAlignment="1">
      <alignment horizontal="center"/>
    </xf>
    <xf numFmtId="0" fontId="7" fillId="4" borderId="11" xfId="0" applyFont="1" applyFill="1" applyBorder="1" applyAlignment="1">
      <alignment horizontal="center"/>
    </xf>
    <xf numFmtId="0" fontId="6" fillId="0" borderId="7" xfId="0" applyFont="1" applyBorder="1" applyAlignment="1">
      <alignment horizontal="center" wrapText="1"/>
    </xf>
    <xf numFmtId="166" fontId="7" fillId="4" borderId="11" xfId="0" applyNumberFormat="1" applyFont="1" applyFill="1" applyBorder="1" applyAlignment="1">
      <alignment horizontal="center"/>
    </xf>
    <xf numFmtId="0" fontId="7" fillId="4" borderId="7" xfId="0" applyFont="1" applyFill="1" applyBorder="1" applyAlignment="1">
      <alignment horizontal="center"/>
    </xf>
    <xf numFmtId="165" fontId="7" fillId="4" borderId="11" xfId="0" applyNumberFormat="1" applyFont="1" applyFill="1" applyBorder="1" applyAlignment="1">
      <alignment horizontal="center"/>
    </xf>
    <xf numFmtId="0" fontId="6" fillId="0" borderId="8" xfId="0" applyFont="1" applyBorder="1" applyAlignment="1">
      <alignment horizontal="center"/>
    </xf>
    <xf numFmtId="0" fontId="5" fillId="0" borderId="0" xfId="0" applyFont="1"/>
    <xf numFmtId="0" fontId="4" fillId="2" borderId="0" xfId="0" quotePrefix="1" applyFont="1" applyFill="1"/>
    <xf numFmtId="0" fontId="2" fillId="2" borderId="0" xfId="0" applyFont="1" applyFill="1"/>
    <xf numFmtId="0" fontId="7" fillId="0" borderId="0" xfId="0" applyFont="1" applyAlignment="1">
      <alignment horizontal="center" wrapText="1"/>
    </xf>
    <xf numFmtId="0" fontId="7" fillId="0" borderId="11" xfId="0" applyFont="1" applyBorder="1" applyAlignment="1">
      <alignment horizontal="center" wrapText="1"/>
    </xf>
    <xf numFmtId="0" fontId="6" fillId="0" borderId="8" xfId="0" applyFont="1" applyBorder="1" applyAlignment="1">
      <alignment horizontal="center" wrapText="1"/>
    </xf>
    <xf numFmtId="0" fontId="7" fillId="0" borderId="8" xfId="0" applyFont="1" applyBorder="1" applyAlignment="1">
      <alignment horizontal="center" wrapText="1"/>
    </xf>
    <xf numFmtId="0" fontId="7" fillId="0" borderId="6" xfId="0" applyFont="1" applyBorder="1" applyAlignment="1">
      <alignment horizontal="center" wrapText="1"/>
    </xf>
    <xf numFmtId="0" fontId="7" fillId="0" borderId="7" xfId="0" applyFont="1" applyBorder="1" applyAlignment="1">
      <alignment horizontal="center" wrapText="1"/>
    </xf>
    <xf numFmtId="0" fontId="6" fillId="0" borderId="0" xfId="0" applyFont="1" applyAlignment="1">
      <alignment horizontal="center" wrapText="1"/>
    </xf>
    <xf numFmtId="0" fontId="7" fillId="2" borderId="26" xfId="0" applyFont="1" applyFill="1" applyBorder="1" applyAlignment="1">
      <alignment horizontal="center"/>
    </xf>
    <xf numFmtId="0" fontId="7" fillId="2" borderId="27" xfId="0" applyFont="1" applyFill="1" applyBorder="1" applyAlignment="1">
      <alignment horizontal="center"/>
    </xf>
    <xf numFmtId="0" fontId="7" fillId="2" borderId="28" xfId="0" applyFont="1" applyFill="1" applyBorder="1" applyAlignment="1">
      <alignment horizontal="center"/>
    </xf>
    <xf numFmtId="0" fontId="7" fillId="0" borderId="8" xfId="0" applyFont="1" applyBorder="1" applyAlignment="1">
      <alignment horizontal="center" vertical="center" wrapText="1"/>
    </xf>
    <xf numFmtId="0" fontId="12" fillId="2" borderId="18" xfId="0" applyFont="1" applyFill="1" applyBorder="1" applyAlignment="1">
      <alignment horizontal="center" wrapText="1"/>
    </xf>
    <xf numFmtId="0" fontId="12" fillId="2" borderId="19" xfId="0" applyFont="1" applyFill="1" applyBorder="1" applyAlignment="1">
      <alignment horizontal="center" wrapText="1"/>
    </xf>
    <xf numFmtId="0" fontId="13" fillId="0" borderId="0" xfId="0" applyFont="1" applyAlignment="1">
      <alignment horizontal="left" vertical="top" wrapText="1"/>
    </xf>
    <xf numFmtId="0" fontId="22" fillId="0" borderId="0" xfId="0" applyFont="1" applyAlignment="1">
      <alignment horizontal="center"/>
    </xf>
    <xf numFmtId="0" fontId="6" fillId="0" borderId="0" xfId="0" applyFont="1" applyAlignment="1">
      <alignment horizontal="left" vertical="top" wrapText="1" indent="1"/>
    </xf>
    <xf numFmtId="0" fontId="7" fillId="0" borderId="0" xfId="0" applyFont="1" applyAlignment="1">
      <alignment horizontal="left" vertical="top" wrapText="1" inden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12" fillId="2" borderId="20" xfId="0" applyFont="1" applyFill="1" applyBorder="1" applyAlignment="1">
      <alignment horizontal="center" wrapText="1"/>
    </xf>
    <xf numFmtId="0" fontId="7" fillId="2" borderId="18" xfId="0" applyFont="1" applyFill="1" applyBorder="1" applyAlignment="1">
      <alignment horizontal="center" wrapText="1"/>
    </xf>
    <xf numFmtId="0" fontId="7" fillId="2" borderId="20" xfId="0" applyFont="1" applyFill="1" applyBorder="1" applyAlignment="1">
      <alignment horizontal="center" wrapText="1"/>
    </xf>
    <xf numFmtId="0" fontId="7" fillId="2" borderId="19" xfId="0" applyFont="1" applyFill="1" applyBorder="1" applyAlignment="1">
      <alignment horizontal="center" wrapText="1"/>
    </xf>
    <xf numFmtId="0" fontId="12" fillId="0" borderId="0" xfId="0" applyFont="1" applyAlignment="1">
      <alignment horizontal="center" vertical="center" wrapText="1"/>
    </xf>
    <xf numFmtId="0" fontId="12" fillId="0" borderId="11" xfId="0" applyFont="1" applyBorder="1" applyAlignment="1">
      <alignment horizontal="center" vertical="center" wrapText="1"/>
    </xf>
    <xf numFmtId="0" fontId="3" fillId="0" borderId="0" xfId="0" applyFont="1" applyAlignment="1">
      <alignment horizontal="left" vertical="top" wrapText="1"/>
    </xf>
    <xf numFmtId="0" fontId="12" fillId="0" borderId="8"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0" xfId="0" applyFont="1" applyAlignment="1">
      <alignment vertical="top" wrapText="1"/>
    </xf>
    <xf numFmtId="0" fontId="7" fillId="0" borderId="0" xfId="0" applyFont="1"/>
    <xf numFmtId="0" fontId="16" fillId="2" borderId="23"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6" fillId="2" borderId="20"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1" fillId="0" borderId="14" xfId="0" applyFont="1" applyBorder="1"/>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t>Normalized Residual vs Calendar Year</a:t>
            </a:r>
          </a:p>
        </c:rich>
      </c:tx>
      <c:layout>
        <c:manualLayout>
          <c:xMode val="edge"/>
          <c:yMode val="edge"/>
          <c:x val="0.24250906731074878"/>
          <c:y val="2.59738570157329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0895319339281643"/>
          <c:y val="0.18133377839200501"/>
          <c:w val="0.72629841512477622"/>
          <c:h val="0.59279621987583464"/>
        </c:manualLayout>
      </c:layout>
      <c:scatterChart>
        <c:scatterStyle val="lineMarker"/>
        <c:varyColors val="0"/>
        <c:ser>
          <c:idx val="0"/>
          <c:order val="0"/>
          <c:tx>
            <c:strRef>
              <c:f>'Normalized Residuals'!$I$97</c:f>
              <c:strCache>
                <c:ptCount val="1"/>
                <c:pt idx="0">
                  <c:v>Normalized Residual</c:v>
                </c:pt>
              </c:strCache>
            </c:strRef>
          </c:tx>
          <c:spPr>
            <a:ln w="25400" cap="rnd">
              <a:noFill/>
              <a:round/>
            </a:ln>
            <a:effectLst/>
          </c:spPr>
          <c:marker>
            <c:symbol val="diamond"/>
            <c:size val="7"/>
            <c:spPr>
              <a:solidFill>
                <a:schemeClr val="tx1"/>
              </a:solidFill>
              <a:ln w="9525">
                <a:solidFill>
                  <a:schemeClr val="tx1"/>
                </a:solidFill>
              </a:ln>
              <a:effectLst/>
            </c:spPr>
          </c:marker>
          <c:xVal>
            <c:numRef>
              <c:f>'Normalized Residuals'!$H$99:$H$104</c:f>
              <c:numCache>
                <c:formatCode>General</c:formatCode>
                <c:ptCount val="6"/>
                <c:pt idx="0">
                  <c:v>2021</c:v>
                </c:pt>
                <c:pt idx="1">
                  <c:v>2022</c:v>
                </c:pt>
                <c:pt idx="2">
                  <c:v>2022</c:v>
                </c:pt>
                <c:pt idx="3">
                  <c:v>2023</c:v>
                </c:pt>
                <c:pt idx="4">
                  <c:v>2023</c:v>
                </c:pt>
                <c:pt idx="5">
                  <c:v>2023</c:v>
                </c:pt>
              </c:numCache>
            </c:numRef>
          </c:xVal>
          <c:yVal>
            <c:numRef>
              <c:f>'Normalized Residuals'!$I$99:$I$104</c:f>
              <c:numCache>
                <c:formatCode>0.000</c:formatCode>
                <c:ptCount val="6"/>
                <c:pt idx="0">
                  <c:v>0.22145394043814212</c:v>
                </c:pt>
                <c:pt idx="1">
                  <c:v>-0.17872979396296709</c:v>
                </c:pt>
                <c:pt idx="2">
                  <c:v>-0.83781590294235242</c:v>
                </c:pt>
                <c:pt idx="3">
                  <c:v>6.4141769451093636E-2</c:v>
                </c:pt>
                <c:pt idx="4">
                  <c:v>0.46153860076131015</c:v>
                </c:pt>
                <c:pt idx="5">
                  <c:v>4.0752839717958869E-16</c:v>
                </c:pt>
              </c:numCache>
            </c:numRef>
          </c:yVal>
          <c:smooth val="0"/>
          <c:extLst>
            <c:ext xmlns:c16="http://schemas.microsoft.com/office/drawing/2014/chart" uri="{C3380CC4-5D6E-409C-BE32-E72D297353CC}">
              <c16:uniqueId val="{00000000-E260-3B4D-A3B4-91840B14F821}"/>
            </c:ext>
          </c:extLst>
        </c:ser>
        <c:dLbls>
          <c:showLegendKey val="0"/>
          <c:showVal val="0"/>
          <c:showCatName val="0"/>
          <c:showSerName val="0"/>
          <c:showPercent val="0"/>
          <c:showBubbleSize val="0"/>
        </c:dLbls>
        <c:axId val="281963432"/>
        <c:axId val="281963816"/>
      </c:scatterChart>
      <c:valAx>
        <c:axId val="281963432"/>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t>Calendar Year</a:t>
                </a:r>
              </a:p>
            </c:rich>
          </c:tx>
          <c:layout>
            <c:manualLayout>
              <c:xMode val="edge"/>
              <c:yMode val="edge"/>
              <c:x val="0.46448889777251023"/>
              <c:y val="0.8883555701595594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cross"/>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81963816"/>
        <c:crosses val="autoZero"/>
        <c:crossBetween val="midCat"/>
        <c:majorUnit val="1"/>
      </c:valAx>
      <c:valAx>
        <c:axId val="281963816"/>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t>Normalized Residual</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000" sourceLinked="1"/>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81963432"/>
        <c:crosses val="autoZero"/>
        <c:crossBetween val="midCat"/>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t>Normalized Residual vs Expected Incremental </a:t>
            </a:r>
          </a:p>
        </c:rich>
      </c:tx>
      <c:layout>
        <c:manualLayout>
          <c:xMode val="edge"/>
          <c:yMode val="edge"/>
          <c:x val="0.20616497882753221"/>
          <c:y val="2.5973847361039713E-2"/>
        </c:manualLayout>
      </c:layout>
      <c:overlay val="0"/>
      <c:spPr>
        <a:noFill/>
        <a:ln>
          <a:noFill/>
        </a:ln>
        <a:effectLst/>
      </c:spPr>
    </c:title>
    <c:autoTitleDeleted val="0"/>
    <c:plotArea>
      <c:layout>
        <c:manualLayout>
          <c:layoutTarget val="inner"/>
          <c:xMode val="edge"/>
          <c:yMode val="edge"/>
          <c:x val="0.20895319339281643"/>
          <c:y val="0.18133377839200501"/>
          <c:w val="0.72629841512477622"/>
          <c:h val="0.59279621987583464"/>
        </c:manualLayout>
      </c:layout>
      <c:scatterChart>
        <c:scatterStyle val="lineMarker"/>
        <c:varyColors val="0"/>
        <c:ser>
          <c:idx val="0"/>
          <c:order val="0"/>
          <c:tx>
            <c:strRef>
              <c:f>'Normalized Residuals'!$I$82</c:f>
              <c:strCache>
                <c:ptCount val="1"/>
                <c:pt idx="0">
                  <c:v>Normalized Residual</c:v>
                </c:pt>
              </c:strCache>
            </c:strRef>
          </c:tx>
          <c:spPr>
            <a:ln w="25400" cap="rnd">
              <a:noFill/>
              <a:round/>
            </a:ln>
            <a:effectLst/>
          </c:spPr>
          <c:marker>
            <c:symbol val="diamond"/>
            <c:size val="7"/>
            <c:spPr>
              <a:solidFill>
                <a:schemeClr val="tx1"/>
              </a:solidFill>
              <a:ln w="9525">
                <a:solidFill>
                  <a:schemeClr val="tx1"/>
                </a:solidFill>
              </a:ln>
              <a:effectLst/>
            </c:spPr>
          </c:marker>
          <c:xVal>
            <c:numRef>
              <c:f>'Normalized Residuals'!$H$84:$H$89</c:f>
              <c:numCache>
                <c:formatCode>#,##0</c:formatCode>
                <c:ptCount val="6"/>
                <c:pt idx="0">
                  <c:v>385.55182176451711</c:v>
                </c:pt>
                <c:pt idx="1">
                  <c:v>509.87205894832391</c:v>
                </c:pt>
                <c:pt idx="2">
                  <c:v>309.99999999999994</c:v>
                </c:pt>
                <c:pt idx="3">
                  <c:v>1270.4684971482106</c:v>
                </c:pt>
                <c:pt idx="4">
                  <c:v>1680.1279410516761</c:v>
                </c:pt>
                <c:pt idx="5">
                  <c:v>993.9796810872723</c:v>
                </c:pt>
              </c:numCache>
            </c:numRef>
          </c:xVal>
          <c:yVal>
            <c:numRef>
              <c:f>'Normalized Residuals'!$I$84:$I$89</c:f>
              <c:numCache>
                <c:formatCode>0.000</c:formatCode>
                <c:ptCount val="6"/>
                <c:pt idx="0">
                  <c:v>0.22145394043814212</c:v>
                </c:pt>
                <c:pt idx="1">
                  <c:v>-0.83781590294235242</c:v>
                </c:pt>
                <c:pt idx="2">
                  <c:v>4.0752839717958869E-16</c:v>
                </c:pt>
                <c:pt idx="3">
                  <c:v>-0.17872979396296709</c:v>
                </c:pt>
                <c:pt idx="4">
                  <c:v>0.46153860076131015</c:v>
                </c:pt>
                <c:pt idx="5">
                  <c:v>6.4141769451093636E-2</c:v>
                </c:pt>
              </c:numCache>
            </c:numRef>
          </c:yVal>
          <c:smooth val="0"/>
          <c:extLst>
            <c:ext xmlns:c16="http://schemas.microsoft.com/office/drawing/2014/chart" uri="{C3380CC4-5D6E-409C-BE32-E72D297353CC}">
              <c16:uniqueId val="{00000003-EB9E-E548-B63D-FF46A3057402}"/>
            </c:ext>
          </c:extLst>
        </c:ser>
        <c:dLbls>
          <c:showLegendKey val="0"/>
          <c:showVal val="0"/>
          <c:showCatName val="0"/>
          <c:showSerName val="0"/>
          <c:showPercent val="0"/>
          <c:showBubbleSize val="0"/>
        </c:dLbls>
        <c:axId val="281963432"/>
        <c:axId val="281963816"/>
      </c:scatterChart>
      <c:valAx>
        <c:axId val="281963432"/>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t>Expected Incremental</a:t>
                </a:r>
              </a:p>
            </c:rich>
          </c:tx>
          <c:layout>
            <c:manualLayout>
              <c:xMode val="edge"/>
              <c:yMode val="edge"/>
              <c:x val="0.41696201283291934"/>
              <c:y val="0.88835561165869914"/>
            </c:manualLayout>
          </c:layout>
          <c:overlay val="0"/>
          <c:spPr>
            <a:noFill/>
            <a:ln>
              <a:noFill/>
            </a:ln>
            <a:effectLst/>
          </c:spPr>
        </c:title>
        <c:numFmt formatCode="#,##0" sourceLinked="1"/>
        <c:majorTickMark val="cross"/>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81963816"/>
        <c:crosses val="autoZero"/>
        <c:crossBetween val="midCat"/>
      </c:valAx>
      <c:valAx>
        <c:axId val="281963816"/>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t>Normalized Residual</a:t>
                </a:r>
              </a:p>
            </c:rich>
          </c:tx>
          <c:overlay val="0"/>
          <c:spPr>
            <a:noFill/>
            <a:ln>
              <a:noFill/>
            </a:ln>
            <a:effectLst/>
          </c:spPr>
        </c:title>
        <c:numFmt formatCode="0.000" sourceLinked="1"/>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81963432"/>
        <c:crosses val="autoZero"/>
        <c:crossBetween val="midCat"/>
        <c:majorUnit val="0.5"/>
      </c:valAx>
    </c:plotArea>
    <c:plotVisOnly val="1"/>
    <c:dispBlanksAs val="gap"/>
    <c:showDLblsOverMax val="0"/>
    <c:extLst/>
  </c:chart>
  <c:spPr>
    <a:solidFill>
      <a:schemeClr val="bg1"/>
    </a:solidFill>
    <a:ln w="9525" cap="flat" cmpd="sng" algn="ctr">
      <a:no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t>Normalized Residual vs Increment Age</a:t>
            </a:r>
          </a:p>
        </c:rich>
      </c:tx>
      <c:layout>
        <c:manualLayout>
          <c:xMode val="edge"/>
          <c:yMode val="edge"/>
          <c:x val="0.24250906731074878"/>
          <c:y val="2.5973857015732925E-2"/>
        </c:manualLayout>
      </c:layout>
      <c:overlay val="0"/>
      <c:spPr>
        <a:noFill/>
        <a:ln>
          <a:noFill/>
        </a:ln>
        <a:effectLst/>
      </c:spPr>
    </c:title>
    <c:autoTitleDeleted val="0"/>
    <c:plotArea>
      <c:layout>
        <c:manualLayout>
          <c:layoutTarget val="inner"/>
          <c:xMode val="edge"/>
          <c:yMode val="edge"/>
          <c:x val="0.20895319339281643"/>
          <c:y val="0.18133377839200501"/>
          <c:w val="0.72629841512477622"/>
          <c:h val="0.59279621987583464"/>
        </c:manualLayout>
      </c:layout>
      <c:scatterChart>
        <c:scatterStyle val="lineMarker"/>
        <c:varyColors val="0"/>
        <c:ser>
          <c:idx val="0"/>
          <c:order val="0"/>
          <c:tx>
            <c:strRef>
              <c:f>'Normalized Residuals'!$I$67</c:f>
              <c:strCache>
                <c:ptCount val="1"/>
                <c:pt idx="0">
                  <c:v>Normalized Residual</c:v>
                </c:pt>
              </c:strCache>
            </c:strRef>
          </c:tx>
          <c:spPr>
            <a:ln w="25400" cap="rnd">
              <a:noFill/>
              <a:round/>
            </a:ln>
            <a:effectLst/>
          </c:spPr>
          <c:marker>
            <c:symbol val="diamond"/>
            <c:size val="7"/>
            <c:spPr>
              <a:solidFill>
                <a:schemeClr val="tx1"/>
              </a:solidFill>
              <a:ln w="9525">
                <a:solidFill>
                  <a:schemeClr val="tx1"/>
                </a:solidFill>
              </a:ln>
              <a:effectLst/>
            </c:spPr>
          </c:marker>
          <c:xVal>
            <c:numRef>
              <c:f>'Normalized Residuals'!$H$69:$H$74</c:f>
              <c:numCache>
                <c:formatCode>General</c:formatCode>
                <c:ptCount val="6"/>
                <c:pt idx="0">
                  <c:v>12</c:v>
                </c:pt>
                <c:pt idx="1">
                  <c:v>12</c:v>
                </c:pt>
                <c:pt idx="2">
                  <c:v>12</c:v>
                </c:pt>
                <c:pt idx="3">
                  <c:v>24</c:v>
                </c:pt>
                <c:pt idx="4">
                  <c:v>24</c:v>
                </c:pt>
                <c:pt idx="5">
                  <c:v>36</c:v>
                </c:pt>
              </c:numCache>
            </c:numRef>
          </c:xVal>
          <c:yVal>
            <c:numRef>
              <c:f>'Normalized Residuals'!$I$69:$I$74</c:f>
              <c:numCache>
                <c:formatCode>0.000</c:formatCode>
                <c:ptCount val="6"/>
                <c:pt idx="0">
                  <c:v>0.22145394043814212</c:v>
                </c:pt>
                <c:pt idx="1">
                  <c:v>-0.83781590294235242</c:v>
                </c:pt>
                <c:pt idx="2">
                  <c:v>4.0752839717958869E-16</c:v>
                </c:pt>
                <c:pt idx="3">
                  <c:v>-0.17872979396296709</c:v>
                </c:pt>
                <c:pt idx="4">
                  <c:v>0.46153860076131015</c:v>
                </c:pt>
                <c:pt idx="5">
                  <c:v>6.4141769451093636E-2</c:v>
                </c:pt>
              </c:numCache>
            </c:numRef>
          </c:yVal>
          <c:smooth val="0"/>
          <c:extLst>
            <c:ext xmlns:c16="http://schemas.microsoft.com/office/drawing/2014/chart" uri="{C3380CC4-5D6E-409C-BE32-E72D297353CC}">
              <c16:uniqueId val="{00000001-C8F8-BF4B-A164-832A10C84790}"/>
            </c:ext>
          </c:extLst>
        </c:ser>
        <c:dLbls>
          <c:showLegendKey val="0"/>
          <c:showVal val="0"/>
          <c:showCatName val="0"/>
          <c:showSerName val="0"/>
          <c:showPercent val="0"/>
          <c:showBubbleSize val="0"/>
        </c:dLbls>
        <c:axId val="281963432"/>
        <c:axId val="281963816"/>
      </c:scatterChart>
      <c:valAx>
        <c:axId val="281963432"/>
        <c:scaling>
          <c:orientation val="minMax"/>
          <c:max val="48"/>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t>Increment</a:t>
                </a:r>
                <a:r>
                  <a:rPr lang="en-US" sz="1400" b="0" baseline="0"/>
                  <a:t> Age</a:t>
                </a:r>
                <a:endParaRPr lang="en-US" sz="1400" b="0"/>
              </a:p>
            </c:rich>
          </c:tx>
          <c:layout>
            <c:manualLayout>
              <c:xMode val="edge"/>
              <c:yMode val="edge"/>
              <c:x val="0.46448889777251023"/>
              <c:y val="0.88835557015955946"/>
            </c:manualLayout>
          </c:layout>
          <c:overlay val="0"/>
          <c:spPr>
            <a:noFill/>
            <a:ln>
              <a:noFill/>
            </a:ln>
            <a:effectLst/>
          </c:spPr>
        </c:title>
        <c:numFmt formatCode="General" sourceLinked="1"/>
        <c:majorTickMark val="cross"/>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81963816"/>
        <c:crosses val="autoZero"/>
        <c:crossBetween val="midCat"/>
        <c:majorUnit val="12"/>
      </c:valAx>
      <c:valAx>
        <c:axId val="281963816"/>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t>Normalized Residual</a:t>
                </a:r>
              </a:p>
            </c:rich>
          </c:tx>
          <c:overlay val="0"/>
          <c:spPr>
            <a:noFill/>
            <a:ln>
              <a:noFill/>
            </a:ln>
            <a:effectLst/>
          </c:spPr>
        </c:title>
        <c:numFmt formatCode="0.000" sourceLinked="1"/>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81963432"/>
        <c:crosses val="autoZero"/>
        <c:crossBetween val="midCat"/>
        <c:majorUnit val="0.5"/>
      </c:valAx>
    </c:plotArea>
    <c:plotVisOnly val="1"/>
    <c:dispBlanksAs val="gap"/>
    <c:showDLblsOverMax val="0"/>
    <c:extLst/>
  </c:chart>
  <c:spPr>
    <a:solidFill>
      <a:schemeClr val="bg1"/>
    </a:solidFill>
    <a:ln w="9525" cap="flat" cmpd="sng" algn="ctr">
      <a:no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4</xdr:col>
      <xdr:colOff>42057</xdr:colOff>
      <xdr:row>130</xdr:row>
      <xdr:rowOff>164915</xdr:rowOff>
    </xdr:from>
    <xdr:ext cx="1510542" cy="17209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407557" y="27078332"/>
              <a:ext cx="1510542" cy="17209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ea typeface="Cambria Math" panose="02040503050406030204" pitchFamily="18" charset="0"/>
                      </a:rPr>
                      <m:t>where</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𝑥</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𝐴𝑣𝑔𝐴𝑔𝑒</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𝑡</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407557" y="27078332"/>
              <a:ext cx="1510542" cy="17209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ea typeface="Cambria Math" panose="02040503050406030204" pitchFamily="18" charset="0"/>
                </a:rPr>
                <a:t>where     𝑥=𝐴𝑣𝑔𝐴𝑔𝑒(𝑡)</a:t>
              </a:r>
              <a:endParaRPr lang="en-US" sz="1100"/>
            </a:p>
          </xdr:txBody>
        </xdr:sp>
      </mc:Fallback>
    </mc:AlternateContent>
    <xdr:clientData/>
  </xdr:oneCellAnchor>
  <xdr:oneCellAnchor>
    <xdr:from>
      <xdr:col>1</xdr:col>
      <xdr:colOff>812339</xdr:colOff>
      <xdr:row>147</xdr:row>
      <xdr:rowOff>169979</xdr:rowOff>
    </xdr:from>
    <xdr:ext cx="2580002" cy="32156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637839" y="30300729"/>
              <a:ext cx="2580002" cy="32156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𝐺</m:t>
                    </m:r>
                    <m:d>
                      <m:dPr>
                        <m:ctrlPr>
                          <a:rPr lang="en-US" sz="1100" b="0" i="1">
                            <a:latin typeface="Cambria Math" panose="02040503050406030204" pitchFamily="18" charset="0"/>
                          </a:rPr>
                        </m:ctrlPr>
                      </m:dPr>
                      <m:e>
                        <m:r>
                          <a:rPr lang="en-US" sz="1100" b="0" i="1">
                            <a:latin typeface="Cambria Math" panose="02040503050406030204" pitchFamily="18" charset="0"/>
                          </a:rPr>
                          <m:t>𝑡</m:t>
                        </m:r>
                        <m:r>
                          <a:rPr lang="en-US" sz="1100" b="0" i="1">
                            <a:latin typeface="Cambria Math" panose="02040503050406030204" pitchFamily="18" charset="0"/>
                          </a:rPr>
                          <m:t>=9</m:t>
                        </m:r>
                        <m:r>
                          <a:rPr lang="en-US" sz="1100" b="0" i="1">
                            <a:latin typeface="Cambria Math" panose="02040503050406030204" pitchFamily="18" charset="0"/>
                          </a:rPr>
                          <m:t>𝑚𝑜</m:t>
                        </m:r>
                      </m:e>
                    </m:d>
                    <m:r>
                      <a:rPr lang="en-US" sz="1100" b="0" i="1">
                        <a:latin typeface="Cambria Math" panose="02040503050406030204" pitchFamily="18" charset="0"/>
                      </a:rPr>
                      <m:t>= </m:t>
                    </m:r>
                    <m:f>
                      <m:fPr>
                        <m:ctrlPr>
                          <a:rPr lang="en-US" sz="1100" b="0" i="1">
                            <a:latin typeface="Cambria Math" panose="02040503050406030204" pitchFamily="18" charset="0"/>
                          </a:rPr>
                        </m:ctrlPr>
                      </m:fPr>
                      <m:num>
                        <m:r>
                          <a:rPr lang="en-US" sz="1100" b="0" i="1">
                            <a:latin typeface="Cambria Math" panose="02040503050406030204" pitchFamily="18" charset="0"/>
                          </a:rPr>
                          <m:t>9</m:t>
                        </m:r>
                      </m:num>
                      <m:den>
                        <m:r>
                          <a:rPr lang="en-US" sz="1100" b="0" i="1">
                            <a:latin typeface="Cambria Math" panose="02040503050406030204" pitchFamily="18" charset="0"/>
                          </a:rPr>
                          <m:t>12</m:t>
                        </m:r>
                      </m:den>
                    </m:f>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𝐺</m:t>
                    </m:r>
                    <m:d>
                      <m:dPr>
                        <m:ctrlPr>
                          <a:rPr lang="en-US" sz="1100" b="0" i="1">
                            <a:latin typeface="Cambria Math" panose="02040503050406030204" pitchFamily="18" charset="0"/>
                            <a:ea typeface="Cambria Math" panose="02040503050406030204" pitchFamily="18" charset="0"/>
                          </a:rPr>
                        </m:ctrlPr>
                      </m:dPr>
                      <m:e>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9</m:t>
                            </m:r>
                          </m:num>
                          <m:den>
                            <m:r>
                              <a:rPr lang="en-US" sz="1100" b="0" i="1">
                                <a:latin typeface="Cambria Math" panose="02040503050406030204" pitchFamily="18" charset="0"/>
                                <a:ea typeface="Cambria Math" panose="02040503050406030204" pitchFamily="18" charset="0"/>
                              </a:rPr>
                              <m:t>2</m:t>
                            </m:r>
                          </m:den>
                        </m:f>
                      </m:e>
                    </m:d>
                    <m:r>
                      <a:rPr lang="en-US" sz="1100" b="0" i="1">
                        <a:latin typeface="Cambria Math" panose="02040503050406030204" pitchFamily="18" charset="0"/>
                        <a:ea typeface="Cambria Math" panose="02040503050406030204" pitchFamily="18" charset="0"/>
                      </a:rPr>
                      <m:t>= .75 ×</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𝐺</m:t>
                        </m:r>
                      </m:e>
                      <m:sup>
                        <m:r>
                          <a:rPr lang="en-US" sz="1100" b="0" i="1">
                            <a:latin typeface="Cambria Math" panose="02040503050406030204" pitchFamily="18" charset="0"/>
                            <a:ea typeface="Cambria Math" panose="02040503050406030204" pitchFamily="18" charset="0"/>
                          </a:rPr>
                          <m:t>∗</m:t>
                        </m:r>
                      </m:sup>
                    </m:sSup>
                    <m:r>
                      <a:rPr lang="en-US" sz="1100" b="0" i="1">
                        <a:latin typeface="Cambria Math" panose="02040503050406030204" pitchFamily="18" charset="0"/>
                        <a:ea typeface="Cambria Math" panose="02040503050406030204" pitchFamily="18" charset="0"/>
                      </a:rPr>
                      <m:t>(4.5)</m:t>
                    </m:r>
                  </m:oMath>
                </m:oMathPara>
              </a14:m>
              <a:endParaRPr lang="en-US" sz="1100"/>
            </a:p>
          </xdr:txBody>
        </xdr:sp>
      </mc:Choice>
      <mc:Fallback xmlns="">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637839" y="30300729"/>
              <a:ext cx="2580002" cy="32156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𝐺(𝑡=9𝑚𝑜)=  9/12</a:t>
              </a:r>
              <a:r>
                <a:rPr lang="en-US" sz="1100" b="0" i="0">
                  <a:latin typeface="Cambria Math" panose="02040503050406030204" pitchFamily="18" charset="0"/>
                  <a:ea typeface="Cambria Math" panose="02040503050406030204" pitchFamily="18" charset="0"/>
                </a:rPr>
                <a:t>×𝐺(9/2)= .75 ×𝐺^∗ (4.5)</a:t>
              </a:r>
              <a:endParaRPr lang="en-US" sz="1100"/>
            </a:p>
          </xdr:txBody>
        </xdr:sp>
      </mc:Fallback>
    </mc:AlternateContent>
    <xdr:clientData/>
  </xdr:oneCellAnchor>
  <xdr:oneCellAnchor>
    <xdr:from>
      <xdr:col>1</xdr:col>
      <xdr:colOff>327808</xdr:colOff>
      <xdr:row>170</xdr:row>
      <xdr:rowOff>4786</xdr:rowOff>
    </xdr:from>
    <xdr:ext cx="3111878" cy="43903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153308" y="29447619"/>
              <a:ext cx="3111878" cy="43903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latin typeface="Cambria Math" panose="02040503050406030204" pitchFamily="18" charset="0"/>
                          </a:rPr>
                        </m:ctrlPr>
                      </m:sSupPr>
                      <m:e>
                        <m:r>
                          <m:rPr>
                            <m:sty m:val="p"/>
                          </m:rPr>
                          <a:rPr lang="el-GR" sz="1100" i="1">
                            <a:latin typeface="Cambria Math" panose="02040503050406030204" pitchFamily="18" charset="0"/>
                          </a:rPr>
                          <m:t>σ</m:t>
                        </m:r>
                      </m:e>
                      <m:sup>
                        <m:r>
                          <a:rPr lang="en-US" sz="1100" b="0" i="1">
                            <a:latin typeface="Cambria Math" panose="02040503050406030204" pitchFamily="18" charset="0"/>
                          </a:rPr>
                          <m:t>2</m:t>
                        </m:r>
                      </m:sup>
                    </m:sSup>
                    <m:r>
                      <a:rPr lang="en-US" sz="1100" b="0" i="1">
                        <a:latin typeface="Cambria Math" panose="02040503050406030204" pitchFamily="18" charset="0"/>
                      </a:rPr>
                      <m:t>= </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6−5</m:t>
                        </m:r>
                      </m:den>
                    </m:f>
                    <m:d>
                      <m:dPr>
                        <m:begChr m:val="["/>
                        <m:endChr m:val="]"/>
                        <m:ctrlPr>
                          <a:rPr lang="en-US" sz="1100" b="0" i="1">
                            <a:latin typeface="Cambria Math" panose="02040503050406030204" pitchFamily="18" charset="0"/>
                          </a:rPr>
                        </m:ctrlPr>
                      </m:dPr>
                      <m:e>
                        <m:f>
                          <m:fPr>
                            <m:ctrlPr>
                              <a:rPr lang="en-US" sz="1100" b="0" i="1">
                                <a:solidFill>
                                  <a:schemeClr val="tx1"/>
                                </a:solidFill>
                                <a:effectLst/>
                                <a:latin typeface="Cambria Math" panose="02040503050406030204" pitchFamily="18" charset="0"/>
                                <a:ea typeface="+mn-ea"/>
                                <a:cs typeface="+mn-cs"/>
                              </a:rPr>
                            </m:ctrlPr>
                          </m:fPr>
                          <m:num>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(280,000−321,384)</m:t>
                                </m:r>
                              </m:e>
                              <m:sup>
                                <m:r>
                                  <a:rPr lang="en-US" sz="1100" b="0" i="1">
                                    <a:solidFill>
                                      <a:schemeClr val="tx1"/>
                                    </a:solidFill>
                                    <a:effectLst/>
                                    <a:latin typeface="Cambria Math" panose="02040503050406030204" pitchFamily="18" charset="0"/>
                                    <a:ea typeface="+mn-ea"/>
                                    <a:cs typeface="+mn-cs"/>
                                  </a:rPr>
                                  <m:t>2</m:t>
                                </m:r>
                              </m:sup>
                            </m:sSup>
                          </m:num>
                          <m:den>
                            <m:r>
                              <a:rPr lang="en-US" sz="1100" b="0" i="1">
                                <a:solidFill>
                                  <a:schemeClr val="tx1"/>
                                </a:solidFill>
                                <a:effectLst/>
                                <a:latin typeface="Cambria Math" panose="02040503050406030204" pitchFamily="18" charset="0"/>
                                <a:ea typeface="+mn-ea"/>
                                <a:cs typeface="+mn-cs"/>
                              </a:rPr>
                              <m:t>321,384</m:t>
                            </m:r>
                          </m:den>
                        </m:f>
                        <m:r>
                          <a:rPr lang="en-US" sz="1100" b="0" i="1">
                            <a:solidFill>
                              <a:schemeClr val="tx1"/>
                            </a:solidFill>
                            <a:effectLst/>
                            <a:latin typeface="Cambria Math" panose="02040503050406030204" pitchFamily="18" charset="0"/>
                            <a:ea typeface="+mn-ea"/>
                            <a:cs typeface="+mn-cs"/>
                          </a:rPr>
                          <m:t>+…</m:t>
                        </m:r>
                      </m:e>
                    </m:d>
                    <m:r>
                      <a:rPr lang="en-US" sz="1100" b="0" i="1">
                        <a:latin typeface="Cambria Math" panose="02040503050406030204" pitchFamily="18" charset="0"/>
                      </a:rPr>
                      <m:t>=49,104</m:t>
                    </m:r>
                  </m:oMath>
                </m:oMathPara>
              </a14:m>
              <a:endParaRPr lang="en-US" sz="1100"/>
            </a:p>
          </xdr:txBody>
        </xdr:sp>
      </mc:Choice>
      <mc:Fallback xmlns="">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153308" y="29447619"/>
              <a:ext cx="3111878" cy="43903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1100" i="0">
                  <a:latin typeface="Cambria Math" panose="02040503050406030204" pitchFamily="18" charset="0"/>
                </a:rPr>
                <a:t>σ</a:t>
              </a:r>
              <a:r>
                <a:rPr lang="en-US" sz="1100" i="0">
                  <a:latin typeface="Cambria Math" panose="02040503050406030204" pitchFamily="18" charset="0"/>
                </a:rPr>
                <a:t>^</a:t>
              </a:r>
              <a:r>
                <a:rPr lang="en-US" sz="1100" b="0" i="0">
                  <a:latin typeface="Cambria Math" panose="02040503050406030204" pitchFamily="18" charset="0"/>
                </a:rPr>
                <a:t>2=  1/(6−5) [</a:t>
              </a:r>
              <a:r>
                <a:rPr lang="en-US" sz="1100" b="0" i="0">
                  <a:solidFill>
                    <a:schemeClr val="tx1"/>
                  </a:solidFill>
                  <a:effectLst/>
                  <a:latin typeface="Cambria Math" panose="02040503050406030204" pitchFamily="18" charset="0"/>
                  <a:ea typeface="+mn-ea"/>
                  <a:cs typeface="+mn-cs"/>
                </a:rPr>
                <a:t>〖(280,000−321,384)〗^2/321,384+…]</a:t>
              </a:r>
              <a:r>
                <a:rPr lang="en-US" sz="1100" b="0" i="0">
                  <a:latin typeface="Cambria Math" panose="02040503050406030204" pitchFamily="18" charset="0"/>
                </a:rPr>
                <a:t>=49,104</a:t>
              </a:r>
              <a:endParaRPr lang="en-US" sz="1100"/>
            </a:p>
          </xdr:txBody>
        </xdr:sp>
      </mc:Fallback>
    </mc:AlternateContent>
    <xdr:clientData/>
  </xdr:oneCellAnchor>
  <xdr:oneCellAnchor>
    <xdr:from>
      <xdr:col>1</xdr:col>
      <xdr:colOff>319524</xdr:colOff>
      <xdr:row>173</xdr:row>
      <xdr:rowOff>50801</xdr:rowOff>
    </xdr:from>
    <xdr:ext cx="3087705" cy="17536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145024" y="30096884"/>
              <a:ext cx="3087705" cy="17536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𝑃𝑟𝑜𝑐𝑒𝑠𝑠𝑉𝑎𝑟</m:t>
                    </m:r>
                    <m:r>
                      <a:rPr lang="en-US" sz="1100" b="0" i="1">
                        <a:latin typeface="Cambria Math" panose="02040503050406030204" pitchFamily="18" charset="0"/>
                      </a:rPr>
                      <m:t>=49,104 ×526,190=2.584 × </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10</m:t>
                        </m:r>
                      </m:e>
                      <m:sup>
                        <m:r>
                          <a:rPr lang="en-US" sz="1100" b="0" i="1">
                            <a:latin typeface="Cambria Math" panose="02040503050406030204" pitchFamily="18" charset="0"/>
                            <a:ea typeface="Cambria Math" panose="02040503050406030204" pitchFamily="18" charset="0"/>
                          </a:rPr>
                          <m:t>10</m:t>
                        </m:r>
                      </m:sup>
                    </m:sSup>
                  </m:oMath>
                </m:oMathPara>
              </a14:m>
              <a:endParaRPr lang="en-US" sz="1100"/>
            </a:p>
          </xdr:txBody>
        </xdr:sp>
      </mc:Choice>
      <mc:Fallback xmlns="">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145024" y="30096884"/>
              <a:ext cx="3087705" cy="17536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𝑃𝑟𝑜𝑐𝑒𝑠𝑠𝑉𝑎𝑟=49,104 ×526,190=2.584 × </a:t>
              </a:r>
              <a:r>
                <a:rPr lang="en-US" sz="1100" b="0" i="0">
                  <a:latin typeface="Cambria Math" panose="02040503050406030204" pitchFamily="18" charset="0"/>
                  <a:ea typeface="Cambria Math" panose="02040503050406030204" pitchFamily="18" charset="0"/>
                </a:rPr>
                <a:t>10^10</a:t>
              </a:r>
              <a:endParaRPr lang="en-US" sz="1100"/>
            </a:p>
          </xdr:txBody>
        </xdr:sp>
      </mc:Fallback>
    </mc:AlternateContent>
    <xdr:clientData/>
  </xdr:oneCellAnchor>
  <xdr:oneCellAnchor>
    <xdr:from>
      <xdr:col>1</xdr:col>
      <xdr:colOff>243140</xdr:colOff>
      <xdr:row>175</xdr:row>
      <xdr:rowOff>2486</xdr:rowOff>
    </xdr:from>
    <xdr:ext cx="3495572" cy="23198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068640" y="30450736"/>
              <a:ext cx="3495572" cy="23198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𝑆𝑡𝑑𝐷𝑒𝑣</m:t>
                    </m:r>
                    <m:d>
                      <m:dPr>
                        <m:ctrlPr>
                          <a:rPr lang="en-US" sz="1100" b="0" i="1">
                            <a:latin typeface="Cambria Math" panose="02040503050406030204" pitchFamily="18" charset="0"/>
                          </a:rPr>
                        </m:ctrlPr>
                      </m:dPr>
                      <m:e>
                        <m:r>
                          <a:rPr lang="en-US" sz="1100" b="0" i="1">
                            <a:latin typeface="Cambria Math" panose="02040503050406030204" pitchFamily="18" charset="0"/>
                          </a:rPr>
                          <m:t>𝑅𝑒𝑠𝑣</m:t>
                        </m:r>
                      </m:e>
                    </m:d>
                    <m:r>
                      <a:rPr lang="en-US" sz="1100" b="0" i="1">
                        <a:latin typeface="Cambria Math" panose="02040503050406030204" pitchFamily="18" charset="0"/>
                      </a:rPr>
                      <m:t>= </m:t>
                    </m:r>
                    <m:rad>
                      <m:radPr>
                        <m:degHide m:val="on"/>
                        <m:ctrlPr>
                          <a:rPr lang="en-US" sz="1100" b="0" i="1">
                            <a:latin typeface="Cambria Math" panose="02040503050406030204" pitchFamily="18" charset="0"/>
                          </a:rPr>
                        </m:ctrlPr>
                      </m:radPr>
                      <m:deg/>
                      <m:e>
                        <m:r>
                          <a:rPr lang="en-US" sz="1100" b="0" i="1">
                            <a:latin typeface="Cambria Math" panose="02040503050406030204" pitchFamily="18" charset="0"/>
                          </a:rPr>
                          <m:t>2.584 </m:t>
                        </m:r>
                        <m:r>
                          <a:rPr lang="en-US" sz="1100" b="0" i="1">
                            <a:latin typeface="Cambria Math" panose="02040503050406030204" pitchFamily="18" charset="0"/>
                            <a:ea typeface="Cambria Math" panose="02040503050406030204" pitchFamily="18" charset="0"/>
                          </a:rPr>
                          <m:t>× </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10</m:t>
                            </m:r>
                          </m:e>
                          <m:sup>
                            <m:r>
                              <a:rPr lang="en-US" sz="1100" b="0" i="1">
                                <a:latin typeface="Cambria Math" panose="02040503050406030204" pitchFamily="18" charset="0"/>
                                <a:ea typeface="Cambria Math" panose="02040503050406030204" pitchFamily="18" charset="0"/>
                              </a:rPr>
                              <m:t>10</m:t>
                            </m:r>
                          </m:sup>
                        </m:sSup>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180,000</m:t>
                            </m:r>
                          </m:e>
                          <m:sup>
                            <m:r>
                              <a:rPr lang="en-US" sz="1100" b="0" i="1">
                                <a:latin typeface="Cambria Math" panose="02040503050406030204" pitchFamily="18" charset="0"/>
                                <a:ea typeface="Cambria Math" panose="02040503050406030204" pitchFamily="18" charset="0"/>
                              </a:rPr>
                              <m:t>2</m:t>
                            </m:r>
                          </m:sup>
                        </m:sSup>
                      </m:e>
                    </m:rad>
                    <m:r>
                      <a:rPr lang="en-US" sz="1100" b="0" i="1">
                        <a:latin typeface="Cambria Math" panose="02040503050406030204" pitchFamily="18" charset="0"/>
                      </a:rPr>
                      <m:t>=</m:t>
                    </m:r>
                    <m:borderBox>
                      <m:borderBoxPr>
                        <m:ctrlPr>
                          <a:rPr lang="en-US" sz="1100" b="0" i="1">
                            <a:latin typeface="Cambria Math" panose="02040503050406030204" pitchFamily="18" charset="0"/>
                          </a:rPr>
                        </m:ctrlPr>
                      </m:borderBoxPr>
                      <m:e>
                        <m:r>
                          <a:rPr lang="en-US" sz="1100" b="0" i="1">
                            <a:latin typeface="Cambria Math" panose="02040503050406030204" pitchFamily="18" charset="0"/>
                          </a:rPr>
                          <m:t>241,300</m:t>
                        </m:r>
                      </m:e>
                    </m:borderBox>
                  </m:oMath>
                </m:oMathPara>
              </a14:m>
              <a:endParaRPr lang="en-US" sz="1100"/>
            </a:p>
          </xdr:txBody>
        </xdr:sp>
      </mc:Choice>
      <mc:Fallback xmlns="">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068640" y="30450736"/>
              <a:ext cx="3495572" cy="23198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𝑆𝑡𝑑𝐷𝑒𝑣(𝑅𝑒𝑠𝑣)= √(2.584 </a:t>
              </a:r>
              <a:r>
                <a:rPr lang="en-US" sz="1100" b="0" i="0">
                  <a:latin typeface="Cambria Math" panose="02040503050406030204" pitchFamily="18" charset="0"/>
                  <a:ea typeface="Cambria Math" panose="02040503050406030204" pitchFamily="18" charset="0"/>
                </a:rPr>
                <a:t>× 10^10+〖180,000〗^2 )</a:t>
              </a:r>
              <a:r>
                <a:rPr lang="en-US" sz="1100" b="0" i="0">
                  <a:latin typeface="Cambria Math" panose="02040503050406030204" pitchFamily="18" charset="0"/>
                </a:rPr>
                <a:t>=▭241,300</a:t>
              </a:r>
              <a:endParaRPr lang="en-US" sz="1100"/>
            </a:p>
          </xdr:txBody>
        </xdr:sp>
      </mc:Fallback>
    </mc:AlternateContent>
    <xdr:clientData/>
  </xdr:oneCellAnchor>
  <xdr:twoCellAnchor>
    <xdr:from>
      <xdr:col>1</xdr:col>
      <xdr:colOff>148165</xdr:colOff>
      <xdr:row>28</xdr:row>
      <xdr:rowOff>21166</xdr:rowOff>
    </xdr:from>
    <xdr:to>
      <xdr:col>2</xdr:col>
      <xdr:colOff>486832</xdr:colOff>
      <xdr:row>29</xdr:row>
      <xdr:rowOff>157483</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00000000-0008-0000-0000-000007000000}"/>
                </a:ext>
              </a:extLst>
            </xdr:cNvPr>
            <xdr:cNvSpPr txBox="1"/>
          </xdr:nvSpPr>
          <xdr:spPr>
            <a:xfrm>
              <a:off x="973665" y="5757333"/>
              <a:ext cx="1227667" cy="337400"/>
            </a:xfrm>
            <a:prstGeom prst="rect">
              <a:avLst/>
            </a:prstGeom>
            <a:noFill/>
            <a:ln>
              <a:solidFill>
                <a:sysClr val="windowText" lastClr="000000"/>
              </a:solidFill>
            </a:ln>
            <a:effectLst/>
          </xdr:spPr>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𝐺</m:t>
                    </m: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=1−</m:t>
                    </m:r>
                    <m:sSup>
                      <m:s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𝑒</m:t>
                        </m:r>
                      </m:e>
                      <m:sup>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sSup>
                          <m:s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pPr>
                          <m:e>
                            <m:argPr>
                              <m:argSz m:val="-1"/>
                            </m:argP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argPr>
                                  <m:argSz m:val="-1"/>
                                </m:argP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num>
                                  <m:den>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𝜃</m:t>
                                    </m:r>
                                  </m:den>
                                </m:f>
                              </m:e>
                            </m:d>
                          </m:e>
                          <m:sup>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𝜔</m:t>
                            </m:r>
                          </m:sup>
                        </m:sSup>
                      </m:sup>
                    </m:sSup>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7" name="TextBox 2">
              <a:extLst>
                <a:ext uri="{FF2B5EF4-FFF2-40B4-BE49-F238E27FC236}">
                  <a16:creationId xmlns:a16="http://schemas.microsoft.com/office/drawing/2014/main" id="{00000000-0008-0000-0000-000007000000}"/>
                </a:ext>
              </a:extLst>
            </xdr:cNvPr>
            <xdr:cNvSpPr txBox="1"/>
          </xdr:nvSpPr>
          <xdr:spPr>
            <a:xfrm>
              <a:off x="973665" y="5757333"/>
              <a:ext cx="1227667" cy="337400"/>
            </a:xfrm>
            <a:prstGeom prst="rect">
              <a:avLst/>
            </a:prstGeom>
            <a:noFill/>
            <a:ln>
              <a:solidFill>
                <a:sysClr val="windowText" lastClr="000000"/>
              </a:solidFill>
            </a:ln>
            <a:effectLst/>
          </xdr:spPr>
          <xdr:txBody>
            <a:bodyPr wrap="square" lIns="45720" tIns="45720" rIns="45720" bIns="45720" rtlCol="0" anchor="t">
              <a:sp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𝐺</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𝑥)=1−𝑒^(−(𝑥/𝜃)^𝜔 )</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oneCellAnchor>
    <xdr:from>
      <xdr:col>1</xdr:col>
      <xdr:colOff>3175</xdr:colOff>
      <xdr:row>30</xdr:row>
      <xdr:rowOff>66675</xdr:rowOff>
    </xdr:from>
    <xdr:ext cx="2767361" cy="17209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828675" y="6003925"/>
              <a:ext cx="276736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𝑥</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𝑅𝑒𝑝𝑡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𝑓𝑜𝑟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𝑎𝑣𝑒𝑟𝑎𝑔𝑒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𝑎𝑐𝑐𝑖𝑑𝑒𝑛𝑡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𝑡𝑖𝑚𝑒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𝑥</m:t>
                    </m:r>
                  </m:oMath>
                </m:oMathPara>
              </a14:m>
              <a:endParaRPr lang="en-US"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755F8E7D-BDCF-8AB1-5C3D-BFB7636EEAC5}"/>
                </a:ext>
              </a:extLst>
            </xdr:cNvPr>
            <xdr:cNvSpPr txBox="1"/>
          </xdr:nvSpPr>
          <xdr:spPr>
            <a:xfrm>
              <a:off x="828675" y="6003925"/>
              <a:ext cx="276736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𝐺(𝑥)→%𝑅𝑒𝑝𝑡 𝑓𝑜𝑟 𝑎𝑣𝑒𝑟𝑎𝑔𝑒 𝑎𝑐𝑐𝑖𝑑𝑒𝑛𝑡 𝑡𝑖𝑚𝑒 𝑥</a:t>
              </a:r>
              <a:endParaRPr lang="en-US" sz="1100">
                <a:solidFill>
                  <a:schemeClr val="tx1"/>
                </a:solidFill>
                <a:effectLst/>
                <a:latin typeface="+mn-lt"/>
                <a:ea typeface="+mn-ea"/>
                <a:cs typeface="+mn-cs"/>
              </a:endParaRPr>
            </a:p>
          </xdr:txBody>
        </xdr:sp>
      </mc:Fallback>
    </mc:AlternateContent>
    <xdr:clientData/>
  </xdr:oneCellAnchor>
  <xdr:twoCellAnchor>
    <xdr:from>
      <xdr:col>1</xdr:col>
      <xdr:colOff>158750</xdr:colOff>
      <xdr:row>33</xdr:row>
      <xdr:rowOff>105834</xdr:rowOff>
    </xdr:from>
    <xdr:to>
      <xdr:col>3</xdr:col>
      <xdr:colOff>727075</xdr:colOff>
      <xdr:row>34</xdr:row>
      <xdr:rowOff>169334</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00000000-0008-0000-0000-000009000000}"/>
                </a:ext>
              </a:extLst>
            </xdr:cNvPr>
            <xdr:cNvSpPr txBox="1"/>
          </xdr:nvSpPr>
          <xdr:spPr>
            <a:xfrm>
              <a:off x="984250" y="6868584"/>
              <a:ext cx="2282825" cy="264583"/>
            </a:xfrm>
            <a:prstGeom prst="rect">
              <a:avLst/>
            </a:prstGeom>
            <a:noFill/>
            <a:ln>
              <a:solidFill>
                <a:sysClr val="windowText" lastClr="000000"/>
              </a:solidFill>
            </a:ln>
            <a:effectLst/>
          </xdr:spPr>
          <xdr:txBody>
            <a:bodyPr wrap="square" lIns="45720" tIns="45720" rIns="45720" bIns="45720" rtlCol="0" anchor="t">
              <a:noAutofit/>
            </a:bodyPr>
            <a:lstStyle/>
            <a:p>
              <a:pPr marL="0" marR="0"/>
              <a14:m>
                <m:oMathPara xmlns:m="http://schemas.openxmlformats.org/officeDocument/2006/math">
                  <m:oMathParaPr>
                    <m:jc m:val="centerGroup"/>
                  </m:oMathParaPr>
                  <m:oMath xmlns:m="http://schemas.openxmlformats.org/officeDocument/2006/math">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e>
                      <m:sub>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𝐴𝑌</m:t>
                        </m:r>
                      </m:sub>
                    </m:s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𝑀𝑜𝑛𝑡h𝑠</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 </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𝐷𝑒𝑣𝑒𝑙𝑜𝑝𝑚𝑒𝑛𝑡</m:t>
                        </m:r>
                      </m:e>
                      <m: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𝐴𝑌</m:t>
                        </m:r>
                      </m:sub>
                    </m:s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−6</m:t>
                    </m:r>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9" name="TextBox 2">
              <a:extLst>
                <a:ext uri="{FF2B5EF4-FFF2-40B4-BE49-F238E27FC236}">
                  <a16:creationId xmlns:a16="http://schemas.microsoft.com/office/drawing/2014/main" id="{00000000-0008-0000-0000-000009000000}"/>
                </a:ext>
              </a:extLst>
            </xdr:cNvPr>
            <xdr:cNvSpPr txBox="1"/>
          </xdr:nvSpPr>
          <xdr:spPr>
            <a:xfrm>
              <a:off x="984250" y="6868584"/>
              <a:ext cx="2282825" cy="264583"/>
            </a:xfrm>
            <a:prstGeom prst="rect">
              <a:avLst/>
            </a:prstGeom>
            <a:noFill/>
            <a:ln>
              <a:solidFill>
                <a:sysClr val="windowText" lastClr="000000"/>
              </a:solidFill>
            </a:ln>
            <a:effectLst/>
          </xdr:spPr>
          <xdr:txBody>
            <a:bodyPr wrap="square" lIns="45720" tIns="45720" rIns="45720" bIns="45720" rtlCol="0" anchor="t">
              <a:no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𝑥_𝐴𝑌=</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𝑀𝑜𝑛𝑡ℎ𝑠 𝐷𝑒𝑣𝑒𝑙𝑜𝑝𝑚𝑒𝑛𝑡〗_𝐴𝑌−6</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twoCellAnchor>
    <xdr:from>
      <xdr:col>1</xdr:col>
      <xdr:colOff>116417</xdr:colOff>
      <xdr:row>39</xdr:row>
      <xdr:rowOff>0</xdr:rowOff>
    </xdr:from>
    <xdr:to>
      <xdr:col>2</xdr:col>
      <xdr:colOff>721572</xdr:colOff>
      <xdr:row>41</xdr:row>
      <xdr:rowOff>38523</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00000000-0008-0000-0000-00000A000000}"/>
                </a:ext>
              </a:extLst>
            </xdr:cNvPr>
            <xdr:cNvSpPr txBox="1"/>
          </xdr:nvSpPr>
          <xdr:spPr>
            <a:xfrm>
              <a:off x="941917" y="7567083"/>
              <a:ext cx="1430655" cy="440690"/>
            </a:xfrm>
            <a:prstGeom prst="rect">
              <a:avLst/>
            </a:prstGeom>
            <a:noFill/>
            <a:ln>
              <a:solidFill>
                <a:sysClr val="windowText" lastClr="000000"/>
              </a:solidFill>
            </a:ln>
            <a:effectLst/>
          </xdr:spPr>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𝐿𝐷𝐹</m:t>
                        </m:r>
                      </m:e>
                      <m:sub>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𝑡𝑟𝑢𝑛𝑐</m:t>
                        </m:r>
                      </m:sub>
                    </m:s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𝐺</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sSub>
                          <m:sSub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b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e>
                          <m:sub>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𝑡𝑟𝑢𝑛𝑐</m:t>
                            </m:r>
                          </m:sub>
                        </m:sSub>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num>
                      <m:den>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𝐺</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den>
                    </m:f>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10" name="TextBox 2">
              <a:extLst>
                <a:ext uri="{FF2B5EF4-FFF2-40B4-BE49-F238E27FC236}">
                  <a16:creationId xmlns:a16="http://schemas.microsoft.com/office/drawing/2014/main" id="{ADB94B7D-A64B-60B4-AA11-D5D99D948D5F}"/>
                </a:ext>
              </a:extLst>
            </xdr:cNvPr>
            <xdr:cNvSpPr txBox="1"/>
          </xdr:nvSpPr>
          <xdr:spPr>
            <a:xfrm>
              <a:off x="941917" y="7567083"/>
              <a:ext cx="1430655" cy="440690"/>
            </a:xfrm>
            <a:prstGeom prst="rect">
              <a:avLst/>
            </a:prstGeom>
            <a:noFill/>
            <a:ln>
              <a:solidFill>
                <a:sysClr val="windowText" lastClr="000000"/>
              </a:solidFill>
            </a:ln>
            <a:effectLst/>
          </xdr:spPr>
          <xdr:txBody>
            <a:bodyPr wrap="square" lIns="45720" tIns="45720" rIns="45720" bIns="45720" rtlCol="0" anchor="t">
              <a:spAutoFit/>
            </a:bodyPr>
            <a:lstStyle/>
            <a:p>
              <a:pPr marL="0" marR="0"/>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𝐿𝐷𝐹〗_𝑡𝑟𝑢𝑛𝑐=</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𝐺(𝑥_𝑡𝑟𝑢𝑛𝑐))/(𝐺(𝑥))</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oneCellAnchor>
    <xdr:from>
      <xdr:col>1</xdr:col>
      <xdr:colOff>211667</xdr:colOff>
      <xdr:row>43</xdr:row>
      <xdr:rowOff>63500</xdr:rowOff>
    </xdr:from>
    <xdr:ext cx="826958" cy="348044"/>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037167" y="8434917"/>
              <a:ext cx="826958"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𝐿𝐷𝐹</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m:t>
                        </m:r>
                      </m:den>
                    </m:f>
                    <m:r>
                      <m:rPr>
                        <m:nor/>
                      </m:rPr>
                      <a:rPr lang="en-US">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11" name="TextBox 10">
              <a:extLst>
                <a:ext uri="{FF2B5EF4-FFF2-40B4-BE49-F238E27FC236}">
                  <a16:creationId xmlns:a16="http://schemas.microsoft.com/office/drawing/2014/main" id="{78147943-D9B8-D34B-9ACB-284AB1EB8461}"/>
                </a:ext>
              </a:extLst>
            </xdr:cNvPr>
            <xdr:cNvSpPr txBox="1"/>
          </xdr:nvSpPr>
          <xdr:spPr>
            <a:xfrm>
              <a:off x="1037167" y="8434917"/>
              <a:ext cx="826958"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𝐿𝐷𝐹=1/(𝐺(𝑥))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oneCellAnchor>
  <xdr:twoCellAnchor>
    <xdr:from>
      <xdr:col>1</xdr:col>
      <xdr:colOff>550334</xdr:colOff>
      <xdr:row>47</xdr:row>
      <xdr:rowOff>127000</xdr:rowOff>
    </xdr:from>
    <xdr:to>
      <xdr:col>3</xdr:col>
      <xdr:colOff>772584</xdr:colOff>
      <xdr:row>48</xdr:row>
      <xdr:rowOff>192656</xdr:rowOff>
    </xdr:to>
    <mc:AlternateContent xmlns:mc="http://schemas.openxmlformats.org/markup-compatibility/2006" xmlns:a14="http://schemas.microsoft.com/office/drawing/2010/main">
      <mc:Choice Requires="a14">
        <xdr:sp macro="" textlink="">
          <xdr:nvSpPr>
            <xdr:cNvPr id="12" name="TextBox 2">
              <a:extLst>
                <a:ext uri="{FF2B5EF4-FFF2-40B4-BE49-F238E27FC236}">
                  <a16:creationId xmlns:a16="http://schemas.microsoft.com/office/drawing/2014/main" id="{00000000-0008-0000-0000-00000C000000}"/>
                </a:ext>
              </a:extLst>
            </xdr:cNvPr>
            <xdr:cNvSpPr txBox="1"/>
          </xdr:nvSpPr>
          <xdr:spPr>
            <a:xfrm>
              <a:off x="1375834" y="9768417"/>
              <a:ext cx="1936750" cy="266739"/>
            </a:xfrm>
            <a:prstGeom prst="rect">
              <a:avLst/>
            </a:prstGeom>
            <a:noFill/>
            <a:ln>
              <a:solidFill>
                <a:sysClr val="windowText" lastClr="000000"/>
              </a:solidFill>
            </a:ln>
            <a:effectLst/>
          </xdr:spPr>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𝑈𝑙𝑡</m:t>
                        </m:r>
                      </m:e>
                      <m:sub>
                        <m:argPr>
                          <m:argSz m:val="-1"/>
                        </m:argPr>
                        <m:r>
                          <a:rPr lang="en-US" sz="1100" i="1">
                            <a:effectLst/>
                            <a:latin typeface="Cambria Math" panose="02040503050406030204" pitchFamily="18" charset="0"/>
                            <a:ea typeface="+mn-ea"/>
                            <a:cs typeface="+mn-cs"/>
                          </a:rPr>
                          <m:t>𝐴𝑌</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𝑡𝑟𝑢𝑛𝑐</m:t>
                        </m:r>
                      </m:sub>
                    </m:sSub>
                    <m:r>
                      <a:rPr lang="en-US" sz="1100" i="1">
                        <a:effectLst/>
                        <a:latin typeface="Cambria Math" panose="02040503050406030204" pitchFamily="18" charset="0"/>
                        <a:ea typeface="+mn-ea"/>
                        <a:cs typeface="+mn-cs"/>
                      </a:rPr>
                      <m:t>=</m:t>
                    </m:r>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𝐿𝑜𝑠𝑠</m:t>
                        </m:r>
                      </m:e>
                      <m:sub>
                        <m:argPr>
                          <m:argSz m:val="-1"/>
                        </m:argPr>
                        <m:r>
                          <a:rPr lang="en-US" sz="1100" i="1">
                            <a:effectLst/>
                            <a:latin typeface="Cambria Math" panose="02040503050406030204" pitchFamily="18" charset="0"/>
                            <a:ea typeface="+mn-ea"/>
                            <a:cs typeface="+mn-cs"/>
                          </a:rPr>
                          <m:t>𝐴𝑌</m:t>
                        </m:r>
                      </m:sub>
                    </m:sSub>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𝐿𝐷</m:t>
                    </m:r>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𝐹</m:t>
                        </m:r>
                      </m:e>
                      <m:sub>
                        <m:r>
                          <a:rPr lang="en-US" sz="1100" i="1">
                            <a:effectLst/>
                            <a:latin typeface="Cambria Math" panose="02040503050406030204" pitchFamily="18" charset="0"/>
                            <a:ea typeface="+mn-ea"/>
                            <a:cs typeface="+mn-cs"/>
                          </a:rPr>
                          <m:t>𝑡𝑟𝑢𝑛𝑐</m:t>
                        </m:r>
                      </m:sub>
                    </m:sSub>
                  </m:oMath>
                </m:oMathPara>
              </a14:m>
              <a:endParaRPr lang="en-US" sz="1100">
                <a:effectLst/>
                <a:latin typeface="+mn-lt"/>
                <a:ea typeface="+mn-ea"/>
                <a:cs typeface="+mn-cs"/>
              </a:endParaRPr>
            </a:p>
          </xdr:txBody>
        </xdr:sp>
      </mc:Choice>
      <mc:Fallback xmlns="">
        <xdr:sp macro="" textlink="">
          <xdr:nvSpPr>
            <xdr:cNvPr id="12" name="TextBox 2">
              <a:extLst>
                <a:ext uri="{FF2B5EF4-FFF2-40B4-BE49-F238E27FC236}">
                  <a16:creationId xmlns:a16="http://schemas.microsoft.com/office/drawing/2014/main" id="{00000000-0008-0000-0000-00000C000000}"/>
                </a:ext>
              </a:extLst>
            </xdr:cNvPr>
            <xdr:cNvSpPr txBox="1"/>
          </xdr:nvSpPr>
          <xdr:spPr>
            <a:xfrm>
              <a:off x="1375834" y="9768417"/>
              <a:ext cx="1936750" cy="266739"/>
            </a:xfrm>
            <a:prstGeom prst="rect">
              <a:avLst/>
            </a:prstGeom>
            <a:noFill/>
            <a:ln>
              <a:solidFill>
                <a:sysClr val="windowText" lastClr="000000"/>
              </a:solidFill>
            </a:ln>
            <a:effectLst/>
          </xdr:spPr>
          <xdr:txBody>
            <a:bodyPr wrap="square" lIns="45720" tIns="45720" rIns="45720" bIns="45720" rtlCol="0" anchor="t">
              <a:spAutoFit/>
            </a:bodyPr>
            <a:lstStyle/>
            <a:p>
              <a:pPr/>
              <a:r>
                <a:rPr lang="en-US" sz="1100" i="0">
                  <a:effectLst/>
                  <a:latin typeface="Cambria Math" panose="02040503050406030204" pitchFamily="18" charset="0"/>
                  <a:ea typeface="+mn-ea"/>
                  <a:cs typeface="+mn-cs"/>
                </a:rPr>
                <a:t>〖𝑈𝑙𝑡〗_(𝐴𝑌,𝑡𝑟𝑢𝑛𝑐)=〖𝐿𝑜𝑠𝑠〗_𝐴𝑌×𝐿𝐷𝐹_𝑡𝑟𝑢𝑛𝑐</a:t>
              </a:r>
              <a:endParaRPr lang="en-US" sz="1100">
                <a:effectLst/>
                <a:latin typeface="+mn-lt"/>
                <a:ea typeface="+mn-ea"/>
                <a:cs typeface="+mn-cs"/>
              </a:endParaRPr>
            </a:p>
          </xdr:txBody>
        </xdr:sp>
      </mc:Fallback>
    </mc:AlternateContent>
    <xdr:clientData/>
  </xdr:twoCellAnchor>
  <xdr:twoCellAnchor>
    <xdr:from>
      <xdr:col>4</xdr:col>
      <xdr:colOff>243417</xdr:colOff>
      <xdr:row>47</xdr:row>
      <xdr:rowOff>116416</xdr:rowOff>
    </xdr:from>
    <xdr:to>
      <xdr:col>6</xdr:col>
      <xdr:colOff>687917</xdr:colOff>
      <xdr:row>48</xdr:row>
      <xdr:rowOff>182073</xdr:rowOff>
    </xdr:to>
    <mc:AlternateContent xmlns:mc="http://schemas.openxmlformats.org/markup-compatibility/2006" xmlns:a14="http://schemas.microsoft.com/office/drawing/2010/main">
      <mc:Choice Requires="a14">
        <xdr:sp macro="" textlink="">
          <xdr:nvSpPr>
            <xdr:cNvPr id="13" name="TextBox 2">
              <a:extLst>
                <a:ext uri="{FF2B5EF4-FFF2-40B4-BE49-F238E27FC236}">
                  <a16:creationId xmlns:a16="http://schemas.microsoft.com/office/drawing/2014/main" id="{00000000-0008-0000-0000-00000D000000}"/>
                </a:ext>
              </a:extLst>
            </xdr:cNvPr>
            <xdr:cNvSpPr txBox="1"/>
          </xdr:nvSpPr>
          <xdr:spPr>
            <a:xfrm>
              <a:off x="3608917" y="9757833"/>
              <a:ext cx="2095500" cy="266740"/>
            </a:xfrm>
            <a:prstGeom prst="rect">
              <a:avLst/>
            </a:prstGeom>
            <a:noFill/>
            <a:ln>
              <a:solidFill>
                <a:sysClr val="windowText" lastClr="000000"/>
              </a:solidFill>
            </a:ln>
            <a:effectLst/>
          </xdr:spPr>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𝑅𝑒𝑠</m:t>
                        </m:r>
                        <m:r>
                          <a:rPr lang="en-US" sz="1100" b="0" i="1">
                            <a:effectLst/>
                            <a:latin typeface="Cambria Math" panose="02040503050406030204" pitchFamily="18" charset="0"/>
                            <a:ea typeface="+mn-ea"/>
                            <a:cs typeface="+mn-cs"/>
                          </a:rPr>
                          <m:t>𝑒𝑟𝑣𝑒</m:t>
                        </m:r>
                      </m:e>
                      <m:sub>
                        <m:argPr>
                          <m:argSz m:val="-1"/>
                        </m:argPr>
                        <m:r>
                          <a:rPr lang="en-US" sz="1100" i="1">
                            <a:effectLst/>
                            <a:latin typeface="Cambria Math" panose="02040503050406030204" pitchFamily="18" charset="0"/>
                            <a:ea typeface="+mn-ea"/>
                            <a:cs typeface="+mn-cs"/>
                          </a:rPr>
                          <m:t>𝐴𝑌</m:t>
                        </m:r>
                      </m:sub>
                    </m:sSub>
                    <m:r>
                      <a:rPr lang="en-US" sz="1100" i="1">
                        <a:effectLst/>
                        <a:latin typeface="Cambria Math" panose="02040503050406030204" pitchFamily="18" charset="0"/>
                        <a:ea typeface="+mn-ea"/>
                        <a:cs typeface="+mn-cs"/>
                      </a:rPr>
                      <m:t>=</m:t>
                    </m:r>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𝑈𝑙𝑡</m:t>
                        </m:r>
                      </m:e>
                      <m:sub>
                        <m:argPr>
                          <m:argSz m:val="-1"/>
                        </m:argPr>
                        <m:r>
                          <a:rPr lang="en-US" sz="1100" i="1">
                            <a:effectLst/>
                            <a:latin typeface="Cambria Math" panose="02040503050406030204" pitchFamily="18" charset="0"/>
                            <a:ea typeface="+mn-ea"/>
                            <a:cs typeface="+mn-cs"/>
                          </a:rPr>
                          <m:t>𝐴𝑌</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𝑡𝑟𝑢𝑛𝑐</m:t>
                        </m:r>
                      </m:sub>
                    </m:sSub>
                    <m:r>
                      <a:rPr lang="en-US" sz="1100" i="1">
                        <a:effectLst/>
                        <a:latin typeface="Cambria Math" panose="02040503050406030204" pitchFamily="18" charset="0"/>
                        <a:ea typeface="+mn-ea"/>
                        <a:cs typeface="+mn-cs"/>
                      </a:rPr>
                      <m:t>−</m:t>
                    </m:r>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𝐿𝑜𝑠𝑠</m:t>
                        </m:r>
                      </m:e>
                      <m:sub>
                        <m:argPr>
                          <m:argSz m:val="-1"/>
                        </m:argPr>
                        <m:r>
                          <a:rPr lang="en-US" sz="1100" i="1">
                            <a:effectLst/>
                            <a:latin typeface="Cambria Math" panose="02040503050406030204" pitchFamily="18" charset="0"/>
                            <a:ea typeface="+mn-ea"/>
                            <a:cs typeface="+mn-cs"/>
                          </a:rPr>
                          <m:t>𝐴𝑌</m:t>
                        </m:r>
                      </m:sub>
                    </m:sSub>
                  </m:oMath>
                </m:oMathPara>
              </a14:m>
              <a:endParaRPr lang="en-US" sz="1100">
                <a:effectLst/>
                <a:latin typeface="+mn-lt"/>
                <a:ea typeface="+mn-ea"/>
                <a:cs typeface="+mn-cs"/>
              </a:endParaRPr>
            </a:p>
          </xdr:txBody>
        </xdr:sp>
      </mc:Choice>
      <mc:Fallback xmlns="">
        <xdr:sp macro="" textlink="">
          <xdr:nvSpPr>
            <xdr:cNvPr id="13" name="TextBox 2">
              <a:extLst>
                <a:ext uri="{FF2B5EF4-FFF2-40B4-BE49-F238E27FC236}">
                  <a16:creationId xmlns:a16="http://schemas.microsoft.com/office/drawing/2014/main" id="{00000000-0008-0000-0000-00000D000000}"/>
                </a:ext>
              </a:extLst>
            </xdr:cNvPr>
            <xdr:cNvSpPr txBox="1"/>
          </xdr:nvSpPr>
          <xdr:spPr>
            <a:xfrm>
              <a:off x="3608917" y="9757833"/>
              <a:ext cx="2095500" cy="266740"/>
            </a:xfrm>
            <a:prstGeom prst="rect">
              <a:avLst/>
            </a:prstGeom>
            <a:noFill/>
            <a:ln>
              <a:solidFill>
                <a:sysClr val="windowText" lastClr="000000"/>
              </a:solidFill>
            </a:ln>
            <a:effectLst/>
          </xdr:spPr>
          <xdr:txBody>
            <a:bodyPr wrap="square" lIns="45720" tIns="45720" rIns="45720" bIns="45720" rtlCol="0" anchor="t">
              <a:spAutoFit/>
            </a:bodyPr>
            <a:lstStyle/>
            <a:p>
              <a:pPr/>
              <a:r>
                <a:rPr lang="en-US" sz="1100" i="0">
                  <a:effectLst/>
                  <a:latin typeface="Cambria Math" panose="02040503050406030204" pitchFamily="18" charset="0"/>
                  <a:ea typeface="+mn-ea"/>
                  <a:cs typeface="+mn-cs"/>
                </a:rPr>
                <a:t>〖𝑅𝑒𝑠</a:t>
              </a:r>
              <a:r>
                <a:rPr lang="en-US" sz="1100" b="0" i="0">
                  <a:effectLst/>
                  <a:latin typeface="Cambria Math" panose="02040503050406030204" pitchFamily="18" charset="0"/>
                  <a:ea typeface="+mn-ea"/>
                  <a:cs typeface="+mn-cs"/>
                </a:rPr>
                <a:t>𝑒𝑟𝑣𝑒〗_</a:t>
              </a:r>
              <a:r>
                <a:rPr lang="en-US" sz="1100" i="0">
                  <a:effectLst/>
                  <a:latin typeface="Cambria Math" panose="02040503050406030204" pitchFamily="18" charset="0"/>
                  <a:ea typeface="+mn-ea"/>
                  <a:cs typeface="+mn-cs"/>
                </a:rPr>
                <a:t>𝐴𝑌=〖𝑈𝑙𝑡〗_(𝐴𝑌,𝑡𝑟𝑢𝑛𝑐)−〖𝐿𝑜𝑠𝑠〗_𝐴𝑌</a:t>
              </a:r>
              <a:endParaRPr lang="en-US" sz="1100">
                <a:effectLst/>
                <a:latin typeface="+mn-lt"/>
                <a:ea typeface="+mn-ea"/>
                <a:cs typeface="+mn-cs"/>
              </a:endParaRPr>
            </a:p>
          </xdr:txBody>
        </xdr:sp>
      </mc:Fallback>
    </mc:AlternateContent>
    <xdr:clientData/>
  </xdr:twoCellAnchor>
  <xdr:twoCellAnchor>
    <xdr:from>
      <xdr:col>1</xdr:col>
      <xdr:colOff>190500</xdr:colOff>
      <xdr:row>103</xdr:row>
      <xdr:rowOff>158750</xdr:rowOff>
    </xdr:from>
    <xdr:to>
      <xdr:col>4</xdr:col>
      <xdr:colOff>656167</xdr:colOff>
      <xdr:row>105</xdr:row>
      <xdr:rowOff>43521</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00000000-0008-0000-0000-000010000000}"/>
                </a:ext>
              </a:extLst>
            </xdr:cNvPr>
            <xdr:cNvSpPr txBox="1"/>
          </xdr:nvSpPr>
          <xdr:spPr>
            <a:xfrm>
              <a:off x="1016000" y="21007917"/>
              <a:ext cx="3005667" cy="28693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𝑆𝑡𝑑𝐷𝑒𝑣</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𝑅𝑒𝑠𝑣</m:t>
                    </m:r>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𝑃𝑟𝑜𝑐𝑒𝑠𝑠𝑉𝑎𝑟</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𝑃𝑎𝑟𝑎𝑚𝑒𝑡𝑒𝑟𝑉𝑎𝑟</m:t>
                        </m:r>
                      </m:e>
                    </m:rad>
                  </m:oMath>
                </m:oMathPara>
              </a14:m>
              <a:endParaRPr lang="en-US" sz="1100">
                <a:solidFill>
                  <a:schemeClr val="tx1"/>
                </a:solidFill>
                <a:effectLst/>
                <a:latin typeface="+mn-lt"/>
                <a:ea typeface="+mn-ea"/>
                <a:cs typeface="+mn-cs"/>
              </a:endParaRPr>
            </a:p>
          </xdr:txBody>
        </xdr:sp>
      </mc:Choice>
      <mc:Fallback xmlns="">
        <xdr:sp macro="" textlink="">
          <xdr:nvSpPr>
            <xdr:cNvPr id="16" name="TextBox 2">
              <a:extLst>
                <a:ext uri="{FF2B5EF4-FFF2-40B4-BE49-F238E27FC236}">
                  <a16:creationId xmlns:a16="http://schemas.microsoft.com/office/drawing/2014/main" id="{39E7E011-8BCF-954E-9C1C-201E272B9BA1}"/>
                </a:ext>
              </a:extLst>
            </xdr:cNvPr>
            <xdr:cNvSpPr txBox="1"/>
          </xdr:nvSpPr>
          <xdr:spPr>
            <a:xfrm>
              <a:off x="1016000" y="21007917"/>
              <a:ext cx="3005667" cy="28693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𝑆𝑡𝑑𝐷𝑒𝑣(𝑅𝑒𝑠𝑣=√(𝑃𝑟𝑜𝑐𝑒𝑠𝑠𝑉𝑎𝑟+𝑃𝑎𝑟𝑎𝑚𝑒𝑡𝑒𝑟𝑉𝑎𝑟)</a:t>
              </a:r>
              <a:endParaRPr lang="en-US" sz="1100">
                <a:solidFill>
                  <a:schemeClr val="tx1"/>
                </a:solidFill>
                <a:effectLst/>
                <a:latin typeface="+mn-lt"/>
                <a:ea typeface="+mn-ea"/>
                <a:cs typeface="+mn-cs"/>
              </a:endParaRPr>
            </a:p>
          </xdr:txBody>
        </xdr:sp>
      </mc:Fallback>
    </mc:AlternateContent>
    <xdr:clientData/>
  </xdr:twoCellAnchor>
  <xdr:twoCellAnchor>
    <xdr:from>
      <xdr:col>1</xdr:col>
      <xdr:colOff>190501</xdr:colOff>
      <xdr:row>59</xdr:row>
      <xdr:rowOff>105834</xdr:rowOff>
    </xdr:from>
    <xdr:to>
      <xdr:col>3</xdr:col>
      <xdr:colOff>550335</xdr:colOff>
      <xdr:row>60</xdr:row>
      <xdr:rowOff>171233</xdr:rowOff>
    </xdr:to>
    <mc:AlternateContent xmlns:mc="http://schemas.openxmlformats.org/markup-compatibility/2006" xmlns:a14="http://schemas.microsoft.com/office/drawing/2010/main">
      <mc:Choice Requires="a14">
        <xdr:sp macro="" textlink="">
          <xdr:nvSpPr>
            <xdr:cNvPr id="17" name="TextBox 2">
              <a:extLst>
                <a:ext uri="{FF2B5EF4-FFF2-40B4-BE49-F238E27FC236}">
                  <a16:creationId xmlns:a16="http://schemas.microsoft.com/office/drawing/2014/main" id="{00000000-0008-0000-0000-000011000000}"/>
                </a:ext>
              </a:extLst>
            </xdr:cNvPr>
            <xdr:cNvSpPr txBox="1"/>
          </xdr:nvSpPr>
          <xdr:spPr>
            <a:xfrm>
              <a:off x="1016001" y="12213167"/>
              <a:ext cx="2074334" cy="2664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argPr>
                          <m:argSz m:val="-1"/>
                        </m:argPr>
                        <m:r>
                          <a:rPr lang="en-US" sz="1100" i="1">
                            <a:solidFill>
                              <a:schemeClr val="tx1"/>
                            </a:solidFill>
                            <a:effectLst/>
                            <a:latin typeface="Cambria Math" panose="02040503050406030204" pitchFamily="18" charset="0"/>
                            <a:ea typeface="+mn-ea"/>
                            <a:cs typeface="+mn-cs"/>
                          </a:rPr>
                          <m:t>𝐿𝐷𝐹</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𝐴𝑌</m:t>
                        </m:r>
                      </m:sub>
                    </m:sSub>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1"/>
                                </m:argP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1"/>
                                </m:argP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d>
                      </m:e>
                    </m:d>
                  </m:oMath>
                </m:oMathPara>
              </a14:m>
              <a:endParaRPr lang="en-US" sz="1100">
                <a:solidFill>
                  <a:schemeClr val="tx1"/>
                </a:solidFill>
                <a:effectLst/>
                <a:latin typeface="+mn-lt"/>
                <a:ea typeface="+mn-ea"/>
                <a:cs typeface="+mn-cs"/>
              </a:endParaRPr>
            </a:p>
          </xdr:txBody>
        </xdr:sp>
      </mc:Choice>
      <mc:Fallback xmlns="">
        <xdr:sp macro="" textlink="">
          <xdr:nvSpPr>
            <xdr:cNvPr id="17" name="TextBox 2">
              <a:extLst>
                <a:ext uri="{FF2B5EF4-FFF2-40B4-BE49-F238E27FC236}">
                  <a16:creationId xmlns:a16="http://schemas.microsoft.com/office/drawing/2014/main" id="{688C90CE-6333-5D45-B98E-D0C061F56FBE}"/>
                </a:ext>
              </a:extLst>
            </xdr:cNvPr>
            <xdr:cNvSpPr txBox="1"/>
          </xdr:nvSpPr>
          <xdr:spPr>
            <a:xfrm>
              <a:off x="1016001" y="12213167"/>
              <a:ext cx="2074334" cy="2664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𝜇_(𝐴𝑌,𝑘)^𝐿𝐷𝐹=〖𝑈𝑙𝑡〗_𝐴𝑌 [𝐺(𝑥_𝑘 )−𝐺(𝑥_(𝑘−1)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423333</xdr:colOff>
      <xdr:row>59</xdr:row>
      <xdr:rowOff>148169</xdr:rowOff>
    </xdr:from>
    <xdr:ext cx="2486130" cy="17209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3788833" y="12255502"/>
              <a:ext cx="248613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𝐼𝑛𝑐𝐿𝑜𝑠𝑠</m:t>
                        </m:r>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𝐼𝑛𝑐</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𝐸𝑚𝑒𝑟𝑔𝑒𝑛𝑐𝑒</m:t>
                    </m:r>
                    <m:r>
                      <m:rPr>
                        <m:nor/>
                      </m:rPr>
                      <a:rPr lang="en-US">
                        <a:effectLst/>
                      </a:rPr>
                      <m:t> </m:t>
                    </m:r>
                  </m:oMath>
                </m:oMathPara>
              </a14:m>
              <a:endParaRPr lang="en-US" sz="1100">
                <a:solidFill>
                  <a:schemeClr val="tx1"/>
                </a:solidFill>
              </a:endParaRPr>
            </a:p>
          </xdr:txBody>
        </xdr:sp>
      </mc:Choice>
      <mc:Fallback xmlns="">
        <xdr:sp macro="" textlink="">
          <xdr:nvSpPr>
            <xdr:cNvPr id="18" name="TextBox 17">
              <a:extLst>
                <a:ext uri="{FF2B5EF4-FFF2-40B4-BE49-F238E27FC236}">
                  <a16:creationId xmlns:a16="http://schemas.microsoft.com/office/drawing/2014/main" id="{B40CF065-30BA-9A4A-A7D3-2F017E827A9E}"/>
                </a:ext>
              </a:extLst>
            </xdr:cNvPr>
            <xdr:cNvSpPr txBox="1"/>
          </xdr:nvSpPr>
          <xdr:spPr>
            <a:xfrm>
              <a:off x="3788833" y="12255502"/>
              <a:ext cx="248613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𝐸[𝐼𝑛𝑐𝐿𝑜𝑠𝑠]=〖𝑈𝑙𝑡〗_𝐴𝑌×%𝐼𝑛𝑐 𝐸𝑚𝑒𝑟𝑔𝑒𝑛𝑐𝑒</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232832</xdr:colOff>
      <xdr:row>73</xdr:row>
      <xdr:rowOff>74084</xdr:rowOff>
    </xdr:from>
    <xdr:to>
      <xdr:col>4</xdr:col>
      <xdr:colOff>148167</xdr:colOff>
      <xdr:row>76</xdr:row>
      <xdr:rowOff>42334</xdr:rowOff>
    </xdr:to>
    <mc:AlternateContent xmlns:mc="http://schemas.openxmlformats.org/markup-compatibility/2006" xmlns:a14="http://schemas.microsoft.com/office/drawing/2010/main">
      <mc:Choice Requires="a14">
        <xdr:sp macro="" textlink="">
          <xdr:nvSpPr>
            <xdr:cNvPr id="19" name="TextBox 2">
              <a:extLst>
                <a:ext uri="{FF2B5EF4-FFF2-40B4-BE49-F238E27FC236}">
                  <a16:creationId xmlns:a16="http://schemas.microsoft.com/office/drawing/2014/main" id="{00000000-0008-0000-0000-000013000000}"/>
                </a:ext>
              </a:extLst>
            </xdr:cNvPr>
            <xdr:cNvSpPr txBox="1"/>
          </xdr:nvSpPr>
          <xdr:spPr>
            <a:xfrm>
              <a:off x="1058332" y="15525751"/>
              <a:ext cx="2455335" cy="5715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𝑝</m:t>
                        </m:r>
                      </m:den>
                    </m:f>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d>
                              </m:e>
                              <m:sup>
                                <m:r>
                                  <a:rPr lang="en-US" sz="1100" i="1">
                                    <a:solidFill>
                                      <a:schemeClr val="tx1"/>
                                    </a:solidFill>
                                    <a:effectLst/>
                                    <a:latin typeface="Cambria Math" panose="02040503050406030204" pitchFamily="18" charset="0"/>
                                    <a:ea typeface="+mn-ea"/>
                                    <a:cs typeface="+mn-cs"/>
                                  </a:rPr>
                                  <m:t>2</m:t>
                                </m:r>
                              </m:sup>
                            </m:sSup>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den>
                        </m:f>
                      </m:e>
                    </m:nary>
                  </m:oMath>
                </m:oMathPara>
              </a14:m>
              <a:endParaRPr lang="en-US" sz="1100">
                <a:solidFill>
                  <a:schemeClr val="tx1"/>
                </a:solidFill>
                <a:effectLst/>
                <a:latin typeface="+mn-lt"/>
                <a:ea typeface="+mn-ea"/>
                <a:cs typeface="+mn-cs"/>
              </a:endParaRPr>
            </a:p>
          </xdr:txBody>
        </xdr:sp>
      </mc:Choice>
      <mc:Fallback xmlns="">
        <xdr:sp macro="" textlink="">
          <xdr:nvSpPr>
            <xdr:cNvPr id="19" name="TextBox 2">
              <a:extLst>
                <a:ext uri="{FF2B5EF4-FFF2-40B4-BE49-F238E27FC236}">
                  <a16:creationId xmlns:a16="http://schemas.microsoft.com/office/drawing/2014/main" id="{00000000-0008-0000-0000-000013000000}"/>
                </a:ext>
              </a:extLst>
            </xdr:cNvPr>
            <xdr:cNvSpPr txBox="1"/>
          </xdr:nvSpPr>
          <xdr:spPr>
            <a:xfrm>
              <a:off x="1058332" y="15525751"/>
              <a:ext cx="2455335" cy="5715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𝜎^2=1/(𝑛−𝑝) ∑1▒(〖𝐼𝑛𝑐𝐿𝑜𝑠𝑠〗_(𝐴𝑌,𝑘)−𝜇_(𝐴𝑌,𝑘) )^2/𝜇_(𝐴𝑌,𝑘)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529165</xdr:colOff>
      <xdr:row>73</xdr:row>
      <xdr:rowOff>95252</xdr:rowOff>
    </xdr:from>
    <xdr:ext cx="2513893" cy="48096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3894665" y="15282335"/>
              <a:ext cx="2513893" cy="480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𝑝</m:t>
                        </m:r>
                      </m:den>
                    </m:f>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𝑡𝑟𝑖𝑎𝑛𝑔𝑙𝑒</m:t>
                        </m:r>
                      </m:sup>
                      <m:e>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𝑎𝑐𝑡𝑢𝑎𝑙</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𝑒𝑥𝑝𝑒𝑐𝑡𝑒𝑑</m:t>
                                    </m:r>
                                  </m:e>
                                </m:d>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𝑒𝑥𝑝𝑒𝑐𝑡𝑒𝑑</m:t>
                            </m:r>
                          </m:den>
                        </m:f>
                      </m:e>
                    </m:nary>
                  </m:oMath>
                </m:oMathPara>
              </a14:m>
              <a:endParaRPr lang="en-US" sz="1100">
                <a:solidFill>
                  <a:schemeClr val="tx1"/>
                </a:solidFill>
                <a:effectLst/>
                <a:latin typeface="+mn-lt"/>
                <a:ea typeface="+mn-ea"/>
                <a:cs typeface="+mn-cs"/>
              </a:endParaRPr>
            </a:p>
          </xdr:txBody>
        </xdr:sp>
      </mc:Choice>
      <mc:Fallback xmlns="">
        <xdr:sp macro="" textlink="">
          <xdr:nvSpPr>
            <xdr:cNvPr id="20" name="TextBox 19">
              <a:extLst>
                <a:ext uri="{FF2B5EF4-FFF2-40B4-BE49-F238E27FC236}">
                  <a16:creationId xmlns:a16="http://schemas.microsoft.com/office/drawing/2014/main" id="{9307E70A-E55F-A047-B900-61EE7FC4D41F}"/>
                </a:ext>
              </a:extLst>
            </xdr:cNvPr>
            <xdr:cNvSpPr txBox="1"/>
          </xdr:nvSpPr>
          <xdr:spPr>
            <a:xfrm>
              <a:off x="3894665" y="15282335"/>
              <a:ext cx="2513893" cy="480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𝜎^2=1/(𝑛−𝑝) ∑1^𝑡𝑟𝑖𝑎𝑛𝑔𝑙𝑒▒(𝑎𝑐𝑡𝑢𝑎𝑙−𝑒𝑥𝑝𝑒𝑐𝑡𝑒𝑑)^2/𝑒𝑥𝑝𝑒𝑐𝑡𝑒𝑑</a:t>
              </a:r>
              <a:endParaRPr lang="en-US" sz="1100">
                <a:solidFill>
                  <a:schemeClr val="tx1"/>
                </a:solidFill>
                <a:effectLst/>
                <a:latin typeface="+mn-lt"/>
                <a:ea typeface="+mn-ea"/>
                <a:cs typeface="+mn-cs"/>
              </a:endParaRPr>
            </a:p>
          </xdr:txBody>
        </xdr:sp>
      </mc:Fallback>
    </mc:AlternateContent>
    <xdr:clientData/>
  </xdr:oneCellAnchor>
  <xdr:twoCellAnchor>
    <xdr:from>
      <xdr:col>1</xdr:col>
      <xdr:colOff>285750</xdr:colOff>
      <xdr:row>97</xdr:row>
      <xdr:rowOff>179917</xdr:rowOff>
    </xdr:from>
    <xdr:to>
      <xdr:col>3</xdr:col>
      <xdr:colOff>338667</xdr:colOff>
      <xdr:row>99</xdr:row>
      <xdr:rowOff>45387</xdr:rowOff>
    </xdr:to>
    <mc:AlternateContent xmlns:mc="http://schemas.openxmlformats.org/markup-compatibility/2006" xmlns:a14="http://schemas.microsoft.com/office/drawing/2010/main">
      <mc:Choice Requires="a14">
        <xdr:sp macro="" textlink="">
          <xdr:nvSpPr>
            <xdr:cNvPr id="21" name="TextBox 2">
              <a:extLst>
                <a:ext uri="{FF2B5EF4-FFF2-40B4-BE49-F238E27FC236}">
                  <a16:creationId xmlns:a16="http://schemas.microsoft.com/office/drawing/2014/main" id="{00000000-0008-0000-0000-000015000000}"/>
                </a:ext>
              </a:extLst>
            </xdr:cNvPr>
            <xdr:cNvSpPr txBox="1"/>
          </xdr:nvSpPr>
          <xdr:spPr>
            <a:xfrm>
              <a:off x="1111250" y="20531667"/>
              <a:ext cx="1767417" cy="26763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𝑃𝑟𝑜𝑐𝑒𝑠𝑠𝑉𝑎𝑟</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𝑅𝑒𝑠𝑒𝑟𝑣</m:t>
                    </m:r>
                    <m:r>
                      <a:rPr lang="en-US" sz="1100" b="0" i="1">
                        <a:solidFill>
                          <a:schemeClr val="tx1"/>
                        </a:solidFill>
                        <a:effectLst/>
                        <a:latin typeface="Cambria Math" panose="02040503050406030204" pitchFamily="18" charset="0"/>
                        <a:ea typeface="+mn-ea"/>
                        <a:cs typeface="+mn-cs"/>
                      </a:rPr>
                      <m:t>𝑒</m:t>
                    </m:r>
                  </m:oMath>
                </m:oMathPara>
              </a14:m>
              <a:endParaRPr lang="en-US" sz="1100">
                <a:solidFill>
                  <a:schemeClr val="tx1"/>
                </a:solidFill>
                <a:effectLst/>
                <a:latin typeface="+mn-lt"/>
                <a:ea typeface="+mn-ea"/>
                <a:cs typeface="+mn-cs"/>
              </a:endParaRPr>
            </a:p>
          </xdr:txBody>
        </xdr:sp>
      </mc:Choice>
      <mc:Fallback xmlns="">
        <xdr:sp macro="" textlink="">
          <xdr:nvSpPr>
            <xdr:cNvPr id="21" name="TextBox 2">
              <a:extLst>
                <a:ext uri="{FF2B5EF4-FFF2-40B4-BE49-F238E27FC236}">
                  <a16:creationId xmlns:a16="http://schemas.microsoft.com/office/drawing/2014/main" id="{00000000-0008-0000-0000-000015000000}"/>
                </a:ext>
              </a:extLst>
            </xdr:cNvPr>
            <xdr:cNvSpPr txBox="1"/>
          </xdr:nvSpPr>
          <xdr:spPr>
            <a:xfrm>
              <a:off x="1111250" y="20531667"/>
              <a:ext cx="1767417" cy="26763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𝑃𝑟𝑜𝑐𝑒𝑠𝑠𝑉𝑎𝑟=𝜎^2×𝑅𝑒𝑠</a:t>
              </a:r>
              <a:r>
                <a:rPr lang="en-US" sz="1100" b="0" i="0">
                  <a:solidFill>
                    <a:schemeClr val="tx1"/>
                  </a:solidFill>
                  <a:effectLst/>
                  <a:latin typeface="Cambria Math" panose="02040503050406030204" pitchFamily="18" charset="0"/>
                  <a:ea typeface="+mn-ea"/>
                  <a:cs typeface="+mn-cs"/>
                </a:rPr>
                <a:t>𝑒𝑟𝑣𝑒</a:t>
              </a:r>
              <a:endParaRPr lang="en-US" sz="1100">
                <a:solidFill>
                  <a:schemeClr val="tx1"/>
                </a:solidFill>
                <a:effectLst/>
                <a:latin typeface="+mn-lt"/>
                <a:ea typeface="+mn-ea"/>
                <a:cs typeface="+mn-cs"/>
              </a:endParaRPr>
            </a:p>
          </xdr:txBody>
        </xdr:sp>
      </mc:Fallback>
    </mc:AlternateContent>
    <xdr:clientData/>
  </xdr:twoCellAnchor>
  <xdr:oneCellAnchor>
    <xdr:from>
      <xdr:col>3</xdr:col>
      <xdr:colOff>137583</xdr:colOff>
      <xdr:row>134</xdr:row>
      <xdr:rowOff>63501</xdr:rowOff>
    </xdr:from>
    <xdr:ext cx="1045351" cy="540404"/>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852083" y="25601084"/>
              <a:ext cx="104535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m:t>
                    </m:r>
                    <m:d>
                      <m:dPr>
                        <m:begChr m:val="{"/>
                        <m:endChr m:val=""/>
                        <m:ctrlPr>
                          <a:rPr lang="en-US" sz="1100" i="1">
                            <a:solidFill>
                              <a:schemeClr val="tx1"/>
                            </a:solidFill>
                            <a:effectLst/>
                            <a:latin typeface="Cambria Math" panose="02040503050406030204" pitchFamily="18" charset="0"/>
                            <a:ea typeface="+mn-ea"/>
                            <a:cs typeface="+mn-cs"/>
                          </a:rPr>
                        </m:ctrlPr>
                      </m:dPr>
                      <m:e>
                        <m:eqArr>
                          <m:eqArrPr>
                            <m:ctrlPr>
                              <a:rPr lang="en-US" sz="1100" i="1">
                                <a:solidFill>
                                  <a:schemeClr val="tx1"/>
                                </a:solidFill>
                                <a:effectLst/>
                                <a:latin typeface="Cambria Math" panose="02040503050406030204" pitchFamily="18" charset="0"/>
                                <a:ea typeface="+mn-ea"/>
                                <a:cs typeface="+mn-cs"/>
                              </a:rPr>
                            </m:ctrlPr>
                          </m:eqArr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𝑡</m:t>
                                </m:r>
                              </m:num>
                              <m:den>
                                <m:r>
                                  <a:rPr lang="en-US" sz="1100" i="1">
                                    <a:solidFill>
                                      <a:schemeClr val="tx1"/>
                                    </a:solidFill>
                                    <a:effectLst/>
                                    <a:latin typeface="Cambria Math" panose="02040503050406030204" pitchFamily="18" charset="0"/>
                                    <a:ea typeface="+mn-ea"/>
                                    <a:cs typeface="+mn-cs"/>
                                  </a:rPr>
                                  <m:t>12</m:t>
                                </m:r>
                              </m:den>
                            </m:f>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≤12</m:t>
                            </m:r>
                          </m:e>
                          <m:e>
                            <m:r>
                              <a:rPr lang="en-US" sz="1100" i="1">
                                <a:solidFill>
                                  <a:schemeClr val="tx1"/>
                                </a:solidFill>
                                <a:effectLst/>
                                <a:latin typeface="Cambria Math" panose="02040503050406030204" pitchFamily="18" charset="0"/>
                                <a:ea typeface="+mn-ea"/>
                                <a:cs typeface="+mn-cs"/>
                              </a:rPr>
                              <m:t>1     </m:t>
                            </m:r>
                            <m:r>
                              <a:rPr lang="en-US" sz="1100" b="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&gt;12</m:t>
                            </m:r>
                          </m:e>
                        </m:eqArr>
                      </m:e>
                    </m:d>
                    <m:r>
                      <m:rPr>
                        <m:nor/>
                      </m:rPr>
                      <a:rPr lang="en-US">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23" name="TextBox 22">
              <a:extLst>
                <a:ext uri="{FF2B5EF4-FFF2-40B4-BE49-F238E27FC236}">
                  <a16:creationId xmlns:a16="http://schemas.microsoft.com/office/drawing/2014/main" id="{5C9BB5DC-81EC-324B-BB95-B8C4202A7C44}"/>
                </a:ext>
              </a:extLst>
            </xdr:cNvPr>
            <xdr:cNvSpPr txBox="1"/>
          </xdr:nvSpPr>
          <xdr:spPr>
            <a:xfrm>
              <a:off x="1852083" y="25601084"/>
              <a:ext cx="104535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={█(𝑡/12     𝑡≤12@1     </a:t>
              </a:r>
              <a:r>
                <a:rPr lang="en-US" sz="1100" b="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𝑡&gt;12)┤</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oneCellAnchor>
  <xdr:oneCellAnchor>
    <xdr:from>
      <xdr:col>4</xdr:col>
      <xdr:colOff>603250</xdr:colOff>
      <xdr:row>134</xdr:row>
      <xdr:rowOff>84668</xdr:rowOff>
    </xdr:from>
    <xdr:ext cx="1175578" cy="540404"/>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3143250" y="25622251"/>
              <a:ext cx="1175578"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m:t>
                    </m:r>
                    <m:d>
                      <m:dPr>
                        <m:begChr m:val="{"/>
                        <m:endChr m:val=""/>
                        <m:ctrlPr>
                          <a:rPr lang="en-US" sz="1100" i="1">
                            <a:solidFill>
                              <a:schemeClr val="tx1"/>
                            </a:solidFill>
                            <a:effectLst/>
                            <a:latin typeface="Cambria Math" panose="02040503050406030204" pitchFamily="18" charset="0"/>
                            <a:ea typeface="+mn-ea"/>
                            <a:cs typeface="+mn-cs"/>
                          </a:rPr>
                        </m:ctrlPr>
                      </m:dPr>
                      <m:e>
                        <m:eqArr>
                          <m:eqArrPr>
                            <m:ctrlPr>
                              <a:rPr lang="en-US" sz="1100" i="1">
                                <a:solidFill>
                                  <a:schemeClr val="tx1"/>
                                </a:solidFill>
                                <a:effectLst/>
                                <a:latin typeface="Cambria Math" panose="02040503050406030204" pitchFamily="18" charset="0"/>
                                <a:ea typeface="+mn-ea"/>
                                <a:cs typeface="+mn-cs"/>
                              </a:rPr>
                            </m:ctrlPr>
                          </m:eqArr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𝑡</m:t>
                                </m:r>
                              </m:num>
                              <m:den>
                                <m:r>
                                  <a:rPr lang="en-US" sz="1100" i="1">
                                    <a:solidFill>
                                      <a:schemeClr val="tx1"/>
                                    </a:solidFill>
                                    <a:effectLst/>
                                    <a:latin typeface="Cambria Math" panose="02040503050406030204" pitchFamily="18" charset="0"/>
                                    <a:ea typeface="+mn-ea"/>
                                    <a:cs typeface="+mn-cs"/>
                                  </a:rPr>
                                  <m:t>2</m:t>
                                </m:r>
                              </m:den>
                            </m:f>
                            <m:r>
                              <a:rPr lang="en-US" sz="110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≤12</m:t>
                            </m:r>
                          </m:e>
                          <m:e>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−6     </m:t>
                            </m: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&gt;12</m:t>
                            </m:r>
                          </m:e>
                        </m:eqArr>
                      </m:e>
                    </m:d>
                    <m:r>
                      <m:rPr>
                        <m:nor/>
                      </m:rPr>
                      <a:rPr lang="en-US">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24" name="TextBox 23">
              <a:extLst>
                <a:ext uri="{FF2B5EF4-FFF2-40B4-BE49-F238E27FC236}">
                  <a16:creationId xmlns:a16="http://schemas.microsoft.com/office/drawing/2014/main" id="{39421E97-AE19-A946-B731-5B66CFCE79A3}"/>
                </a:ext>
              </a:extLst>
            </xdr:cNvPr>
            <xdr:cNvSpPr txBox="1"/>
          </xdr:nvSpPr>
          <xdr:spPr>
            <a:xfrm>
              <a:off x="3143250" y="25622251"/>
              <a:ext cx="1175578"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={█(𝑡/2       </a:t>
              </a:r>
              <a:r>
                <a:rPr lang="en-US" sz="1100" b="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𝑡≤12@𝑡−6    </a:t>
              </a:r>
              <a:r>
                <a:rPr lang="en-US" sz="1100" b="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𝑡&gt;12)┤</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oneCellAnchor>
  <xdr:oneCellAnchor>
    <xdr:from>
      <xdr:col>1</xdr:col>
      <xdr:colOff>288925</xdr:colOff>
      <xdr:row>77</xdr:row>
      <xdr:rowOff>34924</xdr:rowOff>
    </xdr:from>
    <xdr:ext cx="2317429" cy="178767"/>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114425" y="16290924"/>
              <a:ext cx="2317429" cy="178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𝑝</m:t>
                        </m:r>
                      </m:e>
                      <m:sup>
                        <m:r>
                          <a:rPr lang="en-US" sz="1100" i="1">
                            <a:solidFill>
                              <a:schemeClr val="tx1"/>
                            </a:solidFill>
                            <a:effectLst/>
                            <a:latin typeface="Cambria Math" panose="02040503050406030204" pitchFamily="18" charset="0"/>
                            <a:ea typeface="+mn-ea"/>
                            <a:cs typeface="+mn-cs"/>
                          </a:rPr>
                          <m:t>𝐿𝐷𝐹</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parameters</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in</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m:t>
                    </m:r>
                    <m:r>
                      <m:rPr>
                        <m:nor/>
                      </m:rPr>
                      <a:rPr lang="en-US">
                        <a:effectLst/>
                      </a:rPr>
                      <m:t> </m:t>
                    </m:r>
                  </m:oMath>
                </m:oMathPara>
              </a14:m>
              <a:endParaRPr lang="en-US" sz="1100" kern="1200"/>
            </a:p>
          </xdr:txBody>
        </xdr:sp>
      </mc:Choice>
      <mc:Fallback xmlns="">
        <xdr:sp macro="" textlink="">
          <xdr:nvSpPr>
            <xdr:cNvPr id="25" name="TextBox 24">
              <a:extLst>
                <a:ext uri="{FF2B5EF4-FFF2-40B4-BE49-F238E27FC236}">
                  <a16:creationId xmlns:a16="http://schemas.microsoft.com/office/drawing/2014/main" id="{F4DDF314-9646-11C0-AE1E-DC3CC510872C}"/>
                </a:ext>
              </a:extLst>
            </xdr:cNvPr>
            <xdr:cNvSpPr txBox="1"/>
          </xdr:nvSpPr>
          <xdr:spPr>
            <a:xfrm>
              <a:off x="1114425" y="16290924"/>
              <a:ext cx="2317429" cy="178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𝑝^𝐿𝐷𝐹=#𝐴𝑌′𝑠+#parameters in 𝐺(𝑥)</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kern="1200"/>
            </a:p>
          </xdr:txBody>
        </xdr:sp>
      </mc:Fallback>
    </mc:AlternateContent>
    <xdr:clientData/>
  </xdr:oneCellAnchor>
  <xdr:twoCellAnchor>
    <xdr:from>
      <xdr:col>1</xdr:col>
      <xdr:colOff>804333</xdr:colOff>
      <xdr:row>130</xdr:row>
      <xdr:rowOff>116416</xdr:rowOff>
    </xdr:from>
    <xdr:to>
      <xdr:col>3</xdr:col>
      <xdr:colOff>698500</xdr:colOff>
      <xdr:row>131</xdr:row>
      <xdr:rowOff>173032</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00000000-0008-0000-0000-00000E000000}"/>
                </a:ext>
              </a:extLst>
            </xdr:cNvPr>
            <xdr:cNvSpPr txBox="1"/>
          </xdr:nvSpPr>
          <xdr:spPr>
            <a:xfrm>
              <a:off x="1629833" y="27029833"/>
              <a:ext cx="1608667" cy="257699"/>
            </a:xfrm>
            <a:prstGeom prst="rect">
              <a:avLst/>
            </a:prstGeom>
            <a:noFill/>
            <a:ln>
              <a:solidFill>
                <a:sysClr val="windowText" lastClr="000000"/>
              </a:solidFill>
            </a:ln>
            <a:effectLst/>
          </xdr:spPr>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𝐺</m:t>
                    </m:r>
                    <m:d>
                      <m:dPr>
                        <m:ctrlPr>
                          <a:rPr lang="en-US" sz="1100" b="0" i="1">
                            <a:latin typeface="Cambria Math" panose="02040503050406030204" pitchFamily="18" charset="0"/>
                          </a:rPr>
                        </m:ctrlPr>
                      </m:dPr>
                      <m:e>
                        <m:r>
                          <a:rPr lang="en-US" sz="1100" b="0" i="1">
                            <a:latin typeface="Cambria Math" panose="02040503050406030204" pitchFamily="18" charset="0"/>
                          </a:rPr>
                          <m:t>𝑡</m:t>
                        </m:r>
                      </m:e>
                    </m:d>
                    <m:r>
                      <a:rPr lang="en-US" sz="1100" b="0" i="1">
                        <a:latin typeface="Cambria Math" panose="02040503050406030204" pitchFamily="18" charset="0"/>
                      </a:rPr>
                      <m:t>=</m:t>
                    </m:r>
                    <m:r>
                      <a:rPr lang="en-US" sz="1100" b="0" i="1">
                        <a:latin typeface="Cambria Math" panose="02040503050406030204" pitchFamily="18" charset="0"/>
                      </a:rPr>
                      <m:t>𝐸𝑥𝑝𝑜𝑠</m:t>
                    </m:r>
                    <m:d>
                      <m:dPr>
                        <m:ctrlPr>
                          <a:rPr lang="en-US" sz="1100" b="0" i="1">
                            <a:latin typeface="Cambria Math" panose="02040503050406030204" pitchFamily="18" charset="0"/>
                          </a:rPr>
                        </m:ctrlPr>
                      </m:dPr>
                      <m:e>
                        <m:r>
                          <a:rPr lang="en-US" sz="1100" b="0" i="1">
                            <a:latin typeface="Cambria Math" panose="02040503050406030204" pitchFamily="18" charset="0"/>
                          </a:rPr>
                          <m:t>𝑡</m:t>
                        </m:r>
                      </m:e>
                    </m:d>
                    <m:r>
                      <a:rPr lang="en-US" sz="1100" i="1">
                        <a:solidFill>
                          <a:schemeClr val="tx1"/>
                        </a:solidFill>
                        <a:effectLst/>
                        <a:latin typeface="Cambria Math" panose="02040503050406030204" pitchFamily="18" charset="0"/>
                        <a:ea typeface="+mn-ea"/>
                        <a:cs typeface="+mn-cs"/>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𝐺</m:t>
                        </m:r>
                      </m:e>
                      <m:sup>
                        <m:r>
                          <a:rPr lang="en-US" sz="1100" b="0" i="1">
                            <a:latin typeface="Cambria Math" panose="02040503050406030204" pitchFamily="18" charset="0"/>
                            <a:ea typeface="Cambria Math" panose="02040503050406030204" pitchFamily="18" charset="0"/>
                          </a:rPr>
                          <m:t>∗</m:t>
                        </m:r>
                      </m:sup>
                    </m:sSup>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𝑥</m:t>
                        </m:r>
                      </m:e>
                    </m:d>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14" name="TextBox 2">
              <a:extLst>
                <a:ext uri="{FF2B5EF4-FFF2-40B4-BE49-F238E27FC236}">
                  <a16:creationId xmlns:a16="http://schemas.microsoft.com/office/drawing/2014/main" id="{4AE473C0-DB63-3244-BA52-E4311C7AA2AB}"/>
                </a:ext>
              </a:extLst>
            </xdr:cNvPr>
            <xdr:cNvSpPr txBox="1"/>
          </xdr:nvSpPr>
          <xdr:spPr>
            <a:xfrm>
              <a:off x="1629833" y="27029833"/>
              <a:ext cx="1608667" cy="257699"/>
            </a:xfrm>
            <a:prstGeom prst="rect">
              <a:avLst/>
            </a:prstGeom>
            <a:noFill/>
            <a:ln>
              <a:solidFill>
                <a:sysClr val="windowText" lastClr="000000"/>
              </a:solidFill>
            </a:ln>
            <a:effectLst/>
          </xdr:spPr>
          <xdr:txBody>
            <a:bodyPr wrap="square" lIns="45720" tIns="45720" rIns="45720" bIns="45720" rtlCol="0" anchor="t">
              <a:spAutoFit/>
            </a:bodyPr>
            <a:lstStyle/>
            <a:p>
              <a:pPr marL="0" marR="0"/>
              <a:r>
                <a:rPr lang="en-US" sz="1100" b="0" i="0">
                  <a:latin typeface="Cambria Math" panose="02040503050406030204" pitchFamily="18" charset="0"/>
                </a:rPr>
                <a:t>𝐺(𝑡)=𝐸𝑥𝑝𝑜𝑠(𝑡)</a:t>
              </a:r>
              <a:r>
                <a:rPr lang="en-US" sz="1100" i="0">
                  <a:solidFill>
                    <a:schemeClr val="tx1"/>
                  </a:solidFill>
                  <a:effectLst/>
                  <a:latin typeface="Cambria Math" panose="02040503050406030204" pitchFamily="18" charset="0"/>
                  <a:ea typeface="+mn-ea"/>
                  <a:cs typeface="+mn-cs"/>
                </a:rPr>
                <a:t>×</a:t>
              </a:r>
              <a:r>
                <a:rPr lang="en-US" sz="1100" b="0" i="0">
                  <a:latin typeface="Cambria Math" panose="02040503050406030204" pitchFamily="18" charset="0"/>
                  <a:ea typeface="Cambria Math" panose="02040503050406030204" pitchFamily="18" charset="0"/>
                </a:rPr>
                <a:t>𝐺^∗ (𝑥)</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443121</xdr:colOff>
      <xdr:row>150</xdr:row>
      <xdr:rowOff>3681</xdr:rowOff>
    </xdr:from>
    <xdr:ext cx="2062551" cy="34458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745121" y="26218598"/>
              <a:ext cx="2062551" cy="34458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solidFill>
                              <a:schemeClr val="tx1"/>
                            </a:solidFill>
                            <a:effectLst/>
                            <a:latin typeface="Cambria Math" panose="02040503050406030204" pitchFamily="18" charset="0"/>
                            <a:ea typeface="+mn-ea"/>
                            <a:cs typeface="+mn-cs"/>
                          </a:rPr>
                        </m:ctrlPr>
                      </m:accPr>
                      <m:e>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𝑅𝑎𝑡𝑖𝑜</m:t>
                            </m:r>
                          </m:e>
                          <m:sub>
                            <m:argPr>
                              <m:argSz m:val="-1"/>
                            </m:argPr>
                            <m:r>
                              <a:rPr lang="en-US" sz="1100" i="1">
                                <a:solidFill>
                                  <a:schemeClr val="tx1"/>
                                </a:solidFill>
                                <a:effectLst/>
                                <a:latin typeface="Cambria Math" panose="02040503050406030204" pitchFamily="18" charset="0"/>
                                <a:ea typeface="+mn-ea"/>
                                <a:cs typeface="+mn-cs"/>
                              </a:rPr>
                              <m:t>𝐶𝐶</m:t>
                            </m:r>
                          </m:sub>
                        </m:sSub>
                      </m:e>
                    </m:acc>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𝐴𝑌</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𝑈𝑠𝑒𝑑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e>
                          <m:sub>
                            <m:argPr>
                              <m:argSz m:val="-1"/>
                            </m:argPr>
                            <m:r>
                              <a:rPr lang="en-US" sz="1100" i="1">
                                <a:solidFill>
                                  <a:schemeClr val="tx1"/>
                                </a:solidFill>
                                <a:effectLst/>
                                <a:latin typeface="Cambria Math" panose="02040503050406030204" pitchFamily="18" charset="0"/>
                                <a:ea typeface="+mn-ea"/>
                                <a:cs typeface="+mn-cs"/>
                              </a:rPr>
                              <m:t>𝐴𝑌</m:t>
                            </m:r>
                          </m:sub>
                        </m:sSub>
                      </m:den>
                    </m:f>
                  </m:oMath>
                </m:oMathPara>
              </a14:m>
              <a:endParaRPr lang="en-US"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745121" y="26218598"/>
              <a:ext cx="2062551" cy="34458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(𝑈𝑙𝑡 𝐿𝑜𝑠𝑠 〖𝑅𝑎𝑡𝑖𝑜〗_𝐶𝐶 ) ̂=〖𝐿𝑜𝑠𝑠〗_𝐴𝑌/〖𝑈𝑠𝑒𝑑 𝑃𝑟𝑒𝑚〗_𝐴𝑌 </a:t>
              </a:r>
              <a:endParaRPr lang="en-US" sz="1100">
                <a:solidFill>
                  <a:schemeClr val="tx1"/>
                </a:solidFill>
                <a:effectLst/>
                <a:latin typeface="+mn-lt"/>
                <a:ea typeface="+mn-ea"/>
                <a:cs typeface="+mn-cs"/>
              </a:endParaRPr>
            </a:p>
          </xdr:txBody>
        </xdr:sp>
      </mc:Fallback>
    </mc:AlternateContent>
    <xdr:clientData/>
  </xdr:oneCellAnchor>
  <xdr:twoCellAnchor>
    <xdr:from>
      <xdr:col>1</xdr:col>
      <xdr:colOff>137584</xdr:colOff>
      <xdr:row>28</xdr:row>
      <xdr:rowOff>95248</xdr:rowOff>
    </xdr:from>
    <xdr:to>
      <xdr:col>2</xdr:col>
      <xdr:colOff>465668</xdr:colOff>
      <xdr:row>30</xdr:row>
      <xdr:rowOff>95688</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00000000-0008-0000-0100-00000B000000}"/>
                </a:ext>
              </a:extLst>
            </xdr:cNvPr>
            <xdr:cNvSpPr txBox="1"/>
          </xdr:nvSpPr>
          <xdr:spPr>
            <a:xfrm>
              <a:off x="963084" y="5831415"/>
              <a:ext cx="1153584" cy="413190"/>
            </a:xfrm>
            <a:prstGeom prst="rect">
              <a:avLst/>
            </a:prstGeom>
            <a:noFill/>
            <a:ln>
              <a:solidFill>
                <a:sysClr val="windowText" lastClr="000000"/>
              </a:solidFill>
            </a:ln>
            <a:effectLst/>
          </xdr:spPr>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effectLst/>
                        <a:latin typeface="Cambria Math" panose="02040503050406030204" pitchFamily="18" charset="0"/>
                        <a:ea typeface="+mn-ea"/>
                        <a:cs typeface="+mn-cs"/>
                      </a:rPr>
                      <m:t>𝐺</m:t>
                    </m:r>
                    <m:d>
                      <m:dPr>
                        <m:ctrlPr>
                          <a:rPr lang="en-US" sz="1100" i="1">
                            <a:effectLst/>
                            <a:latin typeface="Cambria Math" panose="02040503050406030204" pitchFamily="18" charset="0"/>
                            <a:ea typeface="+mn-ea"/>
                            <a:cs typeface="+mn-cs"/>
                          </a:rPr>
                        </m:ctrlPr>
                      </m:dPr>
                      <m:e>
                        <m:r>
                          <a:rPr lang="en-US" sz="1100" i="1">
                            <a:effectLst/>
                            <a:latin typeface="Cambria Math" panose="02040503050406030204" pitchFamily="18" charset="0"/>
                            <a:ea typeface="+mn-ea"/>
                            <a:cs typeface="+mn-cs"/>
                          </a:rPr>
                          <m:t>𝑥</m:t>
                        </m:r>
                      </m:e>
                    </m:d>
                    <m:r>
                      <a:rPr lang="en-US" sz="1100" i="1">
                        <a:effectLst/>
                        <a:latin typeface="Cambria Math" panose="02040503050406030204" pitchFamily="18" charset="0"/>
                        <a:ea typeface="+mn-ea"/>
                        <a:cs typeface="+mn-cs"/>
                      </a:rPr>
                      <m:t>=</m:t>
                    </m:r>
                    <m:f>
                      <m:fPr>
                        <m:ctrlPr>
                          <a:rPr lang="en-US" sz="1100" i="1">
                            <a:effectLst/>
                            <a:latin typeface="Cambria Math" panose="02040503050406030204" pitchFamily="18" charset="0"/>
                            <a:ea typeface="+mn-ea"/>
                            <a:cs typeface="+mn-cs"/>
                          </a:rPr>
                        </m:ctrlPr>
                      </m:fPr>
                      <m:num>
                        <m:sSup>
                          <m:sSupPr>
                            <m:ctrlPr>
                              <a:rPr lang="en-US" sz="1100" i="1">
                                <a:effectLst/>
                                <a:latin typeface="Cambria Math" panose="02040503050406030204" pitchFamily="18" charset="0"/>
                                <a:ea typeface="+mn-ea"/>
                                <a:cs typeface="+mn-cs"/>
                              </a:rPr>
                            </m:ctrlPr>
                          </m:sSupPr>
                          <m:e>
                            <m:r>
                              <a:rPr lang="en-US" sz="1100" i="1">
                                <a:effectLst/>
                                <a:latin typeface="Cambria Math" panose="02040503050406030204" pitchFamily="18" charset="0"/>
                                <a:ea typeface="+mn-ea"/>
                                <a:cs typeface="+mn-cs"/>
                              </a:rPr>
                              <m:t>𝑥</m:t>
                            </m:r>
                          </m:e>
                          <m:sup>
                            <m:argPr>
                              <m:argSz m:val="-1"/>
                            </m:argPr>
                            <m:r>
                              <a:rPr lang="en-US" sz="1100" i="1">
                                <a:effectLst/>
                                <a:latin typeface="Cambria Math" panose="02040503050406030204" pitchFamily="18" charset="0"/>
                                <a:ea typeface="+mn-ea"/>
                                <a:cs typeface="+mn-cs"/>
                              </a:rPr>
                              <m:t>𝜔</m:t>
                            </m:r>
                          </m:sup>
                        </m:sSup>
                      </m:num>
                      <m:den>
                        <m:sSup>
                          <m:sSupPr>
                            <m:ctrlPr>
                              <a:rPr lang="en-US" sz="1100" i="1">
                                <a:effectLst/>
                                <a:latin typeface="Cambria Math" panose="02040503050406030204" pitchFamily="18" charset="0"/>
                                <a:ea typeface="+mn-ea"/>
                                <a:cs typeface="+mn-cs"/>
                              </a:rPr>
                            </m:ctrlPr>
                          </m:sSupPr>
                          <m:e>
                            <m:r>
                              <a:rPr lang="en-US" sz="1100" i="1">
                                <a:effectLst/>
                                <a:latin typeface="Cambria Math" panose="02040503050406030204" pitchFamily="18" charset="0"/>
                                <a:ea typeface="+mn-ea"/>
                                <a:cs typeface="+mn-cs"/>
                              </a:rPr>
                              <m:t>𝑥</m:t>
                            </m:r>
                          </m:e>
                          <m:sup>
                            <m:argPr>
                              <m:argSz m:val="-1"/>
                            </m:argPr>
                            <m:r>
                              <a:rPr lang="en-US" sz="1100" i="1">
                                <a:effectLst/>
                                <a:latin typeface="Cambria Math" panose="02040503050406030204" pitchFamily="18" charset="0"/>
                                <a:ea typeface="+mn-ea"/>
                                <a:cs typeface="+mn-cs"/>
                              </a:rPr>
                              <m:t>𝜔</m:t>
                            </m:r>
                          </m:sup>
                        </m:sSup>
                        <m:r>
                          <a:rPr lang="en-US" sz="1100" i="1">
                            <a:effectLst/>
                            <a:latin typeface="Cambria Math" panose="02040503050406030204" pitchFamily="18" charset="0"/>
                            <a:ea typeface="+mn-ea"/>
                            <a:cs typeface="+mn-cs"/>
                          </a:rPr>
                          <m:t>+</m:t>
                        </m:r>
                        <m:sSup>
                          <m:sSupPr>
                            <m:ctrlPr>
                              <a:rPr lang="en-US" sz="1100" i="1">
                                <a:effectLst/>
                                <a:latin typeface="Cambria Math" panose="02040503050406030204" pitchFamily="18" charset="0"/>
                                <a:ea typeface="+mn-ea"/>
                                <a:cs typeface="+mn-cs"/>
                              </a:rPr>
                            </m:ctrlPr>
                          </m:sSupPr>
                          <m:e>
                            <m:r>
                              <a:rPr lang="en-US" sz="1100" i="1">
                                <a:effectLst/>
                                <a:latin typeface="Cambria Math" panose="02040503050406030204" pitchFamily="18" charset="0"/>
                                <a:ea typeface="+mn-ea"/>
                                <a:cs typeface="+mn-cs"/>
                              </a:rPr>
                              <m:t>𝜃</m:t>
                            </m:r>
                          </m:e>
                          <m:sup>
                            <m:argPr>
                              <m:argSz m:val="-1"/>
                            </m:argPr>
                            <m:r>
                              <a:rPr lang="en-US" sz="1100" i="1">
                                <a:effectLst/>
                                <a:latin typeface="Cambria Math" panose="02040503050406030204" pitchFamily="18" charset="0"/>
                                <a:ea typeface="+mn-ea"/>
                                <a:cs typeface="+mn-cs"/>
                              </a:rPr>
                              <m:t>𝜔</m:t>
                            </m:r>
                          </m:sup>
                        </m:sSup>
                      </m:den>
                    </m:f>
                  </m:oMath>
                </m:oMathPara>
              </a14:m>
              <a:endParaRPr lang="en-US" sz="1100">
                <a:effectLst/>
                <a:latin typeface="+mn-lt"/>
                <a:ea typeface="+mn-ea"/>
                <a:cs typeface="+mn-cs"/>
              </a:endParaRPr>
            </a:p>
          </xdr:txBody>
        </xdr:sp>
      </mc:Choice>
      <mc:Fallback xmlns="">
        <xdr:sp macro="" textlink="">
          <xdr:nvSpPr>
            <xdr:cNvPr id="11" name="TextBox 2">
              <a:extLst>
                <a:ext uri="{FF2B5EF4-FFF2-40B4-BE49-F238E27FC236}">
                  <a16:creationId xmlns:a16="http://schemas.microsoft.com/office/drawing/2014/main" id="{9EA3DEDD-648C-9644-BF29-7A0019AD20D1}"/>
                </a:ext>
              </a:extLst>
            </xdr:cNvPr>
            <xdr:cNvSpPr txBox="1"/>
          </xdr:nvSpPr>
          <xdr:spPr>
            <a:xfrm>
              <a:off x="963084" y="5831415"/>
              <a:ext cx="1153584" cy="413190"/>
            </a:xfrm>
            <a:prstGeom prst="rect">
              <a:avLst/>
            </a:prstGeom>
            <a:noFill/>
            <a:ln>
              <a:solidFill>
                <a:sysClr val="windowText" lastClr="000000"/>
              </a:solidFill>
            </a:ln>
            <a:effectLst/>
          </xdr:spPr>
          <xdr:txBody>
            <a:bodyPr wrap="square" lIns="45720" tIns="45720" rIns="45720" bIns="45720" rtlCol="0" anchor="t">
              <a:spAutoFit/>
            </a:bodyPr>
            <a:lstStyle/>
            <a:p>
              <a:r>
                <a:rPr lang="en-US" sz="1100" i="0">
                  <a:effectLst/>
                  <a:latin typeface="+mn-lt"/>
                  <a:ea typeface="+mn-ea"/>
                  <a:cs typeface="+mn-cs"/>
                </a:rPr>
                <a:t>𝐺(𝑥)=𝑥^𝜔/(𝑥^𝜔+𝜃^𝜔 )</a:t>
              </a:r>
              <a:endParaRPr lang="en-US" sz="1100">
                <a:effectLst/>
                <a:latin typeface="+mn-lt"/>
                <a:ea typeface="+mn-ea"/>
                <a:cs typeface="+mn-cs"/>
              </a:endParaRPr>
            </a:p>
          </xdr:txBody>
        </xdr:sp>
      </mc:Fallback>
    </mc:AlternateContent>
    <xdr:clientData/>
  </xdr:twoCellAnchor>
  <xdr:oneCellAnchor>
    <xdr:from>
      <xdr:col>1</xdr:col>
      <xdr:colOff>45508</xdr:colOff>
      <xdr:row>31</xdr:row>
      <xdr:rowOff>34926</xdr:rowOff>
    </xdr:from>
    <xdr:ext cx="2767361" cy="17209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871008" y="6395509"/>
              <a:ext cx="276736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𝑥</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𝑅𝑒𝑝𝑡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𝑓𝑜𝑟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𝑎𝑣𝑒𝑟𝑎𝑔𝑒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𝑎𝑐𝑐𝑖𝑑𝑒𝑛𝑡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𝑡𝑖𝑚𝑒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𝑥</m:t>
                    </m:r>
                  </m:oMath>
                </m:oMathPara>
              </a14:m>
              <a:endParaRPr lang="en-US"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4AB7AF40-93C9-0A4C-95AE-2DF58105C5A7}"/>
                </a:ext>
              </a:extLst>
            </xdr:cNvPr>
            <xdr:cNvSpPr txBox="1"/>
          </xdr:nvSpPr>
          <xdr:spPr>
            <a:xfrm>
              <a:off x="871008" y="6395509"/>
              <a:ext cx="276736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𝐺(𝑥)→%𝑅𝑒𝑝𝑡 𝑓𝑜𝑟 𝑎𝑣𝑒𝑟𝑎𝑔𝑒 𝑎𝑐𝑐𝑖𝑑𝑒𝑛𝑡 𝑡𝑖𝑚𝑒 𝑥</a:t>
              </a:r>
              <a:endParaRPr lang="en-US" sz="1100">
                <a:solidFill>
                  <a:schemeClr val="tx1"/>
                </a:solidFill>
                <a:effectLst/>
                <a:latin typeface="+mn-lt"/>
                <a:ea typeface="+mn-ea"/>
                <a:cs typeface="+mn-cs"/>
              </a:endParaRPr>
            </a:p>
          </xdr:txBody>
        </xdr:sp>
      </mc:Fallback>
    </mc:AlternateContent>
    <xdr:clientData/>
  </xdr:oneCellAnchor>
  <xdr:twoCellAnchor>
    <xdr:from>
      <xdr:col>1</xdr:col>
      <xdr:colOff>116417</xdr:colOff>
      <xdr:row>36</xdr:row>
      <xdr:rowOff>0</xdr:rowOff>
    </xdr:from>
    <xdr:to>
      <xdr:col>3</xdr:col>
      <xdr:colOff>201083</xdr:colOff>
      <xdr:row>37</xdr:row>
      <xdr:rowOff>63348</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00000000-0008-0000-0100-00000E000000}"/>
                </a:ext>
              </a:extLst>
            </xdr:cNvPr>
            <xdr:cNvSpPr txBox="1"/>
          </xdr:nvSpPr>
          <xdr:spPr>
            <a:xfrm>
              <a:off x="941917" y="7366000"/>
              <a:ext cx="1735666" cy="264431"/>
            </a:xfrm>
            <a:prstGeom prst="rect">
              <a:avLst/>
            </a:prstGeom>
            <a:noFill/>
            <a:ln>
              <a:solidFill>
                <a:sysClr val="windowText" lastClr="000000"/>
              </a:solidFill>
            </a:ln>
            <a:effectLst/>
          </xdr:spPr>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effectLst/>
                        <a:latin typeface="Cambria Math" panose="02040503050406030204" pitchFamily="18" charset="0"/>
                        <a:ea typeface="+mn-ea"/>
                        <a:cs typeface="+mn-cs"/>
                      </a:rPr>
                      <m:t>𝑈𝑠𝑒𝑑</m:t>
                    </m:r>
                    <m:r>
                      <a:rPr lang="en-US" sz="1100" i="1">
                        <a:effectLst/>
                        <a:latin typeface="Cambria Math" panose="02040503050406030204" pitchFamily="18" charset="0"/>
                        <a:ea typeface="+mn-ea"/>
                        <a:cs typeface="+mn-cs"/>
                      </a:rPr>
                      <m:t> </m:t>
                    </m:r>
                    <m:r>
                      <a:rPr lang="en-US" sz="1100" i="1">
                        <a:effectLst/>
                        <a:latin typeface="Cambria Math" panose="02040503050406030204" pitchFamily="18" charset="0"/>
                        <a:ea typeface="+mn-ea"/>
                        <a:cs typeface="+mn-cs"/>
                      </a:rPr>
                      <m:t>𝑃𝑟𝑒𝑚</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𝐺</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𝑥</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𝑃𝑟𝑒𝑚</m:t>
                    </m:r>
                  </m:oMath>
                </m:oMathPara>
              </a14:m>
              <a:endParaRPr lang="en-US" sz="1100">
                <a:effectLst/>
                <a:latin typeface="+mn-lt"/>
                <a:ea typeface="+mn-ea"/>
                <a:cs typeface="+mn-cs"/>
              </a:endParaRPr>
            </a:p>
          </xdr:txBody>
        </xdr:sp>
      </mc:Choice>
      <mc:Fallback xmlns="">
        <xdr:sp macro="" textlink="">
          <xdr:nvSpPr>
            <xdr:cNvPr id="14" name="TextBox 2">
              <a:extLst>
                <a:ext uri="{FF2B5EF4-FFF2-40B4-BE49-F238E27FC236}">
                  <a16:creationId xmlns:a16="http://schemas.microsoft.com/office/drawing/2014/main" id="{3D6E5E3A-7EB4-AA48-B136-3816095C7C7D}"/>
                </a:ext>
              </a:extLst>
            </xdr:cNvPr>
            <xdr:cNvSpPr txBox="1"/>
          </xdr:nvSpPr>
          <xdr:spPr>
            <a:xfrm>
              <a:off x="941917" y="7366000"/>
              <a:ext cx="1735666" cy="264431"/>
            </a:xfrm>
            <a:prstGeom prst="rect">
              <a:avLst/>
            </a:prstGeom>
            <a:noFill/>
            <a:ln>
              <a:solidFill>
                <a:sysClr val="windowText" lastClr="000000"/>
              </a:solidFill>
            </a:ln>
            <a:effectLst/>
          </xdr:spPr>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effectLst/>
                  <a:latin typeface="+mn-lt"/>
                  <a:ea typeface="+mn-ea"/>
                  <a:cs typeface="+mn-cs"/>
                </a:rPr>
                <a:t>𝑈𝑠𝑒𝑑 𝑃𝑟𝑒𝑚=𝐺(𝑥)×𝑃𝑟𝑒𝑚</a:t>
              </a:r>
              <a:endParaRPr lang="en-US" sz="1100">
                <a:effectLst/>
                <a:latin typeface="+mn-lt"/>
                <a:ea typeface="+mn-ea"/>
                <a:cs typeface="+mn-cs"/>
              </a:endParaRPr>
            </a:p>
          </xdr:txBody>
        </xdr:sp>
      </mc:Fallback>
    </mc:AlternateContent>
    <xdr:clientData/>
  </xdr:twoCellAnchor>
  <xdr:twoCellAnchor>
    <xdr:from>
      <xdr:col>1</xdr:col>
      <xdr:colOff>137584</xdr:colOff>
      <xdr:row>38</xdr:row>
      <xdr:rowOff>84667</xdr:rowOff>
    </xdr:from>
    <xdr:to>
      <xdr:col>2</xdr:col>
      <xdr:colOff>793750</xdr:colOff>
      <xdr:row>40</xdr:row>
      <xdr:rowOff>129739</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00000000-0008-0000-0100-000010000000}"/>
                </a:ext>
              </a:extLst>
            </xdr:cNvPr>
            <xdr:cNvSpPr txBox="1"/>
          </xdr:nvSpPr>
          <xdr:spPr>
            <a:xfrm>
              <a:off x="963084" y="7852834"/>
              <a:ext cx="1481666" cy="447238"/>
            </a:xfrm>
            <a:prstGeom prst="rect">
              <a:avLst/>
            </a:prstGeom>
            <a:noFill/>
            <a:ln>
              <a:solidFill>
                <a:sysClr val="windowText" lastClr="000000"/>
              </a:solidFill>
            </a:ln>
            <a:effectLst/>
          </xdr:spPr>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effectLst/>
                        <a:latin typeface="Cambria Math" panose="02040503050406030204" pitchFamily="18" charset="0"/>
                        <a:ea typeface="+mn-ea"/>
                        <a:cs typeface="+mn-cs"/>
                      </a:rPr>
                      <m:t>𝐸𝐿𝑅</m:t>
                    </m:r>
                    <m:r>
                      <a:rPr lang="en-US" sz="1100" i="1">
                        <a:effectLst/>
                        <a:latin typeface="Cambria Math" panose="02040503050406030204" pitchFamily="18" charset="0"/>
                        <a:ea typeface="+mn-ea"/>
                        <a:cs typeface="+mn-cs"/>
                      </a:rPr>
                      <m:t>=</m:t>
                    </m:r>
                    <m:f>
                      <m:fPr>
                        <m:ctrlPr>
                          <a:rPr lang="en-US" sz="1100" i="1">
                            <a:effectLst/>
                            <a:latin typeface="Cambria Math" panose="02040503050406030204" pitchFamily="18" charset="0"/>
                            <a:ea typeface="+mn-ea"/>
                            <a:cs typeface="+mn-cs"/>
                          </a:rPr>
                        </m:ctrlPr>
                      </m:fPr>
                      <m:num>
                        <m:nary>
                          <m:naryPr>
                            <m:chr m:val="∑"/>
                            <m:limLoc m:val="undOvr"/>
                            <m:subHide m:val="on"/>
                            <m:supHide m:val="on"/>
                            <m:ctrlPr>
                              <a:rPr lang="en-US" sz="1100" i="1">
                                <a:effectLst/>
                                <a:latin typeface="Cambria Math" panose="02040503050406030204" pitchFamily="18" charset="0"/>
                                <a:ea typeface="+mn-ea"/>
                                <a:cs typeface="+mn-cs"/>
                              </a:rPr>
                            </m:ctrlPr>
                          </m:naryPr>
                          <m:sub/>
                          <m:sup/>
                          <m:e>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𝐿𝑜𝑠𝑠</m:t>
                                </m:r>
                              </m:e>
                              <m:sub>
                                <m:argPr>
                                  <m:argSz m:val="-2"/>
                                </m:argPr>
                                <m:r>
                                  <a:rPr lang="en-US" sz="1100" i="1">
                                    <a:effectLst/>
                                    <a:latin typeface="Cambria Math" panose="02040503050406030204" pitchFamily="18" charset="0"/>
                                    <a:ea typeface="+mn-ea"/>
                                    <a:cs typeface="+mn-cs"/>
                                  </a:rPr>
                                  <m:t>𝐴𝑌</m:t>
                                </m:r>
                              </m:sub>
                            </m:sSub>
                          </m:e>
                        </m:nary>
                      </m:num>
                      <m:den>
                        <m:nary>
                          <m:naryPr>
                            <m:chr m:val="∑"/>
                            <m:limLoc m:val="undOvr"/>
                            <m:subHide m:val="on"/>
                            <m:supHide m:val="on"/>
                            <m:ctrlPr>
                              <a:rPr lang="en-US" sz="1100" i="1">
                                <a:effectLst/>
                                <a:latin typeface="Cambria Math" panose="02040503050406030204" pitchFamily="18" charset="0"/>
                                <a:ea typeface="+mn-ea"/>
                                <a:cs typeface="+mn-cs"/>
                              </a:rPr>
                            </m:ctrlPr>
                          </m:naryPr>
                          <m:sub/>
                          <m:sup/>
                          <m:e>
                            <m:r>
                              <a:rPr lang="en-US" sz="1100" i="1">
                                <a:effectLst/>
                                <a:latin typeface="Cambria Math" panose="02040503050406030204" pitchFamily="18" charset="0"/>
                                <a:ea typeface="+mn-ea"/>
                                <a:cs typeface="+mn-cs"/>
                              </a:rPr>
                              <m:t>𝑈𝑠𝑒𝑑</m:t>
                            </m:r>
                            <m:r>
                              <a:rPr lang="en-US" sz="1100" i="1">
                                <a:effectLst/>
                                <a:latin typeface="Cambria Math" panose="02040503050406030204" pitchFamily="18" charset="0"/>
                                <a:ea typeface="+mn-ea"/>
                                <a:cs typeface="+mn-cs"/>
                              </a:rPr>
                              <m:t> </m:t>
                            </m:r>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𝑃𝑟𝑒𝑚</m:t>
                                </m:r>
                              </m:e>
                              <m:sub>
                                <m:argPr>
                                  <m:argSz m:val="-1"/>
                                </m:argPr>
                                <m:r>
                                  <a:rPr lang="en-US" sz="1100" i="1">
                                    <a:effectLst/>
                                    <a:latin typeface="Cambria Math" panose="02040503050406030204" pitchFamily="18" charset="0"/>
                                    <a:ea typeface="+mn-ea"/>
                                    <a:cs typeface="+mn-cs"/>
                                  </a:rPr>
                                  <m:t>𝐴𝑌</m:t>
                                </m:r>
                              </m:sub>
                            </m:sSub>
                          </m:e>
                        </m:nary>
                      </m:den>
                    </m:f>
                  </m:oMath>
                </m:oMathPara>
              </a14:m>
              <a:endParaRPr lang="en-US" sz="1100">
                <a:effectLst/>
                <a:latin typeface="+mn-lt"/>
                <a:ea typeface="+mn-ea"/>
                <a:cs typeface="+mn-cs"/>
              </a:endParaRPr>
            </a:p>
          </xdr:txBody>
        </xdr:sp>
      </mc:Choice>
      <mc:Fallback xmlns="">
        <xdr:sp macro="" textlink="">
          <xdr:nvSpPr>
            <xdr:cNvPr id="16" name="TextBox 2">
              <a:extLst>
                <a:ext uri="{FF2B5EF4-FFF2-40B4-BE49-F238E27FC236}">
                  <a16:creationId xmlns:a16="http://schemas.microsoft.com/office/drawing/2014/main" id="{BCDB56DF-645C-0644-847F-34D2C361FD84}"/>
                </a:ext>
              </a:extLst>
            </xdr:cNvPr>
            <xdr:cNvSpPr txBox="1"/>
          </xdr:nvSpPr>
          <xdr:spPr>
            <a:xfrm>
              <a:off x="963084" y="7852834"/>
              <a:ext cx="1481666" cy="447238"/>
            </a:xfrm>
            <a:prstGeom prst="rect">
              <a:avLst/>
            </a:prstGeom>
            <a:noFill/>
            <a:ln>
              <a:solidFill>
                <a:sysClr val="windowText" lastClr="000000"/>
              </a:solidFill>
            </a:ln>
            <a:effectLst/>
          </xdr:spPr>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effectLst/>
                  <a:latin typeface="+mn-lt"/>
                  <a:ea typeface="+mn-ea"/>
                  <a:cs typeface="+mn-cs"/>
                </a:rPr>
                <a:t>𝐸𝐿𝑅=(∑1▒〖𝐿𝑜𝑠𝑠〗_𝐴𝑌 )/(∑1▒〖𝑈𝑠𝑒𝑑 〖𝑃𝑟𝑒𝑚〗_𝐴𝑌 〗)</a:t>
              </a:r>
              <a:endParaRPr lang="en-US" sz="1100">
                <a:effectLst/>
                <a:latin typeface="+mn-lt"/>
                <a:ea typeface="+mn-ea"/>
                <a:cs typeface="+mn-cs"/>
              </a:endParaRPr>
            </a:p>
          </xdr:txBody>
        </xdr:sp>
      </mc:Fallback>
    </mc:AlternateContent>
    <xdr:clientData/>
  </xdr:twoCellAnchor>
  <xdr:oneCellAnchor>
    <xdr:from>
      <xdr:col>4</xdr:col>
      <xdr:colOff>328084</xdr:colOff>
      <xdr:row>36</xdr:row>
      <xdr:rowOff>63501</xdr:rowOff>
    </xdr:from>
    <xdr:ext cx="2238818" cy="17209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3630084" y="7493001"/>
              <a:ext cx="223881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𝑈𝑠𝑒𝑑</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𝑃𝑟𝑒𝑚</m:t>
                        </m:r>
                      </m:e>
                      <m:sub>
                        <m:argPr>
                          <m:argSz m:val="-2"/>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𝑃𝑎𝑖𝑑</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𝑃𝑟𝑒𝑚𝑖𝑢𝑚</m:t>
                        </m:r>
                      </m:e>
                      <m:sub>
                        <m:argPr>
                          <m:argSz m:val="-2"/>
                        </m:argPr>
                        <m:r>
                          <a:rPr lang="en-US" sz="1100" i="1">
                            <a:solidFill>
                              <a:schemeClr val="tx1"/>
                            </a:solidFill>
                            <a:effectLst/>
                            <a:latin typeface="Cambria Math" panose="02040503050406030204" pitchFamily="18" charset="0"/>
                            <a:ea typeface="+mn-ea"/>
                            <a:cs typeface="+mn-cs"/>
                          </a:rPr>
                          <m:t>𝐴𝑌</m:t>
                        </m:r>
                      </m:sub>
                    </m:sSub>
                  </m:oMath>
                </m:oMathPara>
              </a14:m>
              <a:endParaRPr lang="en-US"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6449C6CC-D473-AF40-819B-B5A9ADEED715}"/>
                </a:ext>
              </a:extLst>
            </xdr:cNvPr>
            <xdr:cNvSpPr txBox="1"/>
          </xdr:nvSpPr>
          <xdr:spPr>
            <a:xfrm>
              <a:off x="3630084" y="7493001"/>
              <a:ext cx="223881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𝑈𝑠𝑒𝑑 〖𝑃𝑟𝑒𝑚〗_𝐴𝑌=%𝑃𝑎𝑖𝑑×〖𝑃𝑟𝑒𝑚𝑖𝑢𝑚〗_𝐴𝑌</a:t>
              </a:r>
              <a:endParaRPr lang="en-US" sz="1100">
                <a:solidFill>
                  <a:schemeClr val="tx1"/>
                </a:solidFill>
                <a:effectLst/>
                <a:latin typeface="+mn-lt"/>
                <a:ea typeface="+mn-ea"/>
                <a:cs typeface="+mn-cs"/>
              </a:endParaRPr>
            </a:p>
          </xdr:txBody>
        </xdr:sp>
      </mc:Fallback>
    </mc:AlternateContent>
    <xdr:clientData/>
  </xdr:oneCellAnchor>
  <xdr:twoCellAnchor>
    <xdr:from>
      <xdr:col>1</xdr:col>
      <xdr:colOff>158749</xdr:colOff>
      <xdr:row>52</xdr:row>
      <xdr:rowOff>169333</xdr:rowOff>
    </xdr:from>
    <xdr:to>
      <xdr:col>3</xdr:col>
      <xdr:colOff>412750</xdr:colOff>
      <xdr:row>54</xdr:row>
      <xdr:rowOff>31597</xdr:rowOff>
    </xdr:to>
    <mc:AlternateContent xmlns:mc="http://schemas.openxmlformats.org/markup-compatibility/2006" xmlns:a14="http://schemas.microsoft.com/office/drawing/2010/main">
      <mc:Choice Requires="a14">
        <xdr:sp macro="" textlink="">
          <xdr:nvSpPr>
            <xdr:cNvPr id="19" name="TextBox 2">
              <a:extLst>
                <a:ext uri="{FF2B5EF4-FFF2-40B4-BE49-F238E27FC236}">
                  <a16:creationId xmlns:a16="http://schemas.microsoft.com/office/drawing/2014/main" id="{00000000-0008-0000-0100-000013000000}"/>
                </a:ext>
              </a:extLst>
            </xdr:cNvPr>
            <xdr:cNvSpPr txBox="1"/>
          </xdr:nvSpPr>
          <xdr:spPr>
            <a:xfrm>
              <a:off x="984249" y="10837333"/>
              <a:ext cx="1905001" cy="264431"/>
            </a:xfrm>
            <a:prstGeom prst="rect">
              <a:avLst/>
            </a:prstGeom>
            <a:noFill/>
            <a:ln>
              <a:solidFill>
                <a:sysClr val="windowText" lastClr="000000"/>
              </a:solidFill>
            </a:ln>
            <a:effectLst/>
          </xdr:spPr>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𝑈𝑛𝑝𝑎𝑖𝑑</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𝐺</m:t>
                    </m:r>
                    <m:d>
                      <m:dPr>
                        <m:ctrlPr>
                          <a:rPr lang="en-US" sz="1100" i="1">
                            <a:effectLst/>
                            <a:latin typeface="Cambria Math" panose="02040503050406030204" pitchFamily="18" charset="0"/>
                            <a:ea typeface="+mn-ea"/>
                            <a:cs typeface="+mn-cs"/>
                          </a:rPr>
                        </m:ctrlPr>
                      </m:dPr>
                      <m:e>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𝑥</m:t>
                            </m:r>
                          </m:e>
                          <m:sub>
                            <m:argPr>
                              <m:argSz m:val="-2"/>
                            </m:argPr>
                            <m:r>
                              <a:rPr lang="en-US" sz="1100" i="1">
                                <a:effectLst/>
                                <a:latin typeface="Cambria Math" panose="02040503050406030204" pitchFamily="18" charset="0"/>
                                <a:ea typeface="+mn-ea"/>
                                <a:cs typeface="+mn-cs"/>
                              </a:rPr>
                              <m:t>𝑡𝑟𝑢𝑛𝑐</m:t>
                            </m:r>
                          </m:sub>
                        </m:sSub>
                      </m:e>
                    </m:d>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𝐺</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𝑥</m:t>
                    </m:r>
                    <m:r>
                      <a:rPr lang="en-US" sz="1100" i="1">
                        <a:effectLst/>
                        <a:latin typeface="Cambria Math" panose="02040503050406030204" pitchFamily="18" charset="0"/>
                        <a:ea typeface="+mn-ea"/>
                        <a:cs typeface="+mn-cs"/>
                      </a:rPr>
                      <m:t>)</m:t>
                    </m:r>
                  </m:oMath>
                </m:oMathPara>
              </a14:m>
              <a:endParaRPr lang="en-US" sz="1100">
                <a:effectLst/>
                <a:latin typeface="+mn-lt"/>
                <a:ea typeface="+mn-ea"/>
                <a:cs typeface="+mn-cs"/>
              </a:endParaRPr>
            </a:p>
          </xdr:txBody>
        </xdr:sp>
      </mc:Choice>
      <mc:Fallback xmlns="">
        <xdr:sp macro="" textlink="">
          <xdr:nvSpPr>
            <xdr:cNvPr id="19" name="TextBox 2">
              <a:extLst>
                <a:ext uri="{FF2B5EF4-FFF2-40B4-BE49-F238E27FC236}">
                  <a16:creationId xmlns:a16="http://schemas.microsoft.com/office/drawing/2014/main" id="{00000000-0008-0000-0100-000013000000}"/>
                </a:ext>
              </a:extLst>
            </xdr:cNvPr>
            <xdr:cNvSpPr txBox="1"/>
          </xdr:nvSpPr>
          <xdr:spPr>
            <a:xfrm>
              <a:off x="984249" y="10837333"/>
              <a:ext cx="1905001" cy="264431"/>
            </a:xfrm>
            <a:prstGeom prst="rect">
              <a:avLst/>
            </a:prstGeom>
            <a:noFill/>
            <a:ln>
              <a:solidFill>
                <a:sysClr val="windowText" lastClr="000000"/>
              </a:solidFill>
            </a:ln>
            <a:effectLst/>
          </xdr:spPr>
          <xdr:txBody>
            <a:bodyPr wrap="square" lIns="45720" tIns="45720" rIns="45720" bIns="45720" rtlCol="0" anchor="t">
              <a:spAutoFit/>
            </a:bodyPr>
            <a:lstStyle/>
            <a:p>
              <a:pPr/>
              <a:r>
                <a:rPr lang="en-US" sz="1100" i="0">
                  <a:effectLst/>
                  <a:latin typeface="Cambria Math" panose="02040503050406030204" pitchFamily="18" charset="0"/>
                  <a:ea typeface="+mn-ea"/>
                  <a:cs typeface="+mn-cs"/>
                </a:rPr>
                <a:t>%𝑈𝑛𝑝𝑎𝑖𝑑=𝐺(𝑥_𝑡𝑟𝑢𝑛𝑐 )−𝐺(𝑥)</a:t>
              </a:r>
              <a:endParaRPr lang="en-US" sz="1100">
                <a:effectLst/>
                <a:latin typeface="+mn-lt"/>
                <a:ea typeface="+mn-ea"/>
                <a:cs typeface="+mn-cs"/>
              </a:endParaRPr>
            </a:p>
          </xdr:txBody>
        </xdr:sp>
      </mc:Fallback>
    </mc:AlternateContent>
    <xdr:clientData/>
  </xdr:twoCellAnchor>
  <xdr:twoCellAnchor>
    <xdr:from>
      <xdr:col>1</xdr:col>
      <xdr:colOff>158749</xdr:colOff>
      <xdr:row>55</xdr:row>
      <xdr:rowOff>21166</xdr:rowOff>
    </xdr:from>
    <xdr:to>
      <xdr:col>3</xdr:col>
      <xdr:colOff>423332</xdr:colOff>
      <xdr:row>56</xdr:row>
      <xdr:rowOff>84514</xdr:rowOff>
    </xdr:to>
    <mc:AlternateContent xmlns:mc="http://schemas.openxmlformats.org/markup-compatibility/2006" xmlns:a14="http://schemas.microsoft.com/office/drawing/2010/main">
      <mc:Choice Requires="a14">
        <xdr:sp macro="" textlink="">
          <xdr:nvSpPr>
            <xdr:cNvPr id="20" name="TextBox 2">
              <a:extLst>
                <a:ext uri="{FF2B5EF4-FFF2-40B4-BE49-F238E27FC236}">
                  <a16:creationId xmlns:a16="http://schemas.microsoft.com/office/drawing/2014/main" id="{00000000-0008-0000-0100-000014000000}"/>
                </a:ext>
              </a:extLst>
            </xdr:cNvPr>
            <xdr:cNvSpPr txBox="1"/>
          </xdr:nvSpPr>
          <xdr:spPr>
            <a:xfrm>
              <a:off x="984249" y="11292416"/>
              <a:ext cx="1915583" cy="264431"/>
            </a:xfrm>
            <a:prstGeom prst="rect">
              <a:avLst/>
            </a:prstGeom>
            <a:noFill/>
            <a:ln>
              <a:solidFill>
                <a:sysClr val="windowText" lastClr="000000"/>
              </a:solidFill>
            </a:ln>
            <a:effectLst/>
          </xdr:spPr>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effectLst/>
                        <a:latin typeface="Cambria Math" panose="02040503050406030204" pitchFamily="18" charset="0"/>
                        <a:ea typeface="+mn-ea"/>
                        <a:cs typeface="+mn-cs"/>
                      </a:rPr>
                      <m:t>𝐸𝑥𝑝𝑒𝑐𝑡𝑒𝑑</m:t>
                    </m:r>
                    <m:r>
                      <a:rPr lang="en-US" sz="1100" i="1">
                        <a:effectLst/>
                        <a:latin typeface="Cambria Math" panose="02040503050406030204" pitchFamily="18" charset="0"/>
                        <a:ea typeface="+mn-ea"/>
                        <a:cs typeface="+mn-cs"/>
                      </a:rPr>
                      <m:t> </m:t>
                    </m:r>
                    <m:r>
                      <a:rPr lang="en-US" sz="1100" i="1">
                        <a:effectLst/>
                        <a:latin typeface="Cambria Math" panose="02040503050406030204" pitchFamily="18" charset="0"/>
                        <a:ea typeface="+mn-ea"/>
                        <a:cs typeface="+mn-cs"/>
                      </a:rPr>
                      <m:t>𝐿𝑜𝑠𝑠</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𝑃𝑟𝑒𝑚</m:t>
                    </m:r>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𝐸𝐿𝑅</m:t>
                    </m:r>
                  </m:oMath>
                </m:oMathPara>
              </a14:m>
              <a:endParaRPr lang="en-US" sz="1100">
                <a:effectLst/>
                <a:latin typeface="+mn-lt"/>
                <a:ea typeface="+mn-ea"/>
                <a:cs typeface="+mn-cs"/>
              </a:endParaRPr>
            </a:p>
          </xdr:txBody>
        </xdr:sp>
      </mc:Choice>
      <mc:Fallback xmlns="">
        <xdr:sp macro="" textlink="">
          <xdr:nvSpPr>
            <xdr:cNvPr id="20" name="TextBox 2">
              <a:extLst>
                <a:ext uri="{FF2B5EF4-FFF2-40B4-BE49-F238E27FC236}">
                  <a16:creationId xmlns:a16="http://schemas.microsoft.com/office/drawing/2014/main" id="{F6518AB6-5130-D24C-8081-3EE129BFEB17}"/>
                </a:ext>
              </a:extLst>
            </xdr:cNvPr>
            <xdr:cNvSpPr txBox="1"/>
          </xdr:nvSpPr>
          <xdr:spPr>
            <a:xfrm>
              <a:off x="984249" y="11292416"/>
              <a:ext cx="1915583" cy="264431"/>
            </a:xfrm>
            <a:prstGeom prst="rect">
              <a:avLst/>
            </a:prstGeom>
            <a:noFill/>
            <a:ln>
              <a:solidFill>
                <a:sysClr val="windowText" lastClr="000000"/>
              </a:solidFill>
            </a:ln>
            <a:effectLst/>
          </xdr:spPr>
          <xdr:txBody>
            <a:bodyPr wrap="square" lIns="45720" tIns="45720" rIns="45720" bIns="45720" rtlCol="0" anchor="t">
              <a:spAutoFit/>
            </a:bodyPr>
            <a:lstStyle/>
            <a:p>
              <a:r>
                <a:rPr lang="en-US" sz="1100" i="0">
                  <a:effectLst/>
                  <a:latin typeface="+mn-lt"/>
                  <a:ea typeface="+mn-ea"/>
                  <a:cs typeface="+mn-cs"/>
                </a:rPr>
                <a:t>𝐸𝑥𝑝𝑒𝑐𝑡𝑒𝑑 𝐿𝑜𝑠𝑠=𝑃𝑟𝑒𝑚×𝐸𝐿𝑅</a:t>
              </a:r>
              <a:endParaRPr lang="en-US" sz="1100">
                <a:effectLst/>
                <a:latin typeface="+mn-lt"/>
                <a:ea typeface="+mn-ea"/>
                <a:cs typeface="+mn-cs"/>
              </a:endParaRPr>
            </a:p>
          </xdr:txBody>
        </xdr:sp>
      </mc:Fallback>
    </mc:AlternateContent>
    <xdr:clientData/>
  </xdr:twoCellAnchor>
  <xdr:twoCellAnchor>
    <xdr:from>
      <xdr:col>1</xdr:col>
      <xdr:colOff>158750</xdr:colOff>
      <xdr:row>57</xdr:row>
      <xdr:rowOff>42333</xdr:rowOff>
    </xdr:from>
    <xdr:to>
      <xdr:col>4</xdr:col>
      <xdr:colOff>349250</xdr:colOff>
      <xdr:row>58</xdr:row>
      <xdr:rowOff>118377</xdr:rowOff>
    </xdr:to>
    <mc:AlternateContent xmlns:mc="http://schemas.openxmlformats.org/markup-compatibility/2006" xmlns:a14="http://schemas.microsoft.com/office/drawing/2010/main">
      <mc:Choice Requires="a14">
        <xdr:sp macro="" textlink="">
          <xdr:nvSpPr>
            <xdr:cNvPr id="21" name="TextBox 2">
              <a:extLst>
                <a:ext uri="{FF2B5EF4-FFF2-40B4-BE49-F238E27FC236}">
                  <a16:creationId xmlns:a16="http://schemas.microsoft.com/office/drawing/2014/main" id="{00000000-0008-0000-0100-000015000000}"/>
                </a:ext>
              </a:extLst>
            </xdr:cNvPr>
            <xdr:cNvSpPr txBox="1"/>
          </xdr:nvSpPr>
          <xdr:spPr>
            <a:xfrm>
              <a:off x="984250" y="11715750"/>
              <a:ext cx="2667000" cy="277127"/>
            </a:xfrm>
            <a:prstGeom prst="rect">
              <a:avLst/>
            </a:prstGeom>
            <a:noFill/>
            <a:ln>
              <a:solidFill>
                <a:sysClr val="windowText" lastClr="000000"/>
              </a:solidFill>
            </a:ln>
            <a:effectLst/>
          </xdr:spPr>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effectLst/>
                            <a:latin typeface="Cambria Math" panose="02040503050406030204" pitchFamily="18" charset="0"/>
                            <a:ea typeface="+mn-ea"/>
                            <a:cs typeface="+mn-cs"/>
                          </a:rPr>
                        </m:ctrlPr>
                      </m:sSubSupPr>
                      <m:e>
                        <m:r>
                          <a:rPr lang="en-US" sz="1100" i="1">
                            <a:effectLst/>
                            <a:latin typeface="Cambria Math" panose="02040503050406030204" pitchFamily="18" charset="0"/>
                            <a:ea typeface="+mn-ea"/>
                            <a:cs typeface="+mn-cs"/>
                          </a:rPr>
                          <m:t>𝑅𝑒𝑠𝑒𝑟𝑣𝑒</m:t>
                        </m:r>
                      </m:e>
                      <m:sub>
                        <m:r>
                          <a:rPr lang="en-US" sz="1100" i="1">
                            <a:effectLst/>
                            <a:latin typeface="Cambria Math" panose="02040503050406030204" pitchFamily="18" charset="0"/>
                            <a:ea typeface="+mn-ea"/>
                            <a:cs typeface="+mn-cs"/>
                          </a:rPr>
                          <m:t>𝐴𝑌</m:t>
                        </m:r>
                      </m:sub>
                      <m:sup>
                        <m:r>
                          <a:rPr lang="en-US" sz="1100" i="1">
                            <a:effectLst/>
                            <a:latin typeface="Cambria Math" panose="02040503050406030204" pitchFamily="18" charset="0"/>
                            <a:ea typeface="+mn-ea"/>
                            <a:cs typeface="+mn-cs"/>
                          </a:rPr>
                          <m:t>𝐶𝐶</m:t>
                        </m:r>
                      </m:sup>
                    </m:sSubSup>
                    <m:r>
                      <a:rPr lang="en-US" sz="1100" i="1">
                        <a:effectLst/>
                        <a:latin typeface="Cambria Math" panose="02040503050406030204" pitchFamily="18" charset="0"/>
                        <a:ea typeface="+mn-ea"/>
                        <a:cs typeface="+mn-cs"/>
                      </a:rPr>
                      <m:t>=%</m:t>
                    </m:r>
                    <m:r>
                      <a:rPr lang="en-US" sz="1100" i="1">
                        <a:effectLst/>
                        <a:latin typeface="Cambria Math" panose="02040503050406030204" pitchFamily="18" charset="0"/>
                        <a:ea typeface="+mn-ea"/>
                        <a:cs typeface="+mn-cs"/>
                      </a:rPr>
                      <m:t>𝑈𝑛𝑝𝑎𝑖</m:t>
                    </m:r>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𝑑</m:t>
                        </m:r>
                      </m:e>
                      <m:sub>
                        <m:r>
                          <a:rPr lang="en-US" sz="1100" i="1">
                            <a:effectLst/>
                            <a:latin typeface="Cambria Math" panose="02040503050406030204" pitchFamily="18" charset="0"/>
                            <a:ea typeface="+mn-ea"/>
                            <a:cs typeface="+mn-cs"/>
                          </a:rPr>
                          <m:t>𝐴𝑌</m:t>
                        </m:r>
                      </m:sub>
                    </m:sSub>
                    <m:r>
                      <a:rPr lang="en-US" sz="1100" i="1">
                        <a:effectLst/>
                        <a:latin typeface="Cambria Math" panose="02040503050406030204" pitchFamily="18" charset="0"/>
                        <a:ea typeface="+mn-ea"/>
                        <a:cs typeface="+mn-cs"/>
                      </a:rPr>
                      <m:t> ×</m:t>
                    </m:r>
                    <m:r>
                      <a:rPr lang="en-US" sz="1100" i="1">
                        <a:effectLst/>
                        <a:latin typeface="Cambria Math" panose="02040503050406030204" pitchFamily="18" charset="0"/>
                        <a:ea typeface="+mn-ea"/>
                        <a:cs typeface="+mn-cs"/>
                      </a:rPr>
                      <m:t>𝐸𝑥𝑝𝑒𝑐𝑡𝑒𝑑</m:t>
                    </m:r>
                    <m:r>
                      <a:rPr lang="en-US" sz="1100" i="1">
                        <a:effectLst/>
                        <a:latin typeface="Cambria Math" panose="02040503050406030204" pitchFamily="18" charset="0"/>
                        <a:ea typeface="+mn-ea"/>
                        <a:cs typeface="+mn-cs"/>
                      </a:rPr>
                      <m:t> </m:t>
                    </m:r>
                    <m:r>
                      <a:rPr lang="en-US" sz="1100" i="1">
                        <a:effectLst/>
                        <a:latin typeface="Cambria Math" panose="02040503050406030204" pitchFamily="18" charset="0"/>
                        <a:ea typeface="+mn-ea"/>
                        <a:cs typeface="+mn-cs"/>
                      </a:rPr>
                      <m:t>𝐿𝑜𝑠𝑠</m:t>
                    </m:r>
                  </m:oMath>
                </m:oMathPara>
              </a14:m>
              <a:endParaRPr lang="en-US" sz="1100">
                <a:effectLst/>
                <a:latin typeface="+mn-lt"/>
                <a:ea typeface="+mn-ea"/>
                <a:cs typeface="+mn-cs"/>
              </a:endParaRPr>
            </a:p>
          </xdr:txBody>
        </xdr:sp>
      </mc:Choice>
      <mc:Fallback xmlns="">
        <xdr:sp macro="" textlink="">
          <xdr:nvSpPr>
            <xdr:cNvPr id="21" name="TextBox 2">
              <a:extLst>
                <a:ext uri="{FF2B5EF4-FFF2-40B4-BE49-F238E27FC236}">
                  <a16:creationId xmlns:a16="http://schemas.microsoft.com/office/drawing/2014/main" id="{00000000-0008-0000-0100-000015000000}"/>
                </a:ext>
              </a:extLst>
            </xdr:cNvPr>
            <xdr:cNvSpPr txBox="1"/>
          </xdr:nvSpPr>
          <xdr:spPr>
            <a:xfrm>
              <a:off x="984250" y="11715750"/>
              <a:ext cx="2667000" cy="277127"/>
            </a:xfrm>
            <a:prstGeom prst="rect">
              <a:avLst/>
            </a:prstGeom>
            <a:noFill/>
            <a:ln>
              <a:solidFill>
                <a:sysClr val="windowText" lastClr="000000"/>
              </a:solidFill>
            </a:ln>
            <a:effectLst/>
          </xdr:spPr>
          <xdr:txBody>
            <a:bodyPr wrap="square" lIns="45720" tIns="45720" rIns="45720" bIns="45720" rtlCol="0" anchor="t">
              <a:spAutoFit/>
            </a:bodyPr>
            <a:lstStyle/>
            <a:p>
              <a:r>
                <a:rPr lang="en-US" sz="1100" i="0">
                  <a:effectLst/>
                  <a:latin typeface="+mn-lt"/>
                  <a:ea typeface="+mn-ea"/>
                  <a:cs typeface="+mn-cs"/>
                </a:rPr>
                <a:t>〖𝑅𝑒𝑠𝑒𝑟𝑣𝑒〗_𝐴𝑌^𝐶𝐶=%𝑈𝑛𝑝𝑎𝑖𝑑_𝐴𝑌  ×𝐸𝑥𝑝𝑒𝑐𝑡𝑒𝑑 𝐿𝑜𝑠𝑠</a:t>
              </a:r>
              <a:endParaRPr lang="en-US" sz="1100">
                <a:effectLst/>
                <a:latin typeface="+mn-lt"/>
                <a:ea typeface="+mn-ea"/>
                <a:cs typeface="+mn-cs"/>
              </a:endParaRPr>
            </a:p>
          </xdr:txBody>
        </xdr:sp>
      </mc:Fallback>
    </mc:AlternateContent>
    <xdr:clientData/>
  </xdr:twoCellAnchor>
  <xdr:twoCellAnchor>
    <xdr:from>
      <xdr:col>1</xdr:col>
      <xdr:colOff>190500</xdr:colOff>
      <xdr:row>110</xdr:row>
      <xdr:rowOff>158750</xdr:rowOff>
    </xdr:from>
    <xdr:to>
      <xdr:col>4</xdr:col>
      <xdr:colOff>719667</xdr:colOff>
      <xdr:row>112</xdr:row>
      <xdr:rowOff>43521</xdr:rowOff>
    </xdr:to>
    <mc:AlternateContent xmlns:mc="http://schemas.openxmlformats.org/markup-compatibility/2006" xmlns:a14="http://schemas.microsoft.com/office/drawing/2010/main">
      <mc:Choice Requires="a14">
        <xdr:sp macro="" textlink="">
          <xdr:nvSpPr>
            <xdr:cNvPr id="22" name="TextBox 2">
              <a:extLst>
                <a:ext uri="{FF2B5EF4-FFF2-40B4-BE49-F238E27FC236}">
                  <a16:creationId xmlns:a16="http://schemas.microsoft.com/office/drawing/2014/main" id="{00000000-0008-0000-0100-000016000000}"/>
                </a:ext>
              </a:extLst>
            </xdr:cNvPr>
            <xdr:cNvSpPr txBox="1"/>
          </xdr:nvSpPr>
          <xdr:spPr>
            <a:xfrm>
              <a:off x="1016000" y="22447250"/>
              <a:ext cx="3005667" cy="2869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𝑆𝑡𝑑𝐷𝑒𝑣</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𝑅𝑒𝑠𝑣</m:t>
                    </m:r>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𝑃𝑟𝑜𝑐𝑒𝑠𝑠𝑉𝑎𝑟</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𝑃𝑎𝑟𝑎𝑚𝑒𝑡𝑒𝑟𝑉𝑎𝑟</m:t>
                        </m:r>
                      </m:e>
                    </m:rad>
                  </m:oMath>
                </m:oMathPara>
              </a14:m>
              <a:endParaRPr lang="en-US" sz="1100">
                <a:solidFill>
                  <a:schemeClr val="tx1"/>
                </a:solidFill>
                <a:effectLst/>
                <a:latin typeface="+mn-lt"/>
                <a:ea typeface="+mn-ea"/>
                <a:cs typeface="+mn-cs"/>
              </a:endParaRPr>
            </a:p>
          </xdr:txBody>
        </xdr:sp>
      </mc:Choice>
      <mc:Fallback xmlns="">
        <xdr:sp macro="" textlink="">
          <xdr:nvSpPr>
            <xdr:cNvPr id="22" name="TextBox 2">
              <a:extLst>
                <a:ext uri="{FF2B5EF4-FFF2-40B4-BE49-F238E27FC236}">
                  <a16:creationId xmlns:a16="http://schemas.microsoft.com/office/drawing/2014/main" id="{9B0B1F4A-5912-484E-8BC0-53D5C4DD19B0}"/>
                </a:ext>
              </a:extLst>
            </xdr:cNvPr>
            <xdr:cNvSpPr txBox="1"/>
          </xdr:nvSpPr>
          <xdr:spPr>
            <a:xfrm>
              <a:off x="1016000" y="22447250"/>
              <a:ext cx="3005667" cy="2869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𝑆𝑡𝑑𝐷𝑒𝑣(𝑅𝑒𝑠𝑣=√(𝑃𝑟𝑜𝑐𝑒𝑠𝑠𝑉𝑎𝑟+𝑃𝑎𝑟𝑎𝑚𝑒𝑡𝑒𝑟𝑉𝑎𝑟)</a:t>
              </a:r>
              <a:endParaRPr lang="en-US" sz="1100">
                <a:solidFill>
                  <a:schemeClr val="tx1"/>
                </a:solidFill>
                <a:effectLst/>
                <a:latin typeface="+mn-lt"/>
                <a:ea typeface="+mn-ea"/>
                <a:cs typeface="+mn-cs"/>
              </a:endParaRPr>
            </a:p>
          </xdr:txBody>
        </xdr:sp>
      </mc:Fallback>
    </mc:AlternateContent>
    <xdr:clientData/>
  </xdr:twoCellAnchor>
  <xdr:twoCellAnchor>
    <xdr:from>
      <xdr:col>1</xdr:col>
      <xdr:colOff>190501</xdr:colOff>
      <xdr:row>72</xdr:row>
      <xdr:rowOff>105834</xdr:rowOff>
    </xdr:from>
    <xdr:to>
      <xdr:col>4</xdr:col>
      <xdr:colOff>148167</xdr:colOff>
      <xdr:row>73</xdr:row>
      <xdr:rowOff>171491</xdr:rowOff>
    </xdr:to>
    <mc:AlternateContent xmlns:mc="http://schemas.openxmlformats.org/markup-compatibility/2006" xmlns:a14="http://schemas.microsoft.com/office/drawing/2010/main">
      <mc:Choice Requires="a14">
        <xdr:sp macro="" textlink="">
          <xdr:nvSpPr>
            <xdr:cNvPr id="23" name="TextBox 2">
              <a:extLst>
                <a:ext uri="{FF2B5EF4-FFF2-40B4-BE49-F238E27FC236}">
                  <a16:creationId xmlns:a16="http://schemas.microsoft.com/office/drawing/2014/main" id="{00000000-0008-0000-0100-000017000000}"/>
                </a:ext>
              </a:extLst>
            </xdr:cNvPr>
            <xdr:cNvSpPr txBox="1"/>
          </xdr:nvSpPr>
          <xdr:spPr>
            <a:xfrm>
              <a:off x="1016001" y="14837834"/>
              <a:ext cx="2434166"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argPr>
                          <m:argSz m:val="-2"/>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argPr>
                          <m:argSz m:val="-2"/>
                        </m:argPr>
                        <m:r>
                          <a:rPr lang="en-US" sz="1100" i="1">
                            <a:solidFill>
                              <a:schemeClr val="tx1"/>
                            </a:solidFill>
                            <a:effectLst/>
                            <a:latin typeface="Cambria Math" panose="02040503050406030204" pitchFamily="18" charset="0"/>
                            <a:ea typeface="+mn-ea"/>
                            <a:cs typeface="+mn-cs"/>
                          </a:rPr>
                          <m:t>𝐶𝐶</m:t>
                        </m:r>
                      </m:sup>
                    </m:sSub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2"/>
                                </m:argP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2"/>
                                </m:argP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d>
                      </m:e>
                    </m:d>
                  </m:oMath>
                </m:oMathPara>
              </a14:m>
              <a:endParaRPr lang="en-US" sz="1100">
                <a:solidFill>
                  <a:schemeClr val="tx1"/>
                </a:solidFill>
                <a:effectLst/>
                <a:latin typeface="+mn-lt"/>
                <a:ea typeface="+mn-ea"/>
                <a:cs typeface="+mn-cs"/>
              </a:endParaRPr>
            </a:p>
          </xdr:txBody>
        </xdr:sp>
      </mc:Choice>
      <mc:Fallback xmlns="">
        <xdr:sp macro="" textlink="">
          <xdr:nvSpPr>
            <xdr:cNvPr id="23" name="TextBox 2">
              <a:extLst>
                <a:ext uri="{FF2B5EF4-FFF2-40B4-BE49-F238E27FC236}">
                  <a16:creationId xmlns:a16="http://schemas.microsoft.com/office/drawing/2014/main" id="{6A5DFFAF-B08D-474C-AD1C-0327A5033586}"/>
                </a:ext>
              </a:extLst>
            </xdr:cNvPr>
            <xdr:cNvSpPr txBox="1"/>
          </xdr:nvSpPr>
          <xdr:spPr>
            <a:xfrm>
              <a:off x="1016001" y="14837834"/>
              <a:ext cx="2434166"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𝜇_(𝐴𝑌,𝑘)^𝐶𝐶=𝑃𝑟𝑒𝑚×𝐸𝐿𝑅×[𝐺(𝑥_𝑘 )−𝐺(𝑥_(𝑘−1)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423333</xdr:colOff>
      <xdr:row>72</xdr:row>
      <xdr:rowOff>148169</xdr:rowOff>
    </xdr:from>
    <xdr:ext cx="2596224" cy="17209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3725333" y="14880169"/>
              <a:ext cx="259622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𝐼𝑛𝑐𝐿𝑜𝑠𝑠</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𝐿𝑜𝑠𝑠</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𝐼𝑛𝑐</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𝐸𝑚𝑒𝑟𝑔𝑒𝑛𝑐𝑒</m:t>
                    </m:r>
                    <m:r>
                      <m:rPr>
                        <m:nor/>
                      </m:rPr>
                      <a:rPr lang="en-US">
                        <a:effectLst/>
                      </a:rPr>
                      <m:t> </m:t>
                    </m:r>
                  </m:oMath>
                </m:oMathPara>
              </a14:m>
              <a:endParaRPr lang="en-US" sz="1100">
                <a:solidFill>
                  <a:schemeClr val="tx1"/>
                </a:solidFill>
              </a:endParaRPr>
            </a:p>
          </xdr:txBody>
        </xdr:sp>
      </mc:Choice>
      <mc:Fallback xmlns="">
        <xdr:sp macro="" textlink="">
          <xdr:nvSpPr>
            <xdr:cNvPr id="24" name="TextBox 23">
              <a:extLst>
                <a:ext uri="{FF2B5EF4-FFF2-40B4-BE49-F238E27FC236}">
                  <a16:creationId xmlns:a16="http://schemas.microsoft.com/office/drawing/2014/main" id="{0C77C7D6-359D-7846-ADEC-94A46C5884B4}"/>
                </a:ext>
              </a:extLst>
            </xdr:cNvPr>
            <xdr:cNvSpPr txBox="1"/>
          </xdr:nvSpPr>
          <xdr:spPr>
            <a:xfrm>
              <a:off x="3725333" y="14880169"/>
              <a:ext cx="259622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𝐸[𝐼𝑛𝑐𝐿𝑜𝑠𝑠]=𝐸[𝐿𝑜𝑠𝑠]×%𝐼𝑛𝑐. 𝐸𝑚𝑒𝑟𝑔𝑒𝑛𝑐𝑒</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211665</xdr:colOff>
      <xdr:row>85</xdr:row>
      <xdr:rowOff>116417</xdr:rowOff>
    </xdr:from>
    <xdr:to>
      <xdr:col>4</xdr:col>
      <xdr:colOff>95250</xdr:colOff>
      <xdr:row>88</xdr:row>
      <xdr:rowOff>84667</xdr:rowOff>
    </xdr:to>
    <mc:AlternateContent xmlns:mc="http://schemas.openxmlformats.org/markup-compatibility/2006" xmlns:a14="http://schemas.microsoft.com/office/drawing/2010/main">
      <mc:Choice Requires="a14">
        <xdr:sp macro="" textlink="">
          <xdr:nvSpPr>
            <xdr:cNvPr id="25" name="TextBox 2">
              <a:extLst>
                <a:ext uri="{FF2B5EF4-FFF2-40B4-BE49-F238E27FC236}">
                  <a16:creationId xmlns:a16="http://schemas.microsoft.com/office/drawing/2014/main" id="{00000000-0008-0000-0100-000019000000}"/>
                </a:ext>
              </a:extLst>
            </xdr:cNvPr>
            <xdr:cNvSpPr txBox="1"/>
          </xdr:nvSpPr>
          <xdr:spPr>
            <a:xfrm>
              <a:off x="1037165" y="17504834"/>
              <a:ext cx="2360085" cy="5715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𝑝</m:t>
                        </m:r>
                      </m:den>
                    </m:f>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d>
                              </m:e>
                              <m:sup>
                                <m:r>
                                  <a:rPr lang="en-US" sz="1100" i="1">
                                    <a:solidFill>
                                      <a:schemeClr val="tx1"/>
                                    </a:solidFill>
                                    <a:effectLst/>
                                    <a:latin typeface="Cambria Math" panose="02040503050406030204" pitchFamily="18" charset="0"/>
                                    <a:ea typeface="+mn-ea"/>
                                    <a:cs typeface="+mn-cs"/>
                                  </a:rPr>
                                  <m:t>2</m:t>
                                </m:r>
                              </m:sup>
                            </m:sSup>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den>
                        </m:f>
                      </m:e>
                    </m:nary>
                  </m:oMath>
                </m:oMathPara>
              </a14:m>
              <a:endParaRPr lang="en-US" sz="1100">
                <a:solidFill>
                  <a:schemeClr val="tx1"/>
                </a:solidFill>
                <a:effectLst/>
                <a:latin typeface="+mn-lt"/>
                <a:ea typeface="+mn-ea"/>
                <a:cs typeface="+mn-cs"/>
              </a:endParaRPr>
            </a:p>
          </xdr:txBody>
        </xdr:sp>
      </mc:Choice>
      <mc:Fallback xmlns="">
        <xdr:sp macro="" textlink="">
          <xdr:nvSpPr>
            <xdr:cNvPr id="25" name="TextBox 2">
              <a:extLst>
                <a:ext uri="{FF2B5EF4-FFF2-40B4-BE49-F238E27FC236}">
                  <a16:creationId xmlns:a16="http://schemas.microsoft.com/office/drawing/2014/main" id="{E44BE3A1-2634-F744-B6B4-2B87C43AE498}"/>
                </a:ext>
              </a:extLst>
            </xdr:cNvPr>
            <xdr:cNvSpPr txBox="1"/>
          </xdr:nvSpPr>
          <xdr:spPr>
            <a:xfrm>
              <a:off x="1037165" y="17504834"/>
              <a:ext cx="2360085" cy="5715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𝜎^2=1/(𝑛−𝑝) ∑1▒(〖𝐼𝑛𝑐𝐿𝑜𝑠𝑠〗_(𝐴𝑌,𝑘)−𝜇_(𝐴𝑌,𝑘) )^2/𝜇_(𝐴𝑌,𝑘)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539749</xdr:colOff>
      <xdr:row>85</xdr:row>
      <xdr:rowOff>179919</xdr:rowOff>
    </xdr:from>
    <xdr:ext cx="2513893" cy="480966"/>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3841749" y="17568336"/>
              <a:ext cx="2513893" cy="480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𝑝</m:t>
                        </m:r>
                      </m:den>
                    </m:f>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𝑡𝑟𝑖𝑎𝑛𝑔𝑙𝑒</m:t>
                        </m:r>
                      </m:sup>
                      <m:e>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𝑎𝑐𝑡𝑢𝑎𝑙</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𝑒𝑥𝑝𝑒𝑐𝑡𝑒𝑑</m:t>
                                    </m:r>
                                  </m:e>
                                </m:d>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𝑒𝑥𝑝𝑒𝑐𝑡𝑒𝑑</m:t>
                            </m:r>
                          </m:den>
                        </m:f>
                      </m:e>
                    </m:nary>
                  </m:oMath>
                </m:oMathPara>
              </a14:m>
              <a:endParaRPr lang="en-US" sz="1100">
                <a:solidFill>
                  <a:schemeClr val="tx1"/>
                </a:solidFill>
                <a:effectLst/>
                <a:latin typeface="+mn-lt"/>
                <a:ea typeface="+mn-ea"/>
                <a:cs typeface="+mn-cs"/>
              </a:endParaRPr>
            </a:p>
          </xdr:txBody>
        </xdr:sp>
      </mc:Choice>
      <mc:Fallback xmlns="">
        <xdr:sp macro="" textlink="">
          <xdr:nvSpPr>
            <xdr:cNvPr id="26" name="TextBox 25">
              <a:extLst>
                <a:ext uri="{FF2B5EF4-FFF2-40B4-BE49-F238E27FC236}">
                  <a16:creationId xmlns:a16="http://schemas.microsoft.com/office/drawing/2014/main" id="{02222BDE-183A-D54E-B018-7028A338FB8A}"/>
                </a:ext>
              </a:extLst>
            </xdr:cNvPr>
            <xdr:cNvSpPr txBox="1"/>
          </xdr:nvSpPr>
          <xdr:spPr>
            <a:xfrm>
              <a:off x="3841749" y="17568336"/>
              <a:ext cx="2513893" cy="480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𝜎^2=1/(𝑛−𝑝) ∑1^𝑡𝑟𝑖𝑎𝑛𝑔𝑙𝑒▒(𝑎𝑐𝑡𝑢𝑎𝑙−𝑒𝑥𝑝𝑒𝑐𝑡𝑒𝑑)^2/𝑒𝑥𝑝𝑒𝑐𝑡𝑒𝑑</a:t>
              </a:r>
              <a:endParaRPr lang="en-US" sz="1100">
                <a:solidFill>
                  <a:schemeClr val="tx1"/>
                </a:solidFill>
                <a:effectLst/>
                <a:latin typeface="+mn-lt"/>
                <a:ea typeface="+mn-ea"/>
                <a:cs typeface="+mn-cs"/>
              </a:endParaRPr>
            </a:p>
          </xdr:txBody>
        </xdr:sp>
      </mc:Fallback>
    </mc:AlternateContent>
    <xdr:clientData/>
  </xdr:oneCellAnchor>
  <xdr:twoCellAnchor>
    <xdr:from>
      <xdr:col>1</xdr:col>
      <xdr:colOff>285749</xdr:colOff>
      <xdr:row>103</xdr:row>
      <xdr:rowOff>179917</xdr:rowOff>
    </xdr:from>
    <xdr:to>
      <xdr:col>3</xdr:col>
      <xdr:colOff>402166</xdr:colOff>
      <xdr:row>105</xdr:row>
      <xdr:rowOff>45388</xdr:rowOff>
    </xdr:to>
    <mc:AlternateContent xmlns:mc="http://schemas.openxmlformats.org/markup-compatibility/2006" xmlns:a14="http://schemas.microsoft.com/office/drawing/2010/main">
      <mc:Choice Requires="a14">
        <xdr:sp macro="" textlink="">
          <xdr:nvSpPr>
            <xdr:cNvPr id="27" name="TextBox 2">
              <a:extLst>
                <a:ext uri="{FF2B5EF4-FFF2-40B4-BE49-F238E27FC236}">
                  <a16:creationId xmlns:a16="http://schemas.microsoft.com/office/drawing/2014/main" id="{00000000-0008-0000-0100-00001B000000}"/>
                </a:ext>
              </a:extLst>
            </xdr:cNvPr>
            <xdr:cNvSpPr txBox="1"/>
          </xdr:nvSpPr>
          <xdr:spPr>
            <a:xfrm>
              <a:off x="1111249" y="21251334"/>
              <a:ext cx="1767417" cy="26763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𝑃𝑟𝑜𝑐𝑒𝑠𝑠𝑉𝑎𝑟</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𝑅𝑒𝑠𝑒𝑟</m:t>
                    </m:r>
                    <m:r>
                      <a:rPr lang="en-US" sz="1100" b="0" i="1">
                        <a:solidFill>
                          <a:schemeClr val="tx1"/>
                        </a:solidFill>
                        <a:effectLst/>
                        <a:latin typeface="Cambria Math" panose="02040503050406030204" pitchFamily="18" charset="0"/>
                        <a:ea typeface="+mn-ea"/>
                        <a:cs typeface="+mn-cs"/>
                      </a:rPr>
                      <m:t>𝑣𝑒</m:t>
                    </m:r>
                  </m:oMath>
                </m:oMathPara>
              </a14:m>
              <a:endParaRPr lang="en-US" sz="1100">
                <a:solidFill>
                  <a:schemeClr val="tx1"/>
                </a:solidFill>
                <a:effectLst/>
                <a:latin typeface="+mn-lt"/>
                <a:ea typeface="+mn-ea"/>
                <a:cs typeface="+mn-cs"/>
              </a:endParaRPr>
            </a:p>
          </xdr:txBody>
        </xdr:sp>
      </mc:Choice>
      <mc:Fallback xmlns="">
        <xdr:sp macro="" textlink="">
          <xdr:nvSpPr>
            <xdr:cNvPr id="27" name="TextBox 2">
              <a:extLst>
                <a:ext uri="{FF2B5EF4-FFF2-40B4-BE49-F238E27FC236}">
                  <a16:creationId xmlns:a16="http://schemas.microsoft.com/office/drawing/2014/main" id="{00000000-0008-0000-0100-00001B000000}"/>
                </a:ext>
              </a:extLst>
            </xdr:cNvPr>
            <xdr:cNvSpPr txBox="1"/>
          </xdr:nvSpPr>
          <xdr:spPr>
            <a:xfrm>
              <a:off x="1111249" y="21251334"/>
              <a:ext cx="1767417" cy="26763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𝑃𝑟𝑜𝑐𝑒𝑠𝑠𝑉𝑎𝑟=𝜎^2×𝑅𝑒𝑠</a:t>
              </a:r>
              <a:r>
                <a:rPr lang="en-US" sz="1100" b="0" i="0">
                  <a:solidFill>
                    <a:schemeClr val="tx1"/>
                  </a:solidFill>
                  <a:effectLst/>
                  <a:latin typeface="Cambria Math" panose="02040503050406030204" pitchFamily="18" charset="0"/>
                  <a:ea typeface="+mn-ea"/>
                  <a:cs typeface="+mn-cs"/>
                </a:rPr>
                <a:t>𝑒𝑟𝑣𝑒</a:t>
              </a:r>
              <a:endParaRPr lang="en-US" sz="1100">
                <a:solidFill>
                  <a:schemeClr val="tx1"/>
                </a:solidFill>
                <a:effectLst/>
                <a:latin typeface="+mn-lt"/>
                <a:ea typeface="+mn-ea"/>
                <a:cs typeface="+mn-cs"/>
              </a:endParaRPr>
            </a:p>
          </xdr:txBody>
        </xdr:sp>
      </mc:Fallback>
    </mc:AlternateContent>
    <xdr:clientData/>
  </xdr:twoCellAnchor>
  <xdr:oneCellAnchor>
    <xdr:from>
      <xdr:col>1</xdr:col>
      <xdr:colOff>338667</xdr:colOff>
      <xdr:row>89</xdr:row>
      <xdr:rowOff>31750</xdr:rowOff>
    </xdr:from>
    <xdr:ext cx="1968423" cy="172098"/>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164167" y="18224500"/>
              <a:ext cx="196842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𝑝</m:t>
                        </m:r>
                      </m:e>
                      <m:sup>
                        <m:argPr>
                          <m:argSz m:val="-1"/>
                        </m:argPr>
                        <m:r>
                          <a:rPr lang="en-US" sz="1100" i="1">
                            <a:solidFill>
                              <a:schemeClr val="tx1"/>
                            </a:solidFill>
                            <a:effectLst/>
                            <a:latin typeface="Cambria Math" panose="02040503050406030204" pitchFamily="18" charset="0"/>
                            <a:ea typeface="+mn-ea"/>
                            <a:cs typeface="+mn-cs"/>
                          </a:rPr>
                          <m:t>𝐶𝐶</m:t>
                        </m:r>
                      </m:sup>
                    </m:sSup>
                    <m:r>
                      <a:rPr lang="en-US" sz="1100" i="1">
                        <a:solidFill>
                          <a:schemeClr val="tx1"/>
                        </a:solidFill>
                        <a:effectLst/>
                        <a:latin typeface="Cambria Math" panose="02040503050406030204" pitchFamily="18" charset="0"/>
                        <a:ea typeface="+mn-ea"/>
                        <a:cs typeface="+mn-cs"/>
                      </a:rPr>
                      <m:t>=1+# </m:t>
                    </m:r>
                    <m:r>
                      <m:rPr>
                        <m:sty m:val="p"/>
                      </m:rPr>
                      <a:rPr lang="en-US" sz="1100">
                        <a:solidFill>
                          <a:schemeClr val="tx1"/>
                        </a:solidFill>
                        <a:effectLst/>
                        <a:latin typeface="Cambria Math" panose="02040503050406030204" pitchFamily="18" charset="0"/>
                        <a:ea typeface="+mn-ea"/>
                        <a:cs typeface="+mn-cs"/>
                      </a:rPr>
                      <m:t>parameters</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in</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m:t>
                    </m:r>
                    <m:r>
                      <m:rPr>
                        <m:nor/>
                      </m:rPr>
                      <a:rPr lang="en-US">
                        <a:effectLst/>
                      </a:rPr>
                      <m:t> </m:t>
                    </m:r>
                  </m:oMath>
                </m:oMathPara>
              </a14:m>
              <a:endParaRPr lang="en-US" sz="1100" kern="1200"/>
            </a:p>
          </xdr:txBody>
        </xdr:sp>
      </mc:Choice>
      <mc:Fallback xmlns="">
        <xdr:sp macro="" textlink="">
          <xdr:nvSpPr>
            <xdr:cNvPr id="28" name="TextBox 27">
              <a:extLst>
                <a:ext uri="{FF2B5EF4-FFF2-40B4-BE49-F238E27FC236}">
                  <a16:creationId xmlns:a16="http://schemas.microsoft.com/office/drawing/2014/main" id="{FBBB37E9-AC71-EA4B-8EB6-7E97402212EA}"/>
                </a:ext>
              </a:extLst>
            </xdr:cNvPr>
            <xdr:cNvSpPr txBox="1"/>
          </xdr:nvSpPr>
          <xdr:spPr>
            <a:xfrm>
              <a:off x="1164167" y="18224500"/>
              <a:ext cx="196842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𝑝^𝐶𝐶=1+# parameters in 𝐺(𝑥)</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kern="1200"/>
            </a:p>
          </xdr:txBody>
        </xdr:sp>
      </mc:Fallback>
    </mc:AlternateContent>
    <xdr:clientData/>
  </xdr:oneCellAnchor>
  <xdr:twoCellAnchor>
    <xdr:from>
      <xdr:col>1</xdr:col>
      <xdr:colOff>296332</xdr:colOff>
      <xdr:row>149</xdr:row>
      <xdr:rowOff>148168</xdr:rowOff>
    </xdr:from>
    <xdr:to>
      <xdr:col>3</xdr:col>
      <xdr:colOff>751415</xdr:colOff>
      <xdr:row>151</xdr:row>
      <xdr:rowOff>185289</xdr:rowOff>
    </xdr:to>
    <mc:AlternateContent xmlns:mc="http://schemas.openxmlformats.org/markup-compatibility/2006" xmlns:a14="http://schemas.microsoft.com/office/drawing/2010/main">
      <mc:Choice Requires="a14">
        <xdr:sp macro="" textlink="">
          <xdr:nvSpPr>
            <xdr:cNvPr id="29" name="TextBox 2">
              <a:extLst>
                <a:ext uri="{FF2B5EF4-FFF2-40B4-BE49-F238E27FC236}">
                  <a16:creationId xmlns:a16="http://schemas.microsoft.com/office/drawing/2014/main" id="{00000000-0008-0000-0100-00001D000000}"/>
                </a:ext>
              </a:extLst>
            </xdr:cNvPr>
            <xdr:cNvSpPr txBox="1"/>
          </xdr:nvSpPr>
          <xdr:spPr>
            <a:xfrm>
              <a:off x="1121832" y="26162001"/>
              <a:ext cx="2106083" cy="43928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solidFill>
                              <a:schemeClr val="tx1"/>
                            </a:solidFill>
                            <a:effectLst/>
                            <a:latin typeface="Cambria Math" panose="02040503050406030204" pitchFamily="18" charset="0"/>
                            <a:ea typeface="+mn-ea"/>
                            <a:cs typeface="+mn-cs"/>
                          </a:rPr>
                        </m:ctrlPr>
                      </m:acc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e>
                    </m:acc>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𝐴𝑌</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𝑃𝑟𝑒𝑚</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m:t>
                        </m:r>
                      </m:den>
                    </m:f>
                  </m:oMath>
                </m:oMathPara>
              </a14:m>
              <a:endParaRPr lang="en-US" sz="1100">
                <a:solidFill>
                  <a:schemeClr val="tx1"/>
                </a:solidFill>
                <a:effectLst/>
                <a:latin typeface="+mn-lt"/>
                <a:ea typeface="+mn-ea"/>
                <a:cs typeface="+mn-cs"/>
              </a:endParaRPr>
            </a:p>
          </xdr:txBody>
        </xdr:sp>
      </mc:Choice>
      <mc:Fallback xmlns="">
        <xdr:sp macro="" textlink="">
          <xdr:nvSpPr>
            <xdr:cNvPr id="29" name="TextBox 2">
              <a:extLst>
                <a:ext uri="{FF2B5EF4-FFF2-40B4-BE49-F238E27FC236}">
                  <a16:creationId xmlns:a16="http://schemas.microsoft.com/office/drawing/2014/main" id="{FF0B03B1-8098-664A-AB39-689B4B2AD62E}"/>
                </a:ext>
              </a:extLst>
            </xdr:cNvPr>
            <xdr:cNvSpPr txBox="1"/>
          </xdr:nvSpPr>
          <xdr:spPr>
            <a:xfrm>
              <a:off x="1121832" y="26162001"/>
              <a:ext cx="2106083" cy="43928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(〖𝑈𝑙𝑡 𝐿𝑜𝑠𝑠 𝑅𝑎𝑡𝑖𝑜〗_𝐴𝑌=) ̂ 〖𝐿𝑜𝑠𝑠〗_𝐴𝑌/(〖𝑃𝑟𝑒𝑚〗_𝐴𝑌×𝐺(𝑥))</a:t>
              </a:r>
              <a:endParaRPr lang="en-US" sz="1100">
                <a:solidFill>
                  <a:schemeClr val="tx1"/>
                </a:solidFill>
                <a:effectLst/>
                <a:latin typeface="+mn-lt"/>
                <a:ea typeface="+mn-ea"/>
                <a:cs typeface="+mn-cs"/>
              </a:endParaRPr>
            </a:p>
          </xdr:txBody>
        </xdr:sp>
      </mc:Fallback>
    </mc:AlternateContent>
    <xdr:clientData/>
  </xdr:twoCellAnchor>
  <xdr:twoCellAnchor>
    <xdr:from>
      <xdr:col>2</xdr:col>
      <xdr:colOff>169334</xdr:colOff>
      <xdr:row>137</xdr:row>
      <xdr:rowOff>116416</xdr:rowOff>
    </xdr:from>
    <xdr:to>
      <xdr:col>5</xdr:col>
      <xdr:colOff>127000</xdr:colOff>
      <xdr:row>138</xdr:row>
      <xdr:rowOff>182073</xdr:rowOff>
    </xdr:to>
    <mc:AlternateContent xmlns:mc="http://schemas.openxmlformats.org/markup-compatibility/2006" xmlns:a14="http://schemas.microsoft.com/office/drawing/2010/main">
      <mc:Choice Requires="a14">
        <xdr:sp macro="" textlink="">
          <xdr:nvSpPr>
            <xdr:cNvPr id="30" name="TextBox 2">
              <a:extLst>
                <a:ext uri="{FF2B5EF4-FFF2-40B4-BE49-F238E27FC236}">
                  <a16:creationId xmlns:a16="http://schemas.microsoft.com/office/drawing/2014/main" id="{00000000-0008-0000-0100-00001E000000}"/>
                </a:ext>
              </a:extLst>
            </xdr:cNvPr>
            <xdr:cNvSpPr txBox="1"/>
          </xdr:nvSpPr>
          <xdr:spPr>
            <a:xfrm>
              <a:off x="1820334" y="28183416"/>
              <a:ext cx="2434166"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argPr>
                          <m:argSz m:val="-2"/>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argPr>
                          <m:argSz m:val="-2"/>
                        </m:argPr>
                        <m:r>
                          <a:rPr lang="en-US" sz="1100" i="1">
                            <a:solidFill>
                              <a:schemeClr val="tx1"/>
                            </a:solidFill>
                            <a:effectLst/>
                            <a:latin typeface="Cambria Math" panose="02040503050406030204" pitchFamily="18" charset="0"/>
                            <a:ea typeface="+mn-ea"/>
                            <a:cs typeface="+mn-cs"/>
                          </a:rPr>
                          <m:t>𝐶𝐶</m:t>
                        </m:r>
                      </m:sup>
                    </m:sSub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2"/>
                                </m:argP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2"/>
                                </m:argP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d>
                      </m:e>
                    </m:d>
                  </m:oMath>
                </m:oMathPara>
              </a14:m>
              <a:endParaRPr lang="en-US" sz="1100">
                <a:solidFill>
                  <a:schemeClr val="tx1"/>
                </a:solidFill>
                <a:effectLst/>
                <a:latin typeface="+mn-lt"/>
                <a:ea typeface="+mn-ea"/>
                <a:cs typeface="+mn-cs"/>
              </a:endParaRPr>
            </a:p>
          </xdr:txBody>
        </xdr:sp>
      </mc:Choice>
      <mc:Fallback xmlns="">
        <xdr:sp macro="" textlink="">
          <xdr:nvSpPr>
            <xdr:cNvPr id="30" name="TextBox 2">
              <a:extLst>
                <a:ext uri="{FF2B5EF4-FFF2-40B4-BE49-F238E27FC236}">
                  <a16:creationId xmlns:a16="http://schemas.microsoft.com/office/drawing/2014/main" id="{8748F683-B7ED-7240-9AA1-7AF7AC65595B}"/>
                </a:ext>
              </a:extLst>
            </xdr:cNvPr>
            <xdr:cNvSpPr txBox="1"/>
          </xdr:nvSpPr>
          <xdr:spPr>
            <a:xfrm>
              <a:off x="1820334" y="28183416"/>
              <a:ext cx="2434166"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𝜇_(𝐴𝑌,𝑘)^𝐶𝐶=𝑃𝑟𝑒𝑚×𝐸𝐿𝑅×[𝐺(𝑥_𝑘 )−𝐺(𝑥_(𝑘−1) )]</a:t>
              </a:r>
              <a:endParaRPr lang="en-US" sz="1100">
                <a:solidFill>
                  <a:schemeClr val="tx1"/>
                </a:solidFill>
                <a:effectLst/>
                <a:latin typeface="+mn-lt"/>
                <a:ea typeface="+mn-ea"/>
                <a:cs typeface="+mn-cs"/>
              </a:endParaRPr>
            </a:p>
          </xdr:txBody>
        </xdr:sp>
      </mc:Fallback>
    </mc:AlternateContent>
    <xdr:clientData/>
  </xdr:twoCellAnchor>
  <xdr:twoCellAnchor>
    <xdr:from>
      <xdr:col>2</xdr:col>
      <xdr:colOff>169334</xdr:colOff>
      <xdr:row>142</xdr:row>
      <xdr:rowOff>21167</xdr:rowOff>
    </xdr:from>
    <xdr:to>
      <xdr:col>4</xdr:col>
      <xdr:colOff>592668</xdr:colOff>
      <xdr:row>143</xdr:row>
      <xdr:rowOff>86566</xdr:rowOff>
    </xdr:to>
    <mc:AlternateContent xmlns:mc="http://schemas.openxmlformats.org/markup-compatibility/2006" xmlns:a14="http://schemas.microsoft.com/office/drawing/2010/main">
      <mc:Choice Requires="a14">
        <xdr:sp macro="" textlink="">
          <xdr:nvSpPr>
            <xdr:cNvPr id="31" name="TextBox 2">
              <a:extLst>
                <a:ext uri="{FF2B5EF4-FFF2-40B4-BE49-F238E27FC236}">
                  <a16:creationId xmlns:a16="http://schemas.microsoft.com/office/drawing/2014/main" id="{00000000-0008-0000-0100-00001F000000}"/>
                </a:ext>
              </a:extLst>
            </xdr:cNvPr>
            <xdr:cNvSpPr txBox="1"/>
          </xdr:nvSpPr>
          <xdr:spPr>
            <a:xfrm>
              <a:off x="1820334" y="29093584"/>
              <a:ext cx="2074334" cy="26648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argPr>
                          <m:argSz m:val="-1"/>
                        </m:argPr>
                        <m:r>
                          <a:rPr lang="en-US" sz="1100" i="1">
                            <a:solidFill>
                              <a:schemeClr val="tx1"/>
                            </a:solidFill>
                            <a:effectLst/>
                            <a:latin typeface="Cambria Math" panose="02040503050406030204" pitchFamily="18" charset="0"/>
                            <a:ea typeface="+mn-ea"/>
                            <a:cs typeface="+mn-cs"/>
                          </a:rPr>
                          <m:t>𝐿𝐷𝐹</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𝐴𝑌</m:t>
                        </m:r>
                      </m:sub>
                    </m:sSub>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1"/>
                                </m:argP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1"/>
                                </m:argP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d>
                      </m:e>
                    </m:d>
                  </m:oMath>
                </m:oMathPara>
              </a14:m>
              <a:endParaRPr lang="en-US" sz="1100">
                <a:solidFill>
                  <a:schemeClr val="tx1"/>
                </a:solidFill>
                <a:effectLst/>
                <a:latin typeface="+mn-lt"/>
                <a:ea typeface="+mn-ea"/>
                <a:cs typeface="+mn-cs"/>
              </a:endParaRPr>
            </a:p>
          </xdr:txBody>
        </xdr:sp>
      </mc:Choice>
      <mc:Fallback xmlns="">
        <xdr:sp macro="" textlink="">
          <xdr:nvSpPr>
            <xdr:cNvPr id="31" name="TextBox 2">
              <a:extLst>
                <a:ext uri="{FF2B5EF4-FFF2-40B4-BE49-F238E27FC236}">
                  <a16:creationId xmlns:a16="http://schemas.microsoft.com/office/drawing/2014/main" id="{78BE0349-8C15-5C4D-9CFE-98A878ADD6F7}"/>
                </a:ext>
              </a:extLst>
            </xdr:cNvPr>
            <xdr:cNvSpPr txBox="1"/>
          </xdr:nvSpPr>
          <xdr:spPr>
            <a:xfrm>
              <a:off x="1820334" y="29093584"/>
              <a:ext cx="2074334" cy="26648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𝜇_(𝐴𝑌,𝑘)^𝐿𝐷𝐹=〖𝑈𝑙𝑡〗_𝐴𝑌 [𝐺(𝑥_𝑘 )−𝐺(𝑥_(𝑘−1) )]</a:t>
              </a:r>
              <a:endParaRPr lang="en-US"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778282</xdr:colOff>
      <xdr:row>94</xdr:row>
      <xdr:rowOff>90529</xdr:rowOff>
    </xdr:from>
    <xdr:to>
      <xdr:col>6</xdr:col>
      <xdr:colOff>367974</xdr:colOff>
      <xdr:row>107</xdr:row>
      <xdr:rowOff>166727</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704199</xdr:colOff>
      <xdr:row>80</xdr:row>
      <xdr:rowOff>0</xdr:rowOff>
    </xdr:from>
    <xdr:to>
      <xdr:col>6</xdr:col>
      <xdr:colOff>293891</xdr:colOff>
      <xdr:row>93</xdr:row>
      <xdr:rowOff>7979</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725366</xdr:colOff>
      <xdr:row>65</xdr:row>
      <xdr:rowOff>79946</xdr:rowOff>
    </xdr:from>
    <xdr:to>
      <xdr:col>6</xdr:col>
      <xdr:colOff>315058</xdr:colOff>
      <xdr:row>78</xdr:row>
      <xdr:rowOff>156145</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42332</xdr:colOff>
      <xdr:row>31</xdr:row>
      <xdr:rowOff>84667</xdr:rowOff>
    </xdr:from>
    <xdr:to>
      <xdr:col>2</xdr:col>
      <xdr:colOff>444499</xdr:colOff>
      <xdr:row>33</xdr:row>
      <xdr:rowOff>51650</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00000000-0008-0000-0200-000002000000}"/>
                </a:ext>
              </a:extLst>
            </xdr:cNvPr>
            <xdr:cNvSpPr txBox="1"/>
          </xdr:nvSpPr>
          <xdr:spPr>
            <a:xfrm>
              <a:off x="867832" y="6466417"/>
              <a:ext cx="1227667" cy="369150"/>
            </a:xfrm>
            <a:prstGeom prst="rect">
              <a:avLst/>
            </a:prstGeom>
            <a:noFill/>
            <a:ln>
              <a:solidFill>
                <a:sysClr val="windowText" lastClr="000000"/>
              </a:solidFill>
            </a:ln>
            <a:effectLst/>
          </xdr:spPr>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𝐺</m:t>
                    </m: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=1−</m:t>
                    </m:r>
                    <m:sSup>
                      <m:s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𝑒</m:t>
                        </m:r>
                      </m:e>
                      <m:sup>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sSup>
                          <m:s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pPr>
                          <m:e>
                            <m:argPr>
                              <m:argSz m:val="-1"/>
                            </m:argP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argPr>
                                  <m:argSz m:val="-1"/>
                                </m:argP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num>
                                  <m:den>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𝜃</m:t>
                                    </m:r>
                                  </m:den>
                                </m:f>
                              </m:e>
                            </m:d>
                          </m:e>
                          <m:sup>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𝜔</m:t>
                            </m:r>
                          </m:sup>
                        </m:sSup>
                      </m:sup>
                    </m:sSup>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2" name="TextBox 2">
              <a:extLst>
                <a:ext uri="{FF2B5EF4-FFF2-40B4-BE49-F238E27FC236}">
                  <a16:creationId xmlns:a16="http://schemas.microsoft.com/office/drawing/2014/main" id="{B1CBA86C-56E5-C84B-8DD0-FCDD5F734552}"/>
                </a:ext>
              </a:extLst>
            </xdr:cNvPr>
            <xdr:cNvSpPr txBox="1"/>
          </xdr:nvSpPr>
          <xdr:spPr>
            <a:xfrm>
              <a:off x="867832" y="6466417"/>
              <a:ext cx="1227667" cy="369150"/>
            </a:xfrm>
            <a:prstGeom prst="rect">
              <a:avLst/>
            </a:prstGeom>
            <a:noFill/>
            <a:ln>
              <a:solidFill>
                <a:sysClr val="windowText" lastClr="000000"/>
              </a:solidFill>
            </a:ln>
            <a:effectLst/>
          </xdr:spPr>
          <xdr:txBody>
            <a:bodyPr wrap="square" lIns="45720" tIns="45720" rIns="45720" bIns="45720" rtlCol="0" anchor="t">
              <a:sp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𝐺</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𝑥)=1−𝑒^(−(𝑥/𝜃)^𝜔 )</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twoCellAnchor>
    <xdr:from>
      <xdr:col>3</xdr:col>
      <xdr:colOff>84668</xdr:colOff>
      <xdr:row>30</xdr:row>
      <xdr:rowOff>169333</xdr:rowOff>
    </xdr:from>
    <xdr:to>
      <xdr:col>4</xdr:col>
      <xdr:colOff>179918</xdr:colOff>
      <xdr:row>33</xdr:row>
      <xdr:rowOff>21079</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2561168" y="6350000"/>
              <a:ext cx="920750" cy="454996"/>
            </a:xfrm>
            <a:prstGeom prst="rect">
              <a:avLst/>
            </a:prstGeom>
            <a:noFill/>
            <a:ln>
              <a:solidFill>
                <a:sysClr val="windowText" lastClr="000000"/>
              </a:solidFill>
            </a:ln>
            <a:effectLst/>
          </xdr:spPr>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𝐿𝐷𝐹</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r>
                          <a:rPr lang="en-US" sz="1100" b="0" i="1" kern="100">
                            <a:effectLst/>
                            <a:latin typeface="Cambria Math" panose="02040503050406030204" pitchFamily="18" charset="0"/>
                            <a:ea typeface="Cambria" panose="02040503050406030204" pitchFamily="18" charset="0"/>
                            <a:cs typeface="Times New Roman" panose="02020603050405020304" pitchFamily="18" charset="0"/>
                          </a:rPr>
                          <m:t>1</m:t>
                        </m:r>
                      </m:num>
                      <m:den>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𝐺</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den>
                    </m:f>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3" name="TextBox 2">
              <a:extLst>
                <a:ext uri="{FF2B5EF4-FFF2-40B4-BE49-F238E27FC236}">
                  <a16:creationId xmlns:a16="http://schemas.microsoft.com/office/drawing/2014/main" id="{301611C9-165E-C243-B251-A54AA2925EA0}"/>
                </a:ext>
              </a:extLst>
            </xdr:cNvPr>
            <xdr:cNvSpPr txBox="1"/>
          </xdr:nvSpPr>
          <xdr:spPr>
            <a:xfrm>
              <a:off x="2561168" y="6350000"/>
              <a:ext cx="920750" cy="454996"/>
            </a:xfrm>
            <a:prstGeom prst="rect">
              <a:avLst/>
            </a:prstGeom>
            <a:noFill/>
            <a:ln>
              <a:solidFill>
                <a:sysClr val="windowText" lastClr="000000"/>
              </a:solidFill>
            </a:ln>
            <a:effectLst/>
          </xdr:spPr>
          <xdr:txBody>
            <a:bodyPr wrap="square" lIns="45720" tIns="45720" rIns="45720" bIns="45720" rtlCol="0" anchor="t">
              <a:spAutoFit/>
            </a:bodyPr>
            <a:lstStyle/>
            <a:p>
              <a:pPr marL="0" marR="0"/>
              <a:r>
                <a:rPr lang="en-US" sz="1100" b="0" i="0" kern="100">
                  <a:effectLst/>
                  <a:latin typeface="Cambria Math" panose="02040503050406030204" pitchFamily="18" charset="0"/>
                  <a:ea typeface="Cambria" panose="02040503050406030204" pitchFamily="18" charset="0"/>
                  <a:cs typeface="Times New Roman" panose="02020603050405020304" pitchFamily="18" charset="0"/>
                </a:rPr>
                <a:t>𝐿𝐷𝐹</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a:t>
              </a:r>
              <a:r>
                <a:rPr lang="en-US" sz="1100" b="0" i="0" kern="100">
                  <a:effectLst/>
                  <a:latin typeface="Cambria Math" panose="02040503050406030204" pitchFamily="18" charset="0"/>
                  <a:ea typeface="Cambria" panose="02040503050406030204" pitchFamily="18" charset="0"/>
                  <a:cs typeface="Times New Roman" panose="02020603050405020304" pitchFamily="18" charset="0"/>
                </a:rPr>
                <a:t>1/(</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𝐺(𝑥))</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twoCellAnchor>
    <xdr:from>
      <xdr:col>4</xdr:col>
      <xdr:colOff>529167</xdr:colOff>
      <xdr:row>31</xdr:row>
      <xdr:rowOff>63499</xdr:rowOff>
    </xdr:from>
    <xdr:to>
      <xdr:col>6</xdr:col>
      <xdr:colOff>455083</xdr:colOff>
      <xdr:row>32</xdr:row>
      <xdr:rowOff>129155</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00000000-0008-0000-0200-000007000000}"/>
                </a:ext>
              </a:extLst>
            </xdr:cNvPr>
            <xdr:cNvSpPr txBox="1"/>
          </xdr:nvSpPr>
          <xdr:spPr>
            <a:xfrm>
              <a:off x="3831167" y="6445249"/>
              <a:ext cx="1576916" cy="266739"/>
            </a:xfrm>
            <a:prstGeom prst="rect">
              <a:avLst/>
            </a:prstGeom>
            <a:noFill/>
            <a:ln>
              <a:solidFill>
                <a:sysClr val="windowText" lastClr="000000"/>
              </a:solidFill>
            </a:ln>
            <a:effectLst/>
          </xdr:spPr>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𝑈𝑙𝑡</m:t>
                        </m:r>
                      </m:e>
                      <m:sub>
                        <m:argPr>
                          <m:argSz m:val="-1"/>
                        </m:argPr>
                        <m:r>
                          <a:rPr lang="en-US" sz="1100" i="1">
                            <a:effectLst/>
                            <a:latin typeface="Cambria Math" panose="02040503050406030204" pitchFamily="18" charset="0"/>
                            <a:ea typeface="+mn-ea"/>
                            <a:cs typeface="+mn-cs"/>
                          </a:rPr>
                          <m:t>𝐴𝑌</m:t>
                        </m:r>
                      </m:sub>
                    </m:sSub>
                    <m:r>
                      <a:rPr lang="en-US" sz="1100" i="1">
                        <a:effectLst/>
                        <a:latin typeface="Cambria Math" panose="02040503050406030204" pitchFamily="18" charset="0"/>
                        <a:ea typeface="+mn-ea"/>
                        <a:cs typeface="+mn-cs"/>
                      </a:rPr>
                      <m:t>=</m:t>
                    </m:r>
                    <m:sSub>
                      <m:sSubPr>
                        <m:ctrlPr>
                          <a:rPr lang="en-US" sz="1100" i="1">
                            <a:effectLst/>
                            <a:latin typeface="Cambria Math" panose="02040503050406030204" pitchFamily="18" charset="0"/>
                            <a:ea typeface="+mn-ea"/>
                            <a:cs typeface="+mn-cs"/>
                          </a:rPr>
                        </m:ctrlPr>
                      </m:sSubPr>
                      <m:e>
                        <m:r>
                          <a:rPr lang="en-US" sz="1100" i="1">
                            <a:effectLst/>
                            <a:latin typeface="Cambria Math" panose="02040503050406030204" pitchFamily="18" charset="0"/>
                            <a:ea typeface="+mn-ea"/>
                            <a:cs typeface="+mn-cs"/>
                          </a:rPr>
                          <m:t>𝐿𝑜𝑠𝑠</m:t>
                        </m:r>
                      </m:e>
                      <m:sub>
                        <m:argPr>
                          <m:argSz m:val="-1"/>
                        </m:argPr>
                        <m:r>
                          <a:rPr lang="en-US" sz="1100" i="1">
                            <a:effectLst/>
                            <a:latin typeface="Cambria Math" panose="02040503050406030204" pitchFamily="18" charset="0"/>
                            <a:ea typeface="+mn-ea"/>
                            <a:cs typeface="+mn-cs"/>
                          </a:rPr>
                          <m:t>𝐴𝑌</m:t>
                        </m:r>
                      </m:sub>
                    </m:sSub>
                    <m:r>
                      <a:rPr lang="en-US" sz="1100" i="1">
                        <a:effectLst/>
                        <a:latin typeface="Cambria Math" panose="02040503050406030204" pitchFamily="18" charset="0"/>
                        <a:ea typeface="+mn-ea"/>
                        <a:cs typeface="+mn-cs"/>
                      </a:rPr>
                      <m:t>×</m:t>
                    </m:r>
                    <m:r>
                      <a:rPr lang="en-US" sz="1100" b="0" i="1">
                        <a:effectLst/>
                        <a:latin typeface="Cambria Math" panose="02040503050406030204" pitchFamily="18" charset="0"/>
                        <a:ea typeface="+mn-ea"/>
                        <a:cs typeface="+mn-cs"/>
                      </a:rPr>
                      <m:t>𝐿𝐷𝐹</m:t>
                    </m:r>
                  </m:oMath>
                </m:oMathPara>
              </a14:m>
              <a:endParaRPr lang="en-US" sz="1100">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00000000-0008-0000-0200-000007000000}"/>
                </a:ext>
              </a:extLst>
            </xdr:cNvPr>
            <xdr:cNvSpPr txBox="1"/>
          </xdr:nvSpPr>
          <xdr:spPr>
            <a:xfrm>
              <a:off x="3831167" y="6445249"/>
              <a:ext cx="1576916" cy="266739"/>
            </a:xfrm>
            <a:prstGeom prst="rect">
              <a:avLst/>
            </a:prstGeom>
            <a:noFill/>
            <a:ln>
              <a:solidFill>
                <a:sysClr val="windowText" lastClr="000000"/>
              </a:solidFill>
            </a:ln>
            <a:effectLst/>
          </xdr:spPr>
          <xdr:txBody>
            <a:bodyPr wrap="square" lIns="45720" tIns="45720" rIns="45720" bIns="45720" rtlCol="0" anchor="t">
              <a:spAutoFit/>
            </a:bodyPr>
            <a:lstStyle/>
            <a:p>
              <a:pPr/>
              <a:r>
                <a:rPr lang="en-US" sz="1100" i="0">
                  <a:effectLst/>
                  <a:latin typeface="Cambria Math" panose="02040503050406030204" pitchFamily="18" charset="0"/>
                  <a:ea typeface="+mn-ea"/>
                  <a:cs typeface="+mn-cs"/>
                </a:rPr>
                <a:t>〖𝑈𝑙𝑡〗_𝐴𝑌=〖𝐿𝑜𝑠𝑠〗_𝐴𝑌×</a:t>
              </a:r>
              <a:r>
                <a:rPr lang="en-US" sz="1100" b="0" i="0">
                  <a:effectLst/>
                  <a:latin typeface="Cambria Math" panose="02040503050406030204" pitchFamily="18" charset="0"/>
                  <a:ea typeface="+mn-ea"/>
                  <a:cs typeface="+mn-cs"/>
                </a:rPr>
                <a:t>𝐿𝐷𝐹</a:t>
              </a:r>
              <a:endParaRPr lang="en-US" sz="1100">
                <a:effectLst/>
                <a:latin typeface="+mn-lt"/>
                <a:ea typeface="+mn-ea"/>
                <a:cs typeface="+mn-cs"/>
              </a:endParaRPr>
            </a:p>
          </xdr:txBody>
        </xdr:sp>
      </mc:Fallback>
    </mc:AlternateContent>
    <xdr:clientData/>
  </xdr:twoCellAnchor>
  <xdr:twoCellAnchor>
    <xdr:from>
      <xdr:col>1</xdr:col>
      <xdr:colOff>338667</xdr:colOff>
      <xdr:row>42</xdr:row>
      <xdr:rowOff>169334</xdr:rowOff>
    </xdr:from>
    <xdr:to>
      <xdr:col>3</xdr:col>
      <xdr:colOff>592667</xdr:colOff>
      <xdr:row>44</xdr:row>
      <xdr:rowOff>33907</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00000000-0008-0000-0200-000008000000}"/>
                </a:ext>
              </a:extLst>
            </xdr:cNvPr>
            <xdr:cNvSpPr txBox="1"/>
          </xdr:nvSpPr>
          <xdr:spPr>
            <a:xfrm>
              <a:off x="1164167" y="9196917"/>
              <a:ext cx="1905000"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argPr>
                          <m:argSz m:val="-2"/>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argPr>
                          <m:argSz m:val="-2"/>
                        </m:argPr>
                        <m:r>
                          <a:rPr lang="en-US" sz="1100" i="1">
                            <a:solidFill>
                              <a:schemeClr val="tx1"/>
                            </a:solidFill>
                            <a:effectLst/>
                            <a:latin typeface="Cambria Math" panose="02040503050406030204" pitchFamily="18" charset="0"/>
                            <a:ea typeface="+mn-ea"/>
                            <a:cs typeface="+mn-cs"/>
                          </a:rPr>
                          <m:t>𝐿𝐷𝐹</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2"/>
                        </m:argPr>
                        <m:r>
                          <a:rPr lang="en-US" sz="1100" i="1">
                            <a:solidFill>
                              <a:schemeClr val="tx1"/>
                            </a:solidFill>
                            <a:effectLst/>
                            <a:latin typeface="Cambria Math" panose="02040503050406030204" pitchFamily="18" charset="0"/>
                            <a:ea typeface="+mn-ea"/>
                            <a:cs typeface="+mn-cs"/>
                          </a:rPr>
                          <m:t>𝐴𝑌</m:t>
                        </m:r>
                      </m:sub>
                    </m:sSub>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2"/>
                                </m:argP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1"/>
                                </m:argP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d>
                      </m:e>
                    </m:d>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2F97D4A7-FF26-B64D-9429-1A34BF443A47}"/>
                </a:ext>
              </a:extLst>
            </xdr:cNvPr>
            <xdr:cNvSpPr txBox="1"/>
          </xdr:nvSpPr>
          <xdr:spPr>
            <a:xfrm>
              <a:off x="1164167" y="9196917"/>
              <a:ext cx="1905000"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𝜇_(𝐴𝑌,𝑘)^𝐿𝐷𝐹=〖𝑈𝑙𝑡〗_𝐴𝑌 [𝐺(𝑥_𝑘 )−𝐺(𝑥_(𝑘−1)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380998</xdr:colOff>
      <xdr:row>43</xdr:row>
      <xdr:rowOff>21168</xdr:rowOff>
    </xdr:from>
    <xdr:ext cx="2989921" cy="17209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3682998" y="9249835"/>
              <a:ext cx="298992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𝐼𝑛𝑐𝐿𝑜𝑠𝑠</m:t>
                        </m:r>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𝐼𝑛𝑐𝑟𝑒𝑚𝑒𝑛𝑡𝑎𝑙</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𝐸𝑚𝑒𝑟𝑔𝑒𝑛𝑐𝑒</m:t>
                    </m:r>
                    <m:r>
                      <m:rPr>
                        <m:nor/>
                      </m:rPr>
                      <a:rPr lang="en-US">
                        <a:effectLst/>
                      </a:rPr>
                      <m:t> </m:t>
                    </m:r>
                  </m:oMath>
                </m:oMathPara>
              </a14:m>
              <a:endParaRPr lang="en-US" sz="1100">
                <a:solidFill>
                  <a:schemeClr val="tx1"/>
                </a:solidFill>
              </a:endParaRPr>
            </a:p>
          </xdr:txBody>
        </xdr:sp>
      </mc:Choice>
      <mc:Fallback xmlns="">
        <xdr:sp macro="" textlink="">
          <xdr:nvSpPr>
            <xdr:cNvPr id="9" name="TextBox 8">
              <a:extLst>
                <a:ext uri="{FF2B5EF4-FFF2-40B4-BE49-F238E27FC236}">
                  <a16:creationId xmlns:a16="http://schemas.microsoft.com/office/drawing/2014/main" id="{463EBEA5-2C9D-F54D-9E0A-78204827100F}"/>
                </a:ext>
              </a:extLst>
            </xdr:cNvPr>
            <xdr:cNvSpPr txBox="1"/>
          </xdr:nvSpPr>
          <xdr:spPr>
            <a:xfrm>
              <a:off x="3682998" y="9249835"/>
              <a:ext cx="298992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𝐸[𝐼𝑛𝑐𝐿𝑜𝑠𝑠]=〖𝑈𝑙𝑡〗_𝐴𝑌×%𝐼𝑛𝑐𝑟𝑒𝑚𝑒𝑛𝑡𝑎𝑙 𝐸𝑚𝑒𝑟𝑔𝑒𝑛𝑐𝑒</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381000</xdr:colOff>
      <xdr:row>54</xdr:row>
      <xdr:rowOff>190501</xdr:rowOff>
    </xdr:from>
    <xdr:to>
      <xdr:col>3</xdr:col>
      <xdr:colOff>624417</xdr:colOff>
      <xdr:row>57</xdr:row>
      <xdr:rowOff>67575</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00000000-0008-0000-0200-00000A000000}"/>
                </a:ext>
              </a:extLst>
            </xdr:cNvPr>
            <xdr:cNvSpPr txBox="1"/>
          </xdr:nvSpPr>
          <xdr:spPr>
            <a:xfrm>
              <a:off x="1206500" y="11430001"/>
              <a:ext cx="1894417" cy="48032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𝑟</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num>
                      <m:den>
                        <m:rad>
                          <m:radPr>
                            <m:degHide m:val="on"/>
                            <m:ctrlPr>
                              <a:rPr lang="en-US" sz="1100" i="1">
                                <a:solidFill>
                                  <a:schemeClr val="tx1"/>
                                </a:solidFill>
                                <a:effectLst/>
                                <a:latin typeface="Cambria Math" panose="02040503050406030204" pitchFamily="18" charset="0"/>
                                <a:ea typeface="+mn-ea"/>
                                <a:cs typeface="+mn-cs"/>
                              </a:rPr>
                            </m:ctrlPr>
                          </m:radPr>
                          <m:deg/>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rad>
                      </m:den>
                    </m:f>
                  </m:oMath>
                </m:oMathPara>
              </a14:m>
              <a:endParaRPr lang="en-US"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00000000-0008-0000-0200-00000A000000}"/>
                </a:ext>
              </a:extLst>
            </xdr:cNvPr>
            <xdr:cNvSpPr txBox="1"/>
          </xdr:nvSpPr>
          <xdr:spPr>
            <a:xfrm>
              <a:off x="1206500" y="11430001"/>
              <a:ext cx="1894417" cy="48032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𝑟_(𝐴𝑌,𝑘)=(〖𝐼𝑛𝑐𝐿𝑜𝑠𝑠〗_(𝐴𝑌,𝑘)−𝜇_(𝐴𝑌,𝑘))/√(𝜎^2×𝜇_(𝐴𝑌,𝑘)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412749</xdr:colOff>
      <xdr:row>55</xdr:row>
      <xdr:rowOff>31752</xdr:rowOff>
    </xdr:from>
    <xdr:ext cx="3995516" cy="39248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3714749" y="11874502"/>
              <a:ext cx="3995516" cy="392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𝑁𝑜𝑟𝑚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𝑟𝑒𝑠𝑖𝑑𝑢𝑎𝑙</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𝑎𝑐𝑡𝑢𝑎𝑙</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𝑖𝑛𝑐𝑟𝑒𝑚𝑒𝑛𝑡𝑎𝑙</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𝑖𝑛𝑐𝑟𝑒𝑚𝑒𝑛𝑡𝑎𝑙</m:t>
                        </m:r>
                      </m:num>
                      <m:den>
                        <m:rad>
                          <m:radPr>
                            <m:degHide m:val="on"/>
                            <m:ctrlPr>
                              <a:rPr lang="en-US" sz="1100" i="1">
                                <a:solidFill>
                                  <a:schemeClr val="tx1"/>
                                </a:solidFill>
                                <a:effectLst/>
                                <a:latin typeface="Cambria Math" panose="02040503050406030204" pitchFamily="18" charset="0"/>
                                <a:ea typeface="+mn-ea"/>
                                <a:cs typeface="+mn-cs"/>
                              </a:rPr>
                            </m:ctrlPr>
                          </m:radPr>
                          <m:deg/>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argPr>
                                  <m:argSz m:val="-1"/>
                                </m:argPr>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𝑖𝑛𝑐𝑟𝑒𝑚𝑒𝑛𝑡𝑎𝑙</m:t>
                            </m:r>
                          </m:e>
                        </m:rad>
                      </m:den>
                    </m:f>
                    <m:r>
                      <m:rPr>
                        <m:nor/>
                      </m:rPr>
                      <a:rPr lang="en-US">
                        <a:effectLst/>
                      </a:rPr>
                      <m:t> </m:t>
                    </m:r>
                  </m:oMath>
                </m:oMathPara>
              </a14:m>
              <a:endParaRPr lang="en-US" sz="1100">
                <a:solidFill>
                  <a:schemeClr val="tx1"/>
                </a:solidFill>
              </a:endParaRPr>
            </a:p>
          </xdr:txBody>
        </xdr:sp>
      </mc:Choice>
      <mc:Fallback xmlns="">
        <xdr:sp macro="" textlink="">
          <xdr:nvSpPr>
            <xdr:cNvPr id="11" name="TextBox 10">
              <a:extLst>
                <a:ext uri="{FF2B5EF4-FFF2-40B4-BE49-F238E27FC236}">
                  <a16:creationId xmlns:a16="http://schemas.microsoft.com/office/drawing/2014/main" id="{50898F18-4EFB-5247-80F2-4F49795C82D6}"/>
                </a:ext>
              </a:extLst>
            </xdr:cNvPr>
            <xdr:cNvSpPr txBox="1"/>
          </xdr:nvSpPr>
          <xdr:spPr>
            <a:xfrm>
              <a:off x="3714749" y="11874502"/>
              <a:ext cx="3995516" cy="392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𝑁𝑜𝑟𝑚.𝑟𝑒𝑠𝑖𝑑𝑢𝑎𝑙=(𝑎𝑐𝑡𝑢𝑎𝑙 𝑖𝑛𝑐𝑟𝑒𝑚𝑒𝑛𝑡𝑎𝑙−𝑒𝑥𝑝𝑒𝑐𝑡𝑒𝑑 𝑖𝑛𝑐𝑟𝑒𝑚𝑒𝑛𝑡𝑎𝑙)/√(𝜎^2×𝑒𝑥𝑝𝑒𝑐𝑡𝑒𝑑 𝑖𝑛𝑐𝑟𝑒𝑚𝑒𝑛𝑡𝑎𝑙)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84668</xdr:colOff>
      <xdr:row>63</xdr:row>
      <xdr:rowOff>105836</xdr:rowOff>
    </xdr:from>
    <xdr:to>
      <xdr:col>7</xdr:col>
      <xdr:colOff>243416</xdr:colOff>
      <xdr:row>76</xdr:row>
      <xdr:rowOff>158752</xdr:rowOff>
    </xdr:to>
    <xdr:grpSp>
      <xdr:nvGrpSpPr>
        <xdr:cNvPr id="3" name="Group 2">
          <a:extLst>
            <a:ext uri="{FF2B5EF4-FFF2-40B4-BE49-F238E27FC236}">
              <a16:creationId xmlns:a16="http://schemas.microsoft.com/office/drawing/2014/main" id="{00000000-0008-0000-0300-000003000000}"/>
            </a:ext>
          </a:extLst>
        </xdr:cNvPr>
        <xdr:cNvGrpSpPr/>
      </xdr:nvGrpSpPr>
      <xdr:grpSpPr>
        <a:xfrm>
          <a:off x="910168" y="13059836"/>
          <a:ext cx="5545665" cy="2666999"/>
          <a:chOff x="6053668" y="9556750"/>
          <a:chExt cx="5111750" cy="2360083"/>
        </a:xfrm>
      </xdr:grpSpPr>
      <xdr:sp macro="" textlink="">
        <xdr:nvSpPr>
          <xdr:cNvPr id="2" name="Rectangle 1">
            <a:extLst>
              <a:ext uri="{FF2B5EF4-FFF2-40B4-BE49-F238E27FC236}">
                <a16:creationId xmlns:a16="http://schemas.microsoft.com/office/drawing/2014/main" id="{00000000-0008-0000-0300-000002000000}"/>
              </a:ext>
            </a:extLst>
          </xdr:cNvPr>
          <xdr:cNvSpPr/>
        </xdr:nvSpPr>
        <xdr:spPr>
          <a:xfrm>
            <a:off x="6053668" y="9556750"/>
            <a:ext cx="5111750" cy="236008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6174316" y="9622367"/>
                <a:ext cx="4938183" cy="2173425"/>
              </a:xfrm>
              <a:prstGeom prst="rect">
                <a:avLst/>
              </a:prstGeom>
              <a:noFill/>
              <a:extLst>
                <a:ext uri="{909E8E84-426E-40DD-AFC4-6F175D3DCCD1}">
                  <a14:hiddenFill>
                    <a:solidFill>
                      <a:srgbClr val="FFFFFF"/>
                    </a:solidFill>
                  </a14:hiddenFill>
                </a:ext>
              </a:extLst>
            </xdr:spPr>
          </xdr:sp>
        </mc:Choice>
        <mc:Fallback/>
      </mc:AlternateContent>
    </xdr:grpSp>
    <xdr:clientData/>
  </xdr:twoCellAnchor>
  <xdr:twoCellAnchor>
    <xdr:from>
      <xdr:col>1</xdr:col>
      <xdr:colOff>285749</xdr:colOff>
      <xdr:row>20</xdr:row>
      <xdr:rowOff>127000</xdr:rowOff>
    </xdr:from>
    <xdr:to>
      <xdr:col>3</xdr:col>
      <xdr:colOff>381000</xdr:colOff>
      <xdr:row>21</xdr:row>
      <xdr:rowOff>179181</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00000000-0008-0000-0300-000004000000}"/>
                </a:ext>
              </a:extLst>
            </xdr:cNvPr>
            <xdr:cNvSpPr txBox="1"/>
          </xdr:nvSpPr>
          <xdr:spPr>
            <a:xfrm>
              <a:off x="1111249" y="4243917"/>
              <a:ext cx="1809751" cy="26384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2"/>
                            </m:argPr>
                            <m:r>
                              <a:rPr lang="en-US" sz="1100" i="1">
                                <a:solidFill>
                                  <a:schemeClr val="tx1"/>
                                </a:solidFill>
                                <a:effectLst/>
                                <a:latin typeface="Cambria Math" panose="02040503050406030204" pitchFamily="18" charset="0"/>
                                <a:ea typeface="+mn-ea"/>
                                <a:cs typeface="+mn-cs"/>
                              </a:rPr>
                              <m:t>𝑃𝑟𝑜𝑠𝑝</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oMath>
                </m:oMathPara>
              </a14:m>
              <a:endParaRPr lang="en-US"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5C20C3B4-83FA-C147-8F62-1CB0FF839E26}"/>
                </a:ext>
              </a:extLst>
            </xdr:cNvPr>
            <xdr:cNvSpPr txBox="1"/>
          </xdr:nvSpPr>
          <xdr:spPr>
            <a:xfrm>
              <a:off x="1111249" y="4243917"/>
              <a:ext cx="1809751" cy="26384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𝐸[〖𝐿𝑜𝑠𝑠〗_𝑃𝑟𝑜𝑠𝑝 ]=𝑃𝑟𝑒𝑚×𝐸𝐿𝑅</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254000</xdr:colOff>
      <xdr:row>24</xdr:row>
      <xdr:rowOff>148167</xdr:rowOff>
    </xdr:from>
    <xdr:to>
      <xdr:col>3</xdr:col>
      <xdr:colOff>529166</xdr:colOff>
      <xdr:row>26</xdr:row>
      <xdr:rowOff>21167</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00000000-0008-0000-0300-000005000000}"/>
                </a:ext>
              </a:extLst>
            </xdr:cNvPr>
            <xdr:cNvSpPr txBox="1"/>
          </xdr:nvSpPr>
          <xdr:spPr>
            <a:xfrm>
              <a:off x="1079500" y="5122334"/>
              <a:ext cx="1989666" cy="2963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𝑃𝑟𝑜𝑐𝑒𝑠𝑠𝑉𝑎𝑟</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argPr>
                          <m:argSz m:val="-2"/>
                        </m:argPr>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2"/>
                            </m:argPr>
                            <m:r>
                              <a:rPr lang="en-US" sz="1100" i="1">
                                <a:solidFill>
                                  <a:schemeClr val="tx1"/>
                                </a:solidFill>
                                <a:effectLst/>
                                <a:latin typeface="Cambria Math" panose="02040503050406030204" pitchFamily="18" charset="0"/>
                                <a:ea typeface="+mn-ea"/>
                                <a:cs typeface="+mn-cs"/>
                              </a:rPr>
                              <m:t>𝑃𝑟𝑜𝑝</m:t>
                            </m:r>
                          </m:sub>
                        </m:sSub>
                      </m:e>
                    </m:d>
                  </m:oMath>
                </m:oMathPara>
              </a14:m>
              <a:endParaRPr lang="en-US"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1AD3ABBC-F6F8-B64C-A69F-99FD2FD1458C}"/>
                </a:ext>
              </a:extLst>
            </xdr:cNvPr>
            <xdr:cNvSpPr txBox="1"/>
          </xdr:nvSpPr>
          <xdr:spPr>
            <a:xfrm>
              <a:off x="1079500" y="5122334"/>
              <a:ext cx="1989666" cy="2963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𝑃𝑟𝑜𝑐𝑒𝑠𝑠𝑉𝑎𝑟=𝜎^2×𝐸[〖𝐿𝑜𝑠𝑠〗_𝑃𝑟𝑜𝑝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232833</xdr:colOff>
      <xdr:row>28</xdr:row>
      <xdr:rowOff>148168</xdr:rowOff>
    </xdr:from>
    <xdr:to>
      <xdr:col>3</xdr:col>
      <xdr:colOff>814916</xdr:colOff>
      <xdr:row>29</xdr:row>
      <xdr:rowOff>200933</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00000000-0008-0000-0300-000006000000}"/>
                </a:ext>
              </a:extLst>
            </xdr:cNvPr>
            <xdr:cNvSpPr txBox="1"/>
          </xdr:nvSpPr>
          <xdr:spPr>
            <a:xfrm>
              <a:off x="1058333" y="5947835"/>
              <a:ext cx="229658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𝑃𝑎𝑟𝑎𝑚𝑒𝑡𝑒𝑟𝑉𝑎𝑟</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Var</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𝑃𝑟𝑒𝑚</m:t>
                        </m:r>
                      </m:e>
                      <m:sup>
                        <m:argPr>
                          <m:argSz m:val="-1"/>
                        </m:argPr>
                        <m:r>
                          <a:rPr lang="en-US" sz="1100" i="1">
                            <a:solidFill>
                              <a:schemeClr val="tx1"/>
                            </a:solidFill>
                            <a:effectLst/>
                            <a:latin typeface="Cambria Math" panose="02040503050406030204" pitchFamily="18" charset="0"/>
                            <a:ea typeface="+mn-ea"/>
                            <a:cs typeface="+mn-cs"/>
                          </a:rPr>
                          <m:t>2</m:t>
                        </m:r>
                      </m:sup>
                    </m:sSup>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4E056916-54A4-084F-9CE7-1CFD3A593382}"/>
                </a:ext>
              </a:extLst>
            </xdr:cNvPr>
            <xdr:cNvSpPr txBox="1"/>
          </xdr:nvSpPr>
          <xdr:spPr>
            <a:xfrm>
              <a:off x="1058333" y="5947835"/>
              <a:ext cx="229658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𝑃𝑎𝑟𝑎𝑚𝑒𝑡𝑒𝑟𝑉𝑎𝑟=Var(𝐸𝐿𝑅)×〖𝑃𝑟𝑒𝑚〗^2</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254001</xdr:colOff>
      <xdr:row>42</xdr:row>
      <xdr:rowOff>95250</xdr:rowOff>
    </xdr:from>
    <xdr:to>
      <xdr:col>5</xdr:col>
      <xdr:colOff>254000</xdr:colOff>
      <xdr:row>43</xdr:row>
      <xdr:rowOff>147492</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00000000-0008-0000-0300-000007000000}"/>
                </a:ext>
              </a:extLst>
            </xdr:cNvPr>
            <xdr:cNvSpPr txBox="1"/>
          </xdr:nvSpPr>
          <xdr:spPr>
            <a:xfrm>
              <a:off x="1079501" y="7323667"/>
              <a:ext cx="3386666" cy="25332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𝑆𝑡𝑑𝐷𝑒𝑣</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2"/>
                            </m:argPr>
                            <m:r>
                              <a:rPr lang="en-US" sz="1100" i="1">
                                <a:solidFill>
                                  <a:schemeClr val="tx1"/>
                                </a:solidFill>
                                <a:effectLst/>
                                <a:latin typeface="Cambria Math" panose="02040503050406030204" pitchFamily="18" charset="0"/>
                                <a:ea typeface="+mn-ea"/>
                                <a:cs typeface="+mn-cs"/>
                              </a:rPr>
                              <m:t>𝑃𝑟𝑜𝑠𝑝</m:t>
                            </m:r>
                          </m:sub>
                        </m:sSub>
                      </m:e>
                    </m:d>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𝑃𝑟𝑜𝑐𝑒𝑠𝑠𝑉𝑎𝑟</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𝑃𝑎𝑟𝑎𝑚𝑒𝑡𝑒𝑟𝑉𝑎𝑟</m:t>
                        </m:r>
                      </m:e>
                    </m:rad>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D5FE0E44-8BE5-644A-8666-0212BD647FB5}"/>
                </a:ext>
              </a:extLst>
            </xdr:cNvPr>
            <xdr:cNvSpPr txBox="1"/>
          </xdr:nvSpPr>
          <xdr:spPr>
            <a:xfrm>
              <a:off x="1079501" y="7323667"/>
              <a:ext cx="3386666" cy="25332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𝑆𝑡𝑑𝐷𝑒𝑣(〖𝐿𝑜𝑠𝑠〗_𝑃𝑟𝑜𝑠𝑝 )=√(𝑃𝑟𝑜𝑐𝑒𝑠𝑠𝑉𝑎𝑟+𝑃𝑎𝑟𝑎𝑚𝑒𝑡𝑒𝑟𝑉𝑎𝑟)</a:t>
              </a:r>
              <a:endParaRPr lang="en-US" sz="1100">
                <a:solidFill>
                  <a:schemeClr val="tx1"/>
                </a:solidFill>
                <a:effectLst/>
                <a:latin typeface="+mn-lt"/>
                <a:ea typeface="+mn-ea"/>
                <a:cs typeface="+mn-cs"/>
              </a:endParaRPr>
            </a:p>
          </xdr:txBody>
        </xdr:sp>
      </mc:Fallback>
    </mc:AlternateContent>
    <xdr:clientData/>
  </xdr:twoCellAnchor>
  <xdr:oneCellAnchor>
    <xdr:from>
      <xdr:col>4</xdr:col>
      <xdr:colOff>190500</xdr:colOff>
      <xdr:row>44</xdr:row>
      <xdr:rowOff>148166</xdr:rowOff>
    </xdr:from>
    <xdr:ext cx="3059619" cy="321370"/>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3566583" y="7778749"/>
              <a:ext cx="3059619"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𝑐𝑜𝑒𝑓𝑓𝑖𝑐𝑖𝑒𝑛𝑡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𝑜𝑓</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𝑣𝑎𝑟𝑖𝑎𝑡𝑖𝑜𝑛</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𝑠𝑡𝑎𝑛𝑑𝑎𝑟𝑑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𝑑𝑒𝑣𝑖𝑎𝑡𝑖𝑜𝑛</m:t>
                        </m:r>
                      </m:num>
                      <m:den>
                        <m:r>
                          <a:rPr lang="en-US" sz="1100" i="1">
                            <a:solidFill>
                              <a:schemeClr val="tx1"/>
                            </a:solidFill>
                            <a:effectLst/>
                            <a:latin typeface="Cambria Math" panose="02040503050406030204" pitchFamily="18" charset="0"/>
                            <a:ea typeface="+mn-ea"/>
                            <a:cs typeface="+mn-cs"/>
                          </a:rPr>
                          <m:t>𝑚𝑒𝑎𝑛</m:t>
                        </m:r>
                      </m:den>
                    </m:f>
                    <m:r>
                      <m:rPr>
                        <m:nor/>
                      </m:rPr>
                      <a:rPr lang="en-US">
                        <a:effectLst/>
                      </a:rPr>
                      <m:t> </m:t>
                    </m:r>
                  </m:oMath>
                </m:oMathPara>
              </a14:m>
              <a:endParaRPr lang="en-US" sz="1100">
                <a:solidFill>
                  <a:schemeClr val="tx1"/>
                </a:solidFill>
              </a:endParaRPr>
            </a:p>
          </xdr:txBody>
        </xdr:sp>
      </mc:Choice>
      <mc:Fallback xmlns="">
        <xdr:sp macro="" textlink="">
          <xdr:nvSpPr>
            <xdr:cNvPr id="8" name="TextBox 7">
              <a:extLst>
                <a:ext uri="{FF2B5EF4-FFF2-40B4-BE49-F238E27FC236}">
                  <a16:creationId xmlns:a16="http://schemas.microsoft.com/office/drawing/2014/main" id="{0057B34B-D1F1-C64E-B96F-8B4045E8EED0}"/>
                </a:ext>
              </a:extLst>
            </xdr:cNvPr>
            <xdr:cNvSpPr txBox="1"/>
          </xdr:nvSpPr>
          <xdr:spPr>
            <a:xfrm>
              <a:off x="3566583" y="7778749"/>
              <a:ext cx="3059619"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𝑐𝑜𝑒𝑓𝑓𝑖𝑐𝑖𝑒𝑛𝑡 𝑜𝑓 𝑣𝑎𝑟𝑖𝑎𝑡𝑖𝑜𝑛=(𝑠𝑡𝑎𝑛𝑑𝑎𝑟𝑑 𝑑𝑒𝑣𝑖𝑎𝑡𝑖𝑜𝑛)/𝑚𝑒𝑎𝑛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243415</xdr:colOff>
      <xdr:row>44</xdr:row>
      <xdr:rowOff>127001</xdr:rowOff>
    </xdr:from>
    <xdr:to>
      <xdr:col>3</xdr:col>
      <xdr:colOff>201083</xdr:colOff>
      <xdr:row>46</xdr:row>
      <xdr:rowOff>178682</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00000000-0008-0000-0300-000009000000}"/>
                </a:ext>
              </a:extLst>
            </xdr:cNvPr>
            <xdr:cNvSpPr txBox="1"/>
          </xdr:nvSpPr>
          <xdr:spPr>
            <a:xfrm>
              <a:off x="1068915" y="7757584"/>
              <a:ext cx="1672168" cy="45384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𝐶𝑉</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m:rPr>
                            <m:sty m:val="p"/>
                          </m:rPr>
                          <a:rPr lang="en-US" sz="1100">
                            <a:solidFill>
                              <a:schemeClr val="tx1"/>
                            </a:solidFill>
                            <a:effectLst/>
                            <a:latin typeface="Cambria Math" panose="02040503050406030204" pitchFamily="18" charset="0"/>
                            <a:ea typeface="+mn-ea"/>
                            <a:cs typeface="+mn-cs"/>
                          </a:rPr>
                          <m:t>Std</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Dev</m:t>
                        </m:r>
                        <m:r>
                          <a:rPr lang="en-US" sz="1100" i="1">
                            <a:solidFill>
                              <a:schemeClr val="tx1"/>
                            </a:solidFill>
                            <a:effectLst/>
                            <a:latin typeface="Cambria Math" panose="02040503050406030204" pitchFamily="18" charset="0"/>
                            <a:ea typeface="+mn-ea"/>
                            <a:cs typeface="+mn-cs"/>
                          </a:rPr>
                          <m:t> </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𝑃𝑟𝑜𝑠𝑝</m:t>
                                </m:r>
                              </m:sub>
                            </m:sSub>
                          </m:e>
                        </m:d>
                      </m:num>
                      <m:den>
                        <m:r>
                          <a:rPr lang="en-US" sz="1100" i="1">
                            <a:solidFill>
                              <a:schemeClr val="tx1"/>
                            </a:solidFill>
                            <a:effectLst/>
                            <a:latin typeface="Cambria Math" panose="02040503050406030204" pitchFamily="18" charset="0"/>
                            <a:ea typeface="+mn-ea"/>
                            <a:cs typeface="+mn-cs"/>
                          </a:rPr>
                          <m:t>𝑅𝑒𝑠𝑣</m:t>
                        </m:r>
                      </m:den>
                    </m:f>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2FE8516E-0AF3-1540-BCB1-407E125F1B9A}"/>
                </a:ext>
              </a:extLst>
            </xdr:cNvPr>
            <xdr:cNvSpPr txBox="1"/>
          </xdr:nvSpPr>
          <xdr:spPr>
            <a:xfrm>
              <a:off x="1068915" y="7757584"/>
              <a:ext cx="1672168" cy="45384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𝐶𝑉=(Std Dev (〖𝐿𝑜𝑠𝑠〗_𝑃𝑟𝑜𝑠𝑝 ))/𝑅𝑒𝑠𝑣</a:t>
              </a:r>
              <a:endParaRPr lang="en-US" sz="1100">
                <a:solidFill>
                  <a:schemeClr val="tx1"/>
                </a:solidFill>
                <a:effectLst/>
                <a:latin typeface="+mn-lt"/>
                <a:ea typeface="+mn-ea"/>
                <a:cs typeface="+mn-cs"/>
              </a:endParaRP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148165</xdr:colOff>
      <xdr:row>30</xdr:row>
      <xdr:rowOff>21166</xdr:rowOff>
    </xdr:from>
    <xdr:to>
      <xdr:col>2</xdr:col>
      <xdr:colOff>486832</xdr:colOff>
      <xdr:row>31</xdr:row>
      <xdr:rowOff>157483</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00000000-0008-0000-0400-000002000000}"/>
                </a:ext>
              </a:extLst>
            </xdr:cNvPr>
            <xdr:cNvSpPr txBox="1"/>
          </xdr:nvSpPr>
          <xdr:spPr>
            <a:xfrm>
              <a:off x="973665" y="5812366"/>
              <a:ext cx="1227667" cy="364917"/>
            </a:xfrm>
            <a:prstGeom prst="rect">
              <a:avLst/>
            </a:prstGeom>
            <a:noFill/>
            <a:ln>
              <a:solidFill>
                <a:sysClr val="windowText" lastClr="000000"/>
              </a:solidFill>
            </a:ln>
            <a:effectLst/>
          </xdr:spPr>
          <xdr:txBody>
            <a:bodyPr wrap="square" lIns="45720" tIns="45720" rIns="45720" bIns="45720" rtlCol="0" anchor="t">
              <a:spAutoFit/>
            </a:bodyPr>
            <a:lstStyle/>
            <a:p>
              <a:pPr marL="0" marR="0"/>
              <a14:m>
                <m:oMathPara xmlns:m="http://schemas.openxmlformats.org/officeDocument/2006/math">
                  <m:oMathParaPr>
                    <m:jc m:val="centerGroup"/>
                  </m:oMathParaPr>
                  <m:oMath xmlns:m="http://schemas.openxmlformats.org/officeDocument/2006/math">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𝐺</m:t>
                    </m: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e>
                    </m:d>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=1−</m:t>
                    </m:r>
                    <m:sSup>
                      <m:s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pPr>
                      <m:e>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𝑒</m:t>
                        </m:r>
                      </m:e>
                      <m:sup>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m:t>
                        </m:r>
                        <m:sSup>
                          <m:sSup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sSupPr>
                          <m:e>
                            <m:argPr>
                              <m:argSz m:val="-1"/>
                            </m:argPr>
                            <m:d>
                              <m:d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dPr>
                              <m:e>
                                <m:argPr>
                                  <m:argSz m:val="-1"/>
                                </m:argPr>
                                <m:f>
                                  <m:fPr>
                                    <m:ctrlPr>
                                      <a:rPr lang="en-US" sz="1100" i="1" kern="100">
                                        <a:effectLst/>
                                        <a:latin typeface="Cambria Math" panose="02040503050406030204" pitchFamily="18" charset="0"/>
                                        <a:ea typeface="Cambria" panose="02040503050406030204" pitchFamily="18" charset="0"/>
                                        <a:cs typeface="Times New Roman" panose="02020603050405020304" pitchFamily="18" charset="0"/>
                                      </a:rPr>
                                    </m:ctrlPr>
                                  </m:fPr>
                                  <m:num>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𝑥</m:t>
                                    </m:r>
                                  </m:num>
                                  <m:den>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𝜃</m:t>
                                    </m:r>
                                  </m:den>
                                </m:f>
                              </m:e>
                            </m:d>
                          </m:e>
                          <m:sup>
                            <m:argPr>
                              <m:argSz m:val="-1"/>
                            </m:argPr>
                            <m:r>
                              <a:rPr lang="en-US" sz="1100" i="1" kern="100">
                                <a:effectLst/>
                                <a:latin typeface="Cambria Math" panose="02040503050406030204" pitchFamily="18" charset="0"/>
                                <a:ea typeface="Cambria" panose="02040503050406030204" pitchFamily="18" charset="0"/>
                                <a:cs typeface="Times New Roman" panose="02020603050405020304" pitchFamily="18" charset="0"/>
                              </a:rPr>
                              <m:t>𝜔</m:t>
                            </m:r>
                          </m:sup>
                        </m:sSup>
                      </m:sup>
                    </m:sSup>
                  </m:oMath>
                </m:oMathPara>
              </a14:m>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2" name="TextBox 2">
              <a:extLst>
                <a:ext uri="{FF2B5EF4-FFF2-40B4-BE49-F238E27FC236}">
                  <a16:creationId xmlns:a16="http://schemas.microsoft.com/office/drawing/2014/main" id="{AC7FA5F2-9341-894F-B5DF-19E53FA2DB30}"/>
                </a:ext>
              </a:extLst>
            </xdr:cNvPr>
            <xdr:cNvSpPr txBox="1"/>
          </xdr:nvSpPr>
          <xdr:spPr>
            <a:xfrm>
              <a:off x="973665" y="5812366"/>
              <a:ext cx="1227667" cy="364917"/>
            </a:xfrm>
            <a:prstGeom prst="rect">
              <a:avLst/>
            </a:prstGeom>
            <a:noFill/>
            <a:ln>
              <a:solidFill>
                <a:sysClr val="windowText" lastClr="000000"/>
              </a:solidFill>
            </a:ln>
            <a:effectLst/>
          </xdr:spPr>
          <xdr:txBody>
            <a:bodyPr wrap="square" lIns="45720" tIns="45720" rIns="45720" bIns="45720" rtlCol="0" anchor="t">
              <a:spAutoFit/>
            </a:bodyPr>
            <a:lstStyle/>
            <a:p>
              <a:pPr marL="0" marR="0"/>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𝐺</a:t>
              </a:r>
              <a:r>
                <a:rPr lang="en-US" sz="1100" i="0" kern="100">
                  <a:effectLst/>
                  <a:latin typeface="Cambria Math" panose="02040503050406030204" pitchFamily="18" charset="0"/>
                  <a:cs typeface="Times New Roman" panose="02020603050405020304" pitchFamily="18" charset="0"/>
                </a:rPr>
                <a:t>(</a:t>
              </a:r>
              <a:r>
                <a:rPr lang="en-US" sz="1100" i="0" kern="100">
                  <a:effectLst/>
                  <a:latin typeface="Cambria Math" panose="02040503050406030204" pitchFamily="18" charset="0"/>
                  <a:ea typeface="Cambria" panose="02040503050406030204" pitchFamily="18" charset="0"/>
                  <a:cs typeface="Times New Roman" panose="02020603050405020304" pitchFamily="18" charset="0"/>
                </a:rPr>
                <a:t>𝑥)=1−𝑒^(−(𝑥/𝜃)^𝜔 )</a:t>
              </a:r>
              <a:endParaRPr lang="en-US" sz="1200" kern="100">
                <a:effectLst/>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twoCellAnchor>
  <xdr:twoCellAnchor>
    <xdr:from>
      <xdr:col>1</xdr:col>
      <xdr:colOff>254000</xdr:colOff>
      <xdr:row>38</xdr:row>
      <xdr:rowOff>63499</xdr:rowOff>
    </xdr:from>
    <xdr:to>
      <xdr:col>5</xdr:col>
      <xdr:colOff>211666</xdr:colOff>
      <xdr:row>39</xdr:row>
      <xdr:rowOff>126847</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00000000-0008-0000-0400-000005000000}"/>
                </a:ext>
              </a:extLst>
            </xdr:cNvPr>
            <xdr:cNvSpPr txBox="1"/>
          </xdr:nvSpPr>
          <xdr:spPr>
            <a:xfrm>
              <a:off x="1079500" y="7799916"/>
              <a:ext cx="334433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𝐸𝑠𝑡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𝐷𝑒𝑣𝑒𝑙𝑜𝑝𝑚𝑒𝑛𝑡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+12)−</m:t>
                    </m:r>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 </m:t>
                    </m:r>
                  </m:oMath>
                </m:oMathPara>
              </a14:m>
              <a:endParaRPr lang="en-US"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529D9ADA-F451-5D4E-AFE8-F53021DE86C9}"/>
                </a:ext>
              </a:extLst>
            </xdr:cNvPr>
            <xdr:cNvSpPr txBox="1"/>
          </xdr:nvSpPr>
          <xdr:spPr>
            <a:xfrm>
              <a:off x="1079500" y="7799916"/>
              <a:ext cx="334433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𝐸𝑠𝑡 𝐷𝑒𝑣𝑒𝑙𝑜𝑝𝑚𝑒𝑛𝑡=𝑃𝑟𝑒𝑚×𝐸𝐿𝑅×[𝐺(𝑥+12)−𝐺(𝑥)]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222250</xdr:colOff>
      <xdr:row>42</xdr:row>
      <xdr:rowOff>52916</xdr:rowOff>
    </xdr:from>
    <xdr:to>
      <xdr:col>4</xdr:col>
      <xdr:colOff>507999</xdr:colOff>
      <xdr:row>43</xdr:row>
      <xdr:rowOff>116264</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00000000-0008-0000-0400-000006000000}"/>
                </a:ext>
              </a:extLst>
            </xdr:cNvPr>
            <xdr:cNvSpPr txBox="1"/>
          </xdr:nvSpPr>
          <xdr:spPr>
            <a:xfrm>
              <a:off x="1047750" y="8593666"/>
              <a:ext cx="2846916"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𝐸𝑠𝑡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𝐷𝑒𝑣𝑒𝑙𝑜𝑝𝑚𝑒𝑛𝑡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+12)−</m:t>
                    </m:r>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 </m:t>
                    </m:r>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BFBE12D7-DF2D-2147-97DA-D45E2D710147}"/>
                </a:ext>
              </a:extLst>
            </xdr:cNvPr>
            <xdr:cNvSpPr txBox="1"/>
          </xdr:nvSpPr>
          <xdr:spPr>
            <a:xfrm>
              <a:off x="1047750" y="8593666"/>
              <a:ext cx="2846916"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𝐸𝑠𝑡 𝐷𝑒𝑣𝑒𝑙𝑜𝑝𝑚𝑒𝑛𝑡=𝑈𝑙𝑡×[𝐺(𝑥+12)−𝐺(𝑥)]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190500</xdr:colOff>
      <xdr:row>60</xdr:row>
      <xdr:rowOff>158750</xdr:rowOff>
    </xdr:from>
    <xdr:to>
      <xdr:col>4</xdr:col>
      <xdr:colOff>381001</xdr:colOff>
      <xdr:row>62</xdr:row>
      <xdr:rowOff>43521</xdr:rowOff>
    </xdr:to>
    <mc:AlternateContent xmlns:mc="http://schemas.openxmlformats.org/markup-compatibility/2006">
      <mc:Choice xmlns:a14="http://schemas.microsoft.com/office/drawing/2010/main" Requires="a14">
        <xdr:sp macro="" textlink="">
          <xdr:nvSpPr>
            <xdr:cNvPr id="7" name="TextBox 2">
              <a:extLst>
                <a:ext uri="{FF2B5EF4-FFF2-40B4-BE49-F238E27FC236}">
                  <a16:creationId xmlns:a16="http://schemas.microsoft.com/office/drawing/2014/main" id="{00000000-0008-0000-0400-000007000000}"/>
                </a:ext>
              </a:extLst>
            </xdr:cNvPr>
            <xdr:cNvSpPr txBox="1"/>
          </xdr:nvSpPr>
          <xdr:spPr>
            <a:xfrm>
              <a:off x="1016000" y="12350750"/>
              <a:ext cx="2751668" cy="2869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𝑆𝑡𝑑𝐷𝑒𝑣</m:t>
                    </m:r>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𝑃𝑟𝑜𝑐𝑒𝑠𝑠𝑉𝑎𝑟</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𝑃𝑎𝑟𝑎𝑚𝑒𝑡𝑒𝑟𝑉𝑎𝑟</m:t>
                        </m:r>
                      </m:e>
                    </m:rad>
                  </m:oMath>
                </m:oMathPara>
              </a14:m>
              <a:endParaRPr lang="en-US" sz="1100">
                <a:solidFill>
                  <a:schemeClr val="tx1"/>
                </a:solidFill>
                <a:effectLst/>
                <a:latin typeface="+mn-lt"/>
                <a:ea typeface="+mn-ea"/>
                <a:cs typeface="+mn-cs"/>
              </a:endParaRPr>
            </a:p>
          </xdr:txBody>
        </xdr:sp>
      </mc:Choice>
      <mc:Fallback>
        <xdr:sp macro="" textlink="">
          <xdr:nvSpPr>
            <xdr:cNvPr id="7" name="TextBox 2">
              <a:extLst>
                <a:ext uri="{FF2B5EF4-FFF2-40B4-BE49-F238E27FC236}">
                  <a16:creationId xmlns:a16="http://schemas.microsoft.com/office/drawing/2014/main" id="{00000000-0008-0000-0400-000007000000}"/>
                </a:ext>
              </a:extLst>
            </xdr:cNvPr>
            <xdr:cNvSpPr txBox="1"/>
          </xdr:nvSpPr>
          <xdr:spPr>
            <a:xfrm>
              <a:off x="1016000" y="12350750"/>
              <a:ext cx="2751668" cy="2869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𝑆𝑡𝑑𝐷𝑒𝑣=√(𝑃𝑟𝑜𝑐𝑒𝑠𝑠𝑉𝑎𝑟+𝑃𝑎𝑟𝑎𝑚𝑒𝑡𝑒𝑟𝑉𝑎𝑟)</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285749</xdr:colOff>
      <xdr:row>54</xdr:row>
      <xdr:rowOff>179917</xdr:rowOff>
    </xdr:from>
    <xdr:to>
      <xdr:col>4</xdr:col>
      <xdr:colOff>63500</xdr:colOff>
      <xdr:row>56</xdr:row>
      <xdr:rowOff>45387</xdr:rowOff>
    </xdr:to>
    <mc:AlternateContent xmlns:mc="http://schemas.openxmlformats.org/markup-compatibility/2006">
      <mc:Choice xmlns:a14="http://schemas.microsoft.com/office/drawing/2010/main" Requires="a14">
        <xdr:sp macro="" textlink="">
          <xdr:nvSpPr>
            <xdr:cNvPr id="8" name="TextBox 2">
              <a:extLst>
                <a:ext uri="{FF2B5EF4-FFF2-40B4-BE49-F238E27FC236}">
                  <a16:creationId xmlns:a16="http://schemas.microsoft.com/office/drawing/2014/main" id="{00000000-0008-0000-0400-000008000000}"/>
                </a:ext>
              </a:extLst>
            </xdr:cNvPr>
            <xdr:cNvSpPr txBox="1"/>
          </xdr:nvSpPr>
          <xdr:spPr>
            <a:xfrm>
              <a:off x="1111249" y="11144250"/>
              <a:ext cx="2338918" cy="26763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𝑃𝑟𝑜𝑐𝑒𝑠𝑠𝑉𝑎𝑟</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𝐸𝑠</m:t>
                    </m:r>
                    <m:r>
                      <a:rPr lang="en-US" sz="1100" b="0" i="1">
                        <a:solidFill>
                          <a:schemeClr val="tx1"/>
                        </a:solidFill>
                        <a:effectLst/>
                        <a:latin typeface="Cambria Math" panose="02040503050406030204" pitchFamily="18" charset="0"/>
                        <a:ea typeface="+mn-ea"/>
                        <a:cs typeface="+mn-cs"/>
                      </a:rPr>
                      <m:t>𝑡</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𝐷𝑒𝑣𝑒𝑙𝑜𝑝𝑚𝑒𝑛𝑡</m:t>
                    </m:r>
                  </m:oMath>
                </m:oMathPara>
              </a14:m>
              <a:endParaRPr lang="en-US" sz="1100">
                <a:solidFill>
                  <a:schemeClr val="tx1"/>
                </a:solidFill>
                <a:effectLst/>
                <a:latin typeface="+mn-lt"/>
                <a:ea typeface="+mn-ea"/>
                <a:cs typeface="+mn-cs"/>
              </a:endParaRPr>
            </a:p>
          </xdr:txBody>
        </xdr:sp>
      </mc:Choice>
      <mc:Fallback>
        <xdr:sp macro="" textlink="">
          <xdr:nvSpPr>
            <xdr:cNvPr id="8" name="TextBox 2">
              <a:extLst>
                <a:ext uri="{FF2B5EF4-FFF2-40B4-BE49-F238E27FC236}">
                  <a16:creationId xmlns:a16="http://schemas.microsoft.com/office/drawing/2014/main" id="{00000000-0008-0000-0400-000008000000}"/>
                </a:ext>
              </a:extLst>
            </xdr:cNvPr>
            <xdr:cNvSpPr txBox="1"/>
          </xdr:nvSpPr>
          <xdr:spPr>
            <a:xfrm>
              <a:off x="1111249" y="11144250"/>
              <a:ext cx="2338918" cy="26763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𝑃𝑟𝑜𝑐𝑒𝑠𝑠𝑉𝑎𝑟=𝜎^2×𝐸</a:t>
              </a:r>
              <a:r>
                <a:rPr lang="en-US" sz="1100" b="0" i="0">
                  <a:solidFill>
                    <a:schemeClr val="tx1"/>
                  </a:solidFill>
                  <a:effectLst/>
                  <a:latin typeface="Cambria Math" panose="02040503050406030204" pitchFamily="18" charset="0"/>
                  <a:ea typeface="+mn-ea"/>
                  <a:cs typeface="+mn-cs"/>
                </a:rPr>
                <a:t>𝑠𝑡 𝐷𝑒𝑣𝑒𝑙𝑜𝑝𝑚𝑒𝑛𝑡</a:t>
              </a:r>
              <a:endParaRPr lang="en-US" sz="1100">
                <a:solidFill>
                  <a:schemeClr val="tx1"/>
                </a:solidFill>
                <a:effectLst/>
                <a:latin typeface="+mn-lt"/>
                <a:ea typeface="+mn-ea"/>
                <a:cs typeface="+mn-cs"/>
              </a:endParaRP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137584</xdr:colOff>
      <xdr:row>26</xdr:row>
      <xdr:rowOff>95248</xdr:rowOff>
    </xdr:from>
    <xdr:to>
      <xdr:col>2</xdr:col>
      <xdr:colOff>465668</xdr:colOff>
      <xdr:row>28</xdr:row>
      <xdr:rowOff>95688</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00000000-0008-0000-0500-000004000000}"/>
                </a:ext>
              </a:extLst>
            </xdr:cNvPr>
            <xdr:cNvSpPr txBox="1"/>
          </xdr:nvSpPr>
          <xdr:spPr>
            <a:xfrm>
              <a:off x="963084" y="5886448"/>
              <a:ext cx="1153584" cy="444940"/>
            </a:xfrm>
            <a:prstGeom prst="rect">
              <a:avLst/>
            </a:prstGeom>
            <a:noFill/>
            <a:ln>
              <a:solidFill>
                <a:sysClr val="windowText" lastClr="000000"/>
              </a:solidFill>
            </a:ln>
            <a:effectLst/>
          </xdr:spPr>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effectLst/>
                        <a:latin typeface="Cambria Math" panose="02040503050406030204" pitchFamily="18" charset="0"/>
                        <a:ea typeface="+mn-ea"/>
                        <a:cs typeface="+mn-cs"/>
                      </a:rPr>
                      <m:t>𝐺</m:t>
                    </m:r>
                    <m:d>
                      <m:dPr>
                        <m:ctrlPr>
                          <a:rPr lang="en-US" sz="1100" i="1">
                            <a:effectLst/>
                            <a:latin typeface="Cambria Math" panose="02040503050406030204" pitchFamily="18" charset="0"/>
                            <a:ea typeface="+mn-ea"/>
                            <a:cs typeface="+mn-cs"/>
                          </a:rPr>
                        </m:ctrlPr>
                      </m:dPr>
                      <m:e>
                        <m:r>
                          <a:rPr lang="en-US" sz="1100" i="1">
                            <a:effectLst/>
                            <a:latin typeface="Cambria Math" panose="02040503050406030204" pitchFamily="18" charset="0"/>
                            <a:ea typeface="+mn-ea"/>
                            <a:cs typeface="+mn-cs"/>
                          </a:rPr>
                          <m:t>𝑥</m:t>
                        </m:r>
                      </m:e>
                    </m:d>
                    <m:r>
                      <a:rPr lang="en-US" sz="1100" i="1">
                        <a:effectLst/>
                        <a:latin typeface="Cambria Math" panose="02040503050406030204" pitchFamily="18" charset="0"/>
                        <a:ea typeface="+mn-ea"/>
                        <a:cs typeface="+mn-cs"/>
                      </a:rPr>
                      <m:t>=</m:t>
                    </m:r>
                    <m:f>
                      <m:fPr>
                        <m:ctrlPr>
                          <a:rPr lang="en-US" sz="1100" i="1">
                            <a:effectLst/>
                            <a:latin typeface="Cambria Math" panose="02040503050406030204" pitchFamily="18" charset="0"/>
                            <a:ea typeface="+mn-ea"/>
                            <a:cs typeface="+mn-cs"/>
                          </a:rPr>
                        </m:ctrlPr>
                      </m:fPr>
                      <m:num>
                        <m:sSup>
                          <m:sSupPr>
                            <m:ctrlPr>
                              <a:rPr lang="en-US" sz="1100" i="1">
                                <a:effectLst/>
                                <a:latin typeface="Cambria Math" panose="02040503050406030204" pitchFamily="18" charset="0"/>
                                <a:ea typeface="+mn-ea"/>
                                <a:cs typeface="+mn-cs"/>
                              </a:rPr>
                            </m:ctrlPr>
                          </m:sSupPr>
                          <m:e>
                            <m:r>
                              <a:rPr lang="en-US" sz="1100" i="1">
                                <a:effectLst/>
                                <a:latin typeface="Cambria Math" panose="02040503050406030204" pitchFamily="18" charset="0"/>
                                <a:ea typeface="+mn-ea"/>
                                <a:cs typeface="+mn-cs"/>
                              </a:rPr>
                              <m:t>𝑥</m:t>
                            </m:r>
                          </m:e>
                          <m:sup>
                            <m:argPr>
                              <m:argSz m:val="-1"/>
                            </m:argPr>
                            <m:r>
                              <a:rPr lang="en-US" sz="1100" i="1">
                                <a:effectLst/>
                                <a:latin typeface="Cambria Math" panose="02040503050406030204" pitchFamily="18" charset="0"/>
                                <a:ea typeface="+mn-ea"/>
                                <a:cs typeface="+mn-cs"/>
                              </a:rPr>
                              <m:t>𝜔</m:t>
                            </m:r>
                          </m:sup>
                        </m:sSup>
                      </m:num>
                      <m:den>
                        <m:sSup>
                          <m:sSupPr>
                            <m:ctrlPr>
                              <a:rPr lang="en-US" sz="1100" i="1">
                                <a:effectLst/>
                                <a:latin typeface="Cambria Math" panose="02040503050406030204" pitchFamily="18" charset="0"/>
                                <a:ea typeface="+mn-ea"/>
                                <a:cs typeface="+mn-cs"/>
                              </a:rPr>
                            </m:ctrlPr>
                          </m:sSupPr>
                          <m:e>
                            <m:r>
                              <a:rPr lang="en-US" sz="1100" i="1">
                                <a:effectLst/>
                                <a:latin typeface="Cambria Math" panose="02040503050406030204" pitchFamily="18" charset="0"/>
                                <a:ea typeface="+mn-ea"/>
                                <a:cs typeface="+mn-cs"/>
                              </a:rPr>
                              <m:t>𝑥</m:t>
                            </m:r>
                          </m:e>
                          <m:sup>
                            <m:argPr>
                              <m:argSz m:val="-1"/>
                            </m:argPr>
                            <m:r>
                              <a:rPr lang="en-US" sz="1100" i="1">
                                <a:effectLst/>
                                <a:latin typeface="Cambria Math" panose="02040503050406030204" pitchFamily="18" charset="0"/>
                                <a:ea typeface="+mn-ea"/>
                                <a:cs typeface="+mn-cs"/>
                              </a:rPr>
                              <m:t>𝜔</m:t>
                            </m:r>
                          </m:sup>
                        </m:sSup>
                        <m:r>
                          <a:rPr lang="en-US" sz="1100" i="1">
                            <a:effectLst/>
                            <a:latin typeface="Cambria Math" panose="02040503050406030204" pitchFamily="18" charset="0"/>
                            <a:ea typeface="+mn-ea"/>
                            <a:cs typeface="+mn-cs"/>
                          </a:rPr>
                          <m:t>+</m:t>
                        </m:r>
                        <m:sSup>
                          <m:sSupPr>
                            <m:ctrlPr>
                              <a:rPr lang="en-US" sz="1100" i="1">
                                <a:effectLst/>
                                <a:latin typeface="Cambria Math" panose="02040503050406030204" pitchFamily="18" charset="0"/>
                                <a:ea typeface="+mn-ea"/>
                                <a:cs typeface="+mn-cs"/>
                              </a:rPr>
                            </m:ctrlPr>
                          </m:sSupPr>
                          <m:e>
                            <m:r>
                              <a:rPr lang="en-US" sz="1100" i="1">
                                <a:effectLst/>
                                <a:latin typeface="Cambria Math" panose="02040503050406030204" pitchFamily="18" charset="0"/>
                                <a:ea typeface="+mn-ea"/>
                                <a:cs typeface="+mn-cs"/>
                              </a:rPr>
                              <m:t>𝜃</m:t>
                            </m:r>
                          </m:e>
                          <m:sup>
                            <m:argPr>
                              <m:argSz m:val="-1"/>
                            </m:argPr>
                            <m:r>
                              <a:rPr lang="en-US" sz="1100" i="1">
                                <a:effectLst/>
                                <a:latin typeface="Cambria Math" panose="02040503050406030204" pitchFamily="18" charset="0"/>
                                <a:ea typeface="+mn-ea"/>
                                <a:cs typeface="+mn-cs"/>
                              </a:rPr>
                              <m:t>𝜔</m:t>
                            </m:r>
                          </m:sup>
                        </m:sSup>
                      </m:den>
                    </m:f>
                  </m:oMath>
                </m:oMathPara>
              </a14:m>
              <a:endParaRPr lang="en-US" sz="1100">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A2881501-DCA7-3A44-A5AA-F71F205CD284}"/>
                </a:ext>
              </a:extLst>
            </xdr:cNvPr>
            <xdr:cNvSpPr txBox="1"/>
          </xdr:nvSpPr>
          <xdr:spPr>
            <a:xfrm>
              <a:off x="963084" y="5886448"/>
              <a:ext cx="1153584" cy="444940"/>
            </a:xfrm>
            <a:prstGeom prst="rect">
              <a:avLst/>
            </a:prstGeom>
            <a:noFill/>
            <a:ln>
              <a:solidFill>
                <a:sysClr val="windowText" lastClr="000000"/>
              </a:solidFill>
            </a:ln>
            <a:effectLst/>
          </xdr:spPr>
          <xdr:txBody>
            <a:bodyPr wrap="square" lIns="45720" tIns="45720" rIns="45720" bIns="45720" rtlCol="0" anchor="t">
              <a:spAutoFit/>
            </a:bodyPr>
            <a:lstStyle/>
            <a:p>
              <a:r>
                <a:rPr lang="en-US" sz="1100" i="0">
                  <a:effectLst/>
                  <a:latin typeface="+mn-lt"/>
                  <a:ea typeface="+mn-ea"/>
                  <a:cs typeface="+mn-cs"/>
                </a:rPr>
                <a:t>𝐺(𝑥)=𝑥^𝜔/(𝑥^𝜔+𝜃^𝜔 )</a:t>
              </a:r>
              <a:endParaRPr lang="en-US" sz="1100">
                <a:effectLst/>
                <a:latin typeface="+mn-lt"/>
                <a:ea typeface="+mn-ea"/>
                <a:cs typeface="+mn-cs"/>
              </a:endParaRPr>
            </a:p>
          </xdr:txBody>
        </xdr:sp>
      </mc:Fallback>
    </mc:AlternateContent>
    <xdr:clientData/>
  </xdr:twoCellAnchor>
  <xdr:twoCellAnchor>
    <xdr:from>
      <xdr:col>1</xdr:col>
      <xdr:colOff>222249</xdr:colOff>
      <xdr:row>36</xdr:row>
      <xdr:rowOff>179916</xdr:rowOff>
    </xdr:from>
    <xdr:to>
      <xdr:col>2</xdr:col>
      <xdr:colOff>296333</xdr:colOff>
      <xdr:row>39</xdr:row>
      <xdr:rowOff>15953</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00000000-0008-0000-0500-000006000000}"/>
                </a:ext>
              </a:extLst>
            </xdr:cNvPr>
            <xdr:cNvSpPr txBox="1"/>
          </xdr:nvSpPr>
          <xdr:spPr>
            <a:xfrm>
              <a:off x="1047749" y="8329083"/>
              <a:ext cx="1037167" cy="43928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2"/>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2"/>
                            </m:argPr>
                            <m:r>
                              <a:rPr lang="en-US" sz="1100" i="1">
                                <a:solidFill>
                                  <a:schemeClr val="tx1"/>
                                </a:solidFill>
                                <a:effectLst/>
                                <a:latin typeface="Cambria Math" panose="02040503050406030204" pitchFamily="18" charset="0"/>
                                <a:ea typeface="+mn-ea"/>
                                <a:cs typeface="+mn-cs"/>
                              </a:rPr>
                              <m:t>𝐴𝑌</m:t>
                            </m:r>
                          </m:sub>
                        </m:sSub>
                      </m:num>
                      <m:den>
                        <m:r>
                          <a:rPr lang="en-US" sz="1100" i="1">
                            <a:solidFill>
                              <a:schemeClr val="tx1"/>
                            </a:solidFill>
                            <a:effectLst/>
                            <a:latin typeface="Cambria Math" panose="02040503050406030204" pitchFamily="18" charset="0"/>
                            <a:ea typeface="+mn-ea"/>
                            <a:cs typeface="+mn-cs"/>
                          </a:rPr>
                          <m:t>𝐺</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𝑥</m:t>
                        </m:r>
                        <m:r>
                          <a:rPr lang="en-US" sz="1100" i="1">
                            <a:solidFill>
                              <a:schemeClr val="tx1"/>
                            </a:solidFill>
                            <a:effectLst/>
                            <a:latin typeface="Cambria Math" panose="02040503050406030204" pitchFamily="18" charset="0"/>
                            <a:ea typeface="+mn-ea"/>
                            <a:cs typeface="+mn-cs"/>
                          </a:rPr>
                          <m:t>)</m:t>
                        </m:r>
                      </m:den>
                    </m:f>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6E4C9FC7-1CE0-5A48-9C8B-E6FDFC4F680D}"/>
                </a:ext>
              </a:extLst>
            </xdr:cNvPr>
            <xdr:cNvSpPr txBox="1"/>
          </xdr:nvSpPr>
          <xdr:spPr>
            <a:xfrm>
              <a:off x="1047749" y="8329083"/>
              <a:ext cx="1037167" cy="43928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〖𝑈𝑙𝑡〗_𝐴𝑌=〖𝐿𝑜𝑠𝑠〗_𝐴𝑌/(𝐺(𝑥))</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254000</xdr:colOff>
      <xdr:row>49</xdr:row>
      <xdr:rowOff>10583</xdr:rowOff>
    </xdr:from>
    <xdr:to>
      <xdr:col>3</xdr:col>
      <xdr:colOff>635000</xdr:colOff>
      <xdr:row>50</xdr:row>
      <xdr:rowOff>76240</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00000000-0008-0000-0500-000008000000}"/>
                </a:ext>
              </a:extLst>
            </xdr:cNvPr>
            <xdr:cNvSpPr txBox="1"/>
          </xdr:nvSpPr>
          <xdr:spPr>
            <a:xfrm>
              <a:off x="1079500" y="9980083"/>
              <a:ext cx="2169583"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argPr>
                          <m:argSz m:val="-2"/>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argPr>
                          <m:argSz m:val="-2"/>
                        </m:argPr>
                        <m:r>
                          <a:rPr lang="en-US" sz="1100" i="1">
                            <a:solidFill>
                              <a:schemeClr val="tx1"/>
                            </a:solidFill>
                            <a:effectLst/>
                            <a:latin typeface="Cambria Math" panose="02040503050406030204" pitchFamily="18" charset="0"/>
                            <a:ea typeface="+mn-ea"/>
                            <a:cs typeface="+mn-cs"/>
                          </a:rPr>
                          <m:t>𝐿𝐷𝐹</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1"/>
                                </m:argP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1"/>
                                </m:argP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d>
                      </m:e>
                    </m:d>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00000000-0008-0000-0500-000008000000}"/>
                </a:ext>
              </a:extLst>
            </xdr:cNvPr>
            <xdr:cNvSpPr txBox="1"/>
          </xdr:nvSpPr>
          <xdr:spPr>
            <a:xfrm>
              <a:off x="1079500" y="9980083"/>
              <a:ext cx="2169583"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𝜇_(𝐴𝑌,𝑘)^𝐿𝐷𝐹=〖𝑈𝑙𝑡〗_𝐴𝑌×[𝐺(𝑥_𝑘 )−𝐺(𝑥_(𝑘−1)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370416</xdr:colOff>
      <xdr:row>49</xdr:row>
      <xdr:rowOff>63502</xdr:rowOff>
    </xdr:from>
    <xdr:ext cx="2426305" cy="17209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3809999" y="10033002"/>
              <a:ext cx="242630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𝐼𝑛𝑐𝐿𝑜𝑠𝑠</m:t>
                        </m:r>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𝐼𝑛𝑐</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𝐸𝑚𝑒𝑟𝑔𝑒𝑛𝑐𝑒</m:t>
                    </m:r>
                    <m:r>
                      <m:rPr>
                        <m:nor/>
                      </m:rPr>
                      <a:rPr lang="en-US">
                        <a:effectLst/>
                      </a:rPr>
                      <m:t> </m:t>
                    </m:r>
                  </m:oMath>
                </m:oMathPara>
              </a14:m>
              <a:endParaRPr lang="en-US" sz="1100">
                <a:solidFill>
                  <a:schemeClr val="tx1"/>
                </a:solidFill>
              </a:endParaRPr>
            </a:p>
          </xdr:txBody>
        </xdr:sp>
      </mc:Choice>
      <mc:Fallback xmlns="">
        <xdr:sp macro="" textlink="">
          <xdr:nvSpPr>
            <xdr:cNvPr id="9" name="TextBox 8">
              <a:extLst>
                <a:ext uri="{FF2B5EF4-FFF2-40B4-BE49-F238E27FC236}">
                  <a16:creationId xmlns:a16="http://schemas.microsoft.com/office/drawing/2014/main" id="{CCDCDDF7-8C55-DC46-975F-BF697FF2A97F}"/>
                </a:ext>
              </a:extLst>
            </xdr:cNvPr>
            <xdr:cNvSpPr txBox="1"/>
          </xdr:nvSpPr>
          <xdr:spPr>
            <a:xfrm>
              <a:off x="3809999" y="10033002"/>
              <a:ext cx="242630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𝐸[𝐼𝑛𝑐𝐿𝑜𝑠𝑠]=〖𝑈𝑙𝑡〗_𝐴𝑌×%𝐼𝑛𝑐. 𝐸𝑚𝑒𝑟𝑔𝑒𝑛𝑐𝑒</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455082</xdr:colOff>
      <xdr:row>62</xdr:row>
      <xdr:rowOff>148168</xdr:rowOff>
    </xdr:from>
    <xdr:to>
      <xdr:col>4</xdr:col>
      <xdr:colOff>10582</xdr:colOff>
      <xdr:row>64</xdr:row>
      <xdr:rowOff>10432</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00000000-0008-0000-0500-00000A000000}"/>
                </a:ext>
              </a:extLst>
            </xdr:cNvPr>
            <xdr:cNvSpPr txBox="1"/>
          </xdr:nvSpPr>
          <xdr:spPr>
            <a:xfrm>
              <a:off x="1280582" y="12943418"/>
              <a:ext cx="216958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𝑀𝐿𝐸</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𝑡𝑒𝑟𝑚</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2"/>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func>
                      <m:funcPr>
                        <m:ctrlPr>
                          <a:rPr lang="en-US" sz="1100" i="1">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argPr>
                                  <m:argSz m:val="-2"/>
                                </m:argPr>
                                <m:r>
                                  <a:rPr lang="en-US" sz="1100" i="1">
                                    <a:solidFill>
                                      <a:schemeClr val="tx1"/>
                                    </a:solidFill>
                                    <a:effectLst/>
                                    <a:latin typeface="Cambria Math" panose="02040503050406030204" pitchFamily="18" charset="0"/>
                                    <a:ea typeface="+mn-ea"/>
                                    <a:cs typeface="+mn-cs"/>
                                  </a:rPr>
                                  <m:t>𝑖</m:t>
                                </m:r>
                              </m:sub>
                            </m:sSub>
                          </m:e>
                        </m:d>
                      </m:e>
                    </m:func>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argPr>
                          <m:argSz m:val="-1"/>
                        </m:argPr>
                        <m:r>
                          <a:rPr lang="en-US" sz="1100" i="1">
                            <a:solidFill>
                              <a:schemeClr val="tx1"/>
                            </a:solidFill>
                            <a:effectLst/>
                            <a:latin typeface="Cambria Math" panose="02040503050406030204" pitchFamily="18" charset="0"/>
                            <a:ea typeface="+mn-ea"/>
                            <a:cs typeface="+mn-cs"/>
                          </a:rPr>
                          <m:t>𝑖</m:t>
                        </m:r>
                      </m:sub>
                    </m:sSub>
                  </m:oMath>
                </m:oMathPara>
              </a14:m>
              <a:endParaRPr lang="en-US"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EE316A17-0D43-8844-949F-160390DF9249}"/>
                </a:ext>
              </a:extLst>
            </xdr:cNvPr>
            <xdr:cNvSpPr txBox="1"/>
          </xdr:nvSpPr>
          <xdr:spPr>
            <a:xfrm>
              <a:off x="1280582" y="12943418"/>
              <a:ext cx="216958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𝑀𝐿𝐸 𝑡𝑒𝑟𝑚=〖𝐼𝑛𝑐𝐿𝑜𝑠𝑠〗_𝑖×ln⁡(𝜇_𝑖 )−𝜇_𝑖</a:t>
              </a:r>
              <a:endParaRPr lang="en-US" sz="1100">
                <a:solidFill>
                  <a:schemeClr val="tx1"/>
                </a:solidFill>
                <a:effectLst/>
                <a:latin typeface="+mn-lt"/>
                <a:ea typeface="+mn-ea"/>
                <a:cs typeface="+mn-cs"/>
              </a:endParaRPr>
            </a:p>
          </xdr:txBody>
        </xdr:sp>
      </mc:Fallback>
    </mc:AlternateContent>
    <xdr:clientData/>
  </xdr:twoCellAnchor>
  <xdr:oneCellAnchor>
    <xdr:from>
      <xdr:col>4</xdr:col>
      <xdr:colOff>529165</xdr:colOff>
      <xdr:row>63</xdr:row>
      <xdr:rowOff>10585</xdr:rowOff>
    </xdr:from>
    <xdr:ext cx="2923941" cy="172098"/>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3968748" y="13006918"/>
              <a:ext cx="292394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𝑀𝐿𝐸</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𝑡𝑒𝑟𝑚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𝑎𝑐𝑡𝑢𝑎𝑙</m:t>
                    </m:r>
                    <m:r>
                      <a:rPr lang="en-US" sz="1100" i="1">
                        <a:solidFill>
                          <a:schemeClr val="tx1"/>
                        </a:solidFill>
                        <a:effectLst/>
                        <a:latin typeface="Cambria Math" panose="02040503050406030204" pitchFamily="18" charset="0"/>
                        <a:ea typeface="+mn-ea"/>
                        <a:cs typeface="+mn-cs"/>
                      </a:rPr>
                      <m:t>×</m:t>
                    </m:r>
                    <m:func>
                      <m:funcPr>
                        <m:ctrlPr>
                          <a:rPr lang="en-US" sz="1100" i="1">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𝑒𝑥𝑝𝑒𝑐𝑡𝑒𝑑</m:t>
                            </m:r>
                          </m:e>
                        </m:d>
                      </m:e>
                    </m:func>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𝑒𝑥𝑝𝑒𝑐𝑡𝑒𝑑</m:t>
                    </m:r>
                  </m:oMath>
                </m:oMathPara>
              </a14:m>
              <a:endParaRPr lang="en-US" sz="1100">
                <a:solidFill>
                  <a:schemeClr val="tx1"/>
                </a:solidFill>
                <a:effectLst/>
                <a:latin typeface="+mn-lt"/>
                <a:ea typeface="+mn-ea"/>
                <a:cs typeface="+mn-cs"/>
              </a:endParaRPr>
            </a:p>
          </xdr:txBody>
        </xdr:sp>
      </mc:Choice>
      <mc:Fallback xmlns="">
        <xdr:sp macro="" textlink="">
          <xdr:nvSpPr>
            <xdr:cNvPr id="11" name="TextBox 10">
              <a:extLst>
                <a:ext uri="{FF2B5EF4-FFF2-40B4-BE49-F238E27FC236}">
                  <a16:creationId xmlns:a16="http://schemas.microsoft.com/office/drawing/2014/main" id="{D2AF30C3-27C6-3140-BB50-1CE286AF66C7}"/>
                </a:ext>
              </a:extLst>
            </xdr:cNvPr>
            <xdr:cNvSpPr txBox="1"/>
          </xdr:nvSpPr>
          <xdr:spPr>
            <a:xfrm>
              <a:off x="3968748" y="13006918"/>
              <a:ext cx="2923941"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𝑀𝐿𝐸 𝑡𝑒𝑟𝑚=𝑎𝑐𝑡𝑢𝑎𝑙×ln⁡(𝑒𝑥𝑝𝑒𝑐𝑡𝑒𝑑)−𝑒𝑥𝑝𝑒𝑐𝑡𝑒𝑑</a:t>
              </a:r>
              <a:endParaRPr lang="en-US" sz="1100">
                <a:solidFill>
                  <a:schemeClr val="tx1"/>
                </a:solidFill>
                <a:effectLst/>
                <a:latin typeface="+mn-lt"/>
                <a:ea typeface="+mn-ea"/>
                <a:cs typeface="+mn-cs"/>
              </a:endParaRPr>
            </a:p>
          </xdr:txBody>
        </xdr:sp>
      </mc:Fallback>
    </mc:AlternateContent>
    <xdr:clientData/>
  </xdr:oneCellAnchor>
  <xdr:twoCellAnchor>
    <xdr:from>
      <xdr:col>1</xdr:col>
      <xdr:colOff>465666</xdr:colOff>
      <xdr:row>64</xdr:row>
      <xdr:rowOff>148169</xdr:rowOff>
    </xdr:from>
    <xdr:to>
      <xdr:col>3</xdr:col>
      <xdr:colOff>476250</xdr:colOff>
      <xdr:row>67</xdr:row>
      <xdr:rowOff>47108</xdr:rowOff>
    </xdr:to>
    <mc:AlternateContent xmlns:mc="http://schemas.openxmlformats.org/markup-compatibility/2006" xmlns:a14="http://schemas.microsoft.com/office/drawing/2010/main">
      <mc:Choice Requires="a14">
        <xdr:sp macro="" textlink="">
          <xdr:nvSpPr>
            <xdr:cNvPr id="12" name="TextBox 2">
              <a:extLst>
                <a:ext uri="{FF2B5EF4-FFF2-40B4-BE49-F238E27FC236}">
                  <a16:creationId xmlns:a16="http://schemas.microsoft.com/office/drawing/2014/main" id="{00000000-0008-0000-0500-00000C000000}"/>
                </a:ext>
              </a:extLst>
            </xdr:cNvPr>
            <xdr:cNvSpPr txBox="1"/>
          </xdr:nvSpPr>
          <xdr:spPr>
            <a:xfrm>
              <a:off x="1291166" y="13345586"/>
              <a:ext cx="1799167" cy="50218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𝑙</m:t>
                    </m:r>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func>
                          <m:funcPr>
                            <m:ctrlPr>
                              <a:rPr lang="en-US" sz="1100" i="1">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argPr>
                                      <m:argSz m:val="-2"/>
                                    </m:argPr>
                                    <m:r>
                                      <a:rPr lang="en-US" sz="1100" i="1">
                                        <a:solidFill>
                                          <a:schemeClr val="tx1"/>
                                        </a:solidFill>
                                        <a:effectLst/>
                                        <a:latin typeface="Cambria Math" panose="02040503050406030204" pitchFamily="18" charset="0"/>
                                        <a:ea typeface="+mn-ea"/>
                                        <a:cs typeface="+mn-cs"/>
                                      </a:rPr>
                                      <m:t>𝑖</m:t>
                                    </m:r>
                                  </m:sub>
                                </m:sSub>
                              </m:e>
                            </m:d>
                          </m:e>
                        </m:func>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𝜇</m:t>
                            </m:r>
                          </m:e>
                          <m:sub>
                            <m:argPr>
                              <m:argSz m:val="-1"/>
                            </m:argPr>
                            <m:r>
                              <a:rPr lang="en-US" sz="1100" i="1">
                                <a:solidFill>
                                  <a:schemeClr val="tx1"/>
                                </a:solidFill>
                                <a:effectLst/>
                                <a:latin typeface="Cambria Math" panose="02040503050406030204" pitchFamily="18" charset="0"/>
                                <a:ea typeface="+mn-ea"/>
                                <a:cs typeface="+mn-cs"/>
                              </a:rPr>
                              <m:t>𝑖</m:t>
                            </m:r>
                          </m:sub>
                        </m:sSub>
                      </m:e>
                    </m:nary>
                  </m:oMath>
                </m:oMathPara>
              </a14:m>
              <a:endParaRPr lang="en-US" sz="1100">
                <a:solidFill>
                  <a:schemeClr val="tx1"/>
                </a:solidFill>
                <a:effectLst/>
                <a:latin typeface="+mn-lt"/>
                <a:ea typeface="+mn-ea"/>
                <a:cs typeface="+mn-cs"/>
              </a:endParaRPr>
            </a:p>
          </xdr:txBody>
        </xdr:sp>
      </mc:Choice>
      <mc:Fallback xmlns="">
        <xdr:sp macro="" textlink="">
          <xdr:nvSpPr>
            <xdr:cNvPr id="12" name="TextBox 2">
              <a:extLst>
                <a:ext uri="{FF2B5EF4-FFF2-40B4-BE49-F238E27FC236}">
                  <a16:creationId xmlns:a16="http://schemas.microsoft.com/office/drawing/2014/main" id="{B559131D-72E1-984C-8AB7-BDFA7DEA79EA}"/>
                </a:ext>
              </a:extLst>
            </xdr:cNvPr>
            <xdr:cNvSpPr txBox="1"/>
          </xdr:nvSpPr>
          <xdr:spPr>
            <a:xfrm>
              <a:off x="1291166" y="13345586"/>
              <a:ext cx="1799167" cy="50218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𝑙=∑1▒〖〖𝐼𝑛𝑐𝐿𝑜𝑠𝑠〗_𝑖×ln⁡(𝜇_𝑖 )−𝜇_𝑖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582082</xdr:colOff>
      <xdr:row>65</xdr:row>
      <xdr:rowOff>21169</xdr:rowOff>
    </xdr:from>
    <xdr:ext cx="1163780" cy="409856"/>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4021665" y="13419669"/>
              <a:ext cx="1163780" cy="40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𝑙</m:t>
                    </m:r>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𝑀𝐿𝐸</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𝑡𝑒𝑟𝑚</m:t>
                        </m:r>
                      </m:e>
                    </m:nary>
                    <m:r>
                      <m:rPr>
                        <m:nor/>
                      </m:rPr>
                      <a:rPr lang="en-US">
                        <a:effectLst/>
                      </a:rPr>
                      <m:t> </m:t>
                    </m:r>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E807B081-AA28-A748-8BCE-C8BFBE3E059A}"/>
                </a:ext>
              </a:extLst>
            </xdr:cNvPr>
            <xdr:cNvSpPr txBox="1"/>
          </xdr:nvSpPr>
          <xdr:spPr>
            <a:xfrm>
              <a:off x="4021665" y="13419669"/>
              <a:ext cx="1163780" cy="40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𝑙=∑1▒〖𝑀𝐿𝐸 𝑡𝑒𝑟𝑚〗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2</xdr:col>
      <xdr:colOff>127000</xdr:colOff>
      <xdr:row>81</xdr:row>
      <xdr:rowOff>137584</xdr:rowOff>
    </xdr:from>
    <xdr:to>
      <xdr:col>5</xdr:col>
      <xdr:colOff>84666</xdr:colOff>
      <xdr:row>83</xdr:row>
      <xdr:rowOff>2157</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00000000-0008-0000-0500-00000E000000}"/>
                </a:ext>
              </a:extLst>
            </xdr:cNvPr>
            <xdr:cNvSpPr txBox="1"/>
          </xdr:nvSpPr>
          <xdr:spPr>
            <a:xfrm>
              <a:off x="1915583" y="16816917"/>
              <a:ext cx="2434166"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argPr>
                          <m:argSz m:val="-2"/>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argPr>
                          <m:argSz m:val="-2"/>
                        </m:argPr>
                        <m:r>
                          <a:rPr lang="en-US" sz="1100" i="1">
                            <a:solidFill>
                              <a:schemeClr val="tx1"/>
                            </a:solidFill>
                            <a:effectLst/>
                            <a:latin typeface="Cambria Math" panose="02040503050406030204" pitchFamily="18" charset="0"/>
                            <a:ea typeface="+mn-ea"/>
                            <a:cs typeface="+mn-cs"/>
                          </a:rPr>
                          <m:t>𝐶𝐶</m:t>
                        </m:r>
                      </m:sup>
                    </m:sSub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2"/>
                                </m:argP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𝑥</m:t>
                                </m:r>
                              </m:e>
                              <m:sub>
                                <m:argPr>
                                  <m:argSz m:val="-2"/>
                                </m:argP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d>
                      </m:e>
                    </m:d>
                  </m:oMath>
                </m:oMathPara>
              </a14:m>
              <a:endParaRPr lang="en-US" sz="1100">
                <a:solidFill>
                  <a:schemeClr val="tx1"/>
                </a:solidFill>
                <a:effectLst/>
                <a:latin typeface="+mn-lt"/>
                <a:ea typeface="+mn-ea"/>
                <a:cs typeface="+mn-cs"/>
              </a:endParaRPr>
            </a:p>
          </xdr:txBody>
        </xdr:sp>
      </mc:Choice>
      <mc:Fallback xmlns="">
        <xdr:sp macro="" textlink="">
          <xdr:nvSpPr>
            <xdr:cNvPr id="14" name="TextBox 2">
              <a:extLst>
                <a:ext uri="{FF2B5EF4-FFF2-40B4-BE49-F238E27FC236}">
                  <a16:creationId xmlns:a16="http://schemas.microsoft.com/office/drawing/2014/main" id="{CB0DFC13-5F57-AE4A-919E-A9C20AEAE458}"/>
                </a:ext>
              </a:extLst>
            </xdr:cNvPr>
            <xdr:cNvSpPr txBox="1"/>
          </xdr:nvSpPr>
          <xdr:spPr>
            <a:xfrm>
              <a:off x="1915583" y="16816917"/>
              <a:ext cx="2434166"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𝜇_(𝐴𝑌,𝑘)^𝐶𝐶=𝑃𝑟𝑒𝑚×𝐸𝐿𝑅×[𝐺(𝑥_𝑘 )−𝐺(𝑥_(𝑘−1) )]</a:t>
              </a:r>
              <a:endParaRPr lang="en-US" sz="1100">
                <a:solidFill>
                  <a:schemeClr val="tx1"/>
                </a:solidFill>
                <a:effectLst/>
                <a:latin typeface="+mn-lt"/>
                <a:ea typeface="+mn-ea"/>
                <a:cs typeface="+mn-cs"/>
              </a:endParaRP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3.vml"/><Relationship Id="rId1" Type="http://schemas.openxmlformats.org/officeDocument/2006/relationships/drawing" Target="../drawings/drawing4.xml"/><Relationship Id="rId4" Type="http://schemas.openxmlformats.org/officeDocument/2006/relationships/image" Target="../media/image1.emf"/></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68"/>
  <sheetViews>
    <sheetView showGridLines="0" tabSelected="1" zoomScale="120" zoomScaleNormal="120" workbookViewId="0"/>
  </sheetViews>
  <sheetFormatPr baseColWidth="10" defaultColWidth="10.83203125" defaultRowHeight="16" x14ac:dyDescent="0.2"/>
  <cols>
    <col min="1" max="1" width="10.83203125" style="59"/>
    <col min="2" max="2" width="11.6640625" style="59" customWidth="1"/>
    <col min="3" max="3" width="10.83203125" style="59" customWidth="1"/>
    <col min="4" max="5" width="10.83203125" style="59"/>
    <col min="6" max="6" width="10.83203125" style="59" customWidth="1"/>
    <col min="7" max="16384" width="10.83203125" style="59"/>
  </cols>
  <sheetData>
    <row r="1" spans="1:10" ht="19" x14ac:dyDescent="0.25">
      <c r="A1" s="1" t="s">
        <v>130</v>
      </c>
      <c r="B1" s="57"/>
      <c r="C1" s="57"/>
      <c r="D1" s="57"/>
      <c r="E1" s="57"/>
      <c r="F1" s="57"/>
      <c r="G1" s="57"/>
      <c r="H1" s="57"/>
      <c r="I1" s="57"/>
      <c r="J1" s="58"/>
    </row>
    <row r="2" spans="1:10" x14ac:dyDescent="0.2">
      <c r="A2" s="60"/>
      <c r="B2" s="57"/>
      <c r="C2" s="57"/>
      <c r="D2" s="57"/>
      <c r="E2" s="57"/>
      <c r="F2" s="57"/>
      <c r="G2" s="57"/>
      <c r="H2" s="57"/>
      <c r="I2" s="57"/>
      <c r="J2" s="58"/>
    </row>
    <row r="3" spans="1:10" x14ac:dyDescent="0.2">
      <c r="A3" s="60"/>
      <c r="B3" s="57" t="s">
        <v>1</v>
      </c>
      <c r="C3" s="57"/>
      <c r="D3" s="57"/>
      <c r="E3" s="57"/>
      <c r="F3" s="57"/>
      <c r="G3" s="57"/>
      <c r="H3" s="57"/>
      <c r="I3" s="57"/>
      <c r="J3" s="58"/>
    </row>
    <row r="4" spans="1:10" x14ac:dyDescent="0.2">
      <c r="A4" s="60"/>
      <c r="B4" s="57"/>
      <c r="C4" s="57"/>
      <c r="D4" s="57"/>
      <c r="E4" s="57"/>
      <c r="F4" s="57"/>
      <c r="G4" s="57"/>
      <c r="H4" s="57"/>
      <c r="I4" s="57"/>
      <c r="J4" s="58"/>
    </row>
    <row r="5" spans="1:10" x14ac:dyDescent="0.2">
      <c r="A5" s="60"/>
      <c r="B5" s="57"/>
      <c r="C5" s="164" t="s">
        <v>2</v>
      </c>
      <c r="D5" s="165"/>
      <c r="E5" s="165"/>
      <c r="F5" s="166"/>
      <c r="G5" s="57"/>
      <c r="H5" s="57"/>
      <c r="I5" s="57"/>
      <c r="J5" s="58"/>
    </row>
    <row r="6" spans="1:10" x14ac:dyDescent="0.2">
      <c r="A6" s="60"/>
      <c r="B6" s="57"/>
      <c r="C6" s="168" t="s">
        <v>3</v>
      </c>
      <c r="D6" s="63"/>
      <c r="E6" s="64"/>
      <c r="F6" s="65"/>
      <c r="G6" s="57"/>
      <c r="H6" s="57"/>
      <c r="I6" s="57"/>
      <c r="J6" s="58"/>
    </row>
    <row r="7" spans="1:10" ht="17" x14ac:dyDescent="0.2">
      <c r="A7" s="60"/>
      <c r="B7" s="57"/>
      <c r="C7" s="169"/>
      <c r="D7" s="33" t="s">
        <v>4</v>
      </c>
      <c r="E7" s="9" t="s">
        <v>5</v>
      </c>
      <c r="F7" s="8" t="s">
        <v>6</v>
      </c>
      <c r="G7" s="57"/>
      <c r="H7" s="57"/>
      <c r="I7" s="57"/>
      <c r="J7" s="58"/>
    </row>
    <row r="8" spans="1:10" x14ac:dyDescent="0.2">
      <c r="A8" s="60"/>
      <c r="B8" s="57"/>
      <c r="C8" s="23">
        <v>2021</v>
      </c>
      <c r="D8" s="26">
        <v>280</v>
      </c>
      <c r="E8" s="27">
        <v>400</v>
      </c>
      <c r="F8" s="28">
        <v>460</v>
      </c>
      <c r="G8" s="57"/>
      <c r="H8" s="57"/>
      <c r="I8" s="57"/>
      <c r="J8" s="58"/>
    </row>
    <row r="9" spans="1:10" x14ac:dyDescent="0.2">
      <c r="A9" s="60"/>
      <c r="B9" s="57"/>
      <c r="C9" s="24">
        <v>2022</v>
      </c>
      <c r="D9" s="29">
        <v>520</v>
      </c>
      <c r="E9" s="22">
        <v>605</v>
      </c>
      <c r="F9" s="10"/>
      <c r="G9" s="57"/>
      <c r="H9" s="57"/>
      <c r="I9" s="57"/>
      <c r="J9" s="58"/>
    </row>
    <row r="10" spans="1:10" x14ac:dyDescent="0.2">
      <c r="A10" s="60"/>
      <c r="B10" s="57"/>
      <c r="C10" s="25">
        <v>2023</v>
      </c>
      <c r="D10" s="30">
        <v>460</v>
      </c>
      <c r="E10" s="31"/>
      <c r="F10" s="32"/>
      <c r="G10" s="57"/>
      <c r="H10" s="57"/>
      <c r="I10" s="57"/>
      <c r="J10" s="58"/>
    </row>
    <row r="11" spans="1:10" x14ac:dyDescent="0.2">
      <c r="A11" s="60"/>
      <c r="B11" s="57"/>
      <c r="C11" s="57"/>
      <c r="D11" s="57"/>
      <c r="E11" s="57"/>
      <c r="F11" s="57"/>
      <c r="G11" s="57"/>
      <c r="H11" s="57"/>
      <c r="I11" s="57"/>
      <c r="J11" s="58"/>
    </row>
    <row r="12" spans="1:10" x14ac:dyDescent="0.2">
      <c r="A12" s="60"/>
      <c r="B12" s="57"/>
      <c r="C12" s="57"/>
      <c r="D12" s="57"/>
      <c r="E12" s="57"/>
      <c r="F12" s="57"/>
      <c r="G12" s="57"/>
      <c r="H12" s="57"/>
      <c r="I12" s="57"/>
      <c r="J12" s="58"/>
    </row>
    <row r="13" spans="1:10" x14ac:dyDescent="0.2">
      <c r="A13" s="60"/>
      <c r="B13" s="57" t="s">
        <v>7</v>
      </c>
      <c r="C13" s="57"/>
      <c r="D13" s="57"/>
      <c r="E13" s="57"/>
      <c r="F13" s="57"/>
      <c r="G13" s="57"/>
      <c r="H13" s="57"/>
      <c r="I13" s="57"/>
      <c r="J13" s="58"/>
    </row>
    <row r="14" spans="1:10" x14ac:dyDescent="0.2">
      <c r="A14" s="60"/>
      <c r="B14" s="57"/>
      <c r="C14" s="57"/>
      <c r="D14" s="57"/>
      <c r="E14" s="57"/>
      <c r="F14" s="57"/>
      <c r="G14" s="57"/>
      <c r="H14" s="57"/>
      <c r="I14" s="57"/>
      <c r="J14" s="58"/>
    </row>
    <row r="15" spans="1:10" x14ac:dyDescent="0.2">
      <c r="A15" s="60"/>
      <c r="B15" s="57"/>
      <c r="C15" s="66" t="s">
        <v>8</v>
      </c>
      <c r="D15" s="67">
        <v>8</v>
      </c>
      <c r="E15" s="57"/>
      <c r="F15" s="57"/>
      <c r="G15" s="57"/>
      <c r="H15" s="57"/>
      <c r="I15" s="57"/>
      <c r="J15" s="58"/>
    </row>
    <row r="16" spans="1:10" x14ac:dyDescent="0.2">
      <c r="A16" s="60"/>
      <c r="B16" s="57"/>
      <c r="C16" s="66" t="s">
        <v>9</v>
      </c>
      <c r="D16" s="67">
        <v>0.45</v>
      </c>
      <c r="E16" s="57"/>
      <c r="F16" s="57"/>
      <c r="G16" s="57"/>
      <c r="H16" s="57"/>
      <c r="I16" s="57"/>
      <c r="J16" s="58"/>
    </row>
    <row r="17" spans="1:10" x14ac:dyDescent="0.2">
      <c r="A17" s="60"/>
      <c r="B17" s="57"/>
      <c r="C17" s="57"/>
      <c r="D17" s="57"/>
      <c r="E17" s="57"/>
      <c r="F17" s="57"/>
      <c r="G17" s="57"/>
      <c r="H17" s="57"/>
      <c r="I17" s="57"/>
      <c r="J17" s="58"/>
    </row>
    <row r="18" spans="1:10" x14ac:dyDescent="0.2">
      <c r="A18" s="60"/>
      <c r="B18" s="155" t="s">
        <v>132</v>
      </c>
      <c r="C18" s="57"/>
      <c r="D18" s="57"/>
      <c r="E18" s="57"/>
      <c r="F18" s="57"/>
      <c r="G18" s="69">
        <v>180000</v>
      </c>
      <c r="H18" s="57"/>
      <c r="I18" s="57"/>
      <c r="J18" s="58"/>
    </row>
    <row r="19" spans="1:10" x14ac:dyDescent="0.2">
      <c r="A19" s="60"/>
      <c r="B19" s="68" t="s">
        <v>133</v>
      </c>
      <c r="C19" s="57"/>
      <c r="D19" s="57"/>
      <c r="E19" s="57"/>
      <c r="F19" s="57"/>
      <c r="G19" s="57"/>
      <c r="H19" s="57"/>
      <c r="I19" s="57"/>
      <c r="J19" s="58"/>
    </row>
    <row r="20" spans="1:10" x14ac:dyDescent="0.2">
      <c r="A20" s="60"/>
      <c r="B20" s="57"/>
      <c r="C20" s="57"/>
      <c r="D20" s="57"/>
      <c r="E20" s="57"/>
      <c r="F20" s="57"/>
      <c r="G20" s="57"/>
      <c r="H20" s="57"/>
      <c r="I20" s="57"/>
      <c r="J20" s="58"/>
    </row>
    <row r="21" spans="1:10" x14ac:dyDescent="0.2">
      <c r="A21" s="60"/>
      <c r="B21" s="57"/>
      <c r="C21" s="57"/>
      <c r="D21" s="57"/>
      <c r="E21" s="57"/>
      <c r="F21" s="57"/>
      <c r="G21" s="57"/>
      <c r="H21" s="57"/>
      <c r="I21" s="57"/>
      <c r="J21" s="58"/>
    </row>
    <row r="22" spans="1:10" x14ac:dyDescent="0.2">
      <c r="A22" s="60"/>
      <c r="B22" s="57" t="s">
        <v>10</v>
      </c>
      <c r="C22" s="57"/>
      <c r="D22" s="57"/>
      <c r="E22" s="57"/>
      <c r="F22" s="57"/>
      <c r="G22" s="57"/>
      <c r="H22" s="57"/>
      <c r="I22" s="57"/>
      <c r="J22" s="58"/>
    </row>
    <row r="23" spans="1:10" ht="17" thickBot="1" x14ac:dyDescent="0.25">
      <c r="A23" s="70"/>
      <c r="B23" s="71"/>
      <c r="C23" s="72"/>
      <c r="D23" s="72"/>
      <c r="E23" s="72"/>
      <c r="F23" s="71"/>
      <c r="G23" s="71"/>
      <c r="H23" s="71"/>
      <c r="I23" s="71"/>
      <c r="J23" s="73"/>
    </row>
    <row r="25" spans="1:10" ht="19" x14ac:dyDescent="0.25">
      <c r="A25" s="2" t="s">
        <v>0</v>
      </c>
    </row>
    <row r="26" spans="1:10" x14ac:dyDescent="0.2">
      <c r="A26" s="21" t="s">
        <v>124</v>
      </c>
      <c r="B26" s="5" t="s">
        <v>141</v>
      </c>
      <c r="C26" s="74"/>
    </row>
    <row r="27" spans="1:10" x14ac:dyDescent="0.2">
      <c r="A27" s="21"/>
      <c r="B27" s="5"/>
      <c r="C27" s="74"/>
    </row>
    <row r="28" spans="1:10" x14ac:dyDescent="0.2">
      <c r="A28" s="21"/>
      <c r="B28" s="59" t="s">
        <v>166</v>
      </c>
      <c r="C28" s="74"/>
    </row>
    <row r="29" spans="1:10" ht="18" x14ac:dyDescent="0.25">
      <c r="A29" s="21"/>
      <c r="B29" s="5"/>
      <c r="C29" s="74"/>
      <c r="F29" s="75" t="s">
        <v>178</v>
      </c>
      <c r="G29" s="75">
        <f>12*10-6</f>
        <v>114</v>
      </c>
    </row>
    <row r="30" spans="1:10" ht="17" thickBot="1" x14ac:dyDescent="0.25">
      <c r="A30" s="21"/>
      <c r="B30" s="5"/>
      <c r="C30" s="74"/>
    </row>
    <row r="31" spans="1:10" ht="19" thickBot="1" x14ac:dyDescent="0.3">
      <c r="A31" s="21"/>
      <c r="B31" s="5"/>
      <c r="C31" s="74"/>
      <c r="F31" s="76" t="s">
        <v>179</v>
      </c>
      <c r="G31" s="77">
        <f>1-EXP(-((G29/$D$15)^$D$16))</f>
        <v>0.96331341724094821</v>
      </c>
    </row>
    <row r="32" spans="1:10" x14ac:dyDescent="0.2">
      <c r="A32" s="21"/>
      <c r="B32" s="5"/>
      <c r="C32" s="74"/>
    </row>
    <row r="33" spans="1:12" x14ac:dyDescent="0.2">
      <c r="A33" s="21"/>
      <c r="B33" s="59" t="s">
        <v>155</v>
      </c>
      <c r="C33" s="74"/>
      <c r="F33" s="59" t="s">
        <v>142</v>
      </c>
    </row>
    <row r="34" spans="1:12" x14ac:dyDescent="0.2">
      <c r="A34" s="21"/>
      <c r="B34" s="5"/>
      <c r="C34" s="74"/>
    </row>
    <row r="35" spans="1:12" x14ac:dyDescent="0.2">
      <c r="A35" s="21"/>
      <c r="B35" s="5"/>
      <c r="C35" s="74"/>
    </row>
    <row r="36" spans="1:12" x14ac:dyDescent="0.2">
      <c r="A36" s="21"/>
      <c r="B36" s="5"/>
      <c r="C36" s="74"/>
    </row>
    <row r="37" spans="1:12" x14ac:dyDescent="0.2">
      <c r="A37" s="21" t="s">
        <v>125</v>
      </c>
      <c r="B37" s="170" t="s">
        <v>144</v>
      </c>
      <c r="C37" s="170"/>
      <c r="D37" s="170"/>
      <c r="E37" s="170"/>
      <c r="F37" s="170"/>
      <c r="G37" s="170"/>
      <c r="H37" s="170"/>
      <c r="I37" s="170"/>
    </row>
    <row r="38" spans="1:12" x14ac:dyDescent="0.2">
      <c r="A38" s="21"/>
      <c r="B38" s="170"/>
      <c r="C38" s="170"/>
      <c r="D38" s="170"/>
      <c r="E38" s="170"/>
      <c r="F38" s="170"/>
      <c r="G38" s="170"/>
      <c r="H38" s="170"/>
      <c r="I38" s="170"/>
    </row>
    <row r="39" spans="1:12" x14ac:dyDescent="0.2">
      <c r="A39" s="21"/>
      <c r="B39" s="5"/>
      <c r="C39" s="74"/>
    </row>
    <row r="40" spans="1:12" x14ac:dyDescent="0.2">
      <c r="A40" s="21"/>
      <c r="B40" s="5"/>
      <c r="C40" s="74"/>
      <c r="F40" s="59" t="s">
        <v>142</v>
      </c>
    </row>
    <row r="41" spans="1:12" x14ac:dyDescent="0.2">
      <c r="A41" s="21"/>
      <c r="B41" s="5"/>
      <c r="C41" s="74"/>
    </row>
    <row r="42" spans="1:12" x14ac:dyDescent="0.2">
      <c r="A42" s="21"/>
      <c r="B42" s="5"/>
      <c r="C42" s="74"/>
    </row>
    <row r="43" spans="1:12" x14ac:dyDescent="0.2">
      <c r="A43" s="21"/>
      <c r="B43" s="59" t="s">
        <v>143</v>
      </c>
      <c r="C43" s="74"/>
    </row>
    <row r="44" spans="1:12" x14ac:dyDescent="0.2">
      <c r="A44" s="21"/>
      <c r="C44" s="74"/>
    </row>
    <row r="45" spans="1:12" x14ac:dyDescent="0.2">
      <c r="A45" s="21"/>
      <c r="C45" s="74"/>
    </row>
    <row r="46" spans="1:12" x14ac:dyDescent="0.2">
      <c r="A46" s="21"/>
      <c r="C46" s="74"/>
    </row>
    <row r="47" spans="1:12" x14ac:dyDescent="0.2">
      <c r="A47" s="21" t="s">
        <v>136</v>
      </c>
      <c r="B47" s="5" t="s">
        <v>146</v>
      </c>
      <c r="C47" s="74"/>
    </row>
    <row r="48" spans="1:12" x14ac:dyDescent="0.2">
      <c r="L48" s="4"/>
    </row>
    <row r="49" spans="1:12" x14ac:dyDescent="0.2">
      <c r="L49" s="4"/>
    </row>
    <row r="50" spans="1:12" x14ac:dyDescent="0.2">
      <c r="L50" s="4"/>
    </row>
    <row r="51" spans="1:12" ht="34" x14ac:dyDescent="0.2">
      <c r="B51" s="78" t="s">
        <v>11</v>
      </c>
      <c r="C51" s="79" t="s">
        <v>12</v>
      </c>
      <c r="D51" s="79" t="s">
        <v>13</v>
      </c>
      <c r="E51" s="79" t="s">
        <v>14</v>
      </c>
      <c r="F51" s="80" t="s">
        <v>24</v>
      </c>
      <c r="G51" s="80" t="s">
        <v>15</v>
      </c>
      <c r="H51" s="81" t="s">
        <v>25</v>
      </c>
      <c r="I51" s="82" t="s">
        <v>145</v>
      </c>
      <c r="L51" s="4"/>
    </row>
    <row r="52" spans="1:12" x14ac:dyDescent="0.2">
      <c r="B52" s="83">
        <f>C8</f>
        <v>2021</v>
      </c>
      <c r="C52" s="75">
        <f>C53+12</f>
        <v>36</v>
      </c>
      <c r="D52" s="75">
        <f>C52-6</f>
        <v>30</v>
      </c>
      <c r="E52" s="84">
        <f>1-EXP(-((D52/$D$15)^$D$16))</f>
        <v>0.8367790509545564</v>
      </c>
      <c r="F52" s="85">
        <f>$G$31/E52</f>
        <v>1.1512159824532504</v>
      </c>
      <c r="G52" s="86">
        <f>F8</f>
        <v>460</v>
      </c>
      <c r="H52" s="87">
        <f>G52*F52</f>
        <v>529.55935192849518</v>
      </c>
      <c r="I52" s="86">
        <f>H52-G52</f>
        <v>69.559351928495175</v>
      </c>
      <c r="L52" s="4"/>
    </row>
    <row r="53" spans="1:12" x14ac:dyDescent="0.2">
      <c r="B53" s="83">
        <f>C9</f>
        <v>2022</v>
      </c>
      <c r="C53" s="75">
        <f t="shared" ref="C53" si="0">C54+12</f>
        <v>24</v>
      </c>
      <c r="D53" s="75">
        <f t="shared" ref="D53" si="1">C53-6</f>
        <v>18</v>
      </c>
      <c r="E53" s="84">
        <f t="shared" ref="E53:E54" si="2">1-EXP(-((D53/$D$15)^$D$16))</f>
        <v>0.7631662240425714</v>
      </c>
      <c r="F53" s="85">
        <f>$G$31/E53</f>
        <v>1.2622589770000252</v>
      </c>
      <c r="G53" s="86">
        <f>E9</f>
        <v>605</v>
      </c>
      <c r="H53" s="87">
        <f>G53*F53</f>
        <v>763.66668108501528</v>
      </c>
      <c r="I53" s="86">
        <f t="shared" ref="I53:I54" si="3">H53-G53</f>
        <v>158.66668108501528</v>
      </c>
      <c r="L53" s="4"/>
    </row>
    <row r="54" spans="1:12" x14ac:dyDescent="0.2">
      <c r="B54" s="88">
        <f>C10</f>
        <v>2023</v>
      </c>
      <c r="C54" s="79">
        <v>12</v>
      </c>
      <c r="D54" s="89">
        <f>C54-6</f>
        <v>6</v>
      </c>
      <c r="E54" s="90">
        <f t="shared" si="2"/>
        <v>0.58462453192248187</v>
      </c>
      <c r="F54" s="91">
        <f>$G$31/E54</f>
        <v>1.6477471687224348</v>
      </c>
      <c r="G54" s="92">
        <f>D10</f>
        <v>460</v>
      </c>
      <c r="H54" s="93">
        <f>G54*F54</f>
        <v>757.96369761231995</v>
      </c>
      <c r="I54" s="92">
        <f t="shared" si="3"/>
        <v>297.96369761231995</v>
      </c>
    </row>
    <row r="55" spans="1:12" x14ac:dyDescent="0.2">
      <c r="B55" s="94"/>
      <c r="C55" s="75"/>
      <c r="D55" s="75"/>
      <c r="E55" s="75"/>
      <c r="F55" s="85"/>
      <c r="G55" s="86">
        <f t="shared" ref="G55:H55" si="4">SUM(G52:G54)</f>
        <v>1525</v>
      </c>
      <c r="H55" s="87">
        <f t="shared" si="4"/>
        <v>2051.1897306258306</v>
      </c>
      <c r="I55" s="86">
        <f>SUM(I52:I54)</f>
        <v>526.18973062583041</v>
      </c>
    </row>
    <row r="58" spans="1:12" ht="19" customHeight="1" x14ac:dyDescent="0.2">
      <c r="A58" s="21" t="s">
        <v>137</v>
      </c>
      <c r="B58" s="170" t="s">
        <v>147</v>
      </c>
      <c r="C58" s="170"/>
      <c r="D58" s="170"/>
      <c r="E58" s="170"/>
      <c r="F58" s="170"/>
      <c r="G58" s="170"/>
      <c r="H58" s="170"/>
      <c r="I58" s="170"/>
    </row>
    <row r="59" spans="1:12" ht="19" customHeight="1" x14ac:dyDescent="0.2">
      <c r="A59" s="21"/>
      <c r="B59" s="170"/>
      <c r="C59" s="170"/>
      <c r="D59" s="170"/>
      <c r="E59" s="170"/>
      <c r="F59" s="170"/>
      <c r="G59" s="170"/>
      <c r="H59" s="170"/>
      <c r="I59" s="170"/>
    </row>
    <row r="60" spans="1:12" x14ac:dyDescent="0.2">
      <c r="B60" s="6"/>
    </row>
    <row r="61" spans="1:12" x14ac:dyDescent="0.2">
      <c r="B61" s="6"/>
    </row>
    <row r="62" spans="1:12" x14ac:dyDescent="0.2">
      <c r="B62" s="6"/>
    </row>
    <row r="63" spans="1:12" x14ac:dyDescent="0.2">
      <c r="C63" s="171" t="s">
        <v>17</v>
      </c>
      <c r="D63" s="171"/>
      <c r="E63" s="171"/>
      <c r="F63" s="171"/>
    </row>
    <row r="64" spans="1:12" ht="33" customHeight="1" x14ac:dyDescent="0.2">
      <c r="A64" s="3"/>
      <c r="C64" s="95" t="s">
        <v>11</v>
      </c>
      <c r="D64" s="79">
        <v>12</v>
      </c>
      <c r="E64" s="79">
        <v>24</v>
      </c>
      <c r="F64" s="79">
        <v>36</v>
      </c>
      <c r="G64" s="96" t="s">
        <v>26</v>
      </c>
    </row>
    <row r="65" spans="1:12" x14ac:dyDescent="0.2">
      <c r="C65" s="97">
        <f>C8</f>
        <v>2021</v>
      </c>
      <c r="D65" s="98">
        <f>$G65*D$69</f>
        <v>321.38386396930309</v>
      </c>
      <c r="E65" s="98">
        <f>$G65*E$69</f>
        <v>98.149180816073553</v>
      </c>
      <c r="F65" s="98">
        <f>$G65*F$69</f>
        <v>40.466955214623397</v>
      </c>
      <c r="G65" s="98">
        <f>G52/E52</f>
        <v>549.72695537161769</v>
      </c>
    </row>
    <row r="66" spans="1:12" x14ac:dyDescent="0.2">
      <c r="C66" s="97">
        <f>C9</f>
        <v>2022</v>
      </c>
      <c r="D66" s="98">
        <f>$G66*D$69</f>
        <v>463.4610792122416</v>
      </c>
      <c r="E66" s="98">
        <f>$G66*E$69</f>
        <v>141.53892078775834</v>
      </c>
      <c r="F66" s="98"/>
      <c r="G66" s="98">
        <f>G53/E53</f>
        <v>792.74996840826054</v>
      </c>
    </row>
    <row r="67" spans="1:12" x14ac:dyDescent="0.2">
      <c r="C67" s="97">
        <f>C10</f>
        <v>2023</v>
      </c>
      <c r="D67" s="98">
        <f>$G67*D$69</f>
        <v>460</v>
      </c>
      <c r="E67" s="98"/>
      <c r="F67" s="98"/>
      <c r="G67" s="98">
        <f>G54/E54</f>
        <v>786.82979396593907</v>
      </c>
    </row>
    <row r="69" spans="1:12" x14ac:dyDescent="0.2">
      <c r="C69" s="99" t="s">
        <v>149</v>
      </c>
      <c r="D69" s="84">
        <f>E54</f>
        <v>0.58462453192248187</v>
      </c>
      <c r="E69" s="84">
        <f>E53-E54</f>
        <v>0.17854169212008952</v>
      </c>
      <c r="F69" s="84">
        <f>E52-E53</f>
        <v>7.3612826911985008E-2</v>
      </c>
    </row>
    <row r="70" spans="1:12" x14ac:dyDescent="0.2">
      <c r="C70" s="59" t="s">
        <v>150</v>
      </c>
    </row>
    <row r="71" spans="1:12" x14ac:dyDescent="0.2">
      <c r="L71" s="4"/>
    </row>
    <row r="72" spans="1:12" ht="19" customHeight="1" x14ac:dyDescent="0.2">
      <c r="A72" s="21" t="s">
        <v>138</v>
      </c>
      <c r="B72" s="170" t="s">
        <v>151</v>
      </c>
      <c r="C72" s="170"/>
      <c r="D72" s="170"/>
      <c r="E72" s="170"/>
      <c r="F72" s="170"/>
      <c r="G72" s="170"/>
      <c r="H72" s="170"/>
      <c r="I72" s="170"/>
      <c r="L72" s="4"/>
    </row>
    <row r="73" spans="1:12" x14ac:dyDescent="0.2">
      <c r="B73" s="170"/>
      <c r="C73" s="170"/>
      <c r="D73" s="170"/>
      <c r="E73" s="170"/>
      <c r="F73" s="170"/>
      <c r="G73" s="170"/>
      <c r="H73" s="170"/>
      <c r="I73" s="170"/>
      <c r="L73" s="4"/>
    </row>
    <row r="74" spans="1:12" x14ac:dyDescent="0.2">
      <c r="L74" s="4"/>
    </row>
    <row r="75" spans="1:12" x14ac:dyDescent="0.2">
      <c r="L75" s="4"/>
    </row>
    <row r="76" spans="1:12" x14ac:dyDescent="0.2">
      <c r="L76" s="4"/>
    </row>
    <row r="77" spans="1:12" x14ac:dyDescent="0.2">
      <c r="L77" s="4"/>
    </row>
    <row r="78" spans="1:12" x14ac:dyDescent="0.2">
      <c r="L78" s="4"/>
    </row>
    <row r="79" spans="1:12" x14ac:dyDescent="0.2">
      <c r="L79" s="4"/>
    </row>
    <row r="80" spans="1:12" x14ac:dyDescent="0.2">
      <c r="C80" s="171" t="s">
        <v>18</v>
      </c>
      <c r="D80" s="171"/>
      <c r="E80" s="171"/>
      <c r="F80" s="171"/>
      <c r="L80" s="4"/>
    </row>
    <row r="81" spans="1:14" ht="17" x14ac:dyDescent="0.2">
      <c r="C81" s="46" t="s">
        <v>11</v>
      </c>
      <c r="D81" s="47">
        <v>12</v>
      </c>
      <c r="E81" s="47">
        <v>24</v>
      </c>
      <c r="F81" s="47">
        <v>36</v>
      </c>
      <c r="L81" s="4"/>
    </row>
    <row r="82" spans="1:14" x14ac:dyDescent="0.2">
      <c r="C82" s="15">
        <f t="shared" ref="C82:D84" si="5">C8</f>
        <v>2021</v>
      </c>
      <c r="D82" s="11">
        <f t="shared" si="5"/>
        <v>280</v>
      </c>
      <c r="E82" s="11">
        <f>E8-D8</f>
        <v>120</v>
      </c>
      <c r="F82" s="11">
        <f>F8-E8</f>
        <v>60</v>
      </c>
      <c r="L82" s="4"/>
    </row>
    <row r="83" spans="1:14" x14ac:dyDescent="0.2">
      <c r="C83" s="15">
        <f t="shared" si="5"/>
        <v>2022</v>
      </c>
      <c r="D83" s="11">
        <f t="shared" si="5"/>
        <v>520</v>
      </c>
      <c r="E83" s="11">
        <f>E9-D9</f>
        <v>85</v>
      </c>
      <c r="F83" s="11"/>
      <c r="L83" s="4"/>
    </row>
    <row r="84" spans="1:14" x14ac:dyDescent="0.2">
      <c r="C84" s="15">
        <f t="shared" si="5"/>
        <v>2023</v>
      </c>
      <c r="D84" s="11">
        <f t="shared" si="5"/>
        <v>460</v>
      </c>
      <c r="E84" s="11"/>
      <c r="F84" s="11"/>
      <c r="L84" s="4"/>
    </row>
    <row r="85" spans="1:14" x14ac:dyDescent="0.2">
      <c r="L85" s="4"/>
    </row>
    <row r="86" spans="1:14" x14ac:dyDescent="0.2">
      <c r="C86" s="171" t="s">
        <v>20</v>
      </c>
      <c r="D86" s="171"/>
      <c r="E86" s="171"/>
      <c r="F86" s="171"/>
      <c r="L86" s="4"/>
    </row>
    <row r="87" spans="1:14" x14ac:dyDescent="0.2">
      <c r="C87" s="95" t="s">
        <v>11</v>
      </c>
      <c r="D87" s="100">
        <v>12</v>
      </c>
      <c r="E87" s="100">
        <v>24</v>
      </c>
      <c r="F87" s="100">
        <v>36</v>
      </c>
      <c r="L87" s="4"/>
    </row>
    <row r="88" spans="1:14" x14ac:dyDescent="0.2">
      <c r="A88" s="3"/>
      <c r="C88" s="97">
        <f>C8</f>
        <v>2021</v>
      </c>
      <c r="D88" s="101">
        <f>(D82-D65)^2/D65</f>
        <v>5.3289053653090797</v>
      </c>
      <c r="E88" s="101">
        <f>(E82-E65)^2/E65</f>
        <v>4.8646182784080496</v>
      </c>
      <c r="F88" s="101">
        <f>(F82-F65)^2/F65</f>
        <v>9.4284296054389696</v>
      </c>
      <c r="L88" s="4"/>
    </row>
    <row r="89" spans="1:14" x14ac:dyDescent="0.2">
      <c r="C89" s="97">
        <f>C9</f>
        <v>2022</v>
      </c>
      <c r="D89" s="101">
        <f>(D83-D66)^2/D66</f>
        <v>6.8973419931569184</v>
      </c>
      <c r="E89" s="101">
        <f>(E83-E66)^2/E66</f>
        <v>22.584950811076762</v>
      </c>
      <c r="F89" s="102"/>
      <c r="L89" s="4"/>
      <c r="M89" s="74"/>
    </row>
    <row r="90" spans="1:14" x14ac:dyDescent="0.2">
      <c r="C90" s="97">
        <f>C10</f>
        <v>2023</v>
      </c>
      <c r="D90" s="101">
        <f>(D84-D67)^2/D67</f>
        <v>0</v>
      </c>
      <c r="E90" s="102"/>
      <c r="F90" s="102"/>
      <c r="L90" s="4"/>
      <c r="M90" s="4"/>
      <c r="N90" s="4"/>
    </row>
    <row r="91" spans="1:14" x14ac:dyDescent="0.2">
      <c r="L91" s="4"/>
      <c r="M91" s="4"/>
      <c r="N91" s="4"/>
    </row>
    <row r="92" spans="1:14" x14ac:dyDescent="0.2">
      <c r="C92" s="75" t="s">
        <v>163</v>
      </c>
      <c r="D92" s="75">
        <f>COUNT(D82:F84)</f>
        <v>6</v>
      </c>
      <c r="E92" s="103" t="s">
        <v>156</v>
      </c>
      <c r="M92" s="4"/>
      <c r="N92" s="4"/>
    </row>
    <row r="93" spans="1:14" x14ac:dyDescent="0.2">
      <c r="C93" s="75" t="s">
        <v>164</v>
      </c>
      <c r="D93" s="75">
        <f>COUNT(C82:C84)+COUNT(D15:D16)</f>
        <v>5</v>
      </c>
      <c r="E93" s="103" t="s">
        <v>123</v>
      </c>
      <c r="L93" s="4"/>
      <c r="M93" s="4"/>
      <c r="N93" s="4"/>
    </row>
    <row r="94" spans="1:14" ht="17" thickBot="1" x14ac:dyDescent="0.25">
      <c r="E94" s="103"/>
      <c r="L94" s="4"/>
      <c r="M94" s="4"/>
      <c r="N94" s="4"/>
    </row>
    <row r="95" spans="1:14" ht="20" thickBot="1" x14ac:dyDescent="0.25">
      <c r="C95" s="76" t="s">
        <v>165</v>
      </c>
      <c r="D95" s="104">
        <f>SUM($D$88:$F$90)/(D92-D93)</f>
        <v>49.10424605338978</v>
      </c>
      <c r="L95" s="4"/>
      <c r="M95" s="4"/>
      <c r="N95" s="4"/>
    </row>
    <row r="96" spans="1:14" x14ac:dyDescent="0.2">
      <c r="L96" s="4"/>
      <c r="M96" s="4"/>
      <c r="N96" s="4"/>
    </row>
    <row r="97" spans="1:14" x14ac:dyDescent="0.2">
      <c r="A97" s="21" t="s">
        <v>139</v>
      </c>
      <c r="B97" s="5" t="s">
        <v>153</v>
      </c>
      <c r="L97" s="4"/>
      <c r="M97" s="4"/>
      <c r="N97" s="4"/>
    </row>
    <row r="98" spans="1:14" x14ac:dyDescent="0.2">
      <c r="L98" s="4"/>
      <c r="M98" s="4"/>
      <c r="N98" s="4"/>
    </row>
    <row r="99" spans="1:14" x14ac:dyDescent="0.2">
      <c r="L99" s="4"/>
      <c r="M99" s="4"/>
      <c r="N99" s="4"/>
    </row>
    <row r="100" spans="1:14" ht="17" thickBot="1" x14ac:dyDescent="0.25">
      <c r="D100" s="105"/>
      <c r="L100" s="4"/>
      <c r="M100" s="4"/>
      <c r="N100" s="4"/>
    </row>
    <row r="101" spans="1:14" ht="17" thickBot="1" x14ac:dyDescent="0.25">
      <c r="C101" s="106" t="s">
        <v>56</v>
      </c>
      <c r="D101" s="107">
        <f>D95*I55</f>
        <v>25838.150003417664</v>
      </c>
      <c r="L101" s="4"/>
      <c r="M101" s="4"/>
      <c r="N101" s="4"/>
    </row>
    <row r="102" spans="1:14" x14ac:dyDescent="0.2">
      <c r="D102" s="105"/>
      <c r="L102" s="4"/>
      <c r="M102" s="4"/>
      <c r="N102" s="4"/>
    </row>
    <row r="103" spans="1:14" x14ac:dyDescent="0.2">
      <c r="A103" s="21" t="s">
        <v>140</v>
      </c>
      <c r="B103" s="5" t="s">
        <v>154</v>
      </c>
      <c r="D103" s="105"/>
      <c r="L103" s="4"/>
      <c r="M103" s="4"/>
      <c r="N103" s="4"/>
    </row>
    <row r="104" spans="1:14" x14ac:dyDescent="0.2">
      <c r="A104" s="21"/>
      <c r="B104" s="5"/>
      <c r="D104" s="105"/>
      <c r="L104" s="4"/>
      <c r="M104" s="4"/>
      <c r="N104" s="4"/>
    </row>
    <row r="105" spans="1:14" x14ac:dyDescent="0.2">
      <c r="A105" s="21"/>
      <c r="B105" s="5"/>
      <c r="D105" s="105"/>
      <c r="L105" s="4"/>
      <c r="M105" s="4"/>
      <c r="N105" s="4"/>
    </row>
    <row r="106" spans="1:14" x14ac:dyDescent="0.2">
      <c r="L106" s="4"/>
      <c r="M106" s="74"/>
    </row>
    <row r="107" spans="1:14" x14ac:dyDescent="0.2">
      <c r="C107" s="59" t="s">
        <v>21</v>
      </c>
      <c r="E107" s="98">
        <f>(G18/1000)^2</f>
        <v>32400</v>
      </c>
      <c r="L107" s="4"/>
      <c r="M107" s="4"/>
      <c r="N107" s="4"/>
    </row>
    <row r="108" spans="1:14" ht="17" thickBot="1" x14ac:dyDescent="0.25">
      <c r="E108" s="98"/>
      <c r="L108" s="4"/>
      <c r="M108" s="4"/>
      <c r="N108" s="4"/>
    </row>
    <row r="109" spans="1:14" ht="17" thickBot="1" x14ac:dyDescent="0.25">
      <c r="C109" s="106" t="s">
        <v>22</v>
      </c>
      <c r="D109" s="108"/>
      <c r="E109" s="109">
        <f>SQRT(D101+E107)</f>
        <v>241.32581710918885</v>
      </c>
      <c r="F109" s="103" t="s">
        <v>23</v>
      </c>
      <c r="L109" s="4"/>
      <c r="M109" s="4"/>
      <c r="N109" s="4"/>
    </row>
    <row r="110" spans="1:14" x14ac:dyDescent="0.2">
      <c r="L110" s="4"/>
      <c r="M110" s="4"/>
      <c r="N110" s="4"/>
    </row>
    <row r="111" spans="1:14" x14ac:dyDescent="0.2">
      <c r="B111" s="59" t="s">
        <v>152</v>
      </c>
      <c r="L111" s="4"/>
      <c r="M111" s="4"/>
      <c r="N111" s="4"/>
    </row>
    <row r="112" spans="1:14" x14ac:dyDescent="0.2">
      <c r="L112" s="4"/>
      <c r="M112" s="4"/>
      <c r="N112" s="4"/>
    </row>
    <row r="113" spans="1:14" ht="19" x14ac:dyDescent="0.25">
      <c r="A113" s="2" t="s">
        <v>39</v>
      </c>
      <c r="L113" s="4"/>
      <c r="M113" s="4"/>
      <c r="N113" s="4"/>
    </row>
    <row r="114" spans="1:14" x14ac:dyDescent="0.2">
      <c r="B114" s="146" t="s">
        <v>234</v>
      </c>
      <c r="C114" s="145"/>
      <c r="D114" s="145"/>
      <c r="E114" s="145"/>
      <c r="F114" s="145"/>
      <c r="G114" s="145"/>
      <c r="H114" s="145"/>
      <c r="I114" s="145"/>
      <c r="L114" s="4"/>
      <c r="M114" s="4"/>
      <c r="N114" s="4"/>
    </row>
    <row r="115" spans="1:14" ht="18" customHeight="1" x14ac:dyDescent="0.2">
      <c r="B115" s="172" t="s">
        <v>239</v>
      </c>
      <c r="C115" s="173"/>
      <c r="D115" s="173"/>
      <c r="E115" s="173"/>
      <c r="F115" s="173"/>
      <c r="G115" s="173"/>
      <c r="H115" s="173"/>
      <c r="I115" s="173"/>
      <c r="L115" s="4"/>
      <c r="M115" s="4"/>
      <c r="N115" s="4"/>
    </row>
    <row r="116" spans="1:14" x14ac:dyDescent="0.2">
      <c r="B116" s="173"/>
      <c r="C116" s="173"/>
      <c r="D116" s="173"/>
      <c r="E116" s="173"/>
      <c r="F116" s="173"/>
      <c r="G116" s="173"/>
      <c r="H116" s="173"/>
      <c r="I116" s="173"/>
      <c r="L116" s="4"/>
      <c r="M116" s="4"/>
      <c r="N116" s="4"/>
    </row>
    <row r="117" spans="1:14" x14ac:dyDescent="0.2">
      <c r="B117" s="173"/>
      <c r="C117" s="173"/>
      <c r="D117" s="173"/>
      <c r="E117" s="173"/>
      <c r="F117" s="173"/>
      <c r="G117" s="173"/>
      <c r="H117" s="173"/>
      <c r="I117" s="173"/>
      <c r="L117" s="4"/>
      <c r="M117" s="4"/>
      <c r="N117" s="4"/>
    </row>
    <row r="118" spans="1:14" x14ac:dyDescent="0.2">
      <c r="B118" s="173"/>
      <c r="C118" s="173"/>
      <c r="D118" s="173"/>
      <c r="E118" s="173"/>
      <c r="F118" s="173"/>
      <c r="G118" s="173"/>
      <c r="H118" s="173"/>
      <c r="I118" s="173"/>
      <c r="L118" s="4"/>
      <c r="M118" s="4"/>
      <c r="N118" s="4"/>
    </row>
    <row r="119" spans="1:14" x14ac:dyDescent="0.2">
      <c r="B119" s="173"/>
      <c r="C119" s="173"/>
      <c r="D119" s="173"/>
      <c r="E119" s="173"/>
      <c r="F119" s="173"/>
      <c r="G119" s="173"/>
      <c r="H119" s="173"/>
      <c r="I119" s="173"/>
      <c r="L119" s="4"/>
      <c r="M119" s="4"/>
      <c r="N119" s="4"/>
    </row>
    <row r="120" spans="1:14" x14ac:dyDescent="0.2">
      <c r="B120" s="145"/>
      <c r="C120" s="145"/>
      <c r="D120" s="145"/>
      <c r="E120" s="145"/>
      <c r="F120" s="145"/>
      <c r="G120" s="145"/>
      <c r="H120" s="145"/>
      <c r="I120" s="145"/>
      <c r="L120" s="4"/>
      <c r="M120" s="4"/>
      <c r="N120" s="4"/>
    </row>
    <row r="121" spans="1:14" ht="19" x14ac:dyDescent="0.25">
      <c r="B121" s="20" t="s">
        <v>238</v>
      </c>
      <c r="C121" s="145"/>
      <c r="D121" s="145"/>
      <c r="E121" s="145"/>
      <c r="F121" s="145"/>
      <c r="G121" s="145"/>
      <c r="H121" s="145"/>
      <c r="I121" s="145"/>
      <c r="L121" s="4"/>
      <c r="M121" s="4"/>
      <c r="N121" s="4"/>
    </row>
    <row r="122" spans="1:14" x14ac:dyDescent="0.2">
      <c r="B122" s="174" t="s">
        <v>243</v>
      </c>
      <c r="C122" s="175"/>
      <c r="D122" s="175"/>
      <c r="E122" s="175"/>
      <c r="F122" s="175"/>
      <c r="G122" s="175"/>
      <c r="H122" s="175"/>
      <c r="I122" s="175"/>
      <c r="L122" s="4"/>
      <c r="M122" s="4"/>
      <c r="N122" s="4"/>
    </row>
    <row r="123" spans="1:14" x14ac:dyDescent="0.2">
      <c r="B123" s="175"/>
      <c r="C123" s="175"/>
      <c r="D123" s="175"/>
      <c r="E123" s="175"/>
      <c r="F123" s="175"/>
      <c r="G123" s="175"/>
      <c r="H123" s="175"/>
      <c r="I123" s="175"/>
      <c r="L123" s="4"/>
      <c r="M123" s="4"/>
      <c r="N123" s="4"/>
    </row>
    <row r="124" spans="1:14" x14ac:dyDescent="0.2">
      <c r="B124" s="175"/>
      <c r="C124" s="175"/>
      <c r="D124" s="175"/>
      <c r="E124" s="175"/>
      <c r="F124" s="175"/>
      <c r="G124" s="175"/>
      <c r="H124" s="175"/>
      <c r="I124" s="175"/>
      <c r="L124" s="4"/>
      <c r="M124" s="4"/>
      <c r="N124" s="4"/>
    </row>
    <row r="125" spans="1:14" x14ac:dyDescent="0.2">
      <c r="B125" s="175"/>
      <c r="C125" s="175"/>
      <c r="D125" s="175"/>
      <c r="E125" s="175"/>
      <c r="F125" s="175"/>
      <c r="G125" s="175"/>
      <c r="H125" s="175"/>
      <c r="I125" s="175"/>
      <c r="L125" s="4"/>
      <c r="M125" s="4"/>
      <c r="N125" s="4"/>
    </row>
    <row r="126" spans="1:14" x14ac:dyDescent="0.2">
      <c r="B126" s="175"/>
      <c r="C126" s="175"/>
      <c r="D126" s="175"/>
      <c r="E126" s="175"/>
      <c r="F126" s="175"/>
      <c r="G126" s="175"/>
      <c r="H126" s="175"/>
      <c r="I126" s="175"/>
      <c r="L126" s="4"/>
      <c r="M126" s="4"/>
      <c r="N126" s="4"/>
    </row>
    <row r="127" spans="1:14" x14ac:dyDescent="0.2">
      <c r="B127" s="175"/>
      <c r="C127" s="175"/>
      <c r="D127" s="175"/>
      <c r="E127" s="175"/>
      <c r="F127" s="175"/>
      <c r="G127" s="175"/>
      <c r="H127" s="175"/>
      <c r="I127" s="175"/>
      <c r="L127" s="4"/>
      <c r="M127" s="4"/>
      <c r="N127" s="4"/>
    </row>
    <row r="128" spans="1:14" x14ac:dyDescent="0.2">
      <c r="B128" s="175"/>
      <c r="C128" s="175"/>
      <c r="D128" s="175"/>
      <c r="E128" s="175"/>
      <c r="F128" s="175"/>
      <c r="G128" s="175"/>
      <c r="H128" s="175"/>
      <c r="I128" s="175"/>
      <c r="L128" s="4"/>
      <c r="M128" s="4"/>
      <c r="N128" s="4"/>
    </row>
    <row r="129" spans="2:14" x14ac:dyDescent="0.2">
      <c r="B129" s="175"/>
      <c r="C129" s="175"/>
      <c r="D129" s="175"/>
      <c r="E129" s="175"/>
      <c r="F129" s="175"/>
      <c r="G129" s="175"/>
      <c r="H129" s="175"/>
      <c r="I129" s="175"/>
      <c r="L129" s="4"/>
      <c r="M129" s="4"/>
      <c r="N129" s="4"/>
    </row>
    <row r="130" spans="2:14" x14ac:dyDescent="0.2">
      <c r="B130" s="175"/>
      <c r="C130" s="175"/>
      <c r="D130" s="175"/>
      <c r="E130" s="175"/>
      <c r="F130" s="175"/>
      <c r="G130" s="175"/>
      <c r="H130" s="175"/>
      <c r="I130" s="175"/>
      <c r="L130" s="4"/>
      <c r="M130" s="4"/>
      <c r="N130" s="4"/>
    </row>
    <row r="131" spans="2:14" x14ac:dyDescent="0.2">
      <c r="L131" s="4"/>
      <c r="M131" s="4"/>
      <c r="N131" s="4"/>
    </row>
    <row r="132" spans="2:14" x14ac:dyDescent="0.2">
      <c r="L132" s="4"/>
      <c r="M132" s="4"/>
      <c r="N132" s="4"/>
    </row>
    <row r="133" spans="2:14" x14ac:dyDescent="0.2">
      <c r="L133" s="4"/>
      <c r="M133" s="4"/>
      <c r="N133" s="4"/>
    </row>
    <row r="134" spans="2:14" x14ac:dyDescent="0.2">
      <c r="C134" s="110"/>
      <c r="D134" s="111" t="s">
        <v>80</v>
      </c>
      <c r="E134" s="112"/>
      <c r="F134" s="111" t="s">
        <v>81</v>
      </c>
      <c r="M134" s="74"/>
    </row>
    <row r="135" spans="2:14" x14ac:dyDescent="0.2">
      <c r="C135" s="167" t="s">
        <v>3</v>
      </c>
      <c r="D135" s="113"/>
      <c r="E135" s="113"/>
      <c r="N135" s="4"/>
    </row>
    <row r="136" spans="2:14" x14ac:dyDescent="0.2">
      <c r="C136" s="167"/>
      <c r="D136" s="113"/>
      <c r="E136" s="113"/>
      <c r="N136" s="4"/>
    </row>
    <row r="137" spans="2:14" x14ac:dyDescent="0.2">
      <c r="C137" s="167"/>
      <c r="D137" s="113"/>
      <c r="E137" s="113"/>
      <c r="N137" s="4"/>
    </row>
    <row r="138" spans="2:14" x14ac:dyDescent="0.2">
      <c r="N138" s="4"/>
    </row>
    <row r="139" spans="2:14" x14ac:dyDescent="0.2">
      <c r="B139" s="5" t="s">
        <v>171</v>
      </c>
    </row>
    <row r="140" spans="2:14" x14ac:dyDescent="0.2">
      <c r="B140" s="154" t="s">
        <v>240</v>
      </c>
    </row>
    <row r="142" spans="2:14" x14ac:dyDescent="0.2">
      <c r="B142" s="3" t="s">
        <v>244</v>
      </c>
      <c r="L142" s="4"/>
      <c r="M142" s="4"/>
      <c r="N142" s="4"/>
    </row>
    <row r="143" spans="2:14" x14ac:dyDescent="0.2">
      <c r="B143" s="174" t="s">
        <v>241</v>
      </c>
      <c r="C143" s="176"/>
      <c r="D143" s="176"/>
      <c r="E143" s="176"/>
      <c r="F143" s="176"/>
      <c r="G143" s="176"/>
      <c r="H143" s="176"/>
      <c r="I143" s="176"/>
      <c r="L143" s="4"/>
      <c r="M143" s="4"/>
      <c r="N143" s="4"/>
    </row>
    <row r="144" spans="2:14" x14ac:dyDescent="0.2">
      <c r="B144" s="175"/>
      <c r="C144" s="176"/>
      <c r="D144" s="176"/>
      <c r="E144" s="176"/>
      <c r="F144" s="176"/>
      <c r="G144" s="176"/>
      <c r="H144" s="176"/>
      <c r="I144" s="176"/>
      <c r="L144" s="4"/>
      <c r="M144" s="4"/>
      <c r="N144" s="4"/>
    </row>
    <row r="145" spans="2:15" x14ac:dyDescent="0.2">
      <c r="B145" s="175"/>
      <c r="C145" s="176"/>
      <c r="D145" s="176"/>
      <c r="E145" s="176"/>
      <c r="F145" s="176"/>
      <c r="G145" s="176"/>
      <c r="H145" s="176"/>
      <c r="I145" s="176"/>
      <c r="L145" s="4"/>
      <c r="M145" s="4"/>
      <c r="N145" s="4"/>
    </row>
    <row r="146" spans="2:15" x14ac:dyDescent="0.2">
      <c r="B146" s="175"/>
      <c r="C146" s="176"/>
      <c r="D146" s="176"/>
      <c r="E146" s="176"/>
      <c r="F146" s="176"/>
      <c r="G146" s="176"/>
      <c r="H146" s="176"/>
      <c r="I146" s="176"/>
      <c r="L146" s="4"/>
      <c r="M146" s="4"/>
      <c r="N146" s="4"/>
    </row>
    <row r="147" spans="2:15" x14ac:dyDescent="0.2">
      <c r="B147" s="176"/>
      <c r="C147" s="176"/>
      <c r="D147" s="176"/>
      <c r="E147" s="176"/>
      <c r="F147" s="176"/>
      <c r="G147" s="176"/>
      <c r="H147" s="176"/>
      <c r="I147" s="176"/>
      <c r="L147" s="4"/>
      <c r="M147" s="4"/>
      <c r="N147" s="4"/>
    </row>
    <row r="148" spans="2:15" x14ac:dyDescent="0.2">
      <c r="L148" s="4"/>
      <c r="M148" s="4"/>
      <c r="N148" s="4"/>
    </row>
    <row r="149" spans="2:15" x14ac:dyDescent="0.2">
      <c r="L149" s="4"/>
      <c r="M149" s="4"/>
      <c r="N149" s="4"/>
    </row>
    <row r="150" spans="2:15" x14ac:dyDescent="0.2">
      <c r="I150" s="159" t="s">
        <v>237</v>
      </c>
      <c r="M150" s="4"/>
      <c r="N150" s="4"/>
      <c r="O150" s="4"/>
    </row>
    <row r="151" spans="2:15" x14ac:dyDescent="0.2">
      <c r="G151" s="163" t="s">
        <v>24</v>
      </c>
      <c r="H151" s="157" t="s">
        <v>15</v>
      </c>
      <c r="I151" s="160"/>
      <c r="J151" s="157" t="s">
        <v>145</v>
      </c>
      <c r="M151" s="4"/>
      <c r="N151" s="4"/>
      <c r="O151" s="4"/>
    </row>
    <row r="152" spans="2:15" ht="17" x14ac:dyDescent="0.2">
      <c r="B152" s="78" t="s">
        <v>11</v>
      </c>
      <c r="C152" s="79" t="s">
        <v>12</v>
      </c>
      <c r="D152" s="147" t="s">
        <v>235</v>
      </c>
      <c r="E152" s="79" t="s">
        <v>13</v>
      </c>
      <c r="F152" s="149" t="s">
        <v>236</v>
      </c>
      <c r="G152" s="162"/>
      <c r="H152" s="162"/>
      <c r="I152" s="161"/>
      <c r="J152" s="158"/>
      <c r="M152" s="4"/>
    </row>
    <row r="153" spans="2:15" x14ac:dyDescent="0.2">
      <c r="B153" s="83">
        <f>C8</f>
        <v>2021</v>
      </c>
      <c r="C153" s="75">
        <f>C154+12</f>
        <v>33</v>
      </c>
      <c r="D153" s="75">
        <f t="shared" ref="D153:D154" si="6">MIN(C153/12,1)</f>
        <v>1</v>
      </c>
      <c r="E153" s="75">
        <f t="shared" ref="E153:E154" si="7">IF(C153&lt;=12,C153/2,C153-6)</f>
        <v>27</v>
      </c>
      <c r="F153" s="84">
        <f t="shared" ref="F153:F154" si="8">D153*(1-EXP(-((E153/$D$15)^$D$16)))</f>
        <v>0.82248749135812682</v>
      </c>
      <c r="G153" s="85">
        <f>$G$31/F153</f>
        <v>1.1712195350840942</v>
      </c>
      <c r="H153" s="86">
        <f>F8</f>
        <v>460</v>
      </c>
      <c r="I153" s="87">
        <f>H153*G153</f>
        <v>538.76098613868328</v>
      </c>
      <c r="J153" s="86">
        <f>I153-H153</f>
        <v>78.760986138683279</v>
      </c>
      <c r="M153" s="4"/>
    </row>
    <row r="154" spans="2:15" x14ac:dyDescent="0.2">
      <c r="B154" s="83">
        <f t="shared" ref="B154:B155" si="9">C9</f>
        <v>2022</v>
      </c>
      <c r="C154" s="75">
        <f t="shared" ref="C154" si="10">C155+12</f>
        <v>21</v>
      </c>
      <c r="D154" s="75">
        <f t="shared" si="6"/>
        <v>1</v>
      </c>
      <c r="E154" s="75">
        <f t="shared" si="7"/>
        <v>15</v>
      </c>
      <c r="F154" s="84">
        <f t="shared" si="8"/>
        <v>0.73471162048054528</v>
      </c>
      <c r="G154" s="85">
        <f>$G$31/F154</f>
        <v>1.3111449314098009</v>
      </c>
      <c r="H154" s="86">
        <f>E9</f>
        <v>605</v>
      </c>
      <c r="I154" s="87">
        <f>H154*G154</f>
        <v>793.24268350292959</v>
      </c>
      <c r="J154" s="86">
        <f t="shared" ref="J154" si="11">I154-H154</f>
        <v>188.24268350292959</v>
      </c>
      <c r="M154" s="4"/>
    </row>
    <row r="155" spans="2:15" x14ac:dyDescent="0.2">
      <c r="B155" s="88">
        <f t="shared" si="9"/>
        <v>2023</v>
      </c>
      <c r="C155" s="151">
        <v>9</v>
      </c>
      <c r="D155" s="148">
        <f>MIN(C155/12,1)</f>
        <v>0.75</v>
      </c>
      <c r="E155" s="148">
        <f>IF(C155&lt;=12,C155/2,C155-6)</f>
        <v>4.5</v>
      </c>
      <c r="F155" s="150">
        <f>D155*(1-EXP(-((E155/$D$15)^$D$16)))</f>
        <v>0.40339572898642323</v>
      </c>
      <c r="G155" s="152">
        <f>$G$31/F155</f>
        <v>2.388010948111376</v>
      </c>
      <c r="H155" s="92">
        <f>D10</f>
        <v>460</v>
      </c>
      <c r="I155" s="93">
        <f>H155*G155</f>
        <v>1098.4850361312331</v>
      </c>
      <c r="J155" s="92">
        <f>I155-H155</f>
        <v>638.48503613123307</v>
      </c>
    </row>
    <row r="156" spans="2:15" x14ac:dyDescent="0.2">
      <c r="B156" s="153" t="s">
        <v>173</v>
      </c>
      <c r="C156" s="75"/>
      <c r="D156" s="75"/>
      <c r="E156" s="75"/>
      <c r="F156" s="75"/>
      <c r="G156" s="85"/>
      <c r="H156" s="86">
        <f t="shared" ref="H156:I156" si="12">SUM(H153:H155)</f>
        <v>1525</v>
      </c>
      <c r="I156" s="87">
        <f t="shared" si="12"/>
        <v>2430.4887057728456</v>
      </c>
      <c r="J156" s="86">
        <f>SUM(J153:J155)</f>
        <v>905.48870577284595</v>
      </c>
    </row>
    <row r="157" spans="2:15" x14ac:dyDescent="0.2">
      <c r="L157" s="4"/>
      <c r="M157" s="4"/>
      <c r="N157" s="4"/>
    </row>
    <row r="158" spans="2:15" x14ac:dyDescent="0.2">
      <c r="B158" s="5" t="s">
        <v>171</v>
      </c>
      <c r="L158" s="4"/>
      <c r="M158" s="4"/>
      <c r="N158" s="4"/>
    </row>
    <row r="159" spans="2:15" x14ac:dyDescent="0.2">
      <c r="B159" s="154" t="s">
        <v>242</v>
      </c>
      <c r="L159" s="4"/>
      <c r="M159" s="4"/>
      <c r="N159" s="4"/>
    </row>
    <row r="160" spans="2:15" x14ac:dyDescent="0.2">
      <c r="L160" s="4"/>
      <c r="M160" s="4"/>
      <c r="N160" s="4"/>
    </row>
    <row r="161" spans="1:65" ht="19" x14ac:dyDescent="0.25">
      <c r="B161" s="20" t="s">
        <v>82</v>
      </c>
      <c r="M161" s="74"/>
    </row>
    <row r="162" spans="1:65" ht="16" customHeight="1" x14ac:dyDescent="0.2">
      <c r="A162" s="4"/>
      <c r="B162" s="176" t="s">
        <v>157</v>
      </c>
      <c r="C162" s="176"/>
      <c r="D162" s="176"/>
      <c r="E162" s="176"/>
      <c r="F162" s="176"/>
      <c r="G162" s="176"/>
      <c r="H162" s="176"/>
      <c r="I162" s="176"/>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176"/>
      <c r="C163" s="176"/>
      <c r="D163" s="176"/>
      <c r="E163" s="176"/>
      <c r="F163" s="176"/>
      <c r="G163" s="176"/>
      <c r="H163" s="176"/>
      <c r="I163" s="176"/>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176"/>
      <c r="C164" s="176"/>
      <c r="D164" s="176"/>
      <c r="E164" s="176"/>
      <c r="F164" s="176"/>
      <c r="G164" s="176"/>
      <c r="H164" s="176"/>
      <c r="I164" s="176"/>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176"/>
      <c r="C165" s="176"/>
      <c r="D165" s="176"/>
      <c r="E165" s="176"/>
      <c r="F165" s="176"/>
      <c r="G165" s="176"/>
      <c r="H165" s="176"/>
      <c r="I165" s="176"/>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ht="19" x14ac:dyDescent="0.25">
      <c r="A167" s="4"/>
      <c r="B167" s="20" t="s">
        <v>83</v>
      </c>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ht="16" customHeight="1" x14ac:dyDescent="0.2">
      <c r="A168" s="4"/>
      <c r="B168" s="176" t="s">
        <v>160</v>
      </c>
      <c r="C168" s="176"/>
      <c r="D168" s="176"/>
      <c r="E168" s="176"/>
      <c r="F168" s="176"/>
      <c r="G168" s="176"/>
      <c r="H168" s="176"/>
      <c r="I168" s="176"/>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176"/>
      <c r="C169" s="176"/>
      <c r="D169" s="176"/>
      <c r="E169" s="176"/>
      <c r="F169" s="176"/>
      <c r="G169" s="176"/>
      <c r="H169" s="176"/>
      <c r="I169" s="176"/>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ht="19" x14ac:dyDescent="0.25">
      <c r="A178" s="4"/>
      <c r="B178" s="20" t="s">
        <v>84</v>
      </c>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59" t="s">
        <v>159</v>
      </c>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59" t="s">
        <v>158</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176" t="s">
        <v>161</v>
      </c>
      <c r="C182" s="176"/>
      <c r="D182" s="176"/>
      <c r="E182" s="176"/>
      <c r="F182" s="176"/>
      <c r="G182" s="176"/>
      <c r="H182" s="176"/>
      <c r="I182" s="176"/>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176"/>
      <c r="C183" s="176"/>
      <c r="D183" s="176"/>
      <c r="E183" s="176"/>
      <c r="F183" s="176"/>
      <c r="G183" s="176"/>
      <c r="H183" s="176"/>
      <c r="I183" s="176"/>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176"/>
      <c r="C184" s="176"/>
      <c r="D184" s="176"/>
      <c r="E184" s="176"/>
      <c r="F184" s="176"/>
      <c r="G184" s="176"/>
      <c r="H184" s="176"/>
      <c r="I184" s="176"/>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176"/>
      <c r="C185" s="176"/>
      <c r="D185" s="176"/>
      <c r="E185" s="176"/>
      <c r="F185" s="176"/>
      <c r="G185" s="176"/>
      <c r="H185" s="176"/>
      <c r="I185" s="176"/>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176"/>
      <c r="C186" s="176"/>
      <c r="D186" s="176"/>
      <c r="E186" s="176"/>
      <c r="F186" s="176"/>
      <c r="G186" s="176"/>
      <c r="H186" s="176"/>
      <c r="I186" s="176"/>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176"/>
      <c r="C187" s="176"/>
      <c r="D187" s="176"/>
      <c r="E187" s="176"/>
      <c r="F187" s="176"/>
      <c r="G187" s="176"/>
      <c r="H187" s="176"/>
      <c r="I187" s="176"/>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176"/>
      <c r="C188" s="176"/>
      <c r="D188" s="176"/>
      <c r="E188" s="176"/>
      <c r="F188" s="176"/>
      <c r="G188" s="176"/>
      <c r="H188" s="176"/>
      <c r="I188" s="176"/>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ht="19" x14ac:dyDescent="0.25">
      <c r="A190" s="4"/>
      <c r="B190" s="20" t="s">
        <v>85</v>
      </c>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ht="19" customHeight="1" x14ac:dyDescent="0.2">
      <c r="A191" s="4"/>
      <c r="B191" s="176" t="s">
        <v>180</v>
      </c>
      <c r="C191" s="176"/>
      <c r="D191" s="176"/>
      <c r="E191" s="176"/>
      <c r="F191" s="176"/>
      <c r="G191" s="176"/>
      <c r="H191" s="176"/>
      <c r="I191" s="176"/>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176"/>
      <c r="C192" s="176"/>
      <c r="D192" s="176"/>
      <c r="E192" s="176"/>
      <c r="F192" s="176"/>
      <c r="G192" s="176"/>
      <c r="H192" s="176"/>
      <c r="I192" s="176"/>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176"/>
      <c r="C193" s="176"/>
      <c r="D193" s="176"/>
      <c r="E193" s="176"/>
      <c r="F193" s="176"/>
      <c r="G193" s="176"/>
      <c r="H193" s="176"/>
      <c r="I193" s="176"/>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5" t="s">
        <v>86</v>
      </c>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59" t="s">
        <v>87</v>
      </c>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59" t="s">
        <v>88</v>
      </c>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59" t="s">
        <v>181</v>
      </c>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176" t="s">
        <v>162</v>
      </c>
      <c r="C202" s="176"/>
      <c r="D202" s="176"/>
      <c r="E202" s="176"/>
      <c r="F202" s="176"/>
      <c r="G202" s="176"/>
      <c r="H202" s="176"/>
      <c r="I202" s="176"/>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176"/>
      <c r="C203" s="176"/>
      <c r="D203" s="176"/>
      <c r="E203" s="176"/>
      <c r="F203" s="176"/>
      <c r="G203" s="176"/>
      <c r="H203" s="176"/>
      <c r="I203" s="176"/>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176"/>
      <c r="C204" s="176"/>
      <c r="D204" s="176"/>
      <c r="E204" s="176"/>
      <c r="F204" s="176"/>
      <c r="G204" s="176"/>
      <c r="H204" s="176"/>
      <c r="I204" s="176"/>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ht="19" x14ac:dyDescent="0.25">
      <c r="A206" s="2" t="s">
        <v>89</v>
      </c>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59" t="s">
        <v>90</v>
      </c>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ht="19" x14ac:dyDescent="0.25">
      <c r="A209" s="2" t="s">
        <v>91</v>
      </c>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59" t="s">
        <v>92</v>
      </c>
      <c r="D210" s="59" t="s">
        <v>96</v>
      </c>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59" t="s">
        <v>93</v>
      </c>
      <c r="D211" s="59" t="s">
        <v>97</v>
      </c>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59" t="s">
        <v>94</v>
      </c>
      <c r="D212" s="59" t="s">
        <v>98</v>
      </c>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59" t="s">
        <v>95</v>
      </c>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row r="237" spans="1:6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row>
    <row r="238" spans="1:6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row>
    <row r="239" spans="1:6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row>
    <row r="240" spans="1:6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row>
    <row r="241" spans="1:6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row>
    <row r="242" spans="1:6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row>
    <row r="243" spans="1:6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row>
    <row r="244" spans="1:6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row>
    <row r="245" spans="1:6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row>
    <row r="246" spans="1:6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row>
    <row r="247" spans="1:6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row>
    <row r="248" spans="1:6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row>
    <row r="249" spans="1:6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row>
    <row r="250" spans="1:6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row>
    <row r="251" spans="1:6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row>
    <row r="252" spans="1:6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row>
    <row r="253" spans="1:6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row>
    <row r="254" spans="1:6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row>
    <row r="255" spans="1:6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row>
    <row r="256" spans="1:6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row>
    <row r="257" spans="1:6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row>
    <row r="258" spans="1:6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row>
    <row r="259" spans="1:6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row>
    <row r="260" spans="1:6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row>
    <row r="261" spans="1:6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row>
    <row r="262" spans="1:6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row>
    <row r="263" spans="1:6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row>
    <row r="264" spans="1:6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row>
    <row r="265" spans="1:6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row>
    <row r="266" spans="1:6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row>
    <row r="267" spans="1:6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row>
    <row r="268" spans="1:6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row>
  </sheetData>
  <mergeCells count="21">
    <mergeCell ref="B191:I193"/>
    <mergeCell ref="B202:I204"/>
    <mergeCell ref="B143:I147"/>
    <mergeCell ref="B162:I165"/>
    <mergeCell ref="B168:I169"/>
    <mergeCell ref="B182:I188"/>
    <mergeCell ref="J151:J152"/>
    <mergeCell ref="I150:I152"/>
    <mergeCell ref="H151:H152"/>
    <mergeCell ref="G151:G152"/>
    <mergeCell ref="C5:F5"/>
    <mergeCell ref="C135:C137"/>
    <mergeCell ref="C6:C7"/>
    <mergeCell ref="B37:I38"/>
    <mergeCell ref="B58:I59"/>
    <mergeCell ref="B72:I73"/>
    <mergeCell ref="C86:F86"/>
    <mergeCell ref="C80:F80"/>
    <mergeCell ref="C63:F63"/>
    <mergeCell ref="B115:I119"/>
    <mergeCell ref="B122:I130"/>
  </mergeCells>
  <pageMargins left="0.7" right="0.7" top="0.75" bottom="0.75" header="0.3" footer="0.3"/>
  <pageSetup orientation="portrait" horizontalDpi="1200" verticalDpi="120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279"/>
  <sheetViews>
    <sheetView showGridLines="0" zoomScale="120" zoomScaleNormal="120" workbookViewId="0"/>
  </sheetViews>
  <sheetFormatPr baseColWidth="10" defaultColWidth="10.83203125" defaultRowHeight="16" x14ac:dyDescent="0.2"/>
  <cols>
    <col min="1" max="7" width="10.83203125" style="59"/>
    <col min="8" max="8" width="10.83203125" style="59" customWidth="1"/>
    <col min="9" max="16384" width="10.83203125" style="59"/>
  </cols>
  <sheetData>
    <row r="1" spans="1:10" ht="19" x14ac:dyDescent="0.25">
      <c r="A1" s="1" t="s">
        <v>129</v>
      </c>
      <c r="B1" s="57"/>
      <c r="C1" s="57"/>
      <c r="D1" s="57"/>
      <c r="E1" s="57"/>
      <c r="F1" s="57"/>
      <c r="G1" s="57"/>
      <c r="H1" s="57"/>
      <c r="I1" s="57"/>
      <c r="J1" s="58"/>
    </row>
    <row r="2" spans="1:10" x14ac:dyDescent="0.2">
      <c r="A2" s="60"/>
      <c r="B2" s="57"/>
      <c r="C2" s="57"/>
      <c r="D2" s="57"/>
      <c r="E2" s="57"/>
      <c r="F2" s="57"/>
      <c r="G2" s="57"/>
      <c r="H2" s="57"/>
      <c r="I2" s="57"/>
      <c r="J2" s="58"/>
    </row>
    <row r="3" spans="1:10" x14ac:dyDescent="0.2">
      <c r="A3" s="7"/>
      <c r="B3" s="156" t="s">
        <v>227</v>
      </c>
      <c r="C3" s="57"/>
      <c r="D3" s="57"/>
      <c r="E3" s="57"/>
      <c r="F3" s="57"/>
      <c r="G3" s="57"/>
      <c r="H3" s="57"/>
      <c r="I3" s="57"/>
      <c r="J3" s="58"/>
    </row>
    <row r="4" spans="1:10" x14ac:dyDescent="0.2">
      <c r="A4" s="7"/>
      <c r="B4" s="57"/>
      <c r="C4" s="57"/>
      <c r="D4" s="57"/>
      <c r="E4" s="57"/>
      <c r="F4" s="57"/>
      <c r="G4" s="57"/>
      <c r="H4" s="57"/>
      <c r="I4" s="57"/>
      <c r="J4" s="58"/>
    </row>
    <row r="5" spans="1:10" x14ac:dyDescent="0.2">
      <c r="A5" s="7"/>
      <c r="B5" s="57"/>
      <c r="C5" s="164" t="s">
        <v>27</v>
      </c>
      <c r="D5" s="165"/>
      <c r="E5" s="165"/>
      <c r="F5" s="166"/>
      <c r="G5" s="178" t="s">
        <v>28</v>
      </c>
      <c r="H5" s="57"/>
      <c r="I5" s="57"/>
      <c r="J5" s="58"/>
    </row>
    <row r="6" spans="1:10" x14ac:dyDescent="0.2">
      <c r="A6" s="7"/>
      <c r="B6" s="57"/>
      <c r="C6" s="177" t="s">
        <v>3</v>
      </c>
      <c r="D6" s="134"/>
      <c r="E6" s="67"/>
      <c r="F6" s="127"/>
      <c r="G6" s="179"/>
      <c r="H6" s="57"/>
      <c r="I6" s="57"/>
      <c r="J6" s="58"/>
    </row>
    <row r="7" spans="1:10" ht="17" x14ac:dyDescent="0.2">
      <c r="A7" s="7"/>
      <c r="B7" s="57"/>
      <c r="C7" s="169"/>
      <c r="D7" s="33" t="s">
        <v>4</v>
      </c>
      <c r="E7" s="9" t="s">
        <v>5</v>
      </c>
      <c r="F7" s="8" t="s">
        <v>6</v>
      </c>
      <c r="G7" s="180"/>
      <c r="H7" s="57"/>
      <c r="I7" s="57"/>
      <c r="J7" s="58"/>
    </row>
    <row r="8" spans="1:10" x14ac:dyDescent="0.2">
      <c r="A8" s="7"/>
      <c r="B8" s="57"/>
      <c r="C8" s="23">
        <v>2021</v>
      </c>
      <c r="D8" s="26">
        <v>200</v>
      </c>
      <c r="E8" s="27">
        <v>70</v>
      </c>
      <c r="F8" s="28">
        <v>40</v>
      </c>
      <c r="G8" s="126">
        <v>750</v>
      </c>
      <c r="H8" s="57"/>
      <c r="I8" s="57"/>
      <c r="J8" s="58"/>
    </row>
    <row r="9" spans="1:10" x14ac:dyDescent="0.2">
      <c r="A9" s="7"/>
      <c r="B9" s="57"/>
      <c r="C9" s="24">
        <v>2022</v>
      </c>
      <c r="D9" s="29">
        <v>290</v>
      </c>
      <c r="E9" s="22">
        <v>80</v>
      </c>
      <c r="F9" s="10"/>
      <c r="G9" s="135">
        <v>800</v>
      </c>
      <c r="H9" s="57"/>
      <c r="I9" s="57"/>
      <c r="J9" s="58"/>
    </row>
    <row r="10" spans="1:10" x14ac:dyDescent="0.2">
      <c r="A10" s="7"/>
      <c r="B10" s="57"/>
      <c r="C10" s="25">
        <v>2023</v>
      </c>
      <c r="D10" s="30">
        <v>265</v>
      </c>
      <c r="E10" s="31"/>
      <c r="F10" s="32"/>
      <c r="G10" s="136">
        <v>810</v>
      </c>
      <c r="H10" s="57"/>
      <c r="I10" s="57"/>
      <c r="J10" s="58"/>
    </row>
    <row r="11" spans="1:10" x14ac:dyDescent="0.2">
      <c r="A11" s="7"/>
      <c r="B11" s="57"/>
      <c r="C11" s="57"/>
      <c r="D11" s="57"/>
      <c r="E11" s="57"/>
      <c r="F11" s="57"/>
      <c r="G11" s="57"/>
      <c r="H11" s="57"/>
      <c r="I11" s="57"/>
      <c r="J11" s="58"/>
    </row>
    <row r="12" spans="1:10" x14ac:dyDescent="0.2">
      <c r="A12" s="7"/>
      <c r="B12" s="57"/>
      <c r="C12" s="57"/>
      <c r="D12" s="57"/>
      <c r="E12" s="57"/>
      <c r="F12" s="57"/>
      <c r="G12" s="57"/>
      <c r="H12" s="57"/>
      <c r="I12" s="57"/>
      <c r="J12" s="58"/>
    </row>
    <row r="13" spans="1:10" x14ac:dyDescent="0.2">
      <c r="A13" s="7"/>
      <c r="B13" s="57" t="s">
        <v>29</v>
      </c>
      <c r="C13" s="57"/>
      <c r="D13" s="57"/>
      <c r="E13" s="57"/>
      <c r="F13" s="57"/>
      <c r="G13" s="57"/>
      <c r="H13" s="57"/>
      <c r="I13" s="57"/>
      <c r="J13" s="58"/>
    </row>
    <row r="14" spans="1:10" x14ac:dyDescent="0.2">
      <c r="A14" s="7"/>
      <c r="B14" s="57"/>
      <c r="C14" s="57"/>
      <c r="D14" s="57"/>
      <c r="E14" s="57"/>
      <c r="F14" s="57"/>
      <c r="G14" s="57"/>
      <c r="H14" s="57"/>
      <c r="I14" s="57"/>
      <c r="J14" s="58"/>
    </row>
    <row r="15" spans="1:10" x14ac:dyDescent="0.2">
      <c r="A15" s="7"/>
      <c r="B15" s="57"/>
      <c r="C15" s="66" t="s">
        <v>8</v>
      </c>
      <c r="D15" s="67">
        <v>5</v>
      </c>
      <c r="E15" s="57"/>
      <c r="F15" s="57"/>
      <c r="G15" s="57"/>
      <c r="H15" s="57"/>
      <c r="I15" s="57"/>
      <c r="J15" s="58"/>
    </row>
    <row r="16" spans="1:10" x14ac:dyDescent="0.2">
      <c r="A16" s="7"/>
      <c r="B16" s="57"/>
      <c r="C16" s="66" t="s">
        <v>9</v>
      </c>
      <c r="D16" s="67">
        <v>0.7</v>
      </c>
      <c r="E16" s="57"/>
      <c r="F16" s="57"/>
      <c r="G16" s="57"/>
      <c r="H16" s="57"/>
      <c r="I16" s="57"/>
      <c r="J16" s="58"/>
    </row>
    <row r="17" spans="1:12" x14ac:dyDescent="0.2">
      <c r="A17" s="7"/>
      <c r="B17" s="57"/>
      <c r="C17" s="57"/>
      <c r="D17" s="57"/>
      <c r="E17" s="57"/>
      <c r="F17" s="57"/>
      <c r="G17" s="57"/>
      <c r="H17" s="57"/>
      <c r="I17" s="57"/>
      <c r="J17" s="58"/>
    </row>
    <row r="18" spans="1:12" x14ac:dyDescent="0.2">
      <c r="A18" s="7"/>
      <c r="B18" s="68" t="s">
        <v>132</v>
      </c>
      <c r="C18" s="57"/>
      <c r="D18" s="57"/>
      <c r="E18" s="57"/>
      <c r="F18" s="57"/>
      <c r="G18" s="69">
        <v>80000</v>
      </c>
      <c r="H18" s="57"/>
      <c r="I18" s="57"/>
      <c r="J18" s="58"/>
    </row>
    <row r="19" spans="1:12" x14ac:dyDescent="0.2">
      <c r="A19" s="7"/>
      <c r="B19" s="68" t="s">
        <v>169</v>
      </c>
      <c r="C19" s="57"/>
      <c r="D19" s="57"/>
      <c r="E19" s="57"/>
      <c r="F19" s="57"/>
      <c r="G19" s="57"/>
      <c r="H19" s="57"/>
      <c r="I19" s="57"/>
      <c r="J19" s="58"/>
    </row>
    <row r="20" spans="1:12" x14ac:dyDescent="0.2">
      <c r="A20" s="7"/>
      <c r="B20" s="57"/>
      <c r="C20" s="57"/>
      <c r="D20" s="57"/>
      <c r="E20" s="57"/>
      <c r="F20" s="57"/>
      <c r="G20" s="57"/>
      <c r="H20" s="57"/>
      <c r="I20" s="57"/>
      <c r="J20" s="58"/>
    </row>
    <row r="21" spans="1:12" x14ac:dyDescent="0.2">
      <c r="A21" s="7"/>
      <c r="B21" s="57"/>
      <c r="C21" s="57"/>
      <c r="D21" s="57"/>
      <c r="E21" s="57"/>
      <c r="F21" s="57"/>
      <c r="G21" s="57"/>
      <c r="H21" s="57"/>
      <c r="I21" s="57"/>
      <c r="J21" s="58"/>
    </row>
    <row r="22" spans="1:12" x14ac:dyDescent="0.2">
      <c r="A22" s="7"/>
      <c r="B22" s="57" t="s">
        <v>30</v>
      </c>
      <c r="C22" s="57"/>
      <c r="D22" s="57"/>
      <c r="E22" s="57"/>
      <c r="F22" s="57"/>
      <c r="G22" s="57"/>
      <c r="H22" s="57"/>
      <c r="I22" s="57"/>
      <c r="J22" s="58"/>
    </row>
    <row r="23" spans="1:12" ht="17" thickBot="1" x14ac:dyDescent="0.25">
      <c r="A23" s="70"/>
      <c r="B23" s="71"/>
      <c r="C23" s="72"/>
      <c r="D23" s="72"/>
      <c r="E23" s="72"/>
      <c r="F23" s="71"/>
      <c r="G23" s="71"/>
      <c r="H23" s="71"/>
      <c r="I23" s="71"/>
      <c r="J23" s="73"/>
    </row>
    <row r="25" spans="1:12" ht="19" x14ac:dyDescent="0.25">
      <c r="A25" s="2" t="s">
        <v>0</v>
      </c>
    </row>
    <row r="26" spans="1:12" x14ac:dyDescent="0.2">
      <c r="A26" s="21" t="s">
        <v>124</v>
      </c>
      <c r="B26" s="5" t="s">
        <v>141</v>
      </c>
      <c r="C26" s="74"/>
    </row>
    <row r="27" spans="1:12" x14ac:dyDescent="0.2">
      <c r="A27" s="21"/>
      <c r="B27" s="5"/>
      <c r="C27" s="74"/>
    </row>
    <row r="28" spans="1:12" x14ac:dyDescent="0.2">
      <c r="A28" s="21"/>
      <c r="B28" s="59" t="s">
        <v>167</v>
      </c>
      <c r="C28" s="74"/>
      <c r="L28" s="4"/>
    </row>
    <row r="29" spans="1:12" ht="18" x14ac:dyDescent="0.25">
      <c r="A29" s="21"/>
      <c r="B29" s="5"/>
      <c r="C29" s="74"/>
      <c r="F29" s="75" t="s">
        <v>178</v>
      </c>
      <c r="G29" s="75">
        <f>12*10-6</f>
        <v>114</v>
      </c>
      <c r="L29" s="4"/>
    </row>
    <row r="30" spans="1:12" ht="17" thickBot="1" x14ac:dyDescent="0.25">
      <c r="A30" s="21"/>
      <c r="B30" s="5"/>
      <c r="C30" s="74"/>
      <c r="F30" s="75"/>
      <c r="G30" s="75"/>
      <c r="L30" s="4"/>
    </row>
    <row r="31" spans="1:12" ht="19" thickBot="1" x14ac:dyDescent="0.3">
      <c r="A31" s="21"/>
      <c r="B31" s="5"/>
      <c r="C31" s="74"/>
      <c r="F31" s="76" t="s">
        <v>179</v>
      </c>
      <c r="G31" s="77">
        <f>G29^$D$16/(G29^$D$16+$D$15^$D$16)</f>
        <v>0.89923310135079326</v>
      </c>
      <c r="L31" s="4"/>
    </row>
    <row r="32" spans="1:12" x14ac:dyDescent="0.2">
      <c r="A32" s="21"/>
      <c r="B32" s="5"/>
      <c r="C32" s="74"/>
      <c r="L32" s="4"/>
    </row>
    <row r="33" spans="1:12" ht="16" customHeight="1" x14ac:dyDescent="0.2">
      <c r="A33" s="21"/>
      <c r="C33" s="74"/>
      <c r="F33" s="59" t="s">
        <v>176</v>
      </c>
      <c r="L33" s="4"/>
    </row>
    <row r="34" spans="1:12" x14ac:dyDescent="0.2">
      <c r="A34" s="21"/>
      <c r="B34" s="5"/>
      <c r="C34" s="74"/>
      <c r="L34" s="4"/>
    </row>
    <row r="35" spans="1:12" ht="16" customHeight="1" x14ac:dyDescent="0.2">
      <c r="A35" s="21" t="s">
        <v>125</v>
      </c>
      <c r="B35" s="49" t="s">
        <v>168</v>
      </c>
      <c r="C35" s="49"/>
      <c r="D35" s="49"/>
      <c r="E35" s="49"/>
      <c r="F35" s="49"/>
      <c r="G35" s="49"/>
      <c r="H35" s="49"/>
      <c r="I35" s="49"/>
      <c r="L35" s="4"/>
    </row>
    <row r="36" spans="1:12" x14ac:dyDescent="0.2">
      <c r="A36" s="21"/>
      <c r="B36" s="5"/>
      <c r="C36" s="74"/>
      <c r="L36" s="4"/>
    </row>
    <row r="37" spans="1:12" x14ac:dyDescent="0.2">
      <c r="A37" s="21"/>
      <c r="B37" s="5"/>
      <c r="C37" s="74"/>
      <c r="L37" s="4"/>
    </row>
    <row r="38" spans="1:12" x14ac:dyDescent="0.2">
      <c r="A38" s="21"/>
      <c r="B38" s="5"/>
      <c r="C38" s="74"/>
      <c r="G38" s="4"/>
      <c r="L38" s="4"/>
    </row>
    <row r="39" spans="1:12" x14ac:dyDescent="0.2">
      <c r="A39" s="21"/>
      <c r="B39" s="5"/>
      <c r="C39" s="74"/>
      <c r="G39" s="4"/>
      <c r="L39" s="4"/>
    </row>
    <row r="40" spans="1:12" x14ac:dyDescent="0.2">
      <c r="A40" s="21"/>
      <c r="C40" s="74"/>
      <c r="G40" s="4"/>
      <c r="L40" s="4"/>
    </row>
    <row r="41" spans="1:12" x14ac:dyDescent="0.2">
      <c r="A41" s="21"/>
      <c r="C41" s="74"/>
      <c r="G41" s="4"/>
      <c r="L41" s="4"/>
    </row>
    <row r="42" spans="1:12" x14ac:dyDescent="0.2">
      <c r="A42" s="21"/>
      <c r="C42" s="74"/>
      <c r="G42" s="4"/>
      <c r="L42" s="4"/>
    </row>
    <row r="43" spans="1:12" ht="16" customHeight="1" x14ac:dyDescent="0.2">
      <c r="E43" s="121"/>
      <c r="G43" s="94"/>
      <c r="H43" s="157" t="s">
        <v>32</v>
      </c>
      <c r="J43" s="4"/>
      <c r="L43" s="4"/>
    </row>
    <row r="44" spans="1:12" x14ac:dyDescent="0.2">
      <c r="B44" s="78" t="s">
        <v>11</v>
      </c>
      <c r="C44" s="79" t="s">
        <v>12</v>
      </c>
      <c r="D44" s="79" t="s">
        <v>13</v>
      </c>
      <c r="E44" s="79" t="s">
        <v>14</v>
      </c>
      <c r="F44" s="79" t="s">
        <v>174</v>
      </c>
      <c r="G44" s="78" t="s">
        <v>31</v>
      </c>
      <c r="H44" s="162"/>
      <c r="L44" s="4"/>
    </row>
    <row r="45" spans="1:12" x14ac:dyDescent="0.2">
      <c r="B45" s="83">
        <f>C8</f>
        <v>2021</v>
      </c>
      <c r="C45" s="75">
        <f>C46+12</f>
        <v>36</v>
      </c>
      <c r="D45" s="75">
        <f>C45-6</f>
        <v>30</v>
      </c>
      <c r="E45" s="84">
        <f>D45^$D$16/(D45^$D$16+$D$15^$D$16)</f>
        <v>0.77803151667952752</v>
      </c>
      <c r="F45" s="137">
        <f>SUM(D8:F8)</f>
        <v>310</v>
      </c>
      <c r="G45" s="138">
        <f>G8</f>
        <v>750</v>
      </c>
      <c r="H45" s="137">
        <f>G45*E45</f>
        <v>583.5236375096456</v>
      </c>
      <c r="L45" s="4"/>
    </row>
    <row r="46" spans="1:12" x14ac:dyDescent="0.2">
      <c r="B46" s="83">
        <f>C9</f>
        <v>2022</v>
      </c>
      <c r="C46" s="75">
        <f t="shared" ref="C46" si="0">C47+12</f>
        <v>24</v>
      </c>
      <c r="D46" s="75">
        <f t="shared" ref="D46" si="1">C46-6</f>
        <v>18</v>
      </c>
      <c r="E46" s="84">
        <f>D46^$D$16/(D46^$D$16+$D$15^$D$16)</f>
        <v>0.71026135014016156</v>
      </c>
      <c r="F46" s="137">
        <f t="shared" ref="F46:F47" si="2">SUM(D9:F9)</f>
        <v>370</v>
      </c>
      <c r="G46" s="138">
        <f>G9</f>
        <v>800</v>
      </c>
      <c r="H46" s="137">
        <f>G46*E46</f>
        <v>568.2090801121293</v>
      </c>
      <c r="L46" s="4"/>
    </row>
    <row r="47" spans="1:12" x14ac:dyDescent="0.2">
      <c r="A47" s="3"/>
      <c r="B47" s="88">
        <f>C10</f>
        <v>2023</v>
      </c>
      <c r="C47" s="79">
        <v>12</v>
      </c>
      <c r="D47" s="89">
        <f>C47-6</f>
        <v>6</v>
      </c>
      <c r="E47" s="90">
        <f t="shared" ref="E47" si="3">D47^$D$16/(D47^$D$16+$D$15^$D$16)</f>
        <v>0.53186303498151422</v>
      </c>
      <c r="F47" s="139">
        <f t="shared" si="2"/>
        <v>265</v>
      </c>
      <c r="G47" s="140">
        <f>G10</f>
        <v>810</v>
      </c>
      <c r="H47" s="139">
        <f>G47*E47</f>
        <v>430.80905833502652</v>
      </c>
      <c r="L47" s="4"/>
    </row>
    <row r="48" spans="1:12" x14ac:dyDescent="0.2">
      <c r="B48" s="94"/>
      <c r="F48" s="86">
        <f t="shared" ref="F48:H48" si="4">SUM(F45:F47)</f>
        <v>945</v>
      </c>
      <c r="G48" s="87"/>
      <c r="H48" s="86">
        <f t="shared" si="4"/>
        <v>1582.5417759568015</v>
      </c>
      <c r="L48" s="4"/>
    </row>
    <row r="49" spans="1:12" ht="17" thickBot="1" x14ac:dyDescent="0.25">
      <c r="L49" s="4"/>
    </row>
    <row r="50" spans="1:12" ht="17" thickBot="1" x14ac:dyDescent="0.25">
      <c r="G50" s="76" t="s">
        <v>175</v>
      </c>
      <c r="H50" s="77">
        <f>SUM(D8:F10)/H48</f>
        <v>0.59714063436249887</v>
      </c>
      <c r="L50" s="4"/>
    </row>
    <row r="51" spans="1:12" x14ac:dyDescent="0.2">
      <c r="L51" s="4"/>
    </row>
    <row r="52" spans="1:12" x14ac:dyDescent="0.2">
      <c r="A52" s="21" t="s">
        <v>136</v>
      </c>
      <c r="B52" s="5" t="s">
        <v>170</v>
      </c>
      <c r="L52" s="4"/>
    </row>
    <row r="53" spans="1:12" x14ac:dyDescent="0.2">
      <c r="L53" s="4"/>
    </row>
    <row r="54" spans="1:12" x14ac:dyDescent="0.2">
      <c r="L54" s="4"/>
    </row>
    <row r="55" spans="1:12" x14ac:dyDescent="0.2">
      <c r="L55" s="4"/>
    </row>
    <row r="56" spans="1:12" x14ac:dyDescent="0.2">
      <c r="L56" s="4"/>
    </row>
    <row r="57" spans="1:12" x14ac:dyDescent="0.2">
      <c r="L57" s="4"/>
    </row>
    <row r="58" spans="1:12" x14ac:dyDescent="0.2">
      <c r="L58" s="4"/>
    </row>
    <row r="59" spans="1:12" x14ac:dyDescent="0.2">
      <c r="L59" s="4"/>
    </row>
    <row r="60" spans="1:12" x14ac:dyDescent="0.2">
      <c r="L60" s="4"/>
    </row>
    <row r="61" spans="1:12" x14ac:dyDescent="0.2">
      <c r="C61" s="94"/>
      <c r="E61" s="160" t="s">
        <v>34</v>
      </c>
      <c r="L61" s="4"/>
    </row>
    <row r="62" spans="1:12" x14ac:dyDescent="0.2">
      <c r="C62" s="78" t="s">
        <v>11</v>
      </c>
      <c r="D62" s="79" t="s">
        <v>33</v>
      </c>
      <c r="E62" s="161"/>
      <c r="F62" s="59" t="s">
        <v>16</v>
      </c>
      <c r="L62" s="4"/>
    </row>
    <row r="63" spans="1:12" x14ac:dyDescent="0.2">
      <c r="C63" s="83">
        <f>C8</f>
        <v>2021</v>
      </c>
      <c r="D63" s="84">
        <f>$G$31-E45</f>
        <v>0.12120158467126574</v>
      </c>
      <c r="E63" s="138">
        <f>$H$50*G45</f>
        <v>447.85547577187413</v>
      </c>
      <c r="F63" s="117">
        <f>D63*E63</f>
        <v>54.280793367254802</v>
      </c>
      <c r="L63" s="4"/>
    </row>
    <row r="64" spans="1:12" x14ac:dyDescent="0.2">
      <c r="C64" s="83">
        <f t="shared" ref="C64:C65" si="5">C9</f>
        <v>2022</v>
      </c>
      <c r="D64" s="84">
        <f>$G$31-E46</f>
        <v>0.1889717512106317</v>
      </c>
      <c r="E64" s="138">
        <f>$H$50*G46</f>
        <v>477.7125074899991</v>
      </c>
      <c r="F64" s="86">
        <f t="shared" ref="F64:F65" si="6">D64*E64</f>
        <v>90.274169115607137</v>
      </c>
      <c r="L64" s="4"/>
    </row>
    <row r="65" spans="1:12" x14ac:dyDescent="0.2">
      <c r="C65" s="88">
        <f t="shared" si="5"/>
        <v>2023</v>
      </c>
      <c r="D65" s="90">
        <f>$G$31-E47</f>
        <v>0.36737006636927905</v>
      </c>
      <c r="E65" s="140">
        <f>$H$50*G47</f>
        <v>483.6839138336241</v>
      </c>
      <c r="F65" s="141">
        <f t="shared" si="6"/>
        <v>177.69099152681113</v>
      </c>
      <c r="L65" s="4"/>
    </row>
    <row r="66" spans="1:12" x14ac:dyDescent="0.2">
      <c r="C66" s="94" t="s">
        <v>173</v>
      </c>
      <c r="D66" s="75"/>
      <c r="E66" s="87"/>
      <c r="F66" s="50">
        <f>SUM(F63:F65)</f>
        <v>322.24595400967303</v>
      </c>
      <c r="L66" s="4"/>
    </row>
    <row r="67" spans="1:12" x14ac:dyDescent="0.2">
      <c r="L67" s="4"/>
    </row>
    <row r="68" spans="1:12" x14ac:dyDescent="0.2">
      <c r="B68" s="5" t="s">
        <v>171</v>
      </c>
      <c r="L68" s="4"/>
    </row>
    <row r="69" spans="1:12" x14ac:dyDescent="0.2">
      <c r="B69" s="59" t="s">
        <v>172</v>
      </c>
      <c r="L69" s="4"/>
    </row>
    <row r="71" spans="1:12" ht="19" customHeight="1" x14ac:dyDescent="0.2">
      <c r="A71" s="21" t="s">
        <v>137</v>
      </c>
      <c r="B71" s="170" t="s">
        <v>147</v>
      </c>
      <c r="C71" s="170"/>
      <c r="D71" s="170"/>
      <c r="E71" s="170"/>
      <c r="F71" s="170"/>
      <c r="G71" s="170"/>
      <c r="H71" s="170"/>
      <c r="I71" s="170"/>
    </row>
    <row r="72" spans="1:12" x14ac:dyDescent="0.2">
      <c r="A72" s="21"/>
      <c r="B72" s="170"/>
      <c r="C72" s="170"/>
      <c r="D72" s="170"/>
      <c r="E72" s="170"/>
      <c r="F72" s="170"/>
      <c r="G72" s="170"/>
      <c r="H72" s="170"/>
      <c r="I72" s="170"/>
    </row>
    <row r="73" spans="1:12" x14ac:dyDescent="0.2">
      <c r="B73" s="6"/>
    </row>
    <row r="74" spans="1:12" x14ac:dyDescent="0.2">
      <c r="B74" s="6"/>
    </row>
    <row r="75" spans="1:12" x14ac:dyDescent="0.2">
      <c r="B75" s="6"/>
    </row>
    <row r="76" spans="1:12" x14ac:dyDescent="0.2">
      <c r="C76" s="171" t="s">
        <v>17</v>
      </c>
      <c r="D76" s="171"/>
      <c r="E76" s="171"/>
      <c r="F76" s="171"/>
    </row>
    <row r="77" spans="1:12" x14ac:dyDescent="0.2">
      <c r="A77" s="3"/>
      <c r="C77" s="95" t="s">
        <v>11</v>
      </c>
      <c r="D77" s="79">
        <v>12</v>
      </c>
      <c r="E77" s="79">
        <v>24</v>
      </c>
      <c r="F77" s="79">
        <v>36</v>
      </c>
      <c r="G77" s="75" t="s">
        <v>36</v>
      </c>
    </row>
    <row r="78" spans="1:12" x14ac:dyDescent="0.2">
      <c r="C78" s="97">
        <f>C8</f>
        <v>2021</v>
      </c>
      <c r="D78" s="98">
        <f>$G78*D$82</f>
        <v>238.19777257711897</v>
      </c>
      <c r="E78" s="98">
        <f>$G78*E$82</f>
        <v>79.896662312276746</v>
      </c>
      <c r="F78" s="98">
        <f>$G78*F$82</f>
        <v>30.351240178626888</v>
      </c>
      <c r="G78" s="98">
        <f>E63</f>
        <v>447.85547577187413</v>
      </c>
    </row>
    <row r="79" spans="1:12" x14ac:dyDescent="0.2">
      <c r="C79" s="97">
        <f t="shared" ref="C79:C80" si="7">C9</f>
        <v>2022</v>
      </c>
      <c r="D79" s="98">
        <f>$G79*D$82</f>
        <v>254.07762408226026</v>
      </c>
      <c r="E79" s="98">
        <f>$G79*E$82</f>
        <v>85.223106466428547</v>
      </c>
      <c r="F79" s="98"/>
      <c r="G79" s="98">
        <f>E64</f>
        <v>477.7125074899991</v>
      </c>
    </row>
    <row r="80" spans="1:12" x14ac:dyDescent="0.2">
      <c r="C80" s="97">
        <f t="shared" si="7"/>
        <v>2023</v>
      </c>
      <c r="D80" s="98">
        <f>$G80*D$82</f>
        <v>257.25359438328854</v>
      </c>
      <c r="E80" s="98"/>
      <c r="F80" s="98"/>
      <c r="G80" s="98">
        <f>E65</f>
        <v>483.6839138336241</v>
      </c>
    </row>
    <row r="82" spans="1:14" x14ac:dyDescent="0.2">
      <c r="C82" s="99" t="s">
        <v>149</v>
      </c>
      <c r="D82" s="84">
        <f>E47</f>
        <v>0.53186303498151422</v>
      </c>
      <c r="E82" s="84">
        <f>E46-E47</f>
        <v>0.17839831515864735</v>
      </c>
      <c r="F82" s="84">
        <f>E45-E46</f>
        <v>6.7770166539365961E-2</v>
      </c>
      <c r="M82" s="74"/>
    </row>
    <row r="83" spans="1:14" x14ac:dyDescent="0.2">
      <c r="C83" s="59" t="s">
        <v>150</v>
      </c>
      <c r="L83" s="4"/>
      <c r="M83" s="4"/>
      <c r="N83" s="4"/>
    </row>
    <row r="84" spans="1:14" x14ac:dyDescent="0.2">
      <c r="L84" s="4"/>
      <c r="M84" s="4"/>
      <c r="N84" s="4"/>
    </row>
    <row r="85" spans="1:14" ht="19" customHeight="1" x14ac:dyDescent="0.2">
      <c r="A85" s="21" t="s">
        <v>138</v>
      </c>
      <c r="B85" s="170" t="s">
        <v>148</v>
      </c>
      <c r="C85" s="170"/>
      <c r="D85" s="170"/>
      <c r="E85" s="170"/>
      <c r="F85" s="170"/>
      <c r="G85" s="170"/>
      <c r="H85" s="170"/>
      <c r="I85" s="170"/>
      <c r="L85" s="4"/>
      <c r="M85" s="4"/>
      <c r="N85" s="4"/>
    </row>
    <row r="86" spans="1:14" x14ac:dyDescent="0.2">
      <c r="L86" s="4"/>
      <c r="M86" s="4"/>
      <c r="N86" s="4"/>
    </row>
    <row r="87" spans="1:14" x14ac:dyDescent="0.2">
      <c r="L87" s="4"/>
      <c r="M87" s="4"/>
      <c r="N87" s="4"/>
    </row>
    <row r="88" spans="1:14" x14ac:dyDescent="0.2">
      <c r="L88" s="4"/>
      <c r="M88" s="4"/>
      <c r="N88" s="4"/>
    </row>
    <row r="89" spans="1:14" x14ac:dyDescent="0.2">
      <c r="L89" s="4"/>
      <c r="M89" s="4"/>
      <c r="N89" s="4"/>
    </row>
    <row r="90" spans="1:14" x14ac:dyDescent="0.2">
      <c r="L90" s="4"/>
      <c r="M90" s="4"/>
      <c r="N90" s="4"/>
    </row>
    <row r="91" spans="1:14" x14ac:dyDescent="0.2">
      <c r="L91" s="4"/>
      <c r="M91" s="4"/>
      <c r="N91" s="4"/>
    </row>
    <row r="92" spans="1:14" x14ac:dyDescent="0.2">
      <c r="C92" s="171" t="s">
        <v>20</v>
      </c>
      <c r="D92" s="171"/>
      <c r="E92" s="171"/>
      <c r="F92" s="171"/>
      <c r="L92" s="4"/>
      <c r="M92" s="4"/>
      <c r="N92" s="4"/>
    </row>
    <row r="93" spans="1:14" x14ac:dyDescent="0.2">
      <c r="C93" s="95" t="s">
        <v>11</v>
      </c>
      <c r="D93" s="100">
        <v>12</v>
      </c>
      <c r="E93" s="100">
        <v>24</v>
      </c>
      <c r="F93" s="100">
        <v>36</v>
      </c>
      <c r="L93" s="4"/>
      <c r="M93" s="4"/>
      <c r="N93" s="4"/>
    </row>
    <row r="94" spans="1:14" x14ac:dyDescent="0.2">
      <c r="A94" s="3"/>
      <c r="C94" s="97">
        <f>C8</f>
        <v>2021</v>
      </c>
      <c r="D94" s="101">
        <f>(D8-D78)^2/D78</f>
        <v>6.1254553897262536</v>
      </c>
      <c r="E94" s="101">
        <f>(E8-E78)^2/E78</f>
        <v>1.2258825599049969</v>
      </c>
      <c r="F94" s="101">
        <f>(F8-F78)^2/F78</f>
        <v>3.0673727183017512</v>
      </c>
      <c r="L94" s="4"/>
      <c r="M94" s="4"/>
      <c r="N94" s="4"/>
    </row>
    <row r="95" spans="1:14" x14ac:dyDescent="0.2">
      <c r="C95" s="97">
        <f t="shared" ref="C95:C96" si="8">C9</f>
        <v>2022</v>
      </c>
      <c r="D95" s="101">
        <f>(D9-D79)^2/D79</f>
        <v>5.0788301261728677</v>
      </c>
      <c r="E95" s="101">
        <f>(E9-E79)^2/E79</f>
        <v>0.32011085127945066</v>
      </c>
      <c r="F95" s="102"/>
      <c r="L95" s="4"/>
      <c r="M95" s="4"/>
      <c r="N95" s="4"/>
    </row>
    <row r="96" spans="1:14" x14ac:dyDescent="0.2">
      <c r="C96" s="97">
        <f t="shared" si="8"/>
        <v>2023</v>
      </c>
      <c r="D96" s="101">
        <f>(D10-D80)^2/D80</f>
        <v>0.23325932577335801</v>
      </c>
      <c r="E96" s="102"/>
      <c r="F96" s="102"/>
      <c r="L96" s="4"/>
      <c r="M96" s="4"/>
      <c r="N96" s="4"/>
    </row>
    <row r="97" spans="1:14" x14ac:dyDescent="0.2">
      <c r="L97" s="4"/>
      <c r="M97" s="4"/>
      <c r="N97" s="4"/>
    </row>
    <row r="98" spans="1:14" x14ac:dyDescent="0.2">
      <c r="C98" s="75" t="s">
        <v>163</v>
      </c>
      <c r="D98" s="75">
        <f>COUNT(D8:F10)</f>
        <v>6</v>
      </c>
      <c r="E98" s="103" t="s">
        <v>156</v>
      </c>
      <c r="L98" s="4"/>
      <c r="M98" s="4"/>
      <c r="N98" s="4"/>
    </row>
    <row r="99" spans="1:14" x14ac:dyDescent="0.2">
      <c r="C99" s="75" t="s">
        <v>164</v>
      </c>
      <c r="D99" s="75">
        <f>1+COUNT(D15:D16)</f>
        <v>3</v>
      </c>
      <c r="E99" s="103" t="s">
        <v>177</v>
      </c>
      <c r="L99" s="4"/>
      <c r="M99" s="4"/>
      <c r="N99" s="4"/>
    </row>
    <row r="100" spans="1:14" ht="17" thickBot="1" x14ac:dyDescent="0.25">
      <c r="E100" s="103"/>
      <c r="L100" s="4"/>
      <c r="M100" s="4"/>
      <c r="N100" s="4"/>
    </row>
    <row r="101" spans="1:14" ht="20" thickBot="1" x14ac:dyDescent="0.25">
      <c r="C101" s="76" t="s">
        <v>165</v>
      </c>
      <c r="D101" s="142">
        <f>SUM($D$94:$F$96)/(D98-D99)</f>
        <v>5.3503036570528932</v>
      </c>
      <c r="L101" s="4"/>
      <c r="M101" s="4"/>
      <c r="N101" s="4"/>
    </row>
    <row r="102" spans="1:14" x14ac:dyDescent="0.2">
      <c r="L102" s="4"/>
      <c r="M102" s="4"/>
      <c r="N102" s="4"/>
    </row>
    <row r="103" spans="1:14" x14ac:dyDescent="0.2">
      <c r="A103" s="21" t="s">
        <v>139</v>
      </c>
      <c r="B103" s="5" t="s">
        <v>182</v>
      </c>
      <c r="L103" s="4"/>
      <c r="M103" s="4"/>
      <c r="N103" s="4"/>
    </row>
    <row r="104" spans="1:14" x14ac:dyDescent="0.2">
      <c r="L104" s="4"/>
      <c r="M104" s="4"/>
      <c r="N104" s="4"/>
    </row>
    <row r="105" spans="1:14" x14ac:dyDescent="0.2">
      <c r="L105" s="4"/>
      <c r="M105" s="4"/>
      <c r="N105" s="4"/>
    </row>
    <row r="106" spans="1:14" ht="16" customHeight="1" thickBot="1" x14ac:dyDescent="0.25">
      <c r="D106" s="105"/>
      <c r="M106" s="74"/>
    </row>
    <row r="107" spans="1:14" ht="17" thickBot="1" x14ac:dyDescent="0.25">
      <c r="C107" s="106" t="s">
        <v>56</v>
      </c>
      <c r="D107" s="107">
        <f>D101*F66</f>
        <v>1724.113706208452</v>
      </c>
      <c r="L107" s="4"/>
      <c r="M107" s="4"/>
      <c r="N107" s="4"/>
    </row>
    <row r="108" spans="1:14" x14ac:dyDescent="0.2">
      <c r="D108" s="105"/>
      <c r="L108" s="4"/>
      <c r="M108" s="4"/>
      <c r="N108" s="4"/>
    </row>
    <row r="109" spans="1:14" x14ac:dyDescent="0.2">
      <c r="A109" s="21" t="s">
        <v>140</v>
      </c>
      <c r="B109" s="170" t="s">
        <v>184</v>
      </c>
      <c r="C109" s="170"/>
      <c r="D109" s="170"/>
      <c r="E109" s="170"/>
      <c r="F109" s="170"/>
      <c r="G109" s="170"/>
      <c r="H109" s="170"/>
      <c r="I109" s="170"/>
      <c r="L109" s="4"/>
      <c r="M109" s="4"/>
      <c r="N109" s="4"/>
    </row>
    <row r="110" spans="1:14" x14ac:dyDescent="0.2">
      <c r="A110" s="21"/>
      <c r="B110" s="170"/>
      <c r="C110" s="170"/>
      <c r="D110" s="170"/>
      <c r="E110" s="170"/>
      <c r="F110" s="170"/>
      <c r="G110" s="170"/>
      <c r="H110" s="170"/>
      <c r="I110" s="170"/>
      <c r="L110" s="4"/>
      <c r="M110" s="4"/>
      <c r="N110" s="4"/>
    </row>
    <row r="111" spans="1:14" x14ac:dyDescent="0.2">
      <c r="A111" s="21"/>
      <c r="B111" s="5"/>
      <c r="D111" s="105"/>
      <c r="L111" s="4"/>
      <c r="M111" s="4"/>
      <c r="N111" s="4"/>
    </row>
    <row r="112" spans="1:14" x14ac:dyDescent="0.2">
      <c r="A112" s="21"/>
      <c r="B112" s="5"/>
      <c r="D112" s="105"/>
      <c r="L112" s="4"/>
      <c r="M112" s="4"/>
      <c r="N112" s="4"/>
    </row>
    <row r="113" spans="1:65" x14ac:dyDescent="0.2">
      <c r="L113" s="4"/>
      <c r="M113" s="4"/>
      <c r="N113" s="4"/>
    </row>
    <row r="114" spans="1:65" x14ac:dyDescent="0.2">
      <c r="C114" s="59" t="s">
        <v>21</v>
      </c>
      <c r="E114" s="86">
        <f>(G18/1000)^2</f>
        <v>6400</v>
      </c>
      <c r="L114" s="4"/>
      <c r="M114" s="4"/>
      <c r="N114" s="4"/>
    </row>
    <row r="115" spans="1:65" x14ac:dyDescent="0.2">
      <c r="C115" s="59" t="s">
        <v>22</v>
      </c>
      <c r="E115" s="143">
        <f>SQRT(D107+E114)</f>
        <v>90.133865479121951</v>
      </c>
      <c r="F115" s="103" t="s">
        <v>23</v>
      </c>
      <c r="L115" s="4"/>
      <c r="M115" s="4"/>
      <c r="N115" s="4"/>
    </row>
    <row r="116" spans="1:65" ht="17" thickBot="1" x14ac:dyDescent="0.25">
      <c r="L116" s="4"/>
      <c r="M116" s="4"/>
      <c r="N116" s="4"/>
    </row>
    <row r="117" spans="1:65" ht="17" thickBot="1" x14ac:dyDescent="0.25">
      <c r="C117" s="106" t="s">
        <v>183</v>
      </c>
      <c r="D117" s="108"/>
      <c r="E117" s="144">
        <f>E115/F66</f>
        <v>0.27970518902594615</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ht="19" x14ac:dyDescent="0.25">
      <c r="A120" s="2" t="s">
        <v>39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ht="19" customHeight="1" x14ac:dyDescent="0.25">
      <c r="A121" s="2"/>
      <c r="B121" s="176" t="s">
        <v>186</v>
      </c>
      <c r="C121" s="176"/>
      <c r="D121" s="176"/>
      <c r="E121" s="176"/>
      <c r="F121" s="176"/>
      <c r="G121" s="176"/>
      <c r="H121" s="176"/>
      <c r="I121" s="176"/>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ht="16" customHeight="1" x14ac:dyDescent="0.25">
      <c r="A122" s="2"/>
      <c r="B122" s="176"/>
      <c r="C122" s="176"/>
      <c r="D122" s="176"/>
      <c r="E122" s="176"/>
      <c r="F122" s="176"/>
      <c r="G122" s="176"/>
      <c r="H122" s="176"/>
      <c r="I122" s="176"/>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ht="16" customHeight="1" x14ac:dyDescent="0.25">
      <c r="A123" s="2"/>
      <c r="B123" s="176"/>
      <c r="C123" s="176"/>
      <c r="D123" s="176"/>
      <c r="E123" s="176"/>
      <c r="F123" s="176"/>
      <c r="G123" s="176"/>
      <c r="H123" s="176"/>
      <c r="I123" s="176"/>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ht="19" x14ac:dyDescent="0.25">
      <c r="B125" s="20" t="s">
        <v>191</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B126" s="183" t="s">
        <v>192</v>
      </c>
      <c r="C126" s="176"/>
      <c r="D126" s="176"/>
      <c r="E126" s="176"/>
      <c r="F126" s="176"/>
      <c r="G126" s="176"/>
      <c r="H126" s="176"/>
      <c r="I126" s="176"/>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B127" s="176"/>
      <c r="C127" s="176"/>
      <c r="D127" s="176"/>
      <c r="E127" s="176"/>
      <c r="F127" s="176"/>
      <c r="G127" s="176"/>
      <c r="H127" s="176"/>
      <c r="I127" s="176"/>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B128" s="176"/>
      <c r="C128" s="176"/>
      <c r="D128" s="176"/>
      <c r="E128" s="176"/>
      <c r="F128" s="176"/>
      <c r="G128" s="176"/>
      <c r="H128" s="176"/>
      <c r="I128" s="176"/>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2:65" x14ac:dyDescent="0.2">
      <c r="B129" s="176"/>
      <c r="C129" s="176"/>
      <c r="D129" s="176"/>
      <c r="E129" s="176"/>
      <c r="F129" s="176"/>
      <c r="G129" s="176"/>
      <c r="H129" s="176"/>
      <c r="I129" s="176"/>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2:65" x14ac:dyDescent="0.2">
      <c r="B130" s="176"/>
      <c r="C130" s="176"/>
      <c r="D130" s="176"/>
      <c r="E130" s="176"/>
      <c r="F130" s="176"/>
      <c r="G130" s="176"/>
      <c r="H130" s="176"/>
      <c r="I130" s="176"/>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2:65" x14ac:dyDescent="0.2">
      <c r="B131" s="176"/>
      <c r="C131" s="176"/>
      <c r="D131" s="176"/>
      <c r="E131" s="176"/>
      <c r="F131" s="176"/>
      <c r="G131" s="176"/>
      <c r="H131" s="176"/>
      <c r="I131" s="176"/>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2:65" x14ac:dyDescent="0.2">
      <c r="B132" s="176"/>
      <c r="C132" s="176"/>
      <c r="D132" s="176"/>
      <c r="E132" s="176"/>
      <c r="F132" s="176"/>
      <c r="G132" s="176"/>
      <c r="H132" s="176"/>
      <c r="I132" s="176"/>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2:65" x14ac:dyDescent="0.2">
      <c r="B133" s="176"/>
      <c r="C133" s="176"/>
      <c r="D133" s="176"/>
      <c r="E133" s="176"/>
      <c r="F133" s="176"/>
      <c r="G133" s="176"/>
      <c r="H133" s="176"/>
      <c r="I133" s="176"/>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2:65" x14ac:dyDescent="0.2">
      <c r="B134" s="176"/>
      <c r="C134" s="176"/>
      <c r="D134" s="176"/>
      <c r="E134" s="176"/>
      <c r="F134" s="176"/>
      <c r="G134" s="176"/>
      <c r="H134" s="176"/>
      <c r="I134" s="176"/>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2:65" x14ac:dyDescent="0.2">
      <c r="B135" s="176"/>
      <c r="C135" s="176"/>
      <c r="D135" s="176"/>
      <c r="E135" s="176"/>
      <c r="F135" s="176"/>
      <c r="G135" s="176"/>
      <c r="H135" s="176"/>
      <c r="I135" s="176"/>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2:65" x14ac:dyDescent="0.2">
      <c r="B136" s="176"/>
      <c r="C136" s="176"/>
      <c r="D136" s="176"/>
      <c r="E136" s="176"/>
      <c r="F136" s="176"/>
      <c r="G136" s="176"/>
      <c r="H136" s="176"/>
      <c r="I136" s="176"/>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2:65" x14ac:dyDescent="0.2">
      <c r="B137" s="176"/>
      <c r="C137" s="176"/>
      <c r="D137" s="176"/>
      <c r="E137" s="176"/>
      <c r="F137" s="176"/>
      <c r="G137" s="176"/>
      <c r="H137" s="176"/>
      <c r="I137" s="176"/>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2:65" x14ac:dyDescent="0.2">
      <c r="B138" s="176"/>
      <c r="C138" s="176"/>
      <c r="D138" s="176"/>
      <c r="E138" s="176"/>
      <c r="F138" s="176"/>
      <c r="G138" s="176"/>
      <c r="H138" s="176"/>
      <c r="I138" s="176"/>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2:65" x14ac:dyDescent="0.2">
      <c r="B139" s="176"/>
      <c r="C139" s="176"/>
      <c r="D139" s="176"/>
      <c r="E139" s="176"/>
      <c r="F139" s="176"/>
      <c r="G139" s="176"/>
      <c r="H139" s="176"/>
      <c r="I139" s="176"/>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2:65" x14ac:dyDescent="0.2">
      <c r="B140" s="176"/>
      <c r="C140" s="176"/>
      <c r="D140" s="176"/>
      <c r="E140" s="176"/>
      <c r="F140" s="176"/>
      <c r="G140" s="176"/>
      <c r="H140" s="176"/>
      <c r="I140" s="176"/>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2:65" x14ac:dyDescent="0.2">
      <c r="B141" s="176"/>
      <c r="C141" s="176"/>
      <c r="D141" s="176"/>
      <c r="E141" s="176"/>
      <c r="F141" s="176"/>
      <c r="G141" s="176"/>
      <c r="H141" s="176"/>
      <c r="I141" s="176"/>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2:65" x14ac:dyDescent="0.2">
      <c r="B142" s="176"/>
      <c r="C142" s="176"/>
      <c r="D142" s="176"/>
      <c r="E142" s="176"/>
      <c r="F142" s="176"/>
      <c r="G142" s="176"/>
      <c r="H142" s="176"/>
      <c r="I142" s="176"/>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2:65" x14ac:dyDescent="0.2">
      <c r="B143" s="176"/>
      <c r="C143" s="176"/>
      <c r="D143" s="176"/>
      <c r="E143" s="176"/>
      <c r="F143" s="176"/>
      <c r="G143" s="176"/>
      <c r="H143" s="176"/>
      <c r="I143" s="176"/>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2:65" x14ac:dyDescent="0.2">
      <c r="B144" s="176"/>
      <c r="C144" s="176"/>
      <c r="D144" s="176"/>
      <c r="E144" s="176"/>
      <c r="F144" s="176"/>
      <c r="G144" s="176"/>
      <c r="H144" s="176"/>
      <c r="I144" s="176"/>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2:66" x14ac:dyDescent="0.2">
      <c r="B145" s="176"/>
      <c r="C145" s="176"/>
      <c r="D145" s="176"/>
      <c r="E145" s="176"/>
      <c r="F145" s="176"/>
      <c r="G145" s="176"/>
      <c r="H145" s="176"/>
      <c r="I145" s="176"/>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2:66" ht="16" customHeight="1" x14ac:dyDescent="0.2">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2:66" ht="16" customHeight="1" x14ac:dyDescent="0.25">
      <c r="B147" s="20" t="s">
        <v>187</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2:66" ht="16" customHeight="1" x14ac:dyDescent="0.2">
      <c r="B148" s="176" t="s">
        <v>188</v>
      </c>
      <c r="C148" s="176"/>
      <c r="D148" s="176"/>
      <c r="E148" s="176"/>
      <c r="F148" s="176"/>
      <c r="G148" s="176"/>
      <c r="H148" s="176"/>
      <c r="I148" s="176"/>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2:66" ht="16" customHeight="1" x14ac:dyDescent="0.2">
      <c r="B149" s="176"/>
      <c r="C149" s="176"/>
      <c r="D149" s="176"/>
      <c r="E149" s="176"/>
      <c r="F149" s="176"/>
      <c r="G149" s="176"/>
      <c r="H149" s="176"/>
      <c r="I149" s="176"/>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2:66" ht="16" customHeight="1" x14ac:dyDescent="0.2">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2:66" ht="16" customHeight="1" x14ac:dyDescent="0.2">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2:66" ht="16" customHeight="1" x14ac:dyDescent="0.2">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2:66" ht="16" customHeight="1" x14ac:dyDescent="0.2">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2:66" ht="16" customHeight="1" x14ac:dyDescent="0.2">
      <c r="B154" s="59" t="s">
        <v>189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2:66" x14ac:dyDescent="0.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2:66" x14ac:dyDescent="0.2">
      <c r="G156" s="181" t="s">
        <v>185</v>
      </c>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2:66" ht="16" customHeight="1" x14ac:dyDescent="0.2">
      <c r="C157" s="16" t="s">
        <v>11</v>
      </c>
      <c r="D157" s="13" t="s">
        <v>37</v>
      </c>
      <c r="E157" s="13" t="s">
        <v>14</v>
      </c>
      <c r="F157" s="16" t="s">
        <v>38</v>
      </c>
      <c r="G157" s="18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2:66" x14ac:dyDescent="0.2">
      <c r="C158" s="15">
        <f>C8</f>
        <v>2021</v>
      </c>
      <c r="D158" s="11">
        <f>SUM(D8:F8)</f>
        <v>310</v>
      </c>
      <c r="E158" s="12">
        <f>E45</f>
        <v>0.77803151667952752</v>
      </c>
      <c r="F158" s="15">
        <f>G8</f>
        <v>750</v>
      </c>
      <c r="G158" s="12">
        <f>D158/(F158*E158)</f>
        <v>0.53125525698155751</v>
      </c>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2:66" x14ac:dyDescent="0.2">
      <c r="C159" s="15">
        <f t="shared" ref="C159:C160" si="9">C9</f>
        <v>2022</v>
      </c>
      <c r="D159" s="11">
        <f>SUM(D9:F9)</f>
        <v>370</v>
      </c>
      <c r="E159" s="12">
        <f>E46</f>
        <v>0.71026135014016156</v>
      </c>
      <c r="F159" s="15">
        <f>G9</f>
        <v>800</v>
      </c>
      <c r="G159" s="12">
        <f>D159/(F159*E159)</f>
        <v>0.65116875627363247</v>
      </c>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2:66" x14ac:dyDescent="0.2">
      <c r="C160" s="16">
        <f t="shared" si="9"/>
        <v>2023</v>
      </c>
      <c r="D160" s="13">
        <f>SUM(D10:F10)</f>
        <v>265</v>
      </c>
      <c r="E160" s="14">
        <f>E47</f>
        <v>0.53186303498151422</v>
      </c>
      <c r="F160" s="16">
        <f>G10</f>
        <v>810</v>
      </c>
      <c r="G160" s="14">
        <f>D160/(F160*E160)</f>
        <v>0.61512169921440674</v>
      </c>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x14ac:dyDescent="0.2">
      <c r="C161" s="15"/>
      <c r="D161" s="11">
        <f>SUM(D158:D160)</f>
        <v>945</v>
      </c>
      <c r="E161" s="11"/>
      <c r="F161" s="17">
        <f>SUM(F158:F160)</f>
        <v>2360</v>
      </c>
      <c r="G161" s="52">
        <f>D161/SUMPRODUCT(E158:E160,F158:F160)</f>
        <v>0.59714063436249887</v>
      </c>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x14ac:dyDescent="0.2">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6" x14ac:dyDescent="0.2">
      <c r="B163" s="176" t="s">
        <v>190</v>
      </c>
      <c r="C163" s="176"/>
      <c r="D163" s="176"/>
      <c r="E163" s="176"/>
      <c r="F163" s="176"/>
      <c r="G163" s="176"/>
      <c r="H163" s="176"/>
      <c r="I163" s="176"/>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6" x14ac:dyDescent="0.2">
      <c r="B164" s="176"/>
      <c r="C164" s="176"/>
      <c r="D164" s="176"/>
      <c r="E164" s="176"/>
      <c r="F164" s="176"/>
      <c r="G164" s="176"/>
      <c r="H164" s="176"/>
      <c r="I164" s="176"/>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6" x14ac:dyDescent="0.2">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6" ht="19" x14ac:dyDescent="0.25">
      <c r="A166" s="2" t="s">
        <v>89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6" x14ac:dyDescent="0.2">
      <c r="B167" s="59" t="s">
        <v>99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6" x14ac:dyDescent="0.2">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6" ht="19" x14ac:dyDescent="0.25">
      <c r="A169" s="2" t="s">
        <v>91</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6" x14ac:dyDescent="0.2">
      <c r="B170" s="59" t="s">
        <v>100</v>
      </c>
      <c r="D170" s="59" t="s">
        <v>108</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6" x14ac:dyDescent="0.2">
      <c r="B171" s="59" t="s">
        <v>101</v>
      </c>
      <c r="D171" s="59" t="s">
        <v>109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6" x14ac:dyDescent="0.2">
      <c r="B172" s="59" t="s">
        <v>102</v>
      </c>
      <c r="D172" s="59" t="s">
        <v>110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6" x14ac:dyDescent="0.2">
      <c r="B173" s="59" t="s">
        <v>103</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6" x14ac:dyDescent="0.2">
      <c r="B174" s="59" t="s">
        <v>104</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6" x14ac:dyDescent="0.2">
      <c r="B175" s="59" t="s">
        <v>94</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6" x14ac:dyDescent="0.2">
      <c r="B176" s="59" t="s">
        <v>105</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B177" s="59" t="s">
        <v>106</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t="s">
        <v>107</v>
      </c>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row>
    <row r="231" spans="1:65" x14ac:dyDescent="0.2">
      <c r="A231" s="4"/>
      <c r="B231" s="4"/>
      <c r="C231" s="4"/>
      <c r="D231" s="4"/>
      <c r="E231" s="4"/>
      <c r="F231" s="4"/>
      <c r="G231" s="4"/>
      <c r="H231" s="4"/>
      <c r="I231" s="4"/>
      <c r="J231" s="4"/>
    </row>
    <row r="232" spans="1:65" x14ac:dyDescent="0.2">
      <c r="A232" s="4"/>
      <c r="B232" s="4"/>
      <c r="C232" s="4"/>
      <c r="D232" s="4"/>
      <c r="E232" s="4"/>
      <c r="F232" s="4"/>
      <c r="G232" s="4"/>
      <c r="H232" s="4"/>
      <c r="I232" s="4"/>
      <c r="J232" s="4"/>
    </row>
    <row r="233" spans="1:65" x14ac:dyDescent="0.2">
      <c r="A233" s="4"/>
      <c r="B233" s="4"/>
      <c r="C233" s="4"/>
      <c r="D233" s="4"/>
      <c r="E233" s="4"/>
      <c r="F233" s="4"/>
      <c r="G233" s="4"/>
      <c r="H233" s="4"/>
      <c r="I233" s="4"/>
      <c r="J233" s="4"/>
    </row>
    <row r="234" spans="1:65" x14ac:dyDescent="0.2">
      <c r="A234" s="4"/>
      <c r="B234" s="4"/>
      <c r="C234" s="4"/>
      <c r="D234" s="4"/>
      <c r="E234" s="4"/>
      <c r="F234" s="4"/>
      <c r="G234" s="4"/>
      <c r="H234" s="4"/>
      <c r="I234" s="4"/>
      <c r="J234" s="4"/>
    </row>
    <row r="235" spans="1:65" x14ac:dyDescent="0.2">
      <c r="A235" s="4"/>
      <c r="B235" s="4"/>
      <c r="C235" s="4"/>
      <c r="D235" s="4"/>
      <c r="E235" s="4"/>
      <c r="F235" s="4"/>
      <c r="G235" s="4"/>
      <c r="H235" s="4"/>
      <c r="I235" s="4"/>
      <c r="J235" s="4"/>
    </row>
    <row r="236" spans="1:65" x14ac:dyDescent="0.2">
      <c r="A236" s="4"/>
      <c r="B236" s="4"/>
      <c r="C236" s="4"/>
      <c r="D236" s="4"/>
      <c r="E236" s="4"/>
      <c r="F236" s="4"/>
      <c r="G236" s="4"/>
      <c r="H236" s="4"/>
      <c r="I236" s="4"/>
      <c r="J236" s="4"/>
    </row>
    <row r="237" spans="1:65" x14ac:dyDescent="0.2">
      <c r="A237" s="4"/>
      <c r="B237" s="4"/>
      <c r="C237" s="4"/>
      <c r="D237" s="4"/>
      <c r="E237" s="4"/>
      <c r="F237" s="4"/>
      <c r="G237" s="4"/>
      <c r="H237" s="4"/>
      <c r="I237" s="4"/>
      <c r="J237" s="4"/>
    </row>
    <row r="238" spans="1:65" x14ac:dyDescent="0.2">
      <c r="A238" s="4"/>
      <c r="B238" s="4"/>
      <c r="C238" s="4"/>
      <c r="D238" s="4"/>
      <c r="E238" s="4"/>
      <c r="F238" s="4"/>
      <c r="G238" s="4"/>
      <c r="H238" s="4"/>
      <c r="I238" s="4"/>
      <c r="J238" s="4"/>
    </row>
    <row r="239" spans="1:65" x14ac:dyDescent="0.2">
      <c r="A239" s="4"/>
      <c r="B239" s="4"/>
      <c r="C239" s="4"/>
      <c r="D239" s="4"/>
      <c r="E239" s="4"/>
      <c r="F239" s="4"/>
      <c r="G239" s="4"/>
      <c r="H239" s="4"/>
      <c r="I239" s="4"/>
      <c r="J239" s="4"/>
    </row>
    <row r="240" spans="1:65" x14ac:dyDescent="0.2">
      <c r="A240" s="4"/>
      <c r="B240" s="4"/>
      <c r="C240" s="4"/>
      <c r="D240" s="4"/>
      <c r="E240" s="4"/>
      <c r="F240" s="4"/>
      <c r="G240" s="4"/>
      <c r="H240" s="4"/>
      <c r="I240" s="4"/>
      <c r="J240" s="4"/>
    </row>
    <row r="241" spans="1:10" x14ac:dyDescent="0.2">
      <c r="A241" s="4"/>
      <c r="B241" s="4"/>
      <c r="C241" s="4"/>
      <c r="D241" s="4"/>
      <c r="E241" s="4"/>
      <c r="F241" s="4"/>
      <c r="G241" s="4"/>
      <c r="H241" s="4"/>
      <c r="I241" s="4"/>
      <c r="J241" s="4"/>
    </row>
    <row r="242" spans="1:10" x14ac:dyDescent="0.2">
      <c r="A242" s="4"/>
      <c r="B242" s="4"/>
      <c r="C242" s="4"/>
      <c r="D242" s="4"/>
      <c r="E242" s="4"/>
      <c r="F242" s="4"/>
      <c r="G242" s="4"/>
      <c r="H242" s="4"/>
      <c r="I242" s="4"/>
      <c r="J242" s="4"/>
    </row>
    <row r="243" spans="1:10" x14ac:dyDescent="0.2">
      <c r="A243" s="4"/>
      <c r="B243" s="4"/>
      <c r="C243" s="4"/>
      <c r="D243" s="4"/>
      <c r="E243" s="4"/>
      <c r="F243" s="4"/>
      <c r="G243" s="4"/>
      <c r="H243" s="4"/>
      <c r="I243" s="4"/>
      <c r="J243" s="4"/>
    </row>
    <row r="244" spans="1:10" x14ac:dyDescent="0.2">
      <c r="A244" s="4"/>
      <c r="B244" s="4"/>
      <c r="C244" s="4"/>
      <c r="D244" s="4"/>
      <c r="E244" s="4"/>
      <c r="F244" s="4"/>
      <c r="G244" s="4"/>
      <c r="H244" s="4"/>
      <c r="I244" s="4"/>
      <c r="J244" s="4"/>
    </row>
    <row r="245" spans="1:10" x14ac:dyDescent="0.2">
      <c r="A245" s="4"/>
      <c r="B245" s="4"/>
      <c r="C245" s="4"/>
      <c r="D245" s="4"/>
      <c r="E245" s="4"/>
      <c r="F245" s="4"/>
      <c r="G245" s="4"/>
      <c r="H245" s="4"/>
      <c r="I245" s="4"/>
      <c r="J245" s="4"/>
    </row>
    <row r="246" spans="1:10" x14ac:dyDescent="0.2">
      <c r="A246" s="4"/>
      <c r="B246" s="4"/>
      <c r="C246" s="4"/>
      <c r="D246" s="4"/>
      <c r="E246" s="4"/>
      <c r="F246" s="4"/>
      <c r="G246" s="4"/>
      <c r="H246" s="4"/>
      <c r="I246" s="4"/>
      <c r="J246" s="4"/>
    </row>
    <row r="247" spans="1:10" x14ac:dyDescent="0.2">
      <c r="A247" s="4"/>
      <c r="B247" s="4"/>
      <c r="C247" s="4"/>
      <c r="D247" s="4"/>
      <c r="E247" s="4"/>
      <c r="F247" s="4"/>
      <c r="G247" s="4"/>
      <c r="H247" s="4"/>
      <c r="I247" s="4"/>
      <c r="J247" s="4"/>
    </row>
    <row r="248" spans="1:10" x14ac:dyDescent="0.2">
      <c r="A248" s="4"/>
      <c r="B248" s="4"/>
      <c r="C248" s="4"/>
      <c r="D248" s="4"/>
      <c r="E248" s="4"/>
      <c r="F248" s="4"/>
      <c r="G248" s="4"/>
      <c r="H248" s="4"/>
      <c r="I248" s="4"/>
      <c r="J248" s="4"/>
    </row>
    <row r="249" spans="1:10" x14ac:dyDescent="0.2">
      <c r="A249" s="4"/>
      <c r="B249" s="4"/>
      <c r="C249" s="4"/>
      <c r="D249" s="4"/>
      <c r="E249" s="4"/>
      <c r="F249" s="4"/>
      <c r="G249" s="4"/>
      <c r="H249" s="4"/>
      <c r="I249" s="4"/>
      <c r="J249" s="4"/>
    </row>
    <row r="250" spans="1:10" x14ac:dyDescent="0.2">
      <c r="A250" s="4"/>
      <c r="B250" s="4"/>
      <c r="C250" s="4"/>
      <c r="D250" s="4"/>
      <c r="E250" s="4"/>
      <c r="F250" s="4"/>
      <c r="G250" s="4"/>
      <c r="H250" s="4"/>
      <c r="I250" s="4"/>
      <c r="J250" s="4"/>
    </row>
    <row r="251" spans="1:10" x14ac:dyDescent="0.2">
      <c r="A251" s="4"/>
      <c r="B251" s="4"/>
      <c r="C251" s="4"/>
      <c r="D251" s="4"/>
      <c r="E251" s="4"/>
      <c r="F251" s="4"/>
      <c r="G251" s="4"/>
      <c r="H251" s="4"/>
      <c r="I251" s="4"/>
      <c r="J251" s="4"/>
    </row>
    <row r="252" spans="1:10" x14ac:dyDescent="0.2">
      <c r="A252" s="4"/>
      <c r="B252" s="4"/>
      <c r="C252" s="4"/>
      <c r="D252" s="4"/>
      <c r="E252" s="4"/>
      <c r="F252" s="4"/>
      <c r="G252" s="4"/>
      <c r="H252" s="4"/>
      <c r="I252" s="4"/>
      <c r="J252" s="4"/>
    </row>
    <row r="253" spans="1:10" x14ac:dyDescent="0.2">
      <c r="A253" s="4"/>
      <c r="B253" s="4"/>
      <c r="C253" s="4"/>
      <c r="D253" s="4"/>
      <c r="E253" s="4"/>
      <c r="F253" s="4"/>
      <c r="G253" s="4"/>
      <c r="H253" s="4"/>
      <c r="I253" s="4"/>
      <c r="J253" s="4"/>
    </row>
    <row r="254" spans="1:10" x14ac:dyDescent="0.2">
      <c r="A254" s="4"/>
      <c r="B254" s="4"/>
      <c r="C254" s="4"/>
      <c r="D254" s="4"/>
      <c r="E254" s="4"/>
      <c r="F254" s="4"/>
      <c r="G254" s="4"/>
      <c r="H254" s="4"/>
      <c r="I254" s="4"/>
      <c r="J254" s="4"/>
    </row>
    <row r="255" spans="1:10" x14ac:dyDescent="0.2">
      <c r="A255" s="4"/>
      <c r="B255" s="4"/>
      <c r="C255" s="4"/>
      <c r="D255" s="4"/>
      <c r="E255" s="4"/>
      <c r="F255" s="4"/>
      <c r="G255" s="4"/>
      <c r="H255" s="4"/>
      <c r="I255" s="4"/>
      <c r="J255" s="4"/>
    </row>
    <row r="256" spans="1:10" x14ac:dyDescent="0.2">
      <c r="A256" s="4"/>
      <c r="B256" s="4"/>
      <c r="C256" s="4"/>
      <c r="D256" s="4"/>
      <c r="E256" s="4"/>
      <c r="F256" s="4"/>
      <c r="G256" s="4"/>
      <c r="H256" s="4"/>
      <c r="I256" s="4"/>
      <c r="J256" s="4"/>
    </row>
    <row r="257" spans="1:10" x14ac:dyDescent="0.2">
      <c r="A257" s="4"/>
      <c r="B257" s="4"/>
      <c r="C257" s="4"/>
      <c r="D257" s="4"/>
      <c r="E257" s="4"/>
      <c r="F257" s="4"/>
      <c r="G257" s="4"/>
      <c r="H257" s="4"/>
      <c r="I257" s="4"/>
      <c r="J257" s="4"/>
    </row>
    <row r="258" spans="1:10" x14ac:dyDescent="0.2">
      <c r="A258" s="4"/>
      <c r="B258" s="4"/>
      <c r="C258" s="4"/>
      <c r="D258" s="4"/>
      <c r="E258" s="4"/>
      <c r="F258" s="4"/>
      <c r="G258" s="4"/>
      <c r="H258" s="4"/>
      <c r="I258" s="4"/>
      <c r="J258" s="4"/>
    </row>
    <row r="259" spans="1:10" x14ac:dyDescent="0.2">
      <c r="A259" s="4"/>
      <c r="B259" s="4"/>
      <c r="C259" s="4"/>
      <c r="D259" s="4"/>
      <c r="E259" s="4"/>
      <c r="F259" s="4"/>
      <c r="G259" s="4"/>
      <c r="H259" s="4"/>
      <c r="I259" s="4"/>
      <c r="J259" s="4"/>
    </row>
    <row r="260" spans="1:10" x14ac:dyDescent="0.2">
      <c r="A260" s="4"/>
      <c r="B260" s="4"/>
      <c r="C260" s="4"/>
      <c r="D260" s="4"/>
      <c r="E260" s="4"/>
      <c r="F260" s="4"/>
      <c r="G260" s="4"/>
      <c r="H260" s="4"/>
      <c r="I260" s="4"/>
      <c r="J260" s="4"/>
    </row>
    <row r="261" spans="1:10" x14ac:dyDescent="0.2">
      <c r="A261" s="4"/>
      <c r="B261" s="4"/>
      <c r="C261" s="4"/>
      <c r="D261" s="4"/>
      <c r="E261" s="4"/>
      <c r="F261" s="4"/>
      <c r="G261" s="4"/>
      <c r="H261" s="4"/>
      <c r="I261" s="4"/>
      <c r="J261" s="4"/>
    </row>
    <row r="262" spans="1:10" x14ac:dyDescent="0.2">
      <c r="A262" s="4"/>
      <c r="B262" s="4"/>
      <c r="C262" s="4"/>
      <c r="D262" s="4"/>
      <c r="E262" s="4"/>
      <c r="F262" s="4"/>
      <c r="G262" s="4"/>
      <c r="H262" s="4"/>
      <c r="I262" s="4"/>
      <c r="J262" s="4"/>
    </row>
    <row r="263" spans="1:10" x14ac:dyDescent="0.2">
      <c r="A263" s="4"/>
      <c r="B263" s="4"/>
      <c r="C263" s="4"/>
      <c r="D263" s="4"/>
      <c r="E263" s="4"/>
      <c r="F263" s="4"/>
      <c r="G263" s="4"/>
      <c r="H263" s="4"/>
      <c r="I263" s="4"/>
      <c r="J263" s="4"/>
    </row>
    <row r="264" spans="1:10" x14ac:dyDescent="0.2">
      <c r="A264" s="4"/>
      <c r="B264" s="4"/>
      <c r="C264" s="4"/>
      <c r="D264" s="4"/>
      <c r="E264" s="4"/>
      <c r="F264" s="4"/>
      <c r="G264" s="4"/>
      <c r="H264" s="4"/>
      <c r="I264" s="4"/>
      <c r="J264" s="4"/>
    </row>
    <row r="265" spans="1:10" x14ac:dyDescent="0.2">
      <c r="A265" s="4"/>
      <c r="B265" s="4"/>
      <c r="C265" s="4"/>
      <c r="D265" s="4"/>
      <c r="E265" s="4"/>
      <c r="F265" s="4"/>
      <c r="G265" s="4"/>
      <c r="H265" s="4"/>
      <c r="I265" s="4"/>
      <c r="J265" s="4"/>
    </row>
    <row r="266" spans="1:10" x14ac:dyDescent="0.2">
      <c r="A266" s="4"/>
      <c r="B266" s="4"/>
      <c r="C266" s="4"/>
      <c r="D266" s="4"/>
      <c r="E266" s="4"/>
      <c r="F266" s="4"/>
      <c r="G266" s="4"/>
      <c r="H266" s="4"/>
      <c r="I266" s="4"/>
      <c r="J266" s="4"/>
    </row>
    <row r="267" spans="1:10" x14ac:dyDescent="0.2">
      <c r="A267" s="4"/>
      <c r="B267" s="4"/>
      <c r="C267" s="4"/>
      <c r="D267" s="4"/>
      <c r="E267" s="4"/>
      <c r="F267" s="4"/>
      <c r="G267" s="4"/>
      <c r="H267" s="4"/>
      <c r="I267" s="4"/>
      <c r="J267" s="4"/>
    </row>
    <row r="268" spans="1:10" x14ac:dyDescent="0.2">
      <c r="A268" s="4"/>
      <c r="B268" s="4"/>
      <c r="C268" s="4"/>
      <c r="D268" s="4"/>
      <c r="E268" s="4"/>
      <c r="F268" s="4"/>
      <c r="G268" s="4"/>
      <c r="H268" s="4"/>
      <c r="I268" s="4"/>
      <c r="J268" s="4"/>
    </row>
    <row r="269" spans="1:10" x14ac:dyDescent="0.2">
      <c r="A269" s="4"/>
      <c r="B269" s="4"/>
      <c r="C269" s="4"/>
      <c r="D269" s="4"/>
      <c r="E269" s="4"/>
      <c r="F269" s="4"/>
      <c r="G269" s="4"/>
      <c r="H269" s="4"/>
      <c r="I269" s="4"/>
      <c r="J269" s="4"/>
    </row>
    <row r="270" spans="1:10" x14ac:dyDescent="0.2">
      <c r="A270" s="4"/>
      <c r="B270" s="4"/>
      <c r="C270" s="4"/>
      <c r="D270" s="4"/>
      <c r="E270" s="4"/>
      <c r="F270" s="4"/>
      <c r="G270" s="4"/>
      <c r="H270" s="4"/>
      <c r="I270" s="4"/>
      <c r="J270" s="4"/>
    </row>
    <row r="271" spans="1:10" x14ac:dyDescent="0.2">
      <c r="A271" s="4"/>
      <c r="B271" s="4"/>
      <c r="C271" s="4"/>
      <c r="D271" s="4"/>
      <c r="E271" s="4"/>
      <c r="F271" s="4"/>
      <c r="G271" s="4"/>
      <c r="H271" s="4"/>
      <c r="I271" s="4"/>
      <c r="J271" s="4"/>
    </row>
    <row r="272" spans="1:10" x14ac:dyDescent="0.2">
      <c r="A272" s="4"/>
      <c r="B272" s="4"/>
      <c r="C272" s="4"/>
      <c r="D272" s="4"/>
      <c r="E272" s="4"/>
      <c r="F272" s="4"/>
      <c r="G272" s="4"/>
      <c r="H272" s="4"/>
      <c r="I272" s="4"/>
      <c r="J272" s="4"/>
    </row>
    <row r="273" spans="1:10" x14ac:dyDescent="0.2">
      <c r="A273" s="4"/>
      <c r="B273" s="4"/>
      <c r="C273" s="4"/>
      <c r="D273" s="4"/>
      <c r="E273" s="4"/>
      <c r="F273" s="4"/>
      <c r="G273" s="4"/>
      <c r="H273" s="4"/>
      <c r="I273" s="4"/>
      <c r="J273" s="4"/>
    </row>
    <row r="274" spans="1:10" x14ac:dyDescent="0.2">
      <c r="A274" s="4"/>
      <c r="B274" s="4"/>
      <c r="C274" s="4"/>
      <c r="D274" s="4"/>
      <c r="E274" s="4"/>
      <c r="F274" s="4"/>
      <c r="G274" s="4"/>
      <c r="H274" s="4"/>
      <c r="I274" s="4"/>
      <c r="J274" s="4"/>
    </row>
    <row r="275" spans="1:10" x14ac:dyDescent="0.2">
      <c r="A275" s="4"/>
      <c r="B275" s="4"/>
      <c r="C275" s="4"/>
      <c r="D275" s="4"/>
      <c r="E275" s="4"/>
      <c r="F275" s="4"/>
      <c r="G275" s="4"/>
      <c r="H275" s="4"/>
      <c r="I275" s="4"/>
      <c r="J275" s="4"/>
    </row>
    <row r="276" spans="1:10" x14ac:dyDescent="0.2">
      <c r="A276" s="4"/>
      <c r="B276" s="4"/>
      <c r="C276" s="4"/>
      <c r="D276" s="4"/>
      <c r="E276" s="4"/>
      <c r="F276" s="4"/>
      <c r="G276" s="4"/>
      <c r="H276" s="4"/>
      <c r="I276" s="4"/>
      <c r="J276" s="4"/>
    </row>
    <row r="277" spans="1:10" x14ac:dyDescent="0.2">
      <c r="A277" s="4"/>
      <c r="B277" s="4"/>
      <c r="C277" s="4"/>
      <c r="D277" s="4"/>
      <c r="E277" s="4"/>
      <c r="F277" s="4"/>
      <c r="G277" s="4"/>
      <c r="H277" s="4"/>
      <c r="I277" s="4"/>
      <c r="J277" s="4"/>
    </row>
    <row r="278" spans="1:10" x14ac:dyDescent="0.2">
      <c r="A278" s="4"/>
      <c r="B278" s="4"/>
      <c r="C278" s="4"/>
      <c r="D278" s="4"/>
      <c r="E278" s="4"/>
      <c r="F278" s="4"/>
      <c r="G278" s="4"/>
      <c r="H278" s="4"/>
      <c r="I278" s="4"/>
      <c r="J278" s="4"/>
    </row>
    <row r="279" spans="1:10" x14ac:dyDescent="0.2">
      <c r="A279" s="4"/>
      <c r="B279" s="4"/>
      <c r="C279" s="4"/>
      <c r="D279" s="4"/>
      <c r="E279" s="4"/>
      <c r="F279" s="4"/>
      <c r="G279" s="4"/>
      <c r="H279" s="4"/>
      <c r="I279" s="4"/>
      <c r="J279" s="4"/>
    </row>
  </sheetData>
  <mergeCells count="15">
    <mergeCell ref="B148:I149"/>
    <mergeCell ref="G156:G157"/>
    <mergeCell ref="B163:I164"/>
    <mergeCell ref="B126:I145"/>
    <mergeCell ref="B85:I85"/>
    <mergeCell ref="C92:F92"/>
    <mergeCell ref="B109:I110"/>
    <mergeCell ref="B121:I123"/>
    <mergeCell ref="E61:E62"/>
    <mergeCell ref="H43:H44"/>
    <mergeCell ref="B71:I72"/>
    <mergeCell ref="C76:F76"/>
    <mergeCell ref="C5:F5"/>
    <mergeCell ref="C6:C7"/>
    <mergeCell ref="G5:G7"/>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97"/>
  <sheetViews>
    <sheetView showGridLines="0" zoomScale="120" zoomScaleNormal="120" workbookViewId="0"/>
  </sheetViews>
  <sheetFormatPr baseColWidth="10" defaultColWidth="10.83203125" defaultRowHeight="16" x14ac:dyDescent="0.2"/>
  <cols>
    <col min="1" max="7" width="10.83203125" style="59"/>
    <col min="8" max="9" width="10.83203125" style="59" customWidth="1"/>
    <col min="10" max="16384" width="10.83203125" style="59"/>
  </cols>
  <sheetData>
    <row r="1" spans="1:10" ht="19" x14ac:dyDescent="0.25">
      <c r="A1" s="1" t="s">
        <v>128</v>
      </c>
      <c r="B1" s="57"/>
      <c r="C1" s="57"/>
      <c r="D1" s="57"/>
      <c r="E1" s="57"/>
      <c r="F1" s="57"/>
      <c r="G1" s="57"/>
      <c r="H1" s="57"/>
      <c r="I1" s="57"/>
      <c r="J1" s="58"/>
    </row>
    <row r="2" spans="1:10" x14ac:dyDescent="0.2">
      <c r="A2" s="60"/>
      <c r="B2" s="57"/>
      <c r="C2" s="57"/>
      <c r="D2" s="57"/>
      <c r="E2" s="57"/>
      <c r="F2" s="57"/>
      <c r="G2" s="57"/>
      <c r="H2" s="57"/>
      <c r="I2" s="57"/>
      <c r="J2" s="58"/>
    </row>
    <row r="3" spans="1:10" x14ac:dyDescent="0.2">
      <c r="A3" s="7"/>
      <c r="B3" s="57" t="s">
        <v>1</v>
      </c>
      <c r="C3" s="57"/>
      <c r="D3" s="57"/>
      <c r="E3" s="57"/>
      <c r="F3" s="57"/>
      <c r="G3" s="57"/>
      <c r="H3" s="57"/>
      <c r="I3" s="57"/>
      <c r="J3" s="58"/>
    </row>
    <row r="4" spans="1:10" x14ac:dyDescent="0.2">
      <c r="A4" s="7"/>
      <c r="B4" s="57"/>
      <c r="C4" s="57"/>
      <c r="D4" s="57"/>
      <c r="E4" s="57"/>
      <c r="F4" s="57"/>
      <c r="G4" s="57"/>
      <c r="H4" s="57"/>
      <c r="I4" s="57"/>
      <c r="J4" s="58"/>
    </row>
    <row r="5" spans="1:10" x14ac:dyDescent="0.2">
      <c r="A5" s="7"/>
      <c r="B5" s="57"/>
      <c r="C5" s="164" t="s">
        <v>40</v>
      </c>
      <c r="D5" s="165"/>
      <c r="E5" s="165"/>
      <c r="F5" s="166"/>
      <c r="G5" s="57"/>
      <c r="H5" s="57"/>
      <c r="I5" s="57"/>
      <c r="J5" s="58"/>
    </row>
    <row r="6" spans="1:10" x14ac:dyDescent="0.2">
      <c r="A6" s="7"/>
      <c r="B6" s="57"/>
      <c r="C6" s="168" t="s">
        <v>3</v>
      </c>
      <c r="D6" s="63"/>
      <c r="E6" s="64"/>
      <c r="F6" s="65"/>
      <c r="G6" s="57"/>
      <c r="H6" s="57"/>
      <c r="I6" s="57"/>
      <c r="J6" s="58"/>
    </row>
    <row r="7" spans="1:10" ht="17" x14ac:dyDescent="0.2">
      <c r="A7" s="7"/>
      <c r="B7" s="57"/>
      <c r="C7" s="169"/>
      <c r="D7" s="33" t="s">
        <v>4</v>
      </c>
      <c r="E7" s="9" t="s">
        <v>5</v>
      </c>
      <c r="F7" s="8" t="s">
        <v>6</v>
      </c>
      <c r="G7" s="57"/>
      <c r="H7" s="57"/>
      <c r="I7" s="57"/>
      <c r="J7" s="58"/>
    </row>
    <row r="8" spans="1:10" x14ac:dyDescent="0.2">
      <c r="A8" s="7"/>
      <c r="B8" s="57"/>
      <c r="C8" s="114">
        <v>2021</v>
      </c>
      <c r="D8" s="26">
        <v>420</v>
      </c>
      <c r="E8" s="34">
        <v>1220</v>
      </c>
      <c r="F8" s="35">
        <v>1010</v>
      </c>
      <c r="G8" s="57"/>
      <c r="H8" s="57"/>
      <c r="I8" s="57"/>
      <c r="J8" s="58"/>
    </row>
    <row r="9" spans="1:10" x14ac:dyDescent="0.2">
      <c r="A9" s="7"/>
      <c r="B9" s="57"/>
      <c r="C9" s="115">
        <v>2022</v>
      </c>
      <c r="D9" s="29">
        <v>360</v>
      </c>
      <c r="E9" s="36">
        <v>1830</v>
      </c>
      <c r="F9" s="10"/>
      <c r="G9" s="57"/>
      <c r="H9" s="57"/>
      <c r="I9" s="57"/>
      <c r="J9" s="58"/>
    </row>
    <row r="10" spans="1:10" x14ac:dyDescent="0.2">
      <c r="A10" s="7"/>
      <c r="B10" s="57"/>
      <c r="C10" s="116">
        <v>2023</v>
      </c>
      <c r="D10" s="30">
        <v>310</v>
      </c>
      <c r="E10" s="31"/>
      <c r="F10" s="32"/>
      <c r="G10" s="57"/>
      <c r="H10" s="57"/>
      <c r="I10" s="57"/>
      <c r="J10" s="58"/>
    </row>
    <row r="11" spans="1:10" x14ac:dyDescent="0.2">
      <c r="A11" s="7"/>
      <c r="B11" s="57"/>
      <c r="C11" s="57"/>
      <c r="D11" s="57"/>
      <c r="E11" s="57"/>
      <c r="F11" s="57"/>
      <c r="G11" s="57"/>
      <c r="H11" s="57"/>
      <c r="I11" s="57"/>
      <c r="J11" s="58"/>
    </row>
    <row r="12" spans="1:10" ht="19" x14ac:dyDescent="0.2">
      <c r="A12" s="7"/>
      <c r="B12" s="68" t="s">
        <v>194</v>
      </c>
      <c r="C12" s="57"/>
      <c r="D12" s="57"/>
      <c r="E12" s="67">
        <v>62.76</v>
      </c>
      <c r="F12" s="57"/>
      <c r="G12" s="57"/>
      <c r="H12" s="57"/>
      <c r="I12" s="57"/>
      <c r="J12" s="58"/>
    </row>
    <row r="13" spans="1:10" x14ac:dyDescent="0.2">
      <c r="A13" s="7"/>
      <c r="B13" s="57"/>
      <c r="C13" s="57"/>
      <c r="D13" s="57"/>
      <c r="E13" s="57"/>
      <c r="F13" s="57"/>
      <c r="G13" s="57"/>
      <c r="H13" s="57"/>
      <c r="I13" s="57"/>
      <c r="J13" s="58"/>
    </row>
    <row r="14" spans="1:10" x14ac:dyDescent="0.2">
      <c r="A14" s="7"/>
      <c r="B14" s="57" t="s">
        <v>41</v>
      </c>
      <c r="C14" s="57"/>
      <c r="D14" s="57"/>
      <c r="E14" s="57"/>
      <c r="F14" s="57"/>
      <c r="G14" s="57"/>
      <c r="H14" s="57"/>
      <c r="I14" s="57"/>
      <c r="J14" s="58"/>
    </row>
    <row r="15" spans="1:10" x14ac:dyDescent="0.2">
      <c r="A15" s="7"/>
      <c r="B15" s="57"/>
      <c r="C15" s="57"/>
      <c r="D15" s="57"/>
      <c r="E15" s="57"/>
      <c r="F15" s="57"/>
      <c r="G15" s="57"/>
      <c r="H15" s="57"/>
      <c r="I15" s="57"/>
      <c r="J15" s="58"/>
    </row>
    <row r="16" spans="1:10" x14ac:dyDescent="0.2">
      <c r="A16" s="7"/>
      <c r="B16" s="57"/>
      <c r="C16" s="66" t="s">
        <v>8</v>
      </c>
      <c r="D16" s="67">
        <v>24</v>
      </c>
      <c r="E16" s="57"/>
      <c r="F16" s="57"/>
      <c r="G16" s="57"/>
      <c r="H16" s="57"/>
      <c r="I16" s="57"/>
      <c r="J16" s="58"/>
    </row>
    <row r="17" spans="1:12" x14ac:dyDescent="0.2">
      <c r="A17" s="7"/>
      <c r="B17" s="57"/>
      <c r="C17" s="66" t="s">
        <v>9</v>
      </c>
      <c r="D17" s="67">
        <v>1.55</v>
      </c>
      <c r="E17" s="57"/>
      <c r="F17" s="57"/>
      <c r="G17" s="57"/>
      <c r="H17" s="57"/>
      <c r="I17" s="57"/>
      <c r="J17" s="58"/>
    </row>
    <row r="18" spans="1:12" x14ac:dyDescent="0.2">
      <c r="A18" s="7"/>
      <c r="B18" s="57"/>
      <c r="C18" s="57"/>
      <c r="D18" s="57"/>
      <c r="E18" s="57"/>
      <c r="F18" s="57"/>
      <c r="G18" s="57"/>
      <c r="H18" s="57"/>
      <c r="I18" s="57"/>
      <c r="J18" s="58"/>
    </row>
    <row r="19" spans="1:12" x14ac:dyDescent="0.2">
      <c r="A19" s="7"/>
      <c r="B19" s="68" t="s">
        <v>193</v>
      </c>
      <c r="C19" s="57"/>
      <c r="D19" s="57"/>
      <c r="E19" s="57"/>
      <c r="F19" s="57"/>
      <c r="G19" s="69"/>
      <c r="H19" s="57"/>
      <c r="I19" s="57"/>
      <c r="J19" s="58"/>
    </row>
    <row r="20" spans="1:12" x14ac:dyDescent="0.2">
      <c r="A20" s="7"/>
      <c r="B20" s="57"/>
      <c r="C20" s="57"/>
      <c r="D20" s="57"/>
      <c r="E20" s="57"/>
      <c r="F20" s="57"/>
      <c r="G20" s="57"/>
      <c r="H20" s="57"/>
      <c r="I20" s="57"/>
      <c r="J20" s="58"/>
    </row>
    <row r="21" spans="1:12" x14ac:dyDescent="0.2">
      <c r="A21" s="7"/>
      <c r="B21" s="51"/>
      <c r="C21" s="57"/>
      <c r="D21" s="57"/>
      <c r="E21" s="57"/>
      <c r="F21" s="57"/>
      <c r="G21" s="57"/>
      <c r="H21" s="57"/>
      <c r="I21" s="57"/>
      <c r="J21" s="58"/>
    </row>
    <row r="22" spans="1:12" x14ac:dyDescent="0.2">
      <c r="A22" s="7"/>
      <c r="B22" s="51" t="s">
        <v>46</v>
      </c>
      <c r="C22" s="57"/>
      <c r="D22" s="57"/>
      <c r="E22" s="57"/>
      <c r="F22" s="57"/>
      <c r="G22" s="57"/>
      <c r="H22" s="57"/>
      <c r="I22" s="57"/>
      <c r="J22" s="58"/>
    </row>
    <row r="23" spans="1:12" x14ac:dyDescent="0.2">
      <c r="A23" s="7"/>
      <c r="B23" s="51" t="s">
        <v>49</v>
      </c>
      <c r="C23" s="57"/>
      <c r="D23" s="57"/>
      <c r="E23" s="57"/>
      <c r="F23" s="57"/>
      <c r="G23" s="57"/>
      <c r="H23" s="57"/>
      <c r="I23" s="57"/>
      <c r="J23" s="58"/>
    </row>
    <row r="24" spans="1:12" x14ac:dyDescent="0.2">
      <c r="A24" s="7"/>
      <c r="B24" s="51" t="s">
        <v>47</v>
      </c>
      <c r="C24" s="57"/>
      <c r="D24" s="57"/>
      <c r="E24" s="57"/>
      <c r="F24" s="57"/>
      <c r="G24" s="57"/>
      <c r="H24" s="57"/>
      <c r="I24" s="57"/>
      <c r="J24" s="58"/>
    </row>
    <row r="25" spans="1:12" x14ac:dyDescent="0.2">
      <c r="A25" s="7"/>
      <c r="B25" s="51" t="s">
        <v>48</v>
      </c>
      <c r="C25" s="57"/>
      <c r="D25" s="57"/>
      <c r="E25" s="57"/>
      <c r="F25" s="57"/>
      <c r="G25" s="57"/>
      <c r="H25" s="57"/>
      <c r="I25" s="57"/>
      <c r="J25" s="58"/>
    </row>
    <row r="26" spans="1:12" ht="17" thickBot="1" x14ac:dyDescent="0.25">
      <c r="A26" s="70"/>
      <c r="B26" s="71"/>
      <c r="C26" s="72"/>
      <c r="D26" s="72"/>
      <c r="E26" s="72"/>
      <c r="F26" s="71"/>
      <c r="G26" s="71"/>
      <c r="H26" s="71"/>
      <c r="I26" s="71"/>
      <c r="J26" s="73"/>
    </row>
    <row r="28" spans="1:12" ht="19" x14ac:dyDescent="0.25">
      <c r="A28" s="2" t="s">
        <v>0</v>
      </c>
    </row>
    <row r="29" spans="1:12" x14ac:dyDescent="0.2">
      <c r="A29" s="21" t="s">
        <v>124</v>
      </c>
      <c r="B29" s="5" t="s">
        <v>195</v>
      </c>
      <c r="C29" s="74"/>
    </row>
    <row r="30" spans="1:12" x14ac:dyDescent="0.2">
      <c r="L30" s="4"/>
    </row>
    <row r="31" spans="1:12" x14ac:dyDescent="0.2">
      <c r="B31" s="59" t="s">
        <v>166</v>
      </c>
      <c r="L31" s="4"/>
    </row>
    <row r="32" spans="1:12" x14ac:dyDescent="0.2">
      <c r="L32" s="4"/>
    </row>
    <row r="33" spans="1:12" x14ac:dyDescent="0.2">
      <c r="L33" s="4"/>
    </row>
    <row r="34" spans="1:12" x14ac:dyDescent="0.2">
      <c r="L34" s="4"/>
    </row>
    <row r="35" spans="1:12" x14ac:dyDescent="0.2">
      <c r="L35" s="4"/>
    </row>
    <row r="36" spans="1:12" ht="34" x14ac:dyDescent="0.2">
      <c r="C36" s="78" t="s">
        <v>11</v>
      </c>
      <c r="D36" s="79" t="s">
        <v>12</v>
      </c>
      <c r="E36" s="79" t="s">
        <v>13</v>
      </c>
      <c r="F36" s="79" t="s">
        <v>14</v>
      </c>
      <c r="G36" s="79" t="s">
        <v>42</v>
      </c>
      <c r="H36" s="81" t="s">
        <v>15</v>
      </c>
      <c r="I36" s="80" t="s">
        <v>196</v>
      </c>
      <c r="K36" s="4"/>
    </row>
    <row r="37" spans="1:12" x14ac:dyDescent="0.2">
      <c r="C37" s="83">
        <f>C8</f>
        <v>2021</v>
      </c>
      <c r="D37" s="75">
        <f>D38+12</f>
        <v>36</v>
      </c>
      <c r="E37" s="75">
        <f>D37-6</f>
        <v>30</v>
      </c>
      <c r="F37" s="84">
        <f>1-EXP(-((E37/$D$16)^$D$17))</f>
        <v>0.756642184003264</v>
      </c>
      <c r="G37" s="85">
        <f>1/F37</f>
        <v>1.3216286656252385</v>
      </c>
      <c r="H37" s="87">
        <f>SUM(D8:F8)</f>
        <v>2650</v>
      </c>
      <c r="I37" s="117">
        <f>H37*G37</f>
        <v>3502.3159639068822</v>
      </c>
      <c r="K37" s="4"/>
    </row>
    <row r="38" spans="1:12" x14ac:dyDescent="0.2">
      <c r="C38" s="83">
        <f>C9</f>
        <v>2022</v>
      </c>
      <c r="D38" s="75">
        <f t="shared" ref="D38" si="0">D39+12</f>
        <v>24</v>
      </c>
      <c r="E38" s="75">
        <f t="shared" ref="E38" si="1">D38-6</f>
        <v>18</v>
      </c>
      <c r="F38" s="84">
        <f t="shared" ref="F38:F39" si="2">1-EXP(-((E38/$D$16)^$D$17))</f>
        <v>0.47283578522864456</v>
      </c>
      <c r="G38" s="85">
        <f t="shared" ref="G38:G39" si="3">1/F38</f>
        <v>2.1148991494297325</v>
      </c>
      <c r="H38" s="87">
        <f>SUM(D9:F9)</f>
        <v>2190</v>
      </c>
      <c r="I38" s="86">
        <f>H38*G38</f>
        <v>4631.6291372511141</v>
      </c>
      <c r="K38" s="4"/>
    </row>
    <row r="39" spans="1:12" x14ac:dyDescent="0.2">
      <c r="A39" s="3"/>
      <c r="C39" s="88">
        <f>C10</f>
        <v>2023</v>
      </c>
      <c r="D39" s="79">
        <v>12</v>
      </c>
      <c r="E39" s="89">
        <f>D39-6</f>
        <v>6</v>
      </c>
      <c r="F39" s="90">
        <f t="shared" si="2"/>
        <v>0.11008481979861939</v>
      </c>
      <c r="G39" s="91">
        <f t="shared" si="3"/>
        <v>9.0839045912898992</v>
      </c>
      <c r="H39" s="93">
        <f>SUM(D10:F10)</f>
        <v>310</v>
      </c>
      <c r="I39" s="92">
        <f>H39*G39</f>
        <v>2816.0104232998688</v>
      </c>
    </row>
    <row r="40" spans="1:12" x14ac:dyDescent="0.2">
      <c r="C40" s="94" t="s">
        <v>173</v>
      </c>
      <c r="G40" s="120"/>
      <c r="H40" s="87">
        <f t="shared" ref="H40:I40" si="4">SUM(H37:H39)</f>
        <v>5150</v>
      </c>
      <c r="I40" s="86">
        <f t="shared" si="4"/>
        <v>10949.955524457866</v>
      </c>
    </row>
    <row r="42" spans="1:12" x14ac:dyDescent="0.2">
      <c r="A42" s="21" t="s">
        <v>125</v>
      </c>
      <c r="B42" s="5" t="s">
        <v>198</v>
      </c>
    </row>
    <row r="43" spans="1:12" x14ac:dyDescent="0.2">
      <c r="B43" s="6"/>
    </row>
    <row r="44" spans="1:12" x14ac:dyDescent="0.2">
      <c r="B44" s="6"/>
    </row>
    <row r="45" spans="1:12" x14ac:dyDescent="0.2">
      <c r="B45" s="6"/>
    </row>
    <row r="46" spans="1:12" x14ac:dyDescent="0.2">
      <c r="B46" s="6"/>
    </row>
    <row r="47" spans="1:12" x14ac:dyDescent="0.2">
      <c r="C47" s="95" t="s">
        <v>11</v>
      </c>
      <c r="D47" s="79">
        <v>12</v>
      </c>
      <c r="E47" s="79">
        <v>24</v>
      </c>
      <c r="F47" s="79">
        <v>36</v>
      </c>
      <c r="G47" s="75" t="s">
        <v>43</v>
      </c>
    </row>
    <row r="48" spans="1:12" x14ac:dyDescent="0.2">
      <c r="C48" s="97">
        <f>C8</f>
        <v>2021</v>
      </c>
      <c r="D48" s="86">
        <f>$G48*D$52</f>
        <v>385.55182176451711</v>
      </c>
      <c r="E48" s="86">
        <f>$G48*E$52</f>
        <v>1270.4684971482106</v>
      </c>
      <c r="F48" s="86">
        <f>$G48*F$52</f>
        <v>993.9796810872723</v>
      </c>
      <c r="G48" s="86">
        <f>I37</f>
        <v>3502.3159639068822</v>
      </c>
    </row>
    <row r="49" spans="1:14" x14ac:dyDescent="0.2">
      <c r="C49" s="97">
        <f>C9</f>
        <v>2022</v>
      </c>
      <c r="D49" s="86">
        <f>$G49*D$52</f>
        <v>509.87205894832391</v>
      </c>
      <c r="E49" s="86">
        <f>$G49*E$52</f>
        <v>1680.1279410516761</v>
      </c>
      <c r="F49" s="86"/>
      <c r="G49" s="86">
        <f>I38</f>
        <v>4631.6291372511141</v>
      </c>
    </row>
    <row r="50" spans="1:14" x14ac:dyDescent="0.2">
      <c r="C50" s="97">
        <f>C10</f>
        <v>2023</v>
      </c>
      <c r="D50" s="86">
        <f>$G50*D$52</f>
        <v>309.99999999999994</v>
      </c>
      <c r="E50" s="86"/>
      <c r="F50" s="86"/>
      <c r="G50" s="86">
        <f>I39</f>
        <v>2816.0104232998688</v>
      </c>
    </row>
    <row r="51" spans="1:14" x14ac:dyDescent="0.2">
      <c r="A51" s="3"/>
    </row>
    <row r="52" spans="1:14" x14ac:dyDescent="0.2">
      <c r="C52" s="59" t="s">
        <v>19</v>
      </c>
      <c r="D52" s="121">
        <f>F39</f>
        <v>0.11008481979861939</v>
      </c>
      <c r="E52" s="121">
        <f>F38-F39</f>
        <v>0.36275096543002516</v>
      </c>
      <c r="F52" s="121">
        <f>F37-F38</f>
        <v>0.28380639877461944</v>
      </c>
    </row>
    <row r="53" spans="1:14" x14ac:dyDescent="0.2">
      <c r="L53" s="4"/>
    </row>
    <row r="54" spans="1:14" x14ac:dyDescent="0.2">
      <c r="A54" s="21" t="s">
        <v>136</v>
      </c>
      <c r="B54" s="5" t="s">
        <v>199</v>
      </c>
      <c r="L54" s="4"/>
      <c r="M54" s="74"/>
    </row>
    <row r="55" spans="1:14" x14ac:dyDescent="0.2">
      <c r="L55" s="4"/>
      <c r="M55" s="4"/>
      <c r="N55" s="4"/>
    </row>
    <row r="56" spans="1:14" x14ac:dyDescent="0.2">
      <c r="L56" s="4"/>
      <c r="M56" s="4"/>
      <c r="N56" s="4"/>
    </row>
    <row r="57" spans="1:14" x14ac:dyDescent="0.2">
      <c r="L57" s="4"/>
      <c r="M57" s="4"/>
      <c r="N57" s="4"/>
    </row>
    <row r="58" spans="1:14" x14ac:dyDescent="0.2">
      <c r="L58" s="4"/>
      <c r="M58" s="4"/>
      <c r="N58" s="4"/>
    </row>
    <row r="59" spans="1:14" x14ac:dyDescent="0.2">
      <c r="C59" s="95" t="s">
        <v>11</v>
      </c>
      <c r="D59" s="79">
        <v>12</v>
      </c>
      <c r="E59" s="79">
        <v>24</v>
      </c>
      <c r="F59" s="79">
        <v>36</v>
      </c>
      <c r="L59" s="4"/>
      <c r="M59" s="4"/>
      <c r="N59" s="4"/>
    </row>
    <row r="60" spans="1:14" x14ac:dyDescent="0.2">
      <c r="C60" s="97">
        <f>C8</f>
        <v>2021</v>
      </c>
      <c r="D60" s="85">
        <f>(D8-D48)/SQRT($E$12*D48)</f>
        <v>0.22145394043814212</v>
      </c>
      <c r="E60" s="85">
        <f>(E8-E48)/SQRT($E$12*E48)</f>
        <v>-0.17872979396296709</v>
      </c>
      <c r="F60" s="85">
        <f>(F8-F48)/SQRT($E$12*F48)</f>
        <v>6.4141769451093636E-2</v>
      </c>
      <c r="L60" s="4"/>
      <c r="M60" s="4"/>
      <c r="N60" s="4"/>
    </row>
    <row r="61" spans="1:14" x14ac:dyDescent="0.2">
      <c r="C61" s="97">
        <f>C9</f>
        <v>2022</v>
      </c>
      <c r="D61" s="85">
        <f>(D9-D49)/SQRT($E$12*D49)</f>
        <v>-0.83781590294235242</v>
      </c>
      <c r="E61" s="85">
        <f>(E9-E49)/SQRT($E$12*E49)</f>
        <v>0.46153860076131015</v>
      </c>
      <c r="F61" s="85"/>
      <c r="L61" s="4"/>
      <c r="M61" s="4"/>
      <c r="N61" s="4"/>
    </row>
    <row r="62" spans="1:14" x14ac:dyDescent="0.2">
      <c r="C62" s="97">
        <f>C10</f>
        <v>2023</v>
      </c>
      <c r="D62" s="85">
        <f>(D10-D50)/SQRT($E$12*D50)</f>
        <v>4.0752839717958869E-16</v>
      </c>
      <c r="E62" s="85"/>
      <c r="F62" s="85"/>
      <c r="L62" s="4"/>
      <c r="M62" s="4"/>
      <c r="N62" s="4"/>
    </row>
    <row r="63" spans="1:14" x14ac:dyDescent="0.2">
      <c r="L63" s="4"/>
      <c r="M63" s="4"/>
      <c r="N63" s="4"/>
    </row>
    <row r="64" spans="1:14" x14ac:dyDescent="0.2">
      <c r="A64" s="21" t="s">
        <v>137</v>
      </c>
      <c r="B64" s="5" t="s">
        <v>200</v>
      </c>
      <c r="L64" s="4"/>
      <c r="M64" s="4"/>
      <c r="N64" s="4"/>
    </row>
    <row r="65" spans="1:14" x14ac:dyDescent="0.2">
      <c r="A65" s="21"/>
      <c r="B65" s="5"/>
      <c r="L65" s="4"/>
      <c r="M65" s="4"/>
      <c r="N65" s="4"/>
    </row>
    <row r="66" spans="1:14" x14ac:dyDescent="0.2">
      <c r="L66" s="4"/>
      <c r="M66" s="4"/>
      <c r="N66" s="4"/>
    </row>
    <row r="67" spans="1:14" x14ac:dyDescent="0.2">
      <c r="H67" s="184" t="s">
        <v>50</v>
      </c>
      <c r="I67" s="181" t="s">
        <v>45</v>
      </c>
      <c r="L67" s="4"/>
      <c r="M67" s="4"/>
      <c r="N67" s="4"/>
    </row>
    <row r="68" spans="1:14" x14ac:dyDescent="0.2">
      <c r="H68" s="185"/>
      <c r="I68" s="182"/>
      <c r="L68" s="4"/>
      <c r="M68" s="4"/>
      <c r="N68" s="4"/>
    </row>
    <row r="69" spans="1:14" x14ac:dyDescent="0.2">
      <c r="H69" s="53">
        <f>$D$59</f>
        <v>12</v>
      </c>
      <c r="I69" s="18">
        <f>D60</f>
        <v>0.22145394043814212</v>
      </c>
      <c r="L69" s="4"/>
      <c r="M69" s="4"/>
      <c r="N69" s="4"/>
    </row>
    <row r="70" spans="1:14" x14ac:dyDescent="0.2">
      <c r="H70" s="53">
        <f>$D$59</f>
        <v>12</v>
      </c>
      <c r="I70" s="18">
        <f>D61</f>
        <v>-0.83781590294235242</v>
      </c>
      <c r="L70" s="4"/>
      <c r="M70" s="74"/>
    </row>
    <row r="71" spans="1:14" x14ac:dyDescent="0.2">
      <c r="H71" s="53">
        <f>$D$59</f>
        <v>12</v>
      </c>
      <c r="I71" s="18">
        <f>D62</f>
        <v>4.0752839717958869E-16</v>
      </c>
      <c r="L71" s="4"/>
      <c r="M71" s="4"/>
      <c r="N71" s="4"/>
    </row>
    <row r="72" spans="1:14" x14ac:dyDescent="0.2">
      <c r="H72" s="53">
        <f>$E$59</f>
        <v>24</v>
      </c>
      <c r="I72" s="18">
        <f>E60</f>
        <v>-0.17872979396296709</v>
      </c>
      <c r="L72" s="4"/>
      <c r="M72" s="4"/>
      <c r="N72" s="4"/>
    </row>
    <row r="73" spans="1:14" x14ac:dyDescent="0.2">
      <c r="H73" s="53">
        <f>$E$59</f>
        <v>24</v>
      </c>
      <c r="I73" s="18">
        <f>E61</f>
        <v>0.46153860076131015</v>
      </c>
      <c r="L73" s="4"/>
      <c r="M73" s="4"/>
      <c r="N73" s="4"/>
    </row>
    <row r="74" spans="1:14" x14ac:dyDescent="0.2">
      <c r="H74" s="53">
        <f>F59</f>
        <v>36</v>
      </c>
      <c r="I74" s="18">
        <f>F60</f>
        <v>6.4141769451093636E-2</v>
      </c>
      <c r="L74" s="4"/>
      <c r="M74" s="4"/>
      <c r="N74" s="4"/>
    </row>
    <row r="75" spans="1:14" x14ac:dyDescent="0.2">
      <c r="L75" s="4"/>
      <c r="M75" s="4"/>
      <c r="N75" s="4"/>
    </row>
    <row r="76" spans="1:14" x14ac:dyDescent="0.2">
      <c r="L76" s="4"/>
      <c r="M76" s="4"/>
      <c r="N76" s="4"/>
    </row>
    <row r="77" spans="1:14" x14ac:dyDescent="0.2">
      <c r="M77" s="4"/>
      <c r="N77" s="4"/>
    </row>
    <row r="78" spans="1:14" x14ac:dyDescent="0.2">
      <c r="L78" s="4"/>
      <c r="M78" s="4"/>
      <c r="N78" s="4"/>
    </row>
    <row r="79" spans="1:14" x14ac:dyDescent="0.2">
      <c r="L79" s="4"/>
      <c r="M79" s="4"/>
      <c r="N79" s="4"/>
    </row>
    <row r="80" spans="1:14" x14ac:dyDescent="0.2">
      <c r="L80" s="4"/>
      <c r="M80" s="74"/>
    </row>
    <row r="81" spans="1:65" x14ac:dyDescent="0.2">
      <c r="L81" s="4"/>
      <c r="M81" s="4"/>
      <c r="N81" s="4"/>
    </row>
    <row r="82" spans="1:65" x14ac:dyDescent="0.2">
      <c r="H82" s="184" t="s">
        <v>51</v>
      </c>
      <c r="I82" s="181" t="s">
        <v>45</v>
      </c>
      <c r="L82" s="4"/>
      <c r="M82" s="4"/>
      <c r="N82" s="4"/>
    </row>
    <row r="83" spans="1:65" x14ac:dyDescent="0.2">
      <c r="H83" s="185"/>
      <c r="I83" s="182"/>
      <c r="L83" s="4"/>
      <c r="M83" s="4"/>
      <c r="N83" s="4"/>
    </row>
    <row r="84" spans="1:65" x14ac:dyDescent="0.2">
      <c r="H84" s="54">
        <f>D48</f>
        <v>385.55182176451711</v>
      </c>
      <c r="I84" s="18">
        <f>D60</f>
        <v>0.22145394043814212</v>
      </c>
      <c r="L84" s="4"/>
      <c r="M84" s="4"/>
      <c r="N84" s="4"/>
    </row>
    <row r="85" spans="1:65" x14ac:dyDescent="0.2">
      <c r="H85" s="54">
        <f>D49</f>
        <v>509.87205894832391</v>
      </c>
      <c r="I85" s="18">
        <f>D61</f>
        <v>-0.83781590294235242</v>
      </c>
      <c r="L85" s="4"/>
      <c r="M85" s="74"/>
    </row>
    <row r="86" spans="1:65" x14ac:dyDescent="0.2">
      <c r="H86" s="54">
        <f>D50</f>
        <v>309.99999999999994</v>
      </c>
      <c r="I86" s="18">
        <f>D62</f>
        <v>4.0752839717958869E-16</v>
      </c>
      <c r="L86" s="4"/>
      <c r="M86" s="4"/>
      <c r="N86" s="4"/>
    </row>
    <row r="87" spans="1:65" x14ac:dyDescent="0.2">
      <c r="H87" s="54">
        <f>E48</f>
        <v>1270.4684971482106</v>
      </c>
      <c r="I87" s="18">
        <f>E60</f>
        <v>-0.17872979396296709</v>
      </c>
      <c r="L87" s="4"/>
      <c r="M87" s="4"/>
      <c r="N87" s="4"/>
    </row>
    <row r="88" spans="1:65" x14ac:dyDescent="0.2">
      <c r="H88" s="54">
        <f>E49</f>
        <v>1680.1279410516761</v>
      </c>
      <c r="I88" s="18">
        <f>E61</f>
        <v>0.46153860076131015</v>
      </c>
      <c r="L88" s="4"/>
      <c r="M88" s="4"/>
      <c r="N88" s="4"/>
    </row>
    <row r="89" spans="1:65" x14ac:dyDescent="0.2">
      <c r="H89" s="54">
        <f>F48</f>
        <v>993.9796810872723</v>
      </c>
      <c r="I89" s="18">
        <f>F60</f>
        <v>6.4141769451093636E-2</v>
      </c>
      <c r="L89" s="4"/>
      <c r="M89" s="4"/>
      <c r="N89" s="4"/>
    </row>
    <row r="90" spans="1:65" x14ac:dyDescent="0.2">
      <c r="L90" s="4"/>
      <c r="M90" s="4"/>
      <c r="N90" s="4"/>
    </row>
    <row r="91" spans="1:65" x14ac:dyDescent="0.2">
      <c r="L91" s="4"/>
      <c r="M91" s="4"/>
      <c r="N91" s="4"/>
    </row>
    <row r="92" spans="1:65" x14ac:dyDescent="0.2">
      <c r="M92" s="4"/>
      <c r="N92" s="4"/>
    </row>
    <row r="93" spans="1:65" x14ac:dyDescent="0.2">
      <c r="L93" s="4"/>
      <c r="M93" s="4"/>
      <c r="N93" s="4"/>
    </row>
    <row r="94" spans="1:65" x14ac:dyDescent="0.2">
      <c r="L94" s="4"/>
      <c r="M94" s="4"/>
      <c r="N94" s="4"/>
    </row>
    <row r="95" spans="1:65"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H97" s="184" t="s">
        <v>44</v>
      </c>
      <c r="I97" s="181" t="s">
        <v>45</v>
      </c>
      <c r="L97" s="4"/>
      <c r="M97" s="4"/>
      <c r="N97" s="4"/>
    </row>
    <row r="98" spans="1:65" x14ac:dyDescent="0.2">
      <c r="H98" s="185"/>
      <c r="I98" s="182"/>
      <c r="L98" s="4"/>
      <c r="M98" s="4"/>
      <c r="N98" s="4"/>
    </row>
    <row r="99" spans="1:65" x14ac:dyDescent="0.2">
      <c r="H99" s="53">
        <f>C8</f>
        <v>2021</v>
      </c>
      <c r="I99" s="18">
        <f>D60</f>
        <v>0.22145394043814212</v>
      </c>
      <c r="L99" s="4"/>
      <c r="M99" s="4"/>
      <c r="N99" s="4"/>
    </row>
    <row r="100" spans="1:65" x14ac:dyDescent="0.2">
      <c r="H100" s="53">
        <f>C9</f>
        <v>2022</v>
      </c>
      <c r="I100" s="18">
        <f>E60</f>
        <v>-0.17872979396296709</v>
      </c>
      <c r="L100" s="4"/>
      <c r="M100" s="74"/>
    </row>
    <row r="101" spans="1:65" x14ac:dyDescent="0.2">
      <c r="H101" s="53">
        <f>C9</f>
        <v>2022</v>
      </c>
      <c r="I101" s="18">
        <f>D61</f>
        <v>-0.83781590294235242</v>
      </c>
      <c r="L101" s="4"/>
      <c r="M101" s="4"/>
      <c r="N101" s="4"/>
    </row>
    <row r="102" spans="1:65" x14ac:dyDescent="0.2">
      <c r="H102" s="53">
        <f>C10</f>
        <v>2023</v>
      </c>
      <c r="I102" s="18">
        <f>F60</f>
        <v>6.4141769451093636E-2</v>
      </c>
      <c r="L102" s="4"/>
      <c r="M102" s="4"/>
      <c r="N102" s="4"/>
    </row>
    <row r="103" spans="1:65" x14ac:dyDescent="0.2">
      <c r="H103" s="53">
        <f>C10</f>
        <v>2023</v>
      </c>
      <c r="I103" s="18">
        <f>E61</f>
        <v>0.46153860076131015</v>
      </c>
      <c r="L103" s="4"/>
      <c r="M103" s="4"/>
      <c r="N103" s="4"/>
    </row>
    <row r="104" spans="1:65" x14ac:dyDescent="0.2">
      <c r="H104" s="53">
        <f>C10</f>
        <v>2023</v>
      </c>
      <c r="I104" s="18">
        <f>D62</f>
        <v>4.0752839717958869E-16</v>
      </c>
      <c r="L104" s="4"/>
      <c r="M104" s="4"/>
      <c r="N104" s="4"/>
    </row>
    <row r="105" spans="1:65" x14ac:dyDescent="0.2">
      <c r="L105" s="4"/>
      <c r="M105" s="4"/>
      <c r="N105" s="4"/>
    </row>
    <row r="106" spans="1:65" x14ac:dyDescent="0.2">
      <c r="L106" s="4"/>
      <c r="M106" s="4"/>
      <c r="N106" s="4"/>
    </row>
    <row r="107" spans="1:65" x14ac:dyDescent="0.2">
      <c r="M107" s="4"/>
      <c r="N107" s="4"/>
    </row>
    <row r="108" spans="1:65" x14ac:dyDescent="0.2">
      <c r="L108" s="4"/>
      <c r="M108" s="4"/>
      <c r="N108" s="4"/>
    </row>
    <row r="109" spans="1:65" x14ac:dyDescent="0.2">
      <c r="L109" s="4"/>
      <c r="M109" s="4"/>
      <c r="N109" s="4"/>
    </row>
    <row r="110" spans="1:65" x14ac:dyDescent="0.2">
      <c r="A110" s="4"/>
      <c r="B110" s="5" t="s">
        <v>197</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176" t="s">
        <v>201</v>
      </c>
      <c r="C111" s="176"/>
      <c r="D111" s="176"/>
      <c r="E111" s="176"/>
      <c r="F111" s="176"/>
      <c r="G111" s="176"/>
      <c r="H111" s="176"/>
      <c r="I111" s="176"/>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176"/>
      <c r="C112" s="176"/>
      <c r="D112" s="176"/>
      <c r="E112" s="176"/>
      <c r="F112" s="176"/>
      <c r="G112" s="176"/>
      <c r="H112" s="176"/>
      <c r="I112" s="176"/>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ht="19" x14ac:dyDescent="0.25">
      <c r="A114" s="2" t="s">
        <v>39</v>
      </c>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176" t="s">
        <v>205</v>
      </c>
      <c r="C115" s="176"/>
      <c r="D115" s="176"/>
      <c r="E115" s="176"/>
      <c r="F115" s="176"/>
      <c r="G115" s="176"/>
      <c r="H115" s="176"/>
      <c r="I115" s="176"/>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176"/>
      <c r="C116" s="176"/>
      <c r="D116" s="176"/>
      <c r="E116" s="176"/>
      <c r="F116" s="176"/>
      <c r="G116" s="176"/>
      <c r="H116" s="176"/>
      <c r="I116" s="176"/>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59" t="s">
        <v>111</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59" t="s">
        <v>202</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176" t="s">
        <v>206</v>
      </c>
      <c r="C121" s="176"/>
      <c r="D121" s="176"/>
      <c r="E121" s="176"/>
      <c r="F121" s="176"/>
      <c r="G121" s="176"/>
      <c r="H121" s="176"/>
      <c r="I121" s="176"/>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176"/>
      <c r="C122" s="176"/>
      <c r="D122" s="176"/>
      <c r="E122" s="176"/>
      <c r="F122" s="176"/>
      <c r="G122" s="176"/>
      <c r="H122" s="176"/>
      <c r="I122" s="176"/>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5"/>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59" t="s">
        <v>204</v>
      </c>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ht="19" customHeight="1" x14ac:dyDescent="0.2">
      <c r="A125" s="4"/>
      <c r="B125" s="176" t="s">
        <v>207</v>
      </c>
      <c r="C125" s="176"/>
      <c r="D125" s="176"/>
      <c r="E125" s="176"/>
      <c r="F125" s="176"/>
      <c r="G125" s="176"/>
      <c r="H125" s="176"/>
      <c r="I125" s="176"/>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176"/>
      <c r="C126" s="176"/>
      <c r="D126" s="176"/>
      <c r="E126" s="176"/>
      <c r="F126" s="176"/>
      <c r="G126" s="176"/>
      <c r="H126" s="176"/>
      <c r="I126" s="176"/>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176"/>
      <c r="C127" s="176"/>
      <c r="D127" s="176"/>
      <c r="E127" s="176"/>
      <c r="F127" s="176"/>
      <c r="G127" s="176"/>
      <c r="H127" s="176"/>
      <c r="I127" s="176"/>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5" t="s">
        <v>203</v>
      </c>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176" t="s">
        <v>208</v>
      </c>
      <c r="C130" s="176"/>
      <c r="D130" s="176"/>
      <c r="E130" s="176"/>
      <c r="F130" s="176"/>
      <c r="G130" s="176"/>
      <c r="H130" s="176"/>
      <c r="I130" s="176"/>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176"/>
      <c r="C131" s="176"/>
      <c r="D131" s="176"/>
      <c r="E131" s="176"/>
      <c r="F131" s="176"/>
      <c r="G131" s="176"/>
      <c r="H131" s="176"/>
      <c r="I131" s="176"/>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176"/>
      <c r="C132" s="176"/>
      <c r="D132" s="176"/>
      <c r="E132" s="176"/>
      <c r="F132" s="176"/>
      <c r="G132" s="176"/>
      <c r="H132" s="176"/>
      <c r="I132" s="176"/>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ht="19" x14ac:dyDescent="0.25">
      <c r="A134" s="2" t="s">
        <v>89</v>
      </c>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59" t="s">
        <v>112</v>
      </c>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ht="19" x14ac:dyDescent="0.25">
      <c r="A137" s="2" t="s">
        <v>91</v>
      </c>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59" t="s">
        <v>113</v>
      </c>
      <c r="D138" s="59" t="s">
        <v>114</v>
      </c>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59" t="s">
        <v>95</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sheetData>
  <mergeCells count="13">
    <mergeCell ref="B111:I112"/>
    <mergeCell ref="B115:I116"/>
    <mergeCell ref="B121:I122"/>
    <mergeCell ref="B125:I127"/>
    <mergeCell ref="B130:I132"/>
    <mergeCell ref="C5:F5"/>
    <mergeCell ref="C6:C7"/>
    <mergeCell ref="I97:I98"/>
    <mergeCell ref="H97:H98"/>
    <mergeCell ref="I82:I83"/>
    <mergeCell ref="H82:H83"/>
    <mergeCell ref="I67:I68"/>
    <mergeCell ref="H67:H6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219"/>
  <sheetViews>
    <sheetView showGridLines="0" zoomScale="120" zoomScaleNormal="120" workbookViewId="0"/>
  </sheetViews>
  <sheetFormatPr baseColWidth="10" defaultColWidth="10.83203125" defaultRowHeight="16" x14ac:dyDescent="0.2"/>
  <cols>
    <col min="1" max="1" width="10.83203125" style="59"/>
    <col min="2" max="2" width="10.83203125" style="59" customWidth="1"/>
    <col min="3" max="3" width="11.83203125" style="59" bestFit="1" customWidth="1"/>
    <col min="4" max="5" width="11.1640625" style="59" bestFit="1" customWidth="1"/>
    <col min="6" max="6" width="14.1640625" style="59" customWidth="1"/>
    <col min="7" max="7" width="11.6640625" style="59" bestFit="1" customWidth="1"/>
    <col min="8" max="16384" width="10.83203125" style="59"/>
  </cols>
  <sheetData>
    <row r="1" spans="1:10" ht="19" x14ac:dyDescent="0.25">
      <c r="A1" s="1" t="s">
        <v>127</v>
      </c>
      <c r="B1" s="57"/>
      <c r="C1" s="57"/>
      <c r="D1" s="57"/>
      <c r="E1" s="57"/>
      <c r="F1" s="57"/>
      <c r="G1" s="57"/>
      <c r="H1" s="57"/>
      <c r="I1" s="57"/>
      <c r="J1" s="58"/>
    </row>
    <row r="2" spans="1:10" x14ac:dyDescent="0.2">
      <c r="A2" s="60"/>
      <c r="B2" s="57"/>
      <c r="C2" s="57"/>
      <c r="D2" s="57"/>
      <c r="E2" s="57"/>
      <c r="F2" s="57"/>
      <c r="G2" s="57"/>
      <c r="H2" s="57"/>
      <c r="I2" s="57"/>
      <c r="J2" s="58"/>
    </row>
    <row r="3" spans="1:10" x14ac:dyDescent="0.2">
      <c r="A3" s="7"/>
      <c r="B3" s="57" t="s">
        <v>59</v>
      </c>
      <c r="C3" s="57"/>
      <c r="D3" s="57"/>
      <c r="E3" s="57"/>
      <c r="F3" s="57"/>
      <c r="G3" s="57"/>
      <c r="H3" s="57"/>
      <c r="I3" s="57"/>
      <c r="J3" s="58"/>
    </row>
    <row r="4" spans="1:10" x14ac:dyDescent="0.2">
      <c r="A4" s="7"/>
      <c r="B4" s="57"/>
      <c r="C4" s="57"/>
      <c r="D4" s="57"/>
      <c r="E4" s="57"/>
      <c r="F4" s="57"/>
      <c r="G4" s="57"/>
      <c r="H4" s="57"/>
      <c r="I4" s="57"/>
      <c r="J4" s="58"/>
    </row>
    <row r="5" spans="1:10" x14ac:dyDescent="0.2">
      <c r="A5" s="7"/>
      <c r="B5" s="57" t="s">
        <v>60</v>
      </c>
      <c r="C5" s="57"/>
      <c r="D5" s="57"/>
      <c r="E5" s="57"/>
      <c r="F5" s="57"/>
      <c r="G5" s="57"/>
      <c r="H5" s="57"/>
      <c r="I5" s="57"/>
      <c r="J5" s="58"/>
    </row>
    <row r="6" spans="1:10" x14ac:dyDescent="0.2">
      <c r="A6" s="7"/>
      <c r="B6" s="57" t="s">
        <v>61</v>
      </c>
      <c r="C6" s="57"/>
      <c r="D6" s="57"/>
      <c r="E6" s="57"/>
      <c r="F6" s="57"/>
      <c r="G6" s="57"/>
      <c r="H6" s="57"/>
      <c r="I6" s="57"/>
      <c r="J6" s="58"/>
    </row>
    <row r="7" spans="1:10" x14ac:dyDescent="0.2">
      <c r="A7" s="7"/>
      <c r="B7" s="57"/>
      <c r="C7" s="57"/>
      <c r="D7" s="57"/>
      <c r="E7" s="57"/>
      <c r="F7" s="57"/>
      <c r="G7" s="57"/>
      <c r="H7" s="57"/>
      <c r="I7" s="57"/>
      <c r="J7" s="58"/>
    </row>
    <row r="8" spans="1:10" x14ac:dyDescent="0.2">
      <c r="A8" s="7"/>
      <c r="B8" s="57" t="s">
        <v>52</v>
      </c>
      <c r="C8" s="57"/>
      <c r="D8" s="57"/>
      <c r="E8" s="57"/>
      <c r="F8" s="57"/>
      <c r="G8" s="57"/>
      <c r="H8" s="57"/>
      <c r="I8" s="57"/>
      <c r="J8" s="58"/>
    </row>
    <row r="9" spans="1:10" x14ac:dyDescent="0.2">
      <c r="A9" s="7"/>
      <c r="B9" s="57"/>
      <c r="C9" s="57"/>
      <c r="D9" s="57"/>
      <c r="E9" s="57"/>
      <c r="F9" s="57"/>
      <c r="G9" s="57"/>
      <c r="H9" s="57"/>
      <c r="I9" s="57"/>
      <c r="J9" s="58"/>
    </row>
    <row r="10" spans="1:10" x14ac:dyDescent="0.2">
      <c r="A10" s="7"/>
      <c r="B10" s="125"/>
      <c r="C10" s="61" t="s">
        <v>35</v>
      </c>
      <c r="D10" s="61" t="s">
        <v>53</v>
      </c>
      <c r="E10" s="62" t="s">
        <v>54</v>
      </c>
      <c r="F10" s="57"/>
      <c r="G10" s="57"/>
      <c r="H10" s="57"/>
      <c r="I10" s="57"/>
      <c r="J10" s="58"/>
    </row>
    <row r="11" spans="1:10" x14ac:dyDescent="0.2">
      <c r="A11" s="7"/>
      <c r="B11" s="126" t="s">
        <v>35</v>
      </c>
      <c r="C11" s="67">
        <v>2.8E-3</v>
      </c>
      <c r="D11" s="67">
        <v>-3.5000000000000001E-3</v>
      </c>
      <c r="E11" s="127">
        <v>0.26479999999999998</v>
      </c>
      <c r="F11" s="57"/>
      <c r="G11" s="57"/>
      <c r="H11" s="57"/>
      <c r="I11" s="57"/>
      <c r="J11" s="58"/>
    </row>
    <row r="12" spans="1:10" x14ac:dyDescent="0.2">
      <c r="A12" s="7"/>
      <c r="B12" s="126" t="s">
        <v>53</v>
      </c>
      <c r="C12" s="67">
        <v>-3.5000000000000001E-3</v>
      </c>
      <c r="D12" s="67">
        <v>9.2999999999999992E-3</v>
      </c>
      <c r="E12" s="127">
        <v>-0.42349999999999999</v>
      </c>
      <c r="F12" s="57"/>
      <c r="G12" s="57"/>
      <c r="H12" s="57"/>
      <c r="I12" s="57"/>
      <c r="J12" s="58"/>
    </row>
    <row r="13" spans="1:10" x14ac:dyDescent="0.2">
      <c r="A13" s="7"/>
      <c r="B13" s="128" t="s">
        <v>54</v>
      </c>
      <c r="C13" s="129">
        <v>0.26479999999999998</v>
      </c>
      <c r="D13" s="129">
        <v>-0.42349999999999999</v>
      </c>
      <c r="E13" s="130">
        <v>31.568100000000001</v>
      </c>
      <c r="F13" s="57"/>
      <c r="G13" s="57"/>
      <c r="H13" s="57"/>
      <c r="I13" s="57"/>
      <c r="J13" s="58"/>
    </row>
    <row r="14" spans="1:10" x14ac:dyDescent="0.2">
      <c r="A14" s="7"/>
      <c r="B14" s="57"/>
      <c r="C14" s="57"/>
      <c r="D14" s="57"/>
      <c r="E14" s="57"/>
      <c r="F14" s="57"/>
      <c r="G14" s="57"/>
      <c r="H14" s="57"/>
      <c r="I14" s="57"/>
      <c r="J14" s="58"/>
    </row>
    <row r="15" spans="1:10" x14ac:dyDescent="0.2">
      <c r="A15" s="7"/>
      <c r="B15" s="57"/>
      <c r="C15" s="57"/>
      <c r="D15" s="57"/>
      <c r="E15" s="57"/>
      <c r="F15" s="57"/>
      <c r="G15" s="57"/>
      <c r="H15" s="57"/>
      <c r="I15" s="57"/>
      <c r="J15" s="58"/>
    </row>
    <row r="16" spans="1:10" x14ac:dyDescent="0.2">
      <c r="A16" s="7"/>
      <c r="B16" s="57" t="s">
        <v>55</v>
      </c>
      <c r="C16" s="57"/>
      <c r="D16" s="57"/>
      <c r="E16" s="57"/>
      <c r="F16" s="57"/>
      <c r="G16" s="57"/>
      <c r="H16" s="57"/>
      <c r="I16" s="57"/>
      <c r="J16" s="58"/>
    </row>
    <row r="17" spans="1:10" ht="17" thickBot="1" x14ac:dyDescent="0.25">
      <c r="A17" s="70"/>
      <c r="B17" s="71"/>
      <c r="C17" s="72"/>
      <c r="D17" s="72"/>
      <c r="E17" s="72"/>
      <c r="F17" s="71"/>
      <c r="G17" s="71"/>
      <c r="H17" s="71"/>
      <c r="I17" s="71"/>
      <c r="J17" s="73"/>
    </row>
    <row r="19" spans="1:10" ht="19" x14ac:dyDescent="0.25">
      <c r="A19" s="2" t="s">
        <v>0</v>
      </c>
    </row>
    <row r="20" spans="1:10" x14ac:dyDescent="0.2">
      <c r="A20" s="21" t="s">
        <v>124</v>
      </c>
      <c r="B20" s="170" t="s">
        <v>213</v>
      </c>
      <c r="C20" s="170"/>
      <c r="D20" s="170"/>
      <c r="E20" s="170"/>
      <c r="F20" s="170"/>
      <c r="G20" s="170"/>
      <c r="H20" s="170"/>
      <c r="I20" s="170"/>
    </row>
    <row r="21" spans="1:10" ht="17" thickBot="1" x14ac:dyDescent="0.25"/>
    <row r="22" spans="1:10" ht="19" thickBot="1" x14ac:dyDescent="0.3">
      <c r="F22" s="76" t="s">
        <v>211</v>
      </c>
      <c r="G22" s="131">
        <f>9600000*0.672</f>
        <v>6451200</v>
      </c>
    </row>
    <row r="24" spans="1:10" x14ac:dyDescent="0.2">
      <c r="A24" s="21" t="s">
        <v>125</v>
      </c>
      <c r="B24" s="170" t="s">
        <v>214</v>
      </c>
      <c r="C24" s="170"/>
      <c r="D24" s="170"/>
      <c r="E24" s="170"/>
      <c r="F24" s="170"/>
      <c r="G24" s="170"/>
      <c r="H24" s="170"/>
      <c r="I24" s="170"/>
    </row>
    <row r="25" spans="1:10" ht="17" thickBot="1" x14ac:dyDescent="0.25"/>
    <row r="26" spans="1:10" ht="17" thickBot="1" x14ac:dyDescent="0.25">
      <c r="F26" s="76" t="s">
        <v>56</v>
      </c>
      <c r="G26" s="132">
        <f>74000*G22</f>
        <v>477388800000</v>
      </c>
    </row>
    <row r="28" spans="1:10" x14ac:dyDescent="0.2">
      <c r="A28" s="21" t="s">
        <v>136</v>
      </c>
      <c r="B28" s="170" t="s">
        <v>215</v>
      </c>
      <c r="C28" s="170"/>
      <c r="D28" s="170"/>
      <c r="E28" s="170"/>
      <c r="F28" s="170"/>
      <c r="G28" s="170"/>
      <c r="H28" s="170"/>
      <c r="I28" s="170"/>
    </row>
    <row r="29" spans="1:10" ht="17" thickBot="1" x14ac:dyDescent="0.25"/>
    <row r="30" spans="1:10" ht="17" thickBot="1" x14ac:dyDescent="0.25">
      <c r="F30" s="76" t="s">
        <v>57</v>
      </c>
      <c r="G30" s="132">
        <f>C11*9600000^2</f>
        <v>258048000000</v>
      </c>
    </row>
    <row r="32" spans="1:10" x14ac:dyDescent="0.2">
      <c r="B32" s="5" t="s">
        <v>171</v>
      </c>
    </row>
    <row r="33" spans="1:9" ht="16" customHeight="1" x14ac:dyDescent="0.2">
      <c r="B33" s="176" t="s">
        <v>217</v>
      </c>
      <c r="C33" s="176"/>
      <c r="D33" s="176"/>
      <c r="E33" s="176"/>
      <c r="F33" s="176"/>
      <c r="G33" s="176"/>
      <c r="H33" s="176"/>
      <c r="I33" s="176"/>
    </row>
    <row r="34" spans="1:9" ht="16" customHeight="1" x14ac:dyDescent="0.2">
      <c r="B34" s="176"/>
      <c r="C34" s="176"/>
      <c r="D34" s="176"/>
      <c r="E34" s="176"/>
      <c r="F34" s="176"/>
      <c r="G34" s="176"/>
      <c r="H34" s="176"/>
      <c r="I34" s="176"/>
    </row>
    <row r="35" spans="1:9" ht="16" customHeight="1" x14ac:dyDescent="0.2">
      <c r="B35" s="176"/>
      <c r="C35" s="176"/>
      <c r="D35" s="176"/>
      <c r="E35" s="176"/>
      <c r="F35" s="176"/>
      <c r="G35" s="176"/>
      <c r="H35" s="176"/>
      <c r="I35" s="176"/>
    </row>
    <row r="36" spans="1:9" ht="16" customHeight="1" x14ac:dyDescent="0.2">
      <c r="B36" s="176"/>
      <c r="C36" s="176"/>
      <c r="D36" s="176"/>
      <c r="E36" s="176"/>
      <c r="F36" s="176"/>
      <c r="G36" s="176"/>
      <c r="H36" s="176"/>
      <c r="I36" s="176"/>
    </row>
    <row r="37" spans="1:9" ht="16" customHeight="1" x14ac:dyDescent="0.2">
      <c r="B37" s="176"/>
      <c r="C37" s="176"/>
      <c r="D37" s="176"/>
      <c r="E37" s="176"/>
      <c r="F37" s="176"/>
      <c r="G37" s="176"/>
      <c r="H37" s="176"/>
      <c r="I37" s="176"/>
    </row>
    <row r="38" spans="1:9" ht="16" customHeight="1" x14ac:dyDescent="0.2">
      <c r="B38" s="176"/>
      <c r="C38" s="176"/>
      <c r="D38" s="176"/>
      <c r="E38" s="176"/>
      <c r="F38" s="176"/>
      <c r="G38" s="176"/>
      <c r="H38" s="176"/>
      <c r="I38" s="176"/>
    </row>
    <row r="39" spans="1:9" ht="16" customHeight="1" x14ac:dyDescent="0.2">
      <c r="B39" s="176"/>
      <c r="C39" s="176"/>
      <c r="D39" s="176"/>
      <c r="E39" s="176"/>
      <c r="F39" s="176"/>
      <c r="G39" s="176"/>
      <c r="H39" s="176"/>
      <c r="I39" s="176"/>
    </row>
    <row r="40" spans="1:9" ht="16" customHeight="1" x14ac:dyDescent="0.2">
      <c r="B40" s="176"/>
      <c r="C40" s="176"/>
      <c r="D40" s="176"/>
      <c r="E40" s="176"/>
      <c r="F40" s="176"/>
      <c r="G40" s="176"/>
      <c r="H40" s="176"/>
      <c r="I40" s="176"/>
    </row>
    <row r="42" spans="1:9" x14ac:dyDescent="0.2">
      <c r="A42" s="21" t="s">
        <v>137</v>
      </c>
      <c r="B42" s="170" t="s">
        <v>216</v>
      </c>
      <c r="C42" s="170"/>
      <c r="D42" s="170"/>
      <c r="E42" s="170"/>
      <c r="F42" s="170"/>
      <c r="G42" s="170"/>
      <c r="H42" s="170"/>
      <c r="I42" s="170"/>
    </row>
    <row r="48" spans="1:9" ht="18" x14ac:dyDescent="0.25">
      <c r="F48" s="75" t="s">
        <v>212</v>
      </c>
      <c r="G48" s="133">
        <f>SQRT(G26+G30)</f>
        <v>857576.11907048814</v>
      </c>
    </row>
    <row r="49" spans="1:12" ht="17" thickBot="1" x14ac:dyDescent="0.25">
      <c r="F49" s="75"/>
      <c r="G49" s="75"/>
    </row>
    <row r="50" spans="1:12" ht="17" thickBot="1" x14ac:dyDescent="0.25">
      <c r="F50" s="55" t="s">
        <v>58</v>
      </c>
      <c r="G50" s="56">
        <f>G48/G22</f>
        <v>0.13293280615551961</v>
      </c>
    </row>
    <row r="51" spans="1:12" x14ac:dyDescent="0.2">
      <c r="C51" s="124"/>
    </row>
    <row r="52" spans="1:12" ht="19" x14ac:dyDescent="0.25">
      <c r="A52" s="2" t="s">
        <v>39</v>
      </c>
      <c r="L52" s="4"/>
    </row>
    <row r="53" spans="1:12" ht="16" customHeight="1" x14ac:dyDescent="0.25">
      <c r="A53" s="2"/>
      <c r="B53" s="176" t="s">
        <v>209</v>
      </c>
      <c r="C53" s="176"/>
      <c r="D53" s="176"/>
      <c r="E53" s="176"/>
      <c r="F53" s="176"/>
      <c r="G53" s="176"/>
      <c r="H53" s="176"/>
      <c r="I53" s="176"/>
      <c r="L53" s="4"/>
    </row>
    <row r="54" spans="1:12" ht="16" customHeight="1" x14ac:dyDescent="0.25">
      <c r="A54" s="2"/>
      <c r="B54" s="176"/>
      <c r="C54" s="176"/>
      <c r="D54" s="176"/>
      <c r="E54" s="176"/>
      <c r="F54" s="176"/>
      <c r="G54" s="176"/>
      <c r="H54" s="176"/>
      <c r="I54" s="176"/>
      <c r="L54" s="4"/>
    </row>
    <row r="55" spans="1:12" ht="16" customHeight="1" x14ac:dyDescent="0.25">
      <c r="A55" s="2"/>
      <c r="B55" s="176"/>
      <c r="C55" s="176"/>
      <c r="D55" s="176"/>
      <c r="E55" s="176"/>
      <c r="F55" s="176"/>
      <c r="G55" s="176"/>
      <c r="H55" s="176"/>
      <c r="I55" s="176"/>
      <c r="L55" s="4"/>
    </row>
    <row r="56" spans="1:12" ht="16" customHeight="1" x14ac:dyDescent="0.25">
      <c r="A56" s="2"/>
      <c r="B56" s="176"/>
      <c r="C56" s="176"/>
      <c r="D56" s="176"/>
      <c r="E56" s="176"/>
      <c r="F56" s="176"/>
      <c r="G56" s="176"/>
      <c r="H56" s="176"/>
      <c r="I56" s="176"/>
      <c r="L56" s="4"/>
    </row>
    <row r="57" spans="1:12" ht="16" customHeight="1" x14ac:dyDescent="0.25">
      <c r="A57" s="2"/>
      <c r="B57" s="176"/>
      <c r="C57" s="176"/>
      <c r="D57" s="176"/>
      <c r="E57" s="176"/>
      <c r="F57" s="176"/>
      <c r="G57" s="176"/>
      <c r="H57" s="176"/>
      <c r="I57" s="176"/>
      <c r="L57" s="4"/>
    </row>
    <row r="58" spans="1:12" ht="16" customHeight="1" x14ac:dyDescent="0.25">
      <c r="A58" s="2"/>
      <c r="B58" s="176"/>
      <c r="C58" s="176"/>
      <c r="D58" s="176"/>
      <c r="E58" s="176"/>
      <c r="F58" s="176"/>
      <c r="G58" s="176"/>
      <c r="H58" s="176"/>
      <c r="I58" s="176"/>
      <c r="L58" s="4"/>
    </row>
    <row r="59" spans="1:12" ht="16" customHeight="1" x14ac:dyDescent="0.25">
      <c r="A59" s="2"/>
      <c r="L59" s="4"/>
    </row>
    <row r="60" spans="1:12" ht="16" customHeight="1" x14ac:dyDescent="0.25">
      <c r="A60" s="2"/>
      <c r="B60" s="20" t="s">
        <v>115</v>
      </c>
      <c r="L60" s="4"/>
    </row>
    <row r="61" spans="1:12" ht="16" customHeight="1" x14ac:dyDescent="0.25">
      <c r="A61" s="2"/>
      <c r="B61" s="176" t="s">
        <v>210</v>
      </c>
      <c r="C61" s="176"/>
      <c r="D61" s="176"/>
      <c r="E61" s="176"/>
      <c r="F61" s="176"/>
      <c r="G61" s="176"/>
      <c r="H61" s="176"/>
      <c r="I61" s="176"/>
      <c r="L61" s="4"/>
    </row>
    <row r="62" spans="1:12" ht="16" customHeight="1" x14ac:dyDescent="0.25">
      <c r="A62" s="2"/>
      <c r="B62" s="176"/>
      <c r="C62" s="176"/>
      <c r="D62" s="176"/>
      <c r="E62" s="176"/>
      <c r="F62" s="176"/>
      <c r="G62" s="176"/>
      <c r="H62" s="176"/>
      <c r="I62" s="176"/>
      <c r="L62" s="4"/>
    </row>
    <row r="63" spans="1:12" ht="16" customHeight="1" x14ac:dyDescent="0.2"/>
    <row r="64" spans="1:12" ht="16" customHeight="1" x14ac:dyDescent="0.2"/>
    <row r="65" spans="1:14" ht="16" customHeight="1" x14ac:dyDescent="0.2"/>
    <row r="66" spans="1:14" ht="16" customHeight="1" x14ac:dyDescent="0.2"/>
    <row r="67" spans="1:14" ht="16" customHeight="1" x14ac:dyDescent="0.2"/>
    <row r="68" spans="1:14" ht="16" customHeight="1" x14ac:dyDescent="0.2"/>
    <row r="69" spans="1:14" ht="16" customHeight="1" x14ac:dyDescent="0.2"/>
    <row r="70" spans="1:14" ht="16" customHeight="1" x14ac:dyDescent="0.2">
      <c r="A70" s="3"/>
      <c r="C70" s="74"/>
    </row>
    <row r="71" spans="1:14" ht="16" customHeight="1" x14ac:dyDescent="0.2"/>
    <row r="72" spans="1:14" ht="16" customHeight="1" x14ac:dyDescent="0.2"/>
    <row r="79" spans="1:14" ht="19" x14ac:dyDescent="0.25">
      <c r="A79" s="2" t="s">
        <v>89</v>
      </c>
      <c r="L79" s="4"/>
      <c r="M79" s="4"/>
      <c r="N79" s="4"/>
    </row>
    <row r="80" spans="1:14" x14ac:dyDescent="0.2">
      <c r="B80" s="59" t="s">
        <v>116</v>
      </c>
      <c r="L80" s="4"/>
      <c r="M80" s="4"/>
      <c r="N80" s="4"/>
    </row>
    <row r="81" spans="1:14" x14ac:dyDescent="0.2">
      <c r="L81" s="4"/>
      <c r="M81" s="4"/>
      <c r="N81" s="4"/>
    </row>
    <row r="82" spans="1:14" ht="19" x14ac:dyDescent="0.25">
      <c r="A82" s="2" t="s">
        <v>91</v>
      </c>
      <c r="L82" s="4"/>
      <c r="M82" s="4"/>
      <c r="N82" s="4"/>
    </row>
    <row r="83" spans="1:14" x14ac:dyDescent="0.2">
      <c r="B83" s="59" t="s">
        <v>117</v>
      </c>
      <c r="D83" s="59" t="s">
        <v>118</v>
      </c>
      <c r="L83" s="4"/>
      <c r="M83" s="4"/>
      <c r="N83" s="4"/>
    </row>
    <row r="84" spans="1:14" x14ac:dyDescent="0.2">
      <c r="L84" s="4"/>
      <c r="M84" s="4"/>
      <c r="N84" s="4"/>
    </row>
    <row r="85" spans="1:14" x14ac:dyDescent="0.2">
      <c r="L85" s="4"/>
      <c r="M85" s="4"/>
      <c r="N85" s="4"/>
    </row>
    <row r="86" spans="1:14" x14ac:dyDescent="0.2">
      <c r="B86" s="186"/>
      <c r="L86" s="4"/>
      <c r="M86" s="4"/>
      <c r="N86" s="4"/>
    </row>
    <row r="87" spans="1:14" x14ac:dyDescent="0.2">
      <c r="B87" s="187"/>
      <c r="M87" s="74"/>
    </row>
    <row r="88" spans="1:14" x14ac:dyDescent="0.2">
      <c r="B88" s="187"/>
      <c r="L88" s="4"/>
      <c r="M88" s="4"/>
      <c r="N88" s="4"/>
    </row>
    <row r="89" spans="1:14" x14ac:dyDescent="0.2">
      <c r="B89" s="187"/>
      <c r="L89" s="4"/>
      <c r="M89" s="4"/>
      <c r="N89" s="4"/>
    </row>
    <row r="90" spans="1:14" x14ac:dyDescent="0.2">
      <c r="B90" s="187"/>
      <c r="L90" s="4"/>
      <c r="M90" s="4"/>
      <c r="N90" s="4"/>
    </row>
    <row r="91" spans="1:14" x14ac:dyDescent="0.2">
      <c r="B91" s="187"/>
      <c r="L91" s="4"/>
      <c r="M91" s="4"/>
      <c r="N91" s="4"/>
    </row>
    <row r="92" spans="1:14" x14ac:dyDescent="0.2">
      <c r="B92" s="187"/>
      <c r="L92" s="4"/>
      <c r="M92" s="4"/>
      <c r="N92" s="4"/>
    </row>
    <row r="93" spans="1:14" x14ac:dyDescent="0.2">
      <c r="B93" s="187"/>
      <c r="L93" s="4"/>
      <c r="M93" s="4"/>
      <c r="N93" s="4"/>
    </row>
    <row r="94" spans="1:14" x14ac:dyDescent="0.2">
      <c r="B94" s="187"/>
      <c r="L94" s="4"/>
      <c r="M94" s="4"/>
      <c r="N94" s="4"/>
    </row>
    <row r="95" spans="1:14" x14ac:dyDescent="0.2">
      <c r="B95" s="187"/>
      <c r="C95" s="187"/>
      <c r="L95" s="4"/>
      <c r="M95" s="4"/>
      <c r="N95" s="4"/>
    </row>
    <row r="96" spans="1:14" x14ac:dyDescent="0.2">
      <c r="B96" s="187"/>
      <c r="C96" s="187"/>
      <c r="L96" s="4"/>
      <c r="M96" s="4"/>
      <c r="N96" s="4"/>
    </row>
    <row r="97" spans="2:14" x14ac:dyDescent="0.2">
      <c r="M97" s="74"/>
    </row>
    <row r="98" spans="2:14" x14ac:dyDescent="0.2">
      <c r="L98" s="4"/>
      <c r="M98" s="4"/>
      <c r="N98" s="4"/>
    </row>
    <row r="99" spans="2:14" x14ac:dyDescent="0.2">
      <c r="L99" s="4"/>
      <c r="M99" s="4"/>
      <c r="N99" s="4"/>
    </row>
    <row r="100" spans="2:14" x14ac:dyDescent="0.2">
      <c r="L100" s="4"/>
      <c r="M100" s="4"/>
      <c r="N100" s="4"/>
    </row>
    <row r="101" spans="2:14" x14ac:dyDescent="0.2">
      <c r="B101" s="187"/>
      <c r="C101" s="187"/>
      <c r="L101" s="4"/>
      <c r="M101" s="4"/>
      <c r="N101" s="4"/>
    </row>
    <row r="102" spans="2:14" x14ac:dyDescent="0.2">
      <c r="B102" s="187"/>
      <c r="C102" s="187"/>
      <c r="L102" s="4"/>
      <c r="M102" s="4"/>
      <c r="N102" s="4"/>
    </row>
    <row r="103" spans="2:14" x14ac:dyDescent="0.2">
      <c r="L103" s="4"/>
      <c r="M103" s="4"/>
      <c r="N103" s="4"/>
    </row>
    <row r="104" spans="2:14" x14ac:dyDescent="0.2">
      <c r="L104" s="4"/>
      <c r="M104" s="4"/>
      <c r="N104" s="4"/>
    </row>
    <row r="105" spans="2:14" x14ac:dyDescent="0.2">
      <c r="L105" s="4"/>
      <c r="M105" s="4"/>
      <c r="N105" s="4"/>
    </row>
    <row r="106" spans="2:14" x14ac:dyDescent="0.2">
      <c r="L106" s="4"/>
      <c r="M106" s="4"/>
      <c r="N106" s="4"/>
    </row>
    <row r="107" spans="2:14" x14ac:dyDescent="0.2">
      <c r="M107" s="74"/>
    </row>
    <row r="108" spans="2:14" x14ac:dyDescent="0.2">
      <c r="L108" s="4"/>
      <c r="M108" s="4"/>
      <c r="N108" s="4"/>
    </row>
    <row r="109" spans="2:14" x14ac:dyDescent="0.2">
      <c r="L109" s="4"/>
      <c r="M109" s="4"/>
      <c r="N109" s="4"/>
    </row>
    <row r="110" spans="2:14" x14ac:dyDescent="0.2">
      <c r="L110" s="4"/>
      <c r="M110" s="4"/>
      <c r="N110" s="4"/>
    </row>
    <row r="111" spans="2:14" x14ac:dyDescent="0.2">
      <c r="L111" s="4"/>
      <c r="M111" s="4"/>
      <c r="N111" s="4"/>
    </row>
    <row r="112" spans="2:14" x14ac:dyDescent="0.2">
      <c r="L112" s="4"/>
      <c r="M112" s="4"/>
      <c r="N112" s="4"/>
    </row>
    <row r="113" spans="1:65" x14ac:dyDescent="0.2">
      <c r="L113" s="4"/>
      <c r="M113" s="4"/>
      <c r="N113" s="4"/>
    </row>
    <row r="114" spans="1:65" x14ac:dyDescent="0.2">
      <c r="L114" s="4"/>
      <c r="M114" s="4"/>
      <c r="N114" s="4"/>
    </row>
    <row r="115" spans="1:65" x14ac:dyDescent="0.2">
      <c r="L115" s="4"/>
      <c r="M115" s="4"/>
      <c r="N115" s="4"/>
    </row>
    <row r="116" spans="1:65" x14ac:dyDescent="0.2">
      <c r="L116" s="4"/>
      <c r="M116" s="4"/>
      <c r="N116" s="4"/>
    </row>
    <row r="117" spans="1:65" x14ac:dyDescent="0.2">
      <c r="M117" s="7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sheetData>
  <mergeCells count="13">
    <mergeCell ref="B53:I58"/>
    <mergeCell ref="B61:I62"/>
    <mergeCell ref="B20:I20"/>
    <mergeCell ref="B24:I24"/>
    <mergeCell ref="B28:I28"/>
    <mergeCell ref="B42:I42"/>
    <mergeCell ref="B33:I40"/>
    <mergeCell ref="B86:B87"/>
    <mergeCell ref="B88:B94"/>
    <mergeCell ref="B95:B96"/>
    <mergeCell ref="C95:C96"/>
    <mergeCell ref="B101:B102"/>
    <mergeCell ref="C101:C102"/>
  </mergeCells>
  <pageMargins left="0.7" right="0.7" top="0.75" bottom="0.75" header="0.3" footer="0.3"/>
  <drawing r:id="rId1"/>
  <legacyDrawing r:id="rId2"/>
  <oleObjects>
    <mc:AlternateContent xmlns:mc="http://schemas.openxmlformats.org/markup-compatibility/2006">
      <mc:Choice Requires="x14">
        <oleObject progId="Equation.DSMT4" shapeId="5122" r:id="rId3">
          <objectPr defaultSize="0" autoPict="0" altText="" r:id="rId4">
            <anchor moveWithCells="1" sizeWithCells="1">
              <from>
                <xdr:col>1</xdr:col>
                <xdr:colOff>215900</xdr:colOff>
                <xdr:row>63</xdr:row>
                <xdr:rowOff>177800</xdr:rowOff>
              </from>
              <to>
                <xdr:col>7</xdr:col>
                <xdr:colOff>190500</xdr:colOff>
                <xdr:row>76</xdr:row>
                <xdr:rowOff>25400</xdr:rowOff>
              </to>
            </anchor>
          </objectPr>
        </oleObject>
      </mc:Choice>
      <mc:Fallback>
        <oleObject progId="Equation.DSMT4" shapeId="5122"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M207"/>
  <sheetViews>
    <sheetView showGridLines="0" zoomScale="120" zoomScaleNormal="120" workbookViewId="0"/>
  </sheetViews>
  <sheetFormatPr baseColWidth="10" defaultColWidth="10.83203125" defaultRowHeight="16" x14ac:dyDescent="0.2"/>
  <cols>
    <col min="1" max="1" width="10.83203125" style="59"/>
    <col min="2" max="3" width="11" style="59" bestFit="1" customWidth="1"/>
    <col min="4" max="4" width="11.6640625" style="59" bestFit="1" customWidth="1"/>
    <col min="5" max="5" width="12" style="59" customWidth="1"/>
    <col min="6" max="8" width="11" style="59" bestFit="1" customWidth="1"/>
    <col min="9" max="9" width="12.1640625" style="59" customWidth="1"/>
    <col min="10" max="10" width="10.83203125" style="59" customWidth="1"/>
    <col min="11" max="16384" width="10.83203125" style="59"/>
  </cols>
  <sheetData>
    <row r="1" spans="1:10" ht="19" x14ac:dyDescent="0.25">
      <c r="A1" s="1" t="s">
        <v>126</v>
      </c>
      <c r="B1" s="57"/>
      <c r="C1" s="57"/>
      <c r="D1" s="57"/>
      <c r="E1" s="57"/>
      <c r="F1" s="57"/>
      <c r="G1" s="57"/>
      <c r="H1" s="57"/>
      <c r="I1" s="57"/>
      <c r="J1" s="58"/>
    </row>
    <row r="2" spans="1:10" x14ac:dyDescent="0.2">
      <c r="A2" s="60"/>
      <c r="B2" s="57"/>
      <c r="C2" s="57"/>
      <c r="D2" s="57"/>
      <c r="E2" s="57"/>
      <c r="F2" s="57"/>
      <c r="G2" s="57"/>
      <c r="H2" s="57"/>
      <c r="I2" s="57"/>
      <c r="J2" s="58"/>
    </row>
    <row r="3" spans="1:10" x14ac:dyDescent="0.2">
      <c r="A3" s="60"/>
      <c r="B3" s="57" t="s">
        <v>218</v>
      </c>
      <c r="C3" s="57"/>
      <c r="D3" s="57"/>
      <c r="E3" s="57"/>
      <c r="F3" s="57"/>
      <c r="G3" s="57"/>
      <c r="H3" s="57"/>
      <c r="I3" s="57"/>
      <c r="J3" s="58"/>
    </row>
    <row r="4" spans="1:10" x14ac:dyDescent="0.2">
      <c r="A4" s="60"/>
      <c r="B4" s="57"/>
      <c r="C4" s="57"/>
      <c r="D4" s="57"/>
      <c r="E4" s="57"/>
      <c r="F4" s="57"/>
      <c r="G4" s="57"/>
      <c r="H4" s="57"/>
      <c r="I4" s="57"/>
      <c r="J4" s="58"/>
    </row>
    <row r="5" spans="1:10" x14ac:dyDescent="0.2">
      <c r="A5" s="60"/>
      <c r="B5" s="57"/>
      <c r="C5" s="194" t="s">
        <v>3</v>
      </c>
      <c r="D5" s="191" t="s">
        <v>62</v>
      </c>
      <c r="E5" s="188" t="s">
        <v>63</v>
      </c>
      <c r="F5" s="57"/>
      <c r="G5" s="57"/>
      <c r="H5" s="57"/>
      <c r="I5" s="57"/>
      <c r="J5" s="58"/>
    </row>
    <row r="6" spans="1:10" x14ac:dyDescent="0.2">
      <c r="A6" s="60"/>
      <c r="B6" s="57"/>
      <c r="C6" s="195"/>
      <c r="D6" s="192"/>
      <c r="E6" s="189"/>
      <c r="F6" s="57"/>
      <c r="G6" s="57"/>
      <c r="H6" s="57"/>
      <c r="I6" s="57"/>
      <c r="J6" s="58"/>
    </row>
    <row r="7" spans="1:10" x14ac:dyDescent="0.2">
      <c r="A7" s="60"/>
      <c r="B7" s="57"/>
      <c r="C7" s="196"/>
      <c r="D7" s="193"/>
      <c r="E7" s="190"/>
      <c r="F7" s="57"/>
      <c r="G7" s="57"/>
      <c r="H7" s="57"/>
      <c r="I7" s="57"/>
      <c r="J7" s="58"/>
    </row>
    <row r="8" spans="1:10" x14ac:dyDescent="0.2">
      <c r="A8" s="60"/>
      <c r="B8" s="57"/>
      <c r="C8" s="114">
        <v>2020</v>
      </c>
      <c r="D8" s="37">
        <v>3100</v>
      </c>
      <c r="E8" s="38">
        <v>3339</v>
      </c>
      <c r="F8" s="57"/>
      <c r="G8" s="57"/>
      <c r="H8" s="57"/>
      <c r="I8" s="57"/>
      <c r="J8" s="58"/>
    </row>
    <row r="9" spans="1:10" x14ac:dyDescent="0.2">
      <c r="A9" s="60"/>
      <c r="B9" s="57"/>
      <c r="C9" s="115">
        <v>2021</v>
      </c>
      <c r="D9" s="39">
        <v>3300</v>
      </c>
      <c r="E9" s="40">
        <v>4143</v>
      </c>
      <c r="F9" s="57"/>
      <c r="G9" s="57"/>
      <c r="H9" s="57"/>
      <c r="I9" s="57"/>
      <c r="J9" s="58"/>
    </row>
    <row r="10" spans="1:10" x14ac:dyDescent="0.2">
      <c r="A10" s="60"/>
      <c r="B10" s="57"/>
      <c r="C10" s="115">
        <v>2022</v>
      </c>
      <c r="D10" s="39">
        <v>2600</v>
      </c>
      <c r="E10" s="40">
        <v>4972</v>
      </c>
      <c r="F10" s="57"/>
      <c r="G10" s="57"/>
      <c r="H10" s="57"/>
      <c r="I10" s="57"/>
      <c r="J10" s="58"/>
    </row>
    <row r="11" spans="1:10" x14ac:dyDescent="0.2">
      <c r="A11" s="60"/>
      <c r="B11" s="57"/>
      <c r="C11" s="116">
        <v>2023</v>
      </c>
      <c r="D11" s="41">
        <v>600</v>
      </c>
      <c r="E11" s="42">
        <v>4520</v>
      </c>
      <c r="F11" s="57"/>
      <c r="G11" s="57"/>
      <c r="H11" s="57"/>
      <c r="I11" s="57"/>
      <c r="J11" s="58"/>
    </row>
    <row r="12" spans="1:10" x14ac:dyDescent="0.2">
      <c r="A12" s="60"/>
      <c r="B12" s="57"/>
      <c r="C12" s="57"/>
      <c r="D12" s="57"/>
      <c r="E12" s="57"/>
      <c r="F12" s="57"/>
      <c r="G12" s="57"/>
      <c r="H12" s="57"/>
      <c r="I12" s="57"/>
      <c r="J12" s="58"/>
    </row>
    <row r="13" spans="1:10" x14ac:dyDescent="0.2">
      <c r="A13" s="60"/>
      <c r="B13" s="57"/>
      <c r="C13" s="57"/>
      <c r="D13" s="57"/>
      <c r="E13" s="57"/>
      <c r="F13" s="57"/>
      <c r="G13" s="57"/>
      <c r="H13" s="57"/>
      <c r="I13" s="57"/>
      <c r="J13" s="58"/>
    </row>
    <row r="14" spans="1:10" x14ac:dyDescent="0.2">
      <c r="A14" s="60"/>
      <c r="B14" s="57" t="s">
        <v>64</v>
      </c>
      <c r="C14" s="57"/>
      <c r="D14" s="57"/>
      <c r="E14" s="57"/>
      <c r="F14" s="57"/>
      <c r="G14" s="57"/>
      <c r="H14" s="57"/>
      <c r="I14" s="57"/>
      <c r="J14" s="58"/>
    </row>
    <row r="15" spans="1:10" x14ac:dyDescent="0.2">
      <c r="A15" s="60"/>
      <c r="B15" s="57"/>
      <c r="C15" s="57"/>
      <c r="D15" s="57"/>
      <c r="E15" s="57"/>
      <c r="F15" s="57"/>
      <c r="G15" s="57"/>
      <c r="H15" s="57"/>
      <c r="I15" s="57"/>
      <c r="J15" s="58"/>
    </row>
    <row r="16" spans="1:10" x14ac:dyDescent="0.2">
      <c r="A16" s="60"/>
      <c r="B16" s="57"/>
      <c r="C16" s="66" t="s">
        <v>8</v>
      </c>
      <c r="D16" s="67">
        <v>22</v>
      </c>
      <c r="E16" s="57"/>
      <c r="F16" s="57"/>
      <c r="G16" s="57"/>
      <c r="H16" s="57"/>
      <c r="I16" s="57"/>
      <c r="J16" s="58"/>
    </row>
    <row r="17" spans="1:10" x14ac:dyDescent="0.2">
      <c r="A17" s="60"/>
      <c r="B17" s="57"/>
      <c r="C17" s="66" t="s">
        <v>9</v>
      </c>
      <c r="D17" s="67">
        <v>1.5</v>
      </c>
      <c r="E17" s="57"/>
      <c r="F17" s="57"/>
      <c r="G17" s="57"/>
      <c r="H17" s="57"/>
      <c r="I17" s="57"/>
      <c r="J17" s="58"/>
    </row>
    <row r="18" spans="1:10" x14ac:dyDescent="0.2">
      <c r="A18" s="60"/>
      <c r="B18" s="57"/>
      <c r="C18" s="57"/>
      <c r="D18" s="57"/>
      <c r="E18" s="57"/>
      <c r="F18" s="57"/>
      <c r="G18" s="57"/>
      <c r="H18" s="57"/>
      <c r="I18" s="57"/>
      <c r="J18" s="58"/>
    </row>
    <row r="19" spans="1:10" x14ac:dyDescent="0.2">
      <c r="A19" s="60"/>
      <c r="B19" s="68" t="s">
        <v>134</v>
      </c>
      <c r="C19" s="57"/>
      <c r="D19" s="57"/>
      <c r="E19" s="57"/>
      <c r="F19" s="57"/>
      <c r="G19" s="69">
        <v>30770</v>
      </c>
      <c r="H19" s="57"/>
      <c r="I19" s="57"/>
      <c r="J19" s="58"/>
    </row>
    <row r="20" spans="1:10" x14ac:dyDescent="0.2">
      <c r="A20" s="60"/>
      <c r="B20" s="68" t="s">
        <v>135</v>
      </c>
      <c r="C20" s="57"/>
      <c r="D20" s="57"/>
      <c r="E20" s="57"/>
      <c r="F20" s="57"/>
      <c r="G20" s="69">
        <v>500000</v>
      </c>
      <c r="H20" s="57"/>
      <c r="I20" s="57"/>
      <c r="J20" s="58"/>
    </row>
    <row r="21" spans="1:10" x14ac:dyDescent="0.2">
      <c r="A21" s="60"/>
      <c r="B21" s="57"/>
      <c r="C21" s="57"/>
      <c r="D21" s="57"/>
      <c r="E21" s="57"/>
      <c r="F21" s="57"/>
      <c r="G21" s="57"/>
      <c r="H21" s="57"/>
      <c r="I21" s="57"/>
      <c r="J21" s="58"/>
    </row>
    <row r="22" spans="1:10" x14ac:dyDescent="0.2">
      <c r="A22" s="60"/>
      <c r="B22" s="57"/>
      <c r="C22" s="57"/>
      <c r="D22" s="57"/>
      <c r="E22" s="57"/>
      <c r="F22" s="57"/>
      <c r="G22" s="57"/>
      <c r="H22" s="57"/>
      <c r="I22" s="57"/>
      <c r="J22" s="58"/>
    </row>
    <row r="23" spans="1:10" x14ac:dyDescent="0.2">
      <c r="A23" s="60"/>
      <c r="B23" s="57" t="s">
        <v>65</v>
      </c>
      <c r="C23" s="57"/>
      <c r="D23" s="57"/>
      <c r="E23" s="57"/>
      <c r="F23" s="57"/>
      <c r="G23" s="57"/>
      <c r="H23" s="57"/>
      <c r="I23" s="57"/>
      <c r="J23" s="58"/>
    </row>
    <row r="24" spans="1:10" ht="17" thickBot="1" x14ac:dyDescent="0.25">
      <c r="A24" s="70"/>
      <c r="B24" s="71"/>
      <c r="C24" s="72"/>
      <c r="D24" s="72"/>
      <c r="E24" s="72"/>
      <c r="F24" s="71"/>
      <c r="G24" s="71"/>
      <c r="H24" s="71"/>
      <c r="I24" s="71"/>
      <c r="J24" s="73"/>
    </row>
    <row r="26" spans="1:10" ht="19" x14ac:dyDescent="0.25">
      <c r="A26" s="2" t="s">
        <v>0</v>
      </c>
    </row>
    <row r="27" spans="1:10" x14ac:dyDescent="0.2">
      <c r="A27" s="21" t="s">
        <v>124</v>
      </c>
      <c r="B27" s="170" t="s">
        <v>219</v>
      </c>
      <c r="C27" s="170"/>
      <c r="D27" s="170"/>
      <c r="E27" s="170"/>
      <c r="F27" s="170"/>
      <c r="G27" s="170"/>
      <c r="H27" s="170"/>
      <c r="I27" s="170"/>
    </row>
    <row r="28" spans="1:10" x14ac:dyDescent="0.2">
      <c r="A28" s="21"/>
      <c r="B28" s="170"/>
      <c r="C28" s="170"/>
      <c r="D28" s="170"/>
      <c r="E28" s="170"/>
      <c r="F28" s="170"/>
      <c r="G28" s="170"/>
      <c r="H28" s="170"/>
      <c r="I28" s="170"/>
    </row>
    <row r="29" spans="1:10" x14ac:dyDescent="0.2">
      <c r="A29" s="21"/>
      <c r="B29" s="48"/>
      <c r="C29" s="48"/>
      <c r="D29" s="48"/>
      <c r="E29" s="48"/>
      <c r="F29" s="48"/>
      <c r="G29" s="48"/>
      <c r="H29" s="48"/>
      <c r="I29" s="48"/>
    </row>
    <row r="30" spans="1:10" x14ac:dyDescent="0.2">
      <c r="A30" s="21"/>
      <c r="B30" s="59" t="s">
        <v>166</v>
      </c>
      <c r="C30" s="74"/>
    </row>
    <row r="31" spans="1:10" x14ac:dyDescent="0.2">
      <c r="A31" s="21"/>
      <c r="B31" s="5"/>
      <c r="C31" s="74"/>
    </row>
    <row r="32" spans="1:10" x14ac:dyDescent="0.2">
      <c r="A32" s="21"/>
      <c r="B32" s="5"/>
      <c r="C32" s="74"/>
    </row>
    <row r="33" spans="1:12" x14ac:dyDescent="0.2">
      <c r="A33" s="21"/>
      <c r="B33" s="5"/>
      <c r="C33" s="74"/>
    </row>
    <row r="34" spans="1:12" x14ac:dyDescent="0.2">
      <c r="A34" s="21"/>
      <c r="B34" s="5"/>
      <c r="C34" s="59" t="s">
        <v>176</v>
      </c>
    </row>
    <row r="35" spans="1:12" x14ac:dyDescent="0.2">
      <c r="A35" s="21"/>
      <c r="C35" s="74"/>
    </row>
    <row r="36" spans="1:12" x14ac:dyDescent="0.2">
      <c r="A36" s="21" t="s">
        <v>125</v>
      </c>
      <c r="B36" s="5" t="s">
        <v>220</v>
      </c>
      <c r="C36" s="74"/>
    </row>
    <row r="37" spans="1:12" x14ac:dyDescent="0.2">
      <c r="L37" s="4"/>
    </row>
    <row r="38" spans="1:12" x14ac:dyDescent="0.2">
      <c r="B38" s="59" t="s">
        <v>221</v>
      </c>
      <c r="L38" s="4"/>
    </row>
    <row r="39" spans="1:12" x14ac:dyDescent="0.2">
      <c r="L39" s="4"/>
    </row>
    <row r="40" spans="1:12" x14ac:dyDescent="0.2">
      <c r="L40" s="4"/>
    </row>
    <row r="41" spans="1:12" x14ac:dyDescent="0.2">
      <c r="L41" s="4"/>
    </row>
    <row r="42" spans="1:12" x14ac:dyDescent="0.2">
      <c r="B42" s="59" t="s">
        <v>222</v>
      </c>
      <c r="L42" s="4"/>
    </row>
    <row r="43" spans="1:12" x14ac:dyDescent="0.2">
      <c r="L43" s="4"/>
    </row>
    <row r="44" spans="1:12" x14ac:dyDescent="0.2">
      <c r="L44" s="4"/>
    </row>
    <row r="45" spans="1:12" x14ac:dyDescent="0.2">
      <c r="B45" s="75"/>
      <c r="C45" s="75"/>
      <c r="D45" s="75"/>
      <c r="E45" s="157" t="s">
        <v>69</v>
      </c>
      <c r="F45" s="75"/>
      <c r="G45" s="75"/>
      <c r="H45" s="75"/>
      <c r="I45" s="75"/>
      <c r="L45" s="4"/>
    </row>
    <row r="46" spans="1:12" x14ac:dyDescent="0.2">
      <c r="B46" s="75"/>
      <c r="C46" s="157" t="s">
        <v>67</v>
      </c>
      <c r="D46" s="75"/>
      <c r="E46" s="157"/>
      <c r="F46" s="75"/>
      <c r="G46" s="75"/>
      <c r="H46" s="83"/>
      <c r="I46" s="157" t="s">
        <v>223</v>
      </c>
      <c r="L46" s="4"/>
    </row>
    <row r="47" spans="1:12" ht="17" x14ac:dyDescent="0.2">
      <c r="B47" s="78" t="s">
        <v>11</v>
      </c>
      <c r="C47" s="162"/>
      <c r="D47" s="79" t="s">
        <v>68</v>
      </c>
      <c r="E47" s="162"/>
      <c r="F47" s="79" t="s">
        <v>14</v>
      </c>
      <c r="G47" s="79" t="s">
        <v>66</v>
      </c>
      <c r="H47" s="81" t="s">
        <v>43</v>
      </c>
      <c r="I47" s="162"/>
      <c r="K47" s="4"/>
      <c r="L47" s="4"/>
    </row>
    <row r="48" spans="1:12" x14ac:dyDescent="0.2">
      <c r="B48" s="83">
        <f t="shared" ref="B48:C51" si="0">C8</f>
        <v>2020</v>
      </c>
      <c r="C48" s="86">
        <f t="shared" si="0"/>
        <v>3100</v>
      </c>
      <c r="D48" s="75">
        <f t="shared" ref="D48:D50" si="1">D49+12</f>
        <v>42</v>
      </c>
      <c r="E48" s="75">
        <f>D48+12</f>
        <v>54</v>
      </c>
      <c r="F48" s="84">
        <f>1-EXP(-((D48/$D$16)^$D$17))</f>
        <v>0.92848071596649262</v>
      </c>
      <c r="G48" s="84">
        <f>1-EXP(-((E48/$D$16)^$D$17))</f>
        <v>0.97862500872776459</v>
      </c>
      <c r="H48" s="87">
        <f>E8</f>
        <v>3339</v>
      </c>
      <c r="I48" s="86">
        <f>H48*(G48-F48)</f>
        <v>167.4317935298871</v>
      </c>
      <c r="K48" s="4"/>
      <c r="L48" s="4"/>
    </row>
    <row r="49" spans="1:14" x14ac:dyDescent="0.2">
      <c r="B49" s="83">
        <f t="shared" si="0"/>
        <v>2021</v>
      </c>
      <c r="C49" s="86">
        <f t="shared" si="0"/>
        <v>3300</v>
      </c>
      <c r="D49" s="75">
        <f t="shared" si="1"/>
        <v>30</v>
      </c>
      <c r="E49" s="75">
        <f t="shared" ref="E49:E51" si="2">D49+12</f>
        <v>42</v>
      </c>
      <c r="F49" s="84">
        <f t="shared" ref="F49:F51" si="3">1-EXP(-((D49/$D$16)^$D$17))</f>
        <v>0.79656000937827431</v>
      </c>
      <c r="G49" s="84">
        <f t="shared" ref="G49:G51" si="4">1-EXP(-((E49/$D$16)^$D$17))</f>
        <v>0.92848071596649262</v>
      </c>
      <c r="H49" s="87">
        <f>E9</f>
        <v>4143</v>
      </c>
      <c r="I49" s="86">
        <f>H49*(G49-F49)</f>
        <v>546.54748739498848</v>
      </c>
      <c r="K49" s="4"/>
      <c r="L49" s="4"/>
    </row>
    <row r="50" spans="1:14" x14ac:dyDescent="0.2">
      <c r="B50" s="83">
        <f t="shared" si="0"/>
        <v>2022</v>
      </c>
      <c r="C50" s="86">
        <f t="shared" si="0"/>
        <v>2600</v>
      </c>
      <c r="D50" s="75">
        <f t="shared" si="1"/>
        <v>18</v>
      </c>
      <c r="E50" s="75">
        <f t="shared" si="2"/>
        <v>30</v>
      </c>
      <c r="F50" s="84">
        <f t="shared" si="3"/>
        <v>0.52292105580338277</v>
      </c>
      <c r="G50" s="84">
        <f t="shared" si="4"/>
        <v>0.79656000937827431</v>
      </c>
      <c r="H50" s="87">
        <f>E10</f>
        <v>4972</v>
      </c>
      <c r="I50" s="86">
        <f t="shared" ref="I49:I51" si="5">H50*(G50-F50)</f>
        <v>1360.5328771743607</v>
      </c>
      <c r="K50" s="4"/>
      <c r="L50" s="4"/>
    </row>
    <row r="51" spans="1:14" x14ac:dyDescent="0.2">
      <c r="B51" s="88">
        <f t="shared" si="0"/>
        <v>2023</v>
      </c>
      <c r="C51" s="92">
        <f t="shared" si="0"/>
        <v>600</v>
      </c>
      <c r="D51" s="89">
        <f>12-6</f>
        <v>6</v>
      </c>
      <c r="E51" s="89">
        <f t="shared" si="2"/>
        <v>18</v>
      </c>
      <c r="F51" s="90">
        <f t="shared" si="3"/>
        <v>0.13274928878739578</v>
      </c>
      <c r="G51" s="90">
        <f t="shared" si="4"/>
        <v>0.52292105580338277</v>
      </c>
      <c r="H51" s="93">
        <f>E11</f>
        <v>4520</v>
      </c>
      <c r="I51" s="92">
        <f t="shared" si="5"/>
        <v>1763.5763869122611</v>
      </c>
      <c r="K51" s="4"/>
      <c r="L51" s="4"/>
    </row>
    <row r="52" spans="1:14" x14ac:dyDescent="0.2">
      <c r="B52" s="83"/>
      <c r="C52" s="75"/>
      <c r="D52" s="75"/>
      <c r="E52" s="75"/>
      <c r="F52" s="75"/>
      <c r="G52" s="85"/>
      <c r="H52" s="87">
        <f t="shared" ref="H52" si="6">SUM(H48:H51)</f>
        <v>16974</v>
      </c>
      <c r="I52" s="86">
        <f>SUM(I48:I51)</f>
        <v>3838.0885450114974</v>
      </c>
      <c r="L52" s="4"/>
    </row>
    <row r="53" spans="1:14" x14ac:dyDescent="0.2">
      <c r="L53" s="4"/>
    </row>
    <row r="54" spans="1:14" x14ac:dyDescent="0.2">
      <c r="A54" s="21" t="s">
        <v>136</v>
      </c>
      <c r="B54" s="5" t="s">
        <v>224</v>
      </c>
      <c r="L54" s="4"/>
      <c r="M54" s="4"/>
      <c r="N54" s="4"/>
    </row>
    <row r="55" spans="1:14" x14ac:dyDescent="0.2">
      <c r="L55" s="4"/>
      <c r="M55" s="4"/>
      <c r="N55" s="4"/>
    </row>
    <row r="56" spans="1:14" x14ac:dyDescent="0.2">
      <c r="L56" s="4"/>
      <c r="M56" s="4"/>
      <c r="N56" s="4"/>
    </row>
    <row r="57" spans="1:14" ht="17" thickBot="1" x14ac:dyDescent="0.25">
      <c r="D57" s="105"/>
      <c r="L57" s="4"/>
      <c r="M57" s="4"/>
      <c r="N57" s="4"/>
    </row>
    <row r="58" spans="1:14" ht="17" thickBot="1" x14ac:dyDescent="0.25">
      <c r="C58" s="106" t="s">
        <v>56</v>
      </c>
      <c r="D58" s="123">
        <f>I52*1000*G19</f>
        <v>118097984530.00378</v>
      </c>
      <c r="L58" s="4"/>
      <c r="M58" s="4"/>
      <c r="N58" s="4"/>
    </row>
    <row r="59" spans="1:14" x14ac:dyDescent="0.2">
      <c r="D59" s="105"/>
      <c r="L59" s="4"/>
      <c r="M59" s="4"/>
      <c r="N59" s="4"/>
    </row>
    <row r="60" spans="1:14" x14ac:dyDescent="0.2">
      <c r="A60" s="21" t="s">
        <v>137</v>
      </c>
      <c r="B60" s="5" t="s">
        <v>225</v>
      </c>
      <c r="D60" s="105"/>
      <c r="L60" s="4"/>
      <c r="M60" s="4"/>
      <c r="N60" s="4"/>
    </row>
    <row r="61" spans="1:14" x14ac:dyDescent="0.2">
      <c r="A61" s="21"/>
      <c r="B61" s="5"/>
      <c r="D61" s="105"/>
      <c r="L61" s="4"/>
      <c r="M61" s="4"/>
      <c r="N61" s="4"/>
    </row>
    <row r="62" spans="1:14" x14ac:dyDescent="0.2">
      <c r="A62" s="21"/>
      <c r="B62" s="5"/>
      <c r="D62" s="105"/>
      <c r="L62" s="4"/>
      <c r="M62" s="4"/>
      <c r="N62" s="4"/>
    </row>
    <row r="63" spans="1:14" x14ac:dyDescent="0.2">
      <c r="L63" s="4"/>
      <c r="M63" s="74"/>
    </row>
    <row r="64" spans="1:14" x14ac:dyDescent="0.2">
      <c r="C64" s="59" t="s">
        <v>21</v>
      </c>
      <c r="E64" s="124">
        <f>G20^2</f>
        <v>250000000000</v>
      </c>
      <c r="L64" s="4"/>
      <c r="M64" s="4"/>
      <c r="N64" s="4"/>
    </row>
    <row r="65" spans="1:14" ht="17" thickBot="1" x14ac:dyDescent="0.25">
      <c r="E65" s="98"/>
      <c r="L65" s="4"/>
      <c r="M65" s="4"/>
      <c r="N65" s="4"/>
    </row>
    <row r="66" spans="1:14" ht="17" thickBot="1" x14ac:dyDescent="0.25">
      <c r="C66" s="197" t="s">
        <v>245</v>
      </c>
      <c r="D66" s="108"/>
      <c r="E66" s="19">
        <f>SQRT(D58+E64)</f>
        <v>606710.79150613747</v>
      </c>
      <c r="F66" s="103"/>
      <c r="L66" s="4"/>
      <c r="M66" s="4"/>
      <c r="N66" s="4"/>
    </row>
    <row r="68" spans="1:14" ht="19" x14ac:dyDescent="0.25">
      <c r="A68" s="2" t="s">
        <v>39</v>
      </c>
      <c r="L68" s="4"/>
      <c r="M68" s="4"/>
      <c r="N68" s="4"/>
    </row>
    <row r="69" spans="1:14" x14ac:dyDescent="0.2">
      <c r="B69" s="176" t="s">
        <v>226</v>
      </c>
      <c r="C69" s="176"/>
      <c r="D69" s="176"/>
      <c r="E69" s="176"/>
      <c r="F69" s="176"/>
      <c r="G69" s="176"/>
      <c r="H69" s="176"/>
      <c r="I69" s="176"/>
      <c r="L69" s="4"/>
      <c r="M69" s="4"/>
      <c r="N69" s="4"/>
    </row>
    <row r="70" spans="1:14" x14ac:dyDescent="0.2">
      <c r="B70" s="176"/>
      <c r="C70" s="176"/>
      <c r="D70" s="176"/>
      <c r="E70" s="176"/>
      <c r="F70" s="176"/>
      <c r="G70" s="176"/>
      <c r="H70" s="176"/>
      <c r="I70" s="176"/>
      <c r="L70" s="4"/>
      <c r="M70" s="4"/>
      <c r="N70" s="4"/>
    </row>
    <row r="71" spans="1:14" x14ac:dyDescent="0.2">
      <c r="B71" s="176"/>
      <c r="C71" s="176"/>
      <c r="D71" s="176"/>
      <c r="E71" s="176"/>
      <c r="F71" s="176"/>
      <c r="G71" s="176"/>
      <c r="H71" s="176"/>
      <c r="I71" s="176"/>
      <c r="L71" s="4"/>
      <c r="M71" s="4"/>
      <c r="N71" s="4"/>
    </row>
    <row r="72" spans="1:14" x14ac:dyDescent="0.2">
      <c r="B72" s="176"/>
      <c r="C72" s="176"/>
      <c r="D72" s="176"/>
      <c r="E72" s="176"/>
      <c r="F72" s="176"/>
      <c r="G72" s="176"/>
      <c r="H72" s="176"/>
      <c r="I72" s="176"/>
      <c r="L72" s="4"/>
      <c r="M72" s="4"/>
      <c r="N72" s="4"/>
    </row>
    <row r="73" spans="1:14" x14ac:dyDescent="0.2">
      <c r="B73" s="176"/>
      <c r="C73" s="176"/>
      <c r="D73" s="176"/>
      <c r="E73" s="176"/>
      <c r="F73" s="176"/>
      <c r="G73" s="176"/>
      <c r="H73" s="176"/>
      <c r="I73" s="176"/>
      <c r="L73" s="4"/>
      <c r="M73" s="4"/>
      <c r="N73" s="4"/>
    </row>
    <row r="74" spans="1:14" x14ac:dyDescent="0.2">
      <c r="L74" s="4"/>
      <c r="M74" s="4"/>
      <c r="N74" s="4"/>
    </row>
    <row r="75" spans="1:14" ht="19" x14ac:dyDescent="0.25">
      <c r="A75" s="2" t="s">
        <v>89</v>
      </c>
      <c r="M75" s="74"/>
    </row>
    <row r="76" spans="1:14" x14ac:dyDescent="0.2">
      <c r="B76" s="59" t="s">
        <v>119</v>
      </c>
      <c r="L76" s="4"/>
      <c r="M76" s="4"/>
      <c r="N76" s="4"/>
    </row>
    <row r="77" spans="1:14" x14ac:dyDescent="0.2">
      <c r="L77" s="4"/>
      <c r="M77" s="4"/>
      <c r="N77" s="4"/>
    </row>
    <row r="78" spans="1:14" ht="19" x14ac:dyDescent="0.25">
      <c r="A78" s="2" t="s">
        <v>91</v>
      </c>
      <c r="L78" s="4"/>
      <c r="M78" s="4"/>
      <c r="N78" s="4"/>
    </row>
    <row r="79" spans="1:14" x14ac:dyDescent="0.2">
      <c r="B79" s="59" t="s">
        <v>120</v>
      </c>
      <c r="L79" s="4"/>
      <c r="M79" s="4"/>
      <c r="N79" s="4"/>
    </row>
    <row r="80" spans="1:14" x14ac:dyDescent="0.2">
      <c r="L80" s="4"/>
      <c r="M80" s="4"/>
      <c r="N80" s="4"/>
    </row>
    <row r="81" spans="12:14" x14ac:dyDescent="0.2">
      <c r="L81" s="4"/>
      <c r="M81" s="4"/>
      <c r="N81" s="4"/>
    </row>
    <row r="82" spans="12:14" x14ac:dyDescent="0.2">
      <c r="L82" s="4"/>
      <c r="M82" s="4"/>
      <c r="N82" s="4"/>
    </row>
    <row r="83" spans="12:14" x14ac:dyDescent="0.2">
      <c r="L83" s="4"/>
      <c r="M83" s="4"/>
      <c r="N83" s="4"/>
    </row>
    <row r="84" spans="12:14" x14ac:dyDescent="0.2">
      <c r="L84" s="4"/>
      <c r="M84" s="4"/>
      <c r="N84" s="4"/>
    </row>
    <row r="85" spans="12:14" x14ac:dyDescent="0.2">
      <c r="M85" s="74"/>
    </row>
    <row r="86" spans="12:14" x14ac:dyDescent="0.2">
      <c r="L86" s="4"/>
      <c r="M86" s="4"/>
      <c r="N86" s="4"/>
    </row>
    <row r="87" spans="12:14" x14ac:dyDescent="0.2">
      <c r="L87" s="4"/>
      <c r="M87" s="4"/>
      <c r="N87" s="4"/>
    </row>
    <row r="88" spans="12:14" x14ac:dyDescent="0.2">
      <c r="L88" s="4"/>
      <c r="M88" s="4"/>
      <c r="N88" s="4"/>
    </row>
    <row r="89" spans="12:14" x14ac:dyDescent="0.2">
      <c r="L89" s="4"/>
      <c r="M89" s="4"/>
      <c r="N89" s="4"/>
    </row>
    <row r="90" spans="12:14" x14ac:dyDescent="0.2">
      <c r="L90" s="4"/>
      <c r="M90" s="4"/>
      <c r="N90" s="4"/>
    </row>
    <row r="91" spans="12:14" x14ac:dyDescent="0.2">
      <c r="L91" s="4"/>
      <c r="M91" s="4"/>
      <c r="N91" s="4"/>
    </row>
    <row r="92" spans="12:14" x14ac:dyDescent="0.2">
      <c r="L92" s="4"/>
      <c r="M92" s="4"/>
      <c r="N92" s="4"/>
    </row>
    <row r="93" spans="12:14" x14ac:dyDescent="0.2">
      <c r="L93" s="4"/>
      <c r="M93" s="4"/>
      <c r="N93" s="4"/>
    </row>
    <row r="94" spans="12:14" x14ac:dyDescent="0.2">
      <c r="L94" s="4"/>
      <c r="M94" s="4"/>
      <c r="N94" s="4"/>
    </row>
    <row r="95" spans="12:14" x14ac:dyDescent="0.2">
      <c r="M95" s="74"/>
    </row>
    <row r="96" spans="12:14" x14ac:dyDescent="0.2">
      <c r="L96" s="4"/>
      <c r="M96" s="4"/>
      <c r="N96" s="4"/>
    </row>
    <row r="97" spans="1:65" x14ac:dyDescent="0.2">
      <c r="L97" s="4"/>
      <c r="M97" s="4"/>
      <c r="N97" s="4"/>
    </row>
    <row r="98" spans="1:65" x14ac:dyDescent="0.2">
      <c r="L98" s="4"/>
      <c r="M98" s="4"/>
      <c r="N98" s="4"/>
    </row>
    <row r="99" spans="1:65" x14ac:dyDescent="0.2">
      <c r="L99" s="4"/>
      <c r="M99" s="4"/>
      <c r="N99" s="4"/>
    </row>
    <row r="100" spans="1:65" x14ac:dyDescent="0.2">
      <c r="L100" s="4"/>
      <c r="M100" s="4"/>
      <c r="N100" s="4"/>
    </row>
    <row r="101" spans="1:65" x14ac:dyDescent="0.2">
      <c r="L101" s="4"/>
      <c r="M101" s="4"/>
      <c r="N101" s="4"/>
    </row>
    <row r="102" spans="1:65" x14ac:dyDescent="0.2">
      <c r="L102" s="4"/>
      <c r="M102" s="4"/>
      <c r="N102" s="4"/>
    </row>
    <row r="103" spans="1:65" x14ac:dyDescent="0.2">
      <c r="L103" s="4"/>
      <c r="M103" s="4"/>
      <c r="N103" s="4"/>
    </row>
    <row r="104" spans="1:65" x14ac:dyDescent="0.2">
      <c r="L104" s="4"/>
      <c r="M104" s="4"/>
      <c r="N104" s="4"/>
    </row>
    <row r="105" spans="1:65" x14ac:dyDescent="0.2">
      <c r="M105" s="7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sheetData>
  <mergeCells count="8">
    <mergeCell ref="B69:I73"/>
    <mergeCell ref="E5:E7"/>
    <mergeCell ref="D5:D7"/>
    <mergeCell ref="C5:C7"/>
    <mergeCell ref="C46:C47"/>
    <mergeCell ref="I46:I47"/>
    <mergeCell ref="E45:E47"/>
    <mergeCell ref="B27:I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188"/>
  <sheetViews>
    <sheetView showGridLines="0" zoomScale="120" zoomScaleNormal="120" workbookViewId="0"/>
  </sheetViews>
  <sheetFormatPr baseColWidth="10" defaultColWidth="10.83203125" defaultRowHeight="16" x14ac:dyDescent="0.2"/>
  <cols>
    <col min="1" max="1" width="10.83203125" style="59"/>
    <col min="2" max="2" width="12.6640625" style="59" customWidth="1"/>
    <col min="3" max="16384" width="10.83203125" style="59"/>
  </cols>
  <sheetData>
    <row r="1" spans="1:10" ht="19" x14ac:dyDescent="0.25">
      <c r="A1" s="1" t="s">
        <v>131</v>
      </c>
      <c r="B1" s="57"/>
      <c r="C1" s="57"/>
      <c r="D1" s="57"/>
      <c r="E1" s="57"/>
      <c r="F1" s="57"/>
      <c r="G1" s="57"/>
      <c r="H1" s="57"/>
      <c r="I1" s="57"/>
      <c r="J1" s="58"/>
    </row>
    <row r="2" spans="1:10" x14ac:dyDescent="0.2">
      <c r="A2" s="60"/>
      <c r="B2" s="57"/>
      <c r="C2" s="57"/>
      <c r="D2" s="57"/>
      <c r="E2" s="57"/>
      <c r="F2" s="57"/>
      <c r="G2" s="57"/>
      <c r="H2" s="57"/>
      <c r="I2" s="57"/>
      <c r="J2" s="58"/>
    </row>
    <row r="3" spans="1:10" x14ac:dyDescent="0.2">
      <c r="A3" s="7"/>
      <c r="B3" s="57" t="s">
        <v>227</v>
      </c>
      <c r="C3" s="57"/>
      <c r="D3" s="57"/>
      <c r="E3" s="57"/>
      <c r="F3" s="57"/>
      <c r="G3" s="57"/>
      <c r="H3" s="57"/>
      <c r="I3" s="57"/>
      <c r="J3" s="58"/>
    </row>
    <row r="4" spans="1:10" x14ac:dyDescent="0.2">
      <c r="A4" s="7"/>
      <c r="B4" s="57"/>
      <c r="C4" s="57"/>
      <c r="D4" s="57"/>
      <c r="E4" s="57"/>
      <c r="F4" s="57"/>
      <c r="G4" s="57"/>
      <c r="H4" s="57"/>
      <c r="I4" s="57"/>
      <c r="J4" s="58"/>
    </row>
    <row r="5" spans="1:10" x14ac:dyDescent="0.2">
      <c r="A5" s="7"/>
      <c r="B5" s="57"/>
      <c r="C5" s="164" t="s">
        <v>70</v>
      </c>
      <c r="D5" s="165"/>
      <c r="E5" s="165"/>
      <c r="F5" s="166"/>
      <c r="G5" s="57"/>
      <c r="H5" s="57"/>
      <c r="I5" s="57"/>
      <c r="J5" s="58"/>
    </row>
    <row r="6" spans="1:10" ht="16" customHeight="1" x14ac:dyDescent="0.2">
      <c r="A6" s="7"/>
      <c r="B6" s="57"/>
      <c r="C6" s="168" t="s">
        <v>3</v>
      </c>
      <c r="D6" s="63"/>
      <c r="E6" s="64"/>
      <c r="F6" s="65"/>
      <c r="G6" s="57"/>
      <c r="H6" s="57"/>
      <c r="I6" s="57"/>
      <c r="J6" s="58"/>
    </row>
    <row r="7" spans="1:10" ht="17" x14ac:dyDescent="0.2">
      <c r="A7" s="7"/>
      <c r="B7" s="57"/>
      <c r="C7" s="169"/>
      <c r="D7" s="33" t="s">
        <v>4</v>
      </c>
      <c r="E7" s="9" t="s">
        <v>5</v>
      </c>
      <c r="F7" s="8" t="s">
        <v>6</v>
      </c>
      <c r="G7" s="57"/>
      <c r="H7" s="57"/>
      <c r="I7" s="57"/>
      <c r="J7" s="58"/>
    </row>
    <row r="8" spans="1:10" x14ac:dyDescent="0.2">
      <c r="A8" s="7"/>
      <c r="B8" s="57"/>
      <c r="C8" s="114">
        <v>2021</v>
      </c>
      <c r="D8" s="43">
        <v>3600</v>
      </c>
      <c r="E8" s="34">
        <v>3230</v>
      </c>
      <c r="F8" s="28">
        <v>380</v>
      </c>
      <c r="G8" s="57"/>
      <c r="H8" s="57"/>
      <c r="I8" s="57"/>
      <c r="J8" s="58"/>
    </row>
    <row r="9" spans="1:10" x14ac:dyDescent="0.2">
      <c r="A9" s="7"/>
      <c r="B9" s="57"/>
      <c r="C9" s="115">
        <v>2022</v>
      </c>
      <c r="D9" s="44">
        <v>4200</v>
      </c>
      <c r="E9" s="36">
        <v>3660</v>
      </c>
      <c r="F9" s="10"/>
      <c r="G9" s="57"/>
      <c r="H9" s="57"/>
      <c r="I9" s="57"/>
      <c r="J9" s="58"/>
    </row>
    <row r="10" spans="1:10" x14ac:dyDescent="0.2">
      <c r="A10" s="7"/>
      <c r="B10" s="57"/>
      <c r="C10" s="116">
        <v>2023</v>
      </c>
      <c r="D10" s="45">
        <v>3620</v>
      </c>
      <c r="E10" s="31"/>
      <c r="F10" s="32"/>
      <c r="G10" s="57"/>
      <c r="H10" s="57"/>
      <c r="I10" s="57"/>
      <c r="J10" s="58"/>
    </row>
    <row r="11" spans="1:10" x14ac:dyDescent="0.2">
      <c r="A11" s="7"/>
      <c r="B11" s="57"/>
      <c r="C11" s="57"/>
      <c r="D11" s="57"/>
      <c r="E11" s="57"/>
      <c r="F11" s="57"/>
      <c r="G11" s="57"/>
      <c r="H11" s="57"/>
      <c r="I11" s="57"/>
      <c r="J11" s="58"/>
    </row>
    <row r="12" spans="1:10" x14ac:dyDescent="0.2">
      <c r="A12" s="7"/>
      <c r="B12" s="57"/>
      <c r="C12" s="57"/>
      <c r="D12" s="57"/>
      <c r="E12" s="57"/>
      <c r="F12" s="57"/>
      <c r="G12" s="57"/>
      <c r="H12" s="57"/>
      <c r="I12" s="57"/>
      <c r="J12" s="58"/>
    </row>
    <row r="13" spans="1:10" x14ac:dyDescent="0.2">
      <c r="A13" s="7"/>
      <c r="B13" s="57" t="s">
        <v>71</v>
      </c>
      <c r="C13" s="57"/>
      <c r="D13" s="57"/>
      <c r="E13" s="57"/>
      <c r="F13" s="57"/>
      <c r="G13" s="57"/>
      <c r="H13" s="57"/>
      <c r="I13" s="57"/>
      <c r="J13" s="58"/>
    </row>
    <row r="14" spans="1:10" x14ac:dyDescent="0.2">
      <c r="A14" s="7"/>
      <c r="B14" s="57" t="s">
        <v>72</v>
      </c>
      <c r="C14" s="57"/>
      <c r="D14" s="57"/>
      <c r="E14" s="57"/>
      <c r="F14" s="57"/>
      <c r="G14" s="57"/>
      <c r="H14" s="57"/>
      <c r="I14" s="57"/>
      <c r="J14" s="58"/>
    </row>
    <row r="15" spans="1:10" x14ac:dyDescent="0.2">
      <c r="A15" s="7"/>
      <c r="B15" s="57" t="s">
        <v>73</v>
      </c>
      <c r="C15" s="57"/>
      <c r="D15" s="57"/>
      <c r="E15" s="57"/>
      <c r="F15" s="57"/>
      <c r="G15" s="57"/>
      <c r="H15" s="57"/>
      <c r="I15" s="57"/>
      <c r="J15" s="58"/>
    </row>
    <row r="16" spans="1:10" x14ac:dyDescent="0.2">
      <c r="A16" s="7"/>
      <c r="B16" s="57"/>
      <c r="C16" s="57"/>
      <c r="D16" s="57"/>
      <c r="E16" s="57"/>
      <c r="F16" s="57"/>
      <c r="G16" s="57"/>
      <c r="H16" s="57"/>
      <c r="I16" s="57"/>
      <c r="J16" s="58"/>
    </row>
    <row r="17" spans="1:10" x14ac:dyDescent="0.2">
      <c r="A17" s="7"/>
      <c r="B17" s="57"/>
      <c r="C17" s="66" t="s">
        <v>8</v>
      </c>
      <c r="D17" s="67">
        <v>10</v>
      </c>
      <c r="E17" s="57"/>
      <c r="F17" s="57"/>
      <c r="G17" s="57"/>
      <c r="H17" s="57"/>
      <c r="I17" s="57"/>
      <c r="J17" s="58"/>
    </row>
    <row r="18" spans="1:10" x14ac:dyDescent="0.2">
      <c r="A18" s="7"/>
      <c r="B18" s="57"/>
      <c r="C18" s="66" t="s">
        <v>9</v>
      </c>
      <c r="D18" s="67">
        <v>1.1000000000000001</v>
      </c>
      <c r="E18" s="57"/>
      <c r="F18" s="57"/>
      <c r="G18" s="57"/>
      <c r="H18" s="57"/>
      <c r="I18" s="57"/>
      <c r="J18" s="58"/>
    </row>
    <row r="19" spans="1:10" x14ac:dyDescent="0.2">
      <c r="A19" s="7"/>
      <c r="B19" s="57"/>
      <c r="C19" s="57"/>
      <c r="D19" s="57"/>
      <c r="E19" s="57"/>
      <c r="F19" s="57"/>
      <c r="G19" s="57"/>
      <c r="H19" s="57"/>
      <c r="I19" s="57"/>
      <c r="J19" s="58"/>
    </row>
    <row r="20" spans="1:10" x14ac:dyDescent="0.2">
      <c r="A20" s="7"/>
      <c r="B20" s="57" t="s">
        <v>74</v>
      </c>
      <c r="C20" s="57"/>
      <c r="D20" s="57"/>
      <c r="E20" s="57"/>
      <c r="F20" s="57"/>
      <c r="G20" s="57"/>
      <c r="H20" s="57"/>
      <c r="I20" s="57"/>
      <c r="J20" s="58"/>
    </row>
    <row r="21" spans="1:10" ht="17" thickBot="1" x14ac:dyDescent="0.25">
      <c r="A21" s="70"/>
      <c r="B21" s="71"/>
      <c r="C21" s="72"/>
      <c r="D21" s="72"/>
      <c r="E21" s="72"/>
      <c r="F21" s="71"/>
      <c r="G21" s="71"/>
      <c r="H21" s="71"/>
      <c r="I21" s="71"/>
      <c r="J21" s="73"/>
    </row>
    <row r="23" spans="1:10" ht="19" x14ac:dyDescent="0.25">
      <c r="A23" s="2" t="s">
        <v>0</v>
      </c>
    </row>
    <row r="24" spans="1:10" ht="16" customHeight="1" x14ac:dyDescent="0.2">
      <c r="A24" s="21" t="s">
        <v>124</v>
      </c>
      <c r="B24" s="5" t="s">
        <v>228</v>
      </c>
      <c r="C24" s="74"/>
    </row>
    <row r="25" spans="1:10" ht="16" customHeight="1" x14ac:dyDescent="0.2">
      <c r="A25" s="21"/>
      <c r="B25" s="5"/>
      <c r="C25" s="74"/>
    </row>
    <row r="26" spans="1:10" ht="16" customHeight="1" x14ac:dyDescent="0.2">
      <c r="A26" s="21"/>
      <c r="B26" s="59" t="s">
        <v>167</v>
      </c>
      <c r="C26" s="74"/>
    </row>
    <row r="27" spans="1:10" ht="16" customHeight="1" x14ac:dyDescent="0.2">
      <c r="A27" s="21"/>
      <c r="B27" s="5"/>
      <c r="C27" s="74"/>
    </row>
    <row r="28" spans="1:10" ht="16" customHeight="1" x14ac:dyDescent="0.2">
      <c r="A28" s="21"/>
      <c r="B28" s="5"/>
      <c r="C28" s="74"/>
    </row>
    <row r="29" spans="1:10" ht="16" customHeight="1" x14ac:dyDescent="0.2">
      <c r="A29" s="21"/>
      <c r="B29" s="5"/>
      <c r="C29" s="74"/>
    </row>
    <row r="30" spans="1:10" ht="16" customHeight="1" x14ac:dyDescent="0.2">
      <c r="A30" s="21"/>
      <c r="B30" s="5"/>
      <c r="C30" s="74"/>
    </row>
    <row r="31" spans="1:10" ht="16" customHeight="1" x14ac:dyDescent="0.2">
      <c r="A31" s="21"/>
      <c r="B31" s="5"/>
      <c r="C31" s="78" t="s">
        <v>11</v>
      </c>
      <c r="D31" s="79" t="s">
        <v>13</v>
      </c>
      <c r="E31" s="79" t="s">
        <v>14</v>
      </c>
    </row>
    <row r="32" spans="1:10" ht="16" customHeight="1" x14ac:dyDescent="0.2">
      <c r="A32" s="21"/>
      <c r="B32" s="5"/>
      <c r="C32" s="83">
        <f>C8</f>
        <v>2021</v>
      </c>
      <c r="D32" s="75">
        <f>D33+12</f>
        <v>30</v>
      </c>
      <c r="E32" s="84">
        <f>D32^$D$18/(D32^$D$18+$D$17^$D$18)</f>
        <v>0.77002874412644984</v>
      </c>
    </row>
    <row r="33" spans="1:13" ht="16" customHeight="1" x14ac:dyDescent="0.2">
      <c r="A33" s="21"/>
      <c r="B33" s="5"/>
      <c r="C33" s="83">
        <f>C9</f>
        <v>2022</v>
      </c>
      <c r="D33" s="75">
        <f>D34+12</f>
        <v>18</v>
      </c>
      <c r="E33" s="84">
        <f t="shared" ref="E33:E34" si="0">D33^$D$18/(D33^$D$18+$D$17^$D$18)</f>
        <v>0.65623605108978922</v>
      </c>
    </row>
    <row r="34" spans="1:13" ht="16" customHeight="1" x14ac:dyDescent="0.2">
      <c r="A34" s="21"/>
      <c r="B34" s="5"/>
      <c r="C34" s="83">
        <f>C10</f>
        <v>2023</v>
      </c>
      <c r="D34" s="75">
        <v>6</v>
      </c>
      <c r="E34" s="84">
        <f t="shared" si="0"/>
        <v>0.36310605732981688</v>
      </c>
    </row>
    <row r="35" spans="1:13" ht="16" customHeight="1" x14ac:dyDescent="0.2">
      <c r="A35" s="21"/>
      <c r="B35" s="5"/>
    </row>
    <row r="36" spans="1:13" x14ac:dyDescent="0.2">
      <c r="A36" s="21" t="s">
        <v>125</v>
      </c>
      <c r="B36" s="5" t="s">
        <v>229</v>
      </c>
      <c r="J36" s="4"/>
    </row>
    <row r="37" spans="1:13" x14ac:dyDescent="0.2">
      <c r="A37" s="21"/>
      <c r="B37" s="5"/>
      <c r="J37" s="4"/>
    </row>
    <row r="38" spans="1:13" x14ac:dyDescent="0.2">
      <c r="A38" s="21"/>
      <c r="B38" s="5"/>
      <c r="J38" s="4"/>
    </row>
    <row r="39" spans="1:13" x14ac:dyDescent="0.2">
      <c r="A39" s="21"/>
      <c r="B39" s="5"/>
      <c r="J39" s="4"/>
    </row>
    <row r="40" spans="1:13" x14ac:dyDescent="0.2">
      <c r="A40" s="21"/>
      <c r="B40" s="5"/>
      <c r="J40" s="4"/>
    </row>
    <row r="41" spans="1:13" x14ac:dyDescent="0.2">
      <c r="E41" s="160" t="s">
        <v>15</v>
      </c>
      <c r="J41" s="4"/>
    </row>
    <row r="42" spans="1:13" ht="17" x14ac:dyDescent="0.2">
      <c r="C42" s="95" t="s">
        <v>11</v>
      </c>
      <c r="D42" s="79" t="s">
        <v>75</v>
      </c>
      <c r="E42" s="161"/>
      <c r="F42" s="80" t="s">
        <v>43</v>
      </c>
      <c r="J42" s="4"/>
    </row>
    <row r="43" spans="1:13" x14ac:dyDescent="0.2">
      <c r="C43" s="97">
        <f>C8</f>
        <v>2021</v>
      </c>
      <c r="D43" s="85">
        <f>1/E32</f>
        <v>1.2986528199469207</v>
      </c>
      <c r="E43" s="87">
        <f>SUM(D8:F8)</f>
        <v>7210</v>
      </c>
      <c r="F43" s="117">
        <f>E43*D43</f>
        <v>9363.2868318172987</v>
      </c>
      <c r="J43" s="4"/>
    </row>
    <row r="44" spans="1:13" x14ac:dyDescent="0.2">
      <c r="C44" s="97">
        <f t="shared" ref="C44:C45" si="1">C9</f>
        <v>2022</v>
      </c>
      <c r="D44" s="85">
        <f>1/E33</f>
        <v>1.5238419138042378</v>
      </c>
      <c r="E44" s="87">
        <f>SUM(D9:F9)</f>
        <v>7860</v>
      </c>
      <c r="F44" s="86">
        <f>E44*D44</f>
        <v>11977.397442501309</v>
      </c>
      <c r="J44" s="4"/>
    </row>
    <row r="45" spans="1:13" x14ac:dyDescent="0.2">
      <c r="A45" s="3"/>
      <c r="C45" s="118">
        <f t="shared" si="1"/>
        <v>2023</v>
      </c>
      <c r="D45" s="91">
        <f>1/E34</f>
        <v>2.7540162985815435</v>
      </c>
      <c r="E45" s="93">
        <f>SUM(D10:F10)</f>
        <v>3620</v>
      </c>
      <c r="F45" s="92">
        <f>E45*D45</f>
        <v>9969.5390008651866</v>
      </c>
    </row>
    <row r="46" spans="1:13" x14ac:dyDescent="0.2">
      <c r="C46" s="119"/>
      <c r="D46" s="120"/>
      <c r="E46" s="87">
        <f t="shared" ref="E46:F46" si="2">SUM(E43:E45)</f>
        <v>18690</v>
      </c>
      <c r="F46" s="86">
        <f t="shared" si="2"/>
        <v>31310.223275183795</v>
      </c>
      <c r="L46" s="74"/>
    </row>
    <row r="47" spans="1:13" x14ac:dyDescent="0.2">
      <c r="J47" s="4"/>
      <c r="K47" s="4"/>
      <c r="L47" s="4"/>
      <c r="M47" s="4"/>
    </row>
    <row r="48" spans="1:13" x14ac:dyDescent="0.2">
      <c r="A48" s="21" t="s">
        <v>136</v>
      </c>
      <c r="B48" s="5" t="s">
        <v>230</v>
      </c>
      <c r="H48" s="4"/>
      <c r="I48" s="4"/>
      <c r="J48" s="4"/>
    </row>
    <row r="49" spans="1:14" x14ac:dyDescent="0.2">
      <c r="B49" s="6"/>
      <c r="H49" s="4"/>
      <c r="I49" s="4"/>
      <c r="J49" s="4"/>
    </row>
    <row r="50" spans="1:14" x14ac:dyDescent="0.2">
      <c r="B50" s="6"/>
      <c r="H50" s="4"/>
      <c r="I50" s="4"/>
      <c r="J50" s="4"/>
    </row>
    <row r="51" spans="1:14" x14ac:dyDescent="0.2">
      <c r="B51" s="6"/>
      <c r="H51" s="4"/>
      <c r="I51" s="4"/>
      <c r="J51" s="4"/>
    </row>
    <row r="52" spans="1:14" x14ac:dyDescent="0.2">
      <c r="B52" s="6"/>
      <c r="H52" s="4"/>
      <c r="I52" s="4"/>
      <c r="J52" s="4"/>
    </row>
    <row r="53" spans="1:14" x14ac:dyDescent="0.2">
      <c r="B53" s="6"/>
      <c r="H53" s="4"/>
      <c r="I53" s="4"/>
      <c r="J53" s="4"/>
    </row>
    <row r="54" spans="1:14" ht="17" x14ac:dyDescent="0.2">
      <c r="C54" s="95" t="s">
        <v>11</v>
      </c>
      <c r="D54" s="79">
        <v>12</v>
      </c>
      <c r="E54" s="79">
        <v>24</v>
      </c>
      <c r="F54" s="79">
        <v>36</v>
      </c>
      <c r="G54" s="96" t="s">
        <v>76</v>
      </c>
      <c r="H54" s="4"/>
      <c r="I54" s="4"/>
      <c r="J54" s="4"/>
    </row>
    <row r="55" spans="1:14" x14ac:dyDescent="0.2">
      <c r="C55" s="97">
        <f>C32</f>
        <v>2021</v>
      </c>
      <c r="D55" s="86">
        <f>$G55*D$59</f>
        <v>3399.8661651493717</v>
      </c>
      <c r="E55" s="86">
        <f>$G55*E$59</f>
        <v>2744.6602105834359</v>
      </c>
      <c r="F55" s="86">
        <f>$G55*F$59</f>
        <v>1065.4736242671925</v>
      </c>
      <c r="G55" s="86">
        <f>F43</f>
        <v>9363.2868318172987</v>
      </c>
      <c r="H55" s="4"/>
      <c r="I55" s="4"/>
      <c r="J55" s="4"/>
    </row>
    <row r="56" spans="1:14" x14ac:dyDescent="0.2">
      <c r="C56" s="97">
        <f>C33</f>
        <v>2022</v>
      </c>
      <c r="D56" s="86">
        <f>$G56*D$59</f>
        <v>4349.0655624188821</v>
      </c>
      <c r="E56" s="86">
        <f>$G56*E$59</f>
        <v>3510.9344375811174</v>
      </c>
      <c r="F56" s="86"/>
      <c r="G56" s="86">
        <f>F44</f>
        <v>11977.397442501309</v>
      </c>
      <c r="H56" s="4"/>
      <c r="I56" s="4"/>
      <c r="J56" s="4"/>
    </row>
    <row r="57" spans="1:14" x14ac:dyDescent="0.2">
      <c r="C57" s="97">
        <f>C34</f>
        <v>2023</v>
      </c>
      <c r="D57" s="86">
        <f>$G57*D$59</f>
        <v>3619.9999999999995</v>
      </c>
      <c r="E57" s="86"/>
      <c r="F57" s="86"/>
      <c r="G57" s="86">
        <f>F45</f>
        <v>9969.5390008651866</v>
      </c>
      <c r="H57" s="4"/>
      <c r="I57" s="4"/>
      <c r="J57" s="4"/>
    </row>
    <row r="58" spans="1:14" x14ac:dyDescent="0.2">
      <c r="H58" s="4"/>
      <c r="I58" s="4"/>
      <c r="J58" s="4"/>
    </row>
    <row r="59" spans="1:14" x14ac:dyDescent="0.2">
      <c r="C59" s="59" t="s">
        <v>19</v>
      </c>
      <c r="D59" s="121">
        <f>E34</f>
        <v>0.36310605732981688</v>
      </c>
      <c r="E59" s="121">
        <f>E33-E34</f>
        <v>0.29312999375997234</v>
      </c>
      <c r="F59" s="121">
        <f>E32-E33</f>
        <v>0.11379269303666062</v>
      </c>
      <c r="L59" s="4"/>
      <c r="M59" s="4"/>
      <c r="N59" s="4"/>
    </row>
    <row r="60" spans="1:14" x14ac:dyDescent="0.2">
      <c r="L60" s="4"/>
      <c r="M60" s="4"/>
      <c r="N60" s="4"/>
    </row>
    <row r="61" spans="1:14" x14ac:dyDescent="0.2">
      <c r="A61" s="21" t="s">
        <v>137</v>
      </c>
      <c r="B61" s="170" t="s">
        <v>231</v>
      </c>
      <c r="C61" s="170"/>
      <c r="D61" s="170"/>
      <c r="E61" s="170"/>
      <c r="F61" s="170"/>
      <c r="G61" s="170"/>
      <c r="H61" s="170"/>
      <c r="I61" s="170"/>
      <c r="L61" s="4"/>
      <c r="M61" s="4"/>
      <c r="N61" s="4"/>
    </row>
    <row r="62" spans="1:14" x14ac:dyDescent="0.2">
      <c r="B62" s="170"/>
      <c r="C62" s="170"/>
      <c r="D62" s="170"/>
      <c r="E62" s="170"/>
      <c r="F62" s="170"/>
      <c r="G62" s="170"/>
      <c r="H62" s="170"/>
      <c r="I62" s="170"/>
      <c r="L62" s="4"/>
      <c r="M62" s="4"/>
      <c r="N62" s="4"/>
    </row>
    <row r="63" spans="1:14" x14ac:dyDescent="0.2">
      <c r="B63" s="6"/>
      <c r="L63" s="4"/>
      <c r="M63" s="4"/>
      <c r="N63" s="4"/>
    </row>
    <row r="64" spans="1:14" x14ac:dyDescent="0.2">
      <c r="B64" s="6"/>
      <c r="L64" s="4"/>
      <c r="M64" s="4"/>
      <c r="N64" s="4"/>
    </row>
    <row r="65" spans="1:14" x14ac:dyDescent="0.2">
      <c r="B65" s="6"/>
      <c r="L65" s="4"/>
      <c r="M65" s="4"/>
      <c r="N65" s="4"/>
    </row>
    <row r="66" spans="1:14" x14ac:dyDescent="0.2">
      <c r="B66" s="6"/>
      <c r="L66" s="4"/>
      <c r="M66" s="4"/>
      <c r="N66" s="4"/>
    </row>
    <row r="67" spans="1:14" x14ac:dyDescent="0.2">
      <c r="B67" s="6"/>
      <c r="L67" s="4"/>
      <c r="M67" s="4"/>
      <c r="N67" s="4"/>
    </row>
    <row r="68" spans="1:14" x14ac:dyDescent="0.2">
      <c r="B68" s="6"/>
      <c r="L68" s="4"/>
      <c r="M68" s="4"/>
      <c r="N68" s="4"/>
    </row>
    <row r="69" spans="1:14" x14ac:dyDescent="0.2">
      <c r="B69" s="6"/>
      <c r="L69" s="4"/>
      <c r="M69" s="4"/>
      <c r="N69" s="4"/>
    </row>
    <row r="70" spans="1:14" x14ac:dyDescent="0.2">
      <c r="C70" s="95" t="s">
        <v>11</v>
      </c>
      <c r="D70" s="79">
        <v>12</v>
      </c>
      <c r="E70" s="79">
        <v>24</v>
      </c>
      <c r="F70" s="79">
        <v>36</v>
      </c>
      <c r="L70" s="4"/>
      <c r="M70" s="4"/>
      <c r="N70" s="4"/>
    </row>
    <row r="71" spans="1:14" x14ac:dyDescent="0.2">
      <c r="C71" s="97">
        <f>C55</f>
        <v>2021</v>
      </c>
      <c r="D71" s="86">
        <f>D8*LN(D55)-D55</f>
        <v>25873.502682747934</v>
      </c>
      <c r="E71" s="86">
        <f>E8*LN(E55)-E55</f>
        <v>22828.582362836907</v>
      </c>
      <c r="F71" s="86">
        <f>F8*LN(F55)-F55</f>
        <v>1583.5727605577445</v>
      </c>
      <c r="M71" s="74"/>
    </row>
    <row r="72" spans="1:14" x14ac:dyDescent="0.2">
      <c r="C72" s="97">
        <f>C56</f>
        <v>2022</v>
      </c>
      <c r="D72" s="86">
        <f>D9*LN(D56)-D56</f>
        <v>30837.342846215215</v>
      </c>
      <c r="E72" s="86">
        <f>E9*LN(E56)-E56</f>
        <v>26367.978821797009</v>
      </c>
      <c r="F72" s="86"/>
      <c r="L72" s="4"/>
      <c r="M72" s="4"/>
      <c r="N72" s="4"/>
    </row>
    <row r="73" spans="1:14" x14ac:dyDescent="0.2">
      <c r="C73" s="97">
        <f>C57</f>
        <v>2023</v>
      </c>
      <c r="D73" s="86">
        <f>D10*LN(D57)-D57</f>
        <v>26043.11008344774</v>
      </c>
      <c r="E73" s="86"/>
      <c r="F73" s="86"/>
      <c r="L73" s="4"/>
      <c r="M73" s="4"/>
      <c r="N73" s="4"/>
    </row>
    <row r="74" spans="1:14" ht="17" thickBot="1" x14ac:dyDescent="0.25">
      <c r="L74" s="4"/>
      <c r="M74" s="4"/>
      <c r="N74" s="4"/>
    </row>
    <row r="75" spans="1:14" ht="17" thickBot="1" x14ac:dyDescent="0.25">
      <c r="C75" s="106" t="s">
        <v>77</v>
      </c>
      <c r="D75" s="122">
        <f>SUM(D71:F73)</f>
        <v>133534.08955760254</v>
      </c>
      <c r="L75" s="4"/>
      <c r="M75" s="4"/>
      <c r="N75" s="4"/>
    </row>
    <row r="76" spans="1:14" x14ac:dyDescent="0.2">
      <c r="L76" s="4"/>
      <c r="M76" s="4"/>
      <c r="N76" s="4"/>
    </row>
    <row r="77" spans="1:14" x14ac:dyDescent="0.2">
      <c r="B77" s="59" t="s">
        <v>78</v>
      </c>
      <c r="L77" s="4"/>
      <c r="M77" s="4"/>
      <c r="N77" s="4"/>
    </row>
    <row r="78" spans="1:14" x14ac:dyDescent="0.2">
      <c r="L78" s="4"/>
      <c r="M78" s="4"/>
      <c r="N78" s="4"/>
    </row>
    <row r="79" spans="1:14" x14ac:dyDescent="0.2">
      <c r="L79" s="4"/>
      <c r="M79" s="4"/>
      <c r="N79" s="4"/>
    </row>
    <row r="80" spans="1:14" ht="19" x14ac:dyDescent="0.25">
      <c r="A80" s="2" t="s">
        <v>39</v>
      </c>
      <c r="L80" s="4"/>
      <c r="M80" s="4"/>
      <c r="N80" s="4"/>
    </row>
    <row r="81" spans="1:65" x14ac:dyDescent="0.2">
      <c r="B81" s="59" t="s">
        <v>79</v>
      </c>
      <c r="M81" s="74"/>
    </row>
    <row r="82" spans="1:65" x14ac:dyDescent="0.2">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row>
    <row r="83" spans="1:65" x14ac:dyDescent="0.2">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row>
    <row r="84" spans="1:65" x14ac:dyDescent="0.2">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row>
    <row r="85" spans="1:65" ht="19" customHeight="1" x14ac:dyDescent="0.2">
      <c r="B85" s="176" t="s">
        <v>232</v>
      </c>
      <c r="C85" s="176"/>
      <c r="D85" s="176"/>
      <c r="E85" s="176"/>
      <c r="F85" s="176"/>
      <c r="G85" s="176"/>
      <c r="H85" s="176"/>
      <c r="I85" s="176"/>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row>
    <row r="86" spans="1:65" x14ac:dyDescent="0.2">
      <c r="A86" s="4"/>
      <c r="B86" s="176"/>
      <c r="C86" s="176"/>
      <c r="D86" s="176"/>
      <c r="E86" s="176"/>
      <c r="F86" s="176"/>
      <c r="G86" s="176"/>
      <c r="H86" s="176"/>
      <c r="I86" s="176"/>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row>
    <row r="87" spans="1:65" x14ac:dyDescent="0.2">
      <c r="A87" s="4"/>
      <c r="B87" s="176"/>
      <c r="C87" s="176"/>
      <c r="D87" s="176"/>
      <c r="E87" s="176"/>
      <c r="F87" s="176"/>
      <c r="G87" s="176"/>
      <c r="H87" s="176"/>
      <c r="I87" s="176"/>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row>
    <row r="88" spans="1:65" x14ac:dyDescent="0.2">
      <c r="A88" s="4"/>
      <c r="B88" s="176"/>
      <c r="C88" s="176"/>
      <c r="D88" s="176"/>
      <c r="E88" s="176"/>
      <c r="F88" s="176"/>
      <c r="G88" s="176"/>
      <c r="H88" s="176"/>
      <c r="I88" s="176"/>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row>
    <row r="89" spans="1:65" x14ac:dyDescent="0.2">
      <c r="A89" s="4"/>
      <c r="B89" s="176"/>
      <c r="C89" s="176"/>
      <c r="D89" s="176"/>
      <c r="E89" s="176"/>
      <c r="F89" s="176"/>
      <c r="G89" s="176"/>
      <c r="H89" s="176"/>
      <c r="I89" s="176"/>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row>
    <row r="90" spans="1:65"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row>
    <row r="91" spans="1:65" ht="19" x14ac:dyDescent="0.25">
      <c r="A91" s="2" t="s">
        <v>39</v>
      </c>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row>
    <row r="92" spans="1:65" x14ac:dyDescent="0.2">
      <c r="A92" s="4"/>
      <c r="B92" s="176" t="s">
        <v>233</v>
      </c>
      <c r="C92" s="176"/>
      <c r="D92" s="176"/>
      <c r="E92" s="176"/>
      <c r="F92" s="176"/>
      <c r="G92" s="176"/>
      <c r="H92" s="176"/>
      <c r="I92" s="176"/>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row>
    <row r="93" spans="1:65" x14ac:dyDescent="0.2">
      <c r="A93" s="4"/>
      <c r="B93" s="176"/>
      <c r="C93" s="176"/>
      <c r="D93" s="176"/>
      <c r="E93" s="176"/>
      <c r="F93" s="176"/>
      <c r="G93" s="176"/>
      <c r="H93" s="176"/>
      <c r="I93" s="176"/>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1:65" x14ac:dyDescent="0.2">
      <c r="A94" s="4"/>
      <c r="B94" s="176"/>
      <c r="C94" s="176"/>
      <c r="D94" s="176"/>
      <c r="E94" s="176"/>
      <c r="F94" s="176"/>
      <c r="G94" s="176"/>
      <c r="H94" s="176"/>
      <c r="I94" s="176"/>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1:65"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5" ht="19" x14ac:dyDescent="0.25">
      <c r="A96" s="2" t="s">
        <v>89</v>
      </c>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A97" s="4"/>
      <c r="B97" s="59" t="s">
        <v>121</v>
      </c>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ht="19" x14ac:dyDescent="0.25">
      <c r="A99" s="2" t="s">
        <v>91</v>
      </c>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59" t="s">
        <v>122</v>
      </c>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sheetData>
  <mergeCells count="6">
    <mergeCell ref="B92:I94"/>
    <mergeCell ref="C5:F5"/>
    <mergeCell ref="C6:C7"/>
    <mergeCell ref="E41:E42"/>
    <mergeCell ref="B61:I62"/>
    <mergeCell ref="B85:I8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LDF Method</vt:lpstr>
      <vt:lpstr>Cape Cod Method</vt:lpstr>
      <vt:lpstr>Normalized Residuals</vt:lpstr>
      <vt:lpstr>Variance of Prospective Losses</vt:lpstr>
      <vt:lpstr>Variance of CY Develop</vt:lpstr>
      <vt:lpstr>Best-fit Parameters MLE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2026-06-17T14:54:04Z</dcterms:modified>
</cp:coreProperties>
</file>