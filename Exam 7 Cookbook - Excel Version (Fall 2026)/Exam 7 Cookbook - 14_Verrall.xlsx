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DDAC7267-76A4-DD45-A09B-64944D3CA252}" xr6:coauthVersionLast="47" xr6:coauthVersionMax="47" xr10:uidLastSave="{00000000-0000-0000-0000-000000000000}"/>
  <bookViews>
    <workbookView xWindow="18500" yWindow="500" windowWidth="16920" windowHeight="21100" xr2:uid="{00000000-000D-0000-FFFF-FFFF00000000}"/>
  </bookViews>
  <sheets>
    <sheet name="Expert Opinion - Chain Ladder" sheetId="21" r:id="rId1"/>
    <sheet name="Bayesian BF Method" sheetId="18" r:id="rId2"/>
    <sheet name="Fully Stochastic BF" sheetId="19" r:id="rId3"/>
    <sheet name="Fully Stochastic Reserv" sheetId="20" r:id="rId4"/>
  </sheet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20" l="1"/>
  <c r="D51" i="19"/>
  <c r="D65" i="19" s="1"/>
  <c r="E50" i="19"/>
  <c r="E64" i="19" s="1"/>
  <c r="D50" i="19"/>
  <c r="D64" i="19" s="1"/>
  <c r="F49" i="19"/>
  <c r="F63" i="19" s="1"/>
  <c r="E49" i="19"/>
  <c r="E63" i="19" s="1"/>
  <c r="D49" i="19"/>
  <c r="D63" i="19" s="1"/>
  <c r="G48" i="19"/>
  <c r="G62" i="19" s="1"/>
  <c r="F48" i="19"/>
  <c r="F62" i="19" s="1"/>
  <c r="E48" i="19"/>
  <c r="E62" i="19" s="1"/>
  <c r="D48" i="19"/>
  <c r="D62" i="19" s="1"/>
  <c r="D69" i="19"/>
  <c r="D165" i="18"/>
  <c r="G159" i="18"/>
  <c r="G157" i="18"/>
  <c r="F128" i="18"/>
  <c r="F121" i="18"/>
  <c r="F22" i="19" l="1"/>
  <c r="G22" i="19"/>
  <c r="H22" i="19"/>
  <c r="H23" i="19" s="1"/>
  <c r="E22" i="19"/>
  <c r="F58" i="18"/>
  <c r="I63" i="18" s="1"/>
  <c r="E57" i="18"/>
  <c r="D57" i="18"/>
  <c r="E100" i="18" s="1"/>
  <c r="G119" i="19"/>
  <c r="F120" i="19"/>
  <c r="F119" i="19"/>
  <c r="E121" i="19"/>
  <c r="E120" i="19"/>
  <c r="E119" i="19"/>
  <c r="D122" i="19"/>
  <c r="D121" i="19"/>
  <c r="D120" i="19"/>
  <c r="D119" i="19"/>
  <c r="E107" i="19"/>
  <c r="F107" i="19"/>
  <c r="G107" i="19"/>
  <c r="G108" i="19" s="1"/>
  <c r="G109" i="19" s="1"/>
  <c r="D107" i="19"/>
  <c r="H24" i="19" l="1"/>
  <c r="G23" i="19"/>
  <c r="E121" i="18"/>
  <c r="E58" i="18"/>
  <c r="F108" i="19"/>
  <c r="G50" i="18"/>
  <c r="G49" i="18"/>
  <c r="G48" i="18"/>
  <c r="F48" i="18"/>
  <c r="D30" i="20"/>
  <c r="E29" i="20"/>
  <c r="D29" i="20"/>
  <c r="F28" i="20"/>
  <c r="E28" i="20"/>
  <c r="D28" i="20"/>
  <c r="G27" i="20"/>
  <c r="F27" i="20"/>
  <c r="E27" i="20"/>
  <c r="D27" i="20"/>
  <c r="F50" i="18"/>
  <c r="F49" i="18"/>
  <c r="E30" i="20" l="1"/>
  <c r="G28" i="20"/>
  <c r="H63" i="18"/>
  <c r="F99" i="18"/>
  <c r="I64" i="18"/>
  <c r="F87" i="18" s="1"/>
  <c r="G24" i="19"/>
  <c r="D70" i="19" s="1"/>
  <c r="F23" i="19"/>
  <c r="F120" i="18"/>
  <c r="D58" i="18"/>
  <c r="G63" i="18" s="1"/>
  <c r="H64" i="18" s="1"/>
  <c r="E48" i="18"/>
  <c r="D48" i="18" s="1"/>
  <c r="F109" i="19"/>
  <c r="E108" i="19"/>
  <c r="E50" i="18"/>
  <c r="F76" i="18" s="1"/>
  <c r="E49" i="18"/>
  <c r="F75" i="18" s="1"/>
  <c r="F29" i="20"/>
  <c r="F30" i="20" s="1"/>
  <c r="G29" i="20" l="1"/>
  <c r="G30" i="20" s="1"/>
  <c r="D38" i="19"/>
  <c r="G49" i="19" s="1"/>
  <c r="G63" i="19" s="1"/>
  <c r="F86" i="18"/>
  <c r="F111" i="18" s="1"/>
  <c r="E87" i="18"/>
  <c r="E76" i="18"/>
  <c r="G64" i="18"/>
  <c r="F24" i="19"/>
  <c r="E23" i="19"/>
  <c r="E24" i="19" s="1"/>
  <c r="D49" i="18"/>
  <c r="D50" i="18"/>
  <c r="G110" i="19"/>
  <c r="D108" i="19"/>
  <c r="D109" i="19" s="1"/>
  <c r="D110" i="19" s="1"/>
  <c r="E109" i="19"/>
  <c r="F110" i="19" s="1"/>
  <c r="D71" i="19" l="1"/>
  <c r="D57" i="19"/>
  <c r="E128" i="18"/>
  <c r="E112" i="18"/>
  <c r="F127" i="18"/>
  <c r="F121" i="19"/>
  <c r="F122" i="19"/>
  <c r="G121" i="19"/>
  <c r="G120" i="19"/>
  <c r="D131" i="19" s="1"/>
  <c r="G122" i="19"/>
  <c r="E110" i="19"/>
  <c r="E122" i="19" s="1"/>
  <c r="G64" i="19" l="1"/>
  <c r="F64" i="19"/>
  <c r="D133" i="19"/>
  <c r="D130" i="18"/>
  <c r="D132" i="19"/>
  <c r="D72" i="19" l="1"/>
</calcChain>
</file>

<file path=xl/sharedStrings.xml><?xml version="1.0" encoding="utf-8"?>
<sst xmlns="http://schemas.openxmlformats.org/spreadsheetml/2006/main" count="238" uniqueCount="181">
  <si>
    <t>a.</t>
  </si>
  <si>
    <t>b.</t>
  </si>
  <si>
    <t>c.</t>
  </si>
  <si>
    <t>Solution</t>
  </si>
  <si>
    <t>Discussion</t>
  </si>
  <si>
    <t>Given the following information:</t>
  </si>
  <si>
    <t>Accident Year</t>
  </si>
  <si>
    <t>12 Months</t>
  </si>
  <si>
    <t>24 Months</t>
  </si>
  <si>
    <t>36 Months</t>
  </si>
  <si>
    <t>⍺</t>
  </si>
  <si>
    <t>β</t>
  </si>
  <si>
    <t>⍺ / β</t>
  </si>
  <si>
    <t>LDF</t>
  </si>
  <si>
    <t>CDF</t>
  </si>
  <si>
    <t>Expected Unpaid - BF</t>
  </si>
  <si>
    <t>48 Months</t>
  </si>
  <si>
    <t>Expected Loss</t>
  </si>
  <si>
    <t>AY</t>
  </si>
  <si>
    <t>%Unpaid</t>
  </si>
  <si>
    <t>Incremental Paid Loss</t>
  </si>
  <si>
    <t>24-36</t>
  </si>
  <si>
    <t>36-48</t>
  </si>
  <si>
    <t>48-60</t>
  </si>
  <si>
    <t>12-24</t>
  </si>
  <si>
    <t>An actuary estimated loss reserves with the chain ladder method. The actuary used actuarial judgment to</t>
  </si>
  <si>
    <t>select LDFs. To create a distribution of reserves around the best estimate, the actuary uses a Bayesian</t>
  </si>
  <si>
    <t>stochastic reserving model as described in Verrall.</t>
  </si>
  <si>
    <t>Set up an over-dispersed negative binomial model to describe incremental losses.</t>
  </si>
  <si>
    <t>Define the prior distributions for the development factors of the Bayesian model such that the chain</t>
  </si>
  <si>
    <t>ladder method is replicated with one exception. Adjust the model to reflect the strong information that</t>
  </si>
  <si>
    <t>Define the prior distributions for the development factors so that the model uses a 3-year weighted</t>
  </si>
  <si>
    <t>average to estimate the loss development factors.</t>
  </si>
  <si>
    <t>Cumulative Losses</t>
  </si>
  <si>
    <t>Individual Development Factors</t>
  </si>
  <si>
    <t>Set up the over-dispersed negative binomial model to describe incremental losses.</t>
  </si>
  <si>
    <t>LDFs revert to the chain ladder method with volume-weighted LDFs.</t>
  </si>
  <si>
    <t>for the most recent 3 development factors</t>
  </si>
  <si>
    <t>Incremental Paid Losses</t>
  </si>
  <si>
    <t>An actuary specifies the prior distribution of the expected ultimate loss as a gamma distribution with the</t>
  </si>
  <si>
    <t>following mean and coefficient of variation by each accident year:</t>
  </si>
  <si>
    <t>Coefficient of Variation</t>
  </si>
  <si>
    <t>Calculate the estimated unpaid losses using a Bayesian model for the Bornhuetter-Ferguson method.</t>
  </si>
  <si>
    <t>Define the structure of the Over-Dispersed Poisson model.</t>
  </si>
  <si>
    <r>
      <t>Calculate the Gamma parameters, ⍺</t>
    </r>
    <r>
      <rPr>
        <b/>
        <vertAlign val="subscript"/>
        <sz val="12"/>
        <color theme="1"/>
        <rFont val="Calibri"/>
        <family val="2"/>
      </rPr>
      <t>AY</t>
    </r>
    <r>
      <rPr>
        <b/>
        <sz val="12"/>
        <color theme="1"/>
        <rFont val="Calibri"/>
        <family val="2"/>
      </rPr>
      <t xml:space="preserve"> and β</t>
    </r>
    <r>
      <rPr>
        <b/>
        <vertAlign val="subscript"/>
        <sz val="12"/>
        <color theme="1"/>
        <rFont val="Calibri"/>
        <family val="2"/>
      </rPr>
      <t>AY</t>
    </r>
    <r>
      <rPr>
        <b/>
        <sz val="12"/>
        <color theme="1"/>
        <rFont val="Calibri"/>
        <family val="2"/>
      </rPr>
      <t xml:space="preserve"> ,for the prior distribution of the row factor for each accident year.</t>
    </r>
  </si>
  <si>
    <r>
      <t>Expected Loss (x</t>
    </r>
    <r>
      <rPr>
        <vertAlign val="subscript"/>
        <sz val="12"/>
        <color rgb="FF000000"/>
        <rFont val="Calibri"/>
        <family val="2"/>
      </rPr>
      <t>i</t>
    </r>
    <r>
      <rPr>
        <sz val="12"/>
        <color rgb="FF000000"/>
        <rFont val="Calibri"/>
        <family val="2"/>
      </rPr>
      <t>)</t>
    </r>
  </si>
  <si>
    <t>Calculate the new set of the observed parameters for the model, 𝛾(i), to be used for a fully-stochastic version</t>
  </si>
  <si>
    <t>of the Bornhuetter-Ferguson method.</t>
  </si>
  <si>
    <t>Calculate the % unpaid at each development period.</t>
  </si>
  <si>
    <t>Given the following loss triangle and the simulated set of parameters from a Bayesian MCMC model:</t>
  </si>
  <si>
    <t>Reproducing the Chain Ladder Method with Prediction Errors</t>
  </si>
  <si>
    <t>Incorporating Expert Opinion to Override Specific LDFs</t>
  </si>
  <si>
    <t>Incorporating Expert Opinion to Use n-year LDFs</t>
  </si>
  <si>
    <t>Source</t>
  </si>
  <si>
    <t>Verrall – pg. 60-61 (section 4) and pg. 66-67 (section 6.2)</t>
  </si>
  <si>
    <t>More Practice</t>
  </si>
  <si>
    <t>CAS 2011 – 9</t>
  </si>
  <si>
    <t>RF Verrall – 1</t>
  </si>
  <si>
    <t>RF Verrall – 5</t>
  </si>
  <si>
    <t>RF Verrall – 7</t>
  </si>
  <si>
    <t>Alternative Solution</t>
  </si>
  <si>
    <t>Calculate credibility-weighted expected unpaid loss for the 12-36 month period:</t>
  </si>
  <si>
    <t>Verrall – pg. 61-63 with an example on 68-69</t>
  </si>
  <si>
    <t>CAS 2019 – 1</t>
  </si>
  <si>
    <t xml:space="preserve">CAS 2019 – 11 </t>
  </si>
  <si>
    <t xml:space="preserve">CAS 2017 – 11 </t>
  </si>
  <si>
    <t>CAS 2014 – 10</t>
  </si>
  <si>
    <t xml:space="preserve">CAS 2013 – 9 </t>
  </si>
  <si>
    <t xml:space="preserve">CAS 2012 – 8 </t>
  </si>
  <si>
    <t>RF Verrall – 2</t>
  </si>
  <si>
    <t>RF Verrall – 6</t>
  </si>
  <si>
    <t>Alternative Approach</t>
  </si>
  <si>
    <t>The approach above calculates the gamma values directly using the formulas in the Verrall paper.</t>
  </si>
  <si>
    <t>%Paid Cum</t>
  </si>
  <si>
    <t>%Paid Inc</t>
  </si>
  <si>
    <t>Bayesian Model for the BF Method vs. Fully Stochastic BF Model</t>
  </si>
  <si>
    <t>Verrall – pg. 62-63</t>
  </si>
  <si>
    <t>More Discussion</t>
  </si>
  <si>
    <t>RF Verrall – 3</t>
  </si>
  <si>
    <t>RF Verrall – 4</t>
  </si>
  <si>
    <t>Calculate CL and BF expected unpaid incremental loss for 12-36 month period:</t>
  </si>
  <si>
    <t>Part a - Over-dispersed negative binomial model of incremental losses</t>
  </si>
  <si>
    <t>Part b - Incorporating Expert Opinion – Changing specific LDFs</t>
  </si>
  <si>
    <t>Part c - Incorporating Expert Opinion – Changing LDFs to select n-year volume-weighted LDFs</t>
  </si>
  <si>
    <t>•  Incremental losses follow an over-dispersed negative binomial model.</t>
  </si>
  <si>
    <t>•  Assume there is no development after 48 months</t>
  </si>
  <si>
    <t>•  Assume no further loss development beyond 36 months</t>
  </si>
  <si>
    <t>Verrall - Incorporating Expert Opinion: Chain Ladder</t>
  </si>
  <si>
    <t>Verrall - Bayesian Model for the BF Method</t>
  </si>
  <si>
    <t>Verrall - Fully Stochastic BF Model</t>
  </si>
  <si>
    <t>Verrall - Estimated Reserve from Fully Stochastic BF</t>
  </si>
  <si>
    <t>1)</t>
  </si>
  <si>
    <t>2)</t>
  </si>
  <si>
    <t>3)</t>
  </si>
  <si>
    <t>4)</t>
  </si>
  <si>
    <t>Calculate the gamma parameters based on the total unpaid by accident year.</t>
  </si>
  <si>
    <t>Calculate the % incremental paid at each development period.</t>
  </si>
  <si>
    <t>•  Incremental losses follow an Over-Dispersed Poisson model with dispersion factor:</t>
  </si>
  <si>
    <t>Set prior distributions for all the LDFs to reflect the expert opinion. Specify both the mean and variance of the prior distributions.</t>
  </si>
  <si>
    <r>
      <t>λ</t>
    </r>
    <r>
      <rPr>
        <vertAlign val="subscript"/>
        <sz val="12"/>
        <color theme="1"/>
        <rFont val="Calibri"/>
        <family val="2"/>
      </rPr>
      <t>i,j</t>
    </r>
    <r>
      <rPr>
        <sz val="12"/>
        <color theme="1"/>
        <rFont val="Calibri"/>
        <family val="2"/>
      </rPr>
      <t xml:space="preserve"> = λ</t>
    </r>
    <r>
      <rPr>
        <vertAlign val="subscript"/>
        <sz val="12"/>
        <color theme="1"/>
        <rFont val="Calibri"/>
        <family val="2"/>
      </rPr>
      <t>j</t>
    </r>
  </si>
  <si>
    <r>
      <t>λ</t>
    </r>
    <r>
      <rPr>
        <vertAlign val="subscript"/>
        <sz val="12"/>
        <color theme="1"/>
        <rFont val="Calibri"/>
        <family val="2"/>
      </rPr>
      <t>2022,12-24</t>
    </r>
    <r>
      <rPr>
        <sz val="12"/>
        <color theme="1"/>
        <rFont val="Calibri"/>
        <family val="2"/>
      </rPr>
      <t xml:space="preserve"> = λ</t>
    </r>
    <r>
      <rPr>
        <vertAlign val="subscript"/>
        <sz val="12"/>
        <color theme="1"/>
        <rFont val="Calibri"/>
        <family val="2"/>
      </rPr>
      <t>2023,12-24</t>
    </r>
  </si>
  <si>
    <r>
      <t>Set the other LDF estimates, λ</t>
    </r>
    <r>
      <rPr>
        <vertAlign val="subscript"/>
        <sz val="12"/>
        <color theme="1"/>
        <rFont val="Calibri"/>
        <family val="2"/>
      </rPr>
      <t>j</t>
    </r>
    <r>
      <rPr>
        <sz val="12"/>
        <color theme="1"/>
        <rFont val="Calibri"/>
        <family val="2"/>
      </rPr>
      <t xml:space="preserve">, to have prior distributions with </t>
    </r>
    <r>
      <rPr>
        <i/>
        <u/>
        <sz val="12"/>
        <color theme="1"/>
        <rFont val="Calibri"/>
        <family val="2"/>
      </rPr>
      <t>large</t>
    </r>
    <r>
      <rPr>
        <sz val="12"/>
        <color theme="1"/>
        <rFont val="Calibri"/>
        <family val="2"/>
      </rPr>
      <t xml:space="preserve"> variances so that all the other</t>
    </r>
  </si>
  <si>
    <r>
      <t xml:space="preserve">Specify the prior distributions of the Bayesian model so that the most recent </t>
    </r>
    <r>
      <rPr>
        <b/>
        <i/>
        <sz val="12"/>
        <color theme="1"/>
        <rFont val="Calibri"/>
        <family val="2"/>
      </rPr>
      <t>n</t>
    </r>
    <r>
      <rPr>
        <b/>
        <sz val="12"/>
        <color theme="1"/>
        <rFont val="Calibri"/>
        <family val="2"/>
      </rPr>
      <t xml:space="preserve"> age-to-age development factors are used to calculate the LDFs as opposed to all accident years in the triangle.</t>
    </r>
  </si>
  <si>
    <r>
      <t>λ</t>
    </r>
    <r>
      <rPr>
        <vertAlign val="subscript"/>
        <sz val="12"/>
        <color theme="1"/>
        <rFont val="Calibri"/>
        <family val="2"/>
      </rPr>
      <t>i,j</t>
    </r>
    <r>
      <rPr>
        <sz val="12"/>
        <color theme="1"/>
        <rFont val="Calibri"/>
        <family val="2"/>
      </rPr>
      <t xml:space="preserve"> = λ</t>
    </r>
    <r>
      <rPr>
        <vertAlign val="subscript"/>
        <sz val="12"/>
        <color theme="1"/>
        <rFont val="Calibri"/>
        <family val="2"/>
      </rPr>
      <t>j</t>
    </r>
    <r>
      <rPr>
        <sz val="12"/>
        <color theme="1"/>
        <rFont val="Calibri"/>
        <family val="2"/>
      </rPr>
      <t>*</t>
    </r>
  </si>
  <si>
    <r>
      <t xml:space="preserve">for all development factors </t>
    </r>
    <r>
      <rPr>
        <i/>
        <u/>
        <sz val="12"/>
        <color theme="1"/>
        <rFont val="Calibri"/>
        <family val="2"/>
      </rPr>
      <t>prior</t>
    </r>
    <r>
      <rPr>
        <i/>
        <sz val="12"/>
        <color theme="1"/>
        <rFont val="Calibri"/>
        <family val="2"/>
      </rPr>
      <t xml:space="preserve"> </t>
    </r>
    <r>
      <rPr>
        <sz val="12"/>
        <color theme="1"/>
        <rFont val="Calibri"/>
        <family val="2"/>
      </rPr>
      <t>to the latest 3</t>
    </r>
  </si>
  <si>
    <r>
      <t>Set LDF estimates λ</t>
    </r>
    <r>
      <rPr>
        <vertAlign val="subscript"/>
        <sz val="12"/>
        <color theme="1"/>
        <rFont val="Calibri"/>
        <family val="2"/>
      </rPr>
      <t>j</t>
    </r>
    <r>
      <rPr>
        <sz val="12"/>
        <color theme="1"/>
        <rFont val="Calibri"/>
        <family val="2"/>
      </rPr>
      <t xml:space="preserve"> and λ</t>
    </r>
    <r>
      <rPr>
        <vertAlign val="subscript"/>
        <sz val="12"/>
        <color theme="1"/>
        <rFont val="Calibri"/>
        <family val="2"/>
      </rPr>
      <t>j</t>
    </r>
    <r>
      <rPr>
        <sz val="12"/>
        <color theme="1"/>
        <rFont val="Calibri"/>
        <family val="2"/>
      </rPr>
      <t>* to have prior distributions with large variances so that they're estimated from the data.</t>
    </r>
  </si>
  <si>
    <r>
      <t>The λ</t>
    </r>
    <r>
      <rPr>
        <vertAlign val="subscript"/>
        <sz val="12"/>
        <color theme="1"/>
        <rFont val="Calibri"/>
        <family val="2"/>
      </rPr>
      <t>j</t>
    </r>
    <r>
      <rPr>
        <sz val="12"/>
        <color theme="1"/>
        <rFont val="Calibri"/>
        <family val="2"/>
      </rPr>
      <t xml:space="preserve"> parameters reflecting the most recent 3 years are used for forecasting outstanding claims.</t>
    </r>
  </si>
  <si>
    <t xml:space="preserve">For the basic Verrall model, replicate the chain ladder method by using an over-dispersed negative binomial model. In the model, specify only one LDF for each development period. Set the prior distributions for the LDFs to have large variances (vague priors). </t>
  </si>
  <si>
    <t>With this specification, the model estimates the LDFs from the data, reverting to all-year volume-weighted LDFs. This model is more useful than using the chain ladder method by itself because it will produce prediction errors and a predictive distribution of loss reserve estimates.</t>
  </si>
  <si>
    <t>Override specific LDFs (part B) by specifying separate prior distributions for them, different from the main LDF for the development period. Specify the prior distributions for the overridden LDFs to have a mean of the overriding value (e.g. 1.60) and a relatively small variance.</t>
  </si>
  <si>
    <t>The more confident the actuarial judgment, the smaller the variance should be for the prior distribution (strong priors), which will cause the Bayesian model to draw the final LDF closer to the overriding value.</t>
  </si>
  <si>
    <r>
      <t xml:space="preserve">Set large variances for the prior distributions so that the LDFs are estimated from the data. The most recent </t>
    </r>
    <r>
      <rPr>
        <i/>
        <sz val="12"/>
        <color theme="1"/>
        <rFont val="Calibri"/>
        <family val="2"/>
      </rPr>
      <t>n</t>
    </r>
    <r>
      <rPr>
        <sz val="12"/>
        <color theme="1"/>
        <rFont val="Calibri"/>
        <family val="2"/>
      </rPr>
      <t>-year LDF parameters would be used for forecasting future losses.</t>
    </r>
  </si>
  <si>
    <r>
      <t>⍺ / β</t>
    </r>
    <r>
      <rPr>
        <vertAlign val="superscript"/>
        <sz val="12"/>
        <rFont val="Calibri"/>
        <family val="2"/>
      </rPr>
      <t>2</t>
    </r>
  </si>
  <si>
    <t>Calculate LDFs and CDFs from the original data.</t>
  </si>
  <si>
    <t>Gamma Parameters</t>
  </si>
  <si>
    <t>36-Ult</t>
  </si>
  <si>
    <t xml:space="preserve">Calculate the incremental and cumulative %Paid at each development period. </t>
  </si>
  <si>
    <r>
      <t>p</t>
    </r>
    <r>
      <rPr>
        <vertAlign val="subscript"/>
        <sz val="12"/>
        <color theme="1"/>
        <rFont val="Calibri"/>
        <family val="2"/>
      </rPr>
      <t>j</t>
    </r>
  </si>
  <si>
    <r>
      <t>%Paid</t>
    </r>
    <r>
      <rPr>
        <vertAlign val="subscript"/>
        <sz val="12"/>
        <color theme="1"/>
        <rFont val="Calibri"/>
        <family val="2"/>
      </rPr>
      <t>j</t>
    </r>
  </si>
  <si>
    <t>5)</t>
  </si>
  <si>
    <r>
      <t>Calculate the credibility weight, Z</t>
    </r>
    <r>
      <rPr>
        <b/>
        <vertAlign val="subscript"/>
        <sz val="12"/>
        <color theme="1"/>
        <rFont val="Calibri"/>
        <family val="2"/>
      </rPr>
      <t>i,j,</t>
    </r>
    <r>
      <rPr>
        <b/>
        <sz val="12"/>
        <color theme="1"/>
        <rFont val="Calibri"/>
        <family val="2"/>
      </rPr>
      <t xml:space="preserve"> for each cell.</t>
    </r>
  </si>
  <si>
    <t>6)</t>
  </si>
  <si>
    <t>Calculate the expected unpaid incremental losses from the BF method.</t>
  </si>
  <si>
    <t>7)</t>
  </si>
  <si>
    <t>Iteratively, calculate the unpaid incremental losses from the chain ladder and credibility-weighted methods. Use the credibility-weighted incremental losses when calculating the chain ladder method.</t>
  </si>
  <si>
    <t>a) Calculate the expected unpaid incremental losses from the chain ladder method.</t>
  </si>
  <si>
    <t>b) Calculate the credibility-weighted unpaid incremental losses for the model.</t>
  </si>
  <si>
    <t>Expected Unpaid - CL</t>
  </si>
  <si>
    <t>Credibility Weight</t>
  </si>
  <si>
    <t>8)</t>
  </si>
  <si>
    <r>
      <t xml:space="preserve">Repeat steps </t>
    </r>
    <r>
      <rPr>
        <b/>
        <i/>
        <sz val="12"/>
        <color theme="1"/>
        <rFont val="Calibri"/>
        <family val="2"/>
      </rPr>
      <t>a</t>
    </r>
    <r>
      <rPr>
        <b/>
        <sz val="12"/>
        <color theme="1"/>
        <rFont val="Calibri"/>
        <family val="2"/>
      </rPr>
      <t xml:space="preserve"> and </t>
    </r>
    <r>
      <rPr>
        <b/>
        <i/>
        <sz val="12"/>
        <color theme="1"/>
        <rFont val="Calibri"/>
        <family val="2"/>
      </rPr>
      <t>b</t>
    </r>
    <r>
      <rPr>
        <b/>
        <sz val="12"/>
        <color theme="1"/>
        <rFont val="Calibri"/>
        <family val="2"/>
      </rPr>
      <t xml:space="preserve"> to calculate the remaining credibility-weighted incremental losses.</t>
    </r>
  </si>
  <si>
    <r>
      <t xml:space="preserve">Step </t>
    </r>
    <r>
      <rPr>
        <i/>
        <sz val="12"/>
        <color theme="1"/>
        <rFont val="Calibri"/>
        <family val="2"/>
      </rPr>
      <t>a</t>
    </r>
    <r>
      <rPr>
        <sz val="12"/>
        <color theme="1"/>
        <rFont val="Calibri"/>
        <family val="2"/>
      </rPr>
      <t xml:space="preserve"> - Calculate the chain ladder incremental using the prior credibility-weighted incrementals:</t>
    </r>
  </si>
  <si>
    <r>
      <t xml:space="preserve">Step </t>
    </r>
    <r>
      <rPr>
        <i/>
        <sz val="12"/>
        <color theme="1"/>
        <rFont val="Calibri"/>
        <family val="2"/>
      </rPr>
      <t>b</t>
    </r>
    <r>
      <rPr>
        <sz val="12"/>
        <color theme="1"/>
        <rFont val="Calibri"/>
        <family val="2"/>
      </rPr>
      <t xml:space="preserve"> - Calculate the cred-weighted incremental:</t>
    </r>
  </si>
  <si>
    <t>Est Unpaid =</t>
  </si>
  <si>
    <t>The Bayesian model in Verrall is a credibility model between the incremental unpaid loss estimates from the chain ladder and Bornhuetter-Ferguson methods.</t>
  </si>
  <si>
    <t>Remember, the entire purpose of all of this is that the standard chain ladder and BF methods produce point estimates. The Bayesian model here reproduces those methods (or any weighted combination of them) and produces a full predictive distribution of reserves.</t>
  </si>
  <si>
    <r>
      <t xml:space="preserve">If we only need to calculate the </t>
    </r>
    <r>
      <rPr>
        <i/>
        <u/>
        <sz val="12"/>
        <color theme="1"/>
        <rFont val="Calibri"/>
        <family val="2"/>
      </rPr>
      <t>total</t>
    </r>
    <r>
      <rPr>
        <sz val="12"/>
        <color theme="1"/>
        <rFont val="Calibri"/>
        <family val="2"/>
      </rPr>
      <t xml:space="preserve"> unpaid loss by accident year, we can treat the unpaid loss one “period.” For instance, for 2023 we can treat 12-36 months as one period. This simplifies the calculation and comes to the same solution. I think this solution would be fine on the exam as well.</t>
    </r>
  </si>
  <si>
    <t>Note that this equals the unpaid loss for AY 2023 from above</t>
  </si>
  <si>
    <r>
      <t>Set the first parameter, γ</t>
    </r>
    <r>
      <rPr>
        <b/>
        <vertAlign val="subscript"/>
        <sz val="12"/>
        <color theme="1"/>
        <rFont val="Calibri"/>
        <family val="2"/>
      </rPr>
      <t>1</t>
    </r>
    <r>
      <rPr>
        <b/>
        <sz val="12"/>
        <color theme="1"/>
        <rFont val="Calibri"/>
        <family val="2"/>
      </rPr>
      <t>, to 1.0.</t>
    </r>
  </si>
  <si>
    <r>
      <t>Calculate γ</t>
    </r>
    <r>
      <rPr>
        <b/>
        <vertAlign val="subscript"/>
        <sz val="12"/>
        <rFont val="Calibri"/>
        <family val="2"/>
      </rPr>
      <t xml:space="preserve">AY </t>
    </r>
    <r>
      <rPr>
        <b/>
        <sz val="12"/>
        <rFont val="Calibri"/>
        <family val="2"/>
      </rPr>
      <t>recursively for each accident year beginning with the first row.</t>
    </r>
  </si>
  <si>
    <r>
      <t>a)  Calculate γ</t>
    </r>
    <r>
      <rPr>
        <vertAlign val="subscript"/>
        <sz val="12"/>
        <color theme="1"/>
        <rFont val="Calibri"/>
        <family val="2"/>
      </rPr>
      <t>AY</t>
    </r>
    <r>
      <rPr>
        <sz val="12"/>
        <color theme="1"/>
        <rFont val="Calibri"/>
        <family val="2"/>
      </rPr>
      <t xml:space="preserve">, using the incremental losses for all </t>
    </r>
    <r>
      <rPr>
        <i/>
        <u/>
        <sz val="12"/>
        <color theme="1"/>
        <rFont val="Calibri"/>
        <family val="2"/>
      </rPr>
      <t>prior</t>
    </r>
    <r>
      <rPr>
        <sz val="12"/>
        <color theme="1"/>
        <rFont val="Calibri"/>
        <family val="2"/>
      </rPr>
      <t xml:space="preserve"> accident years.</t>
    </r>
  </si>
  <si>
    <r>
      <t>γ</t>
    </r>
    <r>
      <rPr>
        <vertAlign val="subscript"/>
        <sz val="12"/>
        <color theme="1"/>
        <rFont val="Calibri"/>
        <family val="2"/>
      </rPr>
      <t>2</t>
    </r>
    <r>
      <rPr>
        <sz val="12"/>
        <color theme="1"/>
        <rFont val="Calibri"/>
        <family val="2"/>
      </rPr>
      <t xml:space="preserve"> =</t>
    </r>
  </si>
  <si>
    <r>
      <t xml:space="preserve">Repeat steps </t>
    </r>
    <r>
      <rPr>
        <b/>
        <i/>
        <sz val="12"/>
        <rFont val="Calibri"/>
        <family val="2"/>
      </rPr>
      <t>a</t>
    </r>
    <r>
      <rPr>
        <b/>
        <sz val="12"/>
        <rFont val="Calibri"/>
        <family val="2"/>
      </rPr>
      <t xml:space="preserve"> and </t>
    </r>
    <r>
      <rPr>
        <b/>
        <i/>
        <sz val="12"/>
        <rFont val="Calibri"/>
        <family val="2"/>
      </rPr>
      <t>b</t>
    </r>
    <r>
      <rPr>
        <b/>
        <sz val="12"/>
        <rFont val="Calibri"/>
        <family val="2"/>
      </rPr>
      <t xml:space="preserve"> until all the γ</t>
    </r>
    <r>
      <rPr>
        <b/>
        <vertAlign val="subscript"/>
        <sz val="12"/>
        <rFont val="Calibri"/>
        <family val="2"/>
      </rPr>
      <t>AY</t>
    </r>
    <r>
      <rPr>
        <b/>
        <sz val="12"/>
        <rFont val="Calibri"/>
        <family val="2"/>
      </rPr>
      <t xml:space="preserve"> row parameters are calculated.</t>
    </r>
  </si>
  <si>
    <r>
      <t>Step a - Calculate the γ</t>
    </r>
    <r>
      <rPr>
        <vertAlign val="subscript"/>
        <sz val="12"/>
        <rFont val="Calibri"/>
        <family val="2"/>
      </rPr>
      <t>3</t>
    </r>
    <r>
      <rPr>
        <sz val="12"/>
        <rFont val="Calibri"/>
        <family val="2"/>
      </rPr>
      <t xml:space="preserve">  row parameter</t>
    </r>
  </si>
  <si>
    <t>b) Calculate the expected future incremental losses for the accident year and fill in the triangle as you go.</t>
  </si>
  <si>
    <r>
      <t>γ</t>
    </r>
    <r>
      <rPr>
        <vertAlign val="subscript"/>
        <sz val="12"/>
        <color theme="1"/>
        <rFont val="Calibri"/>
        <family val="2"/>
      </rPr>
      <t>3</t>
    </r>
    <r>
      <rPr>
        <sz val="12"/>
        <color theme="1"/>
        <rFont val="Calibri"/>
        <family val="2"/>
      </rPr>
      <t xml:space="preserve"> =</t>
    </r>
  </si>
  <si>
    <r>
      <t xml:space="preserve">Step </t>
    </r>
    <r>
      <rPr>
        <i/>
        <sz val="12"/>
        <rFont val="Calibri"/>
        <family val="2"/>
      </rPr>
      <t>b</t>
    </r>
    <r>
      <rPr>
        <sz val="12"/>
        <rFont val="Calibri"/>
        <family val="2"/>
      </rPr>
      <t xml:space="preserve"> - Calculate the expected future incremental losses:</t>
    </r>
  </si>
  <si>
    <r>
      <t>γ</t>
    </r>
    <r>
      <rPr>
        <vertAlign val="subscript"/>
        <sz val="12"/>
        <color theme="1"/>
        <rFont val="Calibri"/>
        <family val="2"/>
      </rPr>
      <t>AY</t>
    </r>
  </si>
  <si>
    <t>Summary of Parameters</t>
  </si>
  <si>
    <t>The alternative approach below based on the BF method will calculate the same gamma values. This method squares the triangle with the BF method and then uses the squared triangle to calculate the backed-out gamma values.</t>
  </si>
  <si>
    <r>
      <t>In the earlier Bayesian BF model, only the row parameters x</t>
    </r>
    <r>
      <rPr>
        <vertAlign val="subscript"/>
        <sz val="12"/>
        <color theme="1"/>
        <rFont val="Calibri"/>
        <family val="2"/>
      </rPr>
      <t xml:space="preserve">i </t>
    </r>
    <r>
      <rPr>
        <sz val="12"/>
        <color theme="1"/>
        <rFont val="Calibri"/>
        <family val="2"/>
      </rPr>
      <t xml:space="preserve">(expected losses) are given an </t>
    </r>
    <r>
      <rPr>
        <i/>
        <sz val="12"/>
        <color theme="1"/>
        <rFont val="Calibri"/>
        <family val="2"/>
      </rPr>
      <t>a priori</t>
    </r>
    <r>
      <rPr>
        <sz val="12"/>
        <color theme="1"/>
        <rFont val="Calibri"/>
        <family val="2"/>
      </rPr>
      <t xml:space="preserve"> distribution to calculate a posterior distribution estimated from the MCMC model so that they’re stochastic. The LDFs would be fixed estimates from the chain ladder method directly on the loss triangle. </t>
    </r>
  </si>
  <si>
    <t>Stochastic simply means we’re adding randomness to the parameters that are used in the model as opposed to fixed, deterministic parameters.</t>
  </si>
  <si>
    <t>The paper is unclear, but this is my interpretation of how the Verrall Bayesian MCMC model would work:</t>
  </si>
  <si>
    <r>
      <t>2. Calculate posterior distributions for the row (x</t>
    </r>
    <r>
      <rPr>
        <vertAlign val="subscript"/>
        <sz val="12"/>
        <color theme="1"/>
        <rFont val="Calibri"/>
        <family val="2"/>
      </rPr>
      <t>i</t>
    </r>
    <r>
      <rPr>
        <sz val="12"/>
        <color theme="1"/>
        <rFont val="Calibri"/>
        <family val="2"/>
      </rPr>
      <t>) parameters. We would set the variance of the prior distributions using the β</t>
    </r>
    <r>
      <rPr>
        <vertAlign val="subscript"/>
        <sz val="12"/>
        <color theme="1"/>
        <rFont val="Calibri"/>
        <family val="2"/>
      </rPr>
      <t xml:space="preserve">AY </t>
    </r>
    <r>
      <rPr>
        <sz val="12"/>
        <color theme="1"/>
        <rFont val="Calibri"/>
        <family val="2"/>
      </rPr>
      <t>parameters (discussed in the “Bayesian Model for the BF Method” recipe).</t>
    </r>
  </si>
  <si>
    <t xml:space="preserve">3. Finally, we use the reparameterization with the gamma parameters to reflect the underlying row and column parameters. </t>
  </si>
  <si>
    <t>4. Calculate the forecasted unpaid loss estimate for thousands of iterations to create the distribution of unpaid losses.</t>
  </si>
  <si>
    <r>
      <t>Use the γ</t>
    </r>
    <r>
      <rPr>
        <b/>
        <vertAlign val="subscript"/>
        <sz val="12"/>
        <color theme="1"/>
        <rFont val="Calibri"/>
        <family val="2"/>
      </rPr>
      <t>AY</t>
    </r>
    <r>
      <rPr>
        <b/>
        <sz val="12"/>
        <color theme="1"/>
        <rFont val="Calibri"/>
        <family val="2"/>
      </rPr>
      <t xml:space="preserve"> parameters to recursively calculate the expected unpaid incremental losses, starting with the oldest accident year that’s not fully developed to ultimate.</t>
    </r>
  </si>
  <si>
    <t>the 12-24 month development factor should be 2.7 for accident years 2022 and 2023.</t>
  </si>
  <si>
    <r>
      <t xml:space="preserve">Square the triangle of incremental losses using the BF method and the % Incremental Paid. Note that the incremental losses will </t>
    </r>
    <r>
      <rPr>
        <b/>
        <i/>
        <u/>
        <sz val="12"/>
        <color theme="1"/>
        <rFont val="Calibri"/>
        <family val="2"/>
      </rPr>
      <t>not</t>
    </r>
    <r>
      <rPr>
        <b/>
        <sz val="12"/>
        <color theme="1"/>
        <rFont val="Calibri"/>
        <family val="2"/>
      </rPr>
      <t xml:space="preserve"> match the incremental losses calculated with the gammas, but the </t>
    </r>
    <r>
      <rPr>
        <b/>
        <i/>
        <u/>
        <sz val="12"/>
        <color theme="1"/>
        <rFont val="Calibri"/>
        <family val="2"/>
      </rPr>
      <t>total</t>
    </r>
    <r>
      <rPr>
        <b/>
        <sz val="12"/>
        <color theme="1"/>
        <rFont val="Calibri"/>
        <family val="2"/>
      </rPr>
      <t xml:space="preserve"> unpaid by accident year will be the same as the total unpaid calculated with the gammas. </t>
    </r>
  </si>
  <si>
    <r>
      <t>γ</t>
    </r>
    <r>
      <rPr>
        <vertAlign val="subscript"/>
        <sz val="12"/>
        <rFont val="Calibri"/>
        <family val="2"/>
      </rPr>
      <t>AY</t>
    </r>
  </si>
  <si>
    <r>
      <t>1. Calculate posterior distributions for the column  λ</t>
    </r>
    <r>
      <rPr>
        <vertAlign val="subscript"/>
        <sz val="12"/>
        <color theme="1"/>
        <rFont val="Calibri"/>
        <family val="2"/>
      </rPr>
      <t>j</t>
    </r>
    <r>
      <rPr>
        <sz val="12"/>
        <color theme="1"/>
        <rFont val="Calibri"/>
        <family val="2"/>
      </rPr>
      <t xml:space="preserve"> parameters using improper (vague) prior distributions.</t>
    </r>
  </si>
  <si>
    <r>
      <t>Iteration #91 γ</t>
    </r>
    <r>
      <rPr>
        <vertAlign val="subscript"/>
        <sz val="12"/>
        <color rgb="FF000000"/>
        <rFont val="Calibri"/>
        <family val="2"/>
      </rPr>
      <t>AY</t>
    </r>
  </si>
  <si>
    <t>Calculate the expected ultimate losses for accident year 2023 for this iteration of the model.</t>
  </si>
  <si>
    <t>Given the following loss triangle for accident years 2019-2023:</t>
  </si>
  <si>
    <t>•  For all development periods, except 12-24, use the same LDF for all accident years</t>
  </si>
  <si>
    <t>•  The 12-24 LDF for accident years 2019-2021</t>
  </si>
  <si>
    <r>
      <t xml:space="preserve">•  Set to have a mean of 2.7 and a </t>
    </r>
    <r>
      <rPr>
        <i/>
        <u/>
        <sz val="12"/>
        <color theme="1"/>
        <rFont val="Calibri"/>
        <family val="2"/>
      </rPr>
      <t>small</t>
    </r>
    <r>
      <rPr>
        <sz val="12"/>
        <color theme="1"/>
        <rFont val="Calibri"/>
        <family val="2"/>
      </rPr>
      <t xml:space="preserve"> variance to reflect strong information</t>
    </r>
  </si>
  <si>
    <t>Use volume-weighted LDFs:</t>
  </si>
  <si>
    <r>
      <t>λ</t>
    </r>
    <r>
      <rPr>
        <vertAlign val="subscript"/>
        <sz val="12"/>
        <color theme="1"/>
        <rFont val="Calibri"/>
        <family val="2"/>
      </rPr>
      <t>i</t>
    </r>
    <r>
      <rPr>
        <sz val="12"/>
        <color theme="1"/>
        <rFont val="Calibri"/>
        <family val="2"/>
      </rPr>
      <t>,</t>
    </r>
    <r>
      <rPr>
        <vertAlign val="subscript"/>
        <sz val="12"/>
        <color theme="1"/>
        <rFont val="Calibri"/>
        <family val="2"/>
      </rPr>
      <t>12-24</t>
    </r>
    <r>
      <rPr>
        <sz val="12"/>
        <color theme="1"/>
        <rFont val="Calibri"/>
        <family val="2"/>
      </rPr>
      <t xml:space="preserve"> = λ</t>
    </r>
    <r>
      <rPr>
        <vertAlign val="subscript"/>
        <sz val="12"/>
        <color theme="1"/>
        <rFont val="Calibri"/>
        <family val="2"/>
      </rPr>
      <t xml:space="preserve">12-24 </t>
    </r>
  </si>
  <si>
    <t>Expected Credibility - Weighted Unpaid Losses</t>
  </si>
  <si>
    <r>
      <t xml:space="preserve">The key thing to remember is that the level of credibility is set by adjusting the parameter </t>
    </r>
    <r>
      <rPr>
        <i/>
        <sz val="12"/>
        <color theme="1"/>
        <rFont val="Calibri"/>
        <family val="2"/>
      </rPr>
      <t>𝛽</t>
    </r>
    <r>
      <rPr>
        <i/>
        <vertAlign val="subscript"/>
        <sz val="12"/>
        <color theme="1"/>
        <rFont val="Calibri"/>
        <family val="2"/>
      </rPr>
      <t>AY</t>
    </r>
    <r>
      <rPr>
        <sz val="12"/>
        <color theme="1"/>
        <rFont val="Calibri"/>
        <family val="2"/>
      </rPr>
      <t xml:space="preserve">. The parameter </t>
    </r>
    <r>
      <rPr>
        <i/>
        <sz val="12"/>
        <color theme="1"/>
        <rFont val="Calibri"/>
        <family val="2"/>
      </rPr>
      <t>M</t>
    </r>
    <r>
      <rPr>
        <i/>
        <vertAlign val="subscript"/>
        <sz val="12"/>
        <color theme="1"/>
        <rFont val="Calibri"/>
        <family val="2"/>
      </rPr>
      <t>AY</t>
    </r>
    <r>
      <rPr>
        <sz val="12"/>
        <color theme="1"/>
        <rFont val="Calibri"/>
        <family val="2"/>
      </rPr>
      <t xml:space="preserve"> is set to the </t>
    </r>
    <r>
      <rPr>
        <i/>
        <sz val="12"/>
        <color theme="1"/>
        <rFont val="Calibri"/>
        <family val="2"/>
      </rPr>
      <t>a priori</t>
    </r>
    <r>
      <rPr>
        <sz val="12"/>
        <color theme="1"/>
        <rFont val="Calibri"/>
        <family val="2"/>
      </rPr>
      <t xml:space="preserve"> expected ultimate losses for each accident year. Then, by increasing </t>
    </r>
    <r>
      <rPr>
        <b/>
        <i/>
        <sz val="12"/>
        <color theme="1"/>
        <rFont val="Calibri"/>
        <family val="2"/>
      </rPr>
      <t>𝛽</t>
    </r>
    <r>
      <rPr>
        <i/>
        <vertAlign val="subscript"/>
        <sz val="12"/>
        <color theme="1"/>
        <rFont val="Calibri"/>
        <family val="2"/>
      </rPr>
      <t>AY</t>
    </r>
    <r>
      <rPr>
        <sz val="12"/>
        <color theme="1"/>
        <rFont val="Calibri"/>
        <family val="2"/>
      </rPr>
      <t xml:space="preserve"> (and increasing </t>
    </r>
    <r>
      <rPr>
        <i/>
        <sz val="12"/>
        <color theme="1"/>
        <rFont val="Calibri"/>
        <family val="2"/>
      </rPr>
      <t>α</t>
    </r>
    <r>
      <rPr>
        <i/>
        <vertAlign val="subscript"/>
        <sz val="12"/>
        <color theme="1"/>
        <rFont val="Calibri"/>
        <family val="2"/>
      </rPr>
      <t>AY</t>
    </r>
    <r>
      <rPr>
        <sz val="12"/>
        <color theme="1"/>
        <rFont val="Calibri"/>
        <family val="2"/>
      </rPr>
      <t xml:space="preserve"> so that </t>
    </r>
    <r>
      <rPr>
        <i/>
        <sz val="12"/>
        <color theme="1"/>
        <rFont val="Calibri"/>
        <family val="2"/>
      </rPr>
      <t>M</t>
    </r>
    <r>
      <rPr>
        <i/>
        <vertAlign val="subscript"/>
        <sz val="12"/>
        <color theme="1"/>
        <rFont val="Calibri"/>
        <family val="2"/>
      </rPr>
      <t>AY</t>
    </r>
    <r>
      <rPr>
        <sz val="12"/>
        <color theme="1"/>
        <rFont val="Calibri"/>
        <family val="2"/>
      </rPr>
      <t xml:space="preserve"> stays constant) we can adjust the variance of the prior distribution downward while keeping the expected incremental loss the same. This results in “stronger priors” and a higher weight on the BF method in the final formula.</t>
    </r>
  </si>
  <si>
    <r>
      <t xml:space="preserve">At the extremes, setting </t>
    </r>
    <r>
      <rPr>
        <i/>
        <sz val="12"/>
        <color theme="1"/>
        <rFont val="Calibri"/>
        <family val="2"/>
      </rPr>
      <t>𝛽</t>
    </r>
    <r>
      <rPr>
        <i/>
        <vertAlign val="subscript"/>
        <sz val="12"/>
        <color theme="1"/>
        <rFont val="Calibri"/>
        <family val="2"/>
      </rPr>
      <t>AY</t>
    </r>
    <r>
      <rPr>
        <sz val="12"/>
        <color theme="1"/>
        <rFont val="Calibri"/>
        <family val="2"/>
      </rPr>
      <t xml:space="preserve"> = 0 results in the chain ladder method and setting </t>
    </r>
    <r>
      <rPr>
        <i/>
        <sz val="12"/>
        <color theme="1"/>
        <rFont val="Calibri"/>
        <family val="2"/>
      </rPr>
      <t>𝛽</t>
    </r>
    <r>
      <rPr>
        <i/>
        <vertAlign val="subscript"/>
        <sz val="12"/>
        <color theme="1"/>
        <rFont val="Calibri"/>
        <family val="2"/>
      </rPr>
      <t>AY</t>
    </r>
    <r>
      <rPr>
        <i/>
        <sz val="12"/>
        <color theme="1"/>
        <rFont val="Calibri"/>
        <family val="2"/>
      </rPr>
      <t xml:space="preserve"> = ∞</t>
    </r>
    <r>
      <rPr>
        <sz val="12"/>
        <color theme="1"/>
        <rFont val="Calibri"/>
        <family val="2"/>
      </rPr>
      <t xml:space="preserve"> results in the BF method. The flexibility of setting </t>
    </r>
    <r>
      <rPr>
        <i/>
        <sz val="12"/>
        <color theme="1"/>
        <rFont val="Calibri"/>
        <family val="2"/>
      </rPr>
      <t>𝛽</t>
    </r>
    <r>
      <rPr>
        <i/>
        <vertAlign val="subscript"/>
        <sz val="12"/>
        <color theme="1"/>
        <rFont val="Calibri"/>
        <family val="2"/>
      </rPr>
      <t>AY</t>
    </r>
    <r>
      <rPr>
        <sz val="12"/>
        <color theme="1"/>
        <rFont val="Calibri"/>
        <family val="2"/>
      </rPr>
      <t xml:space="preserve"> allows for a range of stochastic models between the chain ladder and BF methods.</t>
    </r>
  </si>
  <si>
    <r>
      <t>Col Parameters (λ</t>
    </r>
    <r>
      <rPr>
        <vertAlign val="subscript"/>
        <sz val="12"/>
        <color rgb="FF000000"/>
        <rFont val="Calibri"/>
        <family val="2"/>
      </rPr>
      <t>j</t>
    </r>
    <r>
      <rPr>
        <sz val="12"/>
        <color rgb="FF000000"/>
        <rFont val="Calibri"/>
        <family val="2"/>
      </rPr>
      <t>)</t>
    </r>
  </si>
  <si>
    <r>
      <t>Est Ultimate Loss</t>
    </r>
    <r>
      <rPr>
        <vertAlign val="subscript"/>
        <sz val="12"/>
        <color theme="1"/>
        <rFont val="Calibri"/>
        <family val="2"/>
      </rPr>
      <t>2023</t>
    </r>
    <r>
      <rPr>
        <sz val="12"/>
        <color theme="1"/>
        <rFont val="Calibri"/>
        <family val="2"/>
      </rPr>
      <t xml:space="preserve"> =</t>
    </r>
  </si>
  <si>
    <r>
      <t>γ</t>
    </r>
    <r>
      <rPr>
        <vertAlign val="subscript"/>
        <sz val="12"/>
        <color theme="1"/>
        <rFont val="Calibri"/>
        <family val="2"/>
      </rPr>
      <t>1</t>
    </r>
    <r>
      <rPr>
        <sz val="12"/>
        <color theme="1"/>
        <rFont val="Calibri"/>
        <family val="2"/>
      </rPr>
      <t xml:space="preserve"> =</t>
    </r>
  </si>
  <si>
    <t xml:space="preserve">Note: </t>
  </si>
  <si>
    <t>Either approach is fine if you’re just asked for the gamma parameters. Use whichever approach is easier to remember. The alternative approach can sometimes be a little faster.</t>
  </si>
  <si>
    <r>
      <t xml:space="preserve">For the fully-stochastic BF model, we </t>
    </r>
    <r>
      <rPr>
        <i/>
        <u/>
        <sz val="12"/>
        <color theme="1"/>
        <rFont val="Calibri"/>
        <family val="2"/>
      </rPr>
      <t>reparameterize</t>
    </r>
    <r>
      <rPr>
        <sz val="12"/>
        <color theme="1"/>
        <rFont val="Calibri"/>
        <family val="2"/>
      </rPr>
      <t xml:space="preserve"> the model in terms of gamma parameters (γ</t>
    </r>
    <r>
      <rPr>
        <vertAlign val="subscript"/>
        <sz val="12"/>
        <color theme="1"/>
        <rFont val="Calibri"/>
        <family val="2"/>
      </rPr>
      <t>AY</t>
    </r>
    <r>
      <rPr>
        <sz val="12"/>
        <color theme="1"/>
        <rFont val="Calibri"/>
        <family val="2"/>
      </rPr>
      <t>) that reflect both the row (xi</t>
    </r>
    <r>
      <rPr>
        <vertAlign val="subscript"/>
        <sz val="12"/>
        <color theme="1"/>
        <rFont val="Calibri"/>
        <family val="2"/>
      </rPr>
      <t>)</t>
    </r>
    <r>
      <rPr>
        <sz val="12"/>
        <color theme="1"/>
        <rFont val="Calibri"/>
        <family val="2"/>
      </rPr>
      <t xml:space="preserve"> </t>
    </r>
    <r>
      <rPr>
        <i/>
        <u/>
        <sz val="12"/>
        <color theme="1"/>
        <rFont val="Calibri"/>
        <family val="2"/>
      </rPr>
      <t>and column</t>
    </r>
    <r>
      <rPr>
        <sz val="12"/>
        <color theme="1"/>
        <rFont val="Calibri"/>
        <family val="2"/>
      </rPr>
      <t xml:space="preserve"> (λ</t>
    </r>
    <r>
      <rPr>
        <vertAlign val="subscript"/>
        <sz val="12"/>
        <color theme="1"/>
        <rFont val="Calibri"/>
        <family val="2"/>
      </rPr>
      <t>j</t>
    </r>
    <r>
      <rPr>
        <sz val="12"/>
        <color theme="1"/>
        <rFont val="Calibri"/>
        <family val="2"/>
      </rPr>
      <t xml:space="preserve">) parameters. You can see this in the formula for gamma (note that the column parameters are the LDFs). </t>
    </r>
  </si>
  <si>
    <r>
      <t>From the prior recipe about the fully-stochastic BF model, we reparameterized the model in terms of gamma parameters (γ</t>
    </r>
    <r>
      <rPr>
        <vertAlign val="subscript"/>
        <sz val="12"/>
        <color theme="1"/>
        <rFont val="Calibri"/>
        <family val="2"/>
      </rPr>
      <t>AY</t>
    </r>
    <r>
      <rPr>
        <sz val="12"/>
        <color theme="1"/>
        <rFont val="Calibri"/>
        <family val="2"/>
      </rPr>
      <t>) that reflect both the row (x</t>
    </r>
    <r>
      <rPr>
        <vertAlign val="subscript"/>
        <sz val="12"/>
        <color theme="1"/>
        <rFont val="Calibri"/>
        <family val="2"/>
      </rPr>
      <t>i</t>
    </r>
    <r>
      <rPr>
        <sz val="12"/>
        <color theme="1"/>
        <rFont val="Calibri"/>
        <family val="2"/>
      </rPr>
      <t>) and column (λ</t>
    </r>
    <r>
      <rPr>
        <vertAlign val="subscript"/>
        <sz val="12"/>
        <color theme="1"/>
        <rFont val="Calibri"/>
        <family val="2"/>
      </rPr>
      <t>j</t>
    </r>
    <r>
      <rPr>
        <sz val="12"/>
        <color theme="1"/>
        <rFont val="Calibri"/>
        <family val="2"/>
      </rPr>
      <t>) parameters. 
The reparameterized gamma parameters (γ</t>
    </r>
    <r>
      <rPr>
        <vertAlign val="subscript"/>
        <sz val="12"/>
        <color theme="1"/>
        <rFont val="Calibri"/>
        <family val="2"/>
      </rPr>
      <t>AY</t>
    </r>
    <r>
      <rPr>
        <sz val="12"/>
        <color theme="1"/>
        <rFont val="Calibri"/>
        <family val="2"/>
      </rPr>
      <t>) are effectively a "flipped" version of how we normally apply the chain-ladder method. Instead of multiplying LDFs by prior cumulative losses across an AY, we multiply gammas by prior cumulative losses down a column.
This problem shows how, given the values of the γ</t>
    </r>
    <r>
      <rPr>
        <vertAlign val="subscript"/>
        <sz val="12"/>
        <color theme="1"/>
        <rFont val="Calibri"/>
        <family val="2"/>
      </rPr>
      <t>AY</t>
    </r>
    <r>
      <rPr>
        <sz val="12"/>
        <color theme="1"/>
        <rFont val="Calibri"/>
        <family val="2"/>
      </rPr>
      <t xml:space="preserve"> parameters, we can calculate the unpaid losses recursively beginning with the earliest accident year. This is similar to estimating the unpaid incremental losses with the chain ladder method, but the calculations are done down a column instead of across a row.</t>
    </r>
  </si>
  <si>
    <r>
      <t xml:space="preserve">To use </t>
    </r>
    <r>
      <rPr>
        <i/>
        <sz val="12"/>
        <color theme="1"/>
        <rFont val="Calibri"/>
        <family val="2"/>
      </rPr>
      <t>n</t>
    </r>
    <r>
      <rPr>
        <sz val="12"/>
        <color theme="1"/>
        <rFont val="Calibri"/>
        <family val="2"/>
      </rPr>
      <t xml:space="preserve">-year LDFs, specify two different LDFs to be estimated from the data for each development period. One LDF is estimated from the most recent n calendar years. The other is estimated from all the years prior. </t>
    </r>
  </si>
  <si>
    <t>Calculate the estimated total unpaid loss as the sum of the future incremental unpaid losses for the accident year. Add the paid loss to-date to calculate the ultimate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</si>
</sst>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quot;$&quot;* #,##0_);_(&quot;$&quot;* \(#,##0\);_(&quot;$&quot;* &quot;-&quot;??_);_(@_)"/>
    <numFmt numFmtId="165" formatCode="0.000"/>
    <numFmt numFmtId="166" formatCode="_-* #,##0.000_-;\-* #,##0.000_-;_-* &quot;-&quot;??_-;_-@_-"/>
    <numFmt numFmtId="167" formatCode="_-* #,##0.000000_-;\-* #,##0.000000_-;_-* &quot;-&quot;??_-;_-@_-"/>
    <numFmt numFmtId="168" formatCode="_-* #,##0_-;\-* #,##0_-;_-* &quot;-&quot;??_-;_-@_-"/>
    <numFmt numFmtId="169" formatCode="0.0%"/>
    <numFmt numFmtId="170" formatCode="0.0"/>
    <numFmt numFmtId="171" formatCode="#,##0.0"/>
    <numFmt numFmtId="172" formatCode="0.0000"/>
    <numFmt numFmtId="173" formatCode="#,##0.000_ ;\-#,##0.000\ "/>
  </numFmts>
  <fonts count="34"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i/>
      <sz val="12"/>
      <color theme="1"/>
      <name val="Calibri"/>
      <family val="2"/>
    </font>
    <font>
      <sz val="12"/>
      <color rgb="FF000000"/>
      <name val="Calibri"/>
      <family val="2"/>
    </font>
    <font>
      <sz val="12"/>
      <name val="Calibri"/>
      <family val="2"/>
    </font>
    <font>
      <b/>
      <sz val="12"/>
      <color theme="1"/>
      <name val="Calibri"/>
      <family val="2"/>
    </font>
    <font>
      <b/>
      <sz val="12"/>
      <color rgb="FF000000"/>
      <name val="Calibri"/>
      <family val="2"/>
    </font>
    <font>
      <b/>
      <sz val="12"/>
      <name val="Calibri"/>
      <family val="2"/>
    </font>
    <font>
      <i/>
      <u/>
      <sz val="12"/>
      <color theme="1"/>
      <name val="Calibri"/>
      <family val="2"/>
    </font>
    <font>
      <vertAlign val="subscript"/>
      <sz val="12"/>
      <color theme="1"/>
      <name val="Calibri"/>
      <family val="2"/>
    </font>
    <font>
      <b/>
      <vertAlign val="subscript"/>
      <sz val="12"/>
      <color theme="1"/>
      <name val="Calibri"/>
      <family val="2"/>
    </font>
    <font>
      <vertAlign val="subscript"/>
      <sz val="12"/>
      <color rgb="FF000000"/>
      <name val="Calibri"/>
      <family val="2"/>
    </font>
    <font>
      <u/>
      <sz val="14"/>
      <color theme="1"/>
      <name val="Calibri"/>
      <family val="2"/>
    </font>
    <font>
      <u/>
      <sz val="14"/>
      <name val="Calibri"/>
      <family val="2"/>
    </font>
    <font>
      <vertAlign val="subscript"/>
      <sz val="12"/>
      <name val="Calibri"/>
      <family val="2"/>
    </font>
    <font>
      <sz val="11"/>
      <name val="Calibri"/>
      <family val="2"/>
    </font>
    <font>
      <b/>
      <i/>
      <sz val="12"/>
      <color theme="1"/>
      <name val="Calibri"/>
      <family val="2"/>
    </font>
    <font>
      <u/>
      <sz val="12"/>
      <color theme="1"/>
      <name val="Calibri"/>
      <family val="2"/>
    </font>
    <font>
      <vertAlign val="superscript"/>
      <sz val="12"/>
      <name val="Calibri"/>
      <family val="2"/>
    </font>
    <font>
      <sz val="12"/>
      <color theme="1" tint="0.499984740745262"/>
      <name val="Calibri"/>
      <family val="2"/>
    </font>
    <font>
      <b/>
      <vertAlign val="subscript"/>
      <sz val="12"/>
      <name val="Calibri"/>
      <family val="2"/>
    </font>
    <font>
      <b/>
      <i/>
      <sz val="12"/>
      <name val="Calibri"/>
      <family val="2"/>
    </font>
    <font>
      <i/>
      <sz val="12"/>
      <name val="Calibri"/>
      <family val="2"/>
    </font>
    <font>
      <u/>
      <sz val="12"/>
      <name val="Calibri"/>
      <family val="2"/>
    </font>
    <font>
      <i/>
      <vertAlign val="subscript"/>
      <sz val="12"/>
      <color theme="1"/>
      <name val="Calibri"/>
      <family val="2"/>
    </font>
    <font>
      <b/>
      <i/>
      <u/>
      <sz val="12"/>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3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right style="medium">
        <color indexed="64"/>
      </right>
      <top style="medium">
        <color indexed="64"/>
      </top>
      <bottom style="medium">
        <color indexed="64"/>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dotted">
        <color indexed="64"/>
      </right>
      <top/>
      <bottom/>
      <diagonal/>
    </border>
    <border>
      <left/>
      <right/>
      <top/>
      <bottom style="dotted">
        <color indexed="64"/>
      </bottom>
      <diagonal/>
    </border>
    <border>
      <left style="dotted">
        <color indexed="64"/>
      </left>
      <right/>
      <top style="dotted">
        <color indexed="64"/>
      </top>
      <bottom/>
      <diagonal/>
    </border>
    <border>
      <left style="thin">
        <color rgb="FF000000"/>
      </left>
      <right style="dashed">
        <color indexed="64"/>
      </right>
      <top/>
      <bottom/>
      <diagonal/>
    </border>
    <border>
      <left/>
      <right/>
      <top/>
      <bottom style="dashed">
        <color indexed="64"/>
      </bottom>
      <diagonal/>
    </border>
    <border>
      <left style="dashed">
        <color indexed="64"/>
      </left>
      <right/>
      <top/>
      <bottom/>
      <diagonal/>
    </border>
    <border>
      <left/>
      <right style="dashed">
        <color indexed="64"/>
      </right>
      <top/>
      <bottom style="dashed">
        <color indexed="64"/>
      </bottom>
      <diagonal/>
    </border>
    <border>
      <left style="dashed">
        <color indexed="64"/>
      </left>
      <right/>
      <top style="dashed">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medium">
        <color indexed="64"/>
      </bottom>
      <diagonal/>
    </border>
    <border>
      <left/>
      <right style="thin">
        <color rgb="FF000000"/>
      </right>
      <top/>
      <bottom style="thin">
        <color indexed="64"/>
      </bottom>
      <diagonal/>
    </border>
  </borders>
  <cellStyleXfs count="6">
    <xf numFmtId="0" fontId="0"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cellStyleXfs>
  <cellXfs count="214">
    <xf numFmtId="0" fontId="0" fillId="0" borderId="0" xfId="0"/>
    <xf numFmtId="0" fontId="7" fillId="2" borderId="1" xfId="0" applyFont="1" applyFill="1" applyBorder="1"/>
    <xf numFmtId="0" fontId="7" fillId="0" borderId="0" xfId="0" applyFont="1"/>
    <xf numFmtId="0" fontId="8" fillId="0" borderId="0" xfId="0" applyFont="1"/>
    <xf numFmtId="0" fontId="9" fillId="0" borderId="0" xfId="0" applyFont="1"/>
    <xf numFmtId="0" fontId="13" fillId="0" borderId="0" xfId="0" applyFont="1"/>
    <xf numFmtId="0" fontId="12" fillId="0" borderId="6" xfId="0" applyFont="1" applyBorder="1" applyAlignment="1">
      <alignment horizontal="center" wrapText="1"/>
    </xf>
    <xf numFmtId="0" fontId="12" fillId="0" borderId="0" xfId="0" applyFont="1" applyAlignment="1">
      <alignment horizontal="center" vertical="center" wrapText="1"/>
    </xf>
    <xf numFmtId="0" fontId="12" fillId="0" borderId="8" xfId="0" applyFont="1" applyBorder="1" applyAlignment="1">
      <alignment horizontal="center" wrapText="1"/>
    </xf>
    <xf numFmtId="0" fontId="12" fillId="0" borderId="7" xfId="0" applyFont="1" applyBorder="1" applyAlignment="1">
      <alignment horizontal="center" vertical="center" wrapText="1"/>
    </xf>
    <xf numFmtId="0" fontId="11" fillId="2" borderId="0" xfId="0" applyFont="1" applyFill="1" applyAlignment="1">
      <alignment horizontal="center" vertical="center" wrapText="1"/>
    </xf>
    <xf numFmtId="0" fontId="15" fillId="0" borderId="0" xfId="0" applyFont="1"/>
    <xf numFmtId="0" fontId="12" fillId="0" borderId="8" xfId="0" applyFont="1" applyBorder="1" applyAlignment="1">
      <alignment horizontal="center"/>
    </xf>
    <xf numFmtId="0" fontId="12" fillId="0" borderId="0" xfId="0" applyFont="1" applyAlignment="1">
      <alignment horizontal="center"/>
    </xf>
    <xf numFmtId="0" fontId="12" fillId="0" borderId="10" xfId="0" applyFont="1" applyBorder="1" applyAlignment="1">
      <alignment horizontal="center"/>
    </xf>
    <xf numFmtId="0" fontId="12" fillId="0" borderId="11" xfId="0" applyFont="1" applyBorder="1" applyAlignment="1">
      <alignment horizontal="center"/>
    </xf>
    <xf numFmtId="0" fontId="12" fillId="0" borderId="12" xfId="0" applyFont="1" applyBorder="1" applyAlignment="1">
      <alignment horizontal="center"/>
    </xf>
    <xf numFmtId="170" fontId="15" fillId="0" borderId="0" xfId="0" applyNumberFormat="1" applyFont="1" applyAlignment="1">
      <alignment horizontal="center"/>
    </xf>
    <xf numFmtId="171" fontId="15" fillId="0" borderId="0" xfId="0" applyNumberFormat="1" applyFont="1" applyAlignment="1">
      <alignment horizontal="center"/>
    </xf>
    <xf numFmtId="0" fontId="12" fillId="0" borderId="0" xfId="0" applyFont="1"/>
    <xf numFmtId="0" fontId="12" fillId="0" borderId="6" xfId="0" applyFont="1" applyBorder="1" applyAlignment="1">
      <alignment horizontal="center" vertical="center" wrapText="1"/>
    </xf>
    <xf numFmtId="0" fontId="20" fillId="0" borderId="0" xfId="0" applyFont="1"/>
    <xf numFmtId="0" fontId="21" fillId="0" borderId="0" xfId="0" applyFont="1"/>
    <xf numFmtId="0" fontId="9" fillId="0" borderId="8"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12" fillId="0" borderId="7" xfId="0" applyFont="1" applyBorder="1" applyAlignment="1">
      <alignment horizontal="center"/>
    </xf>
    <xf numFmtId="3" fontId="11" fillId="2" borderId="17" xfId="0" applyNumberFormat="1" applyFont="1" applyFill="1" applyBorder="1" applyAlignment="1">
      <alignment horizontal="center" vertical="center" wrapText="1"/>
    </xf>
    <xf numFmtId="3" fontId="11" fillId="2"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6" xfId="0" applyFont="1" applyFill="1" applyBorder="1" applyAlignment="1">
      <alignment horizontal="center" vertical="center" wrapText="1"/>
    </xf>
    <xf numFmtId="3" fontId="11" fillId="2" borderId="19" xfId="0" applyNumberFormat="1" applyFont="1" applyFill="1" applyBorder="1" applyAlignment="1">
      <alignment horizontal="center" vertical="center" wrapText="1"/>
    </xf>
    <xf numFmtId="3" fontId="11" fillId="2" borderId="0" xfId="0" applyNumberFormat="1" applyFont="1" applyFill="1" applyAlignment="1">
      <alignment horizontal="center" vertical="center" wrapText="1"/>
    </xf>
    <xf numFmtId="3" fontId="11" fillId="2" borderId="7" xfId="0" applyNumberFormat="1"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22"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1" fillId="2" borderId="15" xfId="0" applyFont="1" applyFill="1" applyBorder="1" applyAlignment="1">
      <alignment horizontal="center" wrapText="1"/>
    </xf>
    <xf numFmtId="0" fontId="11" fillId="2" borderId="16" xfId="0" applyFont="1" applyFill="1" applyBorder="1" applyAlignment="1">
      <alignment horizontal="center" wrapText="1"/>
    </xf>
    <xf numFmtId="3" fontId="12" fillId="2" borderId="19" xfId="0" applyNumberFormat="1" applyFont="1" applyFill="1" applyBorder="1" applyAlignment="1">
      <alignment horizontal="center" wrapText="1"/>
    </xf>
    <xf numFmtId="3" fontId="12" fillId="2" borderId="20" xfId="0" applyNumberFormat="1" applyFont="1" applyFill="1" applyBorder="1" applyAlignment="1">
      <alignment horizontal="center" wrapText="1"/>
    </xf>
    <xf numFmtId="3" fontId="12" fillId="2" borderId="0" xfId="0" applyNumberFormat="1" applyFont="1" applyFill="1" applyAlignment="1">
      <alignment horizontal="center" wrapText="1"/>
    </xf>
    <xf numFmtId="0" fontId="12" fillId="2" borderId="8" xfId="0" applyFont="1" applyFill="1" applyBorder="1" applyAlignment="1">
      <alignment horizontal="center" wrapText="1"/>
    </xf>
    <xf numFmtId="3" fontId="12" fillId="2" borderId="7" xfId="0" applyNumberFormat="1" applyFont="1" applyFill="1" applyBorder="1" applyAlignment="1">
      <alignment horizontal="center" wrapText="1"/>
    </xf>
    <xf numFmtId="0" fontId="12" fillId="2" borderId="7" xfId="0" applyFont="1" applyFill="1" applyBorder="1" applyAlignment="1">
      <alignment horizontal="center" wrapText="1"/>
    </xf>
    <xf numFmtId="0" fontId="12" fillId="2" borderId="6" xfId="0" applyFont="1" applyFill="1" applyBorder="1" applyAlignment="1">
      <alignment horizontal="center" wrapText="1"/>
    </xf>
    <xf numFmtId="0" fontId="12" fillId="2" borderId="15" xfId="0" applyFont="1" applyFill="1" applyBorder="1" applyAlignment="1">
      <alignment horizontal="center" wrapText="1"/>
    </xf>
    <xf numFmtId="0" fontId="12" fillId="2" borderId="16" xfId="0" applyFont="1" applyFill="1" applyBorder="1" applyAlignment="1">
      <alignment horizontal="center" wrapText="1"/>
    </xf>
    <xf numFmtId="4" fontId="11" fillId="2" borderId="20" xfId="0" applyNumberFormat="1" applyFont="1" applyFill="1" applyBorder="1" applyAlignment="1">
      <alignment horizontal="center" vertical="center" wrapText="1"/>
    </xf>
    <xf numFmtId="4" fontId="11" fillId="2" borderId="8" xfId="0" applyNumberFormat="1" applyFont="1" applyFill="1" applyBorder="1" applyAlignment="1">
      <alignment horizontal="center" vertical="center" wrapText="1"/>
    </xf>
    <xf numFmtId="4" fontId="11" fillId="2" borderId="6" xfId="0" applyNumberFormat="1" applyFont="1" applyFill="1" applyBorder="1" applyAlignment="1">
      <alignment horizontal="center" vertical="center" wrapText="1"/>
    </xf>
    <xf numFmtId="165" fontId="12" fillId="2" borderId="17" xfId="0" applyNumberFormat="1" applyFont="1" applyFill="1" applyBorder="1" applyAlignment="1">
      <alignment horizontal="center"/>
    </xf>
    <xf numFmtId="165" fontId="12" fillId="2" borderId="18" xfId="0" applyNumberFormat="1" applyFont="1" applyFill="1" applyBorder="1" applyAlignment="1">
      <alignment horizontal="center"/>
    </xf>
    <xf numFmtId="0" fontId="11" fillId="2" borderId="14" xfId="0" applyFont="1" applyFill="1" applyBorder="1" applyAlignment="1">
      <alignment horizontal="center" wrapText="1"/>
    </xf>
    <xf numFmtId="0" fontId="5" fillId="2" borderId="0" xfId="0" applyFont="1" applyFill="1"/>
    <xf numFmtId="0" fontId="5" fillId="2" borderId="2" xfId="0" applyFont="1" applyFill="1" applyBorder="1"/>
    <xf numFmtId="0" fontId="5" fillId="0" borderId="0" xfId="0" applyFont="1"/>
    <xf numFmtId="2" fontId="5" fillId="2" borderId="1" xfId="0" applyNumberFormat="1" applyFont="1" applyFill="1" applyBorder="1" applyAlignment="1">
      <alignment horizontal="left"/>
    </xf>
    <xf numFmtId="0" fontId="5" fillId="2" borderId="3" xfId="0" applyFont="1" applyFill="1" applyBorder="1"/>
    <xf numFmtId="0" fontId="5" fillId="2" borderId="4" xfId="0" applyFont="1" applyFill="1" applyBorder="1"/>
    <xf numFmtId="164" fontId="5" fillId="2" borderId="4" xfId="1" applyNumberFormat="1" applyFont="1" applyFill="1" applyBorder="1"/>
    <xf numFmtId="0" fontId="5" fillId="2" borderId="5" xfId="0" applyFont="1" applyFill="1" applyBorder="1"/>
    <xf numFmtId="165" fontId="5" fillId="0" borderId="0" xfId="0" applyNumberFormat="1" applyFont="1"/>
    <xf numFmtId="0" fontId="14" fillId="0" borderId="0" xfId="0" applyFont="1" applyAlignment="1">
      <alignment horizontal="right"/>
    </xf>
    <xf numFmtId="0" fontId="5" fillId="2" borderId="0" xfId="0" quotePrefix="1" applyFont="1" applyFill="1"/>
    <xf numFmtId="0" fontId="5" fillId="0" borderId="0" xfId="0" applyFont="1" applyAlignment="1">
      <alignment horizontal="center"/>
    </xf>
    <xf numFmtId="0" fontId="5" fillId="0" borderId="13" xfId="0" applyFont="1" applyBorder="1"/>
    <xf numFmtId="0" fontId="5" fillId="2" borderId="7" xfId="0" applyFont="1" applyFill="1" applyBorder="1" applyAlignment="1">
      <alignment horizontal="center"/>
    </xf>
    <xf numFmtId="165" fontId="5" fillId="2" borderId="7" xfId="0" applyNumberFormat="1" applyFont="1" applyFill="1" applyBorder="1" applyAlignment="1">
      <alignment horizontal="center"/>
    </xf>
    <xf numFmtId="165" fontId="5" fillId="2" borderId="6" xfId="0" applyNumberFormat="1" applyFont="1" applyFill="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23" fillId="0" borderId="0" xfId="0" applyFont="1" applyAlignment="1">
      <alignment horizontal="center" vertical="center"/>
    </xf>
    <xf numFmtId="2" fontId="23" fillId="0" borderId="0" xfId="0" applyNumberFormat="1" applyFont="1" applyAlignment="1">
      <alignment horizontal="center" vertical="center"/>
    </xf>
    <xf numFmtId="165" fontId="5" fillId="0" borderId="0" xfId="0" applyNumberFormat="1" applyFont="1" applyAlignment="1">
      <alignment horizontal="center" vertical="center"/>
    </xf>
    <xf numFmtId="0" fontId="5" fillId="0" borderId="0" xfId="0" applyFont="1" applyAlignment="1">
      <alignment horizontal="center" vertical="center"/>
    </xf>
    <xf numFmtId="172" fontId="5" fillId="0" borderId="0" xfId="0" applyNumberFormat="1" applyFont="1" applyAlignment="1">
      <alignment horizontal="center" vertical="center"/>
    </xf>
    <xf numFmtId="0" fontId="5" fillId="0" borderId="6" xfId="0" applyFont="1" applyBorder="1" applyAlignment="1">
      <alignment horizontal="center"/>
    </xf>
    <xf numFmtId="0" fontId="5" fillId="0" borderId="8" xfId="0" applyFont="1" applyBorder="1" applyAlignment="1">
      <alignment horizontal="center"/>
    </xf>
    <xf numFmtId="165" fontId="5" fillId="0" borderId="0" xfId="0" applyNumberFormat="1" applyFont="1" applyAlignment="1">
      <alignment horizontal="center"/>
    </xf>
    <xf numFmtId="0" fontId="5" fillId="2" borderId="0" xfId="0" applyFont="1" applyFill="1" applyAlignment="1">
      <alignment horizontal="center"/>
    </xf>
    <xf numFmtId="1" fontId="5" fillId="0" borderId="0" xfId="0" applyNumberFormat="1" applyFont="1"/>
    <xf numFmtId="169" fontId="5" fillId="0" borderId="0" xfId="3" applyNumberFormat="1" applyFont="1"/>
    <xf numFmtId="0" fontId="13" fillId="0" borderId="0" xfId="0" applyFont="1" applyAlignment="1">
      <alignment horizontal="left" wrapText="1"/>
    </xf>
    <xf numFmtId="0" fontId="5" fillId="0" borderId="0" xfId="0" applyFont="1" applyAlignment="1">
      <alignment horizontal="left" wrapText="1"/>
    </xf>
    <xf numFmtId="0" fontId="13" fillId="0" borderId="0" xfId="0" applyFont="1" applyAlignment="1">
      <alignment wrapText="1"/>
    </xf>
    <xf numFmtId="166" fontId="5" fillId="0" borderId="0" xfId="2" applyNumberFormat="1" applyFont="1" applyAlignment="1">
      <alignment horizontal="center" vertical="center"/>
    </xf>
    <xf numFmtId="167" fontId="5" fillId="0" borderId="8" xfId="2" applyNumberFormat="1" applyFont="1" applyBorder="1" applyAlignment="1">
      <alignment horizontal="center" vertical="center"/>
    </xf>
    <xf numFmtId="165" fontId="5" fillId="0" borderId="0" xfId="2" applyNumberFormat="1" applyFont="1" applyAlignment="1">
      <alignment horizontal="center" vertical="center"/>
    </xf>
    <xf numFmtId="0" fontId="13" fillId="0" borderId="6" xfId="0" applyFont="1" applyBorder="1"/>
    <xf numFmtId="0" fontId="5" fillId="0" borderId="7" xfId="0" quotePrefix="1" applyFont="1" applyBorder="1" applyAlignment="1">
      <alignment horizontal="center"/>
    </xf>
    <xf numFmtId="165" fontId="5" fillId="0" borderId="0" xfId="3" applyNumberFormat="1" applyFont="1" applyAlignment="1">
      <alignment horizontal="center" vertical="center"/>
    </xf>
    <xf numFmtId="0" fontId="13" fillId="0" borderId="6" xfId="0" applyFont="1" applyBorder="1" applyAlignment="1">
      <alignment horizontal="center" vertical="center"/>
    </xf>
    <xf numFmtId="0" fontId="5" fillId="0" borderId="7" xfId="0" quotePrefix="1"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165" fontId="5" fillId="0" borderId="25" xfId="0" applyNumberFormat="1" applyFont="1" applyBorder="1" applyAlignment="1">
      <alignment horizontal="center" vertical="center"/>
    </xf>
    <xf numFmtId="1" fontId="5" fillId="0" borderId="24" xfId="0" applyNumberFormat="1" applyFont="1" applyBorder="1" applyAlignment="1">
      <alignment horizontal="center" vertical="center"/>
    </xf>
    <xf numFmtId="1" fontId="5" fillId="0" borderId="25" xfId="0" applyNumberFormat="1" applyFont="1" applyBorder="1" applyAlignment="1">
      <alignment horizontal="center" vertical="center"/>
    </xf>
    <xf numFmtId="1" fontId="5" fillId="0" borderId="0" xfId="0" applyNumberFormat="1" applyFont="1" applyAlignment="1">
      <alignment horizontal="center" vertical="center"/>
    </xf>
    <xf numFmtId="0" fontId="5" fillId="0" borderId="0" xfId="0" applyFont="1" applyAlignment="1">
      <alignment wrapText="1"/>
    </xf>
    <xf numFmtId="1" fontId="27" fillId="0" borderId="25" xfId="0" applyNumberFormat="1" applyFont="1" applyBorder="1" applyAlignment="1">
      <alignment horizontal="center" vertical="center"/>
    </xf>
    <xf numFmtId="1" fontId="27" fillId="0" borderId="0" xfId="0" applyNumberFormat="1" applyFont="1" applyAlignment="1">
      <alignment horizontal="center" vertical="center"/>
    </xf>
    <xf numFmtId="3" fontId="5" fillId="0" borderId="9" xfId="0" applyNumberFormat="1" applyFont="1" applyBorder="1" applyAlignment="1">
      <alignment horizontal="center"/>
    </xf>
    <xf numFmtId="3" fontId="9" fillId="0" borderId="0" xfId="0" applyNumberFormat="1" applyFont="1" applyAlignment="1">
      <alignment horizontal="center" vertical="center"/>
    </xf>
    <xf numFmtId="3" fontId="9" fillId="0" borderId="0" xfId="0" applyNumberFormat="1" applyFont="1" applyAlignment="1">
      <alignment horizontal="center"/>
    </xf>
    <xf numFmtId="0" fontId="5" fillId="0" borderId="13" xfId="0" applyFont="1" applyBorder="1" applyAlignment="1">
      <alignment horizontal="center"/>
    </xf>
    <xf numFmtId="165" fontId="5" fillId="0" borderId="9" xfId="0" applyNumberFormat="1" applyFont="1" applyBorder="1" applyAlignment="1">
      <alignment horizontal="center"/>
    </xf>
    <xf numFmtId="170" fontId="5" fillId="0" borderId="0" xfId="0" applyNumberFormat="1" applyFont="1" applyAlignment="1">
      <alignment horizontal="center" vertical="center"/>
    </xf>
    <xf numFmtId="0" fontId="27" fillId="0" borderId="0" xfId="0" applyFont="1" applyAlignment="1">
      <alignment horizontal="center"/>
    </xf>
    <xf numFmtId="170" fontId="15" fillId="0" borderId="28" xfId="0" applyNumberFormat="1" applyFont="1" applyBorder="1" applyAlignment="1">
      <alignment horizontal="center"/>
    </xf>
    <xf numFmtId="165" fontId="5" fillId="0" borderId="31" xfId="0" applyNumberFormat="1" applyFont="1" applyBorder="1" applyAlignment="1">
      <alignment horizontal="center"/>
    </xf>
    <xf numFmtId="165" fontId="5" fillId="0" borderId="32" xfId="0" applyNumberFormat="1" applyFont="1" applyBorder="1" applyAlignment="1">
      <alignment horizontal="center"/>
    </xf>
    <xf numFmtId="171" fontId="12" fillId="0" borderId="0" xfId="0" applyNumberFormat="1" applyFont="1" applyAlignment="1">
      <alignment horizontal="center"/>
    </xf>
    <xf numFmtId="3" fontId="27" fillId="0" borderId="0" xfId="0" applyNumberFormat="1" applyFont="1" applyAlignment="1">
      <alignment horizontal="center"/>
    </xf>
    <xf numFmtId="0" fontId="4" fillId="2" borderId="0" xfId="0" quotePrefix="1" applyFont="1" applyFill="1"/>
    <xf numFmtId="0" fontId="4" fillId="0" borderId="0" xfId="0" applyFont="1"/>
    <xf numFmtId="168" fontId="5" fillId="0" borderId="0" xfId="2" applyNumberFormat="1" applyFont="1" applyFill="1" applyAlignment="1">
      <alignment horizontal="center" vertical="center"/>
    </xf>
    <xf numFmtId="0" fontId="4" fillId="0" borderId="0" xfId="4" applyFont="1"/>
    <xf numFmtId="0" fontId="9" fillId="0" borderId="0" xfId="4" applyFont="1"/>
    <xf numFmtId="165" fontId="4" fillId="0" borderId="0" xfId="4" applyNumberFormat="1" applyFont="1"/>
    <xf numFmtId="0" fontId="7" fillId="0" borderId="0" xfId="4" applyFont="1"/>
    <xf numFmtId="0" fontId="20" fillId="0" borderId="0" xfId="4" applyFont="1"/>
    <xf numFmtId="0" fontId="8" fillId="0" borderId="0" xfId="4" applyFont="1"/>
    <xf numFmtId="0" fontId="4" fillId="0" borderId="0" xfId="4" applyFont="1" applyAlignment="1">
      <alignment horizontal="center"/>
    </xf>
    <xf numFmtId="0" fontId="13" fillId="0" borderId="0" xfId="4" applyFont="1"/>
    <xf numFmtId="0" fontId="14" fillId="0" borderId="0" xfId="4" applyFont="1" applyAlignment="1">
      <alignment horizontal="right"/>
    </xf>
    <xf numFmtId="0" fontId="4" fillId="0" borderId="0" xfId="4" applyFont="1" applyAlignment="1">
      <alignment vertical="center"/>
    </xf>
    <xf numFmtId="0" fontId="13" fillId="0" borderId="0" xfId="4" applyFont="1" applyAlignment="1">
      <alignment horizontal="right"/>
    </xf>
    <xf numFmtId="0" fontId="4" fillId="2" borderId="5" xfId="4" applyFont="1" applyFill="1" applyBorder="1"/>
    <xf numFmtId="0" fontId="4" fillId="2" borderId="4" xfId="4" applyFont="1" applyFill="1" applyBorder="1"/>
    <xf numFmtId="164" fontId="4" fillId="2" borderId="4" xfId="5" applyNumberFormat="1" applyFont="1" applyFill="1" applyBorder="1"/>
    <xf numFmtId="0" fontId="4" fillId="2" borderId="3" xfId="4" applyFont="1" applyFill="1" applyBorder="1"/>
    <xf numFmtId="0" fontId="4" fillId="2" borderId="2" xfId="4" applyFont="1" applyFill="1" applyBorder="1"/>
    <xf numFmtId="0" fontId="4" fillId="2" borderId="0" xfId="4" applyFont="1" applyFill="1"/>
    <xf numFmtId="2" fontId="4" fillId="2" borderId="1" xfId="4" applyNumberFormat="1" applyFont="1" applyFill="1" applyBorder="1" applyAlignment="1">
      <alignment horizontal="left"/>
    </xf>
    <xf numFmtId="0" fontId="11" fillId="2" borderId="6" xfId="4" applyFont="1" applyFill="1" applyBorder="1" applyAlignment="1">
      <alignment horizontal="center" vertical="center" wrapText="1"/>
    </xf>
    <xf numFmtId="0" fontId="11" fillId="2" borderId="7" xfId="4" applyFont="1" applyFill="1" applyBorder="1" applyAlignment="1">
      <alignment horizontal="center" vertical="center" wrapText="1"/>
    </xf>
    <xf numFmtId="0" fontId="12" fillId="2" borderId="18" xfId="4" applyFont="1" applyFill="1" applyBorder="1" applyAlignment="1">
      <alignment horizontal="center" vertical="center" wrapText="1"/>
    </xf>
    <xf numFmtId="0" fontId="11" fillId="2" borderId="8" xfId="4" applyFont="1" applyFill="1" applyBorder="1" applyAlignment="1">
      <alignment horizontal="center" vertical="center" wrapText="1"/>
    </xf>
    <xf numFmtId="0" fontId="11" fillId="2" borderId="0" xfId="4" applyFont="1" applyFill="1" applyAlignment="1">
      <alignment horizontal="center" vertical="center" wrapText="1"/>
    </xf>
    <xf numFmtId="0" fontId="12" fillId="2" borderId="17" xfId="4" applyFont="1" applyFill="1" applyBorder="1" applyAlignment="1">
      <alignment horizontal="center" vertical="center" wrapText="1"/>
    </xf>
    <xf numFmtId="0" fontId="11" fillId="2" borderId="20" xfId="4" applyFont="1" applyFill="1" applyBorder="1" applyAlignment="1">
      <alignment horizontal="center" vertical="center" wrapText="1"/>
    </xf>
    <xf numFmtId="0" fontId="11" fillId="2" borderId="19" xfId="4" applyFont="1" applyFill="1" applyBorder="1" applyAlignment="1">
      <alignment horizontal="center" vertical="center" wrapText="1"/>
    </xf>
    <xf numFmtId="0" fontId="12" fillId="2" borderId="22" xfId="4" applyFont="1" applyFill="1" applyBorder="1" applyAlignment="1">
      <alignment horizontal="center" vertical="center" wrapText="1"/>
    </xf>
    <xf numFmtId="0" fontId="12" fillId="2" borderId="16" xfId="4" applyFont="1" applyFill="1" applyBorder="1" applyAlignment="1">
      <alignment horizontal="center" wrapText="1"/>
    </xf>
    <xf numFmtId="0" fontId="12" fillId="2" borderId="15" xfId="4" applyFont="1" applyFill="1" applyBorder="1" applyAlignment="1">
      <alignment horizontal="center" wrapText="1"/>
    </xf>
    <xf numFmtId="16" fontId="12" fillId="2" borderId="15" xfId="4" quotePrefix="1" applyNumberFormat="1" applyFont="1" applyFill="1" applyBorder="1" applyAlignment="1">
      <alignment horizontal="center" wrapText="1"/>
    </xf>
    <xf numFmtId="0" fontId="12" fillId="2" borderId="14" xfId="4" applyFont="1" applyFill="1" applyBorder="1" applyAlignment="1">
      <alignment horizontal="center" vertical="center" wrapText="1"/>
    </xf>
    <xf numFmtId="0" fontId="12" fillId="2" borderId="6" xfId="4" applyFont="1" applyFill="1" applyBorder="1" applyAlignment="1">
      <alignment horizontal="center" vertical="center" wrapText="1"/>
    </xf>
    <xf numFmtId="0" fontId="12" fillId="2" borderId="7" xfId="4" applyFont="1" applyFill="1" applyBorder="1" applyAlignment="1">
      <alignment horizontal="center" vertical="center" wrapText="1"/>
    </xf>
    <xf numFmtId="3" fontId="11" fillId="2" borderId="7" xfId="4" applyNumberFormat="1" applyFont="1" applyFill="1" applyBorder="1" applyAlignment="1">
      <alignment horizontal="center" vertical="center" wrapText="1"/>
    </xf>
    <xf numFmtId="0" fontId="12" fillId="2" borderId="8" xfId="4" applyFont="1" applyFill="1" applyBorder="1" applyAlignment="1">
      <alignment horizontal="center" vertical="center" wrapText="1"/>
    </xf>
    <xf numFmtId="0" fontId="12" fillId="2" borderId="0" xfId="4" applyFont="1" applyFill="1" applyAlignment="1">
      <alignment horizontal="center" vertical="center" wrapText="1"/>
    </xf>
    <xf numFmtId="3" fontId="11" fillId="2" borderId="0" xfId="4" applyNumberFormat="1" applyFont="1" applyFill="1" applyAlignment="1">
      <alignment horizontal="center" vertical="center" wrapText="1"/>
    </xf>
    <xf numFmtId="3" fontId="11" fillId="2" borderId="20" xfId="4" applyNumberFormat="1" applyFont="1" applyFill="1" applyBorder="1" applyAlignment="1">
      <alignment horizontal="center" vertical="center" wrapText="1"/>
    </xf>
    <xf numFmtId="3" fontId="11" fillId="2" borderId="19" xfId="4" applyNumberFormat="1" applyFont="1" applyFill="1" applyBorder="1" applyAlignment="1">
      <alignment horizontal="center" vertical="center" wrapText="1"/>
    </xf>
    <xf numFmtId="0" fontId="7" fillId="2" borderId="1" xfId="4" applyFont="1" applyFill="1" applyBorder="1"/>
    <xf numFmtId="1" fontId="5" fillId="3" borderId="0" xfId="0" applyNumberFormat="1" applyFont="1" applyFill="1" applyAlignment="1">
      <alignment horizontal="center" vertical="center"/>
    </xf>
    <xf numFmtId="0" fontId="4" fillId="0" borderId="13" xfId="0" applyFont="1" applyBorder="1" applyAlignment="1">
      <alignment horizontal="center"/>
    </xf>
    <xf numFmtId="171" fontId="12" fillId="0" borderId="9" xfId="0" applyNumberFormat="1" applyFont="1" applyBorder="1" applyAlignment="1">
      <alignment horizontal="center"/>
    </xf>
    <xf numFmtId="171" fontId="12" fillId="3" borderId="25" xfId="0" applyNumberFormat="1" applyFont="1" applyFill="1" applyBorder="1" applyAlignment="1">
      <alignment horizontal="center"/>
    </xf>
    <xf numFmtId="171" fontId="12" fillId="3" borderId="0" xfId="0" applyNumberFormat="1" applyFont="1" applyFill="1" applyAlignment="1">
      <alignment horizontal="center"/>
    </xf>
    <xf numFmtId="0" fontId="12" fillId="0" borderId="34" xfId="0" applyFont="1" applyBorder="1" applyAlignment="1">
      <alignment horizontal="center"/>
    </xf>
    <xf numFmtId="165" fontId="5" fillId="0" borderId="7" xfId="0" applyNumberFormat="1" applyFont="1" applyBorder="1" applyAlignment="1">
      <alignment horizontal="center" vertical="center"/>
    </xf>
    <xf numFmtId="0" fontId="4" fillId="0" borderId="0" xfId="0" applyFont="1" applyAlignment="1">
      <alignment horizontal="center"/>
    </xf>
    <xf numFmtId="0" fontId="4" fillId="0" borderId="29" xfId="0" applyFont="1" applyBorder="1" applyAlignment="1">
      <alignment horizontal="center"/>
    </xf>
    <xf numFmtId="0" fontId="4" fillId="0" borderId="27" xfId="0" applyFont="1" applyBorder="1" applyAlignment="1">
      <alignment horizontal="center"/>
    </xf>
    <xf numFmtId="0" fontId="4" fillId="0" borderId="26" xfId="0" applyFont="1" applyBorder="1" applyAlignment="1">
      <alignment horizontal="center"/>
    </xf>
    <xf numFmtId="170" fontId="12" fillId="3" borderId="30" xfId="0" applyNumberFormat="1" applyFont="1" applyFill="1" applyBorder="1" applyAlignment="1">
      <alignment horizontal="center"/>
    </xf>
    <xf numFmtId="173" fontId="5" fillId="0" borderId="9" xfId="0" applyNumberFormat="1" applyFont="1" applyBorder="1" applyAlignment="1">
      <alignment horizontal="center" vertical="center"/>
    </xf>
    <xf numFmtId="170" fontId="12" fillId="3" borderId="28" xfId="0" applyNumberFormat="1" applyFont="1" applyFill="1" applyBorder="1" applyAlignment="1">
      <alignment horizontal="center"/>
    </xf>
    <xf numFmtId="170" fontId="12" fillId="3" borderId="0" xfId="0" applyNumberFormat="1" applyFont="1" applyFill="1" applyAlignment="1">
      <alignment horizontal="center"/>
    </xf>
    <xf numFmtId="170" fontId="4" fillId="0" borderId="30" xfId="0" applyNumberFormat="1" applyFont="1" applyBorder="1" applyAlignment="1">
      <alignment horizontal="center"/>
    </xf>
    <xf numFmtId="2" fontId="5" fillId="0" borderId="7" xfId="0" applyNumberFormat="1" applyFont="1" applyBorder="1" applyAlignment="1">
      <alignment horizontal="center" vertical="center"/>
    </xf>
    <xf numFmtId="171" fontId="4" fillId="3" borderId="25" xfId="0" applyNumberFormat="1" applyFont="1" applyFill="1" applyBorder="1" applyAlignment="1">
      <alignment horizontal="center"/>
    </xf>
    <xf numFmtId="171" fontId="4" fillId="3" borderId="0" xfId="0" applyNumberFormat="1" applyFont="1" applyFill="1" applyAlignment="1">
      <alignment horizontal="center"/>
    </xf>
    <xf numFmtId="170" fontId="4" fillId="3" borderId="25" xfId="0" applyNumberFormat="1" applyFont="1" applyFill="1" applyBorder="1" applyAlignment="1">
      <alignment horizontal="center"/>
    </xf>
    <xf numFmtId="170" fontId="4" fillId="3" borderId="0" xfId="0" applyNumberFormat="1" applyFont="1" applyFill="1" applyAlignment="1">
      <alignment horizontal="center"/>
    </xf>
    <xf numFmtId="0" fontId="4" fillId="0" borderId="0" xfId="4" applyFont="1" applyAlignment="1">
      <alignment horizontal="left" vertical="center" wrapText="1"/>
    </xf>
    <xf numFmtId="0" fontId="13" fillId="0" borderId="0" xfId="4" applyFont="1" applyAlignment="1">
      <alignment horizontal="left" wrapText="1"/>
    </xf>
    <xf numFmtId="0" fontId="4" fillId="2" borderId="21" xfId="4" applyFont="1" applyFill="1" applyBorder="1" applyAlignment="1">
      <alignment horizontal="center"/>
    </xf>
    <xf numFmtId="0" fontId="4" fillId="2" borderId="15" xfId="4" applyFont="1" applyFill="1" applyBorder="1" applyAlignment="1">
      <alignment horizontal="center"/>
    </xf>
    <xf numFmtId="0" fontId="4" fillId="2" borderId="16" xfId="4" applyFont="1" applyFill="1" applyBorder="1" applyAlignment="1">
      <alignment horizontal="center"/>
    </xf>
    <xf numFmtId="0" fontId="4" fillId="0" borderId="0" xfId="4" applyFont="1" applyAlignment="1">
      <alignment horizontal="center" vertical="center"/>
    </xf>
    <xf numFmtId="0" fontId="4" fillId="0" borderId="0" xfId="4" applyFont="1" applyAlignment="1">
      <alignment horizontal="center"/>
    </xf>
    <xf numFmtId="0" fontId="2" fillId="0" borderId="0" xfId="4" applyFont="1" applyAlignment="1">
      <alignment horizontal="left" wrapText="1"/>
    </xf>
    <xf numFmtId="0" fontId="4" fillId="0" borderId="0" xfId="4" applyFont="1" applyAlignment="1">
      <alignment horizontal="left" wrapText="1"/>
    </xf>
    <xf numFmtId="0" fontId="5" fillId="2" borderId="21" xfId="0" applyFont="1" applyFill="1" applyBorder="1" applyAlignment="1">
      <alignment horizontal="center"/>
    </xf>
    <xf numFmtId="0" fontId="5" fillId="2" borderId="15" xfId="0" applyFont="1" applyFill="1" applyBorder="1" applyAlignment="1">
      <alignment horizontal="center"/>
    </xf>
    <xf numFmtId="0" fontId="5" fillId="2" borderId="16" xfId="0" applyFont="1" applyFill="1" applyBorder="1" applyAlignment="1">
      <alignment horizontal="center"/>
    </xf>
    <xf numFmtId="0" fontId="25" fillId="0" borderId="0" xfId="0" applyFont="1" applyAlignment="1">
      <alignment horizontal="center"/>
    </xf>
    <xf numFmtId="0" fontId="13" fillId="0" borderId="0" xfId="0" applyFont="1" applyAlignment="1">
      <alignment horizontal="left" wrapText="1"/>
    </xf>
    <xf numFmtId="0" fontId="5"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horizontal="center"/>
    </xf>
    <xf numFmtId="0" fontId="31" fillId="0" borderId="0" xfId="0" applyFont="1" applyAlignment="1">
      <alignment horizontal="center"/>
    </xf>
    <xf numFmtId="0" fontId="5" fillId="0" borderId="0" xfId="0" applyFont="1" applyAlignment="1">
      <alignment horizontal="left" wrapText="1" indent="1"/>
    </xf>
    <xf numFmtId="0" fontId="3" fillId="0" borderId="0" xfId="0" applyFont="1" applyAlignment="1">
      <alignment horizontal="left" wrapText="1" indent="1"/>
    </xf>
    <xf numFmtId="0" fontId="5" fillId="0" borderId="0" xfId="0" applyFont="1" applyAlignment="1">
      <alignment horizontal="left"/>
    </xf>
    <xf numFmtId="0" fontId="3" fillId="0" borderId="0" xfId="0" applyFont="1" applyAlignment="1">
      <alignment horizontal="left" vertical="top" wrapText="1"/>
    </xf>
    <xf numFmtId="0" fontId="5" fillId="0" borderId="0" xfId="0" applyFont="1" applyAlignment="1">
      <alignment horizontal="left" vertical="top" wrapText="1"/>
    </xf>
    <xf numFmtId="0" fontId="4" fillId="0" borderId="13" xfId="0" applyFont="1" applyBorder="1" applyAlignment="1">
      <alignment horizontal="center"/>
    </xf>
    <xf numFmtId="0" fontId="4" fillId="0" borderId="33" xfId="0" applyFont="1" applyBorder="1" applyAlignment="1">
      <alignment horizontal="center"/>
    </xf>
  </cellXfs>
  <cellStyles count="6">
    <cellStyle name="Comma" xfId="2" builtinId="3"/>
    <cellStyle name="Currency" xfId="1" builtinId="4"/>
    <cellStyle name="Currency 2" xfId="5" xr:uid="{681726C6-8F40-2341-B7FE-62978A3FBB57}"/>
    <cellStyle name="Normal" xfId="0" builtinId="0"/>
    <cellStyle name="Normal 2" xfId="4" xr:uid="{2A7AE9AA-3162-B340-B148-879EBC177286}"/>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41</xdr:row>
      <xdr:rowOff>0</xdr:rowOff>
    </xdr:from>
    <xdr:to>
      <xdr:col>3</xdr:col>
      <xdr:colOff>47624</xdr:colOff>
      <xdr:row>42</xdr:row>
      <xdr:rowOff>88415</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787750EA-41EA-9643-92F4-CEC3C8A864C7}"/>
                </a:ext>
              </a:extLst>
            </xdr:cNvPr>
            <xdr:cNvSpPr txBox="1"/>
          </xdr:nvSpPr>
          <xdr:spPr>
            <a:xfrm>
              <a:off x="825500" y="7810500"/>
              <a:ext cx="1698624" cy="2789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𝜆</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𝐷</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787750EA-41EA-9643-92F4-CEC3C8A864C7}"/>
                </a:ext>
              </a:extLst>
            </xdr:cNvPr>
            <xdr:cNvSpPr txBox="1"/>
          </xdr:nvSpPr>
          <xdr:spPr>
            <a:xfrm>
              <a:off x="825500" y="7810500"/>
              <a:ext cx="1698624" cy="2789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𝐸[𝐶_(𝑖,𝑗) ]=(𝜆_(𝑖,𝑗)−1)×𝐷_(𝑖,𝑗−1)</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43</xdr:row>
      <xdr:rowOff>0</xdr:rowOff>
    </xdr:from>
    <xdr:to>
      <xdr:col>3</xdr:col>
      <xdr:colOff>789214</xdr:colOff>
      <xdr:row>44</xdr:row>
      <xdr:rowOff>88415</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1E29AE-55E4-DE48-8B71-61FA878333AA}"/>
                </a:ext>
              </a:extLst>
            </xdr:cNvPr>
            <xdr:cNvSpPr txBox="1"/>
          </xdr:nvSpPr>
          <xdr:spPr>
            <a:xfrm>
              <a:off x="825500" y="8191500"/>
              <a:ext cx="2440214" cy="2789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𝑉𝑎𝑟</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𝜑</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𝜆</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𝜆</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𝐷</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B21E29AE-55E4-DE48-8B71-61FA878333AA}"/>
                </a:ext>
              </a:extLst>
            </xdr:cNvPr>
            <xdr:cNvSpPr txBox="1"/>
          </xdr:nvSpPr>
          <xdr:spPr>
            <a:xfrm>
              <a:off x="825500" y="8191500"/>
              <a:ext cx="2440214" cy="2789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𝑉𝑎𝑟(𝐶_(𝑖,𝑗) )=𝜑×𝜆_(𝑖,𝑗)×(𝜆_(𝑖,𝑗)−1)×𝐷_(𝑖,𝑗−1)</a:t>
              </a:r>
              <a:endParaRPr lang="en-PH" sz="1100">
                <a:solidFill>
                  <a:schemeClr val="tx1"/>
                </a:solidFill>
                <a:effectLst/>
                <a:latin typeface="+mn-lt"/>
                <a:ea typeface="+mn-ea"/>
                <a:cs typeface="+mn-cs"/>
              </a:endParaRPr>
            </a:p>
          </xdr:txBody>
        </xdr:sp>
      </mc:Fallback>
    </mc:AlternateContent>
    <xdr:clientData/>
  </xdr:twoCellAnchor>
  <xdr:oneCellAnchor>
    <xdr:from>
      <xdr:col>4</xdr:col>
      <xdr:colOff>186837</xdr:colOff>
      <xdr:row>41</xdr:row>
      <xdr:rowOff>29308</xdr:rowOff>
    </xdr:from>
    <xdr:ext cx="2657587" cy="1930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5C3887B-8D5D-334D-AFCA-D1A59B3142C0}"/>
                </a:ext>
              </a:extLst>
            </xdr:cNvPr>
            <xdr:cNvSpPr txBox="1"/>
          </xdr:nvSpPr>
          <xdr:spPr>
            <a:xfrm>
              <a:off x="3488837" y="7839808"/>
              <a:ext cx="2657587"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𝐿𝐷𝐹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−1</m:t>
                        </m:r>
                      </m:sub>
                    </m:sSub>
                  </m:oMath>
                </m:oMathPara>
              </a14:m>
              <a:endParaRPr lang="en-PH"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35C3887B-8D5D-334D-AFCA-D1A59B3142C0}"/>
                </a:ext>
              </a:extLst>
            </xdr:cNvPr>
            <xdr:cNvSpPr txBox="1"/>
          </xdr:nvSpPr>
          <xdr:spPr>
            <a:xfrm>
              <a:off x="3488837" y="7839808"/>
              <a:ext cx="2657587"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𝐸[〖𝐼𝑛𝑐𝐿𝑜𝑠𝑠〗_(𝐴𝑌,𝑘) ]=(〖𝐿𝐷𝐹〗_(𝐴𝑌,𝑘)−1)×〖𝐿𝑜𝑠𝑠〗_(𝐴𝑌,𝑘−1)</a:t>
              </a:r>
              <a:endParaRPr lang="en-PH" sz="1100">
                <a:solidFill>
                  <a:schemeClr val="tx1"/>
                </a:solidFill>
                <a:effectLst/>
                <a:latin typeface="+mn-lt"/>
                <a:ea typeface="+mn-ea"/>
                <a:cs typeface="+mn-cs"/>
              </a:endParaRPr>
            </a:p>
          </xdr:txBody>
        </xdr:sp>
      </mc:Fallback>
    </mc:AlternateContent>
    <xdr:clientData/>
  </xdr:oneCellAnchor>
  <xdr:oneCellAnchor>
    <xdr:from>
      <xdr:col>4</xdr:col>
      <xdr:colOff>150203</xdr:colOff>
      <xdr:row>43</xdr:row>
      <xdr:rowOff>54952</xdr:rowOff>
    </xdr:from>
    <xdr:ext cx="4269182" cy="19107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E86B3F-B53F-3348-99F8-B0380E112F99}"/>
                </a:ext>
              </a:extLst>
            </xdr:cNvPr>
            <xdr:cNvSpPr txBox="1"/>
          </xdr:nvSpPr>
          <xdr:spPr>
            <a:xfrm>
              <a:off x="3452203" y="8246452"/>
              <a:ext cx="4269182"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𝑉𝑎𝑟</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𝑑𝑖𝑠𝑝𝑒𝑟𝑠𝑖𝑜𝑛</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𝐿𝐷𝐹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𝐿𝐷𝐹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−1</m:t>
                        </m:r>
                      </m:sub>
                    </m:sSub>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A2E86B3F-B53F-3348-99F8-B0380E112F99}"/>
                </a:ext>
              </a:extLst>
            </xdr:cNvPr>
            <xdr:cNvSpPr txBox="1"/>
          </xdr:nvSpPr>
          <xdr:spPr>
            <a:xfrm>
              <a:off x="3452203" y="8246452"/>
              <a:ext cx="4269182"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𝑉𝑎𝑟(〖𝐼𝑛𝑐𝐿𝑜𝑠𝑠〗_(𝐴𝑌,𝑘) )=𝑑𝑖𝑠𝑝𝑒𝑟𝑠𝑖𝑜𝑛×〖𝐿𝐷𝐹〗_(𝐴𝑌,𝑘)×(〖𝐿𝐷𝐹〗_(𝐴𝑌,𝑘)−1)×〖𝐿𝑜𝑠𝑠〗_(𝐴𝑌,𝑘−1)</a:t>
              </a:r>
              <a:endParaRPr lang="en-US" sz="1100">
                <a:solidFill>
                  <a:schemeClr val="tx1"/>
                </a:solidFill>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xdr:col>
      <xdr:colOff>73211</xdr:colOff>
      <xdr:row>155</xdr:row>
      <xdr:rowOff>200865</xdr:rowOff>
    </xdr:from>
    <xdr:ext cx="2175275" cy="19319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96844" y="30848953"/>
              <a:ext cx="2175275" cy="193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𝐼𝑛𝑐𝐿𝑜𝑠𝑠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𝐵𝐹</m:t>
                          </m:r>
                        </m:sup>
                      </m:sSubSup>
                    </m:e>
                  </m:d>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𝑀</m:t>
                      </m:r>
                    </m:e>
                    <m:sub>
                      <m:r>
                        <a:rPr lang="en-US" sz="1100" b="0" i="1">
                          <a:latin typeface="Cambria Math" panose="02040503050406030204" pitchFamily="18" charset="0"/>
                        </a:rPr>
                        <m:t>𝐴𝑌</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𝐼𝑛𝑐</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𝑃𝑎𝑖𝑑</m:t>
                      </m:r>
                    </m:e>
                    <m:sub>
                      <m:r>
                        <a:rPr lang="en-US" sz="1100" b="0" i="1">
                          <a:latin typeface="Cambria Math" panose="02040503050406030204" pitchFamily="18" charset="0"/>
                          <a:ea typeface="Cambria Math" panose="02040503050406030204" pitchFamily="18" charset="0"/>
                        </a:rPr>
                        <m:t>𝑑</m:t>
                      </m:r>
                    </m:sub>
                  </m:sSub>
                </m:oMath>
              </a14:m>
              <a:r>
                <a:rPr lang="en-US" sz="1100"/>
                <a:t> </a:t>
              </a:r>
            </a:p>
          </xdr:txBody>
        </xdr:sp>
      </mc:Choice>
      <mc:Fallback xmlns="">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96844" y="30848953"/>
              <a:ext cx="2175275" cy="193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𝐸[〖𝐼𝑛𝑐𝐿𝑜𝑠𝑠〗_(𝐴𝑌,𝑑)^𝐵𝐹 ]=𝑀_𝐴𝑌</a:t>
              </a:r>
              <a:r>
                <a:rPr lang="en-US" sz="1100" b="0" i="0">
                  <a:latin typeface="Cambria Math" panose="02040503050406030204" pitchFamily="18" charset="0"/>
                  <a:ea typeface="Cambria Math" panose="02040503050406030204" pitchFamily="18" charset="0"/>
                </a:rPr>
                <a:t>∙𝐼𝑛𝑐%〖𝑃𝑎𝑖𝑑〗_𝑑</a:t>
              </a:r>
              <a:r>
                <a:rPr lang="en-US" sz="1100"/>
                <a:t> </a:t>
              </a:r>
            </a:p>
          </xdr:txBody>
        </xdr:sp>
      </mc:Fallback>
    </mc:AlternateContent>
    <xdr:clientData/>
  </xdr:oneCellAnchor>
  <xdr:oneCellAnchor>
    <xdr:from>
      <xdr:col>1</xdr:col>
      <xdr:colOff>66550</xdr:colOff>
      <xdr:row>158</xdr:row>
      <xdr:rowOff>18147</xdr:rowOff>
    </xdr:from>
    <xdr:ext cx="2528962" cy="19370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890183" y="31271353"/>
              <a:ext cx="2528962" cy="193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𝐼𝑛𝑐𝐿𝑜𝑠𝑠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𝐶𝐿</m:t>
                          </m:r>
                        </m:sup>
                      </m:sSubSup>
                    </m:e>
                  </m:d>
                  <m:r>
                    <a:rPr lang="en-US" sz="1100" b="0" i="1">
                      <a:latin typeface="Cambria Math" panose="02040503050406030204" pitchFamily="18" charset="0"/>
                    </a:rPr>
                    <m:t>=</m:t>
                  </m:r>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𝐿𝐷𝐹</m:t>
                          </m:r>
                        </m:e>
                        <m:sub>
                          <m:r>
                            <a:rPr lang="en-US" sz="1100" b="0" i="1">
                              <a:latin typeface="Cambria Math" panose="02040503050406030204" pitchFamily="18" charset="0"/>
                            </a:rPr>
                            <m:t>𝑑</m:t>
                          </m:r>
                        </m:sub>
                      </m:sSub>
                      <m:r>
                        <a:rPr lang="en-US" sz="1100" b="0" i="1">
                          <a:latin typeface="Cambria Math" panose="02040503050406030204" pitchFamily="18" charset="0"/>
                        </a:rPr>
                        <m:t>−1</m:t>
                      </m:r>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𝐿𝑜𝑠𝑠</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r>
                        <a:rPr lang="en-US" sz="1100" b="0" i="1">
                          <a:latin typeface="Cambria Math" panose="02040503050406030204" pitchFamily="18" charset="0"/>
                          <a:ea typeface="Cambria Math" panose="02040503050406030204" pitchFamily="18" charset="0"/>
                        </a:rPr>
                        <m:t>−1</m:t>
                      </m:r>
                    </m:sub>
                  </m:sSub>
                </m:oMath>
              </a14:m>
              <a:r>
                <a:rPr lang="en-US" sz="1100"/>
                <a:t> </a:t>
              </a:r>
            </a:p>
          </xdr:txBody>
        </xdr:sp>
      </mc:Choice>
      <mc:Fallback xmlns="">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890183" y="31271353"/>
              <a:ext cx="2528962" cy="193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𝐸[〖𝐼𝑛𝑐𝐿𝑜𝑠𝑠〗_(𝐴𝑌,𝑑)^𝐶𝐿 ]=(〖𝐿𝐷𝐹〗_𝑑−1)</a:t>
              </a:r>
              <a:r>
                <a:rPr lang="en-US" sz="1100" b="0" i="0">
                  <a:latin typeface="Cambria Math" panose="02040503050406030204" pitchFamily="18" charset="0"/>
                  <a:ea typeface="Cambria Math" panose="02040503050406030204" pitchFamily="18" charset="0"/>
                </a:rPr>
                <a:t>∙〖𝐿𝑜𝑠𝑠〗_(𝐴𝑌,𝑑−1)</a:t>
              </a:r>
              <a:r>
                <a:rPr lang="en-US" sz="1100"/>
                <a:t> </a:t>
              </a:r>
            </a:p>
          </xdr:txBody>
        </xdr:sp>
      </mc:Fallback>
    </mc:AlternateContent>
    <xdr:clientData/>
  </xdr:oneCellAnchor>
  <xdr:oneCellAnchor>
    <xdr:from>
      <xdr:col>1</xdr:col>
      <xdr:colOff>9525</xdr:colOff>
      <xdr:row>162</xdr:row>
      <xdr:rowOff>9525</xdr:rowOff>
    </xdr:from>
    <xdr:ext cx="3681136" cy="1788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838200" y="23402925"/>
              <a:ext cx="3681136"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p>
                          <m:sSupPr>
                            <m:ctrlPr>
                              <a:rPr lang="en-US" sz="1100" b="0" i="1">
                                <a:latin typeface="Cambria Math" panose="02040503050406030204" pitchFamily="18" charset="0"/>
                              </a:rPr>
                            </m:ctrlPr>
                          </m:sSupPr>
                          <m:e>
                            <m:r>
                              <a:rPr lang="en-US" sz="1100" b="0" i="1">
                                <a:latin typeface="Cambria Math" panose="02040503050406030204" pitchFamily="18" charset="0"/>
                              </a:rPr>
                              <m:t>𝐼𝑛𝑐𝐿𝑜𝑠𝑠</m:t>
                            </m:r>
                          </m:e>
                          <m:sup>
                            <m:r>
                              <a:rPr lang="en-US" sz="1100" b="0" i="1">
                                <a:latin typeface="Cambria Math" panose="02040503050406030204" pitchFamily="18" charset="0"/>
                              </a:rPr>
                              <m:t>𝐶𝑟𝑒𝑑</m:t>
                            </m:r>
                          </m:sup>
                        </m:sSup>
                      </m:e>
                    </m:d>
                    <m:r>
                      <a:rPr lang="en-US" sz="1100" b="0" i="1">
                        <a:latin typeface="Cambria Math" panose="02040503050406030204" pitchFamily="18" charset="0"/>
                      </a:rPr>
                      <m:t>=</m:t>
                    </m:r>
                    <m:r>
                      <a:rPr lang="en-US" sz="1100" b="0" i="1">
                        <a:latin typeface="Cambria Math" panose="02040503050406030204" pitchFamily="18" charset="0"/>
                      </a:rPr>
                      <m:t>𝑍</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𝐼𝑛𝑐𝐿𝑜𝑠𝑠</m:t>
                            </m:r>
                          </m:e>
                          <m:sup>
                            <m:r>
                              <a:rPr lang="en-US" sz="1100" b="0" i="1">
                                <a:latin typeface="Cambria Math" panose="02040503050406030204" pitchFamily="18" charset="0"/>
                                <a:ea typeface="Cambria Math" panose="02040503050406030204" pitchFamily="18" charset="0"/>
                              </a:rPr>
                              <m:t>𝐶𝐿</m:t>
                            </m:r>
                          </m:sup>
                        </m:sSup>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𝑍</m:t>
                        </m:r>
                      </m:e>
                    </m: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𝐼𝑛𝑐𝐿𝑜𝑠𝑠</m:t>
                            </m:r>
                          </m:e>
                          <m:sup>
                            <m:r>
                              <a:rPr lang="en-US" sz="1100" b="0" i="1">
                                <a:latin typeface="Cambria Math" panose="02040503050406030204" pitchFamily="18" charset="0"/>
                                <a:ea typeface="Cambria Math" panose="02040503050406030204" pitchFamily="18" charset="0"/>
                              </a:rPr>
                              <m:t>𝐵𝐹</m:t>
                            </m:r>
                          </m:sup>
                        </m:sSup>
                      </m:e>
                    </m:d>
                  </m:oMath>
                </m:oMathPara>
              </a14:m>
              <a:endParaRPr lang="en-US" sz="1100"/>
            </a:p>
          </xdr:txBody>
        </xdr:sp>
      </mc:Choice>
      <mc:Fallback xmlns="">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838200" y="23402925"/>
              <a:ext cx="3681136" cy="17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𝐸[〖𝐼𝑛𝑐𝐿𝑜𝑠𝑠〗^𝐶𝑟𝑒𝑑 ]=𝑍</a:t>
              </a:r>
              <a:r>
                <a:rPr lang="en-US" sz="1100" b="0" i="0">
                  <a:latin typeface="Cambria Math" panose="02040503050406030204" pitchFamily="18" charset="0"/>
                  <a:ea typeface="Cambria Math" panose="02040503050406030204" pitchFamily="18" charset="0"/>
                </a:rPr>
                <a:t>∙𝐸[〖𝐼𝑛𝑐𝐿𝑜𝑠𝑠〗^𝐶𝐿 ]+(1−𝑍)∙𝐸[〖𝐼𝑛𝑐𝐿𝑜𝑠𝑠〗^𝐵𝐹 ]</a:t>
              </a:r>
              <a:endParaRPr lang="en-US" sz="1100"/>
            </a:p>
          </xdr:txBody>
        </xdr:sp>
      </mc:Fallback>
    </mc:AlternateContent>
    <xdr:clientData/>
  </xdr:oneCellAnchor>
  <xdr:twoCellAnchor>
    <xdr:from>
      <xdr:col>1</xdr:col>
      <xdr:colOff>328084</xdr:colOff>
      <xdr:row>27</xdr:row>
      <xdr:rowOff>137583</xdr:rowOff>
    </xdr:from>
    <xdr:to>
      <xdr:col>3</xdr:col>
      <xdr:colOff>523346</xdr:colOff>
      <xdr:row>33</xdr:row>
      <xdr:rowOff>157960</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680F1351-1965-416F-AEB8-A91C2BC787EB}"/>
                </a:ext>
              </a:extLst>
            </xdr:cNvPr>
            <xdr:cNvSpPr txBox="1"/>
          </xdr:nvSpPr>
          <xdr:spPr>
            <a:xfrm>
              <a:off x="1153584" y="6127750"/>
              <a:ext cx="1846262" cy="12268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lgn="l"/>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Over</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Dispersed</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Poisson</m:t>
                    </m:r>
                  </m:oMath>
                </m:oMathPara>
              </a14:m>
              <a:endParaRPr lang="en-PH" sz="1100">
                <a:solidFill>
                  <a:schemeClr val="tx1"/>
                </a:solidFill>
                <a:effectLst/>
                <a:latin typeface="+mn-lt"/>
                <a:ea typeface="+mn-ea"/>
                <a:cs typeface="+mn-cs"/>
              </a:endParaRPr>
            </a:p>
            <a:p>
              <a:pPr algn="l"/>
              <a:endParaRPr lang="en-PH" sz="1100">
                <a:solidFill>
                  <a:schemeClr val="tx1"/>
                </a:solidFill>
                <a:effectLst/>
                <a:latin typeface="+mn-lt"/>
                <a:ea typeface="+mn-ea"/>
                <a:cs typeface="+mn-cs"/>
              </a:endParaRPr>
            </a:p>
            <a:p>
              <a:pPr algn="l"/>
              <a14:m>
                <m:oMathPara xmlns:m="http://schemas.openxmlformats.org/officeDocument/2006/math">
                  <m:oMathParaPr>
                    <m:jc m:val="left"/>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𝑥</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𝑦</m:t>
                        </m:r>
                      </m:e>
                      <m:sub>
                        <m:argPr>
                          <m:argSz m:val="-1"/>
                        </m:argPr>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a:p>
              <a:pPr algn="l"/>
              <a:endParaRPr lang="en-PH" sz="11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left"/>
                  </m:oMathParaPr>
                  <m:oMath xmlns:m="http://schemas.openxmlformats.org/officeDocument/2006/math">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𝑦</m:t>
                            </m:r>
                          </m:e>
                          <m:sub>
                            <m:argPr>
                              <m:argSz m:val="-1"/>
                            </m:argPr>
                            <m:r>
                              <a:rPr lang="en-PH" sz="1100" i="1">
                                <a:solidFill>
                                  <a:schemeClr val="tx1"/>
                                </a:solidFill>
                                <a:effectLst/>
                                <a:latin typeface="Cambria Math" panose="02040503050406030204" pitchFamily="18" charset="0"/>
                                <a:ea typeface="+mn-ea"/>
                                <a:cs typeface="+mn-cs"/>
                              </a:rPr>
                              <m:t>𝑗</m:t>
                            </m:r>
                          </m:sub>
                        </m:sSub>
                      </m:e>
                    </m:nary>
                    <m:r>
                      <a:rPr lang="en-PH" sz="1100" i="1">
                        <a:solidFill>
                          <a:schemeClr val="tx1"/>
                        </a:solidFill>
                        <a:effectLst/>
                        <a:latin typeface="Cambria Math" panose="02040503050406030204" pitchFamily="18" charset="0"/>
                        <a:ea typeface="+mn-ea"/>
                        <a:cs typeface="+mn-cs"/>
                      </a:rPr>
                      <m:t>=1</m:t>
                    </m:r>
                  </m:oMath>
                </m:oMathPara>
              </a14:m>
              <a:endParaRPr lang="en-PH"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680F1351-1965-416F-AEB8-A91C2BC787EB}"/>
                </a:ext>
              </a:extLst>
            </xdr:cNvPr>
            <xdr:cNvSpPr txBox="1"/>
          </xdr:nvSpPr>
          <xdr:spPr>
            <a:xfrm>
              <a:off x="1153584" y="6127750"/>
              <a:ext cx="1846262" cy="12268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lgn="l"/>
              <a:r>
                <a:rPr lang="en-PH" sz="1100" i="0">
                  <a:solidFill>
                    <a:schemeClr val="tx1"/>
                  </a:solidFill>
                  <a:effectLst/>
                  <a:latin typeface="Cambria Math" panose="02040503050406030204" pitchFamily="18" charset="0"/>
                  <a:ea typeface="+mn-ea"/>
                  <a:cs typeface="+mn-cs"/>
                </a:rPr>
                <a:t>𝐶_(𝑖,𝑗)~Over Dispersed Poisson</a:t>
              </a:r>
              <a:endParaRPr lang="en-PH" sz="1100">
                <a:solidFill>
                  <a:schemeClr val="tx1"/>
                </a:solidFill>
                <a:effectLst/>
                <a:latin typeface="+mn-lt"/>
                <a:ea typeface="+mn-ea"/>
                <a:cs typeface="+mn-cs"/>
              </a:endParaRPr>
            </a:p>
            <a:p>
              <a:pPr algn="l"/>
              <a:endParaRPr lang="en-PH" sz="1100">
                <a:solidFill>
                  <a:schemeClr val="tx1"/>
                </a:solidFill>
                <a:effectLst/>
                <a:latin typeface="+mn-lt"/>
                <a:ea typeface="+mn-ea"/>
                <a:cs typeface="+mn-cs"/>
              </a:endParaRPr>
            </a:p>
            <a:p>
              <a:pPr algn="l"/>
              <a:r>
                <a:rPr lang="en-PH" sz="1100" i="0">
                  <a:solidFill>
                    <a:schemeClr val="tx1"/>
                  </a:solidFill>
                  <a:effectLst/>
                  <a:latin typeface="Cambria Math" panose="02040503050406030204" pitchFamily="18" charset="0"/>
                  <a:ea typeface="+mn-ea"/>
                  <a:cs typeface="+mn-cs"/>
                </a:rPr>
                <a:t>E[𝐶_(𝑖,𝑗) ]=𝑥_𝑖×𝑦_𝑗</a:t>
              </a:r>
              <a:endParaRPr lang="en-PH" sz="1100">
                <a:solidFill>
                  <a:schemeClr val="tx1"/>
                </a:solidFill>
                <a:effectLst/>
                <a:latin typeface="+mn-lt"/>
                <a:ea typeface="+mn-ea"/>
                <a:cs typeface="+mn-cs"/>
              </a:endParaRPr>
            </a:p>
            <a:p>
              <a:pPr algn="l"/>
              <a:endParaRPr lang="en-PH" sz="11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∑1▒𝑦_𝑗 =1</a:t>
              </a:r>
              <a:endParaRPr lang="en-PH" sz="1100">
                <a:solidFill>
                  <a:schemeClr val="tx1"/>
                </a:solidFill>
                <a:effectLst/>
                <a:latin typeface="+mn-lt"/>
                <a:ea typeface="+mn-ea"/>
                <a:cs typeface="+mn-cs"/>
              </a:endParaRPr>
            </a:p>
          </xdr:txBody>
        </xdr:sp>
      </mc:Fallback>
    </mc:AlternateContent>
    <xdr:clientData/>
  </xdr:twoCellAnchor>
  <xdr:oneCellAnchor>
    <xdr:from>
      <xdr:col>1</xdr:col>
      <xdr:colOff>410634</xdr:colOff>
      <xdr:row>35</xdr:row>
      <xdr:rowOff>44976</xdr:rowOff>
    </xdr:from>
    <xdr:ext cx="2699200" cy="19107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72FC80A-FE45-4076-95FE-784F7F731316}"/>
                </a:ext>
              </a:extLst>
            </xdr:cNvPr>
            <xdr:cNvSpPr txBox="1"/>
          </xdr:nvSpPr>
          <xdr:spPr>
            <a:xfrm>
              <a:off x="1236134" y="7643809"/>
              <a:ext cx="269920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𝑅𝑜𝑤𝐹𝑎𝑐𝑡𝑜𝑟</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𝐶𝑜𝑙</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𝐹𝑎𝑐𝑡𝑜𝑟</m:t>
                        </m:r>
                      </m:e>
                      <m:sub>
                        <m:argPr>
                          <m:argSz m:val="-1"/>
                        </m:argPr>
                        <m:r>
                          <a:rPr lang="en-PH" sz="1100" i="1">
                            <a:solidFill>
                              <a:schemeClr val="tx1"/>
                            </a:solidFill>
                            <a:effectLst/>
                            <a:latin typeface="Cambria Math" panose="02040503050406030204" pitchFamily="18" charset="0"/>
                            <a:ea typeface="+mn-ea"/>
                            <a:cs typeface="+mn-cs"/>
                          </a:rPr>
                          <m:t>𝑘</m:t>
                        </m:r>
                      </m:sub>
                    </m:sSub>
                  </m:oMath>
                </m:oMathPara>
              </a14:m>
              <a:endParaRPr lang="en-PH"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372FC80A-FE45-4076-95FE-784F7F731316}"/>
                </a:ext>
              </a:extLst>
            </xdr:cNvPr>
            <xdr:cNvSpPr txBox="1"/>
          </xdr:nvSpPr>
          <xdr:spPr>
            <a:xfrm>
              <a:off x="1236134" y="7643809"/>
              <a:ext cx="269920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E[〖𝐼𝑛𝑐𝐿𝑜𝑠𝑠〗_(𝐴𝑌,𝑘) ]=〖𝑅𝑜𝑤𝐹𝑎𝑐𝑡𝑜𝑟〗_𝐴𝑌×〖𝐶𝑜𝑙 𝐹𝑎𝑐𝑡𝑜𝑟〗_𝑘</a:t>
              </a:r>
              <a:endParaRPr lang="en-PH" sz="1100">
                <a:solidFill>
                  <a:schemeClr val="tx1"/>
                </a:solidFill>
                <a:effectLst/>
                <a:latin typeface="+mn-lt"/>
                <a:ea typeface="+mn-ea"/>
                <a:cs typeface="+mn-cs"/>
              </a:endParaRPr>
            </a:p>
          </xdr:txBody>
        </xdr:sp>
      </mc:Fallback>
    </mc:AlternateContent>
    <xdr:clientData/>
  </xdr:oneCellAnchor>
  <xdr:twoCellAnchor>
    <xdr:from>
      <xdr:col>1</xdr:col>
      <xdr:colOff>232833</xdr:colOff>
      <xdr:row>39</xdr:row>
      <xdr:rowOff>192881</xdr:rowOff>
    </xdr:from>
    <xdr:to>
      <xdr:col>2</xdr:col>
      <xdr:colOff>551921</xdr:colOff>
      <xdr:row>42</xdr:row>
      <xdr:rowOff>4874</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3FAEC821-0665-4279-BE56-1BDA6E169188}"/>
                </a:ext>
              </a:extLst>
            </xdr:cNvPr>
            <xdr:cNvSpPr txBox="1"/>
          </xdr:nvSpPr>
          <xdr:spPr>
            <a:xfrm>
              <a:off x="1058333" y="8627798"/>
              <a:ext cx="1144588" cy="41524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𝑥</m:t>
                            </m:r>
                          </m:e>
                          <m:sub>
                            <m:argPr>
                              <m:argSz m:val="-1"/>
                            </m:argPr>
                            <m:r>
                              <a:rPr lang="en-PH" sz="1100" i="1">
                                <a:solidFill>
                                  <a:schemeClr val="tx1"/>
                                </a:solidFill>
                                <a:effectLst/>
                                <a:latin typeface="Cambria Math" panose="02040503050406030204" pitchFamily="18" charset="0"/>
                                <a:ea typeface="+mn-ea"/>
                                <a:cs typeface="+mn-cs"/>
                              </a:rPr>
                              <m:t>𝑖</m:t>
                            </m:r>
                          </m:sub>
                        </m:sSub>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r>
                              <a:rPr lang="en-US" sz="1100" i="1">
                                <a:solidFill>
                                  <a:schemeClr val="tx1"/>
                                </a:solidFill>
                                <a:effectLst/>
                                <a:latin typeface="Cambria Math" panose="02040503050406030204" pitchFamily="18" charset="0"/>
                                <a:ea typeface="+mn-ea"/>
                                <a:cs typeface="+mn-cs"/>
                              </a:rPr>
                              <m:t>𝑖</m:t>
                            </m:r>
                          </m:sub>
                        </m:sSub>
                        <m:r>
                          <m:rPr>
                            <m:nor/>
                          </m:rPr>
                          <a:rPr lang="en-US">
                            <a:effectLst/>
                          </a:rPr>
                          <m:t> </m:t>
                        </m:r>
                      </m:den>
                    </m:f>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m:t>
                        </m:r>
                      </m:e>
                      <m:sub>
                        <m:argPr>
                          <m:argSz m:val="-1"/>
                        </m:argPr>
                        <m:r>
                          <a:rPr lang="en-PH" sz="1100" i="1">
                            <a:solidFill>
                              <a:schemeClr val="tx1"/>
                            </a:solidFill>
                            <a:effectLst/>
                            <a:latin typeface="Cambria Math" panose="02040503050406030204" pitchFamily="18" charset="0"/>
                            <a:ea typeface="+mn-ea"/>
                            <a:cs typeface="+mn-cs"/>
                          </a:rPr>
                          <m:t>𝑖</m:t>
                        </m:r>
                      </m:sub>
                    </m:sSub>
                  </m:oMath>
                </m:oMathPara>
              </a14:m>
              <a:endParaRPr lang="en-PH"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3FAEC821-0665-4279-BE56-1BDA6E169188}"/>
                </a:ext>
              </a:extLst>
            </xdr:cNvPr>
            <xdr:cNvSpPr txBox="1"/>
          </xdr:nvSpPr>
          <xdr:spPr>
            <a:xfrm>
              <a:off x="1058333" y="8627798"/>
              <a:ext cx="1144588" cy="41524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E[𝑥_𝑖 ]=𝛼_𝑖/(</a:t>
              </a:r>
              <a:r>
                <a:rPr lang="en-US" sz="1100" i="0">
                  <a:solidFill>
                    <a:schemeClr val="tx1"/>
                  </a:solidFill>
                  <a:effectLst/>
                  <a:latin typeface="+mn-lt"/>
                  <a:ea typeface="+mn-ea"/>
                  <a:cs typeface="+mn-cs"/>
                </a:rPr>
                <a:t>𝛽_𝑖 "</a:t>
              </a:r>
              <a:r>
                <a:rPr lang="en-US" i="0">
                  <a:effectLst/>
                </a:rPr>
                <a:t> </a:t>
              </a:r>
              <a:r>
                <a:rPr lang="en-PH" sz="1100" i="0">
                  <a:solidFill>
                    <a:schemeClr val="tx1"/>
                  </a:solidFill>
                  <a:effectLst/>
                  <a:latin typeface="Cambria Math" panose="02040503050406030204" pitchFamily="18" charset="0"/>
                  <a:ea typeface="+mn-ea"/>
                  <a:cs typeface="+mn-cs"/>
                </a:rPr>
                <a:t>" )=𝑀_𝑖</a:t>
              </a:r>
              <a:endParaRPr lang="en-PH" sz="1100">
                <a:solidFill>
                  <a:schemeClr val="tx1"/>
                </a:solidFill>
                <a:effectLst/>
                <a:latin typeface="+mn-lt"/>
                <a:ea typeface="+mn-ea"/>
                <a:cs typeface="+mn-cs"/>
              </a:endParaRPr>
            </a:p>
          </xdr:txBody>
        </xdr:sp>
      </mc:Fallback>
    </mc:AlternateContent>
    <xdr:clientData/>
  </xdr:twoCellAnchor>
  <xdr:oneCellAnchor>
    <xdr:from>
      <xdr:col>1</xdr:col>
      <xdr:colOff>232833</xdr:colOff>
      <xdr:row>43</xdr:row>
      <xdr:rowOff>76012</xdr:rowOff>
    </xdr:from>
    <xdr:ext cx="923458" cy="172227"/>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E3FCF7F0-333E-430B-A5BA-3ECA2DFA3320}"/>
                </a:ext>
              </a:extLst>
            </xdr:cNvPr>
            <xdr:cNvSpPr txBox="1"/>
          </xdr:nvSpPr>
          <xdr:spPr>
            <a:xfrm>
              <a:off x="1058333" y="9315262"/>
              <a:ext cx="9234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𝑈𝑙𝑡</m:t>
                            </m:r>
                          </m:e>
                          <m:sub>
                            <m:argPr>
                              <m:argSz m:val="-2"/>
                            </m:argPr>
                            <m:r>
                              <a:rPr lang="en-PH" sz="1100" i="1">
                                <a:solidFill>
                                  <a:schemeClr val="tx1"/>
                                </a:solidFill>
                                <a:effectLst/>
                                <a:latin typeface="Cambria Math" panose="02040503050406030204" pitchFamily="18" charset="0"/>
                                <a:ea typeface="+mn-ea"/>
                                <a:cs typeface="+mn-cs"/>
                              </a:rPr>
                              <m:t>𝐴𝑌</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m:t>
                        </m:r>
                      </m:e>
                      <m:sub>
                        <m:argPr>
                          <m:argSz m:val="-1"/>
                        </m:argPr>
                        <m:r>
                          <a:rPr lang="en-PH" sz="1100" i="1">
                            <a:solidFill>
                              <a:schemeClr val="tx1"/>
                            </a:solidFill>
                            <a:effectLst/>
                            <a:latin typeface="Cambria Math" panose="02040503050406030204" pitchFamily="18" charset="0"/>
                            <a:ea typeface="+mn-ea"/>
                            <a:cs typeface="+mn-cs"/>
                          </a:rPr>
                          <m:t>𝐴𝑌</m:t>
                        </m:r>
                      </m:sub>
                    </m:sSub>
                  </m:oMath>
                </m:oMathPara>
              </a14:m>
              <a:endParaRPr lang="en-PH"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E3FCF7F0-333E-430B-A5BA-3ECA2DFA3320}"/>
                </a:ext>
              </a:extLst>
            </xdr:cNvPr>
            <xdr:cNvSpPr txBox="1"/>
          </xdr:nvSpPr>
          <xdr:spPr>
            <a:xfrm>
              <a:off x="1058333" y="9315262"/>
              <a:ext cx="9234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E[〖𝑈𝑙𝑡〗_𝐴𝑌 ]=𝑀_𝐴𝑌</a:t>
              </a:r>
              <a:endParaRPr lang="en-PH" sz="1100">
                <a:solidFill>
                  <a:schemeClr val="tx1"/>
                </a:solidFill>
                <a:effectLst/>
                <a:latin typeface="+mn-lt"/>
                <a:ea typeface="+mn-ea"/>
                <a:cs typeface="+mn-cs"/>
              </a:endParaRPr>
            </a:p>
          </xdr:txBody>
        </xdr:sp>
      </mc:Fallback>
    </mc:AlternateContent>
    <xdr:clientData/>
  </xdr:oneCellAnchor>
  <xdr:twoCellAnchor>
    <xdr:from>
      <xdr:col>3</xdr:col>
      <xdr:colOff>150284</xdr:colOff>
      <xdr:row>39</xdr:row>
      <xdr:rowOff>192881</xdr:rowOff>
    </xdr:from>
    <xdr:to>
      <xdr:col>4</xdr:col>
      <xdr:colOff>613833</xdr:colOff>
      <xdr:row>42</xdr:row>
      <xdr:rowOff>29816</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FB575C9A-4011-4C93-9942-F897435112EC}"/>
                </a:ext>
              </a:extLst>
            </xdr:cNvPr>
            <xdr:cNvSpPr txBox="1"/>
          </xdr:nvSpPr>
          <xdr:spPr>
            <a:xfrm>
              <a:off x="2626784" y="8627798"/>
              <a:ext cx="1289049" cy="4401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𝑉𝑎𝑟</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𝑖</m:t>
                            </m:r>
                          </m:sub>
                        </m:sSub>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𝛼</m:t>
                            </m:r>
                          </m:e>
                          <m:sub>
                            <m:argPr>
                              <m:argSz m:val="-1"/>
                            </m:argPr>
                            <m:r>
                              <a:rPr lang="en-US" sz="1100" i="1">
                                <a:solidFill>
                                  <a:schemeClr val="tx1"/>
                                </a:solidFill>
                                <a:effectLst/>
                                <a:latin typeface="Cambria Math" panose="02040503050406030204" pitchFamily="18" charset="0"/>
                                <a:ea typeface="+mn-ea"/>
                                <a:cs typeface="+mn-cs"/>
                              </a:rPr>
                              <m:t>𝑖</m:t>
                            </m:r>
                          </m:sub>
                        </m:sSub>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𝛽</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den>
                    </m:f>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𝑀</m:t>
                            </m:r>
                          </m:e>
                          <m:sub>
                            <m:argPr>
                              <m:argSz m:val="-1"/>
                            </m:argPr>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argPr>
                              <m:argSz m:val="-1"/>
                            </m:argPr>
                            <m:r>
                              <a:rPr lang="en-US" sz="1100" i="1">
                                <a:solidFill>
                                  <a:schemeClr val="tx1"/>
                                </a:solidFill>
                                <a:effectLst/>
                                <a:latin typeface="Cambria Math" panose="02040503050406030204" pitchFamily="18" charset="0"/>
                                <a:ea typeface="+mn-ea"/>
                                <a:cs typeface="+mn-cs"/>
                              </a:rPr>
                              <m:t>𝑖</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FB575C9A-4011-4C93-9942-F897435112EC}"/>
                </a:ext>
              </a:extLst>
            </xdr:cNvPr>
            <xdr:cNvSpPr txBox="1"/>
          </xdr:nvSpPr>
          <xdr:spPr>
            <a:xfrm>
              <a:off x="2626784" y="8627798"/>
              <a:ext cx="1289049" cy="4401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𝑉𝑎𝑟(𝑥_𝑖 )=𝛼_𝑖/(𝛽_𝑖^2 )=𝑀_𝑖/𝛽_𝑖 </a:t>
              </a:r>
              <a:endParaRPr lang="en-US" sz="1100">
                <a:solidFill>
                  <a:schemeClr val="tx1"/>
                </a:solidFill>
                <a:effectLst/>
                <a:latin typeface="+mn-lt"/>
                <a:ea typeface="+mn-ea"/>
                <a:cs typeface="+mn-cs"/>
              </a:endParaRPr>
            </a:p>
          </xdr:txBody>
        </xdr:sp>
      </mc:Fallback>
    </mc:AlternateContent>
    <xdr:clientData/>
  </xdr:twoCellAnchor>
  <xdr:oneCellAnchor>
    <xdr:from>
      <xdr:col>3</xdr:col>
      <xdr:colOff>150284</xdr:colOff>
      <xdr:row>42</xdr:row>
      <xdr:rowOff>190500</xdr:rowOff>
    </xdr:from>
    <xdr:ext cx="1135311" cy="34541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7F2CC44-A8BA-4C30-A33D-939C1B7FD4FC}"/>
                </a:ext>
              </a:extLst>
            </xdr:cNvPr>
            <xdr:cNvSpPr txBox="1"/>
          </xdr:nvSpPr>
          <xdr:spPr>
            <a:xfrm>
              <a:off x="2626784" y="9228667"/>
              <a:ext cx="1135311"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𝑉𝑎𝑟</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𝑈𝑙𝑡</m:t>
                            </m:r>
                          </m:e>
                          <m:sub>
                            <m:argPr>
                              <m:argSz m:val="-1"/>
                            </m:argPr>
                            <m:r>
                              <a:rPr lang="en-PH" sz="1100" i="1">
                                <a:solidFill>
                                  <a:schemeClr val="tx1"/>
                                </a:solidFill>
                                <a:effectLst/>
                                <a:latin typeface="Cambria Math" panose="02040503050406030204" pitchFamily="18" charset="0"/>
                                <a:ea typeface="+mn-ea"/>
                                <a:cs typeface="+mn-cs"/>
                              </a:rPr>
                              <m:t>𝐴𝑌</m:t>
                            </m:r>
                          </m:sub>
                        </m:sSub>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m:t>
                            </m:r>
                          </m:e>
                          <m:sub>
                            <m:argPr>
                              <m:argSz m:val="-1"/>
                            </m:argPr>
                            <m:r>
                              <a:rPr lang="en-PH" sz="1100" i="1">
                                <a:solidFill>
                                  <a:schemeClr val="tx1"/>
                                </a:solidFill>
                                <a:effectLst/>
                                <a:latin typeface="Cambria Math" panose="02040503050406030204" pitchFamily="18" charset="0"/>
                                <a:ea typeface="+mn-ea"/>
                                <a:cs typeface="+mn-cs"/>
                              </a:rPr>
                              <m:t>𝐴𝑌</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𝐴𝑌</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14" name="TextBox 13">
              <a:extLst>
                <a:ext uri="{FF2B5EF4-FFF2-40B4-BE49-F238E27FC236}">
                  <a16:creationId xmlns:a16="http://schemas.microsoft.com/office/drawing/2014/main" id="{67F2CC44-A8BA-4C30-A33D-939C1B7FD4FC}"/>
                </a:ext>
              </a:extLst>
            </xdr:cNvPr>
            <xdr:cNvSpPr txBox="1"/>
          </xdr:nvSpPr>
          <xdr:spPr>
            <a:xfrm>
              <a:off x="2626784" y="9228667"/>
              <a:ext cx="1135311"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𝑉𝑎𝑟(〖𝑈𝑙𝑡〗_𝐴𝑌 )=𝑀_𝐴𝑌/𝛽_𝐴𝑌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0</xdr:colOff>
      <xdr:row>61</xdr:row>
      <xdr:rowOff>0</xdr:rowOff>
    </xdr:from>
    <xdr:to>
      <xdr:col>1</xdr:col>
      <xdr:colOff>776287</xdr:colOff>
      <xdr:row>63</xdr:row>
      <xdr:rowOff>55844</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0299B2EF-586A-4353-9272-AA88B8C4F0F1}"/>
                </a:ext>
              </a:extLst>
            </xdr:cNvPr>
            <xdr:cNvSpPr txBox="1"/>
          </xdr:nvSpPr>
          <xdr:spPr>
            <a:xfrm>
              <a:off x="823913" y="12692063"/>
              <a:ext cx="776287" cy="45589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argPr>
                          <m:argSz m:val="-1"/>
                        </m:argP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m:t>
                        </m:r>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𝐶𝐷𝐹</m:t>
                            </m:r>
                          </m:e>
                          <m:sub>
                            <m:argPr>
                              <m:argSz m:val="-1"/>
                            </m:argPr>
                            <m:r>
                              <a:rPr lang="en-PH" sz="1100" i="1">
                                <a:solidFill>
                                  <a:schemeClr val="tx1"/>
                                </a:solidFill>
                                <a:effectLst/>
                                <a:latin typeface="Cambria Math" panose="02040503050406030204" pitchFamily="18" charset="0"/>
                                <a:ea typeface="+mn-ea"/>
                                <a:cs typeface="+mn-cs"/>
                              </a:rPr>
                              <m:t>𝑗</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0299B2EF-586A-4353-9272-AA88B8C4F0F1}"/>
                </a:ext>
              </a:extLst>
            </xdr:cNvPr>
            <xdr:cNvSpPr txBox="1"/>
          </xdr:nvSpPr>
          <xdr:spPr>
            <a:xfrm>
              <a:off x="823913" y="12692063"/>
              <a:ext cx="776287" cy="45589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𝑝_𝑗=1/〖𝐶𝐷𝐹〗_𝑗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42333</xdr:colOff>
      <xdr:row>63</xdr:row>
      <xdr:rowOff>201083</xdr:rowOff>
    </xdr:from>
    <xdr:ext cx="1448153" cy="181588"/>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99D8D1A1-550F-4C57-9B44-B3E095D6CA9B}"/>
                </a:ext>
              </a:extLst>
            </xdr:cNvPr>
            <xdr:cNvSpPr txBox="1"/>
          </xdr:nvSpPr>
          <xdr:spPr>
            <a:xfrm>
              <a:off x="867833" y="13726583"/>
              <a:ext cx="1448153" cy="181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argPr>
                          <m:argSz m:val="-1"/>
                        </m:argP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Cumulative</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Paid</m:t>
                    </m:r>
                  </m:oMath>
                </m:oMathPara>
              </a14:m>
              <a:endParaRPr lang="en-PH" sz="1100">
                <a:solidFill>
                  <a:schemeClr val="tx1"/>
                </a:solidFill>
                <a:effectLst/>
                <a:latin typeface="+mn-lt"/>
                <a:ea typeface="+mn-ea"/>
                <a:cs typeface="+mn-cs"/>
              </a:endParaRPr>
            </a:p>
          </xdr:txBody>
        </xdr:sp>
      </mc:Choice>
      <mc:Fallback xmlns="">
        <xdr:sp macro="" textlink="">
          <xdr:nvSpPr>
            <xdr:cNvPr id="16" name="TextBox 15">
              <a:extLst>
                <a:ext uri="{FF2B5EF4-FFF2-40B4-BE49-F238E27FC236}">
                  <a16:creationId xmlns:a16="http://schemas.microsoft.com/office/drawing/2014/main" id="{99D8D1A1-550F-4C57-9B44-B3E095D6CA9B}"/>
                </a:ext>
              </a:extLst>
            </xdr:cNvPr>
            <xdr:cNvSpPr txBox="1"/>
          </xdr:nvSpPr>
          <xdr:spPr>
            <a:xfrm>
              <a:off x="867833" y="13726583"/>
              <a:ext cx="1448153" cy="181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𝑝_𝑗→Cumulative %Paid</a:t>
              </a:r>
              <a:endParaRPr lang="en-PH" sz="1100">
                <a:solidFill>
                  <a:schemeClr val="tx1"/>
                </a:solidFill>
                <a:effectLst/>
                <a:latin typeface="+mn-lt"/>
                <a:ea typeface="+mn-ea"/>
                <a:cs typeface="+mn-cs"/>
              </a:endParaRPr>
            </a:p>
          </xdr:txBody>
        </xdr:sp>
      </mc:Fallback>
    </mc:AlternateContent>
    <xdr:clientData/>
  </xdr:oneCellAnchor>
  <xdr:twoCellAnchor>
    <xdr:from>
      <xdr:col>2</xdr:col>
      <xdr:colOff>179917</xdr:colOff>
      <xdr:row>61</xdr:row>
      <xdr:rowOff>105834</xdr:rowOff>
    </xdr:from>
    <xdr:to>
      <xdr:col>3</xdr:col>
      <xdr:colOff>699030</xdr:colOff>
      <xdr:row>62</xdr:row>
      <xdr:rowOff>179729</xdr:rowOff>
    </xdr:to>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C4DCAFB0-6941-4D0B-ADFC-DEC8121F4849}"/>
                </a:ext>
              </a:extLst>
            </xdr:cNvPr>
            <xdr:cNvSpPr txBox="1"/>
          </xdr:nvSpPr>
          <xdr:spPr>
            <a:xfrm>
              <a:off x="1830917" y="13197417"/>
              <a:ext cx="1344613" cy="2749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𝑃𝑎𝑖𝑑</m:t>
                        </m:r>
                      </m:e>
                      <m:sub>
                        <m:argPr>
                          <m:argSz m:val="-1"/>
                        </m:argP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argPr>
                          <m:argSz m:val="-1"/>
                        </m:argP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argPr>
                          <m:argSz m:val="-1"/>
                        </m:argP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oMath>
                </m:oMathPara>
              </a14:m>
              <a:endParaRPr lang="en-PH"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C4DCAFB0-6941-4D0B-ADFC-DEC8121F4849}"/>
                </a:ext>
              </a:extLst>
            </xdr:cNvPr>
            <xdr:cNvSpPr txBox="1"/>
          </xdr:nvSpPr>
          <xdr:spPr>
            <a:xfrm>
              <a:off x="1830917" y="13197417"/>
              <a:ext cx="1344613" cy="2749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〖%𝑃𝑎𝑖𝑑〗_𝑗=𝑝_𝑗−𝑝_(𝑗−1)</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232833</xdr:colOff>
      <xdr:row>67</xdr:row>
      <xdr:rowOff>137583</xdr:rowOff>
    </xdr:from>
    <xdr:to>
      <xdr:col>2</xdr:col>
      <xdr:colOff>713846</xdr:colOff>
      <xdr:row>69</xdr:row>
      <xdr:rowOff>169126</xdr:rowOff>
    </xdr:to>
    <mc:AlternateContent xmlns:mc="http://schemas.openxmlformats.org/markup-compatibility/2006" xmlns:a14="http://schemas.microsoft.com/office/drawing/2010/main">
      <mc:Choice Requires="a14">
        <xdr:sp macro="" textlink="">
          <xdr:nvSpPr>
            <xdr:cNvPr id="18" name="TextBox 2">
              <a:extLst>
                <a:ext uri="{FF2B5EF4-FFF2-40B4-BE49-F238E27FC236}">
                  <a16:creationId xmlns:a16="http://schemas.microsoft.com/office/drawing/2014/main" id="{D1CB6045-4622-4187-8F42-0286211DCE28}"/>
                </a:ext>
              </a:extLst>
            </xdr:cNvPr>
            <xdr:cNvSpPr txBox="1"/>
          </xdr:nvSpPr>
          <xdr:spPr>
            <a:xfrm>
              <a:off x="1058333" y="14530916"/>
              <a:ext cx="1306513" cy="43371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𝑍</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argPr>
                              <m:argSz m:val="-1"/>
                            </m:argP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𝜑</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argPr>
                              <m:argSz m:val="-1"/>
                            </m:argP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18" name="TextBox 2">
              <a:extLst>
                <a:ext uri="{FF2B5EF4-FFF2-40B4-BE49-F238E27FC236}">
                  <a16:creationId xmlns:a16="http://schemas.microsoft.com/office/drawing/2014/main" id="{D1CB6045-4622-4187-8F42-0286211DCE28}"/>
                </a:ext>
              </a:extLst>
            </xdr:cNvPr>
            <xdr:cNvSpPr txBox="1"/>
          </xdr:nvSpPr>
          <xdr:spPr>
            <a:xfrm>
              <a:off x="1058333" y="14530916"/>
              <a:ext cx="1306513" cy="43371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𝑍_(𝑖,𝑗)=𝑝_(𝑗−1)/(𝛽_𝑖×𝜑+𝑝_(𝑗−1)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825499</xdr:colOff>
      <xdr:row>67</xdr:row>
      <xdr:rowOff>162983</xdr:rowOff>
    </xdr:from>
    <xdr:ext cx="3202351" cy="349904"/>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5502C98A-DAE2-4571-8990-4CBD21A55F52}"/>
                </a:ext>
              </a:extLst>
            </xdr:cNvPr>
            <xdr:cNvSpPr txBox="1"/>
          </xdr:nvSpPr>
          <xdr:spPr>
            <a:xfrm>
              <a:off x="3301999" y="14556316"/>
              <a:ext cx="3202351" cy="349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𝐶𝑟𝑒𝑑</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𝐶𝑢𝑚𝑢𝑙𝑎𝑡𝑖𝑣𝑒</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𝑃𝑎𝑖𝑑</m:t>
                            </m:r>
                          </m:e>
                          <m:sub>
                            <m:argPr>
                              <m:argSz m:val="-1"/>
                            </m:argP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𝑑𝑖𝑠𝑝𝑒𝑟𝑠𝑖𝑜𝑛</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𝐶𝑢𝑚𝑢𝑙𝑎𝑡𝑖𝑣𝑒</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𝑃𝑎𝑖𝑑</m:t>
                            </m:r>
                          </m:e>
                          <m:sub>
                            <m:argPr>
                              <m:argSz m:val="-1"/>
                            </m:argP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−1</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19" name="TextBox 18">
              <a:extLst>
                <a:ext uri="{FF2B5EF4-FFF2-40B4-BE49-F238E27FC236}">
                  <a16:creationId xmlns:a16="http://schemas.microsoft.com/office/drawing/2014/main" id="{5502C98A-DAE2-4571-8990-4CBD21A55F52}"/>
                </a:ext>
              </a:extLst>
            </xdr:cNvPr>
            <xdr:cNvSpPr txBox="1"/>
          </xdr:nvSpPr>
          <xdr:spPr>
            <a:xfrm>
              <a:off x="3301999" y="14556316"/>
              <a:ext cx="3202351" cy="349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〖𝐶𝑟𝑒𝑑〗_(𝐴𝑌,𝑘)=〖𝐶𝑢𝑚𝑢𝑙𝑎𝑡𝑖𝑣𝑒%𝑃𝑎𝑖𝑑〗_(𝑘−1)/(𝛽_𝐴𝑌×𝑑𝑖𝑠𝑝𝑒𝑟𝑠𝑖𝑜𝑛+〖𝐶𝑢𝑚𝑢𝑙𝑎𝑡𝑖𝑣𝑒%𝑃𝑎𝑖𝑑〗_(𝑘−1)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190500</xdr:colOff>
      <xdr:row>78</xdr:row>
      <xdr:rowOff>190500</xdr:rowOff>
    </xdr:from>
    <xdr:to>
      <xdr:col>3</xdr:col>
      <xdr:colOff>93663</xdr:colOff>
      <xdr:row>80</xdr:row>
      <xdr:rowOff>75110</xdr:rowOff>
    </xdr:to>
    <mc:AlternateContent xmlns:mc="http://schemas.openxmlformats.org/markup-compatibility/2006" xmlns:a14="http://schemas.microsoft.com/office/drawing/2010/main">
      <mc:Choice Requires="a14">
        <xdr:sp macro="" textlink="">
          <xdr:nvSpPr>
            <xdr:cNvPr id="20" name="TextBox 2">
              <a:extLst>
                <a:ext uri="{FF2B5EF4-FFF2-40B4-BE49-F238E27FC236}">
                  <a16:creationId xmlns:a16="http://schemas.microsoft.com/office/drawing/2014/main" id="{94A1C2E4-BFD2-40A3-AAD5-30D0F83815DA}"/>
                </a:ext>
              </a:extLst>
            </xdr:cNvPr>
            <xdr:cNvSpPr txBox="1"/>
          </xdr:nvSpPr>
          <xdr:spPr>
            <a:xfrm>
              <a:off x="1016000" y="16393583"/>
              <a:ext cx="1554163" cy="2867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up>
                            <m:argPr>
                              <m:argSz m:val="-1"/>
                            </m:argPr>
                            <m:r>
                              <a:rPr lang="en-PH" sz="1100" i="1">
                                <a:solidFill>
                                  <a:schemeClr val="tx1"/>
                                </a:solidFill>
                                <a:effectLst/>
                                <a:latin typeface="Cambria Math" panose="02040503050406030204" pitchFamily="18" charset="0"/>
                                <a:ea typeface="+mn-ea"/>
                                <a:cs typeface="+mn-cs"/>
                              </a:rPr>
                              <m:t>𝐵𝐹</m:t>
                            </m:r>
                          </m:sup>
                        </m:sSubSup>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𝑃𝑎𝑖𝑑</m:t>
                        </m:r>
                      </m:e>
                      <m:sub>
                        <m:argPr>
                          <m:argSz m:val="-1"/>
                        </m:argPr>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xdr:txBody>
        </xdr:sp>
      </mc:Choice>
      <mc:Fallback xmlns="">
        <xdr:sp macro="" textlink="">
          <xdr:nvSpPr>
            <xdr:cNvPr id="20" name="TextBox 2">
              <a:extLst>
                <a:ext uri="{FF2B5EF4-FFF2-40B4-BE49-F238E27FC236}">
                  <a16:creationId xmlns:a16="http://schemas.microsoft.com/office/drawing/2014/main" id="{94A1C2E4-BFD2-40A3-AAD5-30D0F83815DA}"/>
                </a:ext>
              </a:extLst>
            </xdr:cNvPr>
            <xdr:cNvSpPr txBox="1"/>
          </xdr:nvSpPr>
          <xdr:spPr>
            <a:xfrm>
              <a:off x="1016000" y="16393583"/>
              <a:ext cx="1554163" cy="2867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E[𝐶_(𝑖,𝑗)^𝐵𝐹 ]=𝑀_𝑖×%〖𝑃𝑎𝑖𝑑〗_𝑗</a:t>
              </a:r>
              <a:endParaRPr lang="en-PH" sz="1100">
                <a:solidFill>
                  <a:schemeClr val="tx1"/>
                </a:solidFill>
                <a:effectLst/>
                <a:latin typeface="+mn-lt"/>
                <a:ea typeface="+mn-ea"/>
                <a:cs typeface="+mn-cs"/>
              </a:endParaRPr>
            </a:p>
          </xdr:txBody>
        </xdr:sp>
      </mc:Fallback>
    </mc:AlternateContent>
    <xdr:clientData/>
  </xdr:twoCellAnchor>
  <xdr:oneCellAnchor>
    <xdr:from>
      <xdr:col>4</xdr:col>
      <xdr:colOff>95250</xdr:colOff>
      <xdr:row>79</xdr:row>
      <xdr:rowOff>0</xdr:rowOff>
    </xdr:from>
    <xdr:ext cx="2607316" cy="195312"/>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35D9CFEA-32F7-4FBF-BC14-4A849279CA86}"/>
                </a:ext>
              </a:extLst>
            </xdr:cNvPr>
            <xdr:cNvSpPr txBox="1"/>
          </xdr:nvSpPr>
          <xdr:spPr>
            <a:xfrm>
              <a:off x="3397250" y="17208500"/>
              <a:ext cx="2607316" cy="195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𝐵𝐹</m:t>
                            </m:r>
                          </m:sup>
                        </m:sSubSup>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𝑈𝑙𝑡</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𝑃𝑎𝑖𝑑</m:t>
                        </m:r>
                      </m:e>
                      <m:sub>
                        <m:argPr>
                          <m:argSz m:val="-1"/>
                        </m:argPr>
                        <m:r>
                          <a:rPr lang="en-PH" sz="1100" i="1">
                            <a:solidFill>
                              <a:schemeClr val="tx1"/>
                            </a:solidFill>
                            <a:effectLst/>
                            <a:latin typeface="Cambria Math" panose="02040503050406030204" pitchFamily="18" charset="0"/>
                            <a:ea typeface="+mn-ea"/>
                            <a:cs typeface="+mn-cs"/>
                          </a:rPr>
                          <m:t>𝑘</m:t>
                        </m:r>
                      </m:sub>
                    </m:sSub>
                  </m:oMath>
                </m:oMathPara>
              </a14:m>
              <a:endParaRPr lang="en-PH" sz="1100">
                <a:solidFill>
                  <a:schemeClr val="tx1"/>
                </a:solidFill>
                <a:effectLst/>
                <a:latin typeface="+mn-lt"/>
                <a:ea typeface="+mn-ea"/>
                <a:cs typeface="+mn-cs"/>
              </a:endParaRPr>
            </a:p>
          </xdr:txBody>
        </xdr:sp>
      </mc:Choice>
      <mc:Fallback xmlns="">
        <xdr:sp macro="" textlink="">
          <xdr:nvSpPr>
            <xdr:cNvPr id="21" name="TextBox 20">
              <a:extLst>
                <a:ext uri="{FF2B5EF4-FFF2-40B4-BE49-F238E27FC236}">
                  <a16:creationId xmlns:a16="http://schemas.microsoft.com/office/drawing/2014/main" id="{35D9CFEA-32F7-4FBF-BC14-4A849279CA86}"/>
                </a:ext>
              </a:extLst>
            </xdr:cNvPr>
            <xdr:cNvSpPr txBox="1"/>
          </xdr:nvSpPr>
          <xdr:spPr>
            <a:xfrm>
              <a:off x="3397250" y="17208500"/>
              <a:ext cx="2607316" cy="195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E[〖𝐼𝑛𝑐𝐿𝑜𝑠𝑠〗_(𝐴𝑌,𝑘)^𝐵𝐹 ]=〖𝐸𝑥𝑝𝑒𝑐𝑡𝑒𝑑 𝑈𝑙𝑡〗_𝐴𝑌×〖%𝑃𝑎𝑖𝑑〗_𝑘</a:t>
              </a:r>
              <a:endParaRPr lang="en-PH" sz="1100">
                <a:solidFill>
                  <a:schemeClr val="tx1"/>
                </a:solidFill>
                <a:effectLst/>
                <a:latin typeface="+mn-lt"/>
                <a:ea typeface="+mn-ea"/>
                <a:cs typeface="+mn-cs"/>
              </a:endParaRPr>
            </a:p>
          </xdr:txBody>
        </xdr:sp>
      </mc:Fallback>
    </mc:AlternateContent>
    <xdr:clientData/>
  </xdr:oneCellAnchor>
  <xdr:twoCellAnchor>
    <xdr:from>
      <xdr:col>1</xdr:col>
      <xdr:colOff>317500</xdr:colOff>
      <xdr:row>92</xdr:row>
      <xdr:rowOff>148166</xdr:rowOff>
    </xdr:from>
    <xdr:to>
      <xdr:col>3</xdr:col>
      <xdr:colOff>388937</xdr:colOff>
      <xdr:row>94</xdr:row>
      <xdr:rowOff>32778</xdr:rowOff>
    </xdr:to>
    <mc:AlternateContent xmlns:mc="http://schemas.openxmlformats.org/markup-compatibility/2006" xmlns:a14="http://schemas.microsoft.com/office/drawing/2010/main">
      <mc:Choice Requires="a14">
        <xdr:sp macro="" textlink="">
          <xdr:nvSpPr>
            <xdr:cNvPr id="22" name="TextBox 2">
              <a:extLst>
                <a:ext uri="{FF2B5EF4-FFF2-40B4-BE49-F238E27FC236}">
                  <a16:creationId xmlns:a16="http://schemas.microsoft.com/office/drawing/2014/main" id="{032219FC-BE47-4EBB-BBC7-9422DB40FE84}"/>
                </a:ext>
              </a:extLst>
            </xdr:cNvPr>
            <xdr:cNvSpPr txBox="1"/>
          </xdr:nvSpPr>
          <xdr:spPr>
            <a:xfrm>
              <a:off x="1143000" y="18552583"/>
              <a:ext cx="1722437" cy="28677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up>
                            <m:argPr>
                              <m:argSz m:val="-1"/>
                            </m:argPr>
                            <m:r>
                              <a:rPr lang="en-PH" sz="1100" i="1">
                                <a:solidFill>
                                  <a:schemeClr val="tx1"/>
                                </a:solidFill>
                                <a:effectLst/>
                                <a:latin typeface="Cambria Math" panose="02040503050406030204" pitchFamily="18" charset="0"/>
                                <a:ea typeface="+mn-ea"/>
                                <a:cs typeface="+mn-cs"/>
                              </a:rPr>
                              <m:t>𝐶𝐿</m:t>
                            </m:r>
                          </m:sup>
                        </m:sSubSup>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𝜆</m:t>
                            </m:r>
                          </m:e>
                          <m:sub>
                            <m:argPr>
                              <m:argSz m:val="-1"/>
                            </m:argP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𝐷</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oMath>
                </m:oMathPara>
              </a14:m>
              <a:endParaRPr lang="en-PH" sz="1100">
                <a:solidFill>
                  <a:schemeClr val="tx1"/>
                </a:solidFill>
                <a:effectLst/>
                <a:latin typeface="+mn-lt"/>
                <a:ea typeface="+mn-ea"/>
                <a:cs typeface="+mn-cs"/>
              </a:endParaRPr>
            </a:p>
          </xdr:txBody>
        </xdr:sp>
      </mc:Choice>
      <mc:Fallback xmlns="">
        <xdr:sp macro="" textlink="">
          <xdr:nvSpPr>
            <xdr:cNvPr id="22" name="TextBox 2">
              <a:extLst>
                <a:ext uri="{FF2B5EF4-FFF2-40B4-BE49-F238E27FC236}">
                  <a16:creationId xmlns:a16="http://schemas.microsoft.com/office/drawing/2014/main" id="{032219FC-BE47-4EBB-BBC7-9422DB40FE84}"/>
                </a:ext>
              </a:extLst>
            </xdr:cNvPr>
            <xdr:cNvSpPr txBox="1"/>
          </xdr:nvSpPr>
          <xdr:spPr>
            <a:xfrm>
              <a:off x="1143000" y="18552583"/>
              <a:ext cx="1722437" cy="28677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𝐸[𝐶_(𝑖,𝑗)^𝐶𝐿 ]=(𝜆_𝑗−1)×𝐷_(𝑖,𝑗−1)</a:t>
              </a:r>
              <a:endParaRPr lang="en-PH" sz="1100">
                <a:solidFill>
                  <a:schemeClr val="tx1"/>
                </a:solidFill>
                <a:effectLst/>
                <a:latin typeface="+mn-lt"/>
                <a:ea typeface="+mn-ea"/>
                <a:cs typeface="+mn-cs"/>
              </a:endParaRPr>
            </a:p>
          </xdr:txBody>
        </xdr:sp>
      </mc:Fallback>
    </mc:AlternateContent>
    <xdr:clientData/>
  </xdr:twoCellAnchor>
  <xdr:oneCellAnchor>
    <xdr:from>
      <xdr:col>4</xdr:col>
      <xdr:colOff>137583</xdr:colOff>
      <xdr:row>93</xdr:row>
      <xdr:rowOff>14817</xdr:rowOff>
    </xdr:from>
    <xdr:ext cx="2859373" cy="191078"/>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953ACE41-CDF9-41F0-A66B-568B823E2493}"/>
                </a:ext>
              </a:extLst>
            </xdr:cNvPr>
            <xdr:cNvSpPr txBox="1"/>
          </xdr:nvSpPr>
          <xdr:spPr>
            <a:xfrm>
              <a:off x="3439583" y="18620317"/>
              <a:ext cx="2859373"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𝐶h𝑎𝑖𝑛</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𝐿𝑎𝑑𝑑𝑒𝑟</m:t>
                            </m:r>
                          </m:sup>
                        </m:sSubSup>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𝐿𝐷𝐹</m:t>
                            </m:r>
                          </m:e>
                          <m:sub>
                            <m:argPr>
                              <m:argSz m:val="-1"/>
                            </m:argP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 ×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−1</m:t>
                        </m:r>
                      </m:sub>
                    </m:sSub>
                  </m:oMath>
                </m:oMathPara>
              </a14:m>
              <a:endParaRPr lang="en-PH" sz="1100">
                <a:solidFill>
                  <a:schemeClr val="tx1"/>
                </a:solidFill>
                <a:effectLst/>
                <a:latin typeface="+mn-lt"/>
                <a:ea typeface="+mn-ea"/>
                <a:cs typeface="+mn-cs"/>
              </a:endParaRPr>
            </a:p>
          </xdr:txBody>
        </xdr:sp>
      </mc:Choice>
      <mc:Fallback xmlns="">
        <xdr:sp macro="" textlink="">
          <xdr:nvSpPr>
            <xdr:cNvPr id="23" name="TextBox 22">
              <a:extLst>
                <a:ext uri="{FF2B5EF4-FFF2-40B4-BE49-F238E27FC236}">
                  <a16:creationId xmlns:a16="http://schemas.microsoft.com/office/drawing/2014/main" id="{953ACE41-CDF9-41F0-A66B-568B823E2493}"/>
                </a:ext>
              </a:extLst>
            </xdr:cNvPr>
            <xdr:cNvSpPr txBox="1"/>
          </xdr:nvSpPr>
          <xdr:spPr>
            <a:xfrm>
              <a:off x="3439583" y="18620317"/>
              <a:ext cx="2859373"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𝐸[〖𝐼𝑛𝑐𝐿𝑜𝑠𝑠〗_(𝐴𝑌,𝑘)^(𝐶ℎ𝑎𝑖𝑛 𝐿𝑎𝑑𝑑𝑒𝑟) ]=(〖𝐿𝐷𝐹〗_𝑘−1)  × 〖𝐿𝑜𝑠𝑠〗_(𝐴𝑌,𝑘−1)</a:t>
              </a:r>
              <a:endParaRPr lang="en-PH" sz="1100">
                <a:solidFill>
                  <a:schemeClr val="tx1"/>
                </a:solidFill>
                <a:effectLst/>
                <a:latin typeface="+mn-lt"/>
                <a:ea typeface="+mn-ea"/>
                <a:cs typeface="+mn-cs"/>
              </a:endParaRPr>
            </a:p>
          </xdr:txBody>
        </xdr:sp>
      </mc:Fallback>
    </mc:AlternateContent>
    <xdr:clientData/>
  </xdr:oneCellAnchor>
  <xdr:twoCellAnchor>
    <xdr:from>
      <xdr:col>1</xdr:col>
      <xdr:colOff>412751</xdr:colOff>
      <xdr:row>102</xdr:row>
      <xdr:rowOff>158750</xdr:rowOff>
    </xdr:from>
    <xdr:to>
      <xdr:col>4</xdr:col>
      <xdr:colOff>750889</xdr:colOff>
      <xdr:row>104</xdr:row>
      <xdr:rowOff>43360</xdr:rowOff>
    </xdr:to>
    <mc:AlternateContent xmlns:mc="http://schemas.openxmlformats.org/markup-compatibility/2006" xmlns:a14="http://schemas.microsoft.com/office/drawing/2010/main">
      <mc:Choice Requires="a14">
        <xdr:sp macro="" textlink="">
          <xdr:nvSpPr>
            <xdr:cNvPr id="24" name="TextBox 2">
              <a:extLst>
                <a:ext uri="{FF2B5EF4-FFF2-40B4-BE49-F238E27FC236}">
                  <a16:creationId xmlns:a16="http://schemas.microsoft.com/office/drawing/2014/main" id="{A18381A5-A90E-4D14-8C51-F26997A54BC8}"/>
                </a:ext>
              </a:extLst>
            </xdr:cNvPr>
            <xdr:cNvSpPr txBox="1"/>
          </xdr:nvSpPr>
          <xdr:spPr>
            <a:xfrm>
              <a:off x="1238251" y="20976167"/>
              <a:ext cx="2814638" cy="28677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up>
                            <m:argPr>
                              <m:argSz m:val="-1"/>
                            </m:argPr>
                            <m:r>
                              <a:rPr lang="en-PH" sz="1100" i="1">
                                <a:solidFill>
                                  <a:schemeClr val="tx1"/>
                                </a:solidFill>
                                <a:effectLst/>
                                <a:latin typeface="Cambria Math" panose="02040503050406030204" pitchFamily="18" charset="0"/>
                                <a:ea typeface="+mn-ea"/>
                                <a:cs typeface="+mn-cs"/>
                              </a:rPr>
                              <m:t>𝑐𝑟𝑒𝑑</m:t>
                            </m:r>
                          </m:sup>
                        </m:sSubSup>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𝑍</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up>
                            <m:argPr>
                              <m:argSz m:val="-1"/>
                            </m:argPr>
                            <m:r>
                              <a:rPr lang="en-PH" sz="1100" i="1">
                                <a:solidFill>
                                  <a:schemeClr val="tx1"/>
                                </a:solidFill>
                                <a:effectLst/>
                                <a:latin typeface="Cambria Math" panose="02040503050406030204" pitchFamily="18" charset="0"/>
                                <a:ea typeface="+mn-ea"/>
                                <a:cs typeface="+mn-cs"/>
                              </a:rPr>
                              <m:t>𝐶𝐿</m:t>
                            </m:r>
                          </m:sup>
                        </m:sSubSup>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𝑍</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up>
                            <m:argPr>
                              <m:argSz m:val="-1"/>
                            </m:argPr>
                            <m:r>
                              <a:rPr lang="en-PH" sz="1100" i="1">
                                <a:solidFill>
                                  <a:schemeClr val="tx1"/>
                                </a:solidFill>
                                <a:effectLst/>
                                <a:latin typeface="Cambria Math" panose="02040503050406030204" pitchFamily="18" charset="0"/>
                                <a:ea typeface="+mn-ea"/>
                                <a:cs typeface="+mn-cs"/>
                              </a:rPr>
                              <m:t>𝐵𝐹</m:t>
                            </m:r>
                          </m:sup>
                        </m:sSubSup>
                      </m:e>
                    </m:d>
                  </m:oMath>
                </m:oMathPara>
              </a14:m>
              <a:endParaRPr lang="en-PH" sz="1100">
                <a:solidFill>
                  <a:schemeClr val="tx1"/>
                </a:solidFill>
                <a:effectLst/>
                <a:latin typeface="+mn-lt"/>
                <a:ea typeface="+mn-ea"/>
                <a:cs typeface="+mn-cs"/>
              </a:endParaRPr>
            </a:p>
          </xdr:txBody>
        </xdr:sp>
      </mc:Choice>
      <mc:Fallback xmlns="">
        <xdr:sp macro="" textlink="">
          <xdr:nvSpPr>
            <xdr:cNvPr id="24" name="TextBox 2">
              <a:extLst>
                <a:ext uri="{FF2B5EF4-FFF2-40B4-BE49-F238E27FC236}">
                  <a16:creationId xmlns:a16="http://schemas.microsoft.com/office/drawing/2014/main" id="{A18381A5-A90E-4D14-8C51-F26997A54BC8}"/>
                </a:ext>
              </a:extLst>
            </xdr:cNvPr>
            <xdr:cNvSpPr txBox="1"/>
          </xdr:nvSpPr>
          <xdr:spPr>
            <a:xfrm>
              <a:off x="1238251" y="20976167"/>
              <a:ext cx="2814638" cy="28677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𝐸[𝐶_(𝑖,𝑗)^𝑐𝑟𝑒𝑑 ]=𝑍_(𝑖,𝑗)×E[𝐶_(𝑖,𝑗)^𝐶𝐿 ]+(1−𝑍_(𝑖,𝑗) )×E[𝐶_(𝑖,𝑗)^𝐵𝐹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349250</xdr:colOff>
      <xdr:row>104</xdr:row>
      <xdr:rowOff>173566</xdr:rowOff>
    </xdr:from>
    <xdr:ext cx="4287456" cy="191078"/>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4EB24E43-217E-4370-A19C-E79C2D0E4A67}"/>
                </a:ext>
              </a:extLst>
            </xdr:cNvPr>
            <xdr:cNvSpPr txBox="1"/>
          </xdr:nvSpPr>
          <xdr:spPr>
            <a:xfrm>
              <a:off x="1174750" y="20990983"/>
              <a:ext cx="428745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𝐶𝑟𝑒𝑑</m:t>
                            </m:r>
                          </m:sup>
                        </m:sSubSup>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𝐶𝑟𝑒𝑑</m:t>
                    </m:r>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𝐶𝐿</m:t>
                            </m:r>
                          </m:sup>
                        </m:sSubSup>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r>
                          <a:rPr lang="en-PH" sz="1100" i="1">
                            <a:solidFill>
                              <a:schemeClr val="tx1"/>
                            </a:solidFill>
                            <a:effectLst/>
                            <a:latin typeface="Cambria Math" panose="02040503050406030204" pitchFamily="18" charset="0"/>
                            <a:ea typeface="+mn-ea"/>
                            <a:cs typeface="+mn-cs"/>
                          </a:rPr>
                          <m:t>𝐶𝑟𝑒𝑑</m:t>
                        </m:r>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𝐵𝐹</m:t>
                            </m:r>
                          </m:sup>
                        </m:sSubSup>
                      </m:e>
                    </m:d>
                  </m:oMath>
                </m:oMathPara>
              </a14:m>
              <a:endParaRPr lang="en-PH" sz="1100">
                <a:solidFill>
                  <a:schemeClr val="tx1"/>
                </a:solidFill>
                <a:effectLst/>
                <a:latin typeface="+mn-lt"/>
                <a:ea typeface="+mn-ea"/>
                <a:cs typeface="+mn-cs"/>
              </a:endParaRPr>
            </a:p>
          </xdr:txBody>
        </xdr:sp>
      </mc:Choice>
      <mc:Fallback xmlns="">
        <xdr:sp macro="" textlink="">
          <xdr:nvSpPr>
            <xdr:cNvPr id="25" name="TextBox 24">
              <a:extLst>
                <a:ext uri="{FF2B5EF4-FFF2-40B4-BE49-F238E27FC236}">
                  <a16:creationId xmlns:a16="http://schemas.microsoft.com/office/drawing/2014/main" id="{4EB24E43-217E-4370-A19C-E79C2D0E4A67}"/>
                </a:ext>
              </a:extLst>
            </xdr:cNvPr>
            <xdr:cNvSpPr txBox="1"/>
          </xdr:nvSpPr>
          <xdr:spPr>
            <a:xfrm>
              <a:off x="1174750" y="20990983"/>
              <a:ext cx="428745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E[〖𝐼𝑛𝑐𝐿𝑜𝑠𝑠〗_(𝐴𝑌,𝑘)^𝐶𝑟𝑒𝑑 ]=𝐶𝑟𝑒𝑑×E[〖𝐼𝑛𝑐𝐿𝑜𝑠𝑠〗_(𝐴𝑌,𝑘)^𝐶𝐿 ]+(1−𝐶𝑟𝑒𝑑)×E[〖𝐼𝑛𝑐𝐿𝑜𝑠𝑠〗_(𝐴𝑌,𝑘)^𝐵𝐹 ]</a:t>
              </a:r>
              <a:endParaRPr lang="en-PH" sz="1100">
                <a:solidFill>
                  <a:schemeClr val="tx1"/>
                </a:solidFill>
                <a:effectLst/>
                <a:latin typeface="+mn-lt"/>
                <a:ea typeface="+mn-ea"/>
                <a:cs typeface="+mn-cs"/>
              </a:endParaRPr>
            </a:p>
          </xdr:txBody>
        </xdr:sp>
      </mc:Fallback>
    </mc:AlternateContent>
    <xdr:clientData/>
  </xdr:oneCellAnchor>
  <xdr:oneCellAnchor>
    <xdr:from>
      <xdr:col>4</xdr:col>
      <xdr:colOff>745190</xdr:colOff>
      <xdr:row>155</xdr:row>
      <xdr:rowOff>200865</xdr:rowOff>
    </xdr:from>
    <xdr:ext cx="1070486" cy="193194"/>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24FB6439-9045-46E3-A831-7F49DAF28F92}"/>
                </a:ext>
              </a:extLst>
            </xdr:cNvPr>
            <xdr:cNvSpPr txBox="1"/>
          </xdr:nvSpPr>
          <xdr:spPr>
            <a:xfrm>
              <a:off x="4039719" y="30848953"/>
              <a:ext cx="1070486" cy="193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𝐼𝑛𝑐𝐿𝑜𝑠𝑠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𝐵𝐹</m:t>
                            </m:r>
                          </m:sup>
                        </m:sSubSup>
                      </m:e>
                    </m:d>
                    <m:r>
                      <a:rPr lang="en-PH" sz="1100" b="0" i="1">
                        <a:latin typeface="Cambria Math" panose="02040503050406030204" pitchFamily="18" charset="0"/>
                      </a:rPr>
                      <m:t>=</m:t>
                    </m:r>
                  </m:oMath>
                </m:oMathPara>
              </a14:m>
              <a:endParaRPr lang="en-US" sz="1100"/>
            </a:p>
          </xdr:txBody>
        </xdr:sp>
      </mc:Choice>
      <mc:Fallback xmlns="">
        <xdr:sp macro="" textlink="">
          <xdr:nvSpPr>
            <xdr:cNvPr id="26" name="TextBox 25">
              <a:extLst>
                <a:ext uri="{FF2B5EF4-FFF2-40B4-BE49-F238E27FC236}">
                  <a16:creationId xmlns:a16="http://schemas.microsoft.com/office/drawing/2014/main" id="{24FB6439-9045-46E3-A831-7F49DAF28F92}"/>
                </a:ext>
              </a:extLst>
            </xdr:cNvPr>
            <xdr:cNvSpPr txBox="1"/>
          </xdr:nvSpPr>
          <xdr:spPr>
            <a:xfrm>
              <a:off x="4039719" y="30848953"/>
              <a:ext cx="1070486" cy="193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𝐸[〖𝐼𝑛𝑐𝐿𝑜𝑠𝑠〗_(𝐴𝑌,𝑑)^𝐵𝐹 ]</a:t>
              </a:r>
              <a:r>
                <a:rPr lang="en-PH" sz="1100" b="0" i="0">
                  <a:latin typeface="Cambria Math" panose="02040503050406030204" pitchFamily="18" charset="0"/>
                </a:rPr>
                <a:t>=</a:t>
              </a:r>
              <a:endParaRPr lang="en-US" sz="1100"/>
            </a:p>
          </xdr:txBody>
        </xdr:sp>
      </mc:Fallback>
    </mc:AlternateContent>
    <xdr:clientData/>
  </xdr:oneCellAnchor>
  <xdr:oneCellAnchor>
    <xdr:from>
      <xdr:col>4</xdr:col>
      <xdr:colOff>767604</xdr:colOff>
      <xdr:row>158</xdr:row>
      <xdr:rowOff>18147</xdr:rowOff>
    </xdr:from>
    <xdr:ext cx="1070486" cy="193707"/>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F920B5A9-D411-4274-BC60-556374F34B3C}"/>
                </a:ext>
              </a:extLst>
            </xdr:cNvPr>
            <xdr:cNvSpPr txBox="1"/>
          </xdr:nvSpPr>
          <xdr:spPr>
            <a:xfrm>
              <a:off x="4062133" y="31271353"/>
              <a:ext cx="1070486" cy="193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𝐼𝑛𝑐𝐿𝑜𝑠𝑠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𝐶𝐿</m:t>
                          </m:r>
                        </m:sup>
                      </m:sSubSup>
                    </m:e>
                  </m:d>
                  <m:r>
                    <a:rPr lang="en-US" sz="1100" b="0" i="1">
                      <a:latin typeface="Cambria Math" panose="02040503050406030204" pitchFamily="18" charset="0"/>
                    </a:rPr>
                    <m:t>=</m:t>
                  </m:r>
                </m:oMath>
              </a14:m>
              <a:r>
                <a:rPr lang="en-US" sz="1100"/>
                <a:t> </a:t>
              </a:r>
            </a:p>
          </xdr:txBody>
        </xdr:sp>
      </mc:Choice>
      <mc:Fallback xmlns="">
        <xdr:sp macro="" textlink="">
          <xdr:nvSpPr>
            <xdr:cNvPr id="27" name="TextBox 26">
              <a:extLst>
                <a:ext uri="{FF2B5EF4-FFF2-40B4-BE49-F238E27FC236}">
                  <a16:creationId xmlns:a16="http://schemas.microsoft.com/office/drawing/2014/main" id="{F920B5A9-D411-4274-BC60-556374F34B3C}"/>
                </a:ext>
              </a:extLst>
            </xdr:cNvPr>
            <xdr:cNvSpPr txBox="1"/>
          </xdr:nvSpPr>
          <xdr:spPr>
            <a:xfrm>
              <a:off x="4062133" y="31271353"/>
              <a:ext cx="1070486" cy="193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𝐸[〖𝐼𝑛𝑐𝐿𝑜𝑠𝑠〗_(𝐴𝑌,𝑑)^𝐶𝐿 ]=</a:t>
              </a:r>
              <a:r>
                <a:rPr lang="en-US" sz="1100"/>
                <a:t> </a:t>
              </a:r>
            </a:p>
          </xdr:txBody>
        </xdr:sp>
      </mc:Fallback>
    </mc:AlternateContent>
    <xdr:clientData/>
  </xdr:oneCellAnchor>
  <xdr:oneCellAnchor>
    <xdr:from>
      <xdr:col>1</xdr:col>
      <xdr:colOff>233456</xdr:colOff>
      <xdr:row>164</xdr:row>
      <xdr:rowOff>11206</xdr:rowOff>
    </xdr:from>
    <xdr:ext cx="1449948" cy="194156"/>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75120857-3AB8-45E3-A8D8-EC9927974762}"/>
                </a:ext>
              </a:extLst>
            </xdr:cNvPr>
            <xdr:cNvSpPr txBox="1"/>
          </xdr:nvSpPr>
          <xdr:spPr>
            <a:xfrm>
              <a:off x="1058956" y="34163623"/>
              <a:ext cx="1449948" cy="194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𝐼𝑛𝑐𝐿𝑜𝑠𝑠</m:t>
                            </m:r>
                          </m:e>
                          <m:sub>
                            <m:r>
                              <a:rPr lang="en-US" sz="1100" b="0" i="1">
                                <a:latin typeface="Cambria Math" panose="02040503050406030204" pitchFamily="18" charset="0"/>
                              </a:rPr>
                              <m:t>20</m:t>
                            </m:r>
                            <m:r>
                              <a:rPr lang="en-PH" sz="1100" b="0" i="1">
                                <a:latin typeface="Cambria Math" panose="02040503050406030204" pitchFamily="18" charset="0"/>
                              </a:rPr>
                              <m:t>23</m:t>
                            </m:r>
                            <m:r>
                              <a:rPr lang="en-US" sz="1100" b="0" i="1">
                                <a:latin typeface="Cambria Math" panose="02040503050406030204" pitchFamily="18" charset="0"/>
                              </a:rPr>
                              <m:t>,24&amp;36</m:t>
                            </m:r>
                          </m:sub>
                          <m:sup>
                            <m:r>
                              <a:rPr lang="en-US" sz="1100" b="0" i="1">
                                <a:latin typeface="Cambria Math" panose="02040503050406030204" pitchFamily="18" charset="0"/>
                              </a:rPr>
                              <m:t>𝐶𝐿</m:t>
                            </m:r>
                          </m:sup>
                        </m:sSubSup>
                      </m:e>
                    </m:d>
                    <m:r>
                      <a:rPr lang="en-US" sz="1100" b="0" i="1">
                        <a:latin typeface="Cambria Math" panose="02040503050406030204" pitchFamily="18" charset="0"/>
                      </a:rPr>
                      <m:t>=</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75120857-3AB8-45E3-A8D8-EC9927974762}"/>
                </a:ext>
              </a:extLst>
            </xdr:cNvPr>
            <xdr:cNvSpPr txBox="1"/>
          </xdr:nvSpPr>
          <xdr:spPr>
            <a:xfrm>
              <a:off x="1058956" y="34163623"/>
              <a:ext cx="1449948" cy="194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𝐸[〖𝐼𝑛𝑐𝐿𝑜𝑠𝑠〗_(20</a:t>
              </a:r>
              <a:r>
                <a:rPr lang="en-PH" sz="1100" b="0" i="0">
                  <a:latin typeface="Cambria Math" panose="02040503050406030204" pitchFamily="18" charset="0"/>
                </a:rPr>
                <a:t>23</a:t>
              </a:r>
              <a:r>
                <a:rPr lang="en-US" sz="1100" b="0" i="0">
                  <a:latin typeface="Cambria Math" panose="02040503050406030204" pitchFamily="18" charset="0"/>
                </a:rPr>
                <a:t>,24&amp;36)^𝐶𝐿 ]=</a:t>
              </a:r>
              <a:endParaRPr lang="en-US" sz="1100"/>
            </a:p>
          </xdr:txBody>
        </xdr:sp>
      </mc:Fallback>
    </mc:AlternateContent>
    <xdr:clientData/>
  </xdr:oneCellAnchor>
  <xdr:oneCellAnchor>
    <xdr:from>
      <xdr:col>1</xdr:col>
      <xdr:colOff>254000</xdr:colOff>
      <xdr:row>38</xdr:row>
      <xdr:rowOff>105834</xdr:rowOff>
    </xdr:from>
    <xdr:ext cx="1147943"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BB91C69-E940-42F7-894E-EE3C812DF0CB}"/>
                </a:ext>
              </a:extLst>
            </xdr:cNvPr>
            <xdr:cNvSpPr txBox="1"/>
          </xdr:nvSpPr>
          <xdr:spPr>
            <a:xfrm>
              <a:off x="1079500" y="8339667"/>
              <a:ext cx="11479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𝑥</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𝐺𝑎𝑚𝑚𝑎</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𝑖</m:t>
                            </m:r>
                          </m:sub>
                        </m:sSub>
                      </m:e>
                    </m:d>
                  </m:oMath>
                </m:oMathPara>
              </a14:m>
              <a:endParaRPr lang="en-PH"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2BB91C69-E940-42F7-894E-EE3C812DF0CB}"/>
                </a:ext>
              </a:extLst>
            </xdr:cNvPr>
            <xdr:cNvSpPr txBox="1"/>
          </xdr:nvSpPr>
          <xdr:spPr>
            <a:xfrm>
              <a:off x="1079500" y="8339667"/>
              <a:ext cx="11479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𝑥_𝑖~𝐺𝑎𝑚𝑚𝑎(𝛼_𝑖,𝛽_𝑖 )</a:t>
              </a:r>
              <a:endParaRPr lang="en-PH" sz="1100">
                <a:solidFill>
                  <a:schemeClr val="tx1"/>
                </a:solidFill>
                <a:effectLst/>
                <a:latin typeface="+mn-lt"/>
                <a:ea typeface="+mn-ea"/>
                <a:cs typeface="+mn-cs"/>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1</xdr:col>
      <xdr:colOff>121708</xdr:colOff>
      <xdr:row>114</xdr:row>
      <xdr:rowOff>157692</xdr:rowOff>
    </xdr:from>
    <xdr:ext cx="2200474" cy="19107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947208" y="12286192"/>
              <a:ext cx="2200474"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𝐼𝑛𝑐𝐿𝑜𝑠𝑠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𝑘</m:t>
                            </m:r>
                          </m:sub>
                        </m:sSub>
                      </m:e>
                    </m:d>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𝑥</m:t>
                        </m:r>
                      </m:e>
                      <m:sub>
                        <m:r>
                          <a:rPr lang="en-US" sz="1100" b="0" i="1">
                            <a:latin typeface="Cambria Math" panose="02040503050406030204" pitchFamily="18" charset="0"/>
                          </a:rPr>
                          <m:t>𝑖</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𝐼𝑛𝑐</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𝑃𝑎𝑖𝑑</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𝑘</m:t>
                        </m:r>
                      </m:sub>
                    </m:sSub>
                  </m:oMath>
                </m:oMathPara>
              </a14:m>
              <a:endParaRPr lang="en-US" sz="1100"/>
            </a:p>
          </xdr:txBody>
        </xdr:sp>
      </mc:Choice>
      <mc:Fallback xmlns="">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947208" y="12286192"/>
              <a:ext cx="2200474"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𝐸[〖𝐼𝑛𝑐𝐿𝑜𝑠𝑠〗_(𝐴𝑌,𝑘) ]= 𝑥_𝑖</a:t>
              </a:r>
              <a:r>
                <a:rPr lang="en-US" sz="1100" b="0" i="0">
                  <a:latin typeface="Cambria Math" panose="02040503050406030204" pitchFamily="18" charset="0"/>
                  <a:ea typeface="Cambria Math" panose="02040503050406030204" pitchFamily="18" charset="0"/>
                </a:rPr>
                <a:t>∙%𝐼𝑛𝑐〖𝑃𝑎𝑖𝑑〗_(𝐴𝑌,𝑘)</a:t>
              </a:r>
              <a:endParaRPr lang="en-US" sz="1100"/>
            </a:p>
          </xdr:txBody>
        </xdr:sp>
      </mc:Fallback>
    </mc:AlternateContent>
    <xdr:clientData/>
  </xdr:oneCellAnchor>
  <xdr:oneCellAnchor>
    <xdr:from>
      <xdr:col>1</xdr:col>
      <xdr:colOff>250825</xdr:colOff>
      <xdr:row>125</xdr:row>
      <xdr:rowOff>10583</xdr:rowOff>
    </xdr:from>
    <xdr:ext cx="2324739" cy="39562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076325" y="21738166"/>
              <a:ext cx="2324739" cy="3956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l-GR" sz="1100" i="1">
                            <a:latin typeface="Cambria Math" panose="02040503050406030204" pitchFamily="18" charset="0"/>
                          </a:rPr>
                          <m:t>𝛾</m:t>
                        </m:r>
                      </m:e>
                      <m:sub>
                        <m:r>
                          <a:rPr lang="en-US" sz="1100" b="0" i="1">
                            <a:latin typeface="Cambria Math" panose="02040503050406030204" pitchFamily="18" charset="0"/>
                          </a:rPr>
                          <m:t>𝐴𝑌</m:t>
                        </m:r>
                      </m:sub>
                    </m:sSub>
                    <m:r>
                      <a:rPr lang="en-US" sz="1100" b="0" i="1">
                        <a:latin typeface="Cambria Math" panose="02040503050406030204" pitchFamily="18" charset="0"/>
                      </a:rPr>
                      <m:t>=1+</m:t>
                    </m:r>
                    <m:f>
                      <m:fPr>
                        <m:ctrlPr>
                          <a:rPr lang="en-US" sz="1100" b="0" i="1">
                            <a:latin typeface="Cambria Math" panose="02040503050406030204" pitchFamily="18" charset="0"/>
                          </a:rPr>
                        </m:ctrlPr>
                      </m:fPr>
                      <m:num>
                        <m:nary>
                          <m:naryPr>
                            <m:chr m:val="∑"/>
                            <m:supHide m:val="on"/>
                            <m:ctrlPr>
                              <a:rPr lang="en-US" sz="1100" b="0" i="1">
                                <a:latin typeface="Cambria Math" panose="02040503050406030204" pitchFamily="18" charset="0"/>
                              </a:rPr>
                            </m:ctrlPr>
                          </m:naryPr>
                          <m:sub>
                            <m:r>
                              <m:rPr>
                                <m:brk m:alnAt="7"/>
                              </m:rPr>
                              <a:rPr lang="en-US" sz="1100" b="0" i="1">
                                <a:latin typeface="Cambria Math" panose="02040503050406030204" pitchFamily="18" charset="0"/>
                              </a:rPr>
                              <m:t>𝑓</m:t>
                            </m:r>
                            <m:r>
                              <a:rPr lang="en-US" sz="1100" b="0" i="1">
                                <a:latin typeface="Cambria Math" panose="02040503050406030204" pitchFamily="18" charset="0"/>
                              </a:rPr>
                              <m:t>𝑢𝑡𝑢𝑟𝑒</m:t>
                            </m:r>
                            <m:r>
                              <a:rPr lang="en-US" sz="1100" b="0" i="1">
                                <a:latin typeface="Cambria Math" panose="02040503050406030204" pitchFamily="18" charset="0"/>
                              </a:rPr>
                              <m:t> </m:t>
                            </m:r>
                            <m:r>
                              <a:rPr lang="en-US" sz="1100" b="0" i="1">
                                <a:latin typeface="Cambria Math" panose="02040503050406030204" pitchFamily="18" charset="0"/>
                              </a:rPr>
                              <m:t>𝑑𝑒𝑣</m:t>
                            </m:r>
                            <m:r>
                              <a:rPr lang="en-US" sz="1100" b="0" i="1">
                                <a:latin typeface="Cambria Math" panose="02040503050406030204" pitchFamily="18" charset="0"/>
                              </a:rPr>
                              <m:t> </m:t>
                            </m:r>
                            <m:r>
                              <a:rPr lang="en-US" sz="1100" b="0" i="1">
                                <a:latin typeface="Cambria Math" panose="02040503050406030204" pitchFamily="18" charset="0"/>
                              </a:rPr>
                              <m:t>𝑝𝑒𝑟𝑖𝑜𝑑𝑠</m:t>
                            </m:r>
                          </m:sub>
                          <m:sup/>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𝐴𝑌</m:t>
                                </m:r>
                              </m:sub>
                            </m:sSub>
                          </m:e>
                        </m:nary>
                      </m:num>
                      <m:den>
                        <m:nary>
                          <m:naryPr>
                            <m:chr m:val="∑"/>
                            <m:supHide m:val="on"/>
                            <m:ctrlPr>
                              <a:rPr lang="en-US" sz="1100" b="0" i="1">
                                <a:solidFill>
                                  <a:schemeClr val="tx1"/>
                                </a:solidFill>
                                <a:effectLst/>
                                <a:latin typeface="Cambria Math" panose="02040503050406030204" pitchFamily="18" charset="0"/>
                                <a:ea typeface="+mn-ea"/>
                                <a:cs typeface="+mn-cs"/>
                              </a:rPr>
                            </m:ctrlPr>
                          </m:naryPr>
                          <m:sub>
                            <m:r>
                              <m:rPr>
                                <m:brk m:alnAt="7"/>
                              </m:rPr>
                              <a:rPr lang="en-US" sz="1100" b="0" i="1">
                                <a:solidFill>
                                  <a:schemeClr val="tx1"/>
                                </a:solidFill>
                                <a:effectLst/>
                                <a:latin typeface="Cambria Math" panose="02040503050406030204" pitchFamily="18" charset="0"/>
                                <a:ea typeface="+mn-ea"/>
                                <a:cs typeface="+mn-cs"/>
                              </a:rPr>
                              <m:t>𝑓</m:t>
                            </m:r>
                            <m:r>
                              <a:rPr lang="en-US" sz="1100" b="0" i="1">
                                <a:solidFill>
                                  <a:schemeClr val="tx1"/>
                                </a:solidFill>
                                <a:effectLst/>
                                <a:latin typeface="Cambria Math" panose="02040503050406030204" pitchFamily="18" charset="0"/>
                                <a:ea typeface="+mn-ea"/>
                                <a:cs typeface="+mn-cs"/>
                              </a:rPr>
                              <m:t>𝑢𝑡𝑢𝑟𝑒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𝑑𝑒𝑣</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𝑝𝑒𝑟𝑖𝑜𝑑𝑠</m:t>
                            </m:r>
                          </m:sub>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𝑃𝑟𝑖𝑜𝑟</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𝐴𝑌𝑠</m:t>
                                </m:r>
                              </m:sub>
                            </m:sSub>
                          </m:e>
                        </m:nary>
                      </m:den>
                    </m:f>
                  </m:oMath>
                </m:oMathPara>
              </a14:m>
              <a:endParaRPr lang="en-US" sz="1100"/>
            </a:p>
          </xdr:txBody>
        </xdr:sp>
      </mc:Choice>
      <mc:Fallback xmlns="">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076325" y="21738166"/>
              <a:ext cx="2324739" cy="3956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1100" i="0">
                  <a:latin typeface="Cambria Math" panose="02040503050406030204" pitchFamily="18" charset="0"/>
                </a:rPr>
                <a:t>𝛾</a:t>
              </a:r>
              <a:r>
                <a:rPr lang="en-US" sz="1100" i="0">
                  <a:latin typeface="Cambria Math" panose="02040503050406030204" pitchFamily="18" charset="0"/>
                </a:rPr>
                <a:t>_</a:t>
              </a:r>
              <a:r>
                <a:rPr lang="en-US" sz="1100" b="0" i="0">
                  <a:latin typeface="Cambria Math" panose="02040503050406030204" pitchFamily="18" charset="0"/>
                </a:rPr>
                <a:t>𝐴𝑌=1+(∑_(𝑓𝑢𝑡𝑢𝑟𝑒 𝑑𝑒𝑣 𝑝𝑒𝑟𝑖𝑜𝑑𝑠)▒𝐶_𝐴𝑌 )/(</a:t>
              </a:r>
              <a:r>
                <a:rPr lang="en-US" sz="1100" b="0" i="0">
                  <a:solidFill>
                    <a:schemeClr val="tx1"/>
                  </a:solidFill>
                  <a:effectLst/>
                  <a:latin typeface="Cambria Math" panose="02040503050406030204" pitchFamily="18" charset="0"/>
                  <a:ea typeface="+mn-ea"/>
                  <a:cs typeface="+mn-cs"/>
                </a:rPr>
                <a:t>∑_(𝑓𝑢𝑡𝑢𝑟𝑒 𝑑𝑒𝑣 𝑝𝑒𝑟𝑖𝑜𝑑𝑠)▒𝐶_(𝑃𝑟𝑖𝑜𝑟 𝐴𝑌𝑠) )</a:t>
              </a:r>
              <a:endParaRPr lang="en-US" sz="1100"/>
            </a:p>
          </xdr:txBody>
        </xdr:sp>
      </mc:Fallback>
    </mc:AlternateContent>
    <xdr:clientData/>
  </xdr:oneCellAnchor>
  <xdr:oneCellAnchor>
    <xdr:from>
      <xdr:col>4</xdr:col>
      <xdr:colOff>110528</xdr:colOff>
      <xdr:row>125</xdr:row>
      <xdr:rowOff>58899</xdr:rowOff>
    </xdr:from>
    <xdr:ext cx="2738763" cy="37939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3581861" y="21786482"/>
              <a:ext cx="2738763" cy="379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i="1">
                            <a:latin typeface="Cambria Math" panose="02040503050406030204" pitchFamily="18" charset="0"/>
                          </a:rPr>
                          <m:t>𝛾</m:t>
                        </m:r>
                      </m:e>
                      <m:sub>
                        <m:r>
                          <a:rPr lang="en-US" sz="1100" b="0" i="1">
                            <a:latin typeface="Cambria Math" panose="02040503050406030204" pitchFamily="18" charset="0"/>
                          </a:rPr>
                          <m:t>𝐴𝑌</m:t>
                        </m:r>
                      </m:sub>
                    </m:sSub>
                    <m:r>
                      <a:rPr lang="en-US" sz="1100" b="0" i="1">
                        <a:latin typeface="Cambria Math" panose="02040503050406030204" pitchFamily="18" charset="0"/>
                      </a:rPr>
                      <m:t>=1+ </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𝑈𝑛𝑝𝑎𝑖𝑑</m:t>
                            </m:r>
                          </m:e>
                          <m:sub>
                            <m:r>
                              <a:rPr lang="en-US" sz="1100" b="0" i="1">
                                <a:latin typeface="Cambria Math" panose="02040503050406030204" pitchFamily="18" charset="0"/>
                              </a:rPr>
                              <m:t>𝐴𝑌</m:t>
                            </m:r>
                          </m:sub>
                        </m:sSub>
                      </m:num>
                      <m:den>
                        <m:nary>
                          <m:naryPr>
                            <m:chr m:val="∑"/>
                            <m:supHide m:val="on"/>
                            <m:ctrlPr>
                              <a:rPr lang="en-US" sz="1100" b="0" i="1">
                                <a:latin typeface="Cambria Math" panose="02040503050406030204" pitchFamily="18" charset="0"/>
                              </a:rPr>
                            </m:ctrlPr>
                          </m:naryPr>
                          <m:sub>
                            <m:r>
                              <m:rPr>
                                <m:brk m:alnAt="7"/>
                              </m:rPr>
                              <a:rPr lang="en-US" sz="1100" b="0" i="1">
                                <a:latin typeface="Cambria Math" panose="02040503050406030204" pitchFamily="18" charset="0"/>
                              </a:rPr>
                              <m:t>𝑓</m:t>
                            </m:r>
                            <m:r>
                              <a:rPr lang="en-US" sz="1100" b="0" i="1">
                                <a:latin typeface="Cambria Math" panose="02040503050406030204" pitchFamily="18" charset="0"/>
                              </a:rPr>
                              <m:t>𝑢𝑡𝑢𝑟𝑒</m:t>
                            </m:r>
                            <m:r>
                              <a:rPr lang="en-US" sz="1100" b="0" i="1">
                                <a:latin typeface="Cambria Math" panose="02040503050406030204" pitchFamily="18" charset="0"/>
                              </a:rPr>
                              <m:t> </m:t>
                            </m:r>
                            <m:r>
                              <a:rPr lang="en-US" sz="1100" b="0" i="1">
                                <a:latin typeface="Cambria Math" panose="02040503050406030204" pitchFamily="18" charset="0"/>
                              </a:rPr>
                              <m:t>𝑑𝑒𝑣</m:t>
                            </m:r>
                            <m:r>
                              <a:rPr lang="en-US" sz="1100" b="0" i="1">
                                <a:latin typeface="Cambria Math" panose="02040503050406030204" pitchFamily="18" charset="0"/>
                              </a:rPr>
                              <m:t> </m:t>
                            </m:r>
                            <m:r>
                              <a:rPr lang="en-US" sz="1100" b="0" i="1">
                                <a:latin typeface="Cambria Math" panose="02040503050406030204" pitchFamily="18" charset="0"/>
                              </a:rPr>
                              <m:t>𝑝𝑒𝑟𝑖𝑜𝑑𝑠</m:t>
                            </m:r>
                          </m:sub>
                          <m:sup/>
                          <m:e>
                            <m:sSub>
                              <m:sSubPr>
                                <m:ctrlPr>
                                  <a:rPr lang="en-US" sz="1100" b="0" i="1">
                                    <a:latin typeface="Cambria Math" panose="02040503050406030204" pitchFamily="18" charset="0"/>
                                  </a:rPr>
                                </m:ctrlPr>
                              </m:sSubPr>
                              <m:e>
                                <m:r>
                                  <a:rPr lang="en-US" sz="1100" b="0" i="1">
                                    <a:latin typeface="Cambria Math" panose="02040503050406030204" pitchFamily="18" charset="0"/>
                                  </a:rPr>
                                  <m:t>𝐼𝑛𝑐𝐿𝑜𝑠𝑠</m:t>
                                </m:r>
                              </m:e>
                              <m:sub>
                                <m:r>
                                  <a:rPr lang="en-US" sz="1100" b="0" i="1">
                                    <a:latin typeface="Cambria Math" panose="02040503050406030204" pitchFamily="18" charset="0"/>
                                  </a:rPr>
                                  <m:t>𝑃𝑟𝑖𝑜𝑟𝐴𝑌𝑠</m:t>
                                </m:r>
                              </m:sub>
                            </m:sSub>
                          </m:e>
                        </m:nary>
                      </m:den>
                    </m:f>
                  </m:oMath>
                </m:oMathPara>
              </a14:m>
              <a:endParaRPr lang="en-US" sz="1100"/>
            </a:p>
          </xdr:txBody>
        </xdr:sp>
      </mc:Choice>
      <mc:Fallback xmlns="">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3581861" y="21786482"/>
              <a:ext cx="2738763" cy="379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𝛾_</a:t>
              </a:r>
              <a:r>
                <a:rPr lang="en-US" sz="1100" b="0" i="0">
                  <a:latin typeface="Cambria Math" panose="02040503050406030204" pitchFamily="18" charset="0"/>
                </a:rPr>
                <a:t>𝐴𝑌=1+  〖𝑈𝑛𝑝𝑎𝑖𝑑〗_𝐴𝑌/(∑_(𝑓𝑢𝑡𝑢𝑟𝑒 𝑑𝑒𝑣 𝑝𝑒𝑟𝑖𝑜𝑑𝑠)▒〖𝐼𝑛𝑐𝐿𝑜𝑠𝑠〗_𝑃𝑟𝑖𝑜𝑟𝐴𝑌𝑠 )</a:t>
              </a:r>
              <a:endParaRPr lang="en-US" sz="1100"/>
            </a:p>
          </xdr:txBody>
        </xdr:sp>
      </mc:Fallback>
    </mc:AlternateContent>
    <xdr:clientData/>
  </xdr:oneCellAnchor>
  <xdr:oneCellAnchor>
    <xdr:from>
      <xdr:col>1</xdr:col>
      <xdr:colOff>0</xdr:colOff>
      <xdr:row>20</xdr:row>
      <xdr:rowOff>0</xdr:rowOff>
    </xdr:from>
    <xdr:ext cx="1327223"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AEDACF3-0E16-48DD-BE43-21226464FC67}"/>
                </a:ext>
              </a:extLst>
            </xdr:cNvPr>
            <xdr:cNvSpPr txBox="1"/>
          </xdr:nvSpPr>
          <xdr:spPr>
            <a:xfrm>
              <a:off x="825500" y="4476750"/>
              <a:ext cx="1327223"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𝑈𝑛𝑝𝑎𝑖𝑑</m:t>
                    </m:r>
                    <m:r>
                      <a:rPr lang="en-PH" sz="1100" i="1">
                        <a:solidFill>
                          <a:schemeClr val="tx1"/>
                        </a:solidFill>
                        <a:effectLst/>
                        <a:latin typeface="Cambria Math" panose="02040503050406030204" pitchFamily="18" charset="0"/>
                        <a:ea typeface="+mn-ea"/>
                        <a:cs typeface="+mn-cs"/>
                      </a:rPr>
                      <m:t>=1−</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m:t>
                        </m:r>
                      </m:num>
                      <m:den>
                        <m:r>
                          <a:rPr lang="en-PH" sz="1100" i="1">
                            <a:solidFill>
                              <a:schemeClr val="tx1"/>
                            </a:solidFill>
                            <a:effectLst/>
                            <a:latin typeface="Cambria Math" panose="02040503050406030204" pitchFamily="18" charset="0"/>
                            <a:ea typeface="+mn-ea"/>
                            <a:cs typeface="+mn-cs"/>
                          </a:rPr>
                          <m:t>𝐶𝐷𝐹</m:t>
                        </m:r>
                      </m:den>
                    </m:f>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CAEDACF3-0E16-48DD-BE43-21226464FC67}"/>
                </a:ext>
              </a:extLst>
            </xdr:cNvPr>
            <xdr:cNvSpPr txBox="1"/>
          </xdr:nvSpPr>
          <xdr:spPr>
            <a:xfrm>
              <a:off x="825500" y="4476750"/>
              <a:ext cx="1327223"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%𝑈𝑛𝑝𝑎𝑖𝑑=1−1/𝐶𝐷𝐹</a:t>
              </a:r>
              <a:endParaRPr lang="en-US" sz="1100">
                <a:solidFill>
                  <a:schemeClr val="tx1"/>
                </a:solidFill>
              </a:endParaRPr>
            </a:p>
          </xdr:txBody>
        </xdr:sp>
      </mc:Fallback>
    </mc:AlternateContent>
    <xdr:clientData/>
  </xdr:oneCellAnchor>
  <xdr:twoCellAnchor>
    <xdr:from>
      <xdr:col>1</xdr:col>
      <xdr:colOff>1</xdr:colOff>
      <xdr:row>33</xdr:row>
      <xdr:rowOff>0</xdr:rowOff>
    </xdr:from>
    <xdr:to>
      <xdr:col>4</xdr:col>
      <xdr:colOff>66261</xdr:colOff>
      <xdr:row>35</xdr:row>
      <xdr:rowOff>174497</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863D0C7-6830-4DB3-835E-5D898AB41D22}"/>
                </a:ext>
              </a:extLst>
            </xdr:cNvPr>
            <xdr:cNvSpPr txBox="1"/>
          </xdr:nvSpPr>
          <xdr:spPr>
            <a:xfrm>
              <a:off x="825501" y="7366000"/>
              <a:ext cx="2712093" cy="5766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𝛾</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=1+</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𝑥</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m:t>
                                </m:r>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𝐶𝐷𝐹</m:t>
                                    </m:r>
                                  </m:e>
                                  <m:sub>
                                    <m:argPr>
                                      <m:argSz m:val="-1"/>
                                    </m:argPr>
                                    <m:r>
                                      <a:rPr lang="en-PH" sz="1100" i="1">
                                        <a:solidFill>
                                          <a:schemeClr val="tx1"/>
                                        </a:solidFill>
                                        <a:effectLst/>
                                        <a:latin typeface="Cambria Math" panose="02040503050406030204" pitchFamily="18" charset="0"/>
                                        <a:ea typeface="+mn-ea"/>
                                        <a:cs typeface="+mn-cs"/>
                                      </a:rPr>
                                      <m:t>𝑖</m:t>
                                    </m:r>
                                  </m:sub>
                                </m:sSub>
                              </m:den>
                            </m:f>
                          </m:e>
                        </m:d>
                      </m:num>
                      <m:den>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𝑓𝑢𝑡𝑢𝑟𝑒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𝑑𝑒𝑣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𝑝𝑒𝑟𝑖𝑜𝑑𝑠</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𝐴𝑌𝑠</m:t>
                                </m:r>
                              </m:sub>
                            </m:sSub>
                          </m:e>
                        </m:nary>
                      </m:den>
                    </m:f>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0863D0C7-6830-4DB3-835E-5D898AB41D22}"/>
                </a:ext>
              </a:extLst>
            </xdr:cNvPr>
            <xdr:cNvSpPr txBox="1"/>
          </xdr:nvSpPr>
          <xdr:spPr>
            <a:xfrm>
              <a:off x="825501" y="7366000"/>
              <a:ext cx="2712093" cy="5766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𝛾_𝐴𝑌=1+(𝑥_𝑖×(1−1/〖𝐶𝐷𝐹〗_𝑖 ))/(∑1_(𝑓𝑢𝑡𝑢𝑟𝑒 𝑑𝑒𝑣 𝑝𝑒𝑟𝑖𝑜𝑑𝑠)▒𝐶_(𝑃𝑟𝑖𝑜𝑟 𝐴𝑌𝑠)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398991</xdr:colOff>
      <xdr:row>33</xdr:row>
      <xdr:rowOff>119258</xdr:rowOff>
    </xdr:from>
    <xdr:ext cx="2493183" cy="389915"/>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ACE3B09-5FEC-4B2C-936A-E72C7EC6ABCF}"/>
                </a:ext>
              </a:extLst>
            </xdr:cNvPr>
            <xdr:cNvSpPr txBox="1"/>
          </xdr:nvSpPr>
          <xdr:spPr>
            <a:xfrm>
              <a:off x="3870324" y="7485258"/>
              <a:ext cx="2493183" cy="389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𝛾</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a:solidFill>
                          <a:schemeClr val="tx1"/>
                        </a:solidFill>
                        <a:effectLst/>
                        <a:latin typeface="Cambria Math" panose="02040503050406030204" pitchFamily="18" charset="0"/>
                        <a:ea typeface="+mn-ea"/>
                        <a:cs typeface="+mn-cs"/>
                      </a:rPr>
                      <m:t>=1+</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𝑈𝑙𝑡</m:t>
                                </m:r>
                              </m:e>
                              <m:sub>
                                <m:argPr>
                                  <m:argSz m:val="-1"/>
                                </m:argPr>
                                <m:r>
                                  <a:rPr lang="en-PH" sz="1100" i="1">
                                    <a:solidFill>
                                      <a:schemeClr val="tx1"/>
                                    </a:solidFill>
                                    <a:effectLst/>
                                    <a:latin typeface="Cambria Math" panose="02040503050406030204" pitchFamily="18" charset="0"/>
                                    <a:ea typeface="+mn-ea"/>
                                    <a:cs typeface="+mn-cs"/>
                                  </a:rPr>
                                  <m:t>𝐴𝑌</m:t>
                                </m:r>
                              </m:sub>
                            </m:sSub>
                          </m:e>
                        </m:d>
                        <m:r>
                          <a:rPr lang="en-PH" sz="1100">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𝑈𝑛𝑝𝑎𝑖𝑑</m:t>
                            </m:r>
                          </m:e>
                          <m:sub>
                            <m:argPr>
                              <m:argSz m:val="-1"/>
                            </m:argPr>
                            <m:r>
                              <a:rPr lang="en-PH" sz="1100" i="1">
                                <a:solidFill>
                                  <a:schemeClr val="tx1"/>
                                </a:solidFill>
                                <a:effectLst/>
                                <a:latin typeface="Cambria Math" panose="02040503050406030204" pitchFamily="18" charset="0"/>
                                <a:ea typeface="+mn-ea"/>
                                <a:cs typeface="+mn-cs"/>
                              </a:rPr>
                              <m:t>𝐴𝑌</m:t>
                            </m:r>
                          </m:sub>
                        </m:sSub>
                      </m:num>
                      <m:den>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𝑓𝑢𝑡𝑢𝑟𝑒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𝑑𝑒𝑣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𝑝𝑒𝑟𝑖𝑜𝑑𝑠</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𝐴𝑌𝑠</m:t>
                                </m:r>
                              </m:sub>
                            </m:sSub>
                          </m:e>
                        </m:nary>
                      </m:den>
                    </m:f>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CACE3B09-5FEC-4B2C-936A-E72C7EC6ABCF}"/>
                </a:ext>
              </a:extLst>
            </xdr:cNvPr>
            <xdr:cNvSpPr txBox="1"/>
          </xdr:nvSpPr>
          <xdr:spPr>
            <a:xfrm>
              <a:off x="3870324" y="7485258"/>
              <a:ext cx="2493183" cy="389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𝛾_𝐴𝑌=1+(E[〖𝑈𝑙𝑡〗_𝐴𝑌 ]×〖%𝑈𝑛𝑝𝑎𝑖𝑑〗_𝐴𝑌)/(∑1_(𝑓𝑢𝑡𝑢𝑟𝑒 𝑑𝑒𝑣 𝑝𝑒𝑟𝑖𝑜𝑑𝑠)▒〖𝐼𝑛𝑐𝐿𝑜𝑠𝑠〗_(𝑃𝑟𝑖𝑜𝑟 𝐴𝑌𝑠) )</a:t>
              </a:r>
              <a:endParaRPr lang="en-US" sz="1100">
                <a:solidFill>
                  <a:schemeClr val="tx1"/>
                </a:solidFill>
              </a:endParaRPr>
            </a:p>
          </xdr:txBody>
        </xdr:sp>
      </mc:Fallback>
    </mc:AlternateContent>
    <xdr:clientData/>
  </xdr:oneCellAnchor>
  <xdr:twoCellAnchor>
    <xdr:from>
      <xdr:col>1</xdr:col>
      <xdr:colOff>423333</xdr:colOff>
      <xdr:row>41</xdr:row>
      <xdr:rowOff>190500</xdr:rowOff>
    </xdr:from>
    <xdr:to>
      <xdr:col>3</xdr:col>
      <xdr:colOff>651933</xdr:colOff>
      <xdr:row>44</xdr:row>
      <xdr:rowOff>92197</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65090CF3-1376-4FCA-B702-C3CFB36ECD94}"/>
                </a:ext>
              </a:extLst>
            </xdr:cNvPr>
            <xdr:cNvSpPr txBox="1"/>
          </xdr:nvSpPr>
          <xdr:spPr>
            <a:xfrm>
              <a:off x="1248833" y="9165167"/>
              <a:ext cx="2048933" cy="50494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2"/>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𝛾</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2"/>
                        </m:argPr>
                        <m:r>
                          <m:rPr>
                            <m:sty m:val="p"/>
                          </m:rPr>
                          <a:rPr lang="en-PH" sz="1100">
                            <a:solidFill>
                              <a:schemeClr val="tx1"/>
                            </a:solidFill>
                            <a:effectLst/>
                            <a:latin typeface="Cambria Math" panose="02040503050406030204" pitchFamily="18" charset="0"/>
                            <a:ea typeface="+mn-ea"/>
                            <a:cs typeface="+mn-cs"/>
                          </a:rPr>
                          <m:t>Prior</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AYs</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2"/>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nary>
                  </m:oMath>
                </m:oMathPara>
              </a14:m>
              <a:endParaRPr lang="en-PH"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65090CF3-1376-4FCA-B702-C3CFB36ECD94}"/>
                </a:ext>
              </a:extLst>
            </xdr:cNvPr>
            <xdr:cNvSpPr txBox="1"/>
          </xdr:nvSpPr>
          <xdr:spPr>
            <a:xfrm>
              <a:off x="1248833" y="9165167"/>
              <a:ext cx="2048933" cy="50494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E[𝐶_(𝑖,𝑗) ]=(𝛾_𝑖−1)×∑1_(Prior AYs)▒𝐶_(𝑖,𝑗)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396876</xdr:colOff>
      <xdr:row>42</xdr:row>
      <xdr:rowOff>86784</xdr:rowOff>
    </xdr:from>
    <xdr:ext cx="2762615" cy="41049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CA00898-7483-4E0D-85F0-082D0DB8C3AD}"/>
                </a:ext>
              </a:extLst>
            </xdr:cNvPr>
            <xdr:cNvSpPr txBox="1"/>
          </xdr:nvSpPr>
          <xdr:spPr>
            <a:xfrm>
              <a:off x="3868209" y="9262534"/>
              <a:ext cx="2762615" cy="410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𝛾</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2"/>
                        </m:argPr>
                        <m:r>
                          <m:rPr>
                            <m:sty m:val="p"/>
                          </m:rPr>
                          <a:rPr lang="en-PH" sz="1100">
                            <a:solidFill>
                              <a:schemeClr val="tx1"/>
                            </a:solidFill>
                            <a:effectLst/>
                            <a:latin typeface="Cambria Math" panose="02040503050406030204" pitchFamily="18" charset="0"/>
                            <a:ea typeface="+mn-ea"/>
                            <a:cs typeface="+mn-cs"/>
                          </a:rPr>
                          <m:t>Prior</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AYs</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nary>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9CA00898-7483-4E0D-85F0-082D0DB8C3AD}"/>
                </a:ext>
              </a:extLst>
            </xdr:cNvPr>
            <xdr:cNvSpPr txBox="1"/>
          </xdr:nvSpPr>
          <xdr:spPr>
            <a:xfrm>
              <a:off x="3868209" y="9262534"/>
              <a:ext cx="2762615" cy="410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E[〖𝐼𝑛𝑐𝐿𝑜𝑠𝑠〗_(𝐴𝑌,𝑘) ]=(𝛾_𝐴𝑌−1)×∑1_(Prior AYs)▒〖𝐼𝑛𝑐𝐿𝑜𝑠𝑠〗_(𝐴𝑌,𝑘) </a:t>
              </a:r>
              <a:endParaRPr lang="en-US" sz="1100">
                <a:solidFill>
                  <a:schemeClr val="tx1"/>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349250</xdr:colOff>
      <xdr:row>21</xdr:row>
      <xdr:rowOff>158751</xdr:rowOff>
    </xdr:from>
    <xdr:to>
      <xdr:col>3</xdr:col>
      <xdr:colOff>646205</xdr:colOff>
      <xdr:row>23</xdr:row>
      <xdr:rowOff>204380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C24630C4-1D85-4CD7-9BA2-12EFCE298064}"/>
                </a:ext>
              </a:extLst>
            </xdr:cNvPr>
            <xdr:cNvSpPr txBox="1"/>
          </xdr:nvSpPr>
          <xdr:spPr>
            <a:xfrm>
              <a:off x="1174750" y="4804834"/>
              <a:ext cx="1947955" cy="53246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𝛾</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1"/>
                        </m:argPr>
                        <m:r>
                          <m:rPr>
                            <m:sty m:val="p"/>
                          </m:rPr>
                          <a:rPr lang="en-PH" sz="1100">
                            <a:solidFill>
                              <a:schemeClr val="tx1"/>
                            </a:solidFill>
                            <a:effectLst/>
                            <a:latin typeface="Cambria Math" panose="02040503050406030204" pitchFamily="18" charset="0"/>
                            <a:ea typeface="+mn-ea"/>
                            <a:cs typeface="+mn-cs"/>
                          </a:rPr>
                          <m:t>Prior</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AYs</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nary>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C24630C4-1D85-4CD7-9BA2-12EFCE298064}"/>
                </a:ext>
              </a:extLst>
            </xdr:cNvPr>
            <xdr:cNvSpPr txBox="1"/>
          </xdr:nvSpPr>
          <xdr:spPr>
            <a:xfrm>
              <a:off x="1174750" y="4804834"/>
              <a:ext cx="1947955" cy="53246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E[𝐶_(𝑖,𝑗) ]=(𝛾_𝑖−1)×∑1_(Prior AYs)▒𝐶_(𝑖,𝑗)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582083</xdr:colOff>
      <xdr:row>21</xdr:row>
      <xdr:rowOff>232834</xdr:rowOff>
    </xdr:from>
    <xdr:ext cx="2762615" cy="41049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9B789E-13AE-4D31-AD33-0B054CFEE11B}"/>
                </a:ext>
              </a:extLst>
            </xdr:cNvPr>
            <xdr:cNvSpPr txBox="1"/>
          </xdr:nvSpPr>
          <xdr:spPr>
            <a:xfrm>
              <a:off x="3884083" y="4878917"/>
              <a:ext cx="2762615" cy="410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𝛾</m:t>
                            </m:r>
                          </m:e>
                          <m:sub>
                            <m:argPr>
                              <m:argSz m:val="-1"/>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−1</m:t>
                        </m:r>
                      </m:e>
                    </m:d>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1"/>
                        </m:argPr>
                        <m:r>
                          <m:rPr>
                            <m:sty m:val="p"/>
                          </m:rPr>
                          <a:rPr lang="en-PH" sz="1100">
                            <a:solidFill>
                              <a:schemeClr val="tx1"/>
                            </a:solidFill>
                            <a:effectLst/>
                            <a:latin typeface="Cambria Math" panose="02040503050406030204" pitchFamily="18" charset="0"/>
                            <a:ea typeface="+mn-ea"/>
                            <a:cs typeface="+mn-cs"/>
                          </a:rPr>
                          <m:t>Prior</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AYs</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nary>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F79B789E-13AE-4D31-AD33-0B054CFEE11B}"/>
                </a:ext>
              </a:extLst>
            </xdr:cNvPr>
            <xdr:cNvSpPr txBox="1"/>
          </xdr:nvSpPr>
          <xdr:spPr>
            <a:xfrm>
              <a:off x="3884083" y="4878917"/>
              <a:ext cx="2762615" cy="410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E[〖𝐼𝑛𝑐𝐿𝑜𝑠𝑠〗_(𝐴𝑌,𝑘) ]=(𝛾_𝐴𝑌−1)×∑1_(Prior AYs)▒〖𝐼𝑛𝑐𝐿𝑜𝑠𝑠〗_(𝐴𝑌,𝑘) </a:t>
              </a:r>
              <a:endParaRPr lang="en-US" sz="1100">
                <a:solidFill>
                  <a:schemeClr val="tx1"/>
                </a:solidFill>
              </a:endParaRPr>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BBDC-4C07-0841-8E3F-43448662BFD4}">
  <dimension ref="A1:BM211"/>
  <sheetViews>
    <sheetView showGridLines="0" tabSelected="1" zoomScale="120" zoomScaleNormal="120" workbookViewId="0"/>
  </sheetViews>
  <sheetFormatPr baseColWidth="10" defaultColWidth="10.83203125" defaultRowHeight="16" x14ac:dyDescent="0.2"/>
  <cols>
    <col min="1" max="10" width="10.83203125" style="128" customWidth="1"/>
    <col min="11" max="16384" width="10.83203125" style="128"/>
  </cols>
  <sheetData>
    <row r="1" spans="1:10" ht="19" x14ac:dyDescent="0.25">
      <c r="A1" s="167" t="s">
        <v>87</v>
      </c>
      <c r="B1" s="144"/>
      <c r="C1" s="144"/>
      <c r="D1" s="144"/>
      <c r="E1" s="144"/>
      <c r="F1" s="144"/>
      <c r="G1" s="144"/>
      <c r="H1" s="144"/>
      <c r="I1" s="144"/>
      <c r="J1" s="143"/>
    </row>
    <row r="2" spans="1:10" x14ac:dyDescent="0.2">
      <c r="A2" s="145"/>
      <c r="B2" s="144"/>
      <c r="C2" s="144"/>
      <c r="D2" s="144"/>
      <c r="E2" s="144"/>
      <c r="F2" s="144"/>
      <c r="G2" s="144"/>
      <c r="H2" s="144"/>
      <c r="I2" s="144"/>
      <c r="J2" s="143"/>
    </row>
    <row r="3" spans="1:10" x14ac:dyDescent="0.2">
      <c r="A3" s="145"/>
      <c r="B3" s="144" t="s">
        <v>163</v>
      </c>
      <c r="C3" s="144"/>
      <c r="D3" s="144"/>
      <c r="E3" s="144"/>
      <c r="F3" s="144"/>
      <c r="G3" s="144"/>
      <c r="H3" s="144"/>
      <c r="I3" s="144"/>
      <c r="J3" s="143"/>
    </row>
    <row r="4" spans="1:10" x14ac:dyDescent="0.2">
      <c r="A4" s="145"/>
      <c r="B4" s="144"/>
      <c r="C4" s="144"/>
      <c r="D4" s="144"/>
      <c r="E4" s="144"/>
      <c r="F4" s="144"/>
      <c r="G4" s="144"/>
      <c r="H4" s="144"/>
      <c r="I4" s="144"/>
      <c r="J4" s="143"/>
    </row>
    <row r="5" spans="1:10" x14ac:dyDescent="0.2">
      <c r="A5" s="145"/>
      <c r="B5" s="144"/>
      <c r="C5" s="191" t="s">
        <v>33</v>
      </c>
      <c r="D5" s="192"/>
      <c r="E5" s="192"/>
      <c r="F5" s="192"/>
      <c r="G5" s="192"/>
      <c r="H5" s="193"/>
      <c r="I5" s="144"/>
      <c r="J5" s="143"/>
    </row>
    <row r="6" spans="1:10" ht="34" x14ac:dyDescent="0.2">
      <c r="A6" s="145"/>
      <c r="B6" s="144"/>
      <c r="C6" s="158" t="s">
        <v>6</v>
      </c>
      <c r="D6" s="156">
        <v>12</v>
      </c>
      <c r="E6" s="156">
        <v>24</v>
      </c>
      <c r="F6" s="156">
        <v>36</v>
      </c>
      <c r="G6" s="156">
        <v>48</v>
      </c>
      <c r="H6" s="155">
        <v>60</v>
      </c>
      <c r="I6" s="144"/>
      <c r="J6" s="143"/>
    </row>
    <row r="7" spans="1:10" x14ac:dyDescent="0.2">
      <c r="A7" s="145"/>
      <c r="B7" s="144"/>
      <c r="C7" s="154">
        <v>2019</v>
      </c>
      <c r="D7" s="166">
        <v>3560</v>
      </c>
      <c r="E7" s="166">
        <v>8600</v>
      </c>
      <c r="F7" s="166">
        <v>10400</v>
      </c>
      <c r="G7" s="166">
        <v>12010</v>
      </c>
      <c r="H7" s="165">
        <v>12560</v>
      </c>
      <c r="I7" s="144"/>
      <c r="J7" s="143"/>
    </row>
    <row r="8" spans="1:10" x14ac:dyDescent="0.2">
      <c r="A8" s="145"/>
      <c r="B8" s="144"/>
      <c r="C8" s="151">
        <v>2020</v>
      </c>
      <c r="D8" s="164">
        <v>3060</v>
      </c>
      <c r="E8" s="164">
        <v>8720</v>
      </c>
      <c r="F8" s="164">
        <v>11640</v>
      </c>
      <c r="G8" s="164">
        <v>13690</v>
      </c>
      <c r="H8" s="162"/>
      <c r="I8" s="144"/>
      <c r="J8" s="143"/>
    </row>
    <row r="9" spans="1:10" x14ac:dyDescent="0.2">
      <c r="A9" s="145"/>
      <c r="B9" s="144"/>
      <c r="C9" s="151">
        <v>2021</v>
      </c>
      <c r="D9" s="164">
        <v>2670</v>
      </c>
      <c r="E9" s="164">
        <v>7190</v>
      </c>
      <c r="F9" s="164">
        <v>8920</v>
      </c>
      <c r="G9" s="163"/>
      <c r="H9" s="162"/>
      <c r="I9" s="144"/>
      <c r="J9" s="143"/>
    </row>
    <row r="10" spans="1:10" x14ac:dyDescent="0.2">
      <c r="A10" s="145"/>
      <c r="B10" s="144"/>
      <c r="C10" s="151">
        <v>2022</v>
      </c>
      <c r="D10" s="164">
        <v>1870</v>
      </c>
      <c r="E10" s="164">
        <v>6450</v>
      </c>
      <c r="F10" s="163"/>
      <c r="G10" s="163"/>
      <c r="H10" s="162"/>
      <c r="I10" s="144"/>
      <c r="J10" s="143"/>
    </row>
    <row r="11" spans="1:10" x14ac:dyDescent="0.2">
      <c r="A11" s="145"/>
      <c r="B11" s="144"/>
      <c r="C11" s="148">
        <v>2023</v>
      </c>
      <c r="D11" s="161">
        <v>2820</v>
      </c>
      <c r="E11" s="160"/>
      <c r="F11" s="160"/>
      <c r="G11" s="160"/>
      <c r="H11" s="159"/>
      <c r="I11" s="144"/>
      <c r="J11" s="143"/>
    </row>
    <row r="12" spans="1:10" x14ac:dyDescent="0.2">
      <c r="A12" s="145"/>
      <c r="B12" s="144"/>
      <c r="C12" s="144"/>
      <c r="D12" s="144"/>
      <c r="E12" s="144"/>
      <c r="F12" s="144"/>
      <c r="G12" s="144"/>
      <c r="H12" s="144"/>
      <c r="I12" s="144"/>
      <c r="J12" s="143"/>
    </row>
    <row r="13" spans="1:10" x14ac:dyDescent="0.2">
      <c r="A13" s="145"/>
      <c r="B13" s="144"/>
      <c r="C13" s="191" t="s">
        <v>34</v>
      </c>
      <c r="D13" s="192"/>
      <c r="E13" s="192"/>
      <c r="F13" s="192"/>
      <c r="G13" s="193"/>
      <c r="H13" s="144"/>
      <c r="I13" s="144"/>
      <c r="J13" s="143"/>
    </row>
    <row r="14" spans="1:10" ht="34" x14ac:dyDescent="0.2">
      <c r="A14" s="145"/>
      <c r="B14" s="144"/>
      <c r="C14" s="158" t="s">
        <v>6</v>
      </c>
      <c r="D14" s="157" t="s">
        <v>24</v>
      </c>
      <c r="E14" s="156" t="s">
        <v>21</v>
      </c>
      <c r="F14" s="156" t="s">
        <v>22</v>
      </c>
      <c r="G14" s="155" t="s">
        <v>23</v>
      </c>
      <c r="H14" s="144"/>
      <c r="I14" s="144"/>
      <c r="J14" s="143"/>
    </row>
    <row r="15" spans="1:10" x14ac:dyDescent="0.2">
      <c r="A15" s="145"/>
      <c r="B15" s="144"/>
      <c r="C15" s="154">
        <v>2019</v>
      </c>
      <c r="D15" s="153">
        <v>2.4159999999999999</v>
      </c>
      <c r="E15" s="153">
        <v>1.2090000000000001</v>
      </c>
      <c r="F15" s="153">
        <v>1.155</v>
      </c>
      <c r="G15" s="152">
        <v>1.046</v>
      </c>
      <c r="H15" s="144"/>
      <c r="I15" s="144"/>
      <c r="J15" s="143"/>
    </row>
    <row r="16" spans="1:10" x14ac:dyDescent="0.2">
      <c r="A16" s="145"/>
      <c r="B16" s="144"/>
      <c r="C16" s="151">
        <v>2020</v>
      </c>
      <c r="D16" s="150">
        <v>2.85</v>
      </c>
      <c r="E16" s="150">
        <v>1.335</v>
      </c>
      <c r="F16" s="150">
        <v>1.1759999999999999</v>
      </c>
      <c r="G16" s="149"/>
      <c r="H16" s="144"/>
      <c r="I16" s="144"/>
      <c r="J16" s="143"/>
    </row>
    <row r="17" spans="1:10" x14ac:dyDescent="0.2">
      <c r="A17" s="145"/>
      <c r="B17" s="144"/>
      <c r="C17" s="151">
        <v>2021</v>
      </c>
      <c r="D17" s="150">
        <v>2.6930000000000001</v>
      </c>
      <c r="E17" s="150">
        <v>1.2410000000000001</v>
      </c>
      <c r="F17" s="150"/>
      <c r="G17" s="149"/>
      <c r="H17" s="144"/>
      <c r="I17" s="144"/>
      <c r="J17" s="143"/>
    </row>
    <row r="18" spans="1:10" x14ac:dyDescent="0.2">
      <c r="A18" s="145"/>
      <c r="B18" s="144"/>
      <c r="C18" s="148">
        <v>2022</v>
      </c>
      <c r="D18" s="147">
        <v>3.4489999999999998</v>
      </c>
      <c r="E18" s="147"/>
      <c r="F18" s="147"/>
      <c r="G18" s="146"/>
      <c r="H18" s="144"/>
      <c r="I18" s="144"/>
      <c r="J18" s="143"/>
    </row>
    <row r="19" spans="1:10" x14ac:dyDescent="0.2">
      <c r="A19" s="145"/>
      <c r="B19" s="144"/>
      <c r="C19" s="144"/>
      <c r="D19" s="144"/>
      <c r="E19" s="144"/>
      <c r="F19" s="144"/>
      <c r="G19" s="144"/>
      <c r="H19" s="144"/>
      <c r="I19" s="144"/>
      <c r="J19" s="143"/>
    </row>
    <row r="20" spans="1:10" x14ac:dyDescent="0.2">
      <c r="A20" s="145"/>
      <c r="B20" s="144" t="s">
        <v>25</v>
      </c>
      <c r="C20" s="144"/>
      <c r="D20" s="144"/>
      <c r="E20" s="144"/>
      <c r="F20" s="144"/>
      <c r="G20" s="144"/>
      <c r="H20" s="144"/>
      <c r="I20" s="144"/>
      <c r="J20" s="143"/>
    </row>
    <row r="21" spans="1:10" x14ac:dyDescent="0.2">
      <c r="A21" s="145"/>
      <c r="B21" s="144" t="s">
        <v>26</v>
      </c>
      <c r="C21" s="144"/>
      <c r="D21" s="144"/>
      <c r="E21" s="144"/>
      <c r="F21" s="144"/>
      <c r="G21" s="144"/>
      <c r="H21" s="144"/>
      <c r="I21" s="144"/>
      <c r="J21" s="143"/>
    </row>
    <row r="22" spans="1:10" x14ac:dyDescent="0.2">
      <c r="A22" s="145"/>
      <c r="B22" s="144" t="s">
        <v>27</v>
      </c>
      <c r="C22" s="144"/>
      <c r="D22" s="144"/>
      <c r="E22" s="144"/>
      <c r="F22" s="144"/>
      <c r="G22" s="144"/>
      <c r="H22" s="144"/>
      <c r="I22" s="144"/>
      <c r="J22" s="143"/>
    </row>
    <row r="23" spans="1:10" x14ac:dyDescent="0.2">
      <c r="A23" s="145"/>
      <c r="B23" s="144"/>
      <c r="C23" s="144"/>
      <c r="D23" s="144"/>
      <c r="E23" s="144"/>
      <c r="F23" s="144"/>
      <c r="G23" s="144"/>
      <c r="H23" s="144"/>
      <c r="I23" s="144"/>
      <c r="J23" s="143"/>
    </row>
    <row r="24" spans="1:10" x14ac:dyDescent="0.2">
      <c r="A24" s="145"/>
      <c r="B24" s="144"/>
      <c r="C24" s="144"/>
      <c r="D24" s="144"/>
      <c r="E24" s="144"/>
      <c r="F24" s="144"/>
      <c r="G24" s="144"/>
      <c r="H24" s="144"/>
      <c r="I24" s="144"/>
      <c r="J24" s="143"/>
    </row>
    <row r="25" spans="1:10" x14ac:dyDescent="0.2">
      <c r="A25" s="145"/>
      <c r="B25" s="144" t="s">
        <v>0</v>
      </c>
      <c r="C25" s="144"/>
      <c r="D25" s="144"/>
      <c r="E25" s="144"/>
      <c r="F25" s="144"/>
      <c r="G25" s="144"/>
      <c r="H25" s="144"/>
      <c r="I25" s="144"/>
      <c r="J25" s="143"/>
    </row>
    <row r="26" spans="1:10" x14ac:dyDescent="0.2">
      <c r="A26" s="145"/>
      <c r="B26" s="144" t="s">
        <v>28</v>
      </c>
      <c r="C26" s="144"/>
      <c r="D26" s="144"/>
      <c r="E26" s="144"/>
      <c r="F26" s="144"/>
      <c r="G26" s="144"/>
      <c r="H26" s="144"/>
      <c r="I26" s="144"/>
      <c r="J26" s="143"/>
    </row>
    <row r="27" spans="1:10" x14ac:dyDescent="0.2">
      <c r="A27" s="145"/>
      <c r="B27" s="144"/>
      <c r="C27" s="144"/>
      <c r="D27" s="144"/>
      <c r="E27" s="144"/>
      <c r="F27" s="144"/>
      <c r="G27" s="144"/>
      <c r="H27" s="144"/>
      <c r="I27" s="144"/>
      <c r="J27" s="143"/>
    </row>
    <row r="28" spans="1:10" x14ac:dyDescent="0.2">
      <c r="A28" s="145"/>
      <c r="B28" s="144" t="s">
        <v>1</v>
      </c>
      <c r="C28" s="144"/>
      <c r="D28" s="144"/>
      <c r="E28" s="144"/>
      <c r="F28" s="144"/>
      <c r="G28" s="144"/>
      <c r="H28" s="144"/>
      <c r="I28" s="144"/>
      <c r="J28" s="143"/>
    </row>
    <row r="29" spans="1:10" x14ac:dyDescent="0.2">
      <c r="A29" s="145"/>
      <c r="B29" s="144" t="s">
        <v>29</v>
      </c>
      <c r="C29" s="144"/>
      <c r="D29" s="144"/>
      <c r="E29" s="144"/>
      <c r="F29" s="144"/>
      <c r="G29" s="144"/>
      <c r="H29" s="144"/>
      <c r="I29" s="144"/>
      <c r="J29" s="143"/>
    </row>
    <row r="30" spans="1:10" x14ac:dyDescent="0.2">
      <c r="A30" s="145"/>
      <c r="B30" s="144" t="s">
        <v>30</v>
      </c>
      <c r="C30" s="144"/>
      <c r="D30" s="144"/>
      <c r="E30" s="144"/>
      <c r="F30" s="144"/>
      <c r="G30" s="144"/>
      <c r="H30" s="144"/>
      <c r="I30" s="144"/>
      <c r="J30" s="143"/>
    </row>
    <row r="31" spans="1:10" x14ac:dyDescent="0.2">
      <c r="A31" s="145"/>
      <c r="B31" s="144" t="s">
        <v>157</v>
      </c>
      <c r="C31" s="144"/>
      <c r="D31" s="144"/>
      <c r="E31" s="144"/>
      <c r="F31" s="144"/>
      <c r="G31" s="144"/>
      <c r="H31" s="144"/>
      <c r="I31" s="144"/>
      <c r="J31" s="143"/>
    </row>
    <row r="32" spans="1:10" x14ac:dyDescent="0.2">
      <c r="A32" s="145"/>
      <c r="B32" s="144"/>
      <c r="C32" s="144"/>
      <c r="D32" s="144"/>
      <c r="E32" s="144"/>
      <c r="F32" s="144"/>
      <c r="G32" s="144"/>
      <c r="H32" s="144"/>
      <c r="I32" s="144"/>
      <c r="J32" s="143"/>
    </row>
    <row r="33" spans="1:12" x14ac:dyDescent="0.2">
      <c r="A33" s="145"/>
      <c r="B33" s="144" t="s">
        <v>2</v>
      </c>
      <c r="C33" s="144"/>
      <c r="D33" s="144"/>
      <c r="E33" s="144"/>
      <c r="F33" s="144"/>
      <c r="G33" s="144"/>
      <c r="H33" s="144"/>
      <c r="I33" s="144"/>
      <c r="J33" s="143"/>
    </row>
    <row r="34" spans="1:12" x14ac:dyDescent="0.2">
      <c r="A34" s="145"/>
      <c r="B34" s="144" t="s">
        <v>31</v>
      </c>
      <c r="C34" s="144"/>
      <c r="D34" s="144"/>
      <c r="E34" s="144"/>
      <c r="F34" s="144"/>
      <c r="G34" s="144"/>
      <c r="H34" s="144"/>
      <c r="I34" s="144"/>
      <c r="J34" s="143"/>
    </row>
    <row r="35" spans="1:12" x14ac:dyDescent="0.2">
      <c r="A35" s="145"/>
      <c r="B35" s="144" t="s">
        <v>32</v>
      </c>
      <c r="C35" s="144"/>
      <c r="D35" s="144"/>
      <c r="E35" s="144"/>
      <c r="F35" s="144"/>
      <c r="G35" s="144"/>
      <c r="H35" s="144"/>
      <c r="I35" s="144"/>
      <c r="J35" s="143"/>
    </row>
    <row r="36" spans="1:12" ht="17" thickBot="1" x14ac:dyDescent="0.25">
      <c r="A36" s="142"/>
      <c r="B36" s="140"/>
      <c r="C36" s="141"/>
      <c r="D36" s="141"/>
      <c r="E36" s="141"/>
      <c r="F36" s="140"/>
      <c r="G36" s="140"/>
      <c r="H36" s="140"/>
      <c r="I36" s="140"/>
      <c r="J36" s="139"/>
    </row>
    <row r="38" spans="1:12" ht="19" x14ac:dyDescent="0.25">
      <c r="A38" s="131" t="s">
        <v>3</v>
      </c>
    </row>
    <row r="39" spans="1:12" x14ac:dyDescent="0.2">
      <c r="A39" s="133" t="s">
        <v>81</v>
      </c>
      <c r="C39" s="130"/>
    </row>
    <row r="40" spans="1:12" x14ac:dyDescent="0.2">
      <c r="A40" s="138" t="s">
        <v>91</v>
      </c>
      <c r="B40" s="135" t="s">
        <v>35</v>
      </c>
      <c r="C40" s="130"/>
    </row>
    <row r="41" spans="1:12" x14ac:dyDescent="0.2">
      <c r="A41" s="133"/>
      <c r="C41" s="130"/>
    </row>
    <row r="45" spans="1:12" x14ac:dyDescent="0.2">
      <c r="L45" s="129"/>
    </row>
    <row r="46" spans="1:12" x14ac:dyDescent="0.2">
      <c r="L46" s="129"/>
    </row>
    <row r="47" spans="1:12" x14ac:dyDescent="0.2">
      <c r="A47" s="133" t="s">
        <v>82</v>
      </c>
      <c r="L47" s="129"/>
    </row>
    <row r="48" spans="1:12" x14ac:dyDescent="0.2">
      <c r="A48" s="138" t="s">
        <v>92</v>
      </c>
      <c r="B48" s="190" t="s">
        <v>98</v>
      </c>
      <c r="C48" s="190"/>
      <c r="D48" s="190"/>
      <c r="E48" s="190"/>
      <c r="F48" s="190"/>
      <c r="G48" s="190"/>
      <c r="H48" s="190"/>
      <c r="I48" s="190"/>
      <c r="L48" s="129"/>
    </row>
    <row r="49" spans="1:12" x14ac:dyDescent="0.2">
      <c r="A49" s="138"/>
      <c r="B49" s="190"/>
      <c r="C49" s="190"/>
      <c r="D49" s="190"/>
      <c r="E49" s="190"/>
      <c r="F49" s="190"/>
      <c r="G49" s="190"/>
      <c r="H49" s="190"/>
      <c r="I49" s="190"/>
      <c r="L49" s="129"/>
    </row>
    <row r="50" spans="1:12" x14ac:dyDescent="0.2">
      <c r="B50" s="135"/>
      <c r="L50" s="129"/>
    </row>
    <row r="51" spans="1:12" ht="16" customHeight="1" x14ac:dyDescent="0.2">
      <c r="B51" s="194" t="s">
        <v>99</v>
      </c>
      <c r="C51" s="194"/>
      <c r="D51" s="189" t="s">
        <v>164</v>
      </c>
      <c r="E51" s="189"/>
      <c r="F51" s="189"/>
      <c r="G51" s="189"/>
      <c r="H51" s="189"/>
      <c r="K51" s="129"/>
    </row>
    <row r="52" spans="1:12" x14ac:dyDescent="0.2">
      <c r="B52" s="194"/>
      <c r="C52" s="194"/>
      <c r="D52" s="189"/>
      <c r="E52" s="189"/>
      <c r="F52" s="189"/>
      <c r="G52" s="189"/>
      <c r="H52" s="189"/>
      <c r="K52" s="129"/>
    </row>
    <row r="53" spans="1:12" ht="18" x14ac:dyDescent="0.25">
      <c r="B53" s="195" t="s">
        <v>168</v>
      </c>
      <c r="C53" s="195"/>
      <c r="D53" s="137" t="s">
        <v>165</v>
      </c>
      <c r="E53" s="137"/>
      <c r="F53" s="137"/>
      <c r="G53" s="137"/>
      <c r="H53" s="137"/>
      <c r="K53" s="129"/>
    </row>
    <row r="54" spans="1:12" ht="18" customHeight="1" x14ac:dyDescent="0.2">
      <c r="B54" s="194" t="s">
        <v>100</v>
      </c>
      <c r="C54" s="194"/>
      <c r="D54" s="189" t="s">
        <v>166</v>
      </c>
      <c r="E54" s="189"/>
      <c r="F54" s="189"/>
      <c r="G54" s="189"/>
      <c r="H54" s="189"/>
      <c r="K54" s="129"/>
    </row>
    <row r="55" spans="1:12" x14ac:dyDescent="0.2">
      <c r="B55" s="194"/>
      <c r="C55" s="194"/>
      <c r="D55" s="189"/>
      <c r="E55" s="189"/>
      <c r="F55" s="189"/>
      <c r="G55" s="189"/>
      <c r="H55" s="189"/>
      <c r="K55" s="129"/>
    </row>
    <row r="56" spans="1:12" x14ac:dyDescent="0.2">
      <c r="L56" s="129"/>
    </row>
    <row r="57" spans="1:12" ht="18" x14ac:dyDescent="0.25">
      <c r="B57" s="128" t="s">
        <v>101</v>
      </c>
      <c r="L57" s="129"/>
    </row>
    <row r="58" spans="1:12" x14ac:dyDescent="0.2">
      <c r="B58" s="128" t="s">
        <v>36</v>
      </c>
      <c r="L58" s="129"/>
    </row>
    <row r="59" spans="1:12" x14ac:dyDescent="0.2">
      <c r="L59" s="129"/>
    </row>
    <row r="60" spans="1:12" x14ac:dyDescent="0.2">
      <c r="A60" s="133" t="s">
        <v>83</v>
      </c>
      <c r="C60" s="130"/>
    </row>
    <row r="61" spans="1:12" ht="15.75" customHeight="1" x14ac:dyDescent="0.2">
      <c r="A61" s="136" t="s">
        <v>93</v>
      </c>
      <c r="B61" s="190" t="s">
        <v>102</v>
      </c>
      <c r="C61" s="190"/>
      <c r="D61" s="190"/>
      <c r="E61" s="190"/>
      <c r="F61" s="190"/>
      <c r="G61" s="190"/>
      <c r="H61" s="190"/>
      <c r="I61" s="190"/>
    </row>
    <row r="62" spans="1:12" x14ac:dyDescent="0.2">
      <c r="B62" s="190"/>
      <c r="C62" s="190"/>
      <c r="D62" s="190"/>
      <c r="E62" s="190"/>
      <c r="F62" s="190"/>
      <c r="G62" s="190"/>
      <c r="H62" s="190"/>
      <c r="I62" s="190"/>
    </row>
    <row r="63" spans="1:12" x14ac:dyDescent="0.2">
      <c r="B63" s="135"/>
      <c r="C63" s="135"/>
      <c r="D63" s="135"/>
      <c r="E63" s="135"/>
      <c r="F63" s="135"/>
      <c r="G63" s="135"/>
      <c r="H63" s="135"/>
    </row>
    <row r="64" spans="1:12" ht="18" x14ac:dyDescent="0.25">
      <c r="B64" s="134" t="s">
        <v>99</v>
      </c>
      <c r="D64" s="128" t="s">
        <v>37</v>
      </c>
    </row>
    <row r="65" spans="1:14" ht="18" x14ac:dyDescent="0.25">
      <c r="B65" s="134" t="s">
        <v>103</v>
      </c>
      <c r="D65" s="128" t="s">
        <v>104</v>
      </c>
    </row>
    <row r="67" spans="1:14" ht="18" customHeight="1" x14ac:dyDescent="0.2">
      <c r="B67" s="197" t="s">
        <v>105</v>
      </c>
      <c r="C67" s="197"/>
      <c r="D67" s="197"/>
      <c r="E67" s="197"/>
      <c r="F67" s="197"/>
      <c r="G67" s="197"/>
      <c r="H67" s="197"/>
      <c r="I67" s="197"/>
    </row>
    <row r="68" spans="1:14" x14ac:dyDescent="0.2">
      <c r="B68" s="197"/>
      <c r="C68" s="197"/>
      <c r="D68" s="197"/>
      <c r="E68" s="197"/>
      <c r="F68" s="197"/>
      <c r="G68" s="197"/>
      <c r="H68" s="197"/>
      <c r="I68" s="197"/>
    </row>
    <row r="70" spans="1:14" ht="18" x14ac:dyDescent="0.25">
      <c r="A70" s="133"/>
      <c r="B70" s="128" t="s">
        <v>106</v>
      </c>
      <c r="C70" s="130"/>
    </row>
    <row r="71" spans="1:14" x14ac:dyDescent="0.2">
      <c r="M71" s="130"/>
    </row>
    <row r="72" spans="1:14" ht="19" x14ac:dyDescent="0.25">
      <c r="A72" s="131" t="s">
        <v>4</v>
      </c>
      <c r="L72" s="129"/>
      <c r="M72" s="129"/>
      <c r="N72" s="129"/>
    </row>
    <row r="73" spans="1:14" ht="19" x14ac:dyDescent="0.25">
      <c r="B73" s="132" t="s">
        <v>50</v>
      </c>
      <c r="L73" s="129"/>
      <c r="M73" s="129"/>
      <c r="N73" s="129"/>
    </row>
    <row r="74" spans="1:14" x14ac:dyDescent="0.2">
      <c r="B74" s="197" t="s">
        <v>107</v>
      </c>
      <c r="C74" s="197"/>
      <c r="D74" s="197"/>
      <c r="E74" s="197"/>
      <c r="F74" s="197"/>
      <c r="G74" s="197"/>
      <c r="H74" s="197"/>
      <c r="I74" s="197"/>
      <c r="L74" s="129"/>
      <c r="M74" s="129"/>
      <c r="N74" s="129"/>
    </row>
    <row r="75" spans="1:14" x14ac:dyDescent="0.2">
      <c r="B75" s="197"/>
      <c r="C75" s="197"/>
      <c r="D75" s="197"/>
      <c r="E75" s="197"/>
      <c r="F75" s="197"/>
      <c r="G75" s="197"/>
      <c r="H75" s="197"/>
      <c r="I75" s="197"/>
      <c r="L75" s="129"/>
      <c r="M75" s="129"/>
      <c r="N75" s="129"/>
    </row>
    <row r="76" spans="1:14" x14ac:dyDescent="0.2">
      <c r="B76" s="197"/>
      <c r="C76" s="197"/>
      <c r="D76" s="197"/>
      <c r="E76" s="197"/>
      <c r="F76" s="197"/>
      <c r="G76" s="197"/>
      <c r="H76" s="197"/>
      <c r="I76" s="197"/>
      <c r="L76" s="129"/>
      <c r="M76" s="129"/>
      <c r="N76" s="129"/>
    </row>
    <row r="77" spans="1:14" x14ac:dyDescent="0.2">
      <c r="L77" s="129"/>
      <c r="M77" s="129"/>
      <c r="N77" s="129"/>
    </row>
    <row r="78" spans="1:14" x14ac:dyDescent="0.2">
      <c r="B78" s="197" t="s">
        <v>108</v>
      </c>
      <c r="C78" s="197"/>
      <c r="D78" s="197"/>
      <c r="E78" s="197"/>
      <c r="F78" s="197"/>
      <c r="G78" s="197"/>
      <c r="H78" s="197"/>
      <c r="I78" s="197"/>
      <c r="L78" s="129"/>
      <c r="M78" s="129"/>
      <c r="N78" s="129"/>
    </row>
    <row r="79" spans="1:14" x14ac:dyDescent="0.2">
      <c r="B79" s="197"/>
      <c r="C79" s="197"/>
      <c r="D79" s="197"/>
      <c r="E79" s="197"/>
      <c r="F79" s="197"/>
      <c r="G79" s="197"/>
      <c r="H79" s="197"/>
      <c r="I79" s="197"/>
      <c r="L79" s="129"/>
      <c r="M79" s="129"/>
      <c r="N79" s="129"/>
    </row>
    <row r="80" spans="1:14" x14ac:dyDescent="0.2">
      <c r="B80" s="197"/>
      <c r="C80" s="197"/>
      <c r="D80" s="197"/>
      <c r="E80" s="197"/>
      <c r="F80" s="197"/>
      <c r="G80" s="197"/>
      <c r="H80" s="197"/>
      <c r="I80" s="197"/>
      <c r="L80" s="129"/>
      <c r="M80" s="129"/>
      <c r="N80" s="129"/>
    </row>
    <row r="81" spans="2:14" x14ac:dyDescent="0.2">
      <c r="M81" s="130"/>
    </row>
    <row r="82" spans="2:14" ht="19" x14ac:dyDescent="0.25">
      <c r="B82" s="132" t="s">
        <v>51</v>
      </c>
      <c r="L82" s="129"/>
      <c r="M82" s="129"/>
      <c r="N82" s="129"/>
    </row>
    <row r="83" spans="2:14" x14ac:dyDescent="0.2">
      <c r="B83" s="197" t="s">
        <v>109</v>
      </c>
      <c r="C83" s="197"/>
      <c r="D83" s="197"/>
      <c r="E83" s="197"/>
      <c r="F83" s="197"/>
      <c r="G83" s="197"/>
      <c r="H83" s="197"/>
      <c r="I83" s="197"/>
      <c r="L83" s="129"/>
      <c r="M83" s="129"/>
      <c r="N83" s="129"/>
    </row>
    <row r="84" spans="2:14" x14ac:dyDescent="0.2">
      <c r="B84" s="197"/>
      <c r="C84" s="197"/>
      <c r="D84" s="197"/>
      <c r="E84" s="197"/>
      <c r="F84" s="197"/>
      <c r="G84" s="197"/>
      <c r="H84" s="197"/>
      <c r="I84" s="197"/>
      <c r="L84" s="129"/>
      <c r="M84" s="129"/>
      <c r="N84" s="129"/>
    </row>
    <row r="85" spans="2:14" x14ac:dyDescent="0.2">
      <c r="B85" s="197"/>
      <c r="C85" s="197"/>
      <c r="D85" s="197"/>
      <c r="E85" s="197"/>
      <c r="F85" s="197"/>
      <c r="G85" s="197"/>
      <c r="H85" s="197"/>
      <c r="I85" s="197"/>
      <c r="L85" s="129"/>
      <c r="M85" s="129"/>
      <c r="N85" s="129"/>
    </row>
    <row r="86" spans="2:14" x14ac:dyDescent="0.2">
      <c r="L86" s="129"/>
      <c r="M86" s="129"/>
      <c r="N86" s="129"/>
    </row>
    <row r="87" spans="2:14" x14ac:dyDescent="0.2">
      <c r="B87" s="197" t="s">
        <v>110</v>
      </c>
      <c r="C87" s="197"/>
      <c r="D87" s="197"/>
      <c r="E87" s="197"/>
      <c r="F87" s="197"/>
      <c r="G87" s="197"/>
      <c r="H87" s="197"/>
      <c r="I87" s="197"/>
      <c r="L87" s="129"/>
      <c r="M87" s="129"/>
      <c r="N87" s="129"/>
    </row>
    <row r="88" spans="2:14" x14ac:dyDescent="0.2">
      <c r="B88" s="197"/>
      <c r="C88" s="197"/>
      <c r="D88" s="197"/>
      <c r="E88" s="197"/>
      <c r="F88" s="197"/>
      <c r="G88" s="197"/>
      <c r="H88" s="197"/>
      <c r="I88" s="197"/>
      <c r="L88" s="129"/>
      <c r="M88" s="129"/>
      <c r="N88" s="129"/>
    </row>
    <row r="89" spans="2:14" x14ac:dyDescent="0.2">
      <c r="L89" s="129"/>
      <c r="M89" s="129"/>
      <c r="N89" s="129"/>
    </row>
    <row r="90" spans="2:14" ht="19" x14ac:dyDescent="0.25">
      <c r="B90" s="132" t="s">
        <v>52</v>
      </c>
      <c r="M90" s="130"/>
    </row>
    <row r="91" spans="2:14" x14ac:dyDescent="0.2">
      <c r="B91" s="196" t="s">
        <v>179</v>
      </c>
      <c r="C91" s="197"/>
      <c r="D91" s="197"/>
      <c r="E91" s="197"/>
      <c r="F91" s="197"/>
      <c r="G91" s="197"/>
      <c r="H91" s="197"/>
      <c r="I91" s="197"/>
      <c r="L91" s="129"/>
      <c r="M91" s="129"/>
      <c r="N91" s="129"/>
    </row>
    <row r="92" spans="2:14" x14ac:dyDescent="0.2">
      <c r="B92" s="197"/>
      <c r="C92" s="197"/>
      <c r="D92" s="197"/>
      <c r="E92" s="197"/>
      <c r="F92" s="197"/>
      <c r="G92" s="197"/>
      <c r="H92" s="197"/>
      <c r="I92" s="197"/>
      <c r="L92" s="129"/>
      <c r="M92" s="129"/>
      <c r="N92" s="129"/>
    </row>
    <row r="93" spans="2:14" x14ac:dyDescent="0.2">
      <c r="L93" s="129"/>
      <c r="M93" s="129"/>
      <c r="N93" s="129"/>
    </row>
    <row r="94" spans="2:14" x14ac:dyDescent="0.2">
      <c r="B94" s="197" t="s">
        <v>111</v>
      </c>
      <c r="C94" s="197"/>
      <c r="D94" s="197"/>
      <c r="E94" s="197"/>
      <c r="F94" s="197"/>
      <c r="G94" s="197"/>
      <c r="H94" s="197"/>
      <c r="I94" s="197"/>
      <c r="L94" s="129"/>
      <c r="M94" s="129"/>
      <c r="N94" s="129"/>
    </row>
    <row r="95" spans="2:14" x14ac:dyDescent="0.2">
      <c r="B95" s="197"/>
      <c r="C95" s="197"/>
      <c r="D95" s="197"/>
      <c r="E95" s="197"/>
      <c r="F95" s="197"/>
      <c r="G95" s="197"/>
      <c r="H95" s="197"/>
      <c r="I95" s="197"/>
      <c r="L95" s="129"/>
      <c r="M95" s="129"/>
      <c r="N95" s="129"/>
    </row>
    <row r="96" spans="2:14" x14ac:dyDescent="0.2">
      <c r="L96" s="129"/>
      <c r="M96" s="129"/>
      <c r="N96" s="129"/>
    </row>
    <row r="97" spans="1:65" ht="19" x14ac:dyDescent="0.25">
      <c r="A97" s="131" t="s">
        <v>53</v>
      </c>
      <c r="L97" s="129"/>
      <c r="M97" s="129"/>
      <c r="N97" s="129"/>
    </row>
    <row r="98" spans="1:65" x14ac:dyDescent="0.2">
      <c r="B98" s="128" t="s">
        <v>54</v>
      </c>
      <c r="L98" s="129"/>
      <c r="M98" s="129"/>
      <c r="N98" s="129"/>
    </row>
    <row r="99" spans="1:65" x14ac:dyDescent="0.2">
      <c r="M99" s="130"/>
    </row>
    <row r="100" spans="1:65" ht="19" x14ac:dyDescent="0.25">
      <c r="A100" s="131" t="s">
        <v>55</v>
      </c>
      <c r="L100" s="129"/>
      <c r="M100" s="129"/>
      <c r="N100" s="129"/>
    </row>
    <row r="101" spans="1:65" x14ac:dyDescent="0.2">
      <c r="B101" s="128" t="s">
        <v>56</v>
      </c>
      <c r="D101" s="128" t="s">
        <v>57</v>
      </c>
      <c r="L101" s="129"/>
      <c r="M101" s="129"/>
      <c r="N101" s="129"/>
    </row>
    <row r="102" spans="1:65" x14ac:dyDescent="0.2">
      <c r="D102" s="128" t="s">
        <v>58</v>
      </c>
      <c r="L102" s="129"/>
      <c r="M102" s="129"/>
      <c r="N102" s="129"/>
    </row>
    <row r="103" spans="1:65" x14ac:dyDescent="0.2">
      <c r="D103" s="128" t="s">
        <v>59</v>
      </c>
      <c r="L103" s="129"/>
      <c r="M103" s="129"/>
      <c r="N103" s="129"/>
    </row>
    <row r="104" spans="1:65" x14ac:dyDescent="0.2">
      <c r="L104" s="129"/>
      <c r="M104" s="129"/>
      <c r="N104" s="129"/>
    </row>
    <row r="105" spans="1:65" x14ac:dyDescent="0.2">
      <c r="L105" s="129"/>
      <c r="M105" s="129"/>
      <c r="N105" s="129"/>
    </row>
    <row r="106" spans="1:65" x14ac:dyDescent="0.2">
      <c r="L106" s="129"/>
      <c r="M106" s="129"/>
      <c r="N106" s="129"/>
    </row>
    <row r="107" spans="1:65" x14ac:dyDescent="0.2">
      <c r="L107" s="129"/>
      <c r="M107" s="129"/>
      <c r="N107" s="129"/>
    </row>
    <row r="108" spans="1:65" x14ac:dyDescent="0.2">
      <c r="L108" s="129"/>
      <c r="M108" s="129"/>
      <c r="N108" s="129"/>
    </row>
    <row r="109" spans="1:65" x14ac:dyDescent="0.2">
      <c r="M109" s="130"/>
    </row>
    <row r="110" spans="1:65" x14ac:dyDescent="0.2">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row>
    <row r="111" spans="1:65" x14ac:dyDescent="0.2">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row>
    <row r="112" spans="1:65" x14ac:dyDescent="0.2">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row>
    <row r="113" spans="1:65" x14ac:dyDescent="0.2">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row>
    <row r="114" spans="1:65" x14ac:dyDescent="0.2">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row>
    <row r="115" spans="1:65" x14ac:dyDescent="0.2">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row>
    <row r="116" spans="1:65" x14ac:dyDescent="0.2">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row>
    <row r="117" spans="1:65" x14ac:dyDescent="0.2">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row>
    <row r="118" spans="1:65" x14ac:dyDescent="0.2">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row>
    <row r="119" spans="1:65" x14ac:dyDescent="0.2">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row>
    <row r="120" spans="1:65" x14ac:dyDescent="0.2">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row>
    <row r="121" spans="1:65" x14ac:dyDescent="0.2">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row>
    <row r="122" spans="1:65" x14ac:dyDescent="0.2">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row>
    <row r="123" spans="1:65" x14ac:dyDescent="0.2">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row>
    <row r="124" spans="1:65" x14ac:dyDescent="0.2">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row>
    <row r="125" spans="1:65" x14ac:dyDescent="0.2">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row>
    <row r="126" spans="1:65" x14ac:dyDescent="0.2">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row>
    <row r="127" spans="1:65" x14ac:dyDescent="0.2">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row>
    <row r="128" spans="1:65" x14ac:dyDescent="0.2">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row>
    <row r="129" spans="1:65" x14ac:dyDescent="0.2">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row>
    <row r="130" spans="1:65" x14ac:dyDescent="0.2">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row>
    <row r="131" spans="1:65" x14ac:dyDescent="0.2">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row>
    <row r="132" spans="1:65" x14ac:dyDescent="0.2">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row>
    <row r="133" spans="1:65" x14ac:dyDescent="0.2">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row>
    <row r="134" spans="1:65" x14ac:dyDescent="0.2">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row>
    <row r="135" spans="1:65" x14ac:dyDescent="0.2">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row>
    <row r="136" spans="1:65" x14ac:dyDescent="0.2">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row>
    <row r="137" spans="1:65" x14ac:dyDescent="0.2">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row>
    <row r="138" spans="1:65" x14ac:dyDescent="0.2">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row>
    <row r="139" spans="1:65" x14ac:dyDescent="0.2">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row>
    <row r="140" spans="1:65" x14ac:dyDescent="0.2">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row>
    <row r="141" spans="1:65" x14ac:dyDescent="0.2">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row>
    <row r="142" spans="1:65" x14ac:dyDescent="0.2">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row>
    <row r="143" spans="1:65" x14ac:dyDescent="0.2">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row>
    <row r="144" spans="1:65" x14ac:dyDescent="0.2">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row>
    <row r="145" spans="1:65" x14ac:dyDescent="0.2">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row>
    <row r="146" spans="1:65" x14ac:dyDescent="0.2">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row>
    <row r="147" spans="1:65" x14ac:dyDescent="0.2">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row>
    <row r="148" spans="1:65" x14ac:dyDescent="0.2">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row>
    <row r="149" spans="1:65" x14ac:dyDescent="0.2">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row>
    <row r="150" spans="1:65" x14ac:dyDescent="0.2">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row>
    <row r="151" spans="1:65" x14ac:dyDescent="0.2">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row>
    <row r="152" spans="1:65" x14ac:dyDescent="0.2">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row>
    <row r="153" spans="1:65" x14ac:dyDescent="0.2">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row>
    <row r="154" spans="1:65" x14ac:dyDescent="0.2">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c r="BI154" s="129"/>
      <c r="BJ154" s="129"/>
      <c r="BK154" s="129"/>
      <c r="BL154" s="129"/>
      <c r="BM154" s="129"/>
    </row>
    <row r="155" spans="1:65" x14ac:dyDescent="0.2">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row>
    <row r="156" spans="1:65" x14ac:dyDescent="0.2">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row>
    <row r="157" spans="1:65" x14ac:dyDescent="0.2">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row>
    <row r="158" spans="1:65" x14ac:dyDescent="0.2">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c r="BI158" s="129"/>
      <c r="BJ158" s="129"/>
      <c r="BK158" s="129"/>
      <c r="BL158" s="129"/>
      <c r="BM158" s="129"/>
    </row>
    <row r="159" spans="1:65" x14ac:dyDescent="0.2">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c r="BI159" s="129"/>
      <c r="BJ159" s="129"/>
      <c r="BK159" s="129"/>
      <c r="BL159" s="129"/>
      <c r="BM159" s="129"/>
    </row>
    <row r="160" spans="1:65" x14ac:dyDescent="0.2">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row>
    <row r="161" spans="1:65" x14ac:dyDescent="0.2">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row>
    <row r="162" spans="1:65" x14ac:dyDescent="0.2">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row>
    <row r="163" spans="1:65" x14ac:dyDescent="0.2">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row>
    <row r="164" spans="1:65" x14ac:dyDescent="0.2">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row>
    <row r="165" spans="1:65" x14ac:dyDescent="0.2">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row>
    <row r="166" spans="1:65" x14ac:dyDescent="0.2">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row>
    <row r="167" spans="1:65" x14ac:dyDescent="0.2">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row>
    <row r="168" spans="1:65" x14ac:dyDescent="0.2">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row>
    <row r="169" spans="1:65" x14ac:dyDescent="0.2">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row>
    <row r="170" spans="1:65" x14ac:dyDescent="0.2">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row>
    <row r="171" spans="1:65" x14ac:dyDescent="0.2">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c r="BI171" s="129"/>
      <c r="BJ171" s="129"/>
      <c r="BK171" s="129"/>
      <c r="BL171" s="129"/>
      <c r="BM171" s="129"/>
    </row>
    <row r="172" spans="1:65" x14ac:dyDescent="0.2">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row>
    <row r="173" spans="1:65" x14ac:dyDescent="0.2">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row>
    <row r="174" spans="1:65" x14ac:dyDescent="0.2">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row>
    <row r="175" spans="1:65" x14ac:dyDescent="0.2">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row>
    <row r="176" spans="1:65" x14ac:dyDescent="0.2">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row>
    <row r="177" spans="1:65" x14ac:dyDescent="0.2">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row>
    <row r="178" spans="1:65" x14ac:dyDescent="0.2">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row>
    <row r="179" spans="1:65" x14ac:dyDescent="0.2">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row>
    <row r="180" spans="1:65" x14ac:dyDescent="0.2">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row>
    <row r="181" spans="1:65" x14ac:dyDescent="0.2">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row>
    <row r="182" spans="1:65" x14ac:dyDescent="0.2">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row>
    <row r="183" spans="1:65" x14ac:dyDescent="0.2">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row>
    <row r="184" spans="1:65" x14ac:dyDescent="0.2">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row>
    <row r="185" spans="1:65" x14ac:dyDescent="0.2">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c r="BI185" s="129"/>
      <c r="BJ185" s="129"/>
      <c r="BK185" s="129"/>
      <c r="BL185" s="129"/>
      <c r="BM185" s="129"/>
    </row>
    <row r="186" spans="1:65" x14ac:dyDescent="0.2">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row>
    <row r="187" spans="1:65" x14ac:dyDescent="0.2">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row>
    <row r="188" spans="1:65" x14ac:dyDescent="0.2">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row>
    <row r="189" spans="1:65" x14ac:dyDescent="0.2">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c r="BI189" s="129"/>
      <c r="BJ189" s="129"/>
      <c r="BK189" s="129"/>
      <c r="BL189" s="129"/>
      <c r="BM189" s="129"/>
    </row>
    <row r="190" spans="1:65" x14ac:dyDescent="0.2">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row>
    <row r="191" spans="1:65" x14ac:dyDescent="0.2">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row>
    <row r="192" spans="1:65" x14ac:dyDescent="0.2">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c r="AM192" s="129"/>
      <c r="AN192" s="129"/>
      <c r="AO192" s="129"/>
      <c r="AP192" s="129"/>
      <c r="AQ192" s="129"/>
      <c r="AR192" s="129"/>
      <c r="AS192" s="129"/>
      <c r="AT192" s="129"/>
      <c r="AU192" s="129"/>
      <c r="AV192" s="129"/>
      <c r="AW192" s="129"/>
      <c r="AX192" s="129"/>
      <c r="AY192" s="129"/>
      <c r="AZ192" s="129"/>
      <c r="BA192" s="129"/>
      <c r="BB192" s="129"/>
      <c r="BC192" s="129"/>
      <c r="BD192" s="129"/>
      <c r="BE192" s="129"/>
      <c r="BF192" s="129"/>
      <c r="BG192" s="129"/>
      <c r="BH192" s="129"/>
      <c r="BI192" s="129"/>
      <c r="BJ192" s="129"/>
      <c r="BK192" s="129"/>
      <c r="BL192" s="129"/>
      <c r="BM192" s="129"/>
    </row>
    <row r="193" spans="1:65" x14ac:dyDescent="0.2">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row>
    <row r="194" spans="1:65" x14ac:dyDescent="0.2">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row>
    <row r="195" spans="1:65" x14ac:dyDescent="0.2">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row>
    <row r="196" spans="1:65" x14ac:dyDescent="0.2">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row>
    <row r="197" spans="1:65" x14ac:dyDescent="0.2">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row>
    <row r="198" spans="1:65" x14ac:dyDescent="0.2">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row>
    <row r="199" spans="1:65" x14ac:dyDescent="0.2">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row>
    <row r="200" spans="1:65" x14ac:dyDescent="0.2">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row>
    <row r="201" spans="1:65" x14ac:dyDescent="0.2">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row>
    <row r="202" spans="1:65" x14ac:dyDescent="0.2">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row>
    <row r="203" spans="1:65" x14ac:dyDescent="0.2">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row>
    <row r="204" spans="1:65" x14ac:dyDescent="0.2">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row>
    <row r="205" spans="1:65" x14ac:dyDescent="0.2">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row>
    <row r="206" spans="1:65" x14ac:dyDescent="0.2">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row>
    <row r="207" spans="1:65" x14ac:dyDescent="0.2">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row>
    <row r="208" spans="1:65" x14ac:dyDescent="0.2">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row>
    <row r="209" spans="1:65" x14ac:dyDescent="0.2">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row>
    <row r="210" spans="1:65" x14ac:dyDescent="0.2">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row>
    <row r="211" spans="1:65" x14ac:dyDescent="0.2">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row>
  </sheetData>
  <mergeCells count="16">
    <mergeCell ref="B91:I92"/>
    <mergeCell ref="B94:I95"/>
    <mergeCell ref="B67:I68"/>
    <mergeCell ref="B74:I76"/>
    <mergeCell ref="B78:I80"/>
    <mergeCell ref="B83:I85"/>
    <mergeCell ref="B87:I88"/>
    <mergeCell ref="D54:H55"/>
    <mergeCell ref="B61:I62"/>
    <mergeCell ref="C5:H5"/>
    <mergeCell ref="C13:G13"/>
    <mergeCell ref="B48:I49"/>
    <mergeCell ref="D51:H52"/>
    <mergeCell ref="B54:C55"/>
    <mergeCell ref="B51:C52"/>
    <mergeCell ref="B53:C53"/>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41"/>
  <sheetViews>
    <sheetView showGridLines="0" zoomScale="120" zoomScaleNormal="120" workbookViewId="0"/>
  </sheetViews>
  <sheetFormatPr baseColWidth="10" defaultColWidth="10.83203125" defaultRowHeight="16" x14ac:dyDescent="0.2"/>
  <cols>
    <col min="1" max="10" width="10.83203125" style="64" customWidth="1"/>
    <col min="11" max="11" width="11.6640625" style="64" bestFit="1" customWidth="1"/>
    <col min="12" max="16384" width="10.83203125" style="64"/>
  </cols>
  <sheetData>
    <row r="1" spans="1:10" ht="19" x14ac:dyDescent="0.25">
      <c r="A1" s="1" t="s">
        <v>88</v>
      </c>
      <c r="B1" s="62"/>
      <c r="C1" s="62"/>
      <c r="D1" s="62"/>
      <c r="E1" s="62"/>
      <c r="F1" s="62"/>
      <c r="G1" s="62"/>
      <c r="H1" s="62"/>
      <c r="I1" s="62"/>
      <c r="J1" s="63"/>
    </row>
    <row r="2" spans="1:10" x14ac:dyDescent="0.2">
      <c r="A2" s="65"/>
      <c r="B2" s="62"/>
      <c r="C2" s="62"/>
      <c r="D2" s="62"/>
      <c r="E2" s="62"/>
      <c r="F2" s="62"/>
      <c r="G2" s="62"/>
      <c r="H2" s="62"/>
      <c r="I2" s="62"/>
      <c r="J2" s="63"/>
    </row>
    <row r="3" spans="1:10" x14ac:dyDescent="0.2">
      <c r="A3" s="65"/>
      <c r="B3" s="62" t="s">
        <v>5</v>
      </c>
      <c r="C3" s="62"/>
      <c r="D3" s="62"/>
      <c r="E3" s="62"/>
      <c r="F3" s="62"/>
      <c r="G3" s="62"/>
      <c r="H3" s="62"/>
      <c r="I3" s="62"/>
      <c r="J3" s="63"/>
    </row>
    <row r="4" spans="1:10" x14ac:dyDescent="0.2">
      <c r="A4" s="65"/>
      <c r="B4" s="62"/>
      <c r="C4" s="62"/>
      <c r="D4" s="62"/>
      <c r="E4" s="62"/>
      <c r="F4" s="62"/>
      <c r="G4" s="62"/>
      <c r="H4" s="62"/>
      <c r="I4" s="62"/>
      <c r="J4" s="63"/>
    </row>
    <row r="5" spans="1:10" x14ac:dyDescent="0.2">
      <c r="A5" s="65"/>
      <c r="B5" s="62"/>
      <c r="C5" s="198" t="s">
        <v>38</v>
      </c>
      <c r="D5" s="199"/>
      <c r="E5" s="199"/>
      <c r="F5" s="200"/>
      <c r="G5" s="62"/>
      <c r="H5" s="62"/>
      <c r="I5" s="62"/>
      <c r="J5" s="63"/>
    </row>
    <row r="6" spans="1:10" ht="34" x14ac:dyDescent="0.2">
      <c r="A6" s="65"/>
      <c r="B6" s="62"/>
      <c r="C6" s="32" t="s">
        <v>6</v>
      </c>
      <c r="D6" s="45" t="s">
        <v>7</v>
      </c>
      <c r="E6" s="45" t="s">
        <v>8</v>
      </c>
      <c r="F6" s="46" t="s">
        <v>9</v>
      </c>
      <c r="G6" s="62"/>
      <c r="H6" s="62"/>
      <c r="I6" s="62"/>
      <c r="J6" s="63"/>
    </row>
    <row r="7" spans="1:10" x14ac:dyDescent="0.2">
      <c r="A7" s="65"/>
      <c r="B7" s="62"/>
      <c r="C7" s="33">
        <v>2021</v>
      </c>
      <c r="D7" s="47">
        <v>2260</v>
      </c>
      <c r="E7" s="47">
        <v>540</v>
      </c>
      <c r="F7" s="48">
        <v>470</v>
      </c>
      <c r="G7" s="62"/>
      <c r="H7" s="62"/>
      <c r="I7" s="62"/>
      <c r="J7" s="63"/>
    </row>
    <row r="8" spans="1:10" x14ac:dyDescent="0.2">
      <c r="A8" s="65"/>
      <c r="B8" s="62"/>
      <c r="C8" s="34">
        <v>2022</v>
      </c>
      <c r="D8" s="49">
        <v>3260</v>
      </c>
      <c r="E8" s="49">
        <v>210</v>
      </c>
      <c r="F8" s="50"/>
      <c r="G8" s="62"/>
      <c r="H8" s="62"/>
      <c r="I8" s="62"/>
      <c r="J8" s="63"/>
    </row>
    <row r="9" spans="1:10" x14ac:dyDescent="0.2">
      <c r="A9" s="65"/>
      <c r="B9" s="62"/>
      <c r="C9" s="35">
        <v>2023</v>
      </c>
      <c r="D9" s="51">
        <v>3210</v>
      </c>
      <c r="E9" s="52"/>
      <c r="F9" s="53"/>
      <c r="G9" s="62"/>
      <c r="H9" s="62"/>
      <c r="I9" s="62"/>
      <c r="J9" s="63"/>
    </row>
    <row r="10" spans="1:10" x14ac:dyDescent="0.2">
      <c r="A10" s="65"/>
      <c r="B10" s="62"/>
      <c r="C10" s="62"/>
      <c r="D10" s="62"/>
      <c r="E10" s="62"/>
      <c r="F10" s="62"/>
      <c r="G10" s="62"/>
      <c r="H10" s="62"/>
      <c r="I10" s="62"/>
      <c r="J10" s="63"/>
    </row>
    <row r="11" spans="1:10" x14ac:dyDescent="0.2">
      <c r="A11" s="65"/>
      <c r="B11" s="62" t="s">
        <v>39</v>
      </c>
      <c r="C11" s="62"/>
      <c r="D11" s="62"/>
      <c r="E11" s="62"/>
      <c r="F11" s="62"/>
      <c r="G11" s="62"/>
      <c r="H11" s="62"/>
      <c r="I11" s="62"/>
      <c r="J11" s="63"/>
    </row>
    <row r="12" spans="1:10" x14ac:dyDescent="0.2">
      <c r="A12" s="65"/>
      <c r="B12" s="62" t="s">
        <v>40</v>
      </c>
      <c r="C12" s="62"/>
      <c r="D12" s="62"/>
      <c r="E12" s="62"/>
      <c r="F12" s="62"/>
      <c r="G12" s="62"/>
      <c r="H12" s="62"/>
      <c r="I12" s="62"/>
      <c r="J12" s="63"/>
    </row>
    <row r="13" spans="1:10" x14ac:dyDescent="0.2">
      <c r="A13" s="65"/>
      <c r="B13" s="62"/>
      <c r="C13" s="62"/>
      <c r="D13" s="62"/>
      <c r="E13" s="62"/>
      <c r="F13" s="62"/>
      <c r="G13" s="62"/>
      <c r="H13" s="62"/>
      <c r="I13" s="62"/>
      <c r="J13" s="63"/>
    </row>
    <row r="14" spans="1:10" ht="34" x14ac:dyDescent="0.2">
      <c r="A14" s="65"/>
      <c r="B14" s="62"/>
      <c r="C14" s="41" t="s">
        <v>6</v>
      </c>
      <c r="D14" s="54" t="s">
        <v>17</v>
      </c>
      <c r="E14" s="55" t="s">
        <v>41</v>
      </c>
      <c r="F14" s="62"/>
      <c r="G14" s="62"/>
      <c r="H14" s="62"/>
      <c r="I14" s="62"/>
      <c r="J14" s="63"/>
    </row>
    <row r="15" spans="1:10" x14ac:dyDescent="0.2">
      <c r="A15" s="65"/>
      <c r="B15" s="62"/>
      <c r="C15" s="42">
        <v>2021</v>
      </c>
      <c r="D15" s="38">
        <v>3750</v>
      </c>
      <c r="E15" s="56">
        <v>0.32</v>
      </c>
      <c r="F15" s="62"/>
      <c r="G15" s="62"/>
      <c r="H15" s="62"/>
      <c r="I15" s="62"/>
      <c r="J15" s="63"/>
    </row>
    <row r="16" spans="1:10" x14ac:dyDescent="0.2">
      <c r="A16" s="65"/>
      <c r="B16" s="62"/>
      <c r="C16" s="43">
        <v>2022</v>
      </c>
      <c r="D16" s="39">
        <v>4250</v>
      </c>
      <c r="E16" s="57">
        <v>0.35</v>
      </c>
      <c r="F16" s="62"/>
      <c r="G16" s="62"/>
      <c r="H16" s="62"/>
      <c r="I16" s="62"/>
      <c r="J16" s="63"/>
    </row>
    <row r="17" spans="1:10" x14ac:dyDescent="0.2">
      <c r="A17" s="65"/>
      <c r="B17" s="62"/>
      <c r="C17" s="44">
        <v>2023</v>
      </c>
      <c r="D17" s="40">
        <v>5000</v>
      </c>
      <c r="E17" s="58">
        <v>0.38</v>
      </c>
      <c r="F17" s="62"/>
      <c r="G17" s="62"/>
      <c r="H17" s="62"/>
      <c r="I17" s="62"/>
      <c r="J17" s="63"/>
    </row>
    <row r="18" spans="1:10" x14ac:dyDescent="0.2">
      <c r="A18" s="65"/>
      <c r="B18" s="62"/>
      <c r="C18" s="62"/>
      <c r="D18" s="62"/>
      <c r="E18" s="62"/>
      <c r="F18" s="62"/>
      <c r="G18" s="62"/>
      <c r="H18" s="62"/>
      <c r="I18" s="62"/>
      <c r="J18" s="63"/>
    </row>
    <row r="19" spans="1:10" x14ac:dyDescent="0.2">
      <c r="A19" s="65"/>
      <c r="B19" s="62" t="s">
        <v>97</v>
      </c>
      <c r="C19" s="62"/>
      <c r="D19" s="62"/>
      <c r="E19" s="62"/>
      <c r="F19" s="62"/>
      <c r="G19" s="62"/>
      <c r="H19" s="90">
        <v>60</v>
      </c>
      <c r="I19" s="62"/>
      <c r="J19" s="63"/>
    </row>
    <row r="20" spans="1:10" x14ac:dyDescent="0.2">
      <c r="A20" s="65"/>
      <c r="B20" s="62" t="s">
        <v>86</v>
      </c>
      <c r="C20" s="62"/>
      <c r="D20" s="62"/>
      <c r="E20" s="62"/>
      <c r="F20" s="62"/>
      <c r="G20" s="62"/>
      <c r="H20" s="62"/>
      <c r="I20" s="62"/>
      <c r="J20" s="63"/>
    </row>
    <row r="21" spans="1:10" x14ac:dyDescent="0.2">
      <c r="A21" s="65"/>
      <c r="B21" s="62"/>
      <c r="C21" s="62"/>
      <c r="D21" s="62"/>
      <c r="E21" s="62"/>
      <c r="F21" s="62"/>
      <c r="G21" s="62"/>
      <c r="H21" s="62"/>
      <c r="I21" s="62"/>
      <c r="J21" s="63"/>
    </row>
    <row r="22" spans="1:10" x14ac:dyDescent="0.2">
      <c r="A22" s="65"/>
      <c r="B22" s="62"/>
      <c r="C22" s="62"/>
      <c r="D22" s="62"/>
      <c r="E22" s="62"/>
      <c r="F22" s="62"/>
      <c r="G22" s="62"/>
      <c r="H22" s="62"/>
      <c r="I22" s="62"/>
      <c r="J22" s="63"/>
    </row>
    <row r="23" spans="1:10" x14ac:dyDescent="0.2">
      <c r="A23" s="65"/>
      <c r="B23" s="62" t="s">
        <v>42</v>
      </c>
      <c r="C23" s="62"/>
      <c r="D23" s="62"/>
      <c r="E23" s="62"/>
      <c r="F23" s="62"/>
      <c r="G23" s="62"/>
      <c r="H23" s="62"/>
      <c r="I23" s="62"/>
      <c r="J23" s="63"/>
    </row>
    <row r="24" spans="1:10" ht="17" thickBot="1" x14ac:dyDescent="0.25">
      <c r="A24" s="66"/>
      <c r="B24" s="67"/>
      <c r="C24" s="68"/>
      <c r="D24" s="68"/>
      <c r="E24" s="68"/>
      <c r="F24" s="67"/>
      <c r="G24" s="67"/>
      <c r="H24" s="67"/>
      <c r="I24" s="67"/>
      <c r="J24" s="69"/>
    </row>
    <row r="26" spans="1:10" ht="19" x14ac:dyDescent="0.25">
      <c r="A26" s="2" t="s">
        <v>3</v>
      </c>
    </row>
    <row r="27" spans="1:10" x14ac:dyDescent="0.2">
      <c r="A27" s="71" t="s">
        <v>91</v>
      </c>
      <c r="B27" s="5" t="s">
        <v>43</v>
      </c>
      <c r="C27" s="70"/>
    </row>
    <row r="28" spans="1:10" x14ac:dyDescent="0.2">
      <c r="A28" s="3"/>
      <c r="C28" s="70"/>
    </row>
    <row r="29" spans="1:10" x14ac:dyDescent="0.2">
      <c r="A29" s="3"/>
      <c r="C29" s="70"/>
    </row>
    <row r="30" spans="1:10" x14ac:dyDescent="0.2">
      <c r="A30" s="3"/>
      <c r="C30" s="70"/>
    </row>
    <row r="31" spans="1:10" x14ac:dyDescent="0.2">
      <c r="A31" s="3"/>
      <c r="C31" s="70"/>
    </row>
    <row r="32" spans="1:10" x14ac:dyDescent="0.2">
      <c r="A32" s="3"/>
      <c r="C32" s="70"/>
    </row>
    <row r="33" spans="1:13" x14ac:dyDescent="0.2">
      <c r="A33" s="3"/>
      <c r="C33" s="70"/>
    </row>
    <row r="34" spans="1:13" x14ac:dyDescent="0.2">
      <c r="A34" s="3"/>
      <c r="C34" s="70"/>
    </row>
    <row r="35" spans="1:13" x14ac:dyDescent="0.2">
      <c r="A35" s="3"/>
      <c r="C35" s="70"/>
    </row>
    <row r="36" spans="1:13" x14ac:dyDescent="0.2">
      <c r="A36" s="3"/>
      <c r="C36" s="70"/>
    </row>
    <row r="37" spans="1:13" x14ac:dyDescent="0.2">
      <c r="A37" s="3"/>
      <c r="C37" s="70"/>
    </row>
    <row r="38" spans="1:13" ht="18" x14ac:dyDescent="0.25">
      <c r="A38" s="71" t="s">
        <v>92</v>
      </c>
      <c r="B38" s="5" t="s">
        <v>44</v>
      </c>
      <c r="C38" s="70"/>
    </row>
    <row r="39" spans="1:13" x14ac:dyDescent="0.2">
      <c r="A39" s="71"/>
      <c r="B39" s="5"/>
      <c r="C39" s="70"/>
    </row>
    <row r="46" spans="1:13" x14ac:dyDescent="0.2">
      <c r="C46" s="201" t="s">
        <v>114</v>
      </c>
      <c r="D46" s="201"/>
      <c r="E46" s="201"/>
    </row>
    <row r="47" spans="1:13" ht="34" x14ac:dyDescent="0.2">
      <c r="C47" s="6" t="s">
        <v>6</v>
      </c>
      <c r="D47" s="9" t="s">
        <v>10</v>
      </c>
      <c r="E47" s="20" t="s">
        <v>11</v>
      </c>
      <c r="F47" s="9" t="s">
        <v>12</v>
      </c>
      <c r="G47" s="9" t="s">
        <v>112</v>
      </c>
      <c r="M47" s="7"/>
    </row>
    <row r="48" spans="1:13" x14ac:dyDescent="0.2">
      <c r="C48" s="8">
        <v>2021</v>
      </c>
      <c r="D48" s="96">
        <f>E48*F48</f>
        <v>9.765625</v>
      </c>
      <c r="E48" s="97">
        <f>F48/G48</f>
        <v>2.6041666666666665E-3</v>
      </c>
      <c r="F48" s="127">
        <f>D15</f>
        <v>3750</v>
      </c>
      <c r="G48" s="127">
        <f>(D15*E15)^2</f>
        <v>1440000</v>
      </c>
      <c r="M48" s="91"/>
    </row>
    <row r="49" spans="1:13" x14ac:dyDescent="0.2">
      <c r="C49" s="8">
        <v>2022</v>
      </c>
      <c r="D49" s="96">
        <f>E49*F49</f>
        <v>8.1632653061224492</v>
      </c>
      <c r="E49" s="97">
        <f t="shared" ref="E49" si="0">F49/G49</f>
        <v>1.9207683073229293E-3</v>
      </c>
      <c r="F49" s="127">
        <f>D16</f>
        <v>4250</v>
      </c>
      <c r="G49" s="127">
        <f>(D16*E16)^2</f>
        <v>2212656.25</v>
      </c>
      <c r="M49" s="91"/>
    </row>
    <row r="50" spans="1:13" x14ac:dyDescent="0.2">
      <c r="C50" s="8">
        <v>2023</v>
      </c>
      <c r="D50" s="96">
        <f>E50*F50</f>
        <v>6.9252077562326866</v>
      </c>
      <c r="E50" s="97">
        <f>F50/G50</f>
        <v>1.3850415512465374E-3</v>
      </c>
      <c r="F50" s="127">
        <f>D17</f>
        <v>5000</v>
      </c>
      <c r="G50" s="127">
        <f>(D17*E17)^2</f>
        <v>3610000</v>
      </c>
      <c r="M50" s="91"/>
    </row>
    <row r="52" spans="1:13" x14ac:dyDescent="0.2">
      <c r="A52" s="71" t="s">
        <v>93</v>
      </c>
      <c r="B52" s="5" t="s">
        <v>113</v>
      </c>
    </row>
    <row r="53" spans="1:13" x14ac:dyDescent="0.2">
      <c r="B53" s="5"/>
    </row>
    <row r="54" spans="1:13" x14ac:dyDescent="0.2">
      <c r="C54" s="126" t="s">
        <v>167</v>
      </c>
    </row>
    <row r="55" spans="1:13" x14ac:dyDescent="0.2">
      <c r="C55" s="126"/>
    </row>
    <row r="56" spans="1:13" x14ac:dyDescent="0.2">
      <c r="C56" s="99"/>
      <c r="D56" s="100" t="s">
        <v>24</v>
      </c>
      <c r="E56" s="78" t="s">
        <v>21</v>
      </c>
      <c r="F56" s="78" t="s">
        <v>115</v>
      </c>
    </row>
    <row r="57" spans="1:13" x14ac:dyDescent="0.2">
      <c r="C57" s="81" t="s">
        <v>13</v>
      </c>
      <c r="D57" s="98">
        <f>SUM(D7:E8)/SUM(D7:D8)</f>
        <v>1.1358695652173914</v>
      </c>
      <c r="E57" s="98">
        <f>SUM(D7:F7)/SUM(D7:E7)</f>
        <v>1.1678571428571429</v>
      </c>
      <c r="F57" s="98">
        <v>1</v>
      </c>
    </row>
    <row r="58" spans="1:13" x14ac:dyDescent="0.2">
      <c r="C58" s="81" t="s">
        <v>14</v>
      </c>
      <c r="D58" s="98">
        <f>D57*E58</f>
        <v>1.3265333850931678</v>
      </c>
      <c r="E58" s="98">
        <f>E57*F58</f>
        <v>1.1678571428571429</v>
      </c>
      <c r="F58" s="98">
        <f>F57</f>
        <v>1</v>
      </c>
    </row>
    <row r="59" spans="1:13" x14ac:dyDescent="0.2">
      <c r="C59" s="92"/>
      <c r="D59" s="92"/>
      <c r="E59" s="92"/>
    </row>
    <row r="60" spans="1:13" x14ac:dyDescent="0.2">
      <c r="A60" s="71" t="s">
        <v>94</v>
      </c>
      <c r="B60" s="5" t="s">
        <v>116</v>
      </c>
      <c r="C60" s="92"/>
      <c r="D60" s="92"/>
      <c r="E60" s="92"/>
    </row>
    <row r="61" spans="1:13" x14ac:dyDescent="0.2">
      <c r="C61" s="92"/>
      <c r="D61" s="92"/>
      <c r="E61" s="92"/>
    </row>
    <row r="62" spans="1:13" x14ac:dyDescent="0.2">
      <c r="C62" s="92"/>
      <c r="D62" s="92"/>
      <c r="F62" s="102"/>
      <c r="G62" s="103">
        <v>12</v>
      </c>
      <c r="H62" s="80">
        <v>24</v>
      </c>
      <c r="I62" s="80">
        <v>36</v>
      </c>
    </row>
    <row r="63" spans="1:13" ht="18" x14ac:dyDescent="0.2">
      <c r="C63" s="92"/>
      <c r="D63" s="92"/>
      <c r="F63" s="81" t="s">
        <v>117</v>
      </c>
      <c r="G63" s="101">
        <f>1/D58</f>
        <v>0.7538445780840759</v>
      </c>
      <c r="H63" s="101">
        <f t="shared" ref="H63:I63" si="1">1/E58</f>
        <v>0.85626911314984699</v>
      </c>
      <c r="I63" s="101">
        <f t="shared" si="1"/>
        <v>1</v>
      </c>
    </row>
    <row r="64" spans="1:13" ht="18" x14ac:dyDescent="0.2">
      <c r="C64" s="92"/>
      <c r="D64" s="92"/>
      <c r="F64" s="81" t="s">
        <v>118</v>
      </c>
      <c r="G64" s="101">
        <f>G63</f>
        <v>0.7538445780840759</v>
      </c>
      <c r="H64" s="101">
        <f>H63-G63</f>
        <v>0.10242453506577109</v>
      </c>
      <c r="I64" s="101">
        <f>I63-H63</f>
        <v>0.14373088685015301</v>
      </c>
    </row>
    <row r="65" spans="1:6" x14ac:dyDescent="0.2">
      <c r="C65" s="92"/>
      <c r="D65" s="92"/>
      <c r="E65" s="92"/>
    </row>
    <row r="66" spans="1:6" x14ac:dyDescent="0.2">
      <c r="C66" s="92"/>
      <c r="D66" s="92"/>
      <c r="E66" s="92"/>
    </row>
    <row r="67" spans="1:6" ht="18" x14ac:dyDescent="0.25">
      <c r="A67" s="71" t="s">
        <v>119</v>
      </c>
      <c r="B67" s="5" t="s">
        <v>120</v>
      </c>
      <c r="C67" s="92"/>
      <c r="D67" s="92"/>
      <c r="E67" s="92"/>
    </row>
    <row r="68" spans="1:6" x14ac:dyDescent="0.2">
      <c r="A68" s="71"/>
      <c r="B68" s="5"/>
      <c r="C68" s="92"/>
      <c r="D68" s="92"/>
      <c r="E68" s="92"/>
    </row>
    <row r="69" spans="1:6" x14ac:dyDescent="0.2">
      <c r="C69" s="92"/>
      <c r="D69" s="92"/>
      <c r="E69" s="92"/>
    </row>
    <row r="70" spans="1:6" x14ac:dyDescent="0.2">
      <c r="C70" s="92"/>
      <c r="D70" s="92"/>
      <c r="E70" s="92"/>
    </row>
    <row r="71" spans="1:6" x14ac:dyDescent="0.2">
      <c r="C71" s="92"/>
      <c r="D71" s="92"/>
      <c r="E71" s="92"/>
    </row>
    <row r="72" spans="1:6" x14ac:dyDescent="0.2">
      <c r="C72" s="201" t="s">
        <v>128</v>
      </c>
      <c r="D72" s="201"/>
      <c r="E72" s="201"/>
      <c r="F72" s="201"/>
    </row>
    <row r="73" spans="1:6" x14ac:dyDescent="0.2">
      <c r="C73" s="87" t="s">
        <v>18</v>
      </c>
      <c r="D73" s="80">
        <v>12</v>
      </c>
      <c r="E73" s="80">
        <v>24</v>
      </c>
      <c r="F73" s="80">
        <v>36</v>
      </c>
    </row>
    <row r="74" spans="1:6" x14ac:dyDescent="0.2">
      <c r="C74" s="88">
        <v>2021</v>
      </c>
      <c r="D74" s="85"/>
      <c r="E74" s="85"/>
      <c r="F74" s="85"/>
    </row>
    <row r="75" spans="1:6" x14ac:dyDescent="0.2">
      <c r="C75" s="88">
        <v>2022</v>
      </c>
      <c r="D75" s="85"/>
      <c r="E75" s="105"/>
      <c r="F75" s="106">
        <f>H63/((E49*$H$19)+H63)</f>
        <v>0.88137489041385775</v>
      </c>
    </row>
    <row r="76" spans="1:6" x14ac:dyDescent="0.2">
      <c r="C76" s="88">
        <v>2023</v>
      </c>
      <c r="D76" s="104"/>
      <c r="E76" s="84">
        <f>G63/((E50*$H$19)+G63)</f>
        <v>0.90070758840254328</v>
      </c>
      <c r="F76" s="84">
        <f>H63/((E50*$H$19)+H63)</f>
        <v>0.91153395256560554</v>
      </c>
    </row>
    <row r="77" spans="1:6" x14ac:dyDescent="0.2">
      <c r="C77" s="92"/>
      <c r="D77" s="92"/>
      <c r="E77" s="92"/>
    </row>
    <row r="78" spans="1:6" x14ac:dyDescent="0.2">
      <c r="A78" s="71" t="s">
        <v>121</v>
      </c>
      <c r="B78" s="5" t="s">
        <v>122</v>
      </c>
      <c r="C78" s="92"/>
      <c r="D78" s="92"/>
      <c r="E78" s="92"/>
    </row>
    <row r="79" spans="1:6" x14ac:dyDescent="0.2">
      <c r="A79" s="71"/>
      <c r="B79" s="5"/>
      <c r="C79" s="92"/>
      <c r="D79" s="92"/>
      <c r="E79" s="92"/>
    </row>
    <row r="80" spans="1:6" x14ac:dyDescent="0.2">
      <c r="C80" s="92"/>
      <c r="D80" s="92"/>
      <c r="E80" s="92"/>
    </row>
    <row r="81" spans="1:9" x14ac:dyDescent="0.2">
      <c r="C81" s="92"/>
      <c r="D81" s="92"/>
      <c r="E81" s="92"/>
    </row>
    <row r="82" spans="1:9" x14ac:dyDescent="0.2">
      <c r="C82" s="92"/>
      <c r="D82" s="92"/>
      <c r="E82" s="92"/>
    </row>
    <row r="83" spans="1:9" x14ac:dyDescent="0.2">
      <c r="C83" s="201" t="s">
        <v>15</v>
      </c>
      <c r="D83" s="201"/>
      <c r="E83" s="201"/>
      <c r="F83" s="201"/>
    </row>
    <row r="84" spans="1:9" x14ac:dyDescent="0.2">
      <c r="C84" s="87" t="s">
        <v>18</v>
      </c>
      <c r="D84" s="80">
        <v>12</v>
      </c>
      <c r="E84" s="80">
        <v>24</v>
      </c>
      <c r="F84" s="80">
        <v>36</v>
      </c>
    </row>
    <row r="85" spans="1:9" x14ac:dyDescent="0.2">
      <c r="C85" s="88">
        <v>2021</v>
      </c>
      <c r="D85" s="85"/>
      <c r="E85" s="85"/>
      <c r="F85" s="85"/>
    </row>
    <row r="86" spans="1:9" x14ac:dyDescent="0.2">
      <c r="C86" s="88">
        <v>2022</v>
      </c>
      <c r="D86" s="85"/>
      <c r="E86" s="107"/>
      <c r="F86" s="108">
        <f>D16*I64</f>
        <v>610.85626911315023</v>
      </c>
    </row>
    <row r="87" spans="1:9" x14ac:dyDescent="0.2">
      <c r="C87" s="88">
        <v>2023</v>
      </c>
      <c r="D87" s="104"/>
      <c r="E87" s="109">
        <f>D17*H64</f>
        <v>512.12267532885551</v>
      </c>
      <c r="F87" s="109">
        <f>D17*I64</f>
        <v>718.65443425076501</v>
      </c>
    </row>
    <row r="88" spans="1:9" x14ac:dyDescent="0.2">
      <c r="C88" s="92"/>
      <c r="D88" s="92"/>
      <c r="E88" s="92"/>
    </row>
    <row r="89" spans="1:9" ht="15.75" customHeight="1" x14ac:dyDescent="0.2">
      <c r="A89" s="71" t="s">
        <v>123</v>
      </c>
      <c r="B89" s="202" t="s">
        <v>124</v>
      </c>
      <c r="C89" s="202"/>
      <c r="D89" s="202"/>
      <c r="E89" s="202"/>
      <c r="F89" s="202"/>
      <c r="G89" s="202"/>
      <c r="H89" s="202"/>
      <c r="I89" s="202"/>
    </row>
    <row r="90" spans="1:9" x14ac:dyDescent="0.2">
      <c r="B90" s="202"/>
      <c r="C90" s="202"/>
      <c r="D90" s="202"/>
      <c r="E90" s="202"/>
      <c r="F90" s="202"/>
      <c r="G90" s="202"/>
      <c r="H90" s="202"/>
      <c r="I90" s="202"/>
    </row>
    <row r="91" spans="1:9" x14ac:dyDescent="0.2">
      <c r="B91" s="93"/>
      <c r="C91" s="93"/>
      <c r="D91" s="93"/>
      <c r="E91" s="93"/>
      <c r="F91" s="93"/>
      <c r="G91" s="93"/>
      <c r="H91" s="93"/>
      <c r="I91" s="93"/>
    </row>
    <row r="92" spans="1:9" x14ac:dyDescent="0.2">
      <c r="B92" s="64" t="s">
        <v>125</v>
      </c>
      <c r="C92" s="95"/>
      <c r="D92" s="95"/>
      <c r="E92" s="95"/>
      <c r="F92" s="95"/>
      <c r="G92" s="95"/>
      <c r="H92" s="95"/>
      <c r="I92" s="95"/>
    </row>
    <row r="93" spans="1:9" x14ac:dyDescent="0.2">
      <c r="C93" s="95"/>
      <c r="D93" s="95"/>
      <c r="E93" s="95"/>
      <c r="F93" s="95"/>
      <c r="G93" s="95"/>
      <c r="H93" s="95"/>
      <c r="I93" s="95"/>
    </row>
    <row r="94" spans="1:9" x14ac:dyDescent="0.2">
      <c r="C94" s="92"/>
      <c r="D94" s="92"/>
      <c r="E94" s="92"/>
    </row>
    <row r="95" spans="1:9" x14ac:dyDescent="0.2">
      <c r="C95" s="92"/>
      <c r="D95" s="92"/>
      <c r="E95" s="92"/>
    </row>
    <row r="96" spans="1:9" x14ac:dyDescent="0.2">
      <c r="C96" s="201" t="s">
        <v>127</v>
      </c>
      <c r="D96" s="201"/>
      <c r="E96" s="201"/>
      <c r="F96" s="201"/>
    </row>
    <row r="97" spans="2:6" x14ac:dyDescent="0.2">
      <c r="C97" s="87" t="s">
        <v>18</v>
      </c>
      <c r="D97" s="80">
        <v>12</v>
      </c>
      <c r="E97" s="80">
        <v>24</v>
      </c>
      <c r="F97" s="80">
        <v>36</v>
      </c>
    </row>
    <row r="98" spans="2:6" x14ac:dyDescent="0.2">
      <c r="C98" s="88">
        <v>2021</v>
      </c>
      <c r="D98" s="85"/>
      <c r="E98" s="85"/>
      <c r="F98" s="85"/>
    </row>
    <row r="99" spans="2:6" x14ac:dyDescent="0.2">
      <c r="C99" s="88">
        <v>2022</v>
      </c>
      <c r="D99" s="85"/>
      <c r="E99" s="107"/>
      <c r="F99" s="108">
        <f>(E58-1)*(D8+E8)</f>
        <v>582.46428571428601</v>
      </c>
    </row>
    <row r="100" spans="2:6" x14ac:dyDescent="0.2">
      <c r="C100" s="88">
        <v>2023</v>
      </c>
      <c r="D100" s="104"/>
      <c r="E100" s="109">
        <f>(D57-1)*D9</f>
        <v>436.14130434782624</v>
      </c>
      <c r="F100" s="109"/>
    </row>
    <row r="101" spans="2:6" x14ac:dyDescent="0.2">
      <c r="C101" s="92"/>
      <c r="D101" s="92"/>
      <c r="E101" s="92"/>
    </row>
    <row r="102" spans="2:6" x14ac:dyDescent="0.2">
      <c r="B102" s="64" t="s">
        <v>126</v>
      </c>
      <c r="C102" s="92"/>
      <c r="D102" s="92"/>
      <c r="E102" s="92"/>
    </row>
    <row r="103" spans="2:6" x14ac:dyDescent="0.2">
      <c r="C103" s="92"/>
      <c r="D103" s="92"/>
      <c r="E103" s="92"/>
    </row>
    <row r="104" spans="2:6" x14ac:dyDescent="0.2">
      <c r="C104" s="92"/>
      <c r="D104" s="92"/>
      <c r="E104" s="92"/>
    </row>
    <row r="105" spans="2:6" x14ac:dyDescent="0.2">
      <c r="C105" s="92"/>
      <c r="D105" s="92"/>
      <c r="E105" s="92"/>
    </row>
    <row r="106" spans="2:6" x14ac:dyDescent="0.2">
      <c r="C106" s="92"/>
      <c r="D106" s="92"/>
      <c r="E106" s="92"/>
    </row>
    <row r="107" spans="2:6" x14ac:dyDescent="0.2">
      <c r="C107" s="92"/>
      <c r="D107" s="92"/>
      <c r="E107" s="92"/>
    </row>
    <row r="108" spans="2:6" x14ac:dyDescent="0.2">
      <c r="C108" s="201" t="s">
        <v>169</v>
      </c>
      <c r="D108" s="201"/>
      <c r="E108" s="201"/>
      <c r="F108" s="201"/>
    </row>
    <row r="109" spans="2:6" x14ac:dyDescent="0.2">
      <c r="C109" s="87" t="s">
        <v>18</v>
      </c>
      <c r="D109" s="80">
        <v>12</v>
      </c>
      <c r="E109" s="80">
        <v>24</v>
      </c>
      <c r="F109" s="80">
        <v>36</v>
      </c>
    </row>
    <row r="110" spans="2:6" x14ac:dyDescent="0.2">
      <c r="C110" s="88">
        <v>2021</v>
      </c>
      <c r="D110" s="85"/>
      <c r="E110" s="85"/>
      <c r="F110" s="85"/>
    </row>
    <row r="111" spans="2:6" x14ac:dyDescent="0.2">
      <c r="C111" s="88">
        <v>2022</v>
      </c>
      <c r="D111" s="85"/>
      <c r="E111" s="107"/>
      <c r="F111" s="108">
        <f>F75*F99+(1-F75)*F86</f>
        <v>585.83228785634424</v>
      </c>
    </row>
    <row r="112" spans="2:6" x14ac:dyDescent="0.2">
      <c r="C112" s="88">
        <v>2023</v>
      </c>
      <c r="D112" s="104"/>
      <c r="E112" s="109">
        <f>E76*E100+(1-E76)*E87</f>
        <v>443.68567790901363</v>
      </c>
      <c r="F112" s="109"/>
    </row>
    <row r="113" spans="1:6" x14ac:dyDescent="0.2">
      <c r="C113" s="92"/>
      <c r="D113" s="92"/>
      <c r="E113" s="92"/>
    </row>
    <row r="114" spans="1:6" x14ac:dyDescent="0.2">
      <c r="A114" s="71" t="s">
        <v>129</v>
      </c>
      <c r="B114" s="5" t="s">
        <v>130</v>
      </c>
      <c r="C114" s="92"/>
      <c r="D114" s="92"/>
      <c r="E114" s="92"/>
    </row>
    <row r="115" spans="1:6" x14ac:dyDescent="0.2">
      <c r="C115" s="92"/>
      <c r="D115" s="92"/>
      <c r="E115" s="92"/>
    </row>
    <row r="116" spans="1:6" x14ac:dyDescent="0.2">
      <c r="B116" s="64" t="s">
        <v>131</v>
      </c>
      <c r="C116" s="92"/>
      <c r="D116" s="92"/>
      <c r="E116" s="92"/>
    </row>
    <row r="117" spans="1:6" x14ac:dyDescent="0.2">
      <c r="C117" s="92"/>
      <c r="D117" s="92"/>
      <c r="E117" s="92"/>
    </row>
    <row r="118" spans="1:6" x14ac:dyDescent="0.2">
      <c r="C118" s="87" t="s">
        <v>18</v>
      </c>
      <c r="D118" s="80">
        <v>12</v>
      </c>
      <c r="E118" s="80">
        <v>24</v>
      </c>
      <c r="F118" s="80">
        <v>36</v>
      </c>
    </row>
    <row r="119" spans="1:6" x14ac:dyDescent="0.2">
      <c r="C119" s="88">
        <v>2021</v>
      </c>
      <c r="D119" s="85"/>
      <c r="E119" s="85"/>
      <c r="F119" s="85"/>
    </row>
    <row r="120" spans="1:6" x14ac:dyDescent="0.2">
      <c r="C120" s="88">
        <v>2022</v>
      </c>
      <c r="D120" s="85"/>
      <c r="E120" s="107"/>
      <c r="F120" s="111">
        <f>(E58-1)*(D8+E8)</f>
        <v>582.46428571428601</v>
      </c>
    </row>
    <row r="121" spans="1:6" x14ac:dyDescent="0.2">
      <c r="C121" s="88">
        <v>2023</v>
      </c>
      <c r="D121" s="104"/>
      <c r="E121" s="112">
        <f>(D57-1)*D9</f>
        <v>436.14130434782624</v>
      </c>
      <c r="F121" s="168">
        <f>(E57-1)*(D9+E112)</f>
        <v>613.29723879187043</v>
      </c>
    </row>
    <row r="122" spans="1:6" x14ac:dyDescent="0.2">
      <c r="C122" s="92"/>
      <c r="D122" s="92"/>
      <c r="E122" s="92"/>
    </row>
    <row r="123" spans="1:6" x14ac:dyDescent="0.2">
      <c r="B123" s="64" t="s">
        <v>132</v>
      </c>
      <c r="C123" s="92"/>
      <c r="D123" s="92"/>
      <c r="E123" s="92"/>
    </row>
    <row r="124" spans="1:6" x14ac:dyDescent="0.2">
      <c r="C124" s="92"/>
      <c r="D124" s="92"/>
      <c r="E124" s="92"/>
    </row>
    <row r="125" spans="1:6" x14ac:dyDescent="0.2">
      <c r="C125" s="87" t="s">
        <v>18</v>
      </c>
      <c r="D125" s="80">
        <v>12</v>
      </c>
      <c r="E125" s="80">
        <v>24</v>
      </c>
      <c r="F125" s="80">
        <v>36</v>
      </c>
    </row>
    <row r="126" spans="1:6" x14ac:dyDescent="0.2">
      <c r="C126" s="88">
        <v>2021</v>
      </c>
      <c r="D126" s="85"/>
      <c r="E126" s="85"/>
      <c r="F126" s="85"/>
    </row>
    <row r="127" spans="1:6" x14ac:dyDescent="0.2">
      <c r="C127" s="88">
        <v>2022</v>
      </c>
      <c r="D127" s="85"/>
      <c r="E127" s="107"/>
      <c r="F127" s="111">
        <f>F75*F99+(1-F75)*F86</f>
        <v>585.83228785634424</v>
      </c>
    </row>
    <row r="128" spans="1:6" x14ac:dyDescent="0.2">
      <c r="C128" s="88">
        <v>2023</v>
      </c>
      <c r="D128" s="104"/>
      <c r="E128" s="112">
        <f>E76*E100+(1-E76)*E87</f>
        <v>443.68567790901363</v>
      </c>
      <c r="F128" s="168">
        <f>(F76*F121)+(1-F76)*F87</f>
        <v>622.6177734428918</v>
      </c>
    </row>
    <row r="129" spans="1:65" ht="17" thickBot="1" x14ac:dyDescent="0.25">
      <c r="C129" s="73"/>
      <c r="D129" s="85"/>
      <c r="E129" s="109"/>
      <c r="F129" s="109"/>
    </row>
    <row r="130" spans="1:65" ht="17" thickBot="1" x14ac:dyDescent="0.25">
      <c r="C130" s="74" t="s">
        <v>133</v>
      </c>
      <c r="D130" s="113">
        <f>SUM(E127:F128)</f>
        <v>1652.1357392082498</v>
      </c>
      <c r="E130" s="109"/>
      <c r="F130" s="109"/>
    </row>
    <row r="132" spans="1:65" ht="19" x14ac:dyDescent="0.25">
      <c r="A132" s="2" t="s">
        <v>4</v>
      </c>
      <c r="N132" s="4"/>
    </row>
    <row r="133" spans="1:65" x14ac:dyDescent="0.2">
      <c r="B133" s="203" t="s">
        <v>134</v>
      </c>
      <c r="C133" s="203"/>
      <c r="D133" s="203"/>
      <c r="E133" s="203"/>
      <c r="F133" s="203"/>
      <c r="G133" s="203"/>
      <c r="H133" s="203"/>
      <c r="I133" s="203"/>
      <c r="N133" s="4"/>
    </row>
    <row r="134" spans="1:65" x14ac:dyDescent="0.2">
      <c r="B134" s="203"/>
      <c r="C134" s="203"/>
      <c r="D134" s="203"/>
      <c r="E134" s="203"/>
      <c r="F134" s="203"/>
      <c r="G134" s="203"/>
      <c r="H134" s="203"/>
      <c r="I134" s="203"/>
      <c r="N134" s="4"/>
    </row>
    <row r="135" spans="1:65" x14ac:dyDescent="0.2">
      <c r="L135" s="4"/>
      <c r="M135" s="4"/>
      <c r="N135" s="4"/>
    </row>
    <row r="136" spans="1:65" ht="18" customHeight="1" x14ac:dyDescent="0.2">
      <c r="B136" s="204" t="s">
        <v>170</v>
      </c>
      <c r="C136" s="203"/>
      <c r="D136" s="203"/>
      <c r="E136" s="203"/>
      <c r="F136" s="203"/>
      <c r="G136" s="203"/>
      <c r="H136" s="203"/>
      <c r="I136" s="203"/>
      <c r="M136" s="70"/>
    </row>
    <row r="137" spans="1:65" ht="18" customHeight="1" x14ac:dyDescent="0.2">
      <c r="A137" s="4"/>
      <c r="B137" s="203"/>
      <c r="C137" s="203"/>
      <c r="D137" s="203"/>
      <c r="E137" s="203"/>
      <c r="F137" s="203"/>
      <c r="G137" s="203"/>
      <c r="H137" s="203"/>
      <c r="I137" s="203"/>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ht="18" customHeight="1" x14ac:dyDescent="0.2">
      <c r="A138" s="4"/>
      <c r="B138" s="203"/>
      <c r="C138" s="203"/>
      <c r="D138" s="203"/>
      <c r="E138" s="203"/>
      <c r="F138" s="203"/>
      <c r="G138" s="203"/>
      <c r="H138" s="203"/>
      <c r="I138" s="203"/>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203"/>
      <c r="C139" s="203"/>
      <c r="D139" s="203"/>
      <c r="E139" s="203"/>
      <c r="F139" s="203"/>
      <c r="G139" s="203"/>
      <c r="H139" s="203"/>
      <c r="I139" s="203"/>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203"/>
      <c r="C140" s="203"/>
      <c r="D140" s="203"/>
      <c r="E140" s="203"/>
      <c r="F140" s="203"/>
      <c r="G140" s="203"/>
      <c r="H140" s="203"/>
      <c r="I140" s="203"/>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ht="18" customHeight="1" x14ac:dyDescent="0.2">
      <c r="A142" s="4"/>
      <c r="B142" s="204" t="s">
        <v>171</v>
      </c>
      <c r="C142" s="203"/>
      <c r="D142" s="203"/>
      <c r="E142" s="203"/>
      <c r="F142" s="203"/>
      <c r="G142" s="203"/>
      <c r="H142" s="203"/>
      <c r="I142" s="203"/>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ht="18" customHeight="1" x14ac:dyDescent="0.2">
      <c r="A143" s="4"/>
      <c r="B143" s="203"/>
      <c r="C143" s="203"/>
      <c r="D143" s="203"/>
      <c r="E143" s="203"/>
      <c r="F143" s="203"/>
      <c r="G143" s="203"/>
      <c r="H143" s="203"/>
      <c r="I143" s="203"/>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203"/>
      <c r="C144" s="203"/>
      <c r="D144" s="203"/>
      <c r="E144" s="203"/>
      <c r="F144" s="203"/>
      <c r="G144" s="203"/>
      <c r="H144" s="203"/>
      <c r="I144" s="203"/>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203" t="s">
        <v>135</v>
      </c>
      <c r="C146" s="203"/>
      <c r="D146" s="203"/>
      <c r="E146" s="203"/>
      <c r="F146" s="203"/>
      <c r="G146" s="203"/>
      <c r="H146" s="203"/>
      <c r="I146" s="203"/>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203"/>
      <c r="C147" s="203"/>
      <c r="D147" s="203"/>
      <c r="E147" s="203"/>
      <c r="F147" s="203"/>
      <c r="G147" s="203"/>
      <c r="H147" s="203"/>
      <c r="I147" s="203"/>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203"/>
      <c r="C148" s="203"/>
      <c r="D148" s="203"/>
      <c r="E148" s="203"/>
      <c r="F148" s="203"/>
      <c r="G148" s="203"/>
      <c r="H148" s="203"/>
      <c r="I148" s="203"/>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ht="19" x14ac:dyDescent="0.25">
      <c r="A150" s="4"/>
      <c r="B150" s="21" t="s">
        <v>60</v>
      </c>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203" t="s">
        <v>136</v>
      </c>
      <c r="C151" s="203"/>
      <c r="D151" s="203"/>
      <c r="E151" s="203"/>
      <c r="F151" s="203"/>
      <c r="G151" s="203"/>
      <c r="H151" s="203"/>
      <c r="I151" s="203"/>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203"/>
      <c r="C152" s="203"/>
      <c r="D152" s="203"/>
      <c r="E152" s="203"/>
      <c r="F152" s="203"/>
      <c r="G152" s="203"/>
      <c r="H152" s="203"/>
      <c r="I152" s="203"/>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203"/>
      <c r="C153" s="203"/>
      <c r="D153" s="203"/>
      <c r="E153" s="203"/>
      <c r="F153" s="203"/>
      <c r="G153" s="203"/>
      <c r="H153" s="203"/>
      <c r="I153" s="203"/>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5" t="s">
        <v>80</v>
      </c>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C157" s="4"/>
      <c r="D157" s="4"/>
      <c r="E157" s="4"/>
      <c r="G157" s="114">
        <f>D17*(H64+I64)</f>
        <v>1230.7771095796204</v>
      </c>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C159" s="4"/>
      <c r="D159" s="4"/>
      <c r="E159" s="4"/>
      <c r="F159" s="4"/>
      <c r="G159" s="115">
        <f>D9*(D58-1)</f>
        <v>1048.1721661490685</v>
      </c>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5" t="s">
        <v>61</v>
      </c>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5"/>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C165" s="4"/>
      <c r="D165" s="115">
        <f>E76*G159+(1-E76)*G157</f>
        <v>1066.3034513519051</v>
      </c>
      <c r="E165" s="126" t="s">
        <v>137</v>
      </c>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ht="19" x14ac:dyDescent="0.25">
      <c r="A167" s="2" t="s">
        <v>53</v>
      </c>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64" t="s">
        <v>62</v>
      </c>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ht="19" x14ac:dyDescent="0.25">
      <c r="A170" s="2" t="s">
        <v>55</v>
      </c>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64" t="s">
        <v>63</v>
      </c>
      <c r="C171" s="4"/>
      <c r="D171" s="126" t="s">
        <v>69</v>
      </c>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64" t="s">
        <v>64</v>
      </c>
      <c r="C172" s="4"/>
      <c r="D172" s="126" t="s">
        <v>70</v>
      </c>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64" t="s">
        <v>65</v>
      </c>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64" t="s">
        <v>66</v>
      </c>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64" t="s">
        <v>67</v>
      </c>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64" t="s">
        <v>68</v>
      </c>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sheetData>
  <mergeCells count="12">
    <mergeCell ref="B151:I153"/>
    <mergeCell ref="C108:F108"/>
    <mergeCell ref="B133:I134"/>
    <mergeCell ref="B136:I140"/>
    <mergeCell ref="B142:I144"/>
    <mergeCell ref="B146:I148"/>
    <mergeCell ref="C5:F5"/>
    <mergeCell ref="C46:E46"/>
    <mergeCell ref="B89:I90"/>
    <mergeCell ref="C96:F96"/>
    <mergeCell ref="C83:F83"/>
    <mergeCell ref="C72:F7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93"/>
  <sheetViews>
    <sheetView showGridLines="0" zoomScale="120" zoomScaleNormal="120" workbookViewId="0"/>
  </sheetViews>
  <sheetFormatPr baseColWidth="10" defaultColWidth="10.83203125" defaultRowHeight="16" x14ac:dyDescent="0.2"/>
  <cols>
    <col min="1" max="2" width="10.83203125" style="64" customWidth="1"/>
    <col min="3" max="3" width="13" style="64" customWidth="1"/>
    <col min="4" max="10" width="10.83203125" style="64" customWidth="1"/>
    <col min="11" max="16384" width="10.83203125" style="64"/>
  </cols>
  <sheetData>
    <row r="1" spans="1:10" ht="19" x14ac:dyDescent="0.25">
      <c r="A1" s="1" t="s">
        <v>89</v>
      </c>
      <c r="B1" s="62"/>
      <c r="C1" s="62"/>
      <c r="D1" s="62"/>
      <c r="E1" s="62"/>
      <c r="F1" s="62"/>
      <c r="G1" s="62"/>
      <c r="H1" s="62"/>
      <c r="I1" s="62"/>
      <c r="J1" s="63"/>
    </row>
    <row r="2" spans="1:10" x14ac:dyDescent="0.2">
      <c r="A2" s="65"/>
      <c r="B2" s="62"/>
      <c r="C2" s="62"/>
      <c r="D2" s="62"/>
      <c r="E2" s="62"/>
      <c r="F2" s="62"/>
      <c r="G2" s="62"/>
      <c r="H2" s="62"/>
      <c r="I2" s="62"/>
      <c r="J2" s="63"/>
    </row>
    <row r="3" spans="1:10" x14ac:dyDescent="0.2">
      <c r="A3" s="65"/>
      <c r="B3" s="62" t="s">
        <v>5</v>
      </c>
      <c r="C3" s="62"/>
      <c r="D3" s="62"/>
      <c r="E3" s="62"/>
      <c r="F3" s="62"/>
      <c r="G3" s="62"/>
      <c r="H3" s="62"/>
      <c r="I3" s="62"/>
      <c r="J3" s="63"/>
    </row>
    <row r="4" spans="1:10" x14ac:dyDescent="0.2">
      <c r="A4" s="65"/>
      <c r="B4" s="62"/>
      <c r="C4" s="62"/>
      <c r="D4" s="62"/>
      <c r="E4" s="62"/>
      <c r="F4" s="62"/>
      <c r="G4" s="62"/>
      <c r="H4" s="62"/>
      <c r="I4" s="62"/>
      <c r="J4" s="63"/>
    </row>
    <row r="5" spans="1:10" x14ac:dyDescent="0.2">
      <c r="A5" s="65"/>
      <c r="B5" s="62"/>
      <c r="C5" s="198" t="s">
        <v>38</v>
      </c>
      <c r="D5" s="199"/>
      <c r="E5" s="199"/>
      <c r="F5" s="199"/>
      <c r="G5" s="200"/>
      <c r="H5" s="62"/>
      <c r="I5" s="62"/>
      <c r="J5" s="63"/>
    </row>
    <row r="6" spans="1:10" ht="36" x14ac:dyDescent="0.2">
      <c r="A6" s="65"/>
      <c r="B6" s="62"/>
      <c r="C6" s="61" t="s">
        <v>6</v>
      </c>
      <c r="D6" s="45" t="s">
        <v>7</v>
      </c>
      <c r="E6" s="45" t="s">
        <v>8</v>
      </c>
      <c r="F6" s="45" t="s">
        <v>9</v>
      </c>
      <c r="G6" s="46" t="s">
        <v>16</v>
      </c>
      <c r="H6" s="10"/>
      <c r="I6" s="32" t="s">
        <v>45</v>
      </c>
      <c r="J6" s="63"/>
    </row>
    <row r="7" spans="1:10" x14ac:dyDescent="0.2">
      <c r="A7" s="65"/>
      <c r="B7" s="62"/>
      <c r="C7" s="33">
        <v>1</v>
      </c>
      <c r="D7" s="29">
        <v>510</v>
      </c>
      <c r="E7" s="29">
        <v>310</v>
      </c>
      <c r="F7" s="29">
        <v>170</v>
      </c>
      <c r="G7" s="30">
        <v>40</v>
      </c>
      <c r="H7" s="10"/>
      <c r="I7" s="27">
        <v>1150</v>
      </c>
      <c r="J7" s="63"/>
    </row>
    <row r="8" spans="1:10" x14ac:dyDescent="0.2">
      <c r="A8" s="65"/>
      <c r="B8" s="62"/>
      <c r="C8" s="34">
        <v>2</v>
      </c>
      <c r="D8" s="10">
        <v>490</v>
      </c>
      <c r="E8" s="10">
        <v>340</v>
      </c>
      <c r="F8" s="10">
        <v>110</v>
      </c>
      <c r="G8" s="31"/>
      <c r="H8" s="10"/>
      <c r="I8" s="27">
        <v>1100</v>
      </c>
      <c r="J8" s="63"/>
    </row>
    <row r="9" spans="1:10" x14ac:dyDescent="0.2">
      <c r="A9" s="65"/>
      <c r="B9" s="62"/>
      <c r="C9" s="34">
        <v>3</v>
      </c>
      <c r="D9" s="10">
        <v>500</v>
      </c>
      <c r="E9" s="10">
        <v>270</v>
      </c>
      <c r="F9" s="10"/>
      <c r="G9" s="31"/>
      <c r="H9" s="10"/>
      <c r="I9" s="27">
        <v>1200</v>
      </c>
      <c r="J9" s="63"/>
    </row>
    <row r="10" spans="1:10" x14ac:dyDescent="0.2">
      <c r="A10" s="65"/>
      <c r="B10" s="62"/>
      <c r="C10" s="35">
        <v>4</v>
      </c>
      <c r="D10" s="36">
        <v>400</v>
      </c>
      <c r="E10" s="36"/>
      <c r="F10" s="36"/>
      <c r="G10" s="37"/>
      <c r="H10" s="10"/>
      <c r="I10" s="28">
        <v>1200</v>
      </c>
      <c r="J10" s="63"/>
    </row>
    <row r="11" spans="1:10" ht="34" customHeight="1" x14ac:dyDescent="0.2">
      <c r="A11" s="65"/>
      <c r="B11" s="62"/>
      <c r="C11" s="35" t="s">
        <v>172</v>
      </c>
      <c r="D11" s="75">
        <v>1.613</v>
      </c>
      <c r="E11" s="76">
        <v>1.17</v>
      </c>
      <c r="F11" s="76">
        <v>1.04</v>
      </c>
      <c r="G11" s="77">
        <v>1</v>
      </c>
      <c r="H11" s="62"/>
      <c r="I11" s="62"/>
      <c r="J11" s="63"/>
    </row>
    <row r="12" spans="1:10" x14ac:dyDescent="0.2">
      <c r="A12" s="65"/>
      <c r="B12" s="62"/>
      <c r="C12" s="62"/>
      <c r="D12" s="62"/>
      <c r="E12" s="62"/>
      <c r="F12" s="62"/>
      <c r="G12" s="62"/>
      <c r="H12" s="62"/>
      <c r="I12" s="62"/>
      <c r="J12" s="63"/>
    </row>
    <row r="13" spans="1:10" x14ac:dyDescent="0.2">
      <c r="A13" s="65"/>
      <c r="B13" s="62"/>
      <c r="C13" s="62"/>
      <c r="D13" s="62"/>
      <c r="E13" s="62"/>
      <c r="F13" s="62"/>
      <c r="G13" s="62"/>
      <c r="H13" s="62"/>
      <c r="I13" s="62"/>
      <c r="J13" s="63"/>
    </row>
    <row r="14" spans="1:10" x14ac:dyDescent="0.2">
      <c r="A14" s="65"/>
      <c r="B14" s="62" t="s">
        <v>46</v>
      </c>
      <c r="C14" s="62"/>
      <c r="D14" s="62"/>
      <c r="E14" s="62"/>
      <c r="F14" s="62"/>
      <c r="G14" s="62"/>
      <c r="H14" s="62"/>
      <c r="I14" s="62"/>
      <c r="J14" s="63"/>
    </row>
    <row r="15" spans="1:10" x14ac:dyDescent="0.2">
      <c r="A15" s="65"/>
      <c r="B15" s="62" t="s">
        <v>47</v>
      </c>
      <c r="C15" s="62"/>
      <c r="D15" s="62"/>
      <c r="E15" s="62"/>
      <c r="F15" s="62"/>
      <c r="G15" s="62"/>
      <c r="H15" s="62"/>
      <c r="I15" s="62"/>
      <c r="J15" s="63"/>
    </row>
    <row r="16" spans="1:10" ht="17" thickBot="1" x14ac:dyDescent="0.25">
      <c r="A16" s="66"/>
      <c r="B16" s="67"/>
      <c r="C16" s="68"/>
      <c r="D16" s="68"/>
      <c r="E16" s="68"/>
      <c r="F16" s="67"/>
      <c r="G16" s="67"/>
      <c r="H16" s="67"/>
      <c r="I16" s="67"/>
      <c r="J16" s="69"/>
    </row>
    <row r="18" spans="1:8" ht="19" x14ac:dyDescent="0.25">
      <c r="A18" s="2" t="s">
        <v>3</v>
      </c>
    </row>
    <row r="19" spans="1:8" x14ac:dyDescent="0.2">
      <c r="A19" s="71" t="s">
        <v>91</v>
      </c>
      <c r="B19" s="5" t="s">
        <v>48</v>
      </c>
      <c r="C19" s="70"/>
    </row>
    <row r="20" spans="1:8" x14ac:dyDescent="0.2">
      <c r="A20" s="71"/>
      <c r="B20" s="5"/>
      <c r="C20" s="70"/>
    </row>
    <row r="21" spans="1:8" x14ac:dyDescent="0.2">
      <c r="A21" s="71"/>
      <c r="B21" s="5"/>
      <c r="C21" s="70"/>
      <c r="D21" s="87"/>
      <c r="E21" s="78">
        <v>1</v>
      </c>
      <c r="F21" s="78">
        <v>2</v>
      </c>
      <c r="G21" s="78">
        <v>3</v>
      </c>
      <c r="H21" s="78">
        <v>4</v>
      </c>
    </row>
    <row r="22" spans="1:8" x14ac:dyDescent="0.2">
      <c r="A22" s="71"/>
      <c r="B22" s="5"/>
      <c r="C22" s="70"/>
      <c r="D22" s="88" t="s">
        <v>13</v>
      </c>
      <c r="E22" s="84">
        <f>D11</f>
        <v>1.613</v>
      </c>
      <c r="F22" s="84">
        <f t="shared" ref="F22:H22" si="0">E11</f>
        <v>1.17</v>
      </c>
      <c r="G22" s="84">
        <f t="shared" si="0"/>
        <v>1.04</v>
      </c>
      <c r="H22" s="84">
        <f t="shared" si="0"/>
        <v>1</v>
      </c>
    </row>
    <row r="23" spans="1:8" x14ac:dyDescent="0.2">
      <c r="A23" s="71"/>
      <c r="B23" s="5"/>
      <c r="C23" s="70"/>
      <c r="D23" s="87" t="s">
        <v>14</v>
      </c>
      <c r="E23" s="174">
        <f>F23*E22</f>
        <v>1.9626983999999998</v>
      </c>
      <c r="F23" s="174">
        <f>G23*F22</f>
        <v>1.2167999999999999</v>
      </c>
      <c r="G23" s="174">
        <f>H23*G22</f>
        <v>1.04</v>
      </c>
      <c r="H23" s="174">
        <f>H22</f>
        <v>1</v>
      </c>
    </row>
    <row r="24" spans="1:8" x14ac:dyDescent="0.2">
      <c r="A24" s="71"/>
      <c r="B24" s="5"/>
      <c r="C24" s="70"/>
      <c r="D24" s="88" t="s">
        <v>19</v>
      </c>
      <c r="E24" s="84">
        <f>1-(1/E23)</f>
        <v>0.49049736831700674</v>
      </c>
      <c r="F24" s="84">
        <f t="shared" ref="F24:H24" si="1">1-(1/F23)</f>
        <v>0.17817225509533197</v>
      </c>
      <c r="G24" s="84">
        <f t="shared" si="1"/>
        <v>3.8461538461538547E-2</v>
      </c>
      <c r="H24" s="84">
        <f t="shared" si="1"/>
        <v>0</v>
      </c>
    </row>
    <row r="25" spans="1:8" x14ac:dyDescent="0.2">
      <c r="A25" s="71"/>
      <c r="B25" s="5"/>
      <c r="C25" s="70"/>
    </row>
    <row r="26" spans="1:8" ht="18" x14ac:dyDescent="0.25">
      <c r="A26" s="71" t="s">
        <v>92</v>
      </c>
      <c r="B26" s="5" t="s">
        <v>138</v>
      </c>
      <c r="C26" s="70"/>
    </row>
    <row r="27" spans="1:8" ht="17" thickBot="1" x14ac:dyDescent="0.25">
      <c r="A27" s="71"/>
      <c r="B27" s="5"/>
      <c r="C27" s="70"/>
    </row>
    <row r="28" spans="1:8" ht="19" thickBot="1" x14ac:dyDescent="0.3">
      <c r="A28" s="71"/>
      <c r="B28" s="5"/>
      <c r="C28" s="169" t="s">
        <v>174</v>
      </c>
      <c r="D28" s="117">
        <v>1</v>
      </c>
    </row>
    <row r="29" spans="1:8" x14ac:dyDescent="0.2">
      <c r="A29" s="71"/>
      <c r="B29" s="5"/>
      <c r="C29" s="70"/>
    </row>
    <row r="30" spans="1:8" ht="18" x14ac:dyDescent="0.25">
      <c r="A30" s="71" t="s">
        <v>93</v>
      </c>
      <c r="B30" s="11" t="s">
        <v>139</v>
      </c>
      <c r="C30" s="70"/>
    </row>
    <row r="31" spans="1:8" x14ac:dyDescent="0.2">
      <c r="A31" s="71"/>
      <c r="B31" s="11"/>
      <c r="C31" s="70"/>
    </row>
    <row r="32" spans="1:8" ht="18" x14ac:dyDescent="0.25">
      <c r="A32" s="71"/>
      <c r="B32" s="64" t="s">
        <v>140</v>
      </c>
      <c r="C32" s="70"/>
    </row>
    <row r="33" spans="1:9" x14ac:dyDescent="0.2">
      <c r="A33" s="71"/>
      <c r="C33" s="70"/>
    </row>
    <row r="34" spans="1:9" x14ac:dyDescent="0.2">
      <c r="A34" s="71"/>
      <c r="B34" s="11"/>
      <c r="C34" s="70"/>
    </row>
    <row r="35" spans="1:9" x14ac:dyDescent="0.2">
      <c r="A35" s="71"/>
      <c r="B35" s="11"/>
      <c r="C35" s="70"/>
    </row>
    <row r="36" spans="1:9" x14ac:dyDescent="0.2">
      <c r="A36" s="71"/>
      <c r="B36" s="11"/>
      <c r="C36" s="70"/>
    </row>
    <row r="37" spans="1:9" ht="17" thickBot="1" x14ac:dyDescent="0.25">
      <c r="A37" s="71"/>
      <c r="B37" s="11"/>
      <c r="C37" s="70"/>
    </row>
    <row r="38" spans="1:9" ht="19" thickBot="1" x14ac:dyDescent="0.3">
      <c r="A38" s="71"/>
      <c r="B38" s="11"/>
      <c r="C38" s="116" t="s">
        <v>141</v>
      </c>
      <c r="D38" s="117">
        <f>1+((I8*G24)/G7)</f>
        <v>2.0576923076923102</v>
      </c>
    </row>
    <row r="39" spans="1:9" x14ac:dyDescent="0.2">
      <c r="A39" s="71"/>
      <c r="B39" s="11"/>
      <c r="C39" s="70"/>
    </row>
    <row r="40" spans="1:9" x14ac:dyDescent="0.2">
      <c r="A40" s="71"/>
      <c r="B40" s="11"/>
      <c r="C40" s="70"/>
    </row>
    <row r="41" spans="1:9" x14ac:dyDescent="0.2">
      <c r="A41" s="71"/>
      <c r="B41" s="19" t="s">
        <v>144</v>
      </c>
      <c r="C41" s="11"/>
      <c r="D41" s="11"/>
      <c r="E41" s="11"/>
      <c r="F41" s="11"/>
      <c r="G41" s="11"/>
      <c r="H41" s="11"/>
      <c r="I41" s="11"/>
    </row>
    <row r="42" spans="1:9" x14ac:dyDescent="0.2">
      <c r="A42" s="71"/>
      <c r="B42" s="11"/>
      <c r="C42" s="11"/>
      <c r="D42" s="11"/>
      <c r="E42" s="11"/>
      <c r="F42" s="11"/>
      <c r="G42" s="11"/>
      <c r="H42" s="11"/>
      <c r="I42" s="11"/>
    </row>
    <row r="43" spans="1:9" x14ac:dyDescent="0.2">
      <c r="A43" s="71"/>
      <c r="B43" s="11"/>
      <c r="C43" s="70"/>
      <c r="G43" s="118"/>
    </row>
    <row r="44" spans="1:9" x14ac:dyDescent="0.2">
      <c r="A44" s="71"/>
      <c r="B44" s="11"/>
      <c r="C44" s="70"/>
      <c r="E44" s="205"/>
      <c r="F44" s="205"/>
    </row>
    <row r="45" spans="1:9" x14ac:dyDescent="0.2">
      <c r="A45" s="71"/>
      <c r="B45" s="11"/>
      <c r="C45" s="70"/>
      <c r="H45"/>
    </row>
    <row r="46" spans="1:9" x14ac:dyDescent="0.2">
      <c r="A46" s="71"/>
      <c r="B46" s="11"/>
      <c r="C46" s="70"/>
    </row>
    <row r="47" spans="1:9" x14ac:dyDescent="0.2">
      <c r="A47" s="71"/>
      <c r="B47" s="71"/>
      <c r="C47" s="14" t="s">
        <v>18</v>
      </c>
      <c r="D47" s="15">
        <v>12</v>
      </c>
      <c r="E47" s="15">
        <v>24</v>
      </c>
      <c r="F47" s="15">
        <v>36</v>
      </c>
      <c r="G47" s="15">
        <v>48</v>
      </c>
    </row>
    <row r="48" spans="1:9" x14ac:dyDescent="0.2">
      <c r="A48" s="71"/>
      <c r="B48" s="71"/>
      <c r="C48" s="16">
        <v>1</v>
      </c>
      <c r="D48" s="175">
        <f>D7</f>
        <v>510</v>
      </c>
      <c r="E48" s="175">
        <f t="shared" ref="E48:G48" si="2">E7</f>
        <v>310</v>
      </c>
      <c r="F48" s="175">
        <f t="shared" si="2"/>
        <v>170</v>
      </c>
      <c r="G48" s="175">
        <f t="shared" si="2"/>
        <v>40</v>
      </c>
    </row>
    <row r="49" spans="1:7" x14ac:dyDescent="0.2">
      <c r="A49" s="71"/>
      <c r="B49" s="71"/>
      <c r="C49" s="16">
        <v>2</v>
      </c>
      <c r="D49" s="175">
        <f t="shared" ref="D49:F49" si="3">D8</f>
        <v>490</v>
      </c>
      <c r="E49" s="175">
        <f t="shared" si="3"/>
        <v>340</v>
      </c>
      <c r="F49" s="176">
        <f t="shared" si="3"/>
        <v>110</v>
      </c>
      <c r="G49" s="179">
        <f>(D38-1)*G7</f>
        <v>42.307692307692406</v>
      </c>
    </row>
    <row r="50" spans="1:7" x14ac:dyDescent="0.2">
      <c r="A50" s="71"/>
      <c r="B50" s="71"/>
      <c r="C50" s="16">
        <v>3</v>
      </c>
      <c r="D50" s="175">
        <f t="shared" ref="D50:E50" si="4">D9</f>
        <v>500</v>
      </c>
      <c r="E50" s="177">
        <f t="shared" si="4"/>
        <v>270</v>
      </c>
      <c r="F50" s="120"/>
      <c r="G50" s="17"/>
    </row>
    <row r="51" spans="1:7" x14ac:dyDescent="0.2">
      <c r="A51" s="71"/>
      <c r="B51" s="71"/>
      <c r="C51" s="16">
        <v>4</v>
      </c>
      <c r="D51" s="178">
        <f>D10</f>
        <v>400</v>
      </c>
      <c r="E51" s="18"/>
      <c r="F51" s="18"/>
      <c r="G51" s="18"/>
    </row>
    <row r="52" spans="1:7" x14ac:dyDescent="0.2">
      <c r="A52" s="71"/>
      <c r="B52" s="11"/>
      <c r="C52" s="70"/>
    </row>
    <row r="53" spans="1:7" ht="18" x14ac:dyDescent="0.25">
      <c r="A53" s="71" t="s">
        <v>94</v>
      </c>
      <c r="B53" s="11" t="s">
        <v>142</v>
      </c>
      <c r="C53" s="70"/>
    </row>
    <row r="54" spans="1:7" x14ac:dyDescent="0.2">
      <c r="A54" s="71"/>
      <c r="B54" s="11"/>
      <c r="C54" s="70"/>
    </row>
    <row r="55" spans="1:7" ht="18" x14ac:dyDescent="0.25">
      <c r="A55" s="71"/>
      <c r="B55" s="19" t="s">
        <v>143</v>
      </c>
      <c r="C55" s="70"/>
    </row>
    <row r="56" spans="1:7" ht="17" thickBot="1" x14ac:dyDescent="0.25">
      <c r="A56" s="71"/>
      <c r="B56" s="11"/>
      <c r="C56" s="70"/>
    </row>
    <row r="57" spans="1:7" ht="19" thickBot="1" x14ac:dyDescent="0.3">
      <c r="A57" s="71"/>
      <c r="B57" s="11"/>
      <c r="C57" s="116" t="s">
        <v>145</v>
      </c>
      <c r="D57" s="180">
        <f>1+I9*F24/SUM(F48:G49)</f>
        <v>1.5901246665577873</v>
      </c>
    </row>
    <row r="58" spans="1:7" x14ac:dyDescent="0.2">
      <c r="A58" s="71"/>
      <c r="B58" s="11"/>
      <c r="C58" s="70"/>
    </row>
    <row r="59" spans="1:7" x14ac:dyDescent="0.2">
      <c r="A59" s="71"/>
      <c r="B59" s="19" t="s">
        <v>146</v>
      </c>
      <c r="C59" s="70"/>
    </row>
    <row r="60" spans="1:7" x14ac:dyDescent="0.2">
      <c r="A60" s="71"/>
      <c r="B60" s="11"/>
      <c r="C60" s="70"/>
    </row>
    <row r="61" spans="1:7" x14ac:dyDescent="0.2">
      <c r="A61" s="71"/>
      <c r="B61" s="11"/>
      <c r="C61" s="173" t="s">
        <v>18</v>
      </c>
      <c r="D61" s="26">
        <v>12</v>
      </c>
      <c r="E61" s="26">
        <v>24</v>
      </c>
      <c r="F61" s="26">
        <v>36</v>
      </c>
      <c r="G61" s="26">
        <v>48</v>
      </c>
    </row>
    <row r="62" spans="1:7" x14ac:dyDescent="0.2">
      <c r="A62" s="71"/>
      <c r="B62" s="11"/>
      <c r="C62" s="16">
        <v>1</v>
      </c>
      <c r="D62" s="175">
        <f>D48</f>
        <v>510</v>
      </c>
      <c r="E62" s="175">
        <f t="shared" ref="E62:G64" si="5">E48</f>
        <v>310</v>
      </c>
      <c r="F62" s="175">
        <f t="shared" si="5"/>
        <v>170</v>
      </c>
      <c r="G62" s="175">
        <f t="shared" si="5"/>
        <v>40</v>
      </c>
    </row>
    <row r="63" spans="1:7" x14ac:dyDescent="0.2">
      <c r="A63" s="71"/>
      <c r="B63" s="11"/>
      <c r="C63" s="16">
        <v>2</v>
      </c>
      <c r="D63" s="175">
        <f t="shared" ref="D63:D65" si="6">D49</f>
        <v>490</v>
      </c>
      <c r="E63" s="175">
        <f t="shared" si="5"/>
        <v>340</v>
      </c>
      <c r="F63" s="177">
        <f t="shared" si="5"/>
        <v>110</v>
      </c>
      <c r="G63" s="183">
        <f t="shared" si="5"/>
        <v>42.307692307692406</v>
      </c>
    </row>
    <row r="64" spans="1:7" x14ac:dyDescent="0.2">
      <c r="A64" s="71"/>
      <c r="B64" s="11"/>
      <c r="C64" s="16">
        <v>3</v>
      </c>
      <c r="D64" s="175">
        <f t="shared" si="6"/>
        <v>500</v>
      </c>
      <c r="E64" s="177">
        <f t="shared" si="5"/>
        <v>270</v>
      </c>
      <c r="F64" s="181">
        <f>(D57-1)*SUM(F48:F49)</f>
        <v>165.23490663618043</v>
      </c>
      <c r="G64" s="182">
        <f>(D57-1)*SUM(G48:G49)</f>
        <v>48.571799478217933</v>
      </c>
    </row>
    <row r="65" spans="1:65" x14ac:dyDescent="0.2">
      <c r="A65" s="71"/>
      <c r="B65" s="11"/>
      <c r="C65" s="16">
        <v>4</v>
      </c>
      <c r="D65" s="178">
        <f t="shared" si="6"/>
        <v>400</v>
      </c>
      <c r="E65" s="18"/>
      <c r="F65" s="18"/>
      <c r="G65" s="18"/>
    </row>
    <row r="66" spans="1:65" x14ac:dyDescent="0.2">
      <c r="A66" s="71"/>
      <c r="B66" s="11"/>
      <c r="C66" s="70"/>
      <c r="E66" s="13"/>
      <c r="F66" s="119"/>
      <c r="G66" s="18"/>
      <c r="H66" s="18"/>
      <c r="I66" s="18"/>
    </row>
    <row r="67" spans="1:65" x14ac:dyDescent="0.2">
      <c r="A67" s="71"/>
      <c r="B67" s="11"/>
      <c r="C67" s="206" t="s">
        <v>148</v>
      </c>
      <c r="D67" s="206"/>
      <c r="E67" s="13"/>
      <c r="F67" s="119"/>
      <c r="G67" s="18"/>
      <c r="H67" s="18"/>
      <c r="I67" s="18"/>
    </row>
    <row r="68" spans="1:65" ht="18" x14ac:dyDescent="0.25">
      <c r="A68" s="71"/>
      <c r="C68" s="26" t="s">
        <v>18</v>
      </c>
      <c r="D68" s="122" t="s">
        <v>147</v>
      </c>
      <c r="E68" s="13"/>
      <c r="F68" s="119"/>
      <c r="G68" s="18"/>
      <c r="H68" s="18"/>
      <c r="I68" s="18"/>
    </row>
    <row r="69" spans="1:65" x14ac:dyDescent="0.2">
      <c r="A69" s="71"/>
      <c r="C69" s="13">
        <v>1</v>
      </c>
      <c r="D69" s="121">
        <f>D28</f>
        <v>1</v>
      </c>
    </row>
    <row r="70" spans="1:65" x14ac:dyDescent="0.2">
      <c r="A70" s="71"/>
      <c r="C70" s="12">
        <v>2</v>
      </c>
      <c r="D70" s="89">
        <f>1+((I8*G24)/G62)</f>
        <v>2.0576923076923102</v>
      </c>
    </row>
    <row r="71" spans="1:65" x14ac:dyDescent="0.2">
      <c r="A71" s="71"/>
      <c r="C71" s="13">
        <v>3</v>
      </c>
      <c r="D71" s="121">
        <f>1+I9*F24/SUM(F62:G63)</f>
        <v>1.5901246665577873</v>
      </c>
    </row>
    <row r="72" spans="1:65" x14ac:dyDescent="0.2">
      <c r="A72" s="71"/>
      <c r="C72" s="13">
        <v>4</v>
      </c>
      <c r="D72" s="121">
        <f>1+I10*E24/SUM(E62:G64)</f>
        <v>1.3934170024706563</v>
      </c>
    </row>
    <row r="73" spans="1:65" x14ac:dyDescent="0.2">
      <c r="C73" s="70"/>
    </row>
    <row r="74" spans="1:65" ht="19" x14ac:dyDescent="0.25">
      <c r="A74" s="2" t="s">
        <v>4</v>
      </c>
    </row>
    <row r="75" spans="1:65" ht="19" x14ac:dyDescent="0.25">
      <c r="A75" s="4"/>
      <c r="B75" s="21" t="s">
        <v>75</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row>
    <row r="76" spans="1:65" ht="18" customHeight="1" x14ac:dyDescent="0.2">
      <c r="A76" s="4"/>
      <c r="B76" s="203" t="s">
        <v>150</v>
      </c>
      <c r="C76" s="203"/>
      <c r="D76" s="203"/>
      <c r="E76" s="203"/>
      <c r="F76" s="203"/>
      <c r="G76" s="203"/>
      <c r="H76" s="203"/>
      <c r="I76" s="203"/>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row>
    <row r="77" spans="1:65" x14ac:dyDescent="0.2">
      <c r="A77" s="4"/>
      <c r="B77" s="203"/>
      <c r="C77" s="203"/>
      <c r="D77" s="203"/>
      <c r="E77" s="203"/>
      <c r="F77" s="203"/>
      <c r="G77" s="203"/>
      <c r="H77" s="203"/>
      <c r="I77" s="203"/>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row>
    <row r="78" spans="1:65" x14ac:dyDescent="0.2">
      <c r="A78" s="4"/>
      <c r="B78" s="203"/>
      <c r="C78" s="203"/>
      <c r="D78" s="203"/>
      <c r="E78" s="203"/>
      <c r="F78" s="203"/>
      <c r="G78" s="203"/>
      <c r="H78" s="203"/>
      <c r="I78" s="203"/>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row>
    <row r="79" spans="1:65" x14ac:dyDescent="0.2">
      <c r="A79" s="4"/>
      <c r="B79" s="110"/>
      <c r="C79" s="110"/>
      <c r="D79" s="110"/>
      <c r="E79" s="110"/>
      <c r="F79" s="110"/>
      <c r="G79" s="110"/>
      <c r="H79" s="110"/>
      <c r="I79" s="110"/>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row>
    <row r="80" spans="1:65" x14ac:dyDescent="0.2">
      <c r="A80" s="4"/>
      <c r="B80" s="203" t="s">
        <v>151</v>
      </c>
      <c r="C80" s="203"/>
      <c r="D80" s="203"/>
      <c r="E80" s="203"/>
      <c r="F80" s="203"/>
      <c r="G80" s="203"/>
      <c r="H80" s="203"/>
      <c r="I80" s="203"/>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row>
    <row r="81" spans="1:65" x14ac:dyDescent="0.2">
      <c r="A81" s="4"/>
      <c r="B81" s="203"/>
      <c r="C81" s="203"/>
      <c r="D81" s="203"/>
      <c r="E81" s="203"/>
      <c r="F81" s="203"/>
      <c r="G81" s="203"/>
      <c r="H81" s="203"/>
      <c r="I81" s="203"/>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row>
    <row r="82" spans="1:65" x14ac:dyDescent="0.2">
      <c r="A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row>
    <row r="83" spans="1:65" ht="18" customHeight="1" x14ac:dyDescent="0.2">
      <c r="A83" s="4"/>
      <c r="B83" s="204" t="s">
        <v>177</v>
      </c>
      <c r="C83" s="203"/>
      <c r="D83" s="203"/>
      <c r="E83" s="203"/>
      <c r="F83" s="203"/>
      <c r="G83" s="203"/>
      <c r="H83" s="203"/>
      <c r="I83" s="203"/>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5" ht="18" customHeight="1" x14ac:dyDescent="0.2">
      <c r="A84" s="4"/>
      <c r="B84" s="203"/>
      <c r="C84" s="203"/>
      <c r="D84" s="203"/>
      <c r="E84" s="203"/>
      <c r="F84" s="203"/>
      <c r="G84" s="203"/>
      <c r="H84" s="203"/>
      <c r="I84" s="203"/>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5" x14ac:dyDescent="0.2">
      <c r="A85" s="4"/>
      <c r="B85" s="203"/>
      <c r="C85" s="203"/>
      <c r="D85" s="203"/>
      <c r="E85" s="203"/>
      <c r="F85" s="203"/>
      <c r="G85" s="203"/>
      <c r="H85" s="203"/>
      <c r="I85" s="203"/>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5" x14ac:dyDescent="0.2">
      <c r="A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5" ht="15.75" customHeight="1" x14ac:dyDescent="0.2">
      <c r="A87" s="4"/>
      <c r="B87" s="64" t="s">
        <v>152</v>
      </c>
      <c r="C87" s="110"/>
      <c r="D87" s="110"/>
      <c r="E87" s="110"/>
      <c r="F87" s="110"/>
      <c r="G87" s="110"/>
      <c r="H87" s="110"/>
      <c r="I87" s="110"/>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5" ht="18" customHeight="1" x14ac:dyDescent="0.2">
      <c r="A88" s="4"/>
      <c r="B88" s="208" t="s">
        <v>160</v>
      </c>
      <c r="C88" s="207"/>
      <c r="D88" s="207"/>
      <c r="E88" s="207"/>
      <c r="F88" s="207"/>
      <c r="G88" s="207"/>
      <c r="H88" s="207"/>
      <c r="I88" s="207"/>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5" x14ac:dyDescent="0.2">
      <c r="A89" s="4"/>
      <c r="B89" s="207"/>
      <c r="C89" s="207"/>
      <c r="D89" s="207"/>
      <c r="E89" s="207"/>
      <c r="F89" s="207"/>
      <c r="G89" s="207"/>
      <c r="H89" s="207"/>
      <c r="I89" s="207"/>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5" ht="18" customHeight="1" x14ac:dyDescent="0.2">
      <c r="A90" s="4"/>
      <c r="B90" s="207" t="s">
        <v>153</v>
      </c>
      <c r="C90" s="207"/>
      <c r="D90" s="207"/>
      <c r="E90" s="207"/>
      <c r="F90" s="207"/>
      <c r="G90" s="207"/>
      <c r="H90" s="207"/>
      <c r="I90" s="207"/>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ht="18" customHeight="1" x14ac:dyDescent="0.2">
      <c r="A91" s="4"/>
      <c r="B91" s="207"/>
      <c r="C91" s="207"/>
      <c r="D91" s="207"/>
      <c r="E91" s="207"/>
      <c r="F91" s="207"/>
      <c r="G91" s="207"/>
      <c r="H91" s="207"/>
      <c r="I91" s="207"/>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4"/>
      <c r="B92" s="207" t="s">
        <v>154</v>
      </c>
      <c r="C92" s="207"/>
      <c r="D92" s="207"/>
      <c r="E92" s="207"/>
      <c r="F92" s="207"/>
      <c r="G92" s="207"/>
      <c r="H92" s="207"/>
      <c r="I92" s="207"/>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4"/>
      <c r="B93" s="207"/>
      <c r="C93" s="207"/>
      <c r="D93" s="207"/>
      <c r="E93" s="207"/>
      <c r="F93" s="207"/>
      <c r="G93" s="207"/>
      <c r="H93" s="207"/>
      <c r="I93" s="207"/>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4"/>
      <c r="B94" s="208" t="s">
        <v>155</v>
      </c>
      <c r="C94" s="207"/>
      <c r="D94" s="207"/>
      <c r="E94" s="207"/>
      <c r="F94" s="207"/>
      <c r="G94" s="207"/>
      <c r="H94" s="207"/>
      <c r="I94" s="207"/>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x14ac:dyDescent="0.2">
      <c r="A95" s="4"/>
      <c r="B95" s="207"/>
      <c r="C95" s="207"/>
      <c r="D95" s="207"/>
      <c r="E95" s="207"/>
      <c r="F95" s="207"/>
      <c r="G95" s="207"/>
      <c r="H95" s="207"/>
      <c r="I95" s="207"/>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x14ac:dyDescent="0.2">
      <c r="A96" s="4"/>
      <c r="B96" s="94"/>
      <c r="C96" s="94"/>
      <c r="D96" s="94"/>
      <c r="E96" s="94"/>
      <c r="F96" s="94"/>
      <c r="G96" s="94"/>
      <c r="H96" s="94"/>
      <c r="I96" s="9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6" ht="19" x14ac:dyDescent="0.25">
      <c r="B97" s="22" t="s">
        <v>71</v>
      </c>
      <c r="L97" s="4"/>
      <c r="M97" s="4"/>
      <c r="N97" s="4"/>
    </row>
    <row r="98" spans="1:66" x14ac:dyDescent="0.2">
      <c r="B98" s="64" t="s">
        <v>72</v>
      </c>
      <c r="M98" s="70"/>
    </row>
    <row r="99" spans="1:66" x14ac:dyDescent="0.2">
      <c r="L99" s="4"/>
      <c r="M99" s="4"/>
      <c r="N99" s="4"/>
    </row>
    <row r="100" spans="1:66" x14ac:dyDescent="0.2">
      <c r="B100" s="203" t="s">
        <v>149</v>
      </c>
      <c r="C100" s="203"/>
      <c r="D100" s="203"/>
      <c r="E100" s="203"/>
      <c r="F100" s="203"/>
      <c r="G100" s="203"/>
      <c r="H100" s="203"/>
      <c r="I100" s="203"/>
      <c r="L100" s="4"/>
      <c r="M100" s="4"/>
      <c r="N100" s="4"/>
    </row>
    <row r="101" spans="1:66" x14ac:dyDescent="0.2">
      <c r="B101" s="203"/>
      <c r="C101" s="203"/>
      <c r="D101" s="203"/>
      <c r="E101" s="203"/>
      <c r="F101" s="203"/>
      <c r="G101" s="203"/>
      <c r="H101" s="203"/>
      <c r="I101" s="203"/>
      <c r="L101" s="4"/>
      <c r="M101" s="4"/>
      <c r="N101" s="4"/>
    </row>
    <row r="102" spans="1:66" x14ac:dyDescent="0.2">
      <c r="B102" s="203"/>
      <c r="C102" s="203"/>
      <c r="D102" s="203"/>
      <c r="E102" s="203"/>
      <c r="F102" s="203"/>
      <c r="G102" s="203"/>
      <c r="H102" s="203"/>
      <c r="I102" s="203"/>
      <c r="L102" s="4"/>
      <c r="M102" s="4"/>
      <c r="N102" s="4"/>
    </row>
    <row r="103" spans="1:66" x14ac:dyDescent="0.2">
      <c r="L103" s="4"/>
      <c r="M103" s="4"/>
      <c r="N103" s="4"/>
    </row>
    <row r="104" spans="1:66" x14ac:dyDescent="0.2">
      <c r="A104" s="71" t="s">
        <v>91</v>
      </c>
      <c r="B104" s="5" t="s">
        <v>96</v>
      </c>
      <c r="L104" s="4"/>
      <c r="M104" s="4"/>
      <c r="N104" s="4"/>
    </row>
    <row r="105" spans="1:66" x14ac:dyDescent="0.2">
      <c r="C105" s="5"/>
      <c r="M105" s="4"/>
      <c r="N105" s="4"/>
      <c r="O105" s="4"/>
    </row>
    <row r="106" spans="1:66" x14ac:dyDescent="0.2">
      <c r="C106" s="79"/>
      <c r="D106" s="80">
        <v>1</v>
      </c>
      <c r="E106" s="80">
        <v>2</v>
      </c>
      <c r="F106" s="80">
        <v>3</v>
      </c>
      <c r="G106" s="80">
        <v>4</v>
      </c>
      <c r="J106" s="4"/>
      <c r="K106" s="4"/>
      <c r="L106" s="4"/>
    </row>
    <row r="107" spans="1:66" x14ac:dyDescent="0.2">
      <c r="C107" s="81" t="s">
        <v>13</v>
      </c>
      <c r="D107" s="82">
        <f>D11</f>
        <v>1.613</v>
      </c>
      <c r="E107" s="82">
        <f>E11</f>
        <v>1.17</v>
      </c>
      <c r="F107" s="82">
        <f>F11</f>
        <v>1.04</v>
      </c>
      <c r="G107" s="83">
        <f>G11</f>
        <v>1</v>
      </c>
      <c r="J107" s="4"/>
      <c r="K107" s="4"/>
      <c r="L107" s="4"/>
    </row>
    <row r="108" spans="1:66" x14ac:dyDescent="0.2">
      <c r="C108" s="79" t="s">
        <v>14</v>
      </c>
      <c r="D108" s="174">
        <f>E108*D107</f>
        <v>1.9626983999999998</v>
      </c>
      <c r="E108" s="174">
        <f>F108*E107</f>
        <v>1.2167999999999999</v>
      </c>
      <c r="F108" s="80">
        <f>G108*F107</f>
        <v>1.04</v>
      </c>
      <c r="G108" s="184">
        <f>G107</f>
        <v>1</v>
      </c>
      <c r="J108" s="4"/>
      <c r="K108" s="4"/>
      <c r="L108" s="4"/>
    </row>
    <row r="109" spans="1:66" x14ac:dyDescent="0.2">
      <c r="C109" s="81" t="s">
        <v>73</v>
      </c>
      <c r="D109" s="84">
        <f>1/D108</f>
        <v>0.50950263168299326</v>
      </c>
      <c r="E109" s="84">
        <f t="shared" ref="E109:G109" si="7">1/E108</f>
        <v>0.82182774490466803</v>
      </c>
      <c r="F109" s="84">
        <f t="shared" si="7"/>
        <v>0.96153846153846145</v>
      </c>
      <c r="G109" s="84">
        <f t="shared" si="7"/>
        <v>1</v>
      </c>
      <c r="K109" s="70"/>
    </row>
    <row r="110" spans="1:66" x14ac:dyDescent="0.2">
      <c r="A110" s="4"/>
      <c r="B110" s="4"/>
      <c r="C110" s="81" t="s">
        <v>74</v>
      </c>
      <c r="D110" s="84">
        <f>D109</f>
        <v>0.50950263168299326</v>
      </c>
      <c r="E110" s="84">
        <f>E109-D109</f>
        <v>0.31232511322167478</v>
      </c>
      <c r="F110" s="84">
        <f t="shared" ref="F110:G110" si="8">F109-E109</f>
        <v>0.13971071663379342</v>
      </c>
      <c r="G110" s="86">
        <f t="shared" si="8"/>
        <v>3.8461538461538547E-2</v>
      </c>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row>
    <row r="111" spans="1:6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x14ac:dyDescent="0.2">
      <c r="A112" s="71" t="s">
        <v>92</v>
      </c>
      <c r="B112" s="202" t="s">
        <v>158</v>
      </c>
      <c r="C112" s="202"/>
      <c r="D112" s="202"/>
      <c r="E112" s="202"/>
      <c r="F112" s="202"/>
      <c r="G112" s="202"/>
      <c r="H112" s="202"/>
      <c r="I112" s="202"/>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6" x14ac:dyDescent="0.2">
      <c r="A113" s="4"/>
      <c r="B113" s="202"/>
      <c r="C113" s="202"/>
      <c r="D113" s="202"/>
      <c r="E113" s="202"/>
      <c r="F113" s="202"/>
      <c r="G113" s="202"/>
      <c r="H113" s="202"/>
      <c r="I113" s="202"/>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6" x14ac:dyDescent="0.2">
      <c r="A114" s="4"/>
      <c r="B114" s="202"/>
      <c r="C114" s="202"/>
      <c r="D114" s="202"/>
      <c r="E114" s="202"/>
      <c r="F114" s="202"/>
      <c r="G114" s="202"/>
      <c r="H114" s="202"/>
      <c r="I114" s="202"/>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row>
    <row r="118" spans="1:66" x14ac:dyDescent="0.2">
      <c r="A118" s="4"/>
      <c r="B118" s="4"/>
      <c r="C118" s="24" t="s">
        <v>18</v>
      </c>
      <c r="D118" s="25">
        <v>1</v>
      </c>
      <c r="E118" s="25">
        <v>2</v>
      </c>
      <c r="F118" s="25">
        <v>3</v>
      </c>
      <c r="G118" s="25">
        <v>4</v>
      </c>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row>
    <row r="119" spans="1:66" x14ac:dyDescent="0.2">
      <c r="A119" s="4"/>
      <c r="B119" s="4"/>
      <c r="C119" s="23">
        <v>1</v>
      </c>
      <c r="D119" s="175">
        <f>D7</f>
        <v>510</v>
      </c>
      <c r="E119" s="175">
        <f>E7</f>
        <v>310</v>
      </c>
      <c r="F119" s="175">
        <f>F7</f>
        <v>170</v>
      </c>
      <c r="G119" s="175">
        <f>G7</f>
        <v>40</v>
      </c>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row>
    <row r="120" spans="1:66" x14ac:dyDescent="0.2">
      <c r="A120" s="4"/>
      <c r="B120" s="4"/>
      <c r="C120" s="23">
        <v>2</v>
      </c>
      <c r="D120" s="175">
        <f>D8</f>
        <v>490</v>
      </c>
      <c r="E120" s="175">
        <f>E8</f>
        <v>340</v>
      </c>
      <c r="F120" s="175">
        <f>F8</f>
        <v>110</v>
      </c>
      <c r="G120" s="187">
        <f>$I8*G$110</f>
        <v>42.307692307692399</v>
      </c>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row>
    <row r="121" spans="1:66" x14ac:dyDescent="0.2">
      <c r="A121" s="4"/>
      <c r="B121" s="4"/>
      <c r="C121" s="23">
        <v>3</v>
      </c>
      <c r="D121" s="175">
        <f>D9</f>
        <v>500</v>
      </c>
      <c r="E121" s="175">
        <f>E9</f>
        <v>270</v>
      </c>
      <c r="F121" s="187">
        <f>$I9*F$110</f>
        <v>167.65285996055209</v>
      </c>
      <c r="G121" s="188">
        <f>$I9*G$110</f>
        <v>46.15384615384626</v>
      </c>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row>
    <row r="122" spans="1:66" x14ac:dyDescent="0.2">
      <c r="A122" s="4"/>
      <c r="B122" s="4"/>
      <c r="C122" s="23">
        <v>4</v>
      </c>
      <c r="D122" s="175">
        <f>D10</f>
        <v>400</v>
      </c>
      <c r="E122" s="185">
        <f>$I10*E$110</f>
        <v>374.79013586600973</v>
      </c>
      <c r="F122" s="186">
        <f>$I10*F$110</f>
        <v>167.65285996055209</v>
      </c>
      <c r="G122" s="186">
        <f>$I10*G$110</f>
        <v>46.15384615384626</v>
      </c>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row>
    <row r="123" spans="1:6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x14ac:dyDescent="0.2">
      <c r="A124" s="71" t="s">
        <v>93</v>
      </c>
      <c r="B124" s="5" t="s">
        <v>95</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6" x14ac:dyDescent="0.2">
      <c r="A125" s="4"/>
      <c r="B125" s="4"/>
      <c r="C125" s="4"/>
      <c r="D125" s="4"/>
      <c r="E125" s="4"/>
      <c r="F125" s="4"/>
      <c r="G125" s="4"/>
      <c r="H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6" x14ac:dyDescent="0.2">
      <c r="A126" s="4"/>
      <c r="B126" s="4"/>
      <c r="C126" s="4"/>
      <c r="D126" s="4"/>
      <c r="E126" s="4"/>
      <c r="H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6" x14ac:dyDescent="0.2">
      <c r="A127" s="4"/>
      <c r="B127" s="4"/>
      <c r="C127" s="4"/>
      <c r="D127" s="4"/>
      <c r="E127" s="4"/>
      <c r="H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6" x14ac:dyDescent="0.2">
      <c r="A128" s="4"/>
      <c r="B128" s="4"/>
      <c r="C128" s="4"/>
      <c r="D128" s="4"/>
      <c r="E128" s="4"/>
      <c r="H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ht="18" x14ac:dyDescent="0.25">
      <c r="A129" s="4"/>
      <c r="B129" s="4"/>
      <c r="C129" s="87" t="s">
        <v>18</v>
      </c>
      <c r="D129" s="26" t="s">
        <v>159</v>
      </c>
      <c r="E129" s="4"/>
      <c r="H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88">
        <v>1</v>
      </c>
      <c r="D130" s="89">
        <v>1</v>
      </c>
      <c r="E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88">
        <v>2</v>
      </c>
      <c r="D131" s="89">
        <f>1+G120/G119</f>
        <v>2.0576923076923102</v>
      </c>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88">
        <v>3</v>
      </c>
      <c r="D132" s="89">
        <f>1+SUM(F121:G121)/SUM(F119:G120)</f>
        <v>1.5901246665577873</v>
      </c>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88">
        <v>4</v>
      </c>
      <c r="D133" s="89">
        <f>1+SUM(E122:G122)/SUM(E119:G121)</f>
        <v>1.3934170024706563</v>
      </c>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5" t="s">
        <v>175</v>
      </c>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204" t="s">
        <v>176</v>
      </c>
      <c r="C136" s="203"/>
      <c r="D136" s="203"/>
      <c r="E136" s="203"/>
      <c r="F136" s="203"/>
      <c r="G136" s="203"/>
      <c r="H136" s="203"/>
      <c r="I136" s="203"/>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203"/>
      <c r="C137" s="203"/>
      <c r="D137" s="203"/>
      <c r="E137" s="203"/>
      <c r="F137" s="203"/>
      <c r="G137" s="203"/>
      <c r="H137" s="203"/>
      <c r="I137" s="203"/>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94"/>
      <c r="C138" s="94"/>
      <c r="D138" s="94"/>
      <c r="E138" s="94"/>
      <c r="F138" s="94"/>
      <c r="G138" s="94"/>
      <c r="H138" s="94"/>
      <c r="I138" s="9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ht="19" x14ac:dyDescent="0.25">
      <c r="A139" s="2" t="s">
        <v>53</v>
      </c>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64" t="s">
        <v>76</v>
      </c>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ht="19" x14ac:dyDescent="0.25">
      <c r="A142" s="2" t="s">
        <v>77</v>
      </c>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64" t="s">
        <v>78</v>
      </c>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sheetData>
  <mergeCells count="13">
    <mergeCell ref="B100:I102"/>
    <mergeCell ref="B112:I114"/>
    <mergeCell ref="B136:I137"/>
    <mergeCell ref="B76:I78"/>
    <mergeCell ref="C5:G5"/>
    <mergeCell ref="E44:F44"/>
    <mergeCell ref="C67:D67"/>
    <mergeCell ref="B92:I93"/>
    <mergeCell ref="B94:I95"/>
    <mergeCell ref="B80:I81"/>
    <mergeCell ref="B83:I85"/>
    <mergeCell ref="B88:I89"/>
    <mergeCell ref="B90:I9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197"/>
  <sheetViews>
    <sheetView showGridLines="0" zoomScale="120" zoomScaleNormal="120" workbookViewId="0"/>
  </sheetViews>
  <sheetFormatPr baseColWidth="10" defaultColWidth="10.83203125" defaultRowHeight="16" x14ac:dyDescent="0.2"/>
  <cols>
    <col min="1" max="10" width="10.83203125" style="64" customWidth="1"/>
    <col min="11" max="16384" width="10.83203125" style="64"/>
  </cols>
  <sheetData>
    <row r="1" spans="1:10" ht="19" x14ac:dyDescent="0.25">
      <c r="A1" s="1" t="s">
        <v>90</v>
      </c>
      <c r="B1" s="62"/>
      <c r="C1" s="62"/>
      <c r="D1" s="62"/>
      <c r="E1" s="62"/>
      <c r="F1" s="62"/>
      <c r="G1" s="62"/>
      <c r="H1" s="62"/>
      <c r="I1" s="62"/>
      <c r="J1" s="63"/>
    </row>
    <row r="2" spans="1:10" x14ac:dyDescent="0.2">
      <c r="A2" s="65"/>
      <c r="B2" s="62"/>
      <c r="C2" s="62"/>
      <c r="D2" s="62"/>
      <c r="E2" s="62"/>
      <c r="F2" s="62"/>
      <c r="G2" s="62"/>
      <c r="H2" s="62"/>
      <c r="I2" s="62"/>
      <c r="J2" s="63"/>
    </row>
    <row r="3" spans="1:10" x14ac:dyDescent="0.2">
      <c r="A3" s="65"/>
      <c r="B3" s="62" t="s">
        <v>49</v>
      </c>
      <c r="C3" s="62"/>
      <c r="D3" s="62"/>
      <c r="E3" s="62"/>
      <c r="F3" s="62"/>
      <c r="G3" s="62"/>
      <c r="H3" s="62"/>
      <c r="I3" s="62"/>
      <c r="J3" s="63"/>
    </row>
    <row r="4" spans="1:10" x14ac:dyDescent="0.2">
      <c r="A4" s="65"/>
      <c r="B4" s="62"/>
      <c r="C4" s="62"/>
      <c r="D4" s="62"/>
      <c r="E4" s="62"/>
      <c r="F4" s="62"/>
      <c r="G4" s="62"/>
      <c r="H4" s="62"/>
      <c r="I4" s="62"/>
      <c r="J4" s="63"/>
    </row>
    <row r="5" spans="1:10" x14ac:dyDescent="0.2">
      <c r="A5" s="65"/>
      <c r="B5" s="62"/>
      <c r="C5" s="198" t="s">
        <v>20</v>
      </c>
      <c r="D5" s="199"/>
      <c r="E5" s="199"/>
      <c r="F5" s="199"/>
      <c r="G5" s="200"/>
      <c r="H5" s="62"/>
      <c r="I5" s="62"/>
      <c r="J5" s="63"/>
    </row>
    <row r="6" spans="1:10" ht="36" x14ac:dyDescent="0.25">
      <c r="A6" s="65"/>
      <c r="B6" s="62"/>
      <c r="C6" s="32" t="s">
        <v>6</v>
      </c>
      <c r="D6" s="45" t="s">
        <v>7</v>
      </c>
      <c r="E6" s="45" t="s">
        <v>8</v>
      </c>
      <c r="F6" s="45" t="s">
        <v>9</v>
      </c>
      <c r="G6" s="46" t="s">
        <v>16</v>
      </c>
      <c r="H6" s="62"/>
      <c r="I6" s="61" t="s">
        <v>161</v>
      </c>
      <c r="J6" s="63"/>
    </row>
    <row r="7" spans="1:10" x14ac:dyDescent="0.2">
      <c r="A7" s="65"/>
      <c r="B7" s="62"/>
      <c r="C7" s="33">
        <v>2020</v>
      </c>
      <c r="D7" s="38">
        <v>400</v>
      </c>
      <c r="E7" s="38">
        <v>140</v>
      </c>
      <c r="F7" s="38">
        <v>60</v>
      </c>
      <c r="G7" s="30">
        <v>30</v>
      </c>
      <c r="H7" s="62"/>
      <c r="I7" s="59">
        <v>1</v>
      </c>
      <c r="J7" s="63"/>
    </row>
    <row r="8" spans="1:10" x14ac:dyDescent="0.2">
      <c r="A8" s="65"/>
      <c r="B8" s="62"/>
      <c r="C8" s="34">
        <v>2021</v>
      </c>
      <c r="D8" s="39">
        <v>450</v>
      </c>
      <c r="E8" s="39">
        <v>100</v>
      </c>
      <c r="F8" s="39">
        <v>50</v>
      </c>
      <c r="G8" s="31"/>
      <c r="H8" s="62"/>
      <c r="I8" s="59">
        <v>2.3490000000000002</v>
      </c>
      <c r="J8" s="63"/>
    </row>
    <row r="9" spans="1:10" x14ac:dyDescent="0.2">
      <c r="A9" s="65"/>
      <c r="B9" s="62"/>
      <c r="C9" s="34">
        <v>2022</v>
      </c>
      <c r="D9" s="39">
        <v>420</v>
      </c>
      <c r="E9" s="39">
        <v>130</v>
      </c>
      <c r="F9" s="10"/>
      <c r="G9" s="31"/>
      <c r="H9" s="62"/>
      <c r="I9" s="59">
        <v>1.635</v>
      </c>
      <c r="J9" s="63"/>
    </row>
    <row r="10" spans="1:10" x14ac:dyDescent="0.2">
      <c r="A10" s="65"/>
      <c r="B10" s="62"/>
      <c r="C10" s="35">
        <v>2023</v>
      </c>
      <c r="D10" s="40">
        <v>430</v>
      </c>
      <c r="E10" s="36"/>
      <c r="F10" s="36"/>
      <c r="G10" s="37"/>
      <c r="H10" s="62"/>
      <c r="I10" s="60">
        <v>1.4339999999999999</v>
      </c>
      <c r="J10" s="63"/>
    </row>
    <row r="11" spans="1:10" x14ac:dyDescent="0.2">
      <c r="A11" s="65"/>
      <c r="B11" s="62"/>
      <c r="C11" s="62"/>
      <c r="D11" s="62"/>
      <c r="E11" s="62"/>
      <c r="F11" s="62"/>
      <c r="G11" s="62"/>
      <c r="H11" s="62"/>
      <c r="I11" s="62"/>
      <c r="J11" s="63"/>
    </row>
    <row r="12" spans="1:10" x14ac:dyDescent="0.2">
      <c r="A12" s="65"/>
      <c r="B12" s="125" t="s">
        <v>84</v>
      </c>
      <c r="C12" s="62"/>
      <c r="D12" s="62"/>
      <c r="E12" s="62"/>
      <c r="F12" s="62"/>
      <c r="G12" s="62"/>
      <c r="H12" s="62"/>
      <c r="I12" s="62"/>
      <c r="J12" s="63"/>
    </row>
    <row r="13" spans="1:10" x14ac:dyDescent="0.2">
      <c r="A13" s="65"/>
      <c r="B13" s="72" t="s">
        <v>85</v>
      </c>
      <c r="C13" s="62"/>
      <c r="D13" s="62"/>
      <c r="E13" s="62"/>
      <c r="F13" s="62"/>
      <c r="G13" s="62"/>
      <c r="H13" s="62"/>
      <c r="I13" s="62"/>
      <c r="J13" s="63"/>
    </row>
    <row r="14" spans="1:10" x14ac:dyDescent="0.2">
      <c r="A14" s="65"/>
      <c r="B14" s="62"/>
      <c r="C14" s="62"/>
      <c r="D14" s="62"/>
      <c r="E14" s="62"/>
      <c r="F14" s="62"/>
      <c r="G14" s="62"/>
      <c r="H14" s="62"/>
      <c r="I14" s="62"/>
      <c r="J14" s="63"/>
    </row>
    <row r="15" spans="1:10" x14ac:dyDescent="0.2">
      <c r="A15" s="65"/>
      <c r="B15" s="62"/>
      <c r="C15" s="62"/>
      <c r="D15" s="62"/>
      <c r="E15" s="62"/>
      <c r="F15" s="62"/>
      <c r="G15" s="62"/>
      <c r="H15" s="62"/>
      <c r="I15" s="62"/>
      <c r="J15" s="63"/>
    </row>
    <row r="16" spans="1:10" x14ac:dyDescent="0.2">
      <c r="A16" s="65"/>
      <c r="B16" s="62" t="s">
        <v>162</v>
      </c>
      <c r="C16" s="62"/>
      <c r="D16" s="62"/>
      <c r="E16" s="62"/>
      <c r="F16" s="62"/>
      <c r="G16" s="62"/>
      <c r="H16" s="62"/>
      <c r="I16" s="62"/>
      <c r="J16" s="63"/>
    </row>
    <row r="17" spans="1:12" ht="17" thickBot="1" x14ac:dyDescent="0.25">
      <c r="A17" s="66"/>
      <c r="B17" s="67"/>
      <c r="C17" s="68"/>
      <c r="D17" s="68"/>
      <c r="E17" s="68"/>
      <c r="F17" s="67"/>
      <c r="G17" s="67"/>
      <c r="H17" s="67"/>
      <c r="I17" s="67"/>
      <c r="J17" s="69"/>
    </row>
    <row r="19" spans="1:12" ht="19" x14ac:dyDescent="0.25">
      <c r="A19" s="2" t="s">
        <v>3</v>
      </c>
    </row>
    <row r="20" spans="1:12" ht="18" customHeight="1" x14ac:dyDescent="0.2">
      <c r="A20" s="71" t="s">
        <v>91</v>
      </c>
      <c r="B20" s="202" t="s">
        <v>156</v>
      </c>
      <c r="C20" s="202"/>
      <c r="D20" s="202"/>
      <c r="E20" s="202"/>
      <c r="F20" s="202"/>
      <c r="G20" s="202"/>
      <c r="H20" s="202"/>
      <c r="I20" s="202"/>
    </row>
    <row r="21" spans="1:12" ht="19" x14ac:dyDescent="0.25">
      <c r="A21" s="2"/>
      <c r="B21" s="202"/>
      <c r="C21" s="202"/>
      <c r="D21" s="202"/>
      <c r="E21" s="202"/>
      <c r="F21" s="202"/>
      <c r="G21" s="202"/>
      <c r="H21" s="202"/>
      <c r="I21" s="202"/>
    </row>
    <row r="22" spans="1:12" ht="19" x14ac:dyDescent="0.25">
      <c r="A22" s="2"/>
      <c r="B22" s="93"/>
      <c r="C22" s="93"/>
      <c r="D22" s="93"/>
      <c r="E22" s="93"/>
      <c r="F22" s="93"/>
      <c r="G22" s="93"/>
      <c r="H22" s="93"/>
      <c r="I22" s="93"/>
    </row>
    <row r="23" spans="1:12" ht="19" x14ac:dyDescent="0.25">
      <c r="A23" s="2"/>
      <c r="B23" s="93"/>
      <c r="C23" s="93"/>
      <c r="D23" s="93"/>
      <c r="E23" s="93"/>
      <c r="G23" s="93"/>
      <c r="H23" s="93"/>
      <c r="I23" s="93"/>
    </row>
    <row r="24" spans="1:12" ht="19" x14ac:dyDescent="0.25">
      <c r="A24" s="2"/>
      <c r="F24" s="209"/>
      <c r="G24" s="209"/>
    </row>
    <row r="25" spans="1:12" ht="19" x14ac:dyDescent="0.25">
      <c r="A25" s="2"/>
      <c r="B25" s="2"/>
    </row>
    <row r="26" spans="1:12" x14ac:dyDescent="0.2">
      <c r="C26" s="14" t="s">
        <v>18</v>
      </c>
      <c r="D26" s="15">
        <v>12</v>
      </c>
      <c r="E26" s="15">
        <v>24</v>
      </c>
      <c r="F26" s="15">
        <v>36</v>
      </c>
      <c r="G26" s="15">
        <v>48</v>
      </c>
      <c r="H26" s="73"/>
      <c r="I26" s="13"/>
      <c r="L26" s="4"/>
    </row>
    <row r="27" spans="1:12" x14ac:dyDescent="0.2">
      <c r="C27" s="16">
        <v>2020</v>
      </c>
      <c r="D27" s="124">
        <f>D7</f>
        <v>400</v>
      </c>
      <c r="E27" s="124">
        <f t="shared" ref="E27:G27" si="0">E7</f>
        <v>140</v>
      </c>
      <c r="F27" s="124">
        <f t="shared" si="0"/>
        <v>60</v>
      </c>
      <c r="G27" s="124">
        <f t="shared" si="0"/>
        <v>30</v>
      </c>
      <c r="H27" s="73"/>
      <c r="L27" s="4"/>
    </row>
    <row r="28" spans="1:12" x14ac:dyDescent="0.2">
      <c r="C28" s="16">
        <v>2021</v>
      </c>
      <c r="D28" s="124">
        <f t="shared" ref="D28:F29" si="1">D8</f>
        <v>450</v>
      </c>
      <c r="E28" s="124">
        <f t="shared" si="1"/>
        <v>100</v>
      </c>
      <c r="F28" s="124">
        <f t="shared" si="1"/>
        <v>50</v>
      </c>
      <c r="G28" s="171">
        <f>G27*(I8-1)</f>
        <v>40.470000000000006</v>
      </c>
      <c r="H28" s="73"/>
      <c r="L28" s="4"/>
    </row>
    <row r="29" spans="1:12" x14ac:dyDescent="0.2">
      <c r="C29" s="16">
        <v>2022</v>
      </c>
      <c r="D29" s="124">
        <f t="shared" si="1"/>
        <v>420</v>
      </c>
      <c r="E29" s="124">
        <f t="shared" si="1"/>
        <v>130</v>
      </c>
      <c r="F29" s="171">
        <f>SUM(F27:F28)*($I9-1)</f>
        <v>69.849999999999994</v>
      </c>
      <c r="G29" s="172">
        <f>SUM(G27:G28)*($I9-1)</f>
        <v>44.748449999999998</v>
      </c>
      <c r="H29" s="73"/>
      <c r="L29" s="4"/>
    </row>
    <row r="30" spans="1:12" x14ac:dyDescent="0.2">
      <c r="C30" s="16">
        <v>2023</v>
      </c>
      <c r="D30" s="124">
        <f>D10</f>
        <v>430</v>
      </c>
      <c r="E30" s="171">
        <f>($I$10-1)*SUM(E27:E29)</f>
        <v>160.57999999999998</v>
      </c>
      <c r="F30" s="172">
        <f>($I$10-1)*SUM(F27:F29)</f>
        <v>78.054899999999989</v>
      </c>
      <c r="G30" s="172">
        <f>($I$10-1)*SUM(G27:G29)</f>
        <v>50.004807299999989</v>
      </c>
      <c r="H30" s="73"/>
      <c r="L30" s="4"/>
    </row>
    <row r="31" spans="1:12" x14ac:dyDescent="0.2">
      <c r="B31" s="13"/>
      <c r="C31" s="124"/>
      <c r="D31" s="123"/>
      <c r="E31" s="123"/>
      <c r="F31" s="123"/>
      <c r="G31" s="73"/>
      <c r="K31" s="4"/>
    </row>
    <row r="32" spans="1:12" x14ac:dyDescent="0.2">
      <c r="A32" s="71" t="s">
        <v>92</v>
      </c>
      <c r="B32" s="202" t="s">
        <v>180</v>
      </c>
      <c r="C32" s="202"/>
      <c r="D32" s="202"/>
      <c r="E32" s="202"/>
      <c r="F32" s="202"/>
      <c r="G32" s="202"/>
      <c r="H32" s="202"/>
      <c r="I32" s="202"/>
      <c r="K32" s="4"/>
    </row>
    <row r="33" spans="1:11" ht="19" x14ac:dyDescent="0.25">
      <c r="A33" s="2"/>
      <c r="B33" s="202"/>
      <c r="C33" s="202"/>
      <c r="D33" s="202"/>
      <c r="E33" s="202"/>
      <c r="F33" s="202"/>
      <c r="G33" s="202"/>
      <c r="H33" s="202"/>
      <c r="I33" s="202"/>
      <c r="K33" s="4"/>
    </row>
    <row r="34" spans="1:11" ht="20" thickBot="1" x14ac:dyDescent="0.3">
      <c r="A34" s="2"/>
      <c r="B34" s="93"/>
      <c r="C34" s="93"/>
      <c r="D34" s="93"/>
      <c r="E34" s="93"/>
      <c r="F34" s="93"/>
      <c r="G34" s="93"/>
      <c r="H34" s="93"/>
      <c r="I34" s="93"/>
      <c r="K34" s="4"/>
    </row>
    <row r="35" spans="1:11" ht="19" thickBot="1" x14ac:dyDescent="0.3">
      <c r="B35" s="3"/>
      <c r="C35" s="212" t="s">
        <v>173</v>
      </c>
      <c r="D35" s="213"/>
      <c r="E35" s="170">
        <f>SUM(D30:G30)</f>
        <v>718.63970729999994</v>
      </c>
    </row>
    <row r="37" spans="1:11" ht="19" x14ac:dyDescent="0.25">
      <c r="A37" s="2" t="s">
        <v>4</v>
      </c>
    </row>
    <row r="38" spans="1:11" ht="18" customHeight="1" x14ac:dyDescent="0.2">
      <c r="B38" s="210" t="s">
        <v>178</v>
      </c>
      <c r="C38" s="211"/>
      <c r="D38" s="211"/>
      <c r="E38" s="211"/>
      <c r="F38" s="211"/>
      <c r="G38" s="211"/>
      <c r="H38" s="211"/>
      <c r="I38" s="211"/>
    </row>
    <row r="39" spans="1:11" ht="18" customHeight="1" x14ac:dyDescent="0.2">
      <c r="B39" s="210"/>
      <c r="C39" s="211"/>
      <c r="D39" s="211"/>
      <c r="E39" s="211"/>
      <c r="F39" s="211"/>
      <c r="G39" s="211"/>
      <c r="H39" s="211"/>
      <c r="I39" s="211"/>
    </row>
    <row r="40" spans="1:11" x14ac:dyDescent="0.2">
      <c r="B40" s="211"/>
      <c r="C40" s="211"/>
      <c r="D40" s="211"/>
      <c r="E40" s="211"/>
      <c r="F40" s="211"/>
      <c r="G40" s="211"/>
      <c r="H40" s="211"/>
      <c r="I40" s="211"/>
    </row>
    <row r="41" spans="1:11" x14ac:dyDescent="0.2">
      <c r="B41" s="211"/>
      <c r="C41" s="211"/>
      <c r="D41" s="211"/>
      <c r="E41" s="211"/>
      <c r="F41" s="211"/>
      <c r="G41" s="211"/>
      <c r="H41" s="211"/>
      <c r="I41" s="211"/>
    </row>
    <row r="42" spans="1:11" x14ac:dyDescent="0.2">
      <c r="B42" s="211"/>
      <c r="C42" s="211"/>
      <c r="D42" s="211"/>
      <c r="E42" s="211"/>
      <c r="F42" s="211"/>
      <c r="G42" s="211"/>
      <c r="H42" s="211"/>
      <c r="I42" s="211"/>
    </row>
    <row r="43" spans="1:11" x14ac:dyDescent="0.2">
      <c r="B43" s="211"/>
      <c r="C43" s="211"/>
      <c r="D43" s="211"/>
      <c r="E43" s="211"/>
      <c r="F43" s="211"/>
      <c r="G43" s="211"/>
      <c r="H43" s="211"/>
      <c r="I43" s="211"/>
    </row>
    <row r="44" spans="1:11" x14ac:dyDescent="0.2">
      <c r="B44" s="211"/>
      <c r="C44" s="211"/>
      <c r="D44" s="211"/>
      <c r="E44" s="211"/>
      <c r="F44" s="211"/>
      <c r="G44" s="211"/>
      <c r="H44" s="211"/>
      <c r="I44" s="211"/>
    </row>
    <row r="45" spans="1:11" x14ac:dyDescent="0.2">
      <c r="B45" s="211"/>
      <c r="C45" s="211"/>
      <c r="D45" s="211"/>
      <c r="E45" s="211"/>
      <c r="F45" s="211"/>
      <c r="G45" s="211"/>
      <c r="H45" s="211"/>
      <c r="I45" s="211"/>
    </row>
    <row r="46" spans="1:11" x14ac:dyDescent="0.2">
      <c r="B46" s="211"/>
      <c r="C46" s="211"/>
      <c r="D46" s="211"/>
      <c r="E46" s="211"/>
      <c r="F46" s="211"/>
      <c r="G46" s="211"/>
      <c r="H46" s="211"/>
      <c r="I46" s="211"/>
    </row>
    <row r="47" spans="1:11" x14ac:dyDescent="0.2">
      <c r="B47" s="211"/>
      <c r="C47" s="211"/>
      <c r="D47" s="211"/>
      <c r="E47" s="211"/>
      <c r="F47" s="211"/>
      <c r="G47" s="211"/>
      <c r="H47" s="211"/>
      <c r="I47" s="211"/>
    </row>
    <row r="48" spans="1:11" x14ac:dyDescent="0.2">
      <c r="B48" s="211"/>
      <c r="C48" s="211"/>
      <c r="D48" s="211"/>
      <c r="E48" s="211"/>
      <c r="F48" s="211"/>
      <c r="G48" s="211"/>
      <c r="H48" s="211"/>
      <c r="I48" s="211"/>
    </row>
    <row r="50" spans="1:14" ht="19" x14ac:dyDescent="0.25">
      <c r="A50" s="2" t="s">
        <v>53</v>
      </c>
    </row>
    <row r="51" spans="1:14" x14ac:dyDescent="0.2">
      <c r="B51" s="64" t="s">
        <v>76</v>
      </c>
    </row>
    <row r="53" spans="1:14" ht="19" x14ac:dyDescent="0.25">
      <c r="A53" s="2" t="s">
        <v>55</v>
      </c>
    </row>
    <row r="54" spans="1:14" x14ac:dyDescent="0.2">
      <c r="A54" s="3"/>
      <c r="B54" s="64" t="s">
        <v>79</v>
      </c>
      <c r="C54" s="70"/>
    </row>
    <row r="55" spans="1:14" x14ac:dyDescent="0.2">
      <c r="M55" s="70"/>
    </row>
    <row r="56" spans="1:14" x14ac:dyDescent="0.2">
      <c r="L56" s="4"/>
      <c r="M56" s="4"/>
      <c r="N56" s="4"/>
    </row>
    <row r="57" spans="1:14" x14ac:dyDescent="0.2">
      <c r="L57" s="4"/>
      <c r="M57" s="4"/>
      <c r="N57" s="4"/>
    </row>
    <row r="58" spans="1:14" x14ac:dyDescent="0.2">
      <c r="L58" s="4"/>
      <c r="M58" s="4"/>
      <c r="N58" s="4"/>
    </row>
    <row r="59" spans="1:14" x14ac:dyDescent="0.2">
      <c r="L59" s="4"/>
      <c r="M59" s="4"/>
      <c r="N59" s="4"/>
    </row>
    <row r="60" spans="1:14" x14ac:dyDescent="0.2">
      <c r="L60" s="4"/>
      <c r="M60" s="4"/>
      <c r="N60" s="4"/>
    </row>
    <row r="61" spans="1:14" x14ac:dyDescent="0.2">
      <c r="L61" s="4"/>
      <c r="M61" s="4"/>
      <c r="N61" s="4"/>
    </row>
    <row r="62" spans="1:14" x14ac:dyDescent="0.2">
      <c r="L62" s="4"/>
      <c r="M62" s="4"/>
      <c r="N62" s="4"/>
    </row>
    <row r="63" spans="1:14" x14ac:dyDescent="0.2">
      <c r="L63" s="4"/>
      <c r="M63" s="4"/>
      <c r="N63" s="4"/>
    </row>
    <row r="64" spans="1:14" x14ac:dyDescent="0.2">
      <c r="L64" s="4"/>
      <c r="M64" s="4"/>
      <c r="N64" s="4"/>
    </row>
    <row r="65" spans="12:14" x14ac:dyDescent="0.2">
      <c r="M65" s="70"/>
    </row>
    <row r="66" spans="12:14" x14ac:dyDescent="0.2">
      <c r="L66" s="4"/>
      <c r="M66" s="4"/>
      <c r="N66" s="4"/>
    </row>
    <row r="67" spans="12:14" x14ac:dyDescent="0.2">
      <c r="L67" s="4"/>
      <c r="M67" s="4"/>
      <c r="N67" s="4"/>
    </row>
    <row r="68" spans="12:14" x14ac:dyDescent="0.2">
      <c r="L68" s="4"/>
      <c r="M68" s="4"/>
      <c r="N68" s="4"/>
    </row>
    <row r="69" spans="12:14" x14ac:dyDescent="0.2">
      <c r="L69" s="4"/>
      <c r="M69" s="4"/>
      <c r="N69" s="4"/>
    </row>
    <row r="70" spans="12:14" x14ac:dyDescent="0.2">
      <c r="L70" s="4"/>
      <c r="M70" s="4"/>
      <c r="N70" s="4"/>
    </row>
    <row r="71" spans="12:14" x14ac:dyDescent="0.2">
      <c r="L71" s="4"/>
      <c r="M71" s="4"/>
      <c r="N71" s="4"/>
    </row>
    <row r="72" spans="12:14" x14ac:dyDescent="0.2">
      <c r="L72" s="4"/>
      <c r="M72" s="4"/>
      <c r="N72" s="4"/>
    </row>
    <row r="73" spans="12:14" x14ac:dyDescent="0.2">
      <c r="L73" s="4"/>
      <c r="M73" s="4"/>
      <c r="N73" s="4"/>
    </row>
    <row r="74" spans="12:14" x14ac:dyDescent="0.2">
      <c r="L74" s="4"/>
      <c r="M74" s="4"/>
      <c r="N74" s="4"/>
    </row>
    <row r="75" spans="12:14" x14ac:dyDescent="0.2">
      <c r="M75" s="70"/>
    </row>
    <row r="76" spans="12:14" x14ac:dyDescent="0.2">
      <c r="L76" s="4"/>
      <c r="M76" s="4"/>
      <c r="N76" s="4"/>
    </row>
    <row r="77" spans="12:14" x14ac:dyDescent="0.2">
      <c r="L77" s="4"/>
      <c r="M77" s="4"/>
      <c r="N77" s="4"/>
    </row>
    <row r="78" spans="12:14" x14ac:dyDescent="0.2">
      <c r="L78" s="4"/>
      <c r="M78" s="4"/>
      <c r="N78" s="4"/>
    </row>
    <row r="79" spans="12:14" x14ac:dyDescent="0.2">
      <c r="L79" s="4"/>
      <c r="M79" s="4"/>
      <c r="N79" s="4"/>
    </row>
    <row r="80" spans="12:14" x14ac:dyDescent="0.2">
      <c r="L80" s="4"/>
      <c r="M80" s="4"/>
      <c r="N80" s="4"/>
    </row>
    <row r="81" spans="1:65" x14ac:dyDescent="0.2">
      <c r="L81" s="4"/>
      <c r="M81" s="4"/>
      <c r="N81" s="4"/>
    </row>
    <row r="82" spans="1:65" x14ac:dyDescent="0.2">
      <c r="L82" s="4"/>
      <c r="M82" s="4"/>
      <c r="N82" s="4"/>
    </row>
    <row r="83" spans="1:65" x14ac:dyDescent="0.2">
      <c r="L83" s="4"/>
      <c r="M83" s="4"/>
      <c r="N83" s="4"/>
    </row>
    <row r="84" spans="1:65" x14ac:dyDescent="0.2">
      <c r="L84" s="4"/>
      <c r="M84" s="4"/>
      <c r="N84" s="4"/>
    </row>
    <row r="85" spans="1:65" x14ac:dyDescent="0.2">
      <c r="M85" s="70"/>
    </row>
    <row r="86" spans="1:65" x14ac:dyDescent="0.2">
      <c r="L86" s="4"/>
      <c r="M86" s="4"/>
      <c r="N86" s="4"/>
    </row>
    <row r="87" spans="1:65" x14ac:dyDescent="0.2">
      <c r="L87" s="4"/>
      <c r="M87" s="4"/>
      <c r="N87" s="4"/>
    </row>
    <row r="88" spans="1:65" x14ac:dyDescent="0.2">
      <c r="L88" s="4"/>
      <c r="M88" s="4"/>
      <c r="N88" s="4"/>
    </row>
    <row r="89" spans="1:65" x14ac:dyDescent="0.2">
      <c r="L89" s="4"/>
      <c r="M89" s="4"/>
      <c r="N89" s="4"/>
    </row>
    <row r="90" spans="1:65" x14ac:dyDescent="0.2">
      <c r="L90" s="4"/>
      <c r="M90" s="4"/>
      <c r="N90" s="4"/>
    </row>
    <row r="91" spans="1:65" x14ac:dyDescent="0.2">
      <c r="L91" s="4"/>
      <c r="M91" s="4"/>
      <c r="N91" s="4"/>
    </row>
    <row r="92" spans="1:65" x14ac:dyDescent="0.2">
      <c r="L92" s="4"/>
      <c r="M92" s="4"/>
      <c r="N92" s="4"/>
    </row>
    <row r="93" spans="1:65" x14ac:dyDescent="0.2">
      <c r="L93" s="4"/>
      <c r="M93" s="4"/>
      <c r="N93" s="4"/>
    </row>
    <row r="94" spans="1:65" x14ac:dyDescent="0.2">
      <c r="L94" s="4"/>
      <c r="M94" s="4"/>
      <c r="N94" s="4"/>
    </row>
    <row r="95" spans="1:65" x14ac:dyDescent="0.2">
      <c r="M95" s="70"/>
    </row>
    <row r="96" spans="1:6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sheetData>
  <mergeCells count="6">
    <mergeCell ref="C5:G5"/>
    <mergeCell ref="B20:I21"/>
    <mergeCell ref="F24:G24"/>
    <mergeCell ref="B32:I33"/>
    <mergeCell ref="B38:I48"/>
    <mergeCell ref="C35:D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Expert Opinion - Chain Ladder</vt:lpstr>
      <vt:lpstr>Bayesian BF Method</vt:lpstr>
      <vt:lpstr>Fully Stochastic BF</vt:lpstr>
      <vt:lpstr>Fully Stochastic Reserv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2025-09-05T15:28:47Z</dcterms:modified>
</cp:coreProperties>
</file>