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stephenroll/Rising Fellow Dropbox/Rising Fellow/_Products/Exam 7/_Cookbook/Exam 7 Cookbook - Excel Version (Fall 2026)/"/>
    </mc:Choice>
  </mc:AlternateContent>
  <xr:revisionPtr revIDLastSave="0" documentId="13_ncr:1_{6A6749C0-60E1-944A-968D-E4ADABF9A41A}" xr6:coauthVersionLast="47" xr6:coauthVersionMax="47" xr10:uidLastSave="{00000000-0000-0000-0000-000000000000}"/>
  <bookViews>
    <workbookView xWindow="13700" yWindow="680" windowWidth="15800" windowHeight="20920" xr2:uid="{00000000-000D-0000-FFFF-FFFF00000000}"/>
  </bookViews>
  <sheets>
    <sheet name="PDLD Retro" sheetId="1" r:id="rId1"/>
    <sheet name="PDLD Empirical" sheetId="2" r:id="rId2"/>
    <sheet name="Premium Asset" sheetId="3" r:id="rId3"/>
    <sheet name="Loss Capping Ratios" sheetId="7" r:id="rId4"/>
    <sheet name="Fitzgibbon Method" sheetId="5" r:id="rId5"/>
    <sheet name="Enhanced PDLD"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4" i="6" l="1"/>
  <c r="F63" i="6"/>
  <c r="G40" i="6"/>
  <c r="H40" i="6" s="1"/>
  <c r="G39" i="6"/>
  <c r="H39" i="6" s="1"/>
  <c r="D61" i="6" s="1"/>
  <c r="G38" i="6"/>
  <c r="H38" i="6" s="1"/>
  <c r="D62" i="6" s="1"/>
  <c r="G37" i="6"/>
  <c r="H37" i="6" s="1"/>
  <c r="D64" i="6" s="1"/>
  <c r="E30" i="5"/>
  <c r="E36" i="5" l="1"/>
  <c r="E44" i="5" s="1"/>
  <c r="D63" i="6"/>
  <c r="G37" i="1" l="1"/>
  <c r="G36" i="1"/>
  <c r="B72" i="3"/>
  <c r="B71" i="3"/>
  <c r="B70" i="3"/>
  <c r="B69" i="3"/>
  <c r="D52" i="3"/>
  <c r="D37" i="3"/>
  <c r="D38" i="3"/>
  <c r="D39" i="3"/>
  <c r="D36" i="3"/>
  <c r="C69" i="3" s="1"/>
  <c r="F40" i="2"/>
  <c r="F39" i="2"/>
  <c r="F33" i="2"/>
  <c r="F32" i="2"/>
  <c r="G63" i="6"/>
  <c r="G64" i="6"/>
  <c r="G62" i="6"/>
  <c r="G61" i="6"/>
  <c r="C64" i="6"/>
  <c r="C63" i="6"/>
  <c r="C62" i="6"/>
  <c r="C61" i="6"/>
  <c r="D31" i="7"/>
  <c r="D32" i="7"/>
  <c r="D33" i="7"/>
  <c r="D30" i="7"/>
  <c r="D45" i="7" s="1"/>
  <c r="D46" i="7" l="1"/>
  <c r="D48" i="7"/>
  <c r="D47" i="7"/>
  <c r="E62" i="6"/>
  <c r="H62" i="6" s="1"/>
  <c r="E61" i="6"/>
  <c r="H61" i="6" s="1"/>
  <c r="E64" i="6" l="1"/>
  <c r="H64" i="6" s="1"/>
  <c r="E63" i="6"/>
  <c r="H63" i="6" s="1"/>
  <c r="H65" i="6" l="1"/>
  <c r="E71" i="6" s="1"/>
  <c r="C71" i="3"/>
  <c r="F69" i="3"/>
  <c r="D53" i="3"/>
  <c r="D69" i="3"/>
  <c r="D51" i="3"/>
  <c r="D50" i="3"/>
  <c r="D29" i="1"/>
  <c r="G35" i="1" s="1"/>
  <c r="D72" i="3" l="1"/>
  <c r="D70" i="3"/>
  <c r="D71" i="3"/>
  <c r="E71" i="3" s="1"/>
  <c r="F70" i="3"/>
  <c r="F71" i="3"/>
  <c r="F72" i="3"/>
  <c r="C70" i="3"/>
  <c r="C72" i="3"/>
  <c r="G71" i="3" l="1"/>
  <c r="E70" i="3"/>
  <c r="G70" i="3" s="1"/>
  <c r="E69" i="3"/>
  <c r="G69" i="3" s="1"/>
  <c r="E72" i="3"/>
  <c r="G72" i="3" s="1"/>
  <c r="G73" i="3" l="1"/>
  <c r="E81" i="3" s="1"/>
</calcChain>
</file>

<file path=xl/sharedStrings.xml><?xml version="1.0" encoding="utf-8"?>
<sst xmlns="http://schemas.openxmlformats.org/spreadsheetml/2006/main" count="297" uniqueCount="225">
  <si>
    <t>Solution</t>
  </si>
  <si>
    <t>Given the following information for a retrospectively rated book of business:</t>
  </si>
  <si>
    <t>First</t>
  </si>
  <si>
    <t>Second</t>
  </si>
  <si>
    <t>Third</t>
  </si>
  <si>
    <t>Incremental Loss Capping Ratio</t>
  </si>
  <si>
    <t>Retrospective Adjustment</t>
  </si>
  <si>
    <t>Tax Multiplier</t>
  </si>
  <si>
    <t>Total Standard Premium</t>
  </si>
  <si>
    <t>Calculate the PDLD ratios for each of the first three retrospective adjustments.</t>
  </si>
  <si>
    <t>Given the following information:</t>
  </si>
  <si>
    <t>27 Months</t>
  </si>
  <si>
    <t>30 Months</t>
  </si>
  <si>
    <t>33 Months</t>
  </si>
  <si>
    <t>36 Months</t>
  </si>
  <si>
    <t>39 Months</t>
  </si>
  <si>
    <t>Policy Effective Year</t>
  </si>
  <si>
    <t>18 Months</t>
  </si>
  <si>
    <t>21 Months</t>
  </si>
  <si>
    <t>24 Months</t>
  </si>
  <si>
    <t>Policy Year</t>
  </si>
  <si>
    <t>Ultimate Reported Loss</t>
  </si>
  <si>
    <t>Reported Loss at Prior Adjustment</t>
  </si>
  <si>
    <t>Premium Booked at Prior Adjustment</t>
  </si>
  <si>
    <t>Fourth</t>
  </si>
  <si>
    <t>Subsequent</t>
  </si>
  <si>
    <t>%Emerged</t>
  </si>
  <si>
    <t>Retrospective Adjustments</t>
  </si>
  <si>
    <r>
      <t>PDLD</t>
    </r>
    <r>
      <rPr>
        <vertAlign val="subscript"/>
        <sz val="12"/>
        <color rgb="FF000000"/>
        <rFont val="Calibri"/>
        <family val="2"/>
      </rPr>
      <t>n</t>
    </r>
  </si>
  <si>
    <t>PY</t>
  </si>
  <si>
    <t>Expected Future Loss</t>
  </si>
  <si>
    <t>CPDLD</t>
  </si>
  <si>
    <t>Expected Future Prem</t>
  </si>
  <si>
    <t>Prem Booked at Prior Adj</t>
  </si>
  <si>
    <t>Ult Premium</t>
  </si>
  <si>
    <t>Total</t>
  </si>
  <si>
    <t xml:space="preserve">Prem Asset = </t>
  </si>
  <si>
    <t>Expected Future Prem from Loss</t>
  </si>
  <si>
    <t>Basic Prem Portion for 1st Adj</t>
  </si>
  <si>
    <t>Discussion</t>
  </si>
  <si>
    <t>% Loss Emerged</t>
  </si>
  <si>
    <t>Calculate the PDLDn ratios for the second, third, etc. retrospective adjustments.</t>
  </si>
  <si>
    <t>PDLDn</t>
  </si>
  <si>
    <t>Retro Adjustment</t>
  </si>
  <si>
    <t>Given the following Table M insurance charges and savings corresponding to the retro</t>
  </si>
  <si>
    <t>maximum/minimum and the loss elimination ratio for the per-accident limit:</t>
  </si>
  <si>
    <t>Insurance Charge at Retro Maximum</t>
  </si>
  <si>
    <t>Insurance Saving at Retro Minimum</t>
  </si>
  <si>
    <t>Loss Elimination Ratio from Per-Accident Limit</t>
  </si>
  <si>
    <t>% of Total Losses Emerged</t>
  </si>
  <si>
    <t>Calculate the incremental loss capping ratios that can be used in the PDLD retro formula.</t>
  </si>
  <si>
    <t>Cumulative Loss Capping Ratios</t>
  </si>
  <si>
    <r>
      <t xml:space="preserve">Calculate the </t>
    </r>
    <r>
      <rPr>
        <b/>
        <i/>
        <u/>
        <sz val="12"/>
        <color theme="1"/>
        <rFont val="Calibri"/>
        <family val="2"/>
      </rPr>
      <t>incremental</t>
    </r>
    <r>
      <rPr>
        <b/>
        <sz val="12"/>
        <color theme="1"/>
        <rFont val="Calibri"/>
        <family val="2"/>
      </rPr>
      <t xml:space="preserve"> loss capping ratios using the cumulative loss capping ratios and the percent of total losses emerged.</t>
    </r>
  </si>
  <si>
    <t>Incremental Loss Capping Ratios</t>
  </si>
  <si>
    <t>Given the following information for a book of retrospectively rated business as of the third retro adjustment:</t>
  </si>
  <si>
    <t>For mature policies, a linear regression was fit using the retrospective premium ratio as the dependent</t>
  </si>
  <si>
    <t>variable (Y) and the overall incurred loss ratio as the independent variable (X). The results of the regression</t>
  </si>
  <si>
    <t>are below:</t>
  </si>
  <si>
    <t>Y = A + B*X</t>
  </si>
  <si>
    <t>A =</t>
  </si>
  <si>
    <t>B =</t>
  </si>
  <si>
    <t>Estimate the premium asset for the book of business using the Fitzgibbon method.</t>
  </si>
  <si>
    <t>Calculate the estimated ultimate premium ratio with the linear Fitzgibbon model</t>
  </si>
  <si>
    <t xml:space="preserve">Y = </t>
  </si>
  <si>
    <t>Calculate the estimated ultimate premium.</t>
  </si>
  <si>
    <t xml:space="preserve">Ult Prem = </t>
  </si>
  <si>
    <t>Calculate the premium asset as the difference between the estimated ultimate premium and the current booked premium.</t>
  </si>
  <si>
    <t>Expected Future Loss Development</t>
  </si>
  <si>
    <t>enhanced PDLD method described by Feldblum</t>
  </si>
  <si>
    <t>Adjusted CPDLD*</t>
  </si>
  <si>
    <t>Calculate the basic premium portion for policy years that haven’t had their first retro adjustment yet.</t>
  </si>
  <si>
    <t>• Calculate the first PDLD ratio more directly with the formula below:</t>
  </si>
  <si>
    <t>• Inputs may be given differently:</t>
  </si>
  <si>
    <t>o Use LDFs to calculate %Emerged</t>
  </si>
  <si>
    <t>o Calculate the Basic Premium Factor directly:</t>
  </si>
  <si>
    <t>Source</t>
  </si>
  <si>
    <t>Teng and Perkins – pg. 614-617</t>
  </si>
  <si>
    <t>More Practice</t>
  </si>
  <si>
    <t xml:space="preserve">CAS 2019 – 15 </t>
  </si>
  <si>
    <t>CAS 2015 – 14</t>
  </si>
  <si>
    <t>CAS 2013 – 6</t>
  </si>
  <si>
    <t xml:space="preserve">RF Teng – 1 </t>
  </si>
  <si>
    <t>RF Teng – 5</t>
  </si>
  <si>
    <t>Reviewing Historical PDLD Ratios</t>
  </si>
  <si>
    <t>o Better loss experience, causing more of the losses to be within the capped limits.</t>
  </si>
  <si>
    <t>Reasons Historical PDLD Ratios may differ from the Retro Formula PDLD Ratios</t>
  </si>
  <si>
    <t>• Average retro rating parameters may change over time.</t>
  </si>
  <si>
    <t>Teng and Perkins – pg. 618-620</t>
  </si>
  <si>
    <t>See Exhibit 4 in the appendix and understand how to calculate the PDLD ratios from the triangles</t>
  </si>
  <si>
    <t>in Exhibits 6 and 7.</t>
  </si>
  <si>
    <t>RF Teng – 2</t>
  </si>
  <si>
    <t xml:space="preserve">RF Teng – 4 </t>
  </si>
  <si>
    <t>o This is what’s done in the Teng &amp; Perkins exhibits (make sure to review those).</t>
  </si>
  <si>
    <t>Teng and Perkins – pg. 621-623</t>
  </si>
  <si>
    <t xml:space="preserve">CAS 2018 – 17 </t>
  </si>
  <si>
    <t xml:space="preserve">CAS 2017 – 17 </t>
  </si>
  <si>
    <t>CAS 2016 – 18</t>
  </si>
  <si>
    <t>CAS 2012 – 7</t>
  </si>
  <si>
    <t>RF Teng – 3</t>
  </si>
  <si>
    <t>Here’s how the cumulative loss capping ratio formula reflects the types of capped losses:</t>
  </si>
  <si>
    <t>Trends in the Cumulative Loss Capping Ratios</t>
  </si>
  <si>
    <t xml:space="preserve">• More individual losses are capped at the per-accident limit (the LER increases) </t>
  </si>
  <si>
    <t>Incremental vs. Cumulative Loss Capping Ratios</t>
  </si>
  <si>
    <t>Cumulative Loss Capping Ratios:</t>
  </si>
  <si>
    <t>Incremental Loss Capping Ratios:</t>
  </si>
  <si>
    <t>CAS 2011 – 5</t>
  </si>
  <si>
    <t>CAS 2013 - 6</t>
  </si>
  <si>
    <t>Disadvantages of the Fitzgibbon Method</t>
  </si>
  <si>
    <t>Teng and Perkins (Feldblum) – pg. 280-285</t>
  </si>
  <si>
    <t>CAS 2017 – 18</t>
  </si>
  <si>
    <t>Expected Future Loss = a priori Expected Loss</t>
  </si>
  <si>
    <t>Original Teng and Perkins Method</t>
  </si>
  <si>
    <t>Enhanced Teng and Perkinds Method</t>
  </si>
  <si>
    <t>Expected Future Loss &gt; a priori Expected Loss</t>
  </si>
  <si>
    <t>Enhanced Teng and Perkins</t>
  </si>
  <si>
    <t xml:space="preserve">Note: </t>
  </si>
  <si>
    <t>Teng and Perkins (Feldblum) – pg. 297</t>
  </si>
  <si>
    <t xml:space="preserve">RF Teng – 3 </t>
  </si>
  <si>
    <t xml:space="preserve">  </t>
  </si>
  <si>
    <t>• More losses are capped due to the maximum premium limit (the net insurance charge increases)</t>
  </si>
  <si>
    <t>Teng and Perkins – pg. 639 in Exhibit 5 (the theory is discussed in section 5, which is off the syllabus)</t>
  </si>
  <si>
    <t>When the expected future loss is the same as the a priori expectation, both methods give the same answer.</t>
  </si>
  <si>
    <t>&lt;- Same as the above problem</t>
  </si>
  <si>
    <t>Premium booked at prior Adj</t>
  </si>
  <si>
    <t>1)</t>
  </si>
  <si>
    <t>2)</t>
  </si>
  <si>
    <t>Teng &amp; Perkins - PDLD Ratios: Retro Formula</t>
  </si>
  <si>
    <t>Teng &amp; Perkins - PDLD Ratios: Empirical</t>
  </si>
  <si>
    <t>Teng &amp; Perkins - Premium Asset</t>
  </si>
  <si>
    <t>Teng &amp; Perkins - Cumulative to Incremental Loss Capping Ratios</t>
  </si>
  <si>
    <t>Teng &amp; Perkins - Fitzgibbon Method</t>
  </si>
  <si>
    <t>Teng &amp; Perkins - Premium Asset: PDLD Method Enhancement</t>
  </si>
  <si>
    <t>Reported Losses ($000) evaluated at</t>
  </si>
  <si>
    <t>Booked Premium ($000) evaluated at</t>
  </si>
  <si>
    <t>•  The first retrospective adjustment is made with losses emerged as of 18 months and adjustments</t>
  </si>
  <si>
    <t>•  Adjusted premiums are recorded 9 months after recording losses</t>
  </si>
  <si>
    <t>•  Loss Conversion Factor</t>
  </si>
  <si>
    <t>•  Tax Multiplier</t>
  </si>
  <si>
    <t>•  Basic Premium Factor</t>
  </si>
  <si>
    <t>•  Expected loss ratio</t>
  </si>
  <si>
    <t>•  Average Basic Premium Factor (including tax):</t>
  </si>
  <si>
    <t>•  Expected Loss Ratio:</t>
  </si>
  <si>
    <t>•  Estimated Ultimate Incurred Loss</t>
  </si>
  <si>
    <t>•  Total Standard Premium</t>
  </si>
  <si>
    <t>•  Current Booked Retrospective Premium</t>
  </si>
  <si>
    <t>•  Total Basic Premium</t>
  </si>
  <si>
    <t>3)</t>
  </si>
  <si>
    <t>4)</t>
  </si>
  <si>
    <r>
      <t>Calculate the first premium-development-to-loss-development ratio, PDLD</t>
    </r>
    <r>
      <rPr>
        <b/>
        <vertAlign val="subscript"/>
        <sz val="12"/>
        <color theme="1"/>
        <rFont val="Calibri"/>
        <family val="2"/>
      </rPr>
      <t>1</t>
    </r>
    <r>
      <rPr>
        <b/>
        <sz val="12"/>
        <color theme="1"/>
        <rFont val="Calibri"/>
        <family val="2"/>
      </rPr>
      <t>, with the retro formula.</t>
    </r>
  </si>
  <si>
    <r>
      <t>PDLD</t>
    </r>
    <r>
      <rPr>
        <vertAlign val="subscript"/>
        <sz val="12"/>
        <color theme="1"/>
        <rFont val="Calibri"/>
        <family val="2"/>
      </rPr>
      <t>1</t>
    </r>
    <r>
      <rPr>
        <sz val="12"/>
        <color theme="1"/>
        <rFont val="Calibri"/>
        <family val="2"/>
      </rPr>
      <t xml:space="preserve"> = </t>
    </r>
  </si>
  <si>
    <r>
      <t>Period</t>
    </r>
    <r>
      <rPr>
        <vertAlign val="subscript"/>
        <sz val="12"/>
        <color theme="1"/>
        <rFont val="Calibri"/>
        <family val="2"/>
      </rPr>
      <t>n</t>
    </r>
  </si>
  <si>
    <r>
      <t>PDLD</t>
    </r>
    <r>
      <rPr>
        <vertAlign val="subscript"/>
        <sz val="12"/>
        <color theme="1"/>
        <rFont val="Calibri"/>
        <family val="2"/>
      </rPr>
      <t>n</t>
    </r>
  </si>
  <si>
    <t>Some of the past CAS problems are unclear about whether the given loss capping ratios are cumulative or incremental ratios. If a problem is unclear, make sure to state your assumption of which loss capping ratios you use in the solution.</t>
  </si>
  <si>
    <r>
      <t>If you’re given cumulative loss capping ratios, you’ll need to transform them to incremental loss capping ratios in order to calculate the PDLD</t>
    </r>
    <r>
      <rPr>
        <vertAlign val="subscript"/>
        <sz val="12"/>
        <color theme="1"/>
        <rFont val="Calibri"/>
        <family val="2"/>
      </rPr>
      <t>n</t>
    </r>
    <r>
      <rPr>
        <sz val="12"/>
        <color theme="1"/>
        <rFont val="Calibri"/>
        <family val="2"/>
      </rPr>
      <t xml:space="preserve"> ratios for the second, third, etc. retrospective adjustments. See the “Cumulative to Incremental Loss Capping Ratios” recipe for how to do that.</t>
    </r>
  </si>
  <si>
    <t>Some possible twists to this problem type:</t>
  </si>
  <si>
    <r>
      <t>Calculate the PDLD</t>
    </r>
    <r>
      <rPr>
        <b/>
        <vertAlign val="subscript"/>
        <sz val="12"/>
        <color theme="1"/>
        <rFont val="Calibri"/>
        <family val="2"/>
      </rPr>
      <t>1</t>
    </r>
    <r>
      <rPr>
        <b/>
        <sz val="12"/>
        <color theme="1"/>
        <rFont val="Calibri"/>
        <family val="2"/>
      </rPr>
      <t xml:space="preserve"> ratio with booked premium at 27 months and reported loss at 18 months to reflect the lag in booking premium.</t>
    </r>
  </si>
  <si>
    <t>Calculate the empirical PDLD ratios for the first two adjustments for years 2020 and 2021.</t>
  </si>
  <si>
    <r>
      <t>PDLD</t>
    </r>
    <r>
      <rPr>
        <vertAlign val="subscript"/>
        <sz val="12"/>
        <color theme="1"/>
        <rFont val="Calibri"/>
        <family val="2"/>
      </rPr>
      <t>1</t>
    </r>
  </si>
  <si>
    <r>
      <t>Calculate the PDLD</t>
    </r>
    <r>
      <rPr>
        <b/>
        <vertAlign val="subscript"/>
        <sz val="12"/>
        <color theme="1"/>
        <rFont val="Calibri"/>
        <family val="2"/>
      </rPr>
      <t>n</t>
    </r>
    <r>
      <rPr>
        <b/>
        <sz val="12"/>
        <color theme="1"/>
        <rFont val="Calibri"/>
        <family val="2"/>
      </rPr>
      <t xml:space="preserve"> ratios using the </t>
    </r>
    <r>
      <rPr>
        <b/>
        <i/>
        <u/>
        <sz val="12"/>
        <color theme="1"/>
        <rFont val="Calibri"/>
        <family val="2"/>
      </rPr>
      <t>changes</t>
    </r>
    <r>
      <rPr>
        <b/>
        <i/>
        <sz val="12"/>
        <color theme="1"/>
        <rFont val="Calibri"/>
        <family val="2"/>
      </rPr>
      <t xml:space="preserve"> </t>
    </r>
    <r>
      <rPr>
        <b/>
        <sz val="12"/>
        <color theme="1"/>
        <rFont val="Calibri"/>
        <family val="2"/>
      </rPr>
      <t>in premium and loss.</t>
    </r>
  </si>
  <si>
    <r>
      <t>PDLD</t>
    </r>
    <r>
      <rPr>
        <vertAlign val="subscript"/>
        <sz val="12"/>
        <color theme="1"/>
        <rFont val="Calibri"/>
        <family val="2"/>
      </rPr>
      <t>2</t>
    </r>
  </si>
  <si>
    <t>For retrospective policies, an increase in reported loss will result in an increase in premium charged (except when loss development is capped at limits and for min/max premiums). There is a time lag between when losses develop and when the premium development from those losses is booked. This is the reason for the 9-month lag when calculating the PDLD Ratios.</t>
  </si>
  <si>
    <t>Teng mentions that the premium-recording lag may be between 3 and 9 months. Make sure to pay attention if an exam question specifies a different lag.</t>
  </si>
  <si>
    <t>Be sure to know how to interpret trends and how to compare the empirical PDLD ratios to the retro formula PDLD ratios. Teng discusses this on pg. 619 and below is a summary of what to look for:</t>
  </si>
  <si>
    <t>• Look for trends in the historical PDLD ratios by policy quarter. An upward trend could indicate:</t>
  </si>
  <si>
    <t>o More “liberal” rating parameters that increase the capped losses and therefore increase premium (e.g. higher maximum premium or per-accident limit).</t>
  </si>
  <si>
    <t>• Historical PDLD ratios may be volatile after the first retro adjustment because incremental premium development may reflect incremental loss development on only a small number of policies.</t>
  </si>
  <si>
    <r>
      <t xml:space="preserve">• It’s possible to see </t>
    </r>
    <r>
      <rPr>
        <i/>
        <u/>
        <sz val="12"/>
        <color theme="1"/>
        <rFont val="Calibri"/>
        <family val="2"/>
      </rPr>
      <t>negative</t>
    </r>
    <r>
      <rPr>
        <sz val="12"/>
        <color theme="1"/>
        <rFont val="Calibri"/>
        <family val="2"/>
      </rPr>
      <t xml:space="preserve"> incremental historical PDLD ratios when loss development is </t>
    </r>
    <r>
      <rPr>
        <i/>
        <u/>
        <sz val="12"/>
        <color theme="1"/>
        <rFont val="Calibri"/>
        <family val="2"/>
      </rPr>
      <t>positive</t>
    </r>
    <r>
      <rPr>
        <sz val="12"/>
        <color theme="1"/>
        <rFont val="Calibri"/>
        <family val="2"/>
      </rPr>
      <t>:</t>
    </r>
  </si>
  <si>
    <t>o There could be upward development on a claim that already passed the per-accident limit (no change in premium) while other losses within the limits fall (causing premium to fall).</t>
  </si>
  <si>
    <t>• Compare the average of many quarters of the historical PDLD ratios to PDLD ratios from the retro formula to select a PDLD ratio.</t>
  </si>
  <si>
    <t>• Worse (or better) than expected loss experience can cause more (or less) losses to be capped, resulting in historical PDLD ratios that are smaller (or larger) than the retro formula PDLD ratios.</t>
  </si>
  <si>
    <t>Given the following information as of December 31, 2023 ($000):</t>
  </si>
  <si>
    <t>•    Policy year 2021 has had its first retrospective adjustment</t>
  </si>
  <si>
    <t>•    The premium booked for policy years 2020-2023 was:</t>
  </si>
  <si>
    <t>Estimate the retrospective premium asset for policy years 2020 to 2023 as of December 31, 2023.</t>
  </si>
  <si>
    <t>Calculate the expected future loss emergence by policy year.</t>
  </si>
  <si>
    <r>
      <t>Calculate CPDLD</t>
    </r>
    <r>
      <rPr>
        <b/>
        <vertAlign val="subscript"/>
        <sz val="12"/>
        <color theme="1"/>
        <rFont val="Calibri"/>
        <family val="2"/>
      </rPr>
      <t>n</t>
    </r>
    <r>
      <rPr>
        <b/>
        <sz val="12"/>
        <color theme="1"/>
        <rFont val="Calibri"/>
        <family val="2"/>
      </rPr>
      <t>, the cumulative premium development to loss development ratios, for each retro adjustment, as a weighted average of PDLD</t>
    </r>
    <r>
      <rPr>
        <b/>
        <vertAlign val="subscript"/>
        <sz val="12"/>
        <color theme="1"/>
        <rFont val="Calibri"/>
        <family val="2"/>
      </rPr>
      <t>n</t>
    </r>
    <r>
      <rPr>
        <b/>
        <sz val="12"/>
        <color theme="1"/>
        <rFont val="Calibri"/>
        <family val="2"/>
      </rPr>
      <t xml:space="preserve"> ratios with incremental % loss emergence as the weights.</t>
    </r>
  </si>
  <si>
    <t>Calculate expected future premium development using the expected future losses and CPDLD ratios.</t>
  </si>
  <si>
    <t>Calculate the ultimate premium for each policy year and in total.</t>
  </si>
  <si>
    <t>5)</t>
  </si>
  <si>
    <r>
      <t xml:space="preserve">Calculate the premium asset, the difference between the ultimate premium and the </t>
    </r>
    <r>
      <rPr>
        <b/>
        <i/>
        <u/>
        <sz val="12"/>
        <color theme="1"/>
        <rFont val="Calibri"/>
        <family val="2"/>
      </rPr>
      <t>current</t>
    </r>
    <r>
      <rPr>
        <b/>
        <sz val="12"/>
        <color theme="1"/>
        <rFont val="Calibri"/>
        <family val="2"/>
      </rPr>
      <t xml:space="preserve"> booked premium.</t>
    </r>
  </si>
  <si>
    <t>The calculations for this problem type are straightforward, but there are a number of subtle details that are important to get right:</t>
  </si>
  <si>
    <r>
      <t xml:space="preserve">• Calculate the expected future loss development using the reported loss at the </t>
    </r>
    <r>
      <rPr>
        <i/>
        <u/>
        <sz val="12"/>
        <color theme="1"/>
        <rFont val="Calibri"/>
        <family val="2"/>
      </rPr>
      <t>prior retro adjustment</t>
    </r>
    <r>
      <rPr>
        <sz val="12"/>
        <color theme="1"/>
        <rFont val="Calibri"/>
        <family val="2"/>
      </rPr>
      <t>, not at the current evaluation date.</t>
    </r>
  </si>
  <si>
    <r>
      <t xml:space="preserve">• Future premium development is the expected development from the premium booked at the </t>
    </r>
    <r>
      <rPr>
        <i/>
        <u/>
        <sz val="12"/>
        <color theme="1"/>
        <rFont val="Calibri"/>
        <family val="2"/>
      </rPr>
      <t>prior retro adjustment</t>
    </r>
    <r>
      <rPr>
        <sz val="12"/>
        <color theme="1"/>
        <rFont val="Calibri"/>
        <family val="2"/>
      </rPr>
      <t xml:space="preserve"> to ultimate premium.</t>
    </r>
  </si>
  <si>
    <r>
      <t>• Be careful to apply the correct CPDLD</t>
    </r>
    <r>
      <rPr>
        <vertAlign val="subscript"/>
        <sz val="12"/>
        <color theme="1"/>
        <rFont val="Calibri"/>
        <family val="2"/>
      </rPr>
      <t>n</t>
    </r>
    <r>
      <rPr>
        <sz val="12"/>
        <color theme="1"/>
        <rFont val="Calibri"/>
        <family val="2"/>
      </rPr>
      <t xml:space="preserve"> ratio to each policy period. Use the CPDLD</t>
    </r>
    <r>
      <rPr>
        <vertAlign val="subscript"/>
        <sz val="12"/>
        <color theme="1"/>
        <rFont val="Calibri"/>
        <family val="2"/>
      </rPr>
      <t>n</t>
    </r>
    <r>
      <rPr>
        <sz val="12"/>
        <color theme="1"/>
        <rFont val="Calibri"/>
        <family val="2"/>
      </rPr>
      <t xml:space="preserve"> ratio that matches with the number of retro adjustments the policy period has already had.</t>
    </r>
  </si>
  <si>
    <t xml:space="preserve">o Policy Effective Quarters in 2022 and 2023 are between 3 and 24 months maturity, all less than 27 months old. Therefore, the first retro adjustment hasn’t kicked in, which uses losses evaluated at 18 months and the premium from the first retro adjustment is booked by 27 months. </t>
  </si>
  <si>
    <r>
      <t xml:space="preserve">• Calculate the premium asset using booked premium at the </t>
    </r>
    <r>
      <rPr>
        <i/>
        <u/>
        <sz val="12"/>
        <color theme="1"/>
        <rFont val="Calibri"/>
        <family val="2"/>
      </rPr>
      <t>current evaluation date</t>
    </r>
    <r>
      <rPr>
        <sz val="12"/>
        <color theme="1"/>
        <rFont val="Calibri"/>
        <family val="2"/>
      </rPr>
      <t>, since the premium asset is evaluated at the current evaluation date.</t>
    </r>
  </si>
  <si>
    <t>A potential twist to this problem is to calculate the ultimate reported losses using a reserving method. In this problem, the ultimate reported loss by policy year was given.</t>
  </si>
  <si>
    <t xml:space="preserve">• For example, a problem could give the reported loss and corresponding LDFs. You could then calculate the ultimate reported loss using the chain ladder method or some other basic loss reserving method. </t>
  </si>
  <si>
    <t>See Exhibit 1 in Teng for a full example. Understand how the other exhibits support Exhibit 1 to calculate the premium asset.</t>
  </si>
  <si>
    <r>
      <t xml:space="preserve">Calculate the </t>
    </r>
    <r>
      <rPr>
        <b/>
        <i/>
        <u/>
        <sz val="12"/>
        <color theme="1"/>
        <rFont val="Calibri"/>
        <family val="2"/>
      </rPr>
      <t>cumulative</t>
    </r>
    <r>
      <rPr>
        <b/>
        <sz val="12"/>
        <color theme="1"/>
        <rFont val="Calibri"/>
        <family val="2"/>
      </rPr>
      <t xml:space="preserve"> loss capping ratios based on the Table M charges/savings and the loss elimination ratio (LER) for the per-accident limit.</t>
    </r>
  </si>
  <si>
    <t xml:space="preserve">This topic is discussed in section 5 (off the syllabus), but the calculations are shown in exhibit 5 of the appendix (on the syllabus). In 2011 there was a problem on this topic (even though section 5 was also off the syllabus that year), so you should be prepared for a possible question. </t>
  </si>
  <si>
    <r>
      <rPr>
        <b/>
        <sz val="12"/>
        <color theme="1"/>
        <rFont val="Calibri"/>
        <family val="2"/>
      </rPr>
      <t xml:space="preserve">• Net Insurance Charge </t>
    </r>
    <r>
      <rPr>
        <sz val="12"/>
        <color theme="1"/>
        <rFont val="Calibri"/>
        <family val="2"/>
      </rPr>
      <t xml:space="preserve">-  The portion of total losses capped due to the min/max retro premium </t>
    </r>
  </si>
  <si>
    <r>
      <rPr>
        <b/>
        <sz val="12"/>
        <color theme="1"/>
        <rFont val="Calibri"/>
        <family val="2"/>
      </rPr>
      <t xml:space="preserve">• Loss Elimination Ratio </t>
    </r>
    <r>
      <rPr>
        <sz val="12"/>
        <color theme="1"/>
        <rFont val="Calibri"/>
        <family val="2"/>
      </rPr>
      <t>- The portion of total losses capped by the per-accident loss limit</t>
    </r>
  </si>
  <si>
    <t>The difference between incremental and cumulative loss capping ratios is the same as the difference between incremental losses and cumulative losses in a loss triangle:</t>
  </si>
  <si>
    <t>The PDLD method fixes some of these disadvantages by letting the premium sensitivity decrease over time and by calculating future premium adjustments based on future expected loss.</t>
  </si>
  <si>
    <r>
      <t>Calculate CPDLD</t>
    </r>
    <r>
      <rPr>
        <b/>
        <vertAlign val="subscript"/>
        <sz val="12"/>
        <color theme="1"/>
        <rFont val="Calibri"/>
        <family val="2"/>
      </rPr>
      <t>n</t>
    </r>
    <r>
      <rPr>
        <b/>
        <sz val="12"/>
        <color theme="1"/>
        <rFont val="Calibri"/>
        <family val="2"/>
      </rPr>
      <t>, for each retro adjustment, as a weighted average of PDLD</t>
    </r>
    <r>
      <rPr>
        <b/>
        <vertAlign val="subscript"/>
        <sz val="12"/>
        <color theme="1"/>
        <rFont val="Calibri"/>
        <family val="2"/>
      </rPr>
      <t>n</t>
    </r>
    <r>
      <rPr>
        <b/>
        <sz val="12"/>
        <color theme="1"/>
        <rFont val="Calibri"/>
        <family val="2"/>
      </rPr>
      <t xml:space="preserve"> ratios with incremental % loss emergence as the weights. Adjust CPDLD</t>
    </r>
    <r>
      <rPr>
        <b/>
        <vertAlign val="subscript"/>
        <sz val="12"/>
        <color theme="1"/>
        <rFont val="Calibri"/>
        <family val="2"/>
      </rPr>
      <t>1</t>
    </r>
    <r>
      <rPr>
        <b/>
        <sz val="12"/>
        <color theme="1"/>
        <rFont val="Calibri"/>
        <family val="2"/>
      </rPr>
      <t xml:space="preserve"> to remove the basic premium portion of the retro premium, which doesn’t vary with loss (this is the enhancement).</t>
    </r>
  </si>
  <si>
    <t>Note:</t>
  </si>
  <si>
    <t>Calculate expected future premium development from future loss development using the expected future losses and the adjusted CPDLD ratios.</t>
  </si>
  <si>
    <r>
      <t xml:space="preserve">Calculate the premium asset, the difference between the ultimate premium and the </t>
    </r>
    <r>
      <rPr>
        <b/>
        <i/>
        <u/>
        <sz val="12"/>
        <color theme="1"/>
        <rFont val="Calibri"/>
        <family val="2"/>
      </rPr>
      <t xml:space="preserve">current </t>
    </r>
    <r>
      <rPr>
        <b/>
        <sz val="12"/>
        <color theme="1"/>
        <rFont val="Calibri"/>
        <family val="2"/>
      </rPr>
      <t>booked premium.</t>
    </r>
  </si>
  <si>
    <r>
      <t>The Feldblum enhancement takes the basic premium portion out of CPDLD</t>
    </r>
    <r>
      <rPr>
        <vertAlign val="subscript"/>
        <sz val="12"/>
        <color theme="1"/>
        <rFont val="Calibri"/>
        <family val="2"/>
      </rPr>
      <t>1</t>
    </r>
    <r>
      <rPr>
        <sz val="12"/>
        <color theme="1"/>
        <rFont val="Calibri"/>
        <family val="2"/>
      </rPr>
      <t xml:space="preserve"> because the basic premium doesn’t vary by loss. The original Teng and Perkins method includes the basic premium in PDLD</t>
    </r>
    <r>
      <rPr>
        <vertAlign val="subscript"/>
        <sz val="12"/>
        <color theme="1"/>
        <rFont val="Calibri"/>
        <family val="2"/>
      </rPr>
      <t>1</t>
    </r>
    <r>
      <rPr>
        <sz val="12"/>
        <color theme="1"/>
        <rFont val="Calibri"/>
        <family val="2"/>
      </rPr>
      <t xml:space="preserve"> and therefore in CPDLD</t>
    </r>
    <r>
      <rPr>
        <vertAlign val="subscript"/>
        <sz val="12"/>
        <color theme="1"/>
        <rFont val="Calibri"/>
        <family val="2"/>
      </rPr>
      <t>1</t>
    </r>
    <r>
      <rPr>
        <sz val="12"/>
        <color theme="1"/>
        <rFont val="Calibri"/>
        <family val="2"/>
      </rPr>
      <t xml:space="preserve"> and multiplies CPDLD</t>
    </r>
    <r>
      <rPr>
        <vertAlign val="subscript"/>
        <sz val="12"/>
        <color theme="1"/>
        <rFont val="Calibri"/>
        <family val="2"/>
      </rPr>
      <t>1</t>
    </r>
    <r>
      <rPr>
        <sz val="12"/>
        <color theme="1"/>
        <rFont val="Calibri"/>
        <family val="2"/>
      </rPr>
      <t xml:space="preserve"> by the expected future loss emergence (the reserve estimate).</t>
    </r>
  </si>
  <si>
    <r>
      <t xml:space="preserve">When expected future loss emergence is the same as the a </t>
    </r>
    <r>
      <rPr>
        <i/>
        <sz val="12"/>
        <color theme="1"/>
        <rFont val="Calibri"/>
        <family val="2"/>
      </rPr>
      <t>priori</t>
    </r>
    <r>
      <rPr>
        <sz val="12"/>
        <color theme="1"/>
        <rFont val="Calibri"/>
        <family val="2"/>
      </rPr>
      <t xml:space="preserve"> expected losses for the first retro adjustment period based on the ELR and standard premium, the methods calculate the same ultimate premium. When expected future loss is higher (or lower) than the </t>
    </r>
    <r>
      <rPr>
        <i/>
        <sz val="12"/>
        <color theme="1"/>
        <rFont val="Calibri"/>
        <family val="2"/>
      </rPr>
      <t>a priori</t>
    </r>
    <r>
      <rPr>
        <sz val="12"/>
        <color theme="1"/>
        <rFont val="Calibri"/>
        <family val="2"/>
      </rPr>
      <t>, the two methods differ, as demonstrated below:</t>
    </r>
  </si>
  <si>
    <r>
      <t>The Basic Prem</t>
    </r>
    <r>
      <rPr>
        <vertAlign val="subscript"/>
        <sz val="12"/>
        <color theme="1"/>
        <rFont val="Calibri"/>
        <family val="2"/>
      </rPr>
      <t>2023</t>
    </r>
    <r>
      <rPr>
        <sz val="12"/>
        <color theme="1"/>
        <rFont val="Calibri"/>
        <family val="2"/>
      </rPr>
      <t xml:space="preserve"> is 515 in both scenarios using the enhanced method.</t>
    </r>
  </si>
  <si>
    <r>
      <t>Remember, CPDLD</t>
    </r>
    <r>
      <rPr>
        <vertAlign val="subscript"/>
        <sz val="12"/>
        <color theme="1"/>
        <rFont val="Calibri"/>
        <family val="2"/>
      </rPr>
      <t>1</t>
    </r>
    <r>
      <rPr>
        <sz val="12"/>
        <color theme="1"/>
        <rFont val="Calibri"/>
        <family val="2"/>
      </rPr>
      <t xml:space="preserve"> in the original Teng and Perkins method includes the basic premium. So, when the expected future loss for policy years before the first adjustment period is greater than the </t>
    </r>
    <r>
      <rPr>
        <i/>
        <sz val="12"/>
        <color theme="1"/>
        <rFont val="Calibri"/>
        <family val="2"/>
      </rPr>
      <t>a priori</t>
    </r>
    <r>
      <rPr>
        <sz val="12"/>
        <color theme="1"/>
        <rFont val="Calibri"/>
        <family val="2"/>
      </rPr>
      <t>, the CPDLD</t>
    </r>
    <r>
      <rPr>
        <vertAlign val="subscript"/>
        <sz val="12"/>
        <color theme="1"/>
        <rFont val="Calibri"/>
        <family val="2"/>
      </rPr>
      <t>1</t>
    </r>
    <r>
      <rPr>
        <sz val="12"/>
        <color theme="1"/>
        <rFont val="Calibri"/>
        <family val="2"/>
      </rPr>
      <t xml:space="preserve"> will incorrectly cause the basic premium portion of the retro premium to be scaled up. </t>
    </r>
  </si>
  <si>
    <r>
      <t>The enhanced method takes the basic premium portion out of CPDLD</t>
    </r>
    <r>
      <rPr>
        <vertAlign val="subscript"/>
        <sz val="12"/>
        <color theme="1"/>
        <rFont val="Calibri"/>
        <family val="2"/>
      </rPr>
      <t>1</t>
    </r>
    <r>
      <rPr>
        <sz val="12"/>
        <color theme="1"/>
        <rFont val="Calibri"/>
        <family val="2"/>
      </rPr>
      <t>, so that the basic premium is constant like in the retro formula. Looking at the retro formula in Teng and Perkins, the tax multiplier should be included in the basic premium. In this problem, the average basic premium factor incorporates the tax multiplier. On the exam, if you’re given a problem with a basic premium factor and a separate tax multiplier, I would multiply the basic premium factor by the tax multiplier for steps 1 and 3.</t>
    </r>
  </si>
  <si>
    <t>As of December 31, 2023:</t>
  </si>
  <si>
    <r>
      <t xml:space="preserve">The cumulative loss capping ratios should </t>
    </r>
    <r>
      <rPr>
        <i/>
        <u/>
        <sz val="12"/>
        <color theme="1"/>
        <rFont val="Calibri"/>
        <family val="2"/>
      </rPr>
      <t>decrease</t>
    </r>
    <r>
      <rPr>
        <sz val="12"/>
        <color theme="1"/>
        <rFont val="Calibri"/>
        <family val="2"/>
      </rPr>
      <t xml:space="preserve"> as the retro adjustment period increases and losses mature. This is because:</t>
    </r>
  </si>
  <si>
    <t>•  Policy year 2021 has had its first retrospective adjustment</t>
  </si>
  <si>
    <t>Estimate the retrospective premium asset for policy years 2020 to 2023 as of December 31, 2023, using the</t>
  </si>
  <si>
    <r>
      <t>Only adjust CPDLD</t>
    </r>
    <r>
      <rPr>
        <vertAlign val="subscript"/>
        <sz val="12"/>
        <color theme="1"/>
        <rFont val="Calibri"/>
        <family val="2"/>
      </rPr>
      <t>1</t>
    </r>
    <r>
      <rPr>
        <sz val="12"/>
        <color theme="1"/>
        <rFont val="Calibri"/>
        <family val="2"/>
      </rPr>
      <t>. We’re adjusting CPDLD</t>
    </r>
    <r>
      <rPr>
        <vertAlign val="subscript"/>
        <sz val="12"/>
        <color theme="1"/>
        <rFont val="Calibri"/>
        <family val="2"/>
      </rPr>
      <t>1</t>
    </r>
    <r>
      <rPr>
        <sz val="12"/>
        <color theme="1"/>
        <rFont val="Calibri"/>
        <family val="2"/>
      </rPr>
      <t xml:space="preserve"> here, </t>
    </r>
    <r>
      <rPr>
        <i/>
        <u/>
        <sz val="12"/>
        <color theme="1"/>
        <rFont val="Calibri"/>
        <family val="2"/>
      </rPr>
      <t>not</t>
    </r>
    <r>
      <rPr>
        <sz val="12"/>
        <color theme="1"/>
        <rFont val="Calibri"/>
        <family val="2"/>
      </rPr>
      <t xml:space="preserve"> PDLD</t>
    </r>
    <r>
      <rPr>
        <vertAlign val="subscript"/>
        <sz val="12"/>
        <color theme="1"/>
        <rFont val="Calibri"/>
        <family val="2"/>
      </rPr>
      <t>1</t>
    </r>
    <r>
      <rPr>
        <sz val="12"/>
        <color theme="1"/>
        <rFont val="Calibri"/>
        <family val="2"/>
      </rPr>
      <t xml:space="preserve">. This is why the denominator is ELR, </t>
    </r>
    <r>
      <rPr>
        <i/>
        <u/>
        <sz val="12"/>
        <color theme="1"/>
        <rFont val="Calibri"/>
        <family val="2"/>
      </rPr>
      <t>not</t>
    </r>
    <r>
      <rPr>
        <sz val="12"/>
        <color theme="1"/>
        <rFont val="Calibri"/>
        <family val="2"/>
      </rPr>
      <t xml:space="preserve"> ELR x %Loss</t>
    </r>
    <r>
      <rPr>
        <vertAlign val="subscript"/>
        <sz val="12"/>
        <color theme="1"/>
        <rFont val="Calibri"/>
        <family val="2"/>
      </rPr>
      <t>1</t>
    </r>
    <r>
      <rPr>
        <sz val="12"/>
        <color theme="1"/>
        <rFont val="Calibri"/>
        <family val="2"/>
      </rPr>
      <t>.</t>
    </r>
  </si>
  <si>
    <r>
      <rPr>
        <b/>
        <sz val="12"/>
        <color theme="1"/>
        <rFont val="Calibri"/>
        <family val="2"/>
      </rPr>
      <t>Note:</t>
    </r>
    <r>
      <rPr>
        <sz val="12"/>
        <color theme="1"/>
        <rFont val="Calibri"/>
        <family val="2"/>
      </rPr>
      <t xml:space="preserve"> </t>
    </r>
  </si>
  <si>
    <t>Standard Premium is manual premium adjusted for experience rating.</t>
  </si>
  <si>
    <t>are made each year afterwards.</t>
  </si>
  <si>
    <t>See the table in step 4.</t>
  </si>
  <si>
    <r>
      <rPr>
        <sz val="12"/>
        <color theme="1"/>
        <rFont val="Calibri"/>
        <family val="2"/>
      </rPr>
      <t xml:space="preserve">The PDLD retro formula uses </t>
    </r>
    <r>
      <rPr>
        <i/>
        <u/>
        <sz val="12"/>
        <color theme="1"/>
        <rFont val="Calibri"/>
        <family val="2"/>
      </rPr>
      <t>incremental</t>
    </r>
    <r>
      <rPr>
        <sz val="12"/>
        <color theme="1"/>
        <rFont val="Calibri"/>
        <family val="2"/>
      </rPr>
      <t xml:space="preserve"> loss capping ratios.</t>
    </r>
  </si>
  <si>
    <t xml:space="preserve">Remember: </t>
  </si>
  <si>
    <t>Retro</t>
  </si>
  <si>
    <t>Adjustment</t>
  </si>
  <si>
    <t>CPDLD*</t>
  </si>
  <si>
    <t>Feldblum doesn’t show an example, so this is our interpretation of what an exam question might look like.</t>
  </si>
  <si>
    <t>The Fitzgibbon method is described in the Feldblum response to the Teng and Perkins paper. Feldblum doesn’t show an example but describes the method and how it’s used to estimate the ultimate retrospective premium. 
In the Fitzgibbon method, A represents the average basic premium as a percent of standard premium for a book of business. The way Feldblum describes the method, you should use the constant coefficient from the linear regression. This is because “the A factor is fitted by a regression on the aggregate book of business, [so] it would not necessarily equal the basic factor on any particular plan." 
The B parameter represents the premium responsiveness, the net retrospective premium increase for each additional dollar of loss.
On the exam, you’d need to be given the A and B parameters. The A and B parameters would be solved for with a linear regression on the aggregate book of business where Y is (Retro Premium / Standard Premium) and X is (Ultimate Incurred Loss / Standard Premium). 
Below is an example of the graphical representation of the Fitzgibbon Method for this problem:</t>
  </si>
  <si>
    <t>•  The premium booked for policy years 2020-2023 as of December 31, 2023 was:</t>
  </si>
  <si>
    <t>See pg. 281-285 in the Feldblum commentary of the Teng &amp; Perkins paper for more context on how the regression is fit.</t>
  </si>
  <si>
    <r>
      <rPr>
        <b/>
        <sz val="12"/>
        <color theme="1"/>
        <rFont val="Calibri"/>
        <family val="2"/>
      </rPr>
      <t xml:space="preserve">Note: </t>
    </r>
    <r>
      <rPr>
        <sz val="12"/>
        <color theme="1"/>
        <rFont val="Calibri"/>
        <family val="2"/>
      </rPr>
      <t>PY 2022 and 2023 have not recorded the first retro adjustment yet.</t>
    </r>
  </si>
  <si>
    <t>• Fitzgibbon calculates the ultimate premium estimate based on cumulative loss-to-date. If the retro premium-to-date has been less responsive than expected, there’s no way to get “back on track” because the method only estimates ultimate premium based on estimated ultimate losses.</t>
  </si>
  <si>
    <t>• Fitzgibbon uses a constant slope (B) for premium sensitivity, but we would expect the slope to decrease at higher overall loss ratios due to loss limits and maximum retrospective premiums.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</si>
</sst>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_(&quot;$&quot;* #,##0_);_(&quot;$&quot;* \(#,##0\);_(&quot;$&quot;* &quot;-&quot;??_);_(@_)"/>
    <numFmt numFmtId="165" formatCode="0.000"/>
    <numFmt numFmtId="166" formatCode="0.0000"/>
  </numFmts>
  <fonts count="26"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sz val="12"/>
      <color rgb="FF000000"/>
      <name val="Calibri"/>
      <family val="2"/>
    </font>
    <font>
      <u/>
      <sz val="12"/>
      <color theme="1"/>
      <name val="Calibri"/>
      <family val="2"/>
    </font>
    <font>
      <vertAlign val="subscript"/>
      <sz val="12"/>
      <color rgb="FF000000"/>
      <name val="Calibri"/>
      <family val="2"/>
    </font>
    <font>
      <b/>
      <sz val="12"/>
      <color theme="1"/>
      <name val="Calibri"/>
      <family val="2"/>
    </font>
    <font>
      <sz val="12"/>
      <name val="Calibri"/>
      <family val="2"/>
    </font>
    <font>
      <b/>
      <sz val="12"/>
      <color rgb="FF000000"/>
      <name val="Calibri"/>
      <family val="2"/>
    </font>
    <font>
      <b/>
      <i/>
      <u/>
      <sz val="12"/>
      <color theme="1"/>
      <name val="Calibri"/>
      <family val="2"/>
    </font>
    <font>
      <vertAlign val="subscript"/>
      <sz val="12"/>
      <color theme="1"/>
      <name val="Calibri"/>
      <family val="2"/>
    </font>
    <font>
      <u/>
      <sz val="14"/>
      <color theme="1"/>
      <name val="Calibri"/>
      <family val="2"/>
    </font>
    <font>
      <i/>
      <u/>
      <sz val="12"/>
      <color theme="1"/>
      <name val="Calibri"/>
      <family val="2"/>
    </font>
    <font>
      <i/>
      <sz val="12"/>
      <color theme="1"/>
      <name val="Calibri"/>
      <family val="2"/>
    </font>
    <font>
      <b/>
      <sz val="11"/>
      <color theme="1"/>
      <name val="Calibri"/>
      <family val="2"/>
    </font>
    <font>
      <b/>
      <vertAlign val="subscript"/>
      <sz val="12"/>
      <color theme="1"/>
      <name val="Calibri"/>
      <family val="2"/>
    </font>
    <font>
      <b/>
      <i/>
      <sz val="12"/>
      <color theme="1"/>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s>
  <borders count="2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44" fontId="8" fillId="0" borderId="0" applyFont="0" applyFill="0" applyBorder="0" applyAlignment="0" applyProtection="0"/>
  </cellStyleXfs>
  <cellXfs count="181">
    <xf numFmtId="0" fontId="0" fillId="0" borderId="0" xfId="0"/>
    <xf numFmtId="0" fontId="9" fillId="2" borderId="1" xfId="0" applyFont="1" applyFill="1" applyBorder="1"/>
    <xf numFmtId="0" fontId="9" fillId="0" borderId="0" xfId="0" applyFont="1"/>
    <xf numFmtId="0" fontId="10" fillId="0" borderId="0" xfId="0" applyFont="1"/>
    <xf numFmtId="0" fontId="11" fillId="0" borderId="0" xfId="0" applyFont="1"/>
    <xf numFmtId="0" fontId="12" fillId="2" borderId="7" xfId="0" applyFont="1" applyFill="1" applyBorder="1" applyAlignment="1">
      <alignment horizontal="right" vertical="center"/>
    </xf>
    <xf numFmtId="0" fontId="12" fillId="2" borderId="6" xfId="0" applyFont="1" applyFill="1" applyBorder="1" applyAlignment="1">
      <alignment horizontal="center" wrapText="1"/>
    </xf>
    <xf numFmtId="0" fontId="12" fillId="2" borderId="7" xfId="0" applyFont="1" applyFill="1" applyBorder="1" applyAlignment="1">
      <alignment horizontal="center" wrapText="1"/>
    </xf>
    <xf numFmtId="0" fontId="12" fillId="0" borderId="0" xfId="0" applyFont="1" applyAlignment="1">
      <alignment horizontal="center" vertical="center" wrapText="1"/>
    </xf>
    <xf numFmtId="165" fontId="12" fillId="0" borderId="0" xfId="0" applyNumberFormat="1" applyFont="1" applyAlignment="1">
      <alignment horizontal="center" vertical="center" wrapText="1"/>
    </xf>
    <xf numFmtId="3" fontId="12" fillId="0" borderId="0" xfId="0" applyNumberFormat="1" applyFont="1" applyAlignment="1">
      <alignment horizontal="center" vertical="center" wrapText="1"/>
    </xf>
    <xf numFmtId="1" fontId="12" fillId="0" borderId="0" xfId="0" applyNumberFormat="1" applyFont="1" applyAlignment="1">
      <alignment horizontal="center" vertical="center" wrapText="1"/>
    </xf>
    <xf numFmtId="3" fontId="12" fillId="0" borderId="6" xfId="0" applyNumberFormat="1" applyFont="1" applyBorder="1" applyAlignment="1">
      <alignment horizontal="center" vertical="center" wrapText="1"/>
    </xf>
    <xf numFmtId="165" fontId="12" fillId="0" borderId="6" xfId="0" applyNumberFormat="1" applyFont="1" applyBorder="1" applyAlignment="1">
      <alignment horizontal="center" vertical="center" wrapText="1"/>
    </xf>
    <xf numFmtId="1" fontId="12" fillId="0" borderId="6" xfId="0" applyNumberFormat="1" applyFont="1" applyBorder="1" applyAlignment="1">
      <alignment horizontal="center" vertical="center" wrapText="1"/>
    </xf>
    <xf numFmtId="0" fontId="15" fillId="0" borderId="0" xfId="0" applyFont="1"/>
    <xf numFmtId="166" fontId="12" fillId="0" borderId="0" xfId="0" applyNumberFormat="1" applyFont="1" applyAlignment="1">
      <alignment horizontal="center" vertical="center" wrapText="1"/>
    </xf>
    <xf numFmtId="0" fontId="16" fillId="0" borderId="0" xfId="0" applyFont="1" applyAlignment="1">
      <alignment horizontal="center" vertical="center" wrapText="1"/>
    </xf>
    <xf numFmtId="165" fontId="16" fillId="0" borderId="0" xfId="0" applyNumberFormat="1" applyFont="1" applyAlignment="1">
      <alignment horizontal="center" vertical="center" wrapText="1"/>
    </xf>
    <xf numFmtId="0" fontId="13" fillId="0" borderId="0" xfId="0" applyFont="1"/>
    <xf numFmtId="0" fontId="20" fillId="0" borderId="0" xfId="0" applyFont="1"/>
    <xf numFmtId="0" fontId="23" fillId="0" borderId="0" xfId="0" applyFont="1"/>
    <xf numFmtId="0" fontId="15" fillId="0" borderId="0" xfId="0" applyFont="1" applyAlignment="1">
      <alignment horizontal="right"/>
    </xf>
    <xf numFmtId="0" fontId="12" fillId="2" borderId="13" xfId="0" applyFont="1" applyFill="1" applyBorder="1" applyAlignment="1">
      <alignment horizontal="center" vertical="center" wrapText="1"/>
    </xf>
    <xf numFmtId="0" fontId="12" fillId="2" borderId="14" xfId="0" applyFont="1" applyFill="1" applyBorder="1" applyAlignment="1">
      <alignment horizontal="center" vertical="center" wrapText="1"/>
    </xf>
    <xf numFmtId="9" fontId="12" fillId="2" borderId="0" xfId="0" applyNumberFormat="1" applyFont="1" applyFill="1" applyAlignment="1">
      <alignment horizontal="center" vertical="center" wrapText="1"/>
    </xf>
    <xf numFmtId="9" fontId="12" fillId="2" borderId="7" xfId="0" applyNumberFormat="1" applyFont="1" applyFill="1" applyBorder="1" applyAlignment="1">
      <alignment horizontal="center" vertical="center" wrapText="1"/>
    </xf>
    <xf numFmtId="9" fontId="12" fillId="2" borderId="6" xfId="0" applyNumberFormat="1" applyFont="1" applyFill="1" applyBorder="1" applyAlignment="1">
      <alignment horizontal="center" vertical="center" wrapText="1"/>
    </xf>
    <xf numFmtId="9" fontId="12" fillId="2" borderId="8" xfId="0" applyNumberFormat="1" applyFont="1" applyFill="1" applyBorder="1" applyAlignment="1">
      <alignment horizontal="center" vertical="center" wrapText="1"/>
    </xf>
    <xf numFmtId="0" fontId="12" fillId="2" borderId="14" xfId="0" applyFont="1" applyFill="1" applyBorder="1" applyAlignment="1">
      <alignment horizontal="center" wrapText="1"/>
    </xf>
    <xf numFmtId="0" fontId="12" fillId="2" borderId="13" xfId="0" applyFont="1" applyFill="1" applyBorder="1" applyAlignment="1">
      <alignment horizontal="center" wrapText="1"/>
    </xf>
    <xf numFmtId="0" fontId="12" fillId="2" borderId="17" xfId="0" applyFont="1" applyFill="1" applyBorder="1" applyAlignment="1">
      <alignment horizontal="center" wrapText="1"/>
    </xf>
    <xf numFmtId="0" fontId="12" fillId="2" borderId="0" xfId="0" applyFont="1" applyFill="1" applyAlignment="1">
      <alignment horizontal="center" wrapText="1"/>
    </xf>
    <xf numFmtId="0" fontId="12" fillId="2" borderId="18" xfId="0" applyFont="1" applyFill="1" applyBorder="1" applyAlignment="1">
      <alignment horizontal="center" wrapText="1"/>
    </xf>
    <xf numFmtId="0" fontId="12" fillId="2" borderId="8" xfId="0" applyFont="1" applyFill="1" applyBorder="1" applyAlignment="1">
      <alignment horizontal="center" wrapText="1"/>
    </xf>
    <xf numFmtId="0" fontId="12" fillId="2" borderId="20" xfId="0" applyFont="1" applyFill="1" applyBorder="1" applyAlignment="1">
      <alignment horizontal="center" wrapText="1"/>
    </xf>
    <xf numFmtId="0" fontId="13" fillId="2" borderId="20" xfId="0" applyFont="1" applyFill="1" applyBorder="1" applyAlignment="1">
      <alignment horizontal="center"/>
    </xf>
    <xf numFmtId="0" fontId="13" fillId="2" borderId="21" xfId="0" applyFont="1" applyFill="1" applyBorder="1" applyAlignment="1">
      <alignment horizontal="center"/>
    </xf>
    <xf numFmtId="0" fontId="12" fillId="2" borderId="19" xfId="0" applyFont="1" applyFill="1" applyBorder="1" applyAlignment="1">
      <alignment horizontal="center" wrapText="1"/>
    </xf>
    <xf numFmtId="0" fontId="12" fillId="2" borderId="21" xfId="0" applyFont="1" applyFill="1" applyBorder="1" applyAlignment="1">
      <alignment horizontal="center" wrapText="1"/>
    </xf>
    <xf numFmtId="0" fontId="12" fillId="2" borderId="16" xfId="0" applyFont="1" applyFill="1" applyBorder="1" applyAlignment="1">
      <alignment horizontal="center" wrapText="1"/>
    </xf>
    <xf numFmtId="0" fontId="12" fillId="2" borderId="22" xfId="0" applyFont="1" applyFill="1" applyBorder="1" applyAlignment="1">
      <alignment horizontal="center" wrapText="1"/>
    </xf>
    <xf numFmtId="3" fontId="12" fillId="2" borderId="19" xfId="0" applyNumberFormat="1" applyFont="1" applyFill="1" applyBorder="1" applyAlignment="1">
      <alignment horizontal="center" wrapText="1"/>
    </xf>
    <xf numFmtId="3" fontId="12" fillId="2" borderId="20" xfId="0" applyNumberFormat="1" applyFont="1" applyFill="1" applyBorder="1" applyAlignment="1">
      <alignment horizontal="center" wrapText="1"/>
    </xf>
    <xf numFmtId="3" fontId="12" fillId="2" borderId="21" xfId="0" applyNumberFormat="1" applyFont="1" applyFill="1" applyBorder="1" applyAlignment="1">
      <alignment horizontal="center" wrapText="1"/>
    </xf>
    <xf numFmtId="3" fontId="12" fillId="2" borderId="15" xfId="0" applyNumberFormat="1" applyFont="1" applyFill="1" applyBorder="1" applyAlignment="1">
      <alignment horizontal="center" wrapText="1"/>
    </xf>
    <xf numFmtId="3" fontId="12" fillId="2" borderId="0" xfId="0" applyNumberFormat="1" applyFont="1" applyFill="1" applyAlignment="1">
      <alignment horizontal="center" wrapText="1"/>
    </xf>
    <xf numFmtId="3" fontId="12" fillId="2" borderId="7" xfId="0" applyNumberFormat="1" applyFont="1" applyFill="1" applyBorder="1" applyAlignment="1">
      <alignment horizontal="center" wrapText="1"/>
    </xf>
    <xf numFmtId="3" fontId="12" fillId="2" borderId="16" xfId="0" applyNumberFormat="1" applyFont="1" applyFill="1" applyBorder="1" applyAlignment="1">
      <alignment horizontal="center" wrapText="1"/>
    </xf>
    <xf numFmtId="0" fontId="13" fillId="2" borderId="0" xfId="0" applyFont="1" applyFill="1"/>
    <xf numFmtId="0" fontId="12" fillId="2" borderId="11" xfId="0" applyFont="1" applyFill="1" applyBorder="1" applyAlignment="1">
      <alignment horizontal="center" wrapText="1"/>
    </xf>
    <xf numFmtId="0" fontId="12" fillId="2" borderId="12" xfId="0" applyFont="1" applyFill="1" applyBorder="1" applyAlignment="1">
      <alignment horizontal="center" wrapText="1"/>
    </xf>
    <xf numFmtId="2" fontId="12" fillId="2" borderId="21" xfId="0" applyNumberFormat="1" applyFont="1" applyFill="1" applyBorder="1" applyAlignment="1">
      <alignment horizontal="center" wrapText="1"/>
    </xf>
    <xf numFmtId="10" fontId="12" fillId="2" borderId="16" xfId="0" applyNumberFormat="1" applyFont="1" applyFill="1" applyBorder="1" applyAlignment="1">
      <alignment horizontal="center" wrapText="1"/>
    </xf>
    <xf numFmtId="10" fontId="12" fillId="2" borderId="6" xfId="0" applyNumberFormat="1" applyFont="1" applyFill="1" applyBorder="1" applyAlignment="1">
      <alignment horizontal="center" wrapText="1"/>
    </xf>
    <xf numFmtId="10" fontId="12" fillId="2" borderId="8" xfId="0" applyNumberFormat="1" applyFont="1" applyFill="1" applyBorder="1" applyAlignment="1">
      <alignment horizontal="center" wrapText="1"/>
    </xf>
    <xf numFmtId="0" fontId="16" fillId="2" borderId="0" xfId="0" applyFont="1" applyFill="1" applyAlignment="1">
      <alignment horizontal="center" vertical="center" wrapText="1"/>
    </xf>
    <xf numFmtId="0" fontId="16" fillId="2" borderId="22"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6" fillId="2" borderId="19" xfId="0" applyFont="1" applyFill="1" applyBorder="1" applyAlignment="1">
      <alignment horizontal="center" vertical="center" wrapText="1"/>
    </xf>
    <xf numFmtId="0" fontId="16" fillId="2" borderId="20" xfId="0" applyFont="1" applyFill="1" applyBorder="1" applyAlignment="1">
      <alignment horizontal="center" vertical="center" wrapText="1"/>
    </xf>
    <xf numFmtId="10" fontId="16" fillId="2" borderId="20" xfId="0" applyNumberFormat="1" applyFont="1" applyFill="1" applyBorder="1" applyAlignment="1">
      <alignment horizontal="center" vertical="center" wrapText="1"/>
    </xf>
    <xf numFmtId="10" fontId="16" fillId="2" borderId="21" xfId="0" applyNumberFormat="1" applyFont="1" applyFill="1" applyBorder="1" applyAlignment="1">
      <alignment horizontal="center" vertical="center" wrapText="1"/>
    </xf>
    <xf numFmtId="0" fontId="16" fillId="2" borderId="15" xfId="0" applyFont="1" applyFill="1" applyBorder="1" applyAlignment="1">
      <alignment horizontal="center" vertical="center" wrapText="1"/>
    </xf>
    <xf numFmtId="10" fontId="16" fillId="2" borderId="0" xfId="0" applyNumberFormat="1" applyFont="1" applyFill="1" applyAlignment="1">
      <alignment horizontal="center" vertical="center" wrapText="1"/>
    </xf>
    <xf numFmtId="10" fontId="16" fillId="2" borderId="7" xfId="0" applyNumberFormat="1" applyFont="1" applyFill="1" applyBorder="1" applyAlignment="1">
      <alignment horizontal="center" vertical="center" wrapText="1"/>
    </xf>
    <xf numFmtId="0" fontId="16" fillId="2" borderId="16" xfId="0" applyFont="1" applyFill="1" applyBorder="1" applyAlignment="1">
      <alignment horizontal="center" vertical="center" wrapText="1"/>
    </xf>
    <xf numFmtId="0" fontId="16" fillId="2" borderId="6" xfId="0" applyFont="1" applyFill="1" applyBorder="1" applyAlignment="1">
      <alignment horizontal="center" vertical="center" wrapText="1"/>
    </xf>
    <xf numFmtId="10" fontId="16" fillId="2" borderId="6" xfId="0" applyNumberFormat="1" applyFont="1" applyFill="1" applyBorder="1" applyAlignment="1">
      <alignment horizontal="center" vertical="center" wrapText="1"/>
    </xf>
    <xf numFmtId="10" fontId="16" fillId="2" borderId="8" xfId="0" applyNumberFormat="1" applyFont="1" applyFill="1" applyBorder="1" applyAlignment="1">
      <alignment horizontal="center" vertical="center" wrapText="1"/>
    </xf>
    <xf numFmtId="3" fontId="12" fillId="2" borderId="8" xfId="0" applyNumberFormat="1" applyFont="1" applyFill="1" applyBorder="1" applyAlignment="1">
      <alignment horizontal="center" wrapText="1"/>
    </xf>
    <xf numFmtId="0" fontId="12" fillId="0" borderId="6" xfId="0" applyFont="1" applyBorder="1" applyAlignment="1">
      <alignment horizontal="center" wrapText="1"/>
    </xf>
    <xf numFmtId="0" fontId="12" fillId="0" borderId="6"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7" xfId="0" applyFont="1" applyBorder="1" applyAlignment="1">
      <alignment horizontal="center" vertical="center" wrapText="1"/>
    </xf>
    <xf numFmtId="0" fontId="16" fillId="0" borderId="7" xfId="0" applyFont="1" applyBorder="1" applyAlignment="1">
      <alignment horizontal="center" vertical="center" wrapText="1"/>
    </xf>
    <xf numFmtId="0" fontId="12" fillId="0" borderId="8" xfId="0" applyFont="1" applyBorder="1" applyAlignment="1">
      <alignment horizontal="center" wrapText="1"/>
    </xf>
    <xf numFmtId="3" fontId="12" fillId="0" borderId="7" xfId="0" applyNumberFormat="1" applyFont="1" applyBorder="1" applyAlignment="1">
      <alignment horizontal="center" vertical="center" wrapText="1"/>
    </xf>
    <xf numFmtId="3" fontId="12" fillId="0" borderId="8" xfId="0" applyNumberFormat="1" applyFont="1" applyBorder="1" applyAlignment="1">
      <alignment horizontal="center" vertical="center" wrapText="1"/>
    </xf>
    <xf numFmtId="0" fontId="7" fillId="2" borderId="0" xfId="0" applyFont="1" applyFill="1"/>
    <xf numFmtId="0" fontId="7" fillId="2" borderId="2" xfId="0" applyFont="1" applyFill="1" applyBorder="1"/>
    <xf numFmtId="0" fontId="7" fillId="0" borderId="0" xfId="0" applyFont="1"/>
    <xf numFmtId="2" fontId="7" fillId="2" borderId="1" xfId="0" applyNumberFormat="1" applyFont="1" applyFill="1" applyBorder="1" applyAlignment="1">
      <alignment horizontal="left"/>
    </xf>
    <xf numFmtId="0" fontId="7" fillId="2" borderId="12" xfId="0" applyFont="1" applyFill="1" applyBorder="1"/>
    <xf numFmtId="0" fontId="7" fillId="2" borderId="15" xfId="0" applyFont="1" applyFill="1" applyBorder="1"/>
    <xf numFmtId="2" fontId="7" fillId="2" borderId="0" xfId="0" applyNumberFormat="1" applyFont="1" applyFill="1" applyAlignment="1">
      <alignment horizontal="center"/>
    </xf>
    <xf numFmtId="0" fontId="7" fillId="2" borderId="0" xfId="0" applyFont="1" applyFill="1" applyAlignment="1">
      <alignment horizontal="center"/>
    </xf>
    <xf numFmtId="9" fontId="7" fillId="2" borderId="0" xfId="0" applyNumberFormat="1" applyFont="1" applyFill="1" applyAlignment="1">
      <alignment horizontal="center"/>
    </xf>
    <xf numFmtId="0" fontId="7" fillId="2" borderId="3" xfId="0" applyFont="1" applyFill="1" applyBorder="1"/>
    <xf numFmtId="0" fontId="7" fillId="2" borderId="4" xfId="0" applyFont="1" applyFill="1" applyBorder="1"/>
    <xf numFmtId="164" fontId="7" fillId="2" borderId="4" xfId="1" applyNumberFormat="1" applyFont="1" applyFill="1" applyBorder="1"/>
    <xf numFmtId="0" fontId="7" fillId="2" borderId="5" xfId="0" applyFont="1" applyFill="1" applyBorder="1"/>
    <xf numFmtId="165" fontId="7" fillId="0" borderId="0" xfId="0" applyNumberFormat="1" applyFont="1"/>
    <xf numFmtId="0" fontId="7" fillId="0" borderId="8"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165" fontId="7" fillId="0" borderId="0" xfId="0" applyNumberFormat="1" applyFont="1" applyAlignment="1">
      <alignment horizontal="center"/>
    </xf>
    <xf numFmtId="6" fontId="7" fillId="2" borderId="0" xfId="0" applyNumberFormat="1" applyFont="1" applyFill="1"/>
    <xf numFmtId="0" fontId="17" fillId="0" borderId="0" xfId="0" applyFont="1" applyAlignment="1">
      <alignment horizontal="right"/>
    </xf>
    <xf numFmtId="0" fontId="7" fillId="2" borderId="0" xfId="0" applyFont="1" applyFill="1" applyAlignment="1">
      <alignment horizontal="right"/>
    </xf>
    <xf numFmtId="0" fontId="7" fillId="0" borderId="9" xfId="0" applyFont="1" applyBorder="1" applyAlignment="1">
      <alignment horizontal="center"/>
    </xf>
    <xf numFmtId="2" fontId="7" fillId="0" borderId="10" xfId="0" applyNumberFormat="1" applyFont="1" applyBorder="1" applyAlignment="1">
      <alignment horizontal="center"/>
    </xf>
    <xf numFmtId="0" fontId="7" fillId="0" borderId="0" xfId="0" applyFont="1" applyAlignment="1">
      <alignment wrapText="1"/>
    </xf>
    <xf numFmtId="0" fontId="15" fillId="0" borderId="0" xfId="0" applyFont="1" applyAlignment="1">
      <alignment horizontal="left" wrapText="1"/>
    </xf>
    <xf numFmtId="165" fontId="7" fillId="0" borderId="0" xfId="0" applyNumberFormat="1" applyFont="1" applyAlignment="1">
      <alignment horizontal="center" wrapText="1"/>
    </xf>
    <xf numFmtId="0" fontId="7" fillId="0" borderId="6" xfId="0" applyFont="1" applyBorder="1" applyAlignment="1">
      <alignment horizontal="center" wrapText="1"/>
    </xf>
    <xf numFmtId="0" fontId="7" fillId="0" borderId="8" xfId="0" applyFont="1" applyBorder="1" applyAlignment="1">
      <alignment horizontal="center" wrapText="1"/>
    </xf>
    <xf numFmtId="0" fontId="7" fillId="0" borderId="7" xfId="0" applyFont="1" applyBorder="1" applyAlignment="1">
      <alignment horizontal="center" wrapText="1"/>
    </xf>
    <xf numFmtId="6" fontId="7" fillId="0" borderId="10" xfId="0" applyNumberFormat="1" applyFont="1" applyBorder="1" applyAlignment="1">
      <alignment horizontal="center"/>
    </xf>
    <xf numFmtId="0" fontId="16" fillId="0" borderId="8" xfId="0" applyFont="1" applyBorder="1" applyAlignment="1">
      <alignment horizontal="center" wrapText="1"/>
    </xf>
    <xf numFmtId="166" fontId="7" fillId="0" borderId="10" xfId="0" applyNumberFormat="1" applyFont="1" applyBorder="1" applyAlignment="1">
      <alignment horizontal="center"/>
    </xf>
    <xf numFmtId="0" fontId="7" fillId="0" borderId="0" xfId="0" applyFont="1" applyAlignment="1">
      <alignment horizontal="left" indent="2"/>
    </xf>
    <xf numFmtId="0" fontId="6" fillId="0" borderId="0" xfId="0" applyFont="1"/>
    <xf numFmtId="0" fontId="6" fillId="2" borderId="0" xfId="0" applyFont="1" applyFill="1"/>
    <xf numFmtId="0" fontId="7" fillId="0" borderId="7" xfId="0" applyFont="1" applyBorder="1"/>
    <xf numFmtId="165" fontId="7" fillId="0" borderId="7" xfId="0" applyNumberFormat="1" applyFont="1" applyBorder="1"/>
    <xf numFmtId="0" fontId="7" fillId="0" borderId="0" xfId="0" applyFont="1" applyAlignment="1">
      <alignment horizontal="center"/>
    </xf>
    <xf numFmtId="6" fontId="7" fillId="0" borderId="0" xfId="0" applyNumberFormat="1" applyFont="1" applyAlignment="1">
      <alignment horizontal="center"/>
    </xf>
    <xf numFmtId="0" fontId="7" fillId="0" borderId="0" xfId="0" applyFont="1" applyAlignment="1">
      <alignment vertical="center"/>
    </xf>
    <xf numFmtId="0" fontId="6" fillId="0" borderId="7" xfId="0" applyFont="1" applyBorder="1" applyAlignment="1">
      <alignment horizontal="center"/>
    </xf>
    <xf numFmtId="165" fontId="12" fillId="3" borderId="0" xfId="0" applyNumberFormat="1" applyFont="1" applyFill="1" applyAlignment="1">
      <alignment horizontal="center" vertical="center" wrapText="1"/>
    </xf>
    <xf numFmtId="165" fontId="12" fillId="3" borderId="6" xfId="0" applyNumberFormat="1" applyFont="1" applyFill="1" applyBorder="1" applyAlignment="1">
      <alignment horizontal="center" vertical="center" wrapText="1"/>
    </xf>
    <xf numFmtId="165" fontId="12" fillId="3" borderId="25" xfId="0" applyNumberFormat="1" applyFont="1" applyFill="1" applyBorder="1" applyAlignment="1">
      <alignment horizontal="center" vertical="center" wrapText="1"/>
    </xf>
    <xf numFmtId="165" fontId="12" fillId="0" borderId="25" xfId="0" applyNumberFormat="1" applyFont="1" applyBorder="1" applyAlignment="1">
      <alignment horizontal="center" vertical="center" wrapText="1"/>
    </xf>
    <xf numFmtId="165" fontId="12" fillId="0" borderId="26" xfId="0" applyNumberFormat="1" applyFont="1" applyBorder="1" applyAlignment="1">
      <alignment horizontal="center" vertical="center" wrapText="1"/>
    </xf>
    <xf numFmtId="0" fontId="5" fillId="2" borderId="0" xfId="0" applyFont="1" applyFill="1"/>
    <xf numFmtId="0" fontId="3" fillId="0" borderId="0" xfId="0" applyFont="1"/>
    <xf numFmtId="0" fontId="7" fillId="2" borderId="12" xfId="0" applyFont="1" applyFill="1" applyBorder="1" applyAlignment="1">
      <alignment horizontal="center"/>
    </xf>
    <xf numFmtId="0" fontId="7" fillId="2" borderId="14" xfId="0" applyFont="1" applyFill="1" applyBorder="1" applyAlignment="1">
      <alignment horizontal="center"/>
    </xf>
    <xf numFmtId="0" fontId="7" fillId="2" borderId="13" xfId="0" applyFont="1" applyFill="1" applyBorder="1" applyAlignment="1">
      <alignment horizontal="center"/>
    </xf>
    <xf numFmtId="0" fontId="12" fillId="2" borderId="16" xfId="0" applyFont="1" applyFill="1" applyBorder="1" applyAlignment="1">
      <alignment horizontal="center" vertical="center"/>
    </xf>
    <xf numFmtId="0" fontId="12" fillId="2" borderId="8" xfId="0" applyFont="1" applyFill="1" applyBorder="1" applyAlignment="1">
      <alignment horizontal="center" vertical="center"/>
    </xf>
    <xf numFmtId="0" fontId="7" fillId="0" borderId="0" xfId="0" applyFont="1" applyAlignment="1">
      <alignment horizontal="left" vertical="center" wrapText="1"/>
    </xf>
    <xf numFmtId="0" fontId="7" fillId="2" borderId="22" xfId="0" applyFont="1" applyFill="1" applyBorder="1" applyAlignment="1">
      <alignment horizontal="center" wrapText="1"/>
    </xf>
    <xf numFmtId="0" fontId="7" fillId="2" borderId="18" xfId="0" applyFont="1" applyFill="1" applyBorder="1" applyAlignment="1">
      <alignment horizontal="center" wrapText="1"/>
    </xf>
    <xf numFmtId="0" fontId="15" fillId="0" borderId="0" xfId="0" applyFont="1" applyAlignment="1">
      <alignment horizontal="left" wrapText="1"/>
    </xf>
    <xf numFmtId="0" fontId="7" fillId="0" borderId="0" xfId="0" applyFont="1" applyAlignment="1">
      <alignment horizontal="left" wrapText="1"/>
    </xf>
    <xf numFmtId="0" fontId="7" fillId="0" borderId="0" xfId="0" applyFont="1" applyAlignment="1">
      <alignment horizontal="left" wrapText="1" indent="2"/>
    </xf>
    <xf numFmtId="165" fontId="7" fillId="0" borderId="0" xfId="0" applyNumberFormat="1" applyFont="1" applyAlignment="1">
      <alignment horizontal="left" wrapText="1" indent="2"/>
    </xf>
    <xf numFmtId="0" fontId="12" fillId="2" borderId="21" xfId="0" applyFont="1" applyFill="1" applyBorder="1" applyAlignment="1">
      <alignment horizontal="center" wrapText="1"/>
    </xf>
    <xf numFmtId="0" fontId="12" fillId="2" borderId="7" xfId="0" applyFont="1" applyFill="1" applyBorder="1" applyAlignment="1">
      <alignment horizontal="center" wrapText="1"/>
    </xf>
    <xf numFmtId="0" fontId="12" fillId="2" borderId="8" xfId="0" applyFont="1" applyFill="1" applyBorder="1" applyAlignment="1">
      <alignment horizontal="center" wrapText="1"/>
    </xf>
    <xf numFmtId="0" fontId="12" fillId="2" borderId="20" xfId="0" applyFont="1" applyFill="1" applyBorder="1" applyAlignment="1">
      <alignment horizontal="center" wrapText="1"/>
    </xf>
    <xf numFmtId="0" fontId="12" fillId="2" borderId="0" xfId="0" applyFont="1" applyFill="1" applyAlignment="1">
      <alignment horizontal="center" wrapText="1"/>
    </xf>
    <xf numFmtId="0" fontId="12" fillId="2" borderId="6" xfId="0" applyFont="1" applyFill="1" applyBorder="1" applyAlignment="1">
      <alignment horizontal="center" wrapText="1"/>
    </xf>
    <xf numFmtId="0" fontId="12" fillId="2" borderId="19" xfId="0" applyFont="1" applyFill="1" applyBorder="1" applyAlignment="1">
      <alignment horizontal="center" wrapText="1"/>
    </xf>
    <xf numFmtId="0" fontId="12" fillId="2" borderId="15" xfId="0" applyFont="1" applyFill="1" applyBorder="1" applyAlignment="1">
      <alignment horizontal="center" wrapText="1"/>
    </xf>
    <xf numFmtId="0" fontId="12" fillId="2" borderId="16" xfId="0" applyFont="1" applyFill="1" applyBorder="1" applyAlignment="1">
      <alignment horizontal="center" wrapText="1"/>
    </xf>
    <xf numFmtId="0" fontId="12" fillId="2" borderId="22" xfId="0" applyFont="1" applyFill="1" applyBorder="1" applyAlignment="1">
      <alignment horizontal="center" wrapText="1"/>
    </xf>
    <xf numFmtId="0" fontId="12" fillId="2" borderId="17" xfId="0" applyFont="1" applyFill="1" applyBorder="1" applyAlignment="1">
      <alignment horizontal="center" wrapText="1"/>
    </xf>
    <xf numFmtId="0" fontId="12" fillId="2" borderId="18" xfId="0" applyFont="1" applyFill="1" applyBorder="1" applyAlignment="1">
      <alignment horizontal="center" wrapText="1"/>
    </xf>
    <xf numFmtId="0" fontId="12" fillId="0" borderId="0" xfId="0" applyFont="1" applyAlignment="1">
      <alignment horizontal="center" vertical="center" wrapText="1"/>
    </xf>
    <xf numFmtId="0" fontId="12" fillId="0" borderId="6" xfId="0" applyFont="1" applyBorder="1" applyAlignment="1">
      <alignment horizontal="center" vertical="center" wrapText="1"/>
    </xf>
    <xf numFmtId="0" fontId="6" fillId="0" borderId="0" xfId="0" applyFont="1" applyAlignment="1">
      <alignment horizontal="left"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6" fillId="2" borderId="21" xfId="0" applyFont="1" applyFill="1" applyBorder="1" applyAlignment="1">
      <alignment horizontal="center" wrapText="1"/>
    </xf>
    <xf numFmtId="0" fontId="16" fillId="2" borderId="7" xfId="0" applyFont="1" applyFill="1" applyBorder="1" applyAlignment="1">
      <alignment horizontal="center" wrapText="1"/>
    </xf>
    <xf numFmtId="0" fontId="16" fillId="2" borderId="8" xfId="0" applyFont="1" applyFill="1" applyBorder="1" applyAlignment="1">
      <alignment horizontal="center" wrapText="1"/>
    </xf>
    <xf numFmtId="0" fontId="16" fillId="2" borderId="20" xfId="0" applyFont="1" applyFill="1" applyBorder="1" applyAlignment="1">
      <alignment horizontal="center" wrapText="1"/>
    </xf>
    <xf numFmtId="0" fontId="16" fillId="2" borderId="0" xfId="0" applyFont="1" applyFill="1" applyAlignment="1">
      <alignment horizontal="center" wrapText="1"/>
    </xf>
    <xf numFmtId="0" fontId="16" fillId="2" borderId="6" xfId="0" applyFont="1" applyFill="1" applyBorder="1" applyAlignment="1">
      <alignment horizontal="center" wrapText="1"/>
    </xf>
    <xf numFmtId="0" fontId="16" fillId="2" borderId="19" xfId="0" applyFont="1" applyFill="1" applyBorder="1" applyAlignment="1">
      <alignment horizontal="center" wrapText="1"/>
    </xf>
    <xf numFmtId="0" fontId="16" fillId="2" borderId="15" xfId="0" applyFont="1" applyFill="1" applyBorder="1" applyAlignment="1">
      <alignment horizontal="center" wrapText="1"/>
    </xf>
    <xf numFmtId="0" fontId="16" fillId="2" borderId="16" xfId="0" applyFont="1" applyFill="1" applyBorder="1" applyAlignment="1">
      <alignment horizontal="center" wrapText="1"/>
    </xf>
    <xf numFmtId="0" fontId="16" fillId="2" borderId="22" xfId="0" applyFont="1" applyFill="1" applyBorder="1" applyAlignment="1">
      <alignment horizontal="center" wrapText="1"/>
    </xf>
    <xf numFmtId="0" fontId="16" fillId="2" borderId="17" xfId="0" applyFont="1" applyFill="1" applyBorder="1" applyAlignment="1">
      <alignment horizontal="center" wrapText="1"/>
    </xf>
    <xf numFmtId="0" fontId="16" fillId="2" borderId="18" xfId="0" applyFont="1" applyFill="1" applyBorder="1" applyAlignment="1">
      <alignment horizontal="center" wrapText="1"/>
    </xf>
    <xf numFmtId="0" fontId="16" fillId="0" borderId="0" xfId="0" applyFont="1" applyAlignment="1">
      <alignment horizontal="center" wrapText="1"/>
    </xf>
    <xf numFmtId="0" fontId="16" fillId="0" borderId="6" xfId="0" applyFont="1" applyBorder="1" applyAlignment="1">
      <alignment horizontal="center" wrapText="1"/>
    </xf>
    <xf numFmtId="0" fontId="2" fillId="0" borderId="0" xfId="0" applyFont="1" applyAlignment="1">
      <alignment horizontal="left" wrapText="1"/>
    </xf>
    <xf numFmtId="0" fontId="5" fillId="0" borderId="0" xfId="0" applyFont="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top"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0" xfId="0" applyFont="1" applyAlignment="1">
      <alignment horizontal="center" wrapText="1"/>
    </xf>
    <xf numFmtId="0" fontId="12" fillId="0" borderId="6" xfId="0" applyFont="1" applyBorder="1" applyAlignment="1">
      <alignment horizontal="center" wrapText="1"/>
    </xf>
    <xf numFmtId="0" fontId="12" fillId="0" borderId="23" xfId="0" applyFont="1" applyBorder="1" applyAlignment="1">
      <alignment horizontal="center" wrapText="1"/>
    </xf>
    <xf numFmtId="0" fontId="12" fillId="0" borderId="24" xfId="0" applyFont="1" applyBorder="1" applyAlignment="1">
      <alignment horizont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660400</xdr:colOff>
      <xdr:row>57</xdr:row>
      <xdr:rowOff>529</xdr:rowOff>
    </xdr:from>
    <xdr:ext cx="4072974" cy="35009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485900" y="11959696"/>
              <a:ext cx="4072974" cy="350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𝑃𝐷𝐿𝐷</m:t>
                        </m:r>
                      </m:e>
                      <m:sub>
                        <m:r>
                          <a:rPr lang="en-US" sz="1100" b="0" i="1">
                            <a:latin typeface="Cambria Math" panose="02040503050406030204" pitchFamily="18" charset="0"/>
                          </a:rPr>
                          <m:t>1</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1</m:t>
                            </m:r>
                          </m:sub>
                        </m:sSub>
                      </m:num>
                      <m:den>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1</m:t>
                            </m:r>
                          </m:sub>
                        </m:sSub>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m:t>
                        </m:r>
                        <m:r>
                          <a:rPr lang="en-US" sz="1100" b="0" i="1">
                            <a:latin typeface="Cambria Math" panose="02040503050406030204" pitchFamily="18" charset="0"/>
                          </a:rPr>
                          <m:t>𝐵𝑎𝑠𝑖𝑐</m:t>
                        </m:r>
                        <m:r>
                          <a:rPr lang="en-US" sz="1100" b="0" i="1">
                            <a:latin typeface="Cambria Math" panose="02040503050406030204" pitchFamily="18" charset="0"/>
                          </a:rPr>
                          <m:t> </m:t>
                        </m:r>
                        <m:r>
                          <a:rPr lang="en-US" sz="1100" b="0" i="1">
                            <a:latin typeface="Cambria Math" panose="02040503050406030204" pitchFamily="18" charset="0"/>
                          </a:rPr>
                          <m:t>𝑃𝑟𝑒𝑚</m:t>
                        </m:r>
                        <m:r>
                          <a:rPr lang="en-US" sz="1100" b="0" i="1">
                            <a:latin typeface="Cambria Math" panose="02040503050406030204" pitchFamily="18" charset="0"/>
                          </a:rPr>
                          <m:t>+ </m:t>
                        </m:r>
                        <m:sSub>
                          <m:sSubPr>
                            <m:ctrlPr>
                              <a:rPr lang="en-US" sz="1100" b="0" i="1">
                                <a:latin typeface="Cambria Math" panose="02040503050406030204" pitchFamily="18" charset="0"/>
                              </a:rPr>
                            </m:ctrlPr>
                          </m:sSubPr>
                          <m:e>
                            <m:r>
                              <a:rPr lang="en-US" sz="1100" b="0" i="1">
                                <a:latin typeface="Cambria Math" panose="02040503050406030204" pitchFamily="18" charset="0"/>
                              </a:rPr>
                              <m:t>𝐶𝑎𝑝𝑝𝑒𝑑</m:t>
                            </m:r>
                            <m:r>
                              <a:rPr lang="en-US" sz="1100" b="0" i="1">
                                <a:latin typeface="Cambria Math" panose="02040503050406030204" pitchFamily="18" charset="0"/>
                              </a:rPr>
                              <m:t> </m:t>
                            </m:r>
                            <m:r>
                              <a:rPr lang="en-US" sz="1100" b="0" i="1">
                                <a:latin typeface="Cambria Math" panose="02040503050406030204" pitchFamily="18" charset="0"/>
                              </a:rPr>
                              <m:t>𝐿𝑜𝑠𝑠</m:t>
                            </m:r>
                          </m:e>
                          <m:sub>
                            <m:r>
                              <a:rPr lang="en-US" sz="1100" b="0" i="1">
                                <a:latin typeface="Cambria Math" panose="02040503050406030204" pitchFamily="18" charset="0"/>
                              </a:rPr>
                              <m:t>1</m:t>
                            </m:r>
                          </m:sub>
                        </m:sSub>
                        <m:r>
                          <a:rPr lang="en-US" sz="1100" i="1">
                            <a:solidFill>
                              <a:schemeClr val="tx1"/>
                            </a:solidFill>
                            <a:effectLst/>
                            <a:latin typeface="Cambria Math" panose="02040503050406030204" pitchFamily="18" charset="0"/>
                            <a:ea typeface="+mn-ea"/>
                            <a:cs typeface="+mn-cs"/>
                          </a:rPr>
                          <m:t>×</m:t>
                        </m:r>
                        <m:r>
                          <m:rPr>
                            <m:nor/>
                          </m:rPr>
                          <a:rPr lang="en-US">
                            <a:effectLst/>
                          </a:rPr>
                          <m:t> </m:t>
                        </m:r>
                        <m:r>
                          <a:rPr lang="en-US" sz="1100" b="0" i="1">
                            <a:latin typeface="Cambria Math" panose="02040503050406030204" pitchFamily="18" charset="0"/>
                            <a:ea typeface="Cambria Math" panose="02040503050406030204" pitchFamily="18" charset="0"/>
                          </a:rPr>
                          <m:t>𝐿𝐶𝐹</m:t>
                        </m:r>
                        <m:r>
                          <a:rPr lang="en-US" sz="1100" b="0" i="1">
                            <a:latin typeface="Cambria Math" panose="02040503050406030204" pitchFamily="18" charset="0"/>
                            <a:ea typeface="Cambria Math" panose="02040503050406030204" pitchFamily="18" charset="0"/>
                          </a:rPr>
                          <m:t>)×</m:t>
                        </m:r>
                        <m:r>
                          <m:rPr>
                            <m:nor/>
                          </m:rPr>
                          <a:rPr lang="en-US">
                            <a:effectLst/>
                          </a:rPr>
                          <m:t> </m:t>
                        </m:r>
                        <m:r>
                          <a:rPr lang="en-US" sz="1100" b="0" i="1">
                            <a:latin typeface="Cambria Math" panose="02040503050406030204" pitchFamily="18" charset="0"/>
                            <a:ea typeface="Cambria Math" panose="02040503050406030204" pitchFamily="18" charset="0"/>
                          </a:rPr>
                          <m:t>𝑇𝑀</m:t>
                        </m:r>
                      </m:num>
                      <m:den>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1</m:t>
                            </m:r>
                          </m:sub>
                        </m:sSub>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485900" y="11959696"/>
              <a:ext cx="4072974" cy="350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𝑃𝐷𝐿𝐷〗_1=〖𝑃𝑟𝑒𝑚𝑖𝑢𝑚〗_1/〖𝐿𝑜𝑠𝑠〗_1 =((𝐵𝑎𝑠𝑖𝑐 𝑃𝑟𝑒𝑚+ 〖𝐶𝑎𝑝𝑝𝑒𝑑 𝐿𝑜𝑠𝑠〗_1</a:t>
              </a:r>
              <a:r>
                <a:rPr lang="en-US" sz="1100" i="0">
                  <a:solidFill>
                    <a:schemeClr val="tx1"/>
                  </a:solidFill>
                  <a:effectLst/>
                  <a:latin typeface="+mn-lt"/>
                  <a:ea typeface="+mn-ea"/>
                  <a:cs typeface="+mn-cs"/>
                </a:rPr>
                <a:t>×"</a:t>
              </a:r>
              <a:r>
                <a:rPr lang="en-US" i="0">
                  <a:effectLst/>
                </a:rPr>
                <a:t> </a:t>
              </a:r>
              <a:r>
                <a:rPr lang="en-US" sz="1100" b="0" i="0">
                  <a:effectLst/>
                  <a:latin typeface="Cambria Math" panose="02040503050406030204" pitchFamily="18" charset="0"/>
                  <a:ea typeface="Cambria Math" panose="02040503050406030204" pitchFamily="18" charset="0"/>
                </a:rPr>
                <a:t>" </a:t>
              </a:r>
              <a:r>
                <a:rPr lang="en-US" sz="1100" b="0" i="0">
                  <a:latin typeface="Cambria Math" panose="02040503050406030204" pitchFamily="18" charset="0"/>
                  <a:ea typeface="Cambria Math" panose="02040503050406030204" pitchFamily="18" charset="0"/>
                </a:rPr>
                <a:t>𝐿𝐶𝐹)</a:t>
              </a:r>
              <a:r>
                <a:rPr lang="en-US" sz="1100" i="0">
                  <a:solidFill>
                    <a:schemeClr val="tx1"/>
                  </a:solidFill>
                  <a:effectLst/>
                  <a:latin typeface="+mn-lt"/>
                  <a:ea typeface="+mn-ea"/>
                  <a:cs typeface="+mn-cs"/>
                </a:rPr>
                <a:t>×"</a:t>
              </a:r>
              <a:r>
                <a:rPr lang="en-US" i="0">
                  <a:effectLst/>
                </a:rPr>
                <a:t> </a:t>
              </a:r>
              <a:r>
                <a:rPr lang="en-US" sz="1100" b="0" i="0">
                  <a:effectLst/>
                  <a:latin typeface="Cambria Math" panose="02040503050406030204" pitchFamily="18" charset="0"/>
                  <a:ea typeface="Cambria Math" panose="02040503050406030204" pitchFamily="18" charset="0"/>
                </a:rPr>
                <a:t>" </a:t>
              </a:r>
              <a:r>
                <a:rPr lang="en-US" sz="1100" b="0" i="0">
                  <a:latin typeface="Cambria Math" panose="02040503050406030204" pitchFamily="18" charset="0"/>
                  <a:ea typeface="Cambria Math" panose="02040503050406030204" pitchFamily="18" charset="0"/>
                </a:rPr>
                <a:t>𝑇𝑀)/〖</a:t>
              </a:r>
              <a:r>
                <a:rPr lang="en-US" sz="1100" b="0" i="0">
                  <a:latin typeface="Cambria Math" panose="02040503050406030204" pitchFamily="18" charset="0"/>
                </a:rPr>
                <a:t>𝐿𝑜𝑠𝑠〗_1 </a:t>
              </a:r>
              <a:endParaRPr lang="en-US" sz="1100"/>
            </a:p>
          </xdr:txBody>
        </xdr:sp>
      </mc:Fallback>
    </mc:AlternateContent>
    <xdr:clientData/>
  </xdr:oneCellAnchor>
  <xdr:oneCellAnchor>
    <xdr:from>
      <xdr:col>2</xdr:col>
      <xdr:colOff>128588</xdr:colOff>
      <xdr:row>63</xdr:row>
      <xdr:rowOff>133350</xdr:rowOff>
    </xdr:from>
    <xdr:ext cx="2902333" cy="31701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776413" y="13092113"/>
              <a:ext cx="2902333" cy="3170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𝐵𝑎𝑠𝑖𝑐</m:t>
                    </m:r>
                    <m:r>
                      <a:rPr lang="en-US" sz="1100" b="0" i="1">
                        <a:latin typeface="Cambria Math" panose="02040503050406030204" pitchFamily="18" charset="0"/>
                      </a:rPr>
                      <m:t> </m:t>
                    </m:r>
                    <m:r>
                      <a:rPr lang="en-US" sz="1100" b="0" i="1">
                        <a:latin typeface="Cambria Math" panose="02040503050406030204" pitchFamily="18" charset="0"/>
                      </a:rPr>
                      <m:t>𝑃𝑟𝑒𝑚𝑖𝑢𝑚</m:t>
                    </m:r>
                    <m:r>
                      <a:rPr lang="en-US" sz="1100" b="0" i="1">
                        <a:latin typeface="Cambria Math" panose="02040503050406030204" pitchFamily="18" charset="0"/>
                      </a:rPr>
                      <m:t> </m:t>
                    </m:r>
                    <m:r>
                      <a:rPr lang="en-US" sz="1100" b="0" i="1">
                        <a:latin typeface="Cambria Math" panose="02040503050406030204" pitchFamily="18" charset="0"/>
                      </a:rPr>
                      <m:t>𝐹𝑎𝑐𝑡𝑜𝑟</m:t>
                    </m:r>
                    <m:r>
                      <a:rPr lang="en-US" sz="1100" b="0" i="1">
                        <a:latin typeface="Cambria Math" panose="02040503050406030204" pitchFamily="18" charset="0"/>
                      </a:rPr>
                      <m:t>= </m:t>
                    </m:r>
                    <m:f>
                      <m:fPr>
                        <m:ctrlPr>
                          <a:rPr lang="en-US" sz="1100" b="0" i="1">
                            <a:latin typeface="Cambria Math" panose="02040503050406030204" pitchFamily="18" charset="0"/>
                          </a:rPr>
                        </m:ctrlPr>
                      </m:fPr>
                      <m:num>
                        <m:r>
                          <a:rPr lang="en-US" sz="1100" b="0" i="1">
                            <a:latin typeface="Cambria Math" panose="02040503050406030204" pitchFamily="18" charset="0"/>
                          </a:rPr>
                          <m:t>𝐵𝑎𝑠𝑖𝑐</m:t>
                        </m:r>
                        <m:r>
                          <a:rPr lang="en-US" sz="1100" b="0" i="1">
                            <a:latin typeface="Cambria Math" panose="02040503050406030204" pitchFamily="18" charset="0"/>
                          </a:rPr>
                          <m:t> </m:t>
                        </m:r>
                        <m:r>
                          <a:rPr lang="en-US" sz="1100" b="0" i="1">
                            <a:latin typeface="Cambria Math" panose="02040503050406030204" pitchFamily="18" charset="0"/>
                          </a:rPr>
                          <m:t>𝑃𝑟𝑒𝑚𝑖𝑢𝑚</m:t>
                        </m:r>
                      </m:num>
                      <m:den>
                        <m:r>
                          <a:rPr lang="en-US" sz="1100" b="0" i="1">
                            <a:latin typeface="Cambria Math" panose="02040503050406030204" pitchFamily="18" charset="0"/>
                          </a:rPr>
                          <m:t>𝑆𝑡𝑎𝑛𝑑𝑎𝑟𝑑</m:t>
                        </m:r>
                        <m:r>
                          <a:rPr lang="en-US" sz="1100" b="0" i="1">
                            <a:latin typeface="Cambria Math" panose="02040503050406030204" pitchFamily="18" charset="0"/>
                          </a:rPr>
                          <m:t> </m:t>
                        </m:r>
                        <m:r>
                          <a:rPr lang="en-US" sz="1100" b="0" i="1">
                            <a:latin typeface="Cambria Math" panose="02040503050406030204" pitchFamily="18" charset="0"/>
                          </a:rPr>
                          <m:t>𝑃𝑟𝑒𝑚𝑖𝑢𝑚</m:t>
                        </m:r>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776413" y="13092113"/>
              <a:ext cx="2902333" cy="3170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𝐵𝑎𝑠𝑖𝑐 𝑃𝑟𝑒𝑚𝑖𝑢𝑚 𝐹𝑎𝑐𝑡𝑜𝑟=  (𝐵𝑎𝑠𝑖𝑐 𝑃𝑟𝑒𝑚𝑖𝑢𝑚)/(𝑆𝑡𝑎𝑛𝑑𝑎𝑟𝑑 𝑃𝑟𝑒𝑚𝑖𝑢𝑚)</a:t>
              </a:r>
              <a:endParaRPr lang="en-US" sz="1100"/>
            </a:p>
          </xdr:txBody>
        </xdr:sp>
      </mc:Fallback>
    </mc:AlternateContent>
    <xdr:clientData/>
  </xdr:oneCellAnchor>
  <xdr:twoCellAnchor>
    <xdr:from>
      <xdr:col>1</xdr:col>
      <xdr:colOff>0</xdr:colOff>
      <xdr:row>22</xdr:row>
      <xdr:rowOff>0</xdr:rowOff>
    </xdr:from>
    <xdr:to>
      <xdr:col>4</xdr:col>
      <xdr:colOff>776288</xdr:colOff>
      <xdr:row>24</xdr:row>
      <xdr:rowOff>72644</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F9681BEA-EA62-40AC-AC2D-F6ABC2324FC2}"/>
                </a:ext>
              </a:extLst>
            </xdr:cNvPr>
            <xdr:cNvSpPr txBox="1"/>
          </xdr:nvSpPr>
          <xdr:spPr>
            <a:xfrm>
              <a:off x="823913" y="4491038"/>
              <a:ext cx="3543300" cy="47269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𝑃𝐷𝐿𝐷</m:t>
                        </m:r>
                      </m:e>
                      <m:sub>
                        <m:argPr>
                          <m:argSz m:val="-1"/>
                        </m:argPr>
                        <m:r>
                          <a:rPr lang="en-PH" sz="1100" i="1">
                            <a:solidFill>
                              <a:schemeClr val="tx1"/>
                            </a:solidFill>
                            <a:effectLst/>
                            <a:latin typeface="Cambria Math" panose="02040503050406030204" pitchFamily="18" charset="0"/>
                            <a:ea typeface="+mn-ea"/>
                            <a:cs typeface="+mn-cs"/>
                          </a:rPr>
                          <m:t>1</m:t>
                        </m: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𝐵𝑃</m:t>
                            </m:r>
                          </m:num>
                          <m:den>
                            <m:r>
                              <a:rPr lang="en-PH" sz="1100" i="1">
                                <a:solidFill>
                                  <a:schemeClr val="tx1"/>
                                </a:solidFill>
                                <a:effectLst/>
                                <a:latin typeface="Cambria Math" panose="02040503050406030204" pitchFamily="18" charset="0"/>
                                <a:ea typeface="+mn-ea"/>
                                <a:cs typeface="+mn-cs"/>
                              </a:rPr>
                              <m:t>𝑆𝑃</m:t>
                            </m:r>
                          </m:den>
                        </m:f>
                      </m:e>
                    </m:d>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𝑇𝑀</m:t>
                        </m:r>
                      </m:num>
                      <m:den>
                        <m:r>
                          <a:rPr lang="en-PH" sz="1100" i="1">
                            <a:solidFill>
                              <a:schemeClr val="tx1"/>
                            </a:solidFill>
                            <a:effectLst/>
                            <a:latin typeface="Cambria Math" panose="02040503050406030204" pitchFamily="18" charset="0"/>
                            <a:ea typeface="+mn-ea"/>
                            <a:cs typeface="+mn-cs"/>
                          </a:rPr>
                          <m:t>𝐸𝐿𝑅</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1</m:t>
                            </m:r>
                          </m:sub>
                        </m:sSub>
                      </m:den>
                    </m:f>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𝐶𝐿</m:t>
                            </m:r>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m:t>
                                </m:r>
                              </m:e>
                              <m:sub>
                                <m:argPr>
                                  <m:argSz m:val="-1"/>
                                </m:argPr>
                                <m:r>
                                  <a:rPr lang="en-PH" sz="1100" i="1">
                                    <a:solidFill>
                                      <a:schemeClr val="tx1"/>
                                    </a:solidFill>
                                    <a:effectLst/>
                                    <a:latin typeface="Cambria Math" panose="02040503050406030204" pitchFamily="18" charset="0"/>
                                    <a:ea typeface="+mn-ea"/>
                                    <a:cs typeface="+mn-cs"/>
                                  </a:rPr>
                                  <m:t>1</m:t>
                                </m:r>
                              </m:sub>
                            </m:sSub>
                          </m:den>
                        </m:f>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𝐿𝐶𝐹</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𝑇𝑀</m:t>
                    </m:r>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F9681BEA-EA62-40AC-AC2D-F6ABC2324FC2}"/>
                </a:ext>
              </a:extLst>
            </xdr:cNvPr>
            <xdr:cNvSpPr txBox="1"/>
          </xdr:nvSpPr>
          <xdr:spPr>
            <a:xfrm>
              <a:off x="823913" y="4491038"/>
              <a:ext cx="3543300" cy="47269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i="0">
                  <a:solidFill>
                    <a:schemeClr val="tx1"/>
                  </a:solidFill>
                  <a:effectLst/>
                  <a:latin typeface="+mn-lt"/>
                  <a:ea typeface="+mn-ea"/>
                  <a:cs typeface="+mn-cs"/>
                </a:rPr>
                <a:t>〖𝑃𝐷𝐿𝐷〗_1=(𝐵𝑃/𝑆𝑃)×𝑇𝑀/(𝐸𝐿𝑅×〖%𝐿𝑜𝑠𝑠〗_1 )+(𝐶𝐿/𝐿_1 )×𝐿𝐶𝐹×𝑇𝑀</a:t>
              </a:r>
              <a:endParaRPr lang="en-PH" sz="1100">
                <a:solidFill>
                  <a:schemeClr val="tx1"/>
                </a:solidFill>
                <a:effectLst/>
                <a:latin typeface="+mn-lt"/>
                <a:ea typeface="+mn-ea"/>
                <a:cs typeface="+mn-cs"/>
              </a:endParaRPr>
            </a:p>
          </xdr:txBody>
        </xdr:sp>
      </mc:Fallback>
    </mc:AlternateContent>
    <xdr:clientData/>
  </xdr:twoCellAnchor>
  <xdr:oneCellAnchor>
    <xdr:from>
      <xdr:col>1</xdr:col>
      <xdr:colOff>0</xdr:colOff>
      <xdr:row>25</xdr:row>
      <xdr:rowOff>0</xdr:rowOff>
    </xdr:from>
    <xdr:ext cx="6075446" cy="36696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D45114C-AACF-4B17-9151-EF445FB5AB2A}"/>
                </a:ext>
              </a:extLst>
            </xdr:cNvPr>
            <xdr:cNvSpPr txBox="1"/>
          </xdr:nvSpPr>
          <xdr:spPr>
            <a:xfrm>
              <a:off x="823913" y="5091113"/>
              <a:ext cx="6075446" cy="366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𝑃𝐷𝐿𝐷</m:t>
                        </m:r>
                      </m:e>
                      <m:sub>
                        <m:argPr>
                          <m:argSz m:val="-1"/>
                        </m:argPr>
                        <m:r>
                          <a:rPr lang="en-PH" sz="1100" i="1">
                            <a:solidFill>
                              <a:schemeClr val="tx1"/>
                            </a:solidFill>
                            <a:effectLst/>
                            <a:latin typeface="Cambria Math" panose="02040503050406030204" pitchFamily="18" charset="0"/>
                            <a:ea typeface="+mn-ea"/>
                            <a:cs typeface="+mn-cs"/>
                          </a:rPr>
                          <m:t>1</m:t>
                        </m: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eqArr>
                          <m:eqArrPr>
                            <m:ctrlPr>
                              <a:rPr lang="en-PH" sz="1100" i="1">
                                <a:solidFill>
                                  <a:schemeClr val="tx1"/>
                                </a:solidFill>
                                <a:effectLst/>
                                <a:latin typeface="Cambria Math" panose="02040503050406030204" pitchFamily="18" charset="0"/>
                                <a:ea typeface="+mn-ea"/>
                                <a:cs typeface="+mn-cs"/>
                              </a:rPr>
                            </m:ctrlPr>
                          </m:eqArrPr>
                          <m:e>
                            <m:r>
                              <a:rPr lang="en-PH" sz="1100" i="1">
                                <a:solidFill>
                                  <a:schemeClr val="tx1"/>
                                </a:solidFill>
                                <a:effectLst/>
                                <a:latin typeface="Cambria Math" panose="02040503050406030204" pitchFamily="18" charset="0"/>
                                <a:ea typeface="+mn-ea"/>
                                <a:cs typeface="+mn-cs"/>
                              </a:rPr>
                              <m:t>𝐵𝑎𝑠𝑖𝑐</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 </m:t>
                            </m:r>
                          </m:e>
                          <m:e>
                            <m:r>
                              <a:rPr lang="en-PH" sz="1100" i="1">
                                <a:solidFill>
                                  <a:schemeClr val="tx1"/>
                                </a:solidFill>
                                <a:effectLst/>
                                <a:latin typeface="Cambria Math" panose="02040503050406030204" pitchFamily="18" charset="0"/>
                                <a:ea typeface="+mn-ea"/>
                                <a:cs typeface="+mn-cs"/>
                              </a:rPr>
                              <m:t>𝐹𝑎𝑐𝑡𝑜𝑟</m:t>
                            </m:r>
                          </m:e>
                        </m:eqArr>
                      </m:e>
                    </m:d>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𝑇𝑎𝑥</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𝑀𝑢𝑙𝑡𝑖𝑝𝑙𝑖𝑒𝑟</m:t>
                        </m:r>
                      </m:num>
                      <m:den>
                        <m:r>
                          <a:rPr lang="en-PH" sz="1100" i="1">
                            <a:solidFill>
                              <a:schemeClr val="tx1"/>
                            </a:solidFill>
                            <a:effectLst/>
                            <a:latin typeface="Cambria Math" panose="02040503050406030204" pitchFamily="18" charset="0"/>
                            <a:ea typeface="+mn-ea"/>
                            <a:cs typeface="+mn-cs"/>
                          </a:rPr>
                          <m:t>𝐸𝐿𝑅</m:t>
                        </m:r>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𝐸𝑚𝑒𝑟𝑔𝑒𝑑</m:t>
                            </m:r>
                          </m:e>
                          <m:sub>
                            <m:argPr>
                              <m:argSz m:val="-2"/>
                            </m:argPr>
                            <m:r>
                              <a:rPr lang="en-PH" sz="1100" i="1">
                                <a:solidFill>
                                  <a:schemeClr val="tx1"/>
                                </a:solidFill>
                                <a:effectLst/>
                                <a:latin typeface="Cambria Math" panose="02040503050406030204" pitchFamily="18" charset="0"/>
                                <a:ea typeface="+mn-ea"/>
                                <a:cs typeface="+mn-cs"/>
                              </a:rPr>
                              <m:t>1</m:t>
                            </m:r>
                            <m:r>
                              <a:rPr lang="en-PH" sz="1100" i="1">
                                <a:solidFill>
                                  <a:schemeClr val="tx1"/>
                                </a:solidFill>
                                <a:effectLst/>
                                <a:latin typeface="Cambria Math" panose="02040503050406030204" pitchFamily="18" charset="0"/>
                                <a:ea typeface="+mn-ea"/>
                                <a:cs typeface="+mn-cs"/>
                              </a:rPr>
                              <m:t>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𝐴𝑑𝑗</m:t>
                            </m:r>
                          </m:sub>
                        </m:sSub>
                      </m:den>
                    </m:f>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𝐶𝑎𝑝𝑝𝑖𝑛𝑔</m:t>
                    </m:r>
                    <m:r>
                      <a:rPr lang="en-PH" sz="1100" i="1">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𝑅𝑎𝑡𝑖𝑜</m:t>
                        </m:r>
                      </m:e>
                      <m:sub>
                        <m:argPr>
                          <m:argSz m:val="-1"/>
                        </m:argPr>
                        <m:r>
                          <a:rPr lang="en-PH" sz="1100" i="1">
                            <a:solidFill>
                              <a:schemeClr val="tx1"/>
                            </a:solidFill>
                            <a:effectLst/>
                            <a:latin typeface="Cambria Math" panose="02040503050406030204" pitchFamily="18" charset="0"/>
                            <a:ea typeface="+mn-ea"/>
                            <a:cs typeface="+mn-cs"/>
                          </a:rPr>
                          <m:t>1</m:t>
                        </m:r>
                      </m:sub>
                    </m:sSub>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𝐿𝐶𝐹</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𝑇𝑎𝑥</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𝑀𝑢𝑙𝑡𝑖𝑝𝑙𝑖𝑒𝑟</m:t>
                    </m:r>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5D45114C-AACF-4B17-9151-EF445FB5AB2A}"/>
                </a:ext>
              </a:extLst>
            </xdr:cNvPr>
            <xdr:cNvSpPr txBox="1"/>
          </xdr:nvSpPr>
          <xdr:spPr>
            <a:xfrm>
              <a:off x="823913" y="5091113"/>
              <a:ext cx="6075446" cy="366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mn-lt"/>
                  <a:ea typeface="+mn-ea"/>
                  <a:cs typeface="+mn-cs"/>
                </a:rPr>
                <a:t>〖𝑃𝐷𝐿𝐷〗_1=(█(𝐵𝑎𝑠𝑖𝑐 𝑃𝑟𝑒𝑚 @𝐹𝑎𝑐𝑡𝑜𝑟))×(𝑇𝑎𝑥 𝑀𝑢𝑙𝑡𝑖𝑝𝑙𝑖𝑒𝑟)/(𝐸𝐿𝑅×〖%𝐸𝑚𝑒𝑟𝑔𝑒𝑑〗_(1𝑠𝑡 𝐴𝑑𝑗) )+𝐿𝑜𝑠𝑠 𝐶𝑎𝑝𝑝𝑖𝑛𝑔 〖𝑅𝑎𝑡𝑖𝑜〗_1×𝐿𝐶𝐹×𝑇𝑎𝑥 𝑀𝑢𝑙𝑡𝑖𝑝𝑙𝑖𝑒𝑟</a:t>
              </a:r>
              <a:endParaRPr lang="en-US" sz="1100">
                <a:solidFill>
                  <a:schemeClr val="tx1"/>
                </a:solidFill>
              </a:endParaRPr>
            </a:p>
          </xdr:txBody>
        </xdr:sp>
      </mc:Fallback>
    </mc:AlternateContent>
    <xdr:clientData/>
  </xdr:oneCellAnchor>
  <xdr:twoCellAnchor>
    <xdr:from>
      <xdr:col>1</xdr:col>
      <xdr:colOff>0</xdr:colOff>
      <xdr:row>32</xdr:row>
      <xdr:rowOff>0</xdr:rowOff>
    </xdr:from>
    <xdr:to>
      <xdr:col>3</xdr:col>
      <xdr:colOff>209550</xdr:colOff>
      <xdr:row>34</xdr:row>
      <xdr:rowOff>38853</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E496C244-0D92-41E7-8743-D44C436CFB7B}"/>
                </a:ext>
              </a:extLst>
            </xdr:cNvPr>
            <xdr:cNvSpPr txBox="1"/>
          </xdr:nvSpPr>
          <xdr:spPr>
            <a:xfrm>
              <a:off x="823913" y="6529388"/>
              <a:ext cx="1857375" cy="43890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𝑃𝐷𝐿𝐷</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𝐶𝐿</m:t>
                            </m:r>
                          </m:e>
                          <m:sub>
                            <m:argPr>
                              <m:argSz m:val="-1"/>
                            </m:argPr>
                            <m:r>
                              <a:rPr lang="en-PH" sz="1100" i="1">
                                <a:solidFill>
                                  <a:schemeClr val="tx1"/>
                                </a:solidFill>
                                <a:effectLst/>
                                <a:latin typeface="Cambria Math" panose="02040503050406030204" pitchFamily="18" charset="0"/>
                                <a:ea typeface="+mn-ea"/>
                                <a:cs typeface="+mn-cs"/>
                              </a:rPr>
                              <m:t>𝑛</m:t>
                            </m:r>
                          </m:sub>
                        </m:sSub>
                      </m:num>
                      <m:den>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m:t>
                            </m:r>
                          </m:e>
                          <m:sub>
                            <m:argPr>
                              <m:argSz m:val="-1"/>
                            </m:argPr>
                            <m:r>
                              <a:rPr lang="en-PH" sz="1100" i="1">
                                <a:solidFill>
                                  <a:schemeClr val="tx1"/>
                                </a:solidFill>
                                <a:effectLst/>
                                <a:latin typeface="Cambria Math" panose="02040503050406030204" pitchFamily="18" charset="0"/>
                                <a:ea typeface="+mn-ea"/>
                                <a:cs typeface="+mn-cs"/>
                              </a:rPr>
                              <m:t>𝑛</m:t>
                            </m:r>
                          </m:sub>
                        </m:sSub>
                      </m:den>
                    </m:f>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𝐿𝐶𝐹</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𝑇𝑀</m:t>
                    </m:r>
                  </m:oMath>
                </m:oMathPara>
              </a14:m>
              <a:endParaRPr lang="en-PH"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E496C244-0D92-41E7-8743-D44C436CFB7B}"/>
                </a:ext>
              </a:extLst>
            </xdr:cNvPr>
            <xdr:cNvSpPr txBox="1"/>
          </xdr:nvSpPr>
          <xdr:spPr>
            <a:xfrm>
              <a:off x="823913" y="6529388"/>
              <a:ext cx="1857375" cy="43890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PH" sz="1100" i="0">
                  <a:solidFill>
                    <a:schemeClr val="tx1"/>
                  </a:solidFill>
                  <a:effectLst/>
                  <a:latin typeface="+mn-lt"/>
                  <a:ea typeface="+mn-ea"/>
                  <a:cs typeface="+mn-cs"/>
                </a:rPr>
                <a:t>〖𝑃𝐷𝐿𝐷〗_𝑛=〖∆𝐶𝐿〗_𝑛/(∆𝐿_𝑛 )×𝐿𝐶𝐹×𝑇𝑀</a:t>
              </a:r>
              <a:endParaRPr lang="en-PH" sz="1100">
                <a:solidFill>
                  <a:schemeClr val="tx1"/>
                </a:solidFill>
                <a:effectLst/>
                <a:latin typeface="+mn-lt"/>
                <a:ea typeface="+mn-ea"/>
                <a:cs typeface="+mn-cs"/>
              </a:endParaRPr>
            </a:p>
          </xdr:txBody>
        </xdr:sp>
      </mc:Fallback>
    </mc:AlternateContent>
    <xdr:clientData/>
  </xdr:twoCellAnchor>
  <xdr:oneCellAnchor>
    <xdr:from>
      <xdr:col>1</xdr:col>
      <xdr:colOff>0</xdr:colOff>
      <xdr:row>35</xdr:row>
      <xdr:rowOff>0</xdr:rowOff>
    </xdr:from>
    <xdr:ext cx="3357842" cy="34971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682541A-0ECF-4714-896F-DE27DC5A5287}"/>
                </a:ext>
              </a:extLst>
            </xdr:cNvPr>
            <xdr:cNvSpPr txBox="1"/>
          </xdr:nvSpPr>
          <xdr:spPr>
            <a:xfrm>
              <a:off x="823913" y="7129463"/>
              <a:ext cx="3357842" cy="34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𝑃𝐷𝐿𝐷</m:t>
                        </m:r>
                      </m:e>
                      <m:sub>
                        <m:argPr>
                          <m:argSz m:val="-2"/>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𝐶𝑎𝑝𝑝𝑒𝑑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𝐶𝑎𝑝𝑝𝑒𝑑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den>
                    </m:f>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𝐿𝐶𝐹</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𝑇𝑀</m:t>
                    </m:r>
                  </m:oMath>
                </m:oMathPara>
              </a14:m>
              <a:endParaRPr lang="en-PH"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9682541A-0ECF-4714-896F-DE27DC5A5287}"/>
                </a:ext>
              </a:extLst>
            </xdr:cNvPr>
            <xdr:cNvSpPr txBox="1"/>
          </xdr:nvSpPr>
          <xdr:spPr>
            <a:xfrm>
              <a:off x="823913" y="7129463"/>
              <a:ext cx="3357842" cy="34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〖𝑃𝐷𝐿𝐷〗_𝑛=(〖𝐶𝑎𝑝𝑝𝑒𝑑 𝐿𝑜𝑠𝑠〗_𝑛−〖𝐶𝑎𝑝𝑝𝑒𝑑 𝐿𝑜𝑠𝑠〗_(𝑛−1))/(〖𝐿𝑜𝑠𝑠〗_𝑛−〖𝐿𝑜𝑠𝑠〗_(𝑛−1) )×𝐿𝐶𝐹×𝑇𝑀</a:t>
              </a:r>
              <a:endParaRPr lang="en-PH" sz="1100">
                <a:solidFill>
                  <a:schemeClr val="tx1"/>
                </a:solidFill>
                <a:effectLst/>
                <a:latin typeface="+mn-lt"/>
                <a:ea typeface="+mn-ea"/>
                <a:cs typeface="+mn-cs"/>
              </a:endParaRPr>
            </a:p>
          </xdr:txBody>
        </xdr:sp>
      </mc:Fallback>
    </mc:AlternateContent>
    <xdr:clientData/>
  </xdr:oneCellAnchor>
  <xdr:twoCellAnchor>
    <xdr:from>
      <xdr:col>1</xdr:col>
      <xdr:colOff>605154</xdr:colOff>
      <xdr:row>36</xdr:row>
      <xdr:rowOff>162561</xdr:rowOff>
    </xdr:from>
    <xdr:to>
      <xdr:col>3</xdr:col>
      <xdr:colOff>890269</xdr:colOff>
      <xdr:row>37</xdr:row>
      <xdr:rowOff>141606</xdr:rowOff>
    </xdr:to>
    <xdr:sp macro="" textlink="">
      <xdr:nvSpPr>
        <xdr:cNvPr id="9" name="Left Brace 8">
          <a:extLst>
            <a:ext uri="{FF2B5EF4-FFF2-40B4-BE49-F238E27FC236}">
              <a16:creationId xmlns:a16="http://schemas.microsoft.com/office/drawing/2014/main" id="{F395EE0F-9528-D3B8-12E3-E47C68132A4D}"/>
            </a:ext>
          </a:extLst>
        </xdr:cNvPr>
        <xdr:cNvSpPr/>
      </xdr:nvSpPr>
      <xdr:spPr>
        <a:xfrm rot="16200000" flipV="1">
          <a:off x="2306002" y="6615114"/>
          <a:ext cx="179070" cy="1932940"/>
        </a:xfrm>
        <a:prstGeom prst="leftBrace">
          <a:avLst/>
        </a:prstGeom>
        <a:ln>
          <a:solidFill>
            <a:schemeClr val="tx1">
              <a:lumMod val="65000"/>
              <a:lumOff val="35000"/>
            </a:schemeClr>
          </a:solidFill>
        </a:ln>
        <a:effectLst/>
      </xdr:spPr>
      <xdr:style>
        <a:lnRef idx="1">
          <a:schemeClr val="dk1"/>
        </a:lnRef>
        <a:fillRef idx="0">
          <a:schemeClr val="dk1"/>
        </a:fillRef>
        <a:effectRef idx="0">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twoCellAnchor>
    <xdr:from>
      <xdr:col>1</xdr:col>
      <xdr:colOff>751416</xdr:colOff>
      <xdr:row>48</xdr:row>
      <xdr:rowOff>158750</xdr:rowOff>
    </xdr:from>
    <xdr:to>
      <xdr:col>5</xdr:col>
      <xdr:colOff>397403</xdr:colOff>
      <xdr:row>51</xdr:row>
      <xdr:rowOff>137070</xdr:rowOff>
    </xdr:to>
    <mc:AlternateContent xmlns:mc="http://schemas.openxmlformats.org/markup-compatibility/2006" xmlns:a14="http://schemas.microsoft.com/office/drawing/2010/main">
      <mc:Choice Requires="a14">
        <xdr:sp macro="" textlink="">
          <xdr:nvSpPr>
            <xdr:cNvPr id="11" name="TextBox 2">
              <a:extLst>
                <a:ext uri="{FF2B5EF4-FFF2-40B4-BE49-F238E27FC236}">
                  <a16:creationId xmlns:a16="http://schemas.microsoft.com/office/drawing/2014/main" id="{17DF81F4-1202-CF4B-B008-33BEC77C0742}"/>
                </a:ext>
              </a:extLst>
            </xdr:cNvPr>
            <xdr:cNvSpPr txBox="1"/>
          </xdr:nvSpPr>
          <xdr:spPr>
            <a:xfrm>
              <a:off x="1576916" y="10308167"/>
              <a:ext cx="3244320" cy="5815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𝐶𝐿</m:t>
                            </m:r>
                          </m:e>
                          <m:sub>
                            <m:argPr>
                              <m:argSz m:val="-2"/>
                            </m:argPr>
                            <m:r>
                              <a:rPr lang="en-PH" sz="1100" i="1">
                                <a:solidFill>
                                  <a:schemeClr val="tx1"/>
                                </a:solidFill>
                                <a:effectLst/>
                                <a:latin typeface="Cambria Math" panose="02040503050406030204" pitchFamily="18" charset="0"/>
                                <a:ea typeface="+mn-ea"/>
                                <a:cs typeface="+mn-cs"/>
                              </a:rPr>
                              <m:t>𝑛</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m:t>
                            </m:r>
                          </m:e>
                          <m:sub>
                            <m:argPr>
                              <m:argSz m:val="-2"/>
                            </m:argPr>
                            <m:r>
                              <a:rPr lang="en-PH" sz="1100" i="1">
                                <a:solidFill>
                                  <a:schemeClr val="tx1"/>
                                </a:solidFill>
                                <a:effectLst/>
                                <a:latin typeface="Cambria Math" panose="02040503050406030204" pitchFamily="18" charset="0"/>
                                <a:ea typeface="+mn-ea"/>
                                <a:cs typeface="+mn-cs"/>
                              </a:rPr>
                              <m:t>𝑛</m:t>
                            </m:r>
                          </m:sub>
                        </m:sSub>
                      </m:den>
                    </m:f>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d>
                          <m:dPr>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𝐶𝐿</m:t>
                                    </m:r>
                                  </m:e>
                                  <m:sub>
                                    <m:argPr>
                                      <m:argSz m:val="-1"/>
                                    </m:argPr>
                                    <m:r>
                                      <a:rPr lang="en-PH" sz="1100" i="1">
                                        <a:solidFill>
                                          <a:schemeClr val="tx1"/>
                                        </a:solidFill>
                                        <a:effectLst/>
                                        <a:latin typeface="Cambria Math" panose="02040503050406030204" pitchFamily="18" charset="0"/>
                                        <a:ea typeface="+mn-ea"/>
                                        <a:cs typeface="+mn-cs"/>
                                      </a:rPr>
                                      <m:t>𝑛</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m:t>
                                    </m:r>
                                  </m:e>
                                  <m:sub>
                                    <m:argPr>
                                      <m:argSz m:val="-1"/>
                                    </m:argPr>
                                    <m:r>
                                      <a:rPr lang="en-PH" sz="1100" i="1">
                                        <a:solidFill>
                                          <a:schemeClr val="tx1"/>
                                        </a:solidFill>
                                        <a:effectLst/>
                                        <a:latin typeface="Cambria Math" panose="02040503050406030204" pitchFamily="18" charset="0"/>
                                        <a:ea typeface="+mn-ea"/>
                                        <a:cs typeface="+mn-cs"/>
                                      </a:rPr>
                                      <m:t>𝑛</m:t>
                                    </m:r>
                                  </m:sub>
                                </m:sSub>
                              </m:den>
                            </m:f>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𝐶𝐿</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den>
                            </m:f>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11" name="TextBox 2">
              <a:extLst>
                <a:ext uri="{FF2B5EF4-FFF2-40B4-BE49-F238E27FC236}">
                  <a16:creationId xmlns:a16="http://schemas.microsoft.com/office/drawing/2014/main" id="{17DF81F4-1202-CF4B-B008-33BEC77C0742}"/>
                </a:ext>
              </a:extLst>
            </xdr:cNvPr>
            <xdr:cNvSpPr txBox="1"/>
          </xdr:nvSpPr>
          <xdr:spPr>
            <a:xfrm>
              <a:off x="1576916" y="10308167"/>
              <a:ext cx="3244320" cy="5815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〖∆𝐶𝐿〗_𝑛/〖∆𝐿〗_𝑛 =((〖𝐶𝐿〗_𝑛/𝐿_𝑛 )×%〖𝐿𝑜𝑠𝑠〗_𝑛−(〖𝐶𝐿〗_(𝑛−1)/𝐿_(𝑛−1) )×〖%𝐿𝑜𝑠𝑠〗_(𝑛−1))/(〖%𝐿𝑜𝑠𝑠〗_𝑛−%〖𝐿𝑜𝑠𝑠〗_(𝑛−1) )</a:t>
              </a:r>
              <a:endParaRPr lang="en-PH" sz="1100">
                <a:solidFill>
                  <a:schemeClr val="tx1"/>
                </a:solidFill>
                <a:effectLst/>
                <a:latin typeface="+mn-lt"/>
                <a:ea typeface="+mn-ea"/>
                <a:cs typeface="+mn-cs"/>
              </a:endParaRPr>
            </a:p>
          </xdr:txBody>
        </xdr:sp>
      </mc:Fallback>
    </mc:AlternateContent>
    <xdr:clientData/>
  </xdr:twoCellAnchor>
  <xdr:twoCellAnchor>
    <xdr:from>
      <xdr:col>2</xdr:col>
      <xdr:colOff>105833</xdr:colOff>
      <xdr:row>38</xdr:row>
      <xdr:rowOff>10583</xdr:rowOff>
    </xdr:from>
    <xdr:to>
      <xdr:col>3</xdr:col>
      <xdr:colOff>592667</xdr:colOff>
      <xdr:row>40</xdr:row>
      <xdr:rowOff>63500</xdr:rowOff>
    </xdr:to>
    <xdr:sp macro="" textlink="">
      <xdr:nvSpPr>
        <xdr:cNvPr id="12" name="TextBox 11">
          <a:extLst>
            <a:ext uri="{FF2B5EF4-FFF2-40B4-BE49-F238E27FC236}">
              <a16:creationId xmlns:a16="http://schemas.microsoft.com/office/drawing/2014/main" id="{CEC92D0F-C6E9-27A1-2366-3A3AFA0CD62F}"/>
            </a:ext>
          </a:extLst>
        </xdr:cNvPr>
        <xdr:cNvSpPr txBox="1"/>
      </xdr:nvSpPr>
      <xdr:spPr>
        <a:xfrm>
          <a:off x="1756833" y="7874000"/>
          <a:ext cx="1312334" cy="45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Incremental Loss capping</a:t>
          </a:r>
          <a:r>
            <a:rPr lang="en-US" sz="1100" kern="1200" baseline="0"/>
            <a:t> ratio (n)</a:t>
          </a:r>
          <a:endParaRPr lang="en-U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306917</xdr:colOff>
      <xdr:row>30</xdr:row>
      <xdr:rowOff>0</xdr:rowOff>
    </xdr:from>
    <xdr:to>
      <xdr:col>2</xdr:col>
      <xdr:colOff>751417</xdr:colOff>
      <xdr:row>32</xdr:row>
      <xdr:rowOff>27152</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B11C4395-1F61-4E44-978A-3B7CAC5720C1}"/>
                </a:ext>
              </a:extLst>
            </xdr:cNvPr>
            <xdr:cNvSpPr txBox="1"/>
          </xdr:nvSpPr>
          <xdr:spPr>
            <a:xfrm>
              <a:off x="1132417" y="6180667"/>
              <a:ext cx="1270000" cy="47165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𝑃𝐷𝐿𝐷</m:t>
                        </m:r>
                      </m:e>
                      <m:sub>
                        <m:argPr>
                          <m:argSz m:val="-2"/>
                        </m:argPr>
                        <m:r>
                          <a:rPr lang="en-PH" sz="1100">
                            <a:solidFill>
                              <a:schemeClr val="tx1"/>
                            </a:solidFill>
                            <a:effectLst/>
                            <a:latin typeface="Cambria Math" panose="02040503050406030204" pitchFamily="18" charset="0"/>
                            <a:ea typeface="+mn-ea"/>
                            <a:cs typeface="+mn-cs"/>
                          </a:rPr>
                          <m:t>1</m:t>
                        </m:r>
                      </m:sub>
                    </m:sSub>
                    <m:r>
                      <a:rPr lang="en-PH" sz="1100">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𝑃𝑟𝑒𝑚</m:t>
                            </m:r>
                          </m:e>
                          <m:sup>
                            <m:argPr>
                              <m:argSz m:val="-1"/>
                            </m:argPr>
                            <m:r>
                              <a:rPr lang="en-PH" sz="1100">
                                <a:solidFill>
                                  <a:schemeClr val="tx1"/>
                                </a:solidFill>
                                <a:effectLst/>
                                <a:latin typeface="Cambria Math" panose="02040503050406030204" pitchFamily="18" charset="0"/>
                                <a:ea typeface="+mn-ea"/>
                                <a:cs typeface="+mn-cs"/>
                              </a:rPr>
                              <m:t>0</m:t>
                            </m:r>
                            <m:r>
                              <a:rPr lang="en-PH" sz="1100" i="1">
                                <a:solidFill>
                                  <a:schemeClr val="tx1"/>
                                </a:solidFill>
                                <a:effectLst/>
                                <a:latin typeface="Cambria Math" panose="02040503050406030204" pitchFamily="18" charset="0"/>
                                <a:ea typeface="+mn-ea"/>
                                <a:cs typeface="+mn-cs"/>
                              </a:rPr>
                              <m:t>−</m:t>
                            </m:r>
                            <m:r>
                              <a:rPr lang="en-PH" sz="1100">
                                <a:solidFill>
                                  <a:schemeClr val="tx1"/>
                                </a:solidFill>
                                <a:effectLst/>
                                <a:latin typeface="Cambria Math" panose="02040503050406030204" pitchFamily="18" charset="0"/>
                                <a:ea typeface="+mn-ea"/>
                                <a:cs typeface="+mn-cs"/>
                              </a:rPr>
                              <m:t>27</m:t>
                            </m:r>
                          </m:sup>
                        </m:sSup>
                      </m:num>
                      <m:den>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𝐿𝑜𝑠𝑠</m:t>
                            </m:r>
                          </m:e>
                          <m:sup>
                            <m:argPr>
                              <m:argSz m:val="-1"/>
                            </m:argPr>
                            <m:r>
                              <a:rPr lang="en-PH" sz="1100">
                                <a:solidFill>
                                  <a:schemeClr val="tx1"/>
                                </a:solidFill>
                                <a:effectLst/>
                                <a:latin typeface="Cambria Math" panose="02040503050406030204" pitchFamily="18" charset="0"/>
                                <a:ea typeface="+mn-ea"/>
                                <a:cs typeface="+mn-cs"/>
                              </a:rPr>
                              <m:t>0</m:t>
                            </m:r>
                            <m:r>
                              <a:rPr lang="en-PH" sz="1100" i="1">
                                <a:solidFill>
                                  <a:schemeClr val="tx1"/>
                                </a:solidFill>
                                <a:effectLst/>
                                <a:latin typeface="Cambria Math" panose="02040503050406030204" pitchFamily="18" charset="0"/>
                                <a:ea typeface="+mn-ea"/>
                                <a:cs typeface="+mn-cs"/>
                              </a:rPr>
                              <m:t>−</m:t>
                            </m:r>
                            <m:r>
                              <a:rPr lang="en-PH" sz="1100">
                                <a:solidFill>
                                  <a:schemeClr val="tx1"/>
                                </a:solidFill>
                                <a:effectLst/>
                                <a:latin typeface="Cambria Math" panose="02040503050406030204" pitchFamily="18" charset="0"/>
                                <a:ea typeface="+mn-ea"/>
                                <a:cs typeface="+mn-cs"/>
                              </a:rPr>
                              <m:t>18</m:t>
                            </m:r>
                          </m:sup>
                        </m:sSup>
                      </m:den>
                    </m:f>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B11C4395-1F61-4E44-978A-3B7CAC5720C1}"/>
                </a:ext>
              </a:extLst>
            </xdr:cNvPr>
            <xdr:cNvSpPr txBox="1"/>
          </xdr:nvSpPr>
          <xdr:spPr>
            <a:xfrm>
              <a:off x="1132417" y="6180667"/>
              <a:ext cx="1270000" cy="47165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〖𝑃𝐷𝐿𝐷〗_1=〖𝑃𝑟𝑒𝑚〗^(0−27)/〖𝐿𝑜𝑠𝑠〗^(0−18) </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264583</xdr:colOff>
      <xdr:row>35</xdr:row>
      <xdr:rowOff>190499</xdr:rowOff>
    </xdr:from>
    <xdr:to>
      <xdr:col>2</xdr:col>
      <xdr:colOff>709083</xdr:colOff>
      <xdr:row>38</xdr:row>
      <xdr:rowOff>2910</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669D56B5-2AAB-4568-8699-F758CFE38344}"/>
                </a:ext>
              </a:extLst>
            </xdr:cNvPr>
            <xdr:cNvSpPr txBox="1"/>
          </xdr:nvSpPr>
          <xdr:spPr>
            <a:xfrm>
              <a:off x="1090083" y="7450666"/>
              <a:ext cx="1270000" cy="45799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𝑃𝐷𝐿𝐷</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𝑃𝑟𝑒𝑚</m:t>
                        </m:r>
                      </m:num>
                      <m:den>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den>
                    </m:f>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669D56B5-2AAB-4568-8699-F758CFE38344}"/>
                </a:ext>
              </a:extLst>
            </xdr:cNvPr>
            <xdr:cNvSpPr txBox="1"/>
          </xdr:nvSpPr>
          <xdr:spPr>
            <a:xfrm>
              <a:off x="1090083" y="7450666"/>
              <a:ext cx="1270000" cy="45799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〖𝑃𝐷𝐿𝐷〗_𝑛=∆𝑃𝑟𝑒𝑚/∆𝐿𝑜𝑠𝑠</a:t>
              </a:r>
              <a:endParaRPr lang="en-PH" sz="1100">
                <a:solidFill>
                  <a:schemeClr val="tx1"/>
                </a:solidFill>
                <a:effectLst/>
                <a:latin typeface="+mn-lt"/>
                <a:ea typeface="+mn-ea"/>
                <a:cs typeface="+mn-cs"/>
              </a:endParaRPr>
            </a:p>
          </xdr:txBody>
        </xdr:sp>
      </mc:Fallback>
    </mc:AlternateContent>
    <xdr:clientData/>
  </xdr:twoCellAnchor>
  <xdr:oneCellAnchor>
    <xdr:from>
      <xdr:col>1</xdr:col>
      <xdr:colOff>264583</xdr:colOff>
      <xdr:row>38</xdr:row>
      <xdr:rowOff>190499</xdr:rowOff>
    </xdr:from>
    <xdr:ext cx="1758943" cy="3454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DCE8575-542E-4049-8705-99BE4E0F2636}"/>
                </a:ext>
              </a:extLst>
            </xdr:cNvPr>
            <xdr:cNvSpPr txBox="1"/>
          </xdr:nvSpPr>
          <xdr:spPr>
            <a:xfrm>
              <a:off x="1090083" y="8096249"/>
              <a:ext cx="1758943" cy="3454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𝑃𝐷𝐿𝐷</m:t>
                        </m:r>
                      </m:e>
                      <m:sub>
                        <m:argPr>
                          <m:argSz m:val="-2"/>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𝑃𝑟𝑒𝑚</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𝑃𝑟𝑒𝑚</m:t>
                            </m:r>
                          </m:e>
                          <m:sub>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den>
                    </m:f>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9DCE8575-542E-4049-8705-99BE4E0F2636}"/>
                </a:ext>
              </a:extLst>
            </xdr:cNvPr>
            <xdr:cNvSpPr txBox="1"/>
          </xdr:nvSpPr>
          <xdr:spPr>
            <a:xfrm>
              <a:off x="1090083" y="8096249"/>
              <a:ext cx="1758943" cy="3454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〖𝑃𝐷𝐿𝐷〗_𝑛=(〖𝑃𝑟𝑒𝑚〗_𝑛−〖𝑃𝑟𝑒𝑚〗_(𝑛−1))/(〖𝐿𝑜𝑠𝑠〗_𝑛−〖𝐿𝑜𝑠𝑠〗_(𝑛−1) )</a:t>
              </a:r>
              <a:endParaRPr lang="en-US" sz="1100">
                <a:solidFill>
                  <a:schemeClr val="tx1"/>
                </a:solidFill>
              </a:endParaRP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201082</xdr:colOff>
      <xdr:row>30</xdr:row>
      <xdr:rowOff>169333</xdr:rowOff>
    </xdr:from>
    <xdr:to>
      <xdr:col>6</xdr:col>
      <xdr:colOff>709082</xdr:colOff>
      <xdr:row>32</xdr:row>
      <xdr:rowOff>31104</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9F53889C-E3BC-44FD-BDC0-8B29CE15B0D5}"/>
                </a:ext>
              </a:extLst>
            </xdr:cNvPr>
            <xdr:cNvSpPr txBox="1"/>
          </xdr:nvSpPr>
          <xdr:spPr>
            <a:xfrm>
              <a:off x="1026582" y="6328833"/>
              <a:ext cx="4942417" cy="2639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r>
                      <a:rPr lang="en-PH" sz="1100" i="1">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𝐸𝑚𝑒𝑟𝑔𝑒𝑛𝑐𝑒</m:t>
                        </m:r>
                      </m:e>
                      <m:sub>
                        <m:argPr>
                          <m:argSz m:val="-2"/>
                        </m:argPr>
                        <m:r>
                          <a:rPr lang="en-PH" sz="1100" i="1">
                            <a:solidFill>
                              <a:schemeClr val="tx1"/>
                            </a:solidFill>
                            <a:effectLst/>
                            <a:latin typeface="Cambria Math" panose="02040503050406030204" pitchFamily="18" charset="0"/>
                            <a:ea typeface="+mn-ea"/>
                            <a:cs typeface="+mn-cs"/>
                          </a:rPr>
                          <m:t>𝑃𝑌</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𝑃𝑌</m:t>
                        </m:r>
                      </m:sub>
                    </m:sSub>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𝑃𝑟𝑖𝑜𝑟</m:t>
                    </m:r>
                    <m:r>
                      <a:rPr lang="en-PH" sz="1100" i="1">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𝐴𝑑𝑗𝑢𝑠𝑡𝑚𝑒𝑛𝑡</m:t>
                        </m:r>
                      </m:e>
                      <m:sub>
                        <m:argPr>
                          <m:argSz m:val="-1"/>
                        </m:argPr>
                        <m:r>
                          <a:rPr lang="en-PH" sz="1100" i="1">
                            <a:solidFill>
                              <a:schemeClr val="tx1"/>
                            </a:solidFill>
                            <a:effectLst/>
                            <a:latin typeface="Cambria Math" panose="02040503050406030204" pitchFamily="18" charset="0"/>
                            <a:ea typeface="+mn-ea"/>
                            <a:cs typeface="+mn-cs"/>
                          </a:rPr>
                          <m:t>𝑃𝑌</m:t>
                        </m:r>
                      </m:sub>
                    </m:sSub>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9F53889C-E3BC-44FD-BDC0-8B29CE15B0D5}"/>
                </a:ext>
              </a:extLst>
            </xdr:cNvPr>
            <xdr:cNvSpPr txBox="1"/>
          </xdr:nvSpPr>
          <xdr:spPr>
            <a:xfrm>
              <a:off x="1026582" y="6328833"/>
              <a:ext cx="4942417" cy="2639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𝐸𝑥𝑝𝑒𝑐𝑡𝑒𝑑 𝐹𝑢𝑡𝑢𝑟𝑒 𝐿𝑜𝑠𝑠 〖𝐸𝑚𝑒𝑟𝑔𝑒𝑛𝑐𝑒〗_𝑃𝑌=〖𝑈𝑙𝑡 𝐿𝑜𝑠𝑠〗_𝑃𝑌−𝐿𝑜𝑠𝑠 𝑃𝑟𝑖𝑜𝑟 〖𝐴𝑑𝑗𝑢𝑠𝑡𝑚𝑒𝑛𝑡〗_𝑃𝑌</a:t>
              </a:r>
              <a:endParaRPr lang="en-PH" sz="1100">
                <a:solidFill>
                  <a:schemeClr val="tx1"/>
                </a:solidFill>
                <a:effectLst/>
                <a:latin typeface="+mn-lt"/>
                <a:ea typeface="+mn-ea"/>
                <a:cs typeface="+mn-cs"/>
              </a:endParaRPr>
            </a:p>
          </xdr:txBody>
        </xdr:sp>
      </mc:Fallback>
    </mc:AlternateContent>
    <xdr:clientData/>
  </xdr:twoCellAnchor>
  <xdr:twoCellAnchor>
    <xdr:from>
      <xdr:col>1</xdr:col>
      <xdr:colOff>116418</xdr:colOff>
      <xdr:row>43</xdr:row>
      <xdr:rowOff>127000</xdr:rowOff>
    </xdr:from>
    <xdr:to>
      <xdr:col>4</xdr:col>
      <xdr:colOff>243417</xdr:colOff>
      <xdr:row>45</xdr:row>
      <xdr:rowOff>180599</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2D22DA8-8CB9-4DA5-BD0F-9FF5FB2777D7}"/>
                </a:ext>
              </a:extLst>
            </xdr:cNvPr>
            <xdr:cNvSpPr txBox="1"/>
          </xdr:nvSpPr>
          <xdr:spPr>
            <a:xfrm>
              <a:off x="941918" y="8964083"/>
              <a:ext cx="2603499" cy="45576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𝐶𝑃𝐷𝐿𝐷</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nary>
                          <m:naryPr>
                            <m:chr m:val="∑"/>
                            <m:limLoc m:val="undOvr"/>
                            <m:subHide m:val="on"/>
                            <m:ctrlPr>
                              <a:rPr lang="en-PH" sz="1100" i="1">
                                <a:solidFill>
                                  <a:schemeClr val="tx1"/>
                                </a:solidFill>
                                <a:effectLst/>
                                <a:latin typeface="Cambria Math" panose="02040503050406030204" pitchFamily="18" charset="0"/>
                                <a:ea typeface="+mn-ea"/>
                                <a:cs typeface="+mn-cs"/>
                              </a:rPr>
                            </m:ctrlPr>
                          </m:naryPr>
                          <m:sub/>
                          <m:sup>
                            <m:argPr>
                              <m:argSz m:val="-2"/>
                            </m:argPr>
                            <m:r>
                              <a:rPr lang="en-PH" sz="1100" i="1">
                                <a:solidFill>
                                  <a:schemeClr val="tx1"/>
                                </a:solidFill>
                                <a:effectLst/>
                                <a:latin typeface="Cambria Math" panose="02040503050406030204" pitchFamily="18" charset="0"/>
                                <a:ea typeface="+mn-ea"/>
                                <a:cs typeface="+mn-cs"/>
                              </a:rPr>
                              <m:t>𝐹𝑢𝑡𝑢𝑟𝑒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𝑃𝑒𝑟𝑖𝑜𝑑𝑠</m:t>
                            </m:r>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𝑃𝐷𝐿𝐷</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sub>
                            </m:sSub>
                          </m:e>
                        </m:nary>
                      </m:num>
                      <m:den>
                        <m:nary>
                          <m:naryPr>
                            <m:chr m:val="∑"/>
                            <m:limLoc m:val="undOvr"/>
                            <m:subHide m:val="on"/>
                            <m:supHide m:val="on"/>
                            <m:ctrlPr>
                              <a:rPr lang="en-PH" sz="1100" i="1">
                                <a:solidFill>
                                  <a:schemeClr val="tx1"/>
                                </a:solidFill>
                                <a:effectLst/>
                                <a:latin typeface="Cambria Math" panose="02040503050406030204" pitchFamily="18" charset="0"/>
                                <a:ea typeface="+mn-ea"/>
                                <a:cs typeface="+mn-cs"/>
                              </a:rPr>
                            </m:ctrlPr>
                          </m:naryP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sub>
                            </m:sSub>
                          </m:e>
                        </m:nary>
                      </m:den>
                    </m:f>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F2D22DA8-8CB9-4DA5-BD0F-9FF5FB2777D7}"/>
                </a:ext>
              </a:extLst>
            </xdr:cNvPr>
            <xdr:cNvSpPr txBox="1"/>
          </xdr:nvSpPr>
          <xdr:spPr>
            <a:xfrm>
              <a:off x="941918" y="8964083"/>
              <a:ext cx="2603499" cy="45576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〖𝐶𝑃𝐷𝐿𝐷〗_𝑛=(∑1^(𝐹𝑢𝑡𝑢𝑟𝑒 𝑃𝑒𝑟𝑖𝑜𝑑𝑠)▒〖〖𝑃𝐷𝐿𝐷〗_𝑛×%〖𝐿𝑜𝑠𝑠〗_𝑛 〗)/(∑1▒〖%𝐿𝑜𝑠𝑠〗_𝑛 )</a:t>
              </a:r>
              <a:endParaRPr lang="en-PH" sz="1100">
                <a:solidFill>
                  <a:schemeClr val="tx1"/>
                </a:solidFill>
                <a:effectLst/>
                <a:latin typeface="+mn-lt"/>
                <a:ea typeface="+mn-ea"/>
                <a:cs typeface="+mn-cs"/>
              </a:endParaRPr>
            </a:p>
          </xdr:txBody>
        </xdr:sp>
      </mc:Fallback>
    </mc:AlternateContent>
    <xdr:clientData/>
  </xdr:twoCellAnchor>
  <xdr:twoCellAnchor>
    <xdr:from>
      <xdr:col>0</xdr:col>
      <xdr:colOff>823632</xdr:colOff>
      <xdr:row>57</xdr:row>
      <xdr:rowOff>0</xdr:rowOff>
    </xdr:from>
    <xdr:to>
      <xdr:col>5</xdr:col>
      <xdr:colOff>709083</xdr:colOff>
      <xdr:row>58</xdr:row>
      <xdr:rowOff>105833</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4DA7446-5FC2-432A-BD94-586C544FBB7B}"/>
                </a:ext>
              </a:extLst>
            </xdr:cNvPr>
            <xdr:cNvSpPr txBox="1"/>
          </xdr:nvSpPr>
          <xdr:spPr>
            <a:xfrm>
              <a:off x="823632" y="11482917"/>
              <a:ext cx="4129368" cy="3069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e>
                      <m:sub>
                        <m:argPr>
                          <m:argSz m:val="-2"/>
                        </m:argPr>
                        <m:r>
                          <a:rPr lang="en-PH" sz="1100" i="1">
                            <a:solidFill>
                              <a:schemeClr val="tx1"/>
                            </a:solidFill>
                            <a:effectLst/>
                            <a:latin typeface="Cambria Math" panose="02040503050406030204" pitchFamily="18" charset="0"/>
                            <a:ea typeface="+mn-ea"/>
                            <a:cs typeface="+mn-cs"/>
                          </a:rPr>
                          <m:t>𝑃𝑌</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𝑃𝑌</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𝐶𝑃𝐷𝐿𝐷</m:t>
                        </m:r>
                      </m:e>
                      <m:sub>
                        <m:argPr>
                          <m:argSz m:val="-1"/>
                        </m:argPr>
                        <m:r>
                          <a:rPr lang="en-PH" sz="1100" i="1">
                            <a:solidFill>
                              <a:schemeClr val="tx1"/>
                            </a:solidFill>
                            <a:effectLst/>
                            <a:latin typeface="Cambria Math" panose="02040503050406030204" pitchFamily="18" charset="0"/>
                            <a:ea typeface="+mn-ea"/>
                            <a:cs typeface="+mn-cs"/>
                          </a:rPr>
                          <m:t>𝑛</m:t>
                        </m:r>
                      </m:sub>
                    </m:sSub>
                  </m:oMath>
                </m:oMathPara>
              </a14:m>
              <a:endParaRPr lang="en-PH"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24DA7446-5FC2-432A-BD94-586C544FBB7B}"/>
                </a:ext>
              </a:extLst>
            </xdr:cNvPr>
            <xdr:cNvSpPr txBox="1"/>
          </xdr:nvSpPr>
          <xdr:spPr>
            <a:xfrm>
              <a:off x="823632" y="11482917"/>
              <a:ext cx="4129368" cy="3069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r>
                <a:rPr lang="en-PH" sz="1100" i="0">
                  <a:solidFill>
                    <a:schemeClr val="tx1"/>
                  </a:solidFill>
                  <a:effectLst/>
                  <a:latin typeface="Cambria Math" panose="02040503050406030204" pitchFamily="18" charset="0"/>
                  <a:ea typeface="+mn-ea"/>
                  <a:cs typeface="+mn-cs"/>
                </a:rPr>
                <a:t>〖𝐸𝑥𝑝𝑒𝑐𝑡𝑒𝑑 𝐹𝑢𝑡𝑢𝑟𝑒 𝑃𝑟𝑒𝑚〗_𝑃𝑌=〖𝐸𝑥𝑝𝑒𝑐𝑡𝑒𝑑 𝐹𝑢𝑡𝑢𝑟𝑒 𝐿𝑜𝑠𝑠〗_𝑃𝑌×〖𝐶𝑃𝐷𝐿𝐷〗_𝑛</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222249</xdr:colOff>
      <xdr:row>63</xdr:row>
      <xdr:rowOff>148167</xdr:rowOff>
    </xdr:from>
    <xdr:to>
      <xdr:col>5</xdr:col>
      <xdr:colOff>920749</xdr:colOff>
      <xdr:row>65</xdr:row>
      <xdr:rowOff>42335</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A962691-F1BE-4F53-9B8C-66FF5193278A}"/>
                </a:ext>
              </a:extLst>
            </xdr:cNvPr>
            <xdr:cNvSpPr txBox="1"/>
          </xdr:nvSpPr>
          <xdr:spPr>
            <a:xfrm>
              <a:off x="1047749" y="13853584"/>
              <a:ext cx="4116917" cy="29633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𝐵𝑜𝑜𝑘𝑒𝑑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𝑎𝑡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𝑃𝑟𝑖𝑜𝑟</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𝐴𝑑𝑗</m:t>
                    </m:r>
                  </m:oMath>
                </m:oMathPara>
              </a14:m>
              <a:endParaRPr lang="en-PH" sz="1100">
                <a:solidFill>
                  <a:schemeClr val="tx1"/>
                </a:solidFill>
                <a:effectLst/>
                <a:latin typeface="+mn-lt"/>
                <a:ea typeface="+mn-ea"/>
                <a:cs typeface="+mn-cs"/>
              </a:endParaRPr>
            </a:p>
            <a:p>
              <a:endParaRPr lang="en-PH" sz="110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9A962691-F1BE-4F53-9B8C-66FF5193278A}"/>
                </a:ext>
              </a:extLst>
            </xdr:cNvPr>
            <xdr:cNvSpPr txBox="1"/>
          </xdr:nvSpPr>
          <xdr:spPr>
            <a:xfrm>
              <a:off x="1047749" y="13853584"/>
              <a:ext cx="4116917" cy="29633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𝑈𝑙𝑡 𝑃𝑟𝑒𝑚=𝐸𝑥𝑝𝑒𝑐𝑡𝑒𝑑 𝐹𝑢𝑡𝑢𝑟𝑒 𝑃𝑟𝑒𝑚+𝐵𝑜𝑜𝑘𝑒𝑑 𝑃𝑟𝑒𝑚 𝑎𝑡 𝑃𝑟𝑖𝑜𝑟 𝐴𝑑𝑗</a:t>
              </a:r>
              <a:endParaRPr lang="en-PH" sz="1100">
                <a:solidFill>
                  <a:schemeClr val="tx1"/>
                </a:solidFill>
                <a:effectLst/>
                <a:latin typeface="+mn-lt"/>
                <a:ea typeface="+mn-ea"/>
                <a:cs typeface="+mn-cs"/>
              </a:endParaRPr>
            </a:p>
            <a:p>
              <a:endParaRPr lang="en-PH" sz="1100">
                <a:solidFill>
                  <a:schemeClr val="tx1"/>
                </a:solidFill>
                <a:effectLst/>
                <a:latin typeface="+mn-lt"/>
                <a:ea typeface="+mn-ea"/>
                <a:cs typeface="+mn-cs"/>
              </a:endParaRPr>
            </a:p>
          </xdr:txBody>
        </xdr:sp>
      </mc:Fallback>
    </mc:AlternateContent>
    <xdr:clientData/>
  </xdr:twoCellAnchor>
  <xdr:twoCellAnchor>
    <xdr:from>
      <xdr:col>1</xdr:col>
      <xdr:colOff>433916</xdr:colOff>
      <xdr:row>77</xdr:row>
      <xdr:rowOff>137584</xdr:rowOff>
    </xdr:from>
    <xdr:to>
      <xdr:col>5</xdr:col>
      <xdr:colOff>264583</xdr:colOff>
      <xdr:row>79</xdr:row>
      <xdr:rowOff>10585</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81767D7-0494-4288-822F-F05A98EBDA44}"/>
                </a:ext>
              </a:extLst>
            </xdr:cNvPr>
            <xdr:cNvSpPr txBox="1"/>
          </xdr:nvSpPr>
          <xdr:spPr>
            <a:xfrm>
              <a:off x="1259416" y="16901584"/>
              <a:ext cx="3249084" cy="27516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𝐴𝑠𝑠𝑒𝑡</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𝐶𝑢𝑟𝑟𝑒𝑛𝑡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𝐵𝑜𝑜𝑘𝑒𝑑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oMath>
                </m:oMathPara>
              </a14:m>
              <a:endParaRPr lang="en-PH" sz="1100">
                <a:solidFill>
                  <a:schemeClr val="tx1"/>
                </a:solidFill>
                <a:effectLst/>
                <a:latin typeface="+mn-lt"/>
                <a:ea typeface="+mn-ea"/>
                <a:cs typeface="+mn-cs"/>
              </a:endParaRPr>
            </a:p>
            <a:p>
              <a:endParaRPr lang="en-PH"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881767D7-0494-4288-822F-F05A98EBDA44}"/>
                </a:ext>
              </a:extLst>
            </xdr:cNvPr>
            <xdr:cNvSpPr txBox="1"/>
          </xdr:nvSpPr>
          <xdr:spPr>
            <a:xfrm>
              <a:off x="1259416" y="16901584"/>
              <a:ext cx="3249084" cy="27516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r>
                <a:rPr lang="en-PH" sz="1100" i="0">
                  <a:solidFill>
                    <a:schemeClr val="tx1"/>
                  </a:solidFill>
                  <a:effectLst/>
                  <a:latin typeface="Cambria Math" panose="02040503050406030204" pitchFamily="18" charset="0"/>
                  <a:ea typeface="+mn-ea"/>
                  <a:cs typeface="+mn-cs"/>
                </a:rPr>
                <a:t>𝑃𝑟𝑒𝑚 𝐴𝑠𝑠𝑒𝑡=𝑈𝑙𝑡 𝑃𝑟𝑒𝑚−𝐶𝑢𝑟𝑟𝑒𝑛𝑡 𝐵𝑜𝑜𝑘𝑒𝑑 𝑃𝑟𝑒𝑚</a:t>
              </a:r>
              <a:endParaRPr lang="en-PH" sz="1100">
                <a:solidFill>
                  <a:schemeClr val="tx1"/>
                </a:solidFill>
                <a:effectLst/>
                <a:latin typeface="+mn-lt"/>
                <a:ea typeface="+mn-ea"/>
                <a:cs typeface="+mn-cs"/>
              </a:endParaRPr>
            </a:p>
            <a:p>
              <a:endParaRPr lang="en-PH" sz="1100">
                <a:solidFill>
                  <a:schemeClr val="tx1"/>
                </a:solidFill>
                <a:effectLst/>
                <a:latin typeface="+mn-lt"/>
                <a:ea typeface="+mn-ea"/>
                <a:cs typeface="+mn-cs"/>
              </a:endParaRP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181941</xdr:colOff>
      <xdr:row>76</xdr:row>
      <xdr:rowOff>135006</xdr:rowOff>
    </xdr:from>
    <xdr:ext cx="1368644" cy="34996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007441" y="15692506"/>
              <a:ext cx="1368644" cy="349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sSub>
                          <m:sSubPr>
                            <m:ctrlPr>
                              <a:rPr lang="en-US" sz="1100" i="1">
                                <a:latin typeface="Cambria Math" panose="02040503050406030204" pitchFamily="18" charset="0"/>
                              </a:rPr>
                            </m:ctrlPr>
                          </m:sSubPr>
                          <m:e>
                            <m:r>
                              <a:rPr lang="en-US" sz="1100" b="0" i="1">
                                <a:latin typeface="Cambria Math" panose="02040503050406030204" pitchFamily="18" charset="0"/>
                              </a:rPr>
                              <m:t>𝐶𝐿</m:t>
                            </m:r>
                          </m:e>
                          <m:sub>
                            <m:r>
                              <a:rPr lang="en-US" sz="1100" b="0" i="1">
                                <a:latin typeface="Cambria Math" panose="02040503050406030204" pitchFamily="18" charset="0"/>
                              </a:rPr>
                              <m:t>𝑛</m:t>
                            </m:r>
                          </m:sub>
                        </m:sSub>
                      </m:num>
                      <m:den>
                        <m:sSub>
                          <m:sSubPr>
                            <m:ctrlPr>
                              <a:rPr lang="en-US" sz="110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𝑛</m:t>
                            </m:r>
                          </m:sub>
                        </m:sSub>
                      </m:den>
                    </m:f>
                    <m:r>
                      <a:rPr lang="en-US" sz="1100" b="0" i="1">
                        <a:latin typeface="Cambria Math" panose="02040503050406030204" pitchFamily="18" charset="0"/>
                      </a:rPr>
                      <m:t>= </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𝐶𝑎𝑝𝑝𝑒𝑑</m:t>
                            </m:r>
                            <m:r>
                              <a:rPr lang="en-US" sz="1100" b="0" i="1">
                                <a:latin typeface="Cambria Math" panose="02040503050406030204" pitchFamily="18" charset="0"/>
                              </a:rPr>
                              <m:t> </m:t>
                            </m:r>
                            <m:r>
                              <a:rPr lang="en-US" sz="1100" b="0" i="1">
                                <a:latin typeface="Cambria Math" panose="02040503050406030204" pitchFamily="18" charset="0"/>
                              </a:rPr>
                              <m:t>𝐿𝑜𝑠𝑠</m:t>
                            </m:r>
                          </m:e>
                          <m:sub>
                            <m:r>
                              <a:rPr lang="en-US" sz="1100" b="0" i="1">
                                <a:latin typeface="Cambria Math" panose="02040503050406030204" pitchFamily="18" charset="0"/>
                              </a:rPr>
                              <m:t>𝑛</m:t>
                            </m:r>
                          </m:sub>
                        </m:sSub>
                      </m:num>
                      <m:den>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𝑛</m:t>
                            </m:r>
                          </m:sub>
                        </m:sSub>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007441" y="15692506"/>
              <a:ext cx="1368644" cy="349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𝐶𝐿〗_𝑛/𝐿_𝑛 =  〖𝐶𝑎𝑝𝑝𝑒𝑑 𝐿𝑜𝑠𝑠〗_𝑛/〖𝐿𝑜𝑠𝑠〗_𝑛 </a:t>
              </a:r>
              <a:endParaRPr lang="en-US" sz="1100"/>
            </a:p>
          </xdr:txBody>
        </xdr:sp>
      </mc:Fallback>
    </mc:AlternateContent>
    <xdr:clientData/>
  </xdr:oneCellAnchor>
  <xdr:oneCellAnchor>
    <xdr:from>
      <xdr:col>3</xdr:col>
      <xdr:colOff>829826</xdr:colOff>
      <xdr:row>76</xdr:row>
      <xdr:rowOff>140988</xdr:rowOff>
    </xdr:from>
    <xdr:ext cx="2550827" cy="34990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3306326" y="15698488"/>
              <a:ext cx="2550827" cy="349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m:rPr>
                            <m:sty m:val="p"/>
                          </m:rPr>
                          <a:rPr lang="el-GR" sz="1100" i="1">
                            <a:latin typeface="Cambria Math" panose="02040503050406030204" pitchFamily="18" charset="0"/>
                          </a:rPr>
                          <m:t>Δ</m:t>
                        </m:r>
                        <m:sSub>
                          <m:sSubPr>
                            <m:ctrlPr>
                              <a:rPr lang="el-GR" sz="1100" i="1">
                                <a:latin typeface="Cambria Math" panose="02040503050406030204" pitchFamily="18" charset="0"/>
                              </a:rPr>
                            </m:ctrlPr>
                          </m:sSubPr>
                          <m:e>
                            <m:r>
                              <a:rPr lang="en-US" sz="1100" b="0" i="1">
                                <a:latin typeface="Cambria Math" panose="02040503050406030204" pitchFamily="18" charset="0"/>
                              </a:rPr>
                              <m:t>𝐶𝐿</m:t>
                            </m:r>
                          </m:e>
                          <m:sub>
                            <m:r>
                              <a:rPr lang="en-US" sz="1100" b="0" i="1">
                                <a:latin typeface="Cambria Math" panose="02040503050406030204" pitchFamily="18" charset="0"/>
                              </a:rPr>
                              <m:t>𝑛</m:t>
                            </m:r>
                          </m:sub>
                        </m:sSub>
                      </m:num>
                      <m:den>
                        <m:r>
                          <m:rPr>
                            <m:sty m:val="p"/>
                          </m:rPr>
                          <a:rPr lang="el-GR" sz="1100" i="1">
                            <a:solidFill>
                              <a:schemeClr val="tx1"/>
                            </a:solidFill>
                            <a:effectLst/>
                            <a:latin typeface="Cambria Math" panose="02040503050406030204" pitchFamily="18" charset="0"/>
                            <a:ea typeface="+mn-ea"/>
                            <a:cs typeface="+mn-cs"/>
                          </a:rPr>
                          <m:t>Δ</m:t>
                        </m:r>
                        <m:sSub>
                          <m:sSubPr>
                            <m:ctrlPr>
                              <a:rPr lang="el-GR" sz="110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𝐿</m:t>
                            </m:r>
                          </m:e>
                          <m:sub>
                            <m:r>
                              <a:rPr lang="en-US" sz="1100" b="0" i="1">
                                <a:solidFill>
                                  <a:schemeClr val="tx1"/>
                                </a:solidFill>
                                <a:effectLst/>
                                <a:latin typeface="Cambria Math" panose="02040503050406030204" pitchFamily="18" charset="0"/>
                                <a:ea typeface="+mn-ea"/>
                                <a:cs typeface="+mn-cs"/>
                              </a:rPr>
                              <m:t>𝑛</m:t>
                            </m:r>
                          </m:sub>
                        </m:sSub>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𝐶𝑎𝑝𝑝𝑒𝑑</m:t>
                        </m:r>
                        <m:r>
                          <a:rPr lang="en-US" sz="1100" b="0" i="1">
                            <a:latin typeface="Cambria Math" panose="02040503050406030204" pitchFamily="18" charset="0"/>
                          </a:rPr>
                          <m:t> </m:t>
                        </m:r>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𝑛</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𝐶𝑎𝑝𝑝𝑒𝑑</m:t>
                            </m:r>
                            <m:r>
                              <a:rPr lang="en-US" sz="1100" b="0" i="1">
                                <a:latin typeface="Cambria Math" panose="02040503050406030204" pitchFamily="18" charset="0"/>
                              </a:rPr>
                              <m:t> </m:t>
                            </m:r>
                            <m:r>
                              <a:rPr lang="en-US" sz="1100" b="0" i="1">
                                <a:latin typeface="Cambria Math" panose="02040503050406030204" pitchFamily="18" charset="0"/>
                              </a:rPr>
                              <m:t>𝐿𝑜𝑠𝑠</m:t>
                            </m:r>
                          </m:e>
                          <m:sub>
                            <m:r>
                              <a:rPr lang="en-US" sz="1100" b="0" i="1">
                                <a:latin typeface="Cambria Math" panose="02040503050406030204" pitchFamily="18" charset="0"/>
                              </a:rPr>
                              <m:t>𝑛</m:t>
                            </m:r>
                            <m:r>
                              <a:rPr lang="en-US" sz="1100" b="0" i="1">
                                <a:latin typeface="Cambria Math" panose="02040503050406030204" pitchFamily="18" charset="0"/>
                              </a:rPr>
                              <m:t>−1</m:t>
                            </m:r>
                          </m:sub>
                        </m:sSub>
                      </m:num>
                      <m:den>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𝑛</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𝑛</m:t>
                            </m:r>
                            <m:r>
                              <a:rPr lang="en-US" sz="1100" b="0" i="1">
                                <a:latin typeface="Cambria Math" panose="02040503050406030204" pitchFamily="18" charset="0"/>
                              </a:rPr>
                              <m:t>−1</m:t>
                            </m:r>
                          </m:sub>
                        </m:sSub>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3306326" y="15698488"/>
              <a:ext cx="2550827" cy="349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l-GR" sz="1100" i="0">
                  <a:latin typeface="Cambria Math" panose="02040503050406030204" pitchFamily="18" charset="0"/>
                </a:rPr>
                <a:t>Δ〖</a:t>
              </a:r>
              <a:r>
                <a:rPr lang="en-US" sz="1100" b="0" i="0">
                  <a:latin typeface="Cambria Math" panose="02040503050406030204" pitchFamily="18" charset="0"/>
                </a:rPr>
                <a:t>𝐶𝐿</a:t>
              </a:r>
              <a:r>
                <a:rPr lang="el-GR" sz="1100" b="0" i="0">
                  <a:latin typeface="Cambria Math" panose="02040503050406030204" pitchFamily="18" charset="0"/>
                </a:rPr>
                <a:t>〗_</a:t>
              </a:r>
              <a:r>
                <a:rPr lang="en-US" sz="1100" b="0" i="0">
                  <a:latin typeface="Cambria Math" panose="02040503050406030204" pitchFamily="18" charset="0"/>
                </a:rPr>
                <a:t>𝑛)/(</a:t>
              </a:r>
              <a:r>
                <a:rPr lang="el-GR" sz="1100" i="0">
                  <a:solidFill>
                    <a:schemeClr val="tx1"/>
                  </a:solidFill>
                  <a:effectLst/>
                  <a:latin typeface="Cambria Math" panose="02040503050406030204" pitchFamily="18" charset="0"/>
                  <a:ea typeface="+mn-ea"/>
                  <a:cs typeface="+mn-cs"/>
                </a:rPr>
                <a:t>Δ</a:t>
              </a:r>
              <a:r>
                <a:rPr lang="en-US" sz="1100" b="0" i="0">
                  <a:solidFill>
                    <a:schemeClr val="tx1"/>
                  </a:solidFill>
                  <a:effectLst/>
                  <a:latin typeface="Cambria Math" panose="02040503050406030204" pitchFamily="18" charset="0"/>
                  <a:ea typeface="+mn-ea"/>
                  <a:cs typeface="+mn-cs"/>
                </a:rPr>
                <a:t>𝐿</a:t>
              </a:r>
              <a:r>
                <a:rPr lang="el-GR" sz="1100" b="0" i="0">
                  <a:solidFill>
                    <a:schemeClr val="tx1"/>
                  </a:solidFill>
                  <a:effectLst/>
                  <a:latin typeface="Cambria Math" panose="02040503050406030204" pitchFamily="18" charset="0"/>
                  <a:ea typeface="+mn-ea"/>
                  <a:cs typeface="+mn-cs"/>
                </a:rPr>
                <a:t>_</a:t>
              </a:r>
              <a:r>
                <a:rPr lang="en-US" sz="1100" b="0" i="0">
                  <a:solidFill>
                    <a:schemeClr val="tx1"/>
                  </a:solidFill>
                  <a:effectLst/>
                  <a:latin typeface="Cambria Math" panose="02040503050406030204" pitchFamily="18" charset="0"/>
                  <a:ea typeface="+mn-ea"/>
                  <a:cs typeface="+mn-cs"/>
                </a:rPr>
                <a:t>𝑛 )</a:t>
              </a:r>
              <a:r>
                <a:rPr lang="en-US" sz="1100" b="0" i="0">
                  <a:latin typeface="Cambria Math" panose="02040503050406030204" pitchFamily="18" charset="0"/>
                </a:rPr>
                <a:t>=(𝐶𝑎𝑝𝑝𝑒𝑑 〖𝐿𝑜𝑠𝑠〗_𝑛−〖𝐶𝑎𝑝𝑝𝑒𝑑 𝐿𝑜𝑠𝑠〗_(𝑛−1))/(〖𝐿𝑜𝑠𝑠〗_𝑛−〖𝐿𝑜𝑠𝑠〗_(𝑛−1) )</a:t>
              </a:r>
              <a:endParaRPr lang="en-US" sz="1100"/>
            </a:p>
          </xdr:txBody>
        </xdr:sp>
      </mc:Fallback>
    </mc:AlternateContent>
    <xdr:clientData/>
  </xdr:oneCellAnchor>
  <xdr:twoCellAnchor>
    <xdr:from>
      <xdr:col>1</xdr:col>
      <xdr:colOff>264582</xdr:colOff>
      <xdr:row>21</xdr:row>
      <xdr:rowOff>190500</xdr:rowOff>
    </xdr:from>
    <xdr:to>
      <xdr:col>4</xdr:col>
      <xdr:colOff>402166</xdr:colOff>
      <xdr:row>24</xdr:row>
      <xdr:rowOff>28012</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EBD41481-3808-4946-B035-16F44C6157F1}"/>
                </a:ext>
              </a:extLst>
            </xdr:cNvPr>
            <xdr:cNvSpPr txBox="1"/>
          </xdr:nvSpPr>
          <xdr:spPr>
            <a:xfrm>
              <a:off x="1090082" y="4550833"/>
              <a:ext cx="2656417" cy="4407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𝐶𝐿</m:t>
                            </m:r>
                          </m:e>
                          <m:sub>
                            <m:argPr>
                              <m:argSz m:val="-2"/>
                            </m:argPr>
                            <m:r>
                              <a:rPr lang="en-PH" sz="1100" i="1">
                                <a:solidFill>
                                  <a:schemeClr val="tx1"/>
                                </a:solidFill>
                                <a:effectLst/>
                                <a:latin typeface="Cambria Math" panose="02040503050406030204" pitchFamily="18" charset="0"/>
                                <a:ea typeface="+mn-ea"/>
                                <a:cs typeface="+mn-cs"/>
                              </a:rPr>
                              <m:t>𝑛</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m:t>
                            </m:r>
                          </m:e>
                          <m:sub>
                            <m:argPr>
                              <m:argSz m:val="-2"/>
                            </m:argPr>
                            <m:r>
                              <a:rPr lang="en-PH" sz="1100" i="1">
                                <a:solidFill>
                                  <a:schemeClr val="tx1"/>
                                </a:solidFill>
                                <a:effectLst/>
                                <a:latin typeface="Cambria Math" panose="02040503050406030204" pitchFamily="18" charset="0"/>
                                <a:ea typeface="+mn-ea"/>
                                <a:cs typeface="+mn-cs"/>
                              </a:rPr>
                              <m:t>𝑛</m:t>
                            </m:r>
                          </m:sub>
                        </m:sSub>
                      </m:den>
                    </m:f>
                    <m:r>
                      <a:rPr lang="en-PH" sz="1100" i="1">
                        <a:solidFill>
                          <a:schemeClr val="tx1"/>
                        </a:solidFill>
                        <a:effectLst/>
                        <a:latin typeface="Cambria Math" panose="02040503050406030204" pitchFamily="18" charset="0"/>
                        <a:ea typeface="+mn-ea"/>
                        <a:cs typeface="+mn-cs"/>
                      </a:rPr>
                      <m:t>=1−</m:t>
                    </m:r>
                    <m:r>
                      <a:rPr lang="en-PH" sz="1100" i="1">
                        <a:solidFill>
                          <a:schemeClr val="tx1"/>
                        </a:solidFill>
                        <a:effectLst/>
                        <a:latin typeface="Cambria Math" panose="02040503050406030204" pitchFamily="18" charset="0"/>
                        <a:ea typeface="+mn-ea"/>
                        <a:cs typeface="+mn-cs"/>
                      </a:rPr>
                      <m:t>𝑁𝑒𝑡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𝐼𝑛𝑠𝑢𝑟𝑎𝑛𝑐𝑒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𝐶h𝑎𝑟𝑔𝑒</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𝐿𝐸𝑅</m:t>
                    </m:r>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EBD41481-3808-4946-B035-16F44C6157F1}"/>
                </a:ext>
              </a:extLst>
            </xdr:cNvPr>
            <xdr:cNvSpPr txBox="1"/>
          </xdr:nvSpPr>
          <xdr:spPr>
            <a:xfrm>
              <a:off x="1090082" y="4550833"/>
              <a:ext cx="2656417" cy="4407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〖𝐶𝐿〗_𝑛/𝐿_𝑛 =1−𝑁𝑒𝑡 𝐼𝑛𝑠𝑢𝑟𝑎𝑛𝑐𝑒 𝐶ℎ𝑎𝑟𝑔𝑒−𝐿𝐸𝑅</a:t>
              </a:r>
              <a:endParaRPr lang="en-PH" sz="1100">
                <a:solidFill>
                  <a:schemeClr val="tx1"/>
                </a:solidFill>
                <a:effectLst/>
                <a:latin typeface="+mn-lt"/>
                <a:ea typeface="+mn-ea"/>
                <a:cs typeface="+mn-cs"/>
              </a:endParaRPr>
            </a:p>
          </xdr:txBody>
        </xdr:sp>
      </mc:Fallback>
    </mc:AlternateContent>
    <xdr:clientData/>
  </xdr:twoCellAnchor>
  <xdr:oneCellAnchor>
    <xdr:from>
      <xdr:col>4</xdr:col>
      <xdr:colOff>656167</xdr:colOff>
      <xdr:row>22</xdr:row>
      <xdr:rowOff>31750</xdr:rowOff>
    </xdr:from>
    <xdr:ext cx="2745560" cy="34657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2FF9600-164B-431C-B9C4-DF8F1BF41B5B}"/>
                </a:ext>
              </a:extLst>
            </xdr:cNvPr>
            <xdr:cNvSpPr txBox="1"/>
          </xdr:nvSpPr>
          <xdr:spPr>
            <a:xfrm>
              <a:off x="4000500" y="4593167"/>
              <a:ext cx="2745560"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𝐶𝐿</m:t>
                            </m:r>
                          </m:e>
                          <m:sub>
                            <m:argPr>
                              <m:argSz m:val="-2"/>
                            </m:argPr>
                            <m:r>
                              <a:rPr lang="en-PH" sz="1100" i="1">
                                <a:solidFill>
                                  <a:schemeClr val="tx1"/>
                                </a:solidFill>
                                <a:effectLst/>
                                <a:latin typeface="Cambria Math" panose="02040503050406030204" pitchFamily="18" charset="0"/>
                                <a:ea typeface="+mn-ea"/>
                                <a:cs typeface="+mn-cs"/>
                              </a:rPr>
                              <m:t>𝑛</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m:t>
                            </m:r>
                          </m:e>
                          <m:sub>
                            <m:argPr>
                              <m:argSz m:val="-2"/>
                            </m:argPr>
                            <m:r>
                              <a:rPr lang="en-PH" sz="1100" i="1">
                                <a:solidFill>
                                  <a:schemeClr val="tx1"/>
                                </a:solidFill>
                                <a:effectLst/>
                                <a:latin typeface="Cambria Math" panose="02040503050406030204" pitchFamily="18" charset="0"/>
                                <a:ea typeface="+mn-ea"/>
                                <a:cs typeface="+mn-cs"/>
                              </a:rPr>
                              <m:t>𝑛</m:t>
                            </m:r>
                          </m:sub>
                        </m:sSub>
                      </m:den>
                    </m:f>
                    <m:r>
                      <a:rPr lang="en-PH" sz="1100" i="1">
                        <a:solidFill>
                          <a:schemeClr val="tx1"/>
                        </a:solidFill>
                        <a:effectLst/>
                        <a:latin typeface="Cambria Math" panose="02040503050406030204" pitchFamily="18" charset="0"/>
                        <a:ea typeface="+mn-ea"/>
                        <a:cs typeface="+mn-cs"/>
                      </a:rPr>
                      <m:t>=1−</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𝐶h𝑎𝑟𝑔𝑒</m:t>
                            </m:r>
                          </m:e>
                          <m:sub>
                            <m:argPr>
                              <m:argSz m:val="-2"/>
                            </m:argPr>
                            <m:r>
                              <a:rPr lang="en-PH" sz="1100" i="1">
                                <a:solidFill>
                                  <a:schemeClr val="tx1"/>
                                </a:solidFill>
                                <a:effectLst/>
                                <a:latin typeface="Cambria Math" panose="02040503050406030204" pitchFamily="18" charset="0"/>
                                <a:ea typeface="+mn-ea"/>
                                <a:cs typeface="+mn-cs"/>
                              </a:rPr>
                              <m:t>𝑚𝑎𝑥</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𝑆𝑎𝑣𝑖𝑛𝑔𝑠</m:t>
                            </m:r>
                          </m:e>
                          <m:sub>
                            <m:argPr>
                              <m:argSz m:val="-2"/>
                            </m:argPr>
                            <m:r>
                              <a:rPr lang="en-PH" sz="1100" i="1">
                                <a:solidFill>
                                  <a:schemeClr val="tx1"/>
                                </a:solidFill>
                                <a:effectLst/>
                                <a:latin typeface="Cambria Math" panose="02040503050406030204" pitchFamily="18" charset="0"/>
                                <a:ea typeface="+mn-ea"/>
                                <a:cs typeface="+mn-cs"/>
                              </a:rPr>
                              <m:t>𝑚𝑖𝑛</m:t>
                            </m:r>
                          </m:sub>
                        </m:sSub>
                      </m:e>
                    </m:d>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𝐿𝐸𝑅</m:t>
                    </m:r>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72FF9600-164B-431C-B9C4-DF8F1BF41B5B}"/>
                </a:ext>
              </a:extLst>
            </xdr:cNvPr>
            <xdr:cNvSpPr txBox="1"/>
          </xdr:nvSpPr>
          <xdr:spPr>
            <a:xfrm>
              <a:off x="4000500" y="4593167"/>
              <a:ext cx="2745560"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〖𝐶𝐿〗_𝑛/𝐿_𝑛 =1−(〖𝐶ℎ𝑎𝑟𝑔𝑒〗_𝑚𝑎𝑥−〖𝑆𝑎𝑣𝑖𝑛𝑔𝑠〗_𝑚𝑖𝑛 )−𝐿𝐸𝑅</a:t>
              </a:r>
              <a:endParaRPr lang="en-US" sz="1100">
                <a:solidFill>
                  <a:schemeClr val="tx1"/>
                </a:solidFill>
              </a:endParaRPr>
            </a:p>
          </xdr:txBody>
        </xdr:sp>
      </mc:Fallback>
    </mc:AlternateContent>
    <xdr:clientData/>
  </xdr:oneCellAnchor>
  <xdr:twoCellAnchor>
    <xdr:from>
      <xdr:col>1</xdr:col>
      <xdr:colOff>158750</xdr:colOff>
      <xdr:row>36</xdr:row>
      <xdr:rowOff>158751</xdr:rowOff>
    </xdr:from>
    <xdr:to>
      <xdr:col>4</xdr:col>
      <xdr:colOff>725487</xdr:colOff>
      <xdr:row>39</xdr:row>
      <xdr:rowOff>137071</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060A59FC-099A-4D5F-8CFA-EA7F8D5D0F45}"/>
                </a:ext>
              </a:extLst>
            </xdr:cNvPr>
            <xdr:cNvSpPr txBox="1"/>
          </xdr:nvSpPr>
          <xdr:spPr>
            <a:xfrm>
              <a:off x="984250" y="7789334"/>
              <a:ext cx="3244320" cy="5815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𝐶𝐿</m:t>
                            </m:r>
                          </m:e>
                          <m:sub>
                            <m:argPr>
                              <m:argSz m:val="-2"/>
                            </m:argPr>
                            <m:r>
                              <a:rPr lang="en-PH" sz="1100" i="1">
                                <a:solidFill>
                                  <a:schemeClr val="tx1"/>
                                </a:solidFill>
                                <a:effectLst/>
                                <a:latin typeface="Cambria Math" panose="02040503050406030204" pitchFamily="18" charset="0"/>
                                <a:ea typeface="+mn-ea"/>
                                <a:cs typeface="+mn-cs"/>
                              </a:rPr>
                              <m:t>𝑛</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m:t>
                            </m:r>
                          </m:e>
                          <m:sub>
                            <m:argPr>
                              <m:argSz m:val="-2"/>
                            </m:argPr>
                            <m:r>
                              <a:rPr lang="en-PH" sz="1100" i="1">
                                <a:solidFill>
                                  <a:schemeClr val="tx1"/>
                                </a:solidFill>
                                <a:effectLst/>
                                <a:latin typeface="Cambria Math" panose="02040503050406030204" pitchFamily="18" charset="0"/>
                                <a:ea typeface="+mn-ea"/>
                                <a:cs typeface="+mn-cs"/>
                              </a:rPr>
                              <m:t>𝑛</m:t>
                            </m:r>
                          </m:sub>
                        </m:sSub>
                      </m:den>
                    </m:f>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d>
                          <m:dPr>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𝐶𝐿</m:t>
                                    </m:r>
                                  </m:e>
                                  <m:sub>
                                    <m:argPr>
                                      <m:argSz m:val="-1"/>
                                    </m:argPr>
                                    <m:r>
                                      <a:rPr lang="en-PH" sz="1100" i="1">
                                        <a:solidFill>
                                          <a:schemeClr val="tx1"/>
                                        </a:solidFill>
                                        <a:effectLst/>
                                        <a:latin typeface="Cambria Math" panose="02040503050406030204" pitchFamily="18" charset="0"/>
                                        <a:ea typeface="+mn-ea"/>
                                        <a:cs typeface="+mn-cs"/>
                                      </a:rPr>
                                      <m:t>𝑛</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m:t>
                                    </m:r>
                                  </m:e>
                                  <m:sub>
                                    <m:argPr>
                                      <m:argSz m:val="-1"/>
                                    </m:argPr>
                                    <m:r>
                                      <a:rPr lang="en-PH" sz="1100" i="1">
                                        <a:solidFill>
                                          <a:schemeClr val="tx1"/>
                                        </a:solidFill>
                                        <a:effectLst/>
                                        <a:latin typeface="Cambria Math" panose="02040503050406030204" pitchFamily="18" charset="0"/>
                                        <a:ea typeface="+mn-ea"/>
                                        <a:cs typeface="+mn-cs"/>
                                      </a:rPr>
                                      <m:t>𝑛</m:t>
                                    </m:r>
                                  </m:sub>
                                </m:sSub>
                              </m:den>
                            </m:f>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d>
                          <m:dPr>
                            <m:ctrlPr>
                              <a:rPr lang="en-PH" sz="1100" i="1">
                                <a:solidFill>
                                  <a:schemeClr val="tx1"/>
                                </a:solidFill>
                                <a:effectLst/>
                                <a:latin typeface="Cambria Math" panose="02040503050406030204" pitchFamily="18" charset="0"/>
                                <a:ea typeface="+mn-ea"/>
                                <a:cs typeface="+mn-cs"/>
                              </a:rPr>
                            </m:ctrlPr>
                          </m:dPr>
                          <m:e>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𝐶𝐿</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den>
                            </m:f>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e>
                          <m:sub>
                            <m:argPr>
                              <m:argSz m:val="-1"/>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𝑛</m:t>
                            </m:r>
                            <m:r>
                              <a:rPr lang="en-PH" sz="1100" i="1">
                                <a:solidFill>
                                  <a:schemeClr val="tx1"/>
                                </a:solidFill>
                                <a:effectLst/>
                                <a:latin typeface="Cambria Math" panose="02040503050406030204" pitchFamily="18" charset="0"/>
                                <a:ea typeface="+mn-ea"/>
                                <a:cs typeface="+mn-cs"/>
                              </a:rPr>
                              <m:t>−1</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060A59FC-099A-4D5F-8CFA-EA7F8D5D0F45}"/>
                </a:ext>
              </a:extLst>
            </xdr:cNvPr>
            <xdr:cNvSpPr txBox="1"/>
          </xdr:nvSpPr>
          <xdr:spPr>
            <a:xfrm>
              <a:off x="984250" y="7789334"/>
              <a:ext cx="3244320" cy="58157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〖∆𝐶𝐿〗_𝑛/〖∆𝐿〗_𝑛 =((〖𝐶𝐿〗_𝑛/𝐿_𝑛 )×%〖𝐿𝑜𝑠𝑠〗_𝑛−(〖𝐶𝐿〗_(𝑛−1)/𝐿_(𝑛−1) )×〖%𝐿𝑜𝑠𝑠〗_(𝑛−1))/(〖%𝐿𝑜𝑠𝑠〗_𝑛−%〖𝐿𝑜𝑠𝑠〗_(𝑛−1) )</a:t>
              </a:r>
              <a:endParaRPr lang="en-PH" sz="1100">
                <a:solidFill>
                  <a:schemeClr val="tx1"/>
                </a:solidFill>
                <a:effectLst/>
                <a:latin typeface="+mn-lt"/>
                <a:ea typeface="+mn-ea"/>
                <a:cs typeface="+mn-cs"/>
              </a:endParaRP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243415</xdr:colOff>
      <xdr:row>25</xdr:row>
      <xdr:rowOff>0</xdr:rowOff>
    </xdr:from>
    <xdr:to>
      <xdr:col>2</xdr:col>
      <xdr:colOff>497416</xdr:colOff>
      <xdr:row>26</xdr:row>
      <xdr:rowOff>66122</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72DE70FE-6192-4888-ADEE-8DBB0A0C7414}"/>
                </a:ext>
              </a:extLst>
            </xdr:cNvPr>
            <xdr:cNvSpPr txBox="1"/>
          </xdr:nvSpPr>
          <xdr:spPr>
            <a:xfrm>
              <a:off x="1068915" y="5122333"/>
              <a:ext cx="1079501" cy="26720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𝐴</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𝐵</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𝑋</m:t>
                    </m:r>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72DE70FE-6192-4888-ADEE-8DBB0A0C7414}"/>
                </a:ext>
              </a:extLst>
            </xdr:cNvPr>
            <xdr:cNvSpPr txBox="1"/>
          </xdr:nvSpPr>
          <xdr:spPr>
            <a:xfrm>
              <a:off x="1068915" y="5122333"/>
              <a:ext cx="1079501" cy="26720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𝑌=𝐴+𝐵×𝑋</a:t>
              </a:r>
              <a:endParaRPr lang="en-PH" sz="1100">
                <a:solidFill>
                  <a:schemeClr val="tx1"/>
                </a:solidFill>
                <a:effectLst/>
                <a:latin typeface="+mn-lt"/>
                <a:ea typeface="+mn-ea"/>
                <a:cs typeface="+mn-cs"/>
              </a:endParaRPr>
            </a:p>
          </xdr:txBody>
        </xdr:sp>
      </mc:Fallback>
    </mc:AlternateContent>
    <xdr:clientData/>
  </xdr:twoCellAnchor>
  <xdr:oneCellAnchor>
    <xdr:from>
      <xdr:col>4</xdr:col>
      <xdr:colOff>74082</xdr:colOff>
      <xdr:row>24</xdr:row>
      <xdr:rowOff>179918</xdr:rowOff>
    </xdr:from>
    <xdr:ext cx="2940933" cy="32149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EA20F3-F59D-4DF2-805A-1A6E9217982B}"/>
                </a:ext>
              </a:extLst>
            </xdr:cNvPr>
            <xdr:cNvSpPr txBox="1"/>
          </xdr:nvSpPr>
          <xdr:spPr>
            <a:xfrm>
              <a:off x="3376082" y="5101168"/>
              <a:ext cx="2940933"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𝑅𝑒𝑡𝑟𝑜</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𝑃𝑟𝑒𝑚𝑖𝑢𝑚</m:t>
                        </m:r>
                      </m:num>
                      <m:den>
                        <m:r>
                          <a:rPr lang="en-PH" sz="1100" i="1">
                            <a:solidFill>
                              <a:schemeClr val="tx1"/>
                            </a:solidFill>
                            <a:effectLst/>
                            <a:latin typeface="Cambria Math" panose="02040503050406030204" pitchFamily="18" charset="0"/>
                            <a:ea typeface="+mn-ea"/>
                            <a:cs typeface="+mn-cs"/>
                          </a:rPr>
                          <m:t>𝑆𝑡𝑎𝑛𝑑𝑎𝑟𝑑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𝑃𝑟𝑒𝑚𝑖𝑢𝑚</m:t>
                        </m:r>
                      </m:den>
                    </m:f>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𝐴</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𝐵</m:t>
                    </m:r>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num>
                      <m:den>
                        <m:r>
                          <a:rPr lang="en-PH" sz="1100" i="1">
                            <a:solidFill>
                              <a:schemeClr val="tx1"/>
                            </a:solidFill>
                            <a:effectLst/>
                            <a:latin typeface="Cambria Math" panose="02040503050406030204" pitchFamily="18" charset="0"/>
                            <a:ea typeface="+mn-ea"/>
                            <a:cs typeface="+mn-cs"/>
                          </a:rPr>
                          <m:t>𝑆𝑡𝑎𝑛𝑑𝑎𝑟𝑑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den>
                    </m:f>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FAEA20F3-F59D-4DF2-805A-1A6E9217982B}"/>
                </a:ext>
              </a:extLst>
            </xdr:cNvPr>
            <xdr:cNvSpPr txBox="1"/>
          </xdr:nvSpPr>
          <xdr:spPr>
            <a:xfrm>
              <a:off x="3376082" y="5101168"/>
              <a:ext cx="2940933"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(𝑅𝑒𝑡𝑟𝑜 𝑃𝑟𝑒𝑚𝑖𝑢𝑚)/(𝑆𝑡𝑎𝑛𝑑𝑎𝑟𝑑 𝑃𝑟𝑒𝑚𝑖𝑢𝑚)=𝐴+𝐵×(𝑈𝑙𝑡 𝐿𝑜𝑠𝑠)/(𝑆𝑡𝑎𝑛𝑑𝑎𝑟𝑑 𝑃𝑟𝑒𝑚)</a:t>
              </a:r>
              <a:endParaRPr lang="en-PH" sz="1100">
                <a:solidFill>
                  <a:schemeClr val="tx1"/>
                </a:solidFill>
                <a:effectLst/>
                <a:latin typeface="+mn-lt"/>
                <a:ea typeface="+mn-ea"/>
                <a:cs typeface="+mn-cs"/>
              </a:endParaRPr>
            </a:p>
          </xdr:txBody>
        </xdr:sp>
      </mc:Fallback>
    </mc:AlternateContent>
    <xdr:clientData/>
  </xdr:oneCellAnchor>
  <xdr:twoCellAnchor>
    <xdr:from>
      <xdr:col>1</xdr:col>
      <xdr:colOff>254000</xdr:colOff>
      <xdr:row>40</xdr:row>
      <xdr:rowOff>21167</xdr:rowOff>
    </xdr:from>
    <xdr:to>
      <xdr:col>5</xdr:col>
      <xdr:colOff>95250</xdr:colOff>
      <xdr:row>41</xdr:row>
      <xdr:rowOff>84515</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1AC430BC-0ACB-4EA6-B429-D813B36A217A}"/>
                </a:ext>
              </a:extLst>
            </xdr:cNvPr>
            <xdr:cNvSpPr txBox="1"/>
          </xdr:nvSpPr>
          <xdr:spPr>
            <a:xfrm>
              <a:off x="1079500" y="8202084"/>
              <a:ext cx="314325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𝐴𝑠𝑠𝑒𝑡</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𝐶𝑢𝑟𝑟𝑒𝑛𝑡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𝐵𝑜𝑜𝑘𝑒𝑑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oMath>
                </m:oMathPara>
              </a14:m>
              <a:endParaRPr lang="en-PH"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1AC430BC-0ACB-4EA6-B429-D813B36A217A}"/>
                </a:ext>
              </a:extLst>
            </xdr:cNvPr>
            <xdr:cNvSpPr txBox="1"/>
          </xdr:nvSpPr>
          <xdr:spPr>
            <a:xfrm>
              <a:off x="1079500" y="8202084"/>
              <a:ext cx="314325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𝑃𝑟𝑒𝑚 𝐴𝑠𝑠𝑒𝑡=𝑈𝑙𝑡 𝑃𝑟𝑒𝑚−𝐶𝑢𝑟𝑟𝑒𝑛𝑡 𝐵𝑜𝑜𝑘𝑒𝑑 𝑃𝑟𝑒𝑚</a:t>
              </a:r>
              <a:endParaRPr lang="en-PH" sz="1100">
                <a:solidFill>
                  <a:schemeClr val="tx1"/>
                </a:solidFill>
                <a:effectLst/>
                <a:latin typeface="+mn-lt"/>
                <a:ea typeface="+mn-ea"/>
                <a:cs typeface="+mn-cs"/>
              </a:endParaRPr>
            </a:p>
          </xdr:txBody>
        </xdr:sp>
      </mc:Fallback>
    </mc:AlternateContent>
    <xdr:clientData/>
  </xdr:twoCellAnchor>
  <xdr:twoCellAnchor editAs="oneCell">
    <xdr:from>
      <xdr:col>2</xdr:col>
      <xdr:colOff>158750</xdr:colOff>
      <xdr:row>62</xdr:row>
      <xdr:rowOff>137582</xdr:rowOff>
    </xdr:from>
    <xdr:to>
      <xdr:col>6</xdr:col>
      <xdr:colOff>677333</xdr:colOff>
      <xdr:row>76</xdr:row>
      <xdr:rowOff>25508</xdr:rowOff>
    </xdr:to>
    <xdr:pic>
      <xdr:nvPicPr>
        <xdr:cNvPr id="6" name="Picture 5">
          <a:extLst>
            <a:ext uri="{FF2B5EF4-FFF2-40B4-BE49-F238E27FC236}">
              <a16:creationId xmlns:a16="http://schemas.microsoft.com/office/drawing/2014/main" id="{F30E0471-51F7-AD48-AE7D-A8FF10B1EC9F}"/>
            </a:ext>
          </a:extLst>
        </xdr:cNvPr>
        <xdr:cNvPicPr>
          <a:picLocks noChangeAspect="1"/>
        </xdr:cNvPicPr>
      </xdr:nvPicPr>
      <xdr:blipFill>
        <a:blip xmlns:r="http://schemas.openxmlformats.org/officeDocument/2006/relationships" r:embed="rId1"/>
        <a:stretch>
          <a:fillRect/>
        </a:stretch>
      </xdr:blipFill>
      <xdr:spPr>
        <a:xfrm>
          <a:off x="1830917" y="12805832"/>
          <a:ext cx="3862916" cy="2703093"/>
        </a:xfrm>
        <a:prstGeom prst="rect">
          <a:avLst/>
        </a:prstGeom>
      </xdr:spPr>
    </xdr:pic>
    <xdr:clientData/>
  </xdr:twoCellAnchor>
  <xdr:twoCellAnchor>
    <xdr:from>
      <xdr:col>1</xdr:col>
      <xdr:colOff>179917</xdr:colOff>
      <xdr:row>32</xdr:row>
      <xdr:rowOff>158751</xdr:rowOff>
    </xdr:from>
    <xdr:to>
      <xdr:col>5</xdr:col>
      <xdr:colOff>116417</xdr:colOff>
      <xdr:row>34</xdr:row>
      <xdr:rowOff>21015</xdr:rowOff>
    </xdr:to>
    <mc:AlternateContent xmlns:mc="http://schemas.openxmlformats.org/markup-compatibility/2006">
      <mc:Choice xmlns:a14="http://schemas.microsoft.com/office/drawing/2010/main" Requires="a14">
        <xdr:sp macro="" textlink="">
          <xdr:nvSpPr>
            <xdr:cNvPr id="7" name="TextBox 2">
              <a:extLst>
                <a:ext uri="{FF2B5EF4-FFF2-40B4-BE49-F238E27FC236}">
                  <a16:creationId xmlns:a16="http://schemas.microsoft.com/office/drawing/2014/main" id="{6AA35E0B-82BA-BC43-8B1A-29B13295DE4E}"/>
                </a:ext>
              </a:extLst>
            </xdr:cNvPr>
            <xdr:cNvSpPr txBox="1"/>
          </xdr:nvSpPr>
          <xdr:spPr>
            <a:xfrm>
              <a:off x="1005417" y="6709834"/>
              <a:ext cx="330200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𝑆𝑡𝑎𝑛𝑑𝑎𝑟𝑑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𝑅𝑒𝑡𝑟𝑜</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𝑃𝑟𝑒𝑚𝑖𝑢𝑚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𝑅𝑎𝑡𝑖𝑜</m:t>
                    </m:r>
                  </m:oMath>
                </m:oMathPara>
              </a14:m>
              <a:endParaRPr lang="en-PH" sz="1100">
                <a:solidFill>
                  <a:schemeClr val="tx1"/>
                </a:solidFill>
                <a:effectLst/>
                <a:latin typeface="+mn-lt"/>
                <a:ea typeface="+mn-ea"/>
                <a:cs typeface="+mn-cs"/>
              </a:endParaRPr>
            </a:p>
          </xdr:txBody>
        </xdr:sp>
      </mc:Choice>
      <mc:Fallback>
        <xdr:sp macro="" textlink="">
          <xdr:nvSpPr>
            <xdr:cNvPr id="7" name="TextBox 2">
              <a:extLst>
                <a:ext uri="{FF2B5EF4-FFF2-40B4-BE49-F238E27FC236}">
                  <a16:creationId xmlns:a16="http://schemas.microsoft.com/office/drawing/2014/main" id="{6AA35E0B-82BA-BC43-8B1A-29B13295DE4E}"/>
                </a:ext>
              </a:extLst>
            </xdr:cNvPr>
            <xdr:cNvSpPr txBox="1"/>
          </xdr:nvSpPr>
          <xdr:spPr>
            <a:xfrm>
              <a:off x="1005417" y="6709834"/>
              <a:ext cx="330200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𝑈𝑙𝑡 𝑃𝑟𝑒𝑚=𝑆𝑡𝑎𝑛𝑑𝑎𝑟𝑑 𝑃𝑟𝑒𝑚×𝑅𝑒𝑡𝑟𝑜 𝑃𝑟𝑒𝑚𝑖𝑢𝑚 𝑅𝑎𝑡𝑖𝑜</a:t>
              </a:r>
              <a:endParaRPr lang="en-PH" sz="1100">
                <a:solidFill>
                  <a:schemeClr val="tx1"/>
                </a:solidFill>
                <a:effectLst/>
                <a:latin typeface="+mn-lt"/>
                <a:ea typeface="+mn-ea"/>
                <a:cs typeface="+mn-cs"/>
              </a:endParaRP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1</xdr:col>
      <xdr:colOff>56529</xdr:colOff>
      <xdr:row>82</xdr:row>
      <xdr:rowOff>135213</xdr:rowOff>
    </xdr:from>
    <xdr:ext cx="3973139"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880442" y="16632513"/>
              <a:ext cx="397313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𝐸</m:t>
                        </m:r>
                        <m:r>
                          <a:rPr lang="en-US" sz="1100" b="0" i="1">
                            <a:latin typeface="Cambria Math" panose="02040503050406030204" pitchFamily="18" charset="0"/>
                          </a:rPr>
                          <m:t>[</m:t>
                        </m:r>
                        <m:r>
                          <a:rPr lang="en-US" sz="1100" b="0" i="1">
                            <a:latin typeface="Cambria Math" panose="02040503050406030204" pitchFamily="18" charset="0"/>
                          </a:rPr>
                          <m:t>𝐿𝑜𝑠𝑠</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m:t>
                    </m:r>
                    <m:r>
                      <a:rPr lang="en-US" sz="1100" b="0" i="1">
                        <a:latin typeface="Cambria Math" panose="02040503050406030204" pitchFamily="18" charset="0"/>
                      </a:rPr>
                      <m:t>𝐸𝐿𝑅</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𝑆𝑡𝑎𝑛𝑑𝑎𝑟𝑑</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𝑃𝑟𝑒𝑚𝑖𝑢𝑚</m:t>
                    </m:r>
                    <m:r>
                      <a:rPr lang="en-US" sz="1100" b="0" i="1">
                        <a:latin typeface="Cambria Math" panose="02040503050406030204" pitchFamily="18" charset="0"/>
                        <a:ea typeface="Cambria Math" panose="02040503050406030204" pitchFamily="18" charset="0"/>
                      </a:rPr>
                      <m:t>= .75 ×2,575=1,931</m:t>
                    </m:r>
                  </m:oMath>
                </m:oMathPara>
              </a14:m>
              <a:endParaRPr lang="en-US" sz="1100"/>
            </a:p>
          </xdr:txBody>
        </xdr:sp>
      </mc:Choice>
      <mc:Fallback xmlns="">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880442" y="16632513"/>
              <a:ext cx="397313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𝐸[𝐿𝑜𝑠𝑠〗_20</a:t>
              </a:r>
              <a:r>
                <a:rPr lang="en-PH" sz="1100" b="0" i="0">
                  <a:latin typeface="Cambria Math" panose="02040503050406030204" pitchFamily="18" charset="0"/>
                </a:rPr>
                <a:t>23</a:t>
              </a:r>
              <a:r>
                <a:rPr lang="en-US" sz="1100" b="0" i="0">
                  <a:latin typeface="Cambria Math" panose="02040503050406030204" pitchFamily="18" charset="0"/>
                </a:rPr>
                <a:t>]=𝐸𝐿𝑅</a:t>
              </a:r>
              <a:r>
                <a:rPr lang="en-US" sz="1100" b="0" i="0">
                  <a:latin typeface="Cambria Math" panose="02040503050406030204" pitchFamily="18" charset="0"/>
                  <a:ea typeface="Cambria Math" panose="02040503050406030204" pitchFamily="18" charset="0"/>
                </a:rPr>
                <a:t>∙𝑆𝑡𝑎𝑛𝑑𝑎𝑟𝑑 𝑃𝑟𝑒𝑚𝑖𝑢𝑚= .75 ×2,575=1,931</a:t>
              </a:r>
              <a:endParaRPr lang="en-US" sz="1100"/>
            </a:p>
          </xdr:txBody>
        </xdr:sp>
      </mc:Fallback>
    </mc:AlternateContent>
    <xdr:clientData/>
  </xdr:oneCellAnchor>
  <xdr:oneCellAnchor>
    <xdr:from>
      <xdr:col>1</xdr:col>
      <xdr:colOff>56321</xdr:colOff>
      <xdr:row>84</xdr:row>
      <xdr:rowOff>6626</xdr:rowOff>
    </xdr:from>
    <xdr:ext cx="3069686" cy="17222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880234" y="17332601"/>
              <a:ext cx="30696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𝐸𝑥𝑝𝑒𝑐𝑡𝑒𝑑</m:t>
                        </m:r>
                        <m:r>
                          <a:rPr lang="en-US" sz="1100" b="0" i="1">
                            <a:latin typeface="Cambria Math" panose="02040503050406030204" pitchFamily="18" charset="0"/>
                          </a:rPr>
                          <m:t> </m:t>
                        </m:r>
                        <m:r>
                          <a:rPr lang="en-US" sz="1100" b="0" i="1">
                            <a:latin typeface="Cambria Math" panose="02040503050406030204" pitchFamily="18" charset="0"/>
                          </a:rPr>
                          <m:t>𝐹𝑢𝑡𝑢𝑟𝑒</m:t>
                        </m:r>
                        <m:r>
                          <a:rPr lang="en-US" sz="1100" b="0" i="1">
                            <a:latin typeface="Cambria Math" panose="02040503050406030204" pitchFamily="18" charset="0"/>
                          </a:rPr>
                          <m:t> </m:t>
                        </m:r>
                        <m:r>
                          <a:rPr lang="en-US" sz="1100" b="0" i="1">
                            <a:latin typeface="Cambria Math" panose="02040503050406030204" pitchFamily="18" charset="0"/>
                          </a:rPr>
                          <m:t>𝐿𝑜𝑠𝑠</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m:t>
                    </m:r>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20</m:t>
                            </m:r>
                            <m:r>
                              <a:rPr lang="en-PH" sz="1100" b="0" i="1">
                                <a:latin typeface="Cambria Math" panose="02040503050406030204" pitchFamily="18" charset="0"/>
                              </a:rPr>
                              <m:t>23</m:t>
                            </m:r>
                          </m:sub>
                        </m:sSub>
                      </m:e>
                    </m:d>
                    <m:r>
                      <a:rPr lang="en-US" sz="1100" b="0" i="1">
                        <a:latin typeface="Cambria Math" panose="02040503050406030204" pitchFamily="18" charset="0"/>
                      </a:rPr>
                      <m:t>=1,931</m:t>
                    </m:r>
                  </m:oMath>
                </m:oMathPara>
              </a14:m>
              <a:endParaRPr lang="en-US" sz="1100"/>
            </a:p>
          </xdr:txBody>
        </xdr:sp>
      </mc:Choice>
      <mc:Fallback xmlns="">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880234" y="17332601"/>
              <a:ext cx="306968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𝐸𝑥𝑝𝑒𝑐𝑡𝑒𝑑 𝐹𝑢𝑡𝑢𝑟𝑒 𝐿𝑜𝑠𝑠〗_20</a:t>
              </a:r>
              <a:r>
                <a:rPr lang="en-PH" sz="1100" b="0" i="0">
                  <a:latin typeface="Cambria Math" panose="02040503050406030204" pitchFamily="18" charset="0"/>
                </a:rPr>
                <a:t>23</a:t>
              </a:r>
              <a:r>
                <a:rPr lang="en-US" sz="1100" b="0" i="0">
                  <a:latin typeface="Cambria Math" panose="02040503050406030204" pitchFamily="18" charset="0"/>
                </a:rPr>
                <a:t>=𝐸[〖𝐿𝑜𝑠𝑠〗_20</a:t>
              </a:r>
              <a:r>
                <a:rPr lang="en-PH" sz="1100" b="0" i="0">
                  <a:latin typeface="Cambria Math" panose="02040503050406030204" pitchFamily="18" charset="0"/>
                </a:rPr>
                <a:t>23</a:t>
              </a:r>
              <a:r>
                <a:rPr lang="en-US" sz="1100" b="0" i="0">
                  <a:latin typeface="Cambria Math" panose="02040503050406030204" pitchFamily="18" charset="0"/>
                </a:rPr>
                <a:t> ]=1,931</a:t>
              </a:r>
              <a:endParaRPr lang="en-US" sz="1100"/>
            </a:p>
          </xdr:txBody>
        </xdr:sp>
      </mc:Fallback>
    </mc:AlternateContent>
    <xdr:clientData/>
  </xdr:oneCellAnchor>
  <xdr:oneCellAnchor>
    <xdr:from>
      <xdr:col>1</xdr:col>
      <xdr:colOff>32716</xdr:colOff>
      <xdr:row>87</xdr:row>
      <xdr:rowOff>70816</xdr:rowOff>
    </xdr:from>
    <xdr:ext cx="3299108"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856629" y="17568241"/>
              <a:ext cx="329910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𝐸𝑥𝑝𝑒𝑐𝑡𝑒𝑑</m:t>
                        </m:r>
                        <m:r>
                          <a:rPr lang="en-US" sz="1100" b="0" i="1">
                            <a:latin typeface="Cambria Math" panose="02040503050406030204" pitchFamily="18" charset="0"/>
                          </a:rPr>
                          <m:t> </m:t>
                        </m:r>
                        <m:r>
                          <a:rPr lang="en-US" sz="1100" b="0" i="1">
                            <a:latin typeface="Cambria Math" panose="02040503050406030204" pitchFamily="18" charset="0"/>
                          </a:rPr>
                          <m:t>𝐹𝑢𝑡𝑢𝑟𝑒</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=1,931 </m:t>
                    </m:r>
                    <m:r>
                      <a:rPr lang="en-US" sz="1100" b="0" i="1">
                        <a:latin typeface="Cambria Math" panose="02040503050406030204" pitchFamily="18" charset="0"/>
                        <a:ea typeface="Cambria Math" panose="02040503050406030204" pitchFamily="18" charset="0"/>
                      </a:rPr>
                      <m:t>×1.460=2,819</m:t>
                    </m:r>
                  </m:oMath>
                </m:oMathPara>
              </a14:m>
              <a:endParaRPr lang="en-US" sz="1100"/>
            </a:p>
          </xdr:txBody>
        </xdr:sp>
      </mc:Choice>
      <mc:Fallback xmlns="">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856629" y="17568241"/>
              <a:ext cx="329910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𝐸𝑥𝑝𝑒𝑐𝑡𝑒𝑑 𝐹𝑢𝑡𝑢𝑟𝑒 𝑃𝑟𝑒𝑚〗_20</a:t>
              </a:r>
              <a:r>
                <a:rPr lang="en-PH" sz="1100" b="0" i="0">
                  <a:latin typeface="Cambria Math" panose="02040503050406030204" pitchFamily="18" charset="0"/>
                </a:rPr>
                <a:t>23</a:t>
              </a:r>
              <a:r>
                <a:rPr lang="en-US" sz="1100" b="0" i="0">
                  <a:latin typeface="Cambria Math" panose="02040503050406030204" pitchFamily="18" charset="0"/>
                </a:rPr>
                <a:t>=1,931 </a:t>
              </a:r>
              <a:r>
                <a:rPr lang="en-US" sz="1100" b="0" i="0">
                  <a:latin typeface="Cambria Math" panose="02040503050406030204" pitchFamily="18" charset="0"/>
                  <a:ea typeface="Cambria Math" panose="02040503050406030204" pitchFamily="18" charset="0"/>
                </a:rPr>
                <a:t>×1.460=2,819</a:t>
              </a:r>
              <a:endParaRPr lang="en-US" sz="1100"/>
            </a:p>
          </xdr:txBody>
        </xdr:sp>
      </mc:Fallback>
    </mc:AlternateContent>
    <xdr:clientData/>
  </xdr:oneCellAnchor>
  <xdr:oneCellAnchor>
    <xdr:from>
      <xdr:col>1</xdr:col>
      <xdr:colOff>51236</xdr:colOff>
      <xdr:row>88</xdr:row>
      <xdr:rowOff>128310</xdr:rowOff>
    </xdr:from>
    <xdr:ext cx="1375698"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875149" y="17825760"/>
              <a:ext cx="137569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𝑈𝑙𝑡</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=2,819</m:t>
                    </m:r>
                  </m:oMath>
                </m:oMathPara>
              </a14:m>
              <a:endParaRPr lang="en-US" sz="1100"/>
            </a:p>
          </xdr:txBody>
        </xdr:sp>
      </mc:Choice>
      <mc:Fallback xmlns="">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875149" y="17825760"/>
              <a:ext cx="137569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𝑈𝑙𝑡 𝑃𝑟𝑒𝑚〗_20</a:t>
              </a:r>
              <a:r>
                <a:rPr lang="en-PH" sz="1100" b="0" i="0">
                  <a:latin typeface="Cambria Math" panose="02040503050406030204" pitchFamily="18" charset="0"/>
                </a:rPr>
                <a:t>23</a:t>
              </a:r>
              <a:r>
                <a:rPr lang="en-US" sz="1100" b="0" i="0">
                  <a:latin typeface="Cambria Math" panose="02040503050406030204" pitchFamily="18" charset="0"/>
                </a:rPr>
                <a:t>=2,819</a:t>
              </a:r>
              <a:endParaRPr lang="en-US" sz="1100"/>
            </a:p>
          </xdr:txBody>
        </xdr:sp>
      </mc:Fallback>
    </mc:AlternateContent>
    <xdr:clientData/>
  </xdr:oneCellAnchor>
  <xdr:oneCellAnchor>
    <xdr:from>
      <xdr:col>5</xdr:col>
      <xdr:colOff>48959</xdr:colOff>
      <xdr:row>87</xdr:row>
      <xdr:rowOff>67825</xdr:rowOff>
    </xdr:from>
    <xdr:ext cx="3299108" cy="17851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642126" y="15477158"/>
              <a:ext cx="3299108" cy="178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b="0" i="1">
                            <a:latin typeface="Cambria Math" panose="02040503050406030204" pitchFamily="18" charset="0"/>
                          </a:rPr>
                          <m:t>𝐸𝑥𝑝𝑒𝑐𝑡𝑒𝑑</m:t>
                        </m:r>
                        <m:r>
                          <a:rPr lang="en-US" sz="1100" b="0" i="1">
                            <a:latin typeface="Cambria Math" panose="02040503050406030204" pitchFamily="18" charset="0"/>
                          </a:rPr>
                          <m:t> </m:t>
                        </m:r>
                        <m:r>
                          <a:rPr lang="en-US" sz="1100" b="0" i="1">
                            <a:latin typeface="Cambria Math" panose="02040503050406030204" pitchFamily="18" charset="0"/>
                          </a:rPr>
                          <m:t>𝐹𝑢𝑡𝑢𝑟𝑒</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up>
                        <m:r>
                          <a:rPr lang="en-US" sz="1100" b="0" i="1">
                            <a:latin typeface="Cambria Math" panose="02040503050406030204" pitchFamily="18" charset="0"/>
                          </a:rPr>
                          <m:t>𝐿𝑜𝑠𝑠</m:t>
                        </m:r>
                      </m:sup>
                    </m:sSubSup>
                    <m:r>
                      <a:rPr lang="en-US" sz="1100" b="0" i="1">
                        <a:latin typeface="Cambria Math" panose="02040503050406030204" pitchFamily="18" charset="0"/>
                      </a:rPr>
                      <m:t>=1,931 </m:t>
                    </m:r>
                    <m:r>
                      <a:rPr lang="en-US" sz="1100" b="0" i="1">
                        <a:latin typeface="Cambria Math" panose="02040503050406030204" pitchFamily="18" charset="0"/>
                        <a:ea typeface="Cambria Math" panose="02040503050406030204" pitchFamily="18" charset="0"/>
                      </a:rPr>
                      <m:t>×1.193=2,304</m:t>
                    </m:r>
                  </m:oMath>
                </m:oMathPara>
              </a14:m>
              <a:endParaRPr lang="en-US" sz="1100"/>
            </a:p>
          </xdr:txBody>
        </xdr:sp>
      </mc:Choice>
      <mc:Fallback xmlns="">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642126" y="15477158"/>
              <a:ext cx="3299108" cy="178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𝐸𝑥𝑝𝑒𝑐𝑡𝑒𝑑 𝐹𝑢𝑡𝑢𝑟𝑒 𝑃𝑟𝑒𝑚〗_20</a:t>
              </a:r>
              <a:r>
                <a:rPr lang="en-PH" sz="1100" b="0" i="0">
                  <a:latin typeface="Cambria Math" panose="02040503050406030204" pitchFamily="18" charset="0"/>
                </a:rPr>
                <a:t>23</a:t>
              </a:r>
              <a:r>
                <a:rPr lang="en-US" sz="1100" b="0" i="0">
                  <a:latin typeface="Cambria Math" panose="02040503050406030204" pitchFamily="18" charset="0"/>
                </a:rPr>
                <a:t>^𝐿𝑜𝑠𝑠=1,931 </a:t>
              </a:r>
              <a:r>
                <a:rPr lang="en-US" sz="1100" b="0" i="0">
                  <a:latin typeface="Cambria Math" panose="02040503050406030204" pitchFamily="18" charset="0"/>
                  <a:ea typeface="Cambria Math" panose="02040503050406030204" pitchFamily="18" charset="0"/>
                </a:rPr>
                <a:t>×1.193=2,304</a:t>
              </a:r>
              <a:endParaRPr lang="en-US" sz="1100"/>
            </a:p>
          </xdr:txBody>
        </xdr:sp>
      </mc:Fallback>
    </mc:AlternateContent>
    <xdr:clientData/>
  </xdr:oneCellAnchor>
  <xdr:oneCellAnchor>
    <xdr:from>
      <xdr:col>5</xdr:col>
      <xdr:colOff>67180</xdr:colOff>
      <xdr:row>88</xdr:row>
      <xdr:rowOff>123801</xdr:rowOff>
    </xdr:from>
    <xdr:ext cx="2291909"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4791580" y="18249876"/>
              <a:ext cx="22919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𝐵𝑎𝑠𝑖𝑐</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=2,575</m:t>
                    </m:r>
                    <m:r>
                      <a:rPr lang="en-US" sz="1100" b="0" i="1">
                        <a:latin typeface="Cambria Math" panose="02040503050406030204" pitchFamily="18" charset="0"/>
                        <a:ea typeface="Cambria Math" panose="02040503050406030204" pitchFamily="18" charset="0"/>
                      </a:rPr>
                      <m:t>×0.2=515</m:t>
                    </m:r>
                  </m:oMath>
                </m:oMathPara>
              </a14:m>
              <a:endParaRPr lang="en-US" sz="1100"/>
            </a:p>
          </xdr:txBody>
        </xdr:sp>
      </mc:Choice>
      <mc:Fallback xmlns="">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4791580" y="18249876"/>
              <a:ext cx="22919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𝐵𝑎𝑠𝑖𝑐 𝑃𝑟𝑒𝑚〗_20</a:t>
              </a:r>
              <a:r>
                <a:rPr lang="en-PH" sz="1100" b="0" i="0">
                  <a:latin typeface="Cambria Math" panose="02040503050406030204" pitchFamily="18" charset="0"/>
                </a:rPr>
                <a:t>23</a:t>
              </a:r>
              <a:r>
                <a:rPr lang="en-US" sz="1100" b="0" i="0">
                  <a:latin typeface="Cambria Math" panose="02040503050406030204" pitchFamily="18" charset="0"/>
                </a:rPr>
                <a:t>=2,575</a:t>
              </a:r>
              <a:r>
                <a:rPr lang="en-US" sz="1100" b="0" i="0">
                  <a:latin typeface="Cambria Math" panose="02040503050406030204" pitchFamily="18" charset="0"/>
                  <a:ea typeface="Cambria Math" panose="02040503050406030204" pitchFamily="18" charset="0"/>
                </a:rPr>
                <a:t>×0.2=515</a:t>
              </a:r>
              <a:endParaRPr lang="en-US" sz="1100"/>
            </a:p>
          </xdr:txBody>
        </xdr:sp>
      </mc:Fallback>
    </mc:AlternateContent>
    <xdr:clientData/>
  </xdr:oneCellAnchor>
  <xdr:oneCellAnchor>
    <xdr:from>
      <xdr:col>5</xdr:col>
      <xdr:colOff>55377</xdr:colOff>
      <xdr:row>89</xdr:row>
      <xdr:rowOff>179364</xdr:rowOff>
    </xdr:from>
    <xdr:ext cx="2303195" cy="172227"/>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4779777" y="18505464"/>
              <a:ext cx="23031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𝑈𝑙𝑡</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=2,304+515=2,819</m:t>
                    </m:r>
                  </m:oMath>
                </m:oMathPara>
              </a14:m>
              <a:endParaRPr lang="en-US" sz="1100"/>
            </a:p>
          </xdr:txBody>
        </xdr:sp>
      </mc:Choice>
      <mc:Fallback xmlns="">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4779777" y="18505464"/>
              <a:ext cx="23031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𝑈𝑙𝑡 𝑃𝑟𝑒𝑚〗_20</a:t>
              </a:r>
              <a:r>
                <a:rPr lang="en-PH" sz="1100" b="0" i="0">
                  <a:latin typeface="Cambria Math" panose="02040503050406030204" pitchFamily="18" charset="0"/>
                </a:rPr>
                <a:t>23</a:t>
              </a:r>
              <a:r>
                <a:rPr lang="en-US" sz="1100" b="0" i="0">
                  <a:latin typeface="Cambria Math" panose="02040503050406030204" pitchFamily="18" charset="0"/>
                </a:rPr>
                <a:t>=2,304+515=2,819</a:t>
              </a:r>
              <a:endParaRPr lang="en-US" sz="1100"/>
            </a:p>
          </xdr:txBody>
        </xdr:sp>
      </mc:Fallback>
    </mc:AlternateContent>
    <xdr:clientData/>
  </xdr:oneCellAnchor>
  <xdr:oneCellAnchor>
    <xdr:from>
      <xdr:col>0</xdr:col>
      <xdr:colOff>810729</xdr:colOff>
      <xdr:row>98</xdr:row>
      <xdr:rowOff>144715</xdr:rowOff>
    </xdr:from>
    <xdr:ext cx="3299108" cy="172227"/>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810729" y="19928140"/>
              <a:ext cx="329910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𝐸𝑥𝑝𝑒𝑐𝑡𝑒𝑑</m:t>
                        </m:r>
                        <m:r>
                          <a:rPr lang="en-US" sz="1100" b="0" i="1">
                            <a:latin typeface="Cambria Math" panose="02040503050406030204" pitchFamily="18" charset="0"/>
                          </a:rPr>
                          <m:t> </m:t>
                        </m:r>
                        <m:r>
                          <a:rPr lang="en-US" sz="1100" b="0" i="1">
                            <a:latin typeface="Cambria Math" panose="02040503050406030204" pitchFamily="18" charset="0"/>
                          </a:rPr>
                          <m:t>𝐹𝑢𝑡𝑢𝑟𝑒</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=2,210 </m:t>
                    </m:r>
                    <m:r>
                      <a:rPr lang="en-US" sz="1100" b="0" i="1">
                        <a:latin typeface="Cambria Math" panose="02040503050406030204" pitchFamily="18" charset="0"/>
                        <a:ea typeface="Cambria Math" panose="02040503050406030204" pitchFamily="18" charset="0"/>
                      </a:rPr>
                      <m:t>×1,460=3,227</m:t>
                    </m:r>
                  </m:oMath>
                </m:oMathPara>
              </a14:m>
              <a:endParaRPr lang="en-US" sz="1100"/>
            </a:p>
          </xdr:txBody>
        </xdr:sp>
      </mc:Choice>
      <mc:Fallback xmlns="">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810729" y="19928140"/>
              <a:ext cx="329910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𝐸𝑥𝑝𝑒𝑐𝑡𝑒𝑑 𝐹𝑢𝑡𝑢𝑟𝑒 𝑃𝑟𝑒𝑚〗_20</a:t>
              </a:r>
              <a:r>
                <a:rPr lang="en-PH" sz="1100" b="0" i="0">
                  <a:latin typeface="Cambria Math" panose="02040503050406030204" pitchFamily="18" charset="0"/>
                </a:rPr>
                <a:t>23</a:t>
              </a:r>
              <a:r>
                <a:rPr lang="en-US" sz="1100" b="0" i="0">
                  <a:latin typeface="Cambria Math" panose="02040503050406030204" pitchFamily="18" charset="0"/>
                </a:rPr>
                <a:t>=2,210 </a:t>
              </a:r>
              <a:r>
                <a:rPr lang="en-US" sz="1100" b="0" i="0">
                  <a:latin typeface="Cambria Math" panose="02040503050406030204" pitchFamily="18" charset="0"/>
                  <a:ea typeface="Cambria Math" panose="02040503050406030204" pitchFamily="18" charset="0"/>
                </a:rPr>
                <a:t>×1,460=3,227</a:t>
              </a:r>
              <a:endParaRPr lang="en-US" sz="1100"/>
            </a:p>
          </xdr:txBody>
        </xdr:sp>
      </mc:Fallback>
    </mc:AlternateContent>
    <xdr:clientData/>
  </xdr:oneCellAnchor>
  <xdr:oneCellAnchor>
    <xdr:from>
      <xdr:col>1</xdr:col>
      <xdr:colOff>76107</xdr:colOff>
      <xdr:row>100</xdr:row>
      <xdr:rowOff>23006</xdr:rowOff>
    </xdr:from>
    <xdr:ext cx="1375698" cy="172227"/>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901607" y="20724006"/>
              <a:ext cx="137569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𝑈𝑙𝑡</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=3,227</m:t>
                    </m:r>
                  </m:oMath>
                </m:oMathPara>
              </a14:m>
              <a:endParaRPr lang="en-US" sz="1100"/>
            </a:p>
          </xdr:txBody>
        </xdr:sp>
      </mc:Choice>
      <mc:Fallback xmlns="">
        <xdr:sp macro="" textlink="">
          <xdr:nvSpPr>
            <xdr:cNvPr id="10" name="TextBox 9">
              <a:extLst>
                <a:ext uri="{FF2B5EF4-FFF2-40B4-BE49-F238E27FC236}">
                  <a16:creationId xmlns:a16="http://schemas.microsoft.com/office/drawing/2014/main" id="{00000000-0008-0000-0500-00000A000000}"/>
                </a:ext>
              </a:extLst>
            </xdr:cNvPr>
            <xdr:cNvSpPr txBox="1"/>
          </xdr:nvSpPr>
          <xdr:spPr>
            <a:xfrm>
              <a:off x="901607" y="20724006"/>
              <a:ext cx="137569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𝑈𝑙𝑡 𝑃𝑟𝑒𝑚〗_20</a:t>
              </a:r>
              <a:r>
                <a:rPr lang="en-PH" sz="1100" b="0" i="0">
                  <a:latin typeface="Cambria Math" panose="02040503050406030204" pitchFamily="18" charset="0"/>
                </a:rPr>
                <a:t>23</a:t>
              </a:r>
              <a:r>
                <a:rPr lang="en-US" sz="1100" b="0" i="0">
                  <a:latin typeface="Cambria Math" panose="02040503050406030204" pitchFamily="18" charset="0"/>
                </a:rPr>
                <a:t>=3,227</a:t>
              </a:r>
              <a:endParaRPr lang="en-US" sz="1100"/>
            </a:p>
          </xdr:txBody>
        </xdr:sp>
      </mc:Fallback>
    </mc:AlternateContent>
    <xdr:clientData/>
  </xdr:oneCellAnchor>
  <xdr:oneCellAnchor>
    <xdr:from>
      <xdr:col>4</xdr:col>
      <xdr:colOff>925076</xdr:colOff>
      <xdr:row>98</xdr:row>
      <xdr:rowOff>70126</xdr:rowOff>
    </xdr:from>
    <xdr:ext cx="3299108" cy="17851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0000000-0008-0000-0500-00000B000000}"/>
                </a:ext>
              </a:extLst>
            </xdr:cNvPr>
            <xdr:cNvSpPr txBox="1"/>
          </xdr:nvSpPr>
          <xdr:spPr>
            <a:xfrm>
              <a:off x="4586909" y="17860709"/>
              <a:ext cx="3299108" cy="178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latin typeface="Cambria Math" panose="02040503050406030204" pitchFamily="18" charset="0"/>
                          </a:rPr>
                        </m:ctrlPr>
                      </m:sSubSupPr>
                      <m:e>
                        <m:r>
                          <a:rPr lang="en-US" sz="1100" b="0" i="1">
                            <a:latin typeface="Cambria Math" panose="02040503050406030204" pitchFamily="18" charset="0"/>
                          </a:rPr>
                          <m:t>𝐸𝑥𝑝𝑒𝑐𝑡𝑒𝑑</m:t>
                        </m:r>
                        <m:r>
                          <a:rPr lang="en-US" sz="1100" b="0" i="1">
                            <a:latin typeface="Cambria Math" panose="02040503050406030204" pitchFamily="18" charset="0"/>
                          </a:rPr>
                          <m:t> </m:t>
                        </m:r>
                        <m:r>
                          <a:rPr lang="en-US" sz="1100" b="0" i="1">
                            <a:latin typeface="Cambria Math" panose="02040503050406030204" pitchFamily="18" charset="0"/>
                          </a:rPr>
                          <m:t>𝐹𝑢𝑡𝑢𝑟𝑒</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up>
                        <m:r>
                          <a:rPr lang="en-US" sz="1100" b="0" i="1">
                            <a:latin typeface="Cambria Math" panose="02040503050406030204" pitchFamily="18" charset="0"/>
                          </a:rPr>
                          <m:t>𝐿𝑜𝑠𝑠</m:t>
                        </m:r>
                      </m:sup>
                    </m:sSubSup>
                    <m:r>
                      <a:rPr lang="en-US" sz="1100" b="0" i="0">
                        <a:latin typeface="Cambria Math" panose="02040503050406030204" pitchFamily="18" charset="0"/>
                      </a:rPr>
                      <m:t>=2,210 </m:t>
                    </m:r>
                    <m:r>
                      <a:rPr lang="en-US" sz="1100" b="0" i="1">
                        <a:latin typeface="Cambria Math" panose="02040503050406030204" pitchFamily="18" charset="0"/>
                        <a:ea typeface="Cambria Math" panose="02040503050406030204" pitchFamily="18" charset="0"/>
                      </a:rPr>
                      <m:t>×1.193=2,637</m:t>
                    </m:r>
                  </m:oMath>
                </m:oMathPara>
              </a14:m>
              <a:endParaRPr lang="en-US" sz="1100"/>
            </a:p>
          </xdr:txBody>
        </xdr:sp>
      </mc:Choice>
      <mc:Fallback xmlns="">
        <xdr:sp macro="" textlink="">
          <xdr:nvSpPr>
            <xdr:cNvPr id="11" name="TextBox 10">
              <a:extLst>
                <a:ext uri="{FF2B5EF4-FFF2-40B4-BE49-F238E27FC236}">
                  <a16:creationId xmlns:a16="http://schemas.microsoft.com/office/drawing/2014/main" id="{00000000-0008-0000-0500-00000B000000}"/>
                </a:ext>
              </a:extLst>
            </xdr:cNvPr>
            <xdr:cNvSpPr txBox="1"/>
          </xdr:nvSpPr>
          <xdr:spPr>
            <a:xfrm>
              <a:off x="4586909" y="17860709"/>
              <a:ext cx="3299108" cy="178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𝐸𝑥𝑝𝑒𝑐𝑡𝑒𝑑 𝐹𝑢𝑡𝑢𝑟𝑒 𝑃𝑟𝑒𝑚〗_20</a:t>
              </a:r>
              <a:r>
                <a:rPr lang="en-PH" sz="1100" b="0" i="0">
                  <a:latin typeface="Cambria Math" panose="02040503050406030204" pitchFamily="18" charset="0"/>
                </a:rPr>
                <a:t>23</a:t>
              </a:r>
              <a:r>
                <a:rPr lang="en-US" sz="1100" b="0" i="0">
                  <a:latin typeface="Cambria Math" panose="02040503050406030204" pitchFamily="18" charset="0"/>
                </a:rPr>
                <a:t>^𝐿𝑜𝑠𝑠=2,210 </a:t>
              </a:r>
              <a:r>
                <a:rPr lang="en-US" sz="1100" b="0" i="0">
                  <a:latin typeface="Cambria Math" panose="02040503050406030204" pitchFamily="18" charset="0"/>
                  <a:ea typeface="Cambria Math" panose="02040503050406030204" pitchFamily="18" charset="0"/>
                </a:rPr>
                <a:t>×1.193=2,637</a:t>
              </a:r>
              <a:endParaRPr lang="en-US" sz="1100"/>
            </a:p>
          </xdr:txBody>
        </xdr:sp>
      </mc:Fallback>
    </mc:AlternateContent>
    <xdr:clientData/>
  </xdr:oneCellAnchor>
  <xdr:oneCellAnchor>
    <xdr:from>
      <xdr:col>1</xdr:col>
      <xdr:colOff>8283</xdr:colOff>
      <xdr:row>102</xdr:row>
      <xdr:rowOff>8282</xdr:rowOff>
    </xdr:from>
    <xdr:ext cx="65" cy="172227"/>
    <xdr:sp macro="" textlink="">
      <xdr:nvSpPr>
        <xdr:cNvPr id="12" name="TextBox 11">
          <a:extLst>
            <a:ext uri="{FF2B5EF4-FFF2-40B4-BE49-F238E27FC236}">
              <a16:creationId xmlns:a16="http://schemas.microsoft.com/office/drawing/2014/main" id="{00000000-0008-0000-0500-00000C000000}"/>
            </a:ext>
          </a:extLst>
        </xdr:cNvPr>
        <xdr:cNvSpPr txBox="1"/>
      </xdr:nvSpPr>
      <xdr:spPr>
        <a:xfrm>
          <a:off x="836544" y="1785730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4</xdr:col>
      <xdr:colOff>922775</xdr:colOff>
      <xdr:row>99</xdr:row>
      <xdr:rowOff>159187</xdr:rowOff>
    </xdr:from>
    <xdr:ext cx="2291909" cy="17222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4580375" y="20571262"/>
              <a:ext cx="22919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𝐵𝑎𝑠𝑖𝑐</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=2,575</m:t>
                    </m:r>
                    <m:r>
                      <a:rPr lang="en-US" sz="1100" b="0" i="1">
                        <a:latin typeface="Cambria Math" panose="02040503050406030204" pitchFamily="18" charset="0"/>
                        <a:ea typeface="Cambria Math" panose="02040503050406030204" pitchFamily="18" charset="0"/>
                      </a:rPr>
                      <m:t>×0.2=515</m:t>
                    </m:r>
                  </m:oMath>
                </m:oMathPara>
              </a14:m>
              <a:endParaRPr lang="en-US" sz="1100"/>
            </a:p>
          </xdr:txBody>
        </xdr:sp>
      </mc:Choice>
      <mc:Fallback xmlns="">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4580375" y="20571262"/>
              <a:ext cx="22919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𝐵𝑎𝑠𝑖𝑐 𝑃𝑟𝑒𝑚〗_20</a:t>
              </a:r>
              <a:r>
                <a:rPr lang="en-PH" sz="1100" b="0" i="0">
                  <a:latin typeface="Cambria Math" panose="02040503050406030204" pitchFamily="18" charset="0"/>
                </a:rPr>
                <a:t>23</a:t>
              </a:r>
              <a:r>
                <a:rPr lang="en-US" sz="1100" b="0" i="0">
                  <a:latin typeface="Cambria Math" panose="02040503050406030204" pitchFamily="18" charset="0"/>
                </a:rPr>
                <a:t>=2,575</a:t>
              </a:r>
              <a:r>
                <a:rPr lang="en-US" sz="1100" b="0" i="0">
                  <a:latin typeface="Cambria Math" panose="02040503050406030204" pitchFamily="18" charset="0"/>
                  <a:ea typeface="Cambria Math" panose="02040503050406030204" pitchFamily="18" charset="0"/>
                </a:rPr>
                <a:t>×0.2=515</a:t>
              </a:r>
              <a:endParaRPr lang="en-US" sz="1100"/>
            </a:p>
          </xdr:txBody>
        </xdr:sp>
      </mc:Fallback>
    </mc:AlternateContent>
    <xdr:clientData/>
  </xdr:oneCellAnchor>
  <xdr:oneCellAnchor>
    <xdr:from>
      <xdr:col>4</xdr:col>
      <xdr:colOff>932023</xdr:colOff>
      <xdr:row>101</xdr:row>
      <xdr:rowOff>28207</xdr:rowOff>
    </xdr:from>
    <xdr:ext cx="2303195" cy="172227"/>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4589623" y="20840332"/>
              <a:ext cx="23031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𝑈𝑙𝑡</m:t>
                        </m:r>
                        <m:r>
                          <a:rPr lang="en-US" sz="1100" b="0" i="1">
                            <a:latin typeface="Cambria Math" panose="02040503050406030204" pitchFamily="18" charset="0"/>
                          </a:rPr>
                          <m:t> </m:t>
                        </m:r>
                        <m:r>
                          <a:rPr lang="en-US" sz="1100" b="0" i="1">
                            <a:latin typeface="Cambria Math" panose="02040503050406030204" pitchFamily="18" charset="0"/>
                          </a:rPr>
                          <m:t>𝑃𝑟𝑒𝑚</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=2,637+515=3,152</m:t>
                    </m:r>
                  </m:oMath>
                </m:oMathPara>
              </a14:m>
              <a:endParaRPr lang="en-US" sz="1100"/>
            </a:p>
          </xdr:txBody>
        </xdr:sp>
      </mc:Choice>
      <mc:Fallback xmlns="">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4589623" y="20840332"/>
              <a:ext cx="230319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𝑈𝑙𝑡 𝑃𝑟𝑒𝑚〗_20</a:t>
              </a:r>
              <a:r>
                <a:rPr lang="en-PH" sz="1100" b="0" i="0">
                  <a:latin typeface="Cambria Math" panose="02040503050406030204" pitchFamily="18" charset="0"/>
                </a:rPr>
                <a:t>23</a:t>
              </a:r>
              <a:r>
                <a:rPr lang="en-US" sz="1100" b="0" i="0">
                  <a:latin typeface="Cambria Math" panose="02040503050406030204" pitchFamily="18" charset="0"/>
                </a:rPr>
                <a:t>=2,637+515=3,152</a:t>
              </a:r>
              <a:endParaRPr lang="en-US" sz="1100"/>
            </a:p>
          </xdr:txBody>
        </xdr:sp>
      </mc:Fallback>
    </mc:AlternateContent>
    <xdr:clientData/>
  </xdr:oneCellAnchor>
  <xdr:oneCellAnchor>
    <xdr:from>
      <xdr:col>1</xdr:col>
      <xdr:colOff>16404</xdr:colOff>
      <xdr:row>95</xdr:row>
      <xdr:rowOff>87313</xdr:rowOff>
    </xdr:from>
    <xdr:ext cx="3100721" cy="17222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6564D9E3-A6CA-0A4B-B568-F08BBDE42DCA}"/>
                </a:ext>
              </a:extLst>
            </xdr:cNvPr>
            <xdr:cNvSpPr txBox="1"/>
          </xdr:nvSpPr>
          <xdr:spPr>
            <a:xfrm>
              <a:off x="840317" y="19642138"/>
              <a:ext cx="310072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𝐸𝑥𝑝𝑒𝑐𝑡𝑒𝑑</m:t>
                        </m:r>
                        <m:r>
                          <a:rPr lang="en-US" sz="1100" b="0" i="1">
                            <a:latin typeface="Cambria Math" panose="02040503050406030204" pitchFamily="18" charset="0"/>
                          </a:rPr>
                          <m:t> </m:t>
                        </m:r>
                        <m:r>
                          <a:rPr lang="en-US" sz="1100" b="0" i="1">
                            <a:latin typeface="Cambria Math" panose="02040503050406030204" pitchFamily="18" charset="0"/>
                          </a:rPr>
                          <m:t>𝐹𝑢𝑡𝑢𝑟𝑒</m:t>
                        </m:r>
                        <m:r>
                          <a:rPr lang="en-US" sz="1100" b="0" i="1">
                            <a:latin typeface="Cambria Math" panose="02040503050406030204" pitchFamily="18" charset="0"/>
                          </a:rPr>
                          <m:t> </m:t>
                        </m:r>
                        <m:r>
                          <a:rPr lang="en-US" sz="1100" b="0" i="1">
                            <a:latin typeface="Cambria Math" panose="02040503050406030204" pitchFamily="18" charset="0"/>
                          </a:rPr>
                          <m:t>𝐿𝑜𝑠𝑠</m:t>
                        </m:r>
                      </m:e>
                      <m:sub>
                        <m:r>
                          <a:rPr lang="en-US" sz="1100" b="0" i="1">
                            <a:latin typeface="Cambria Math" panose="02040503050406030204" pitchFamily="18" charset="0"/>
                          </a:rPr>
                          <m:t>20</m:t>
                        </m:r>
                        <m:r>
                          <a:rPr lang="en-PH" sz="1100" b="0" i="1">
                            <a:latin typeface="Cambria Math" panose="02040503050406030204" pitchFamily="18" charset="0"/>
                          </a:rPr>
                          <m:t>23</m:t>
                        </m:r>
                      </m:sub>
                    </m:sSub>
                    <m:r>
                      <a:rPr lang="en-US" sz="1100" b="0" i="1">
                        <a:latin typeface="Cambria Math" panose="02040503050406030204" pitchFamily="18" charset="0"/>
                      </a:rPr>
                      <m:t>=</m:t>
                    </m:r>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20</m:t>
                            </m:r>
                            <m:r>
                              <a:rPr lang="en-PH" sz="1100" b="0" i="1">
                                <a:latin typeface="Cambria Math" panose="02040503050406030204" pitchFamily="18" charset="0"/>
                              </a:rPr>
                              <m:t>23</m:t>
                            </m:r>
                          </m:sub>
                        </m:sSub>
                      </m:e>
                    </m:d>
                    <m:r>
                      <a:rPr lang="en-US" sz="1100" b="0" i="1">
                        <a:latin typeface="Cambria Math" panose="02040503050406030204" pitchFamily="18" charset="0"/>
                      </a:rPr>
                      <m:t>=2,210 </m:t>
                    </m:r>
                  </m:oMath>
                </m:oMathPara>
              </a14:m>
              <a:endParaRPr lang="en-US" sz="1100"/>
            </a:p>
          </xdr:txBody>
        </xdr:sp>
      </mc:Choice>
      <mc:Fallback xmlns="">
        <xdr:sp macro="" textlink="">
          <xdr:nvSpPr>
            <xdr:cNvPr id="15" name="TextBox 14">
              <a:extLst>
                <a:ext uri="{FF2B5EF4-FFF2-40B4-BE49-F238E27FC236}">
                  <a16:creationId xmlns:a16="http://schemas.microsoft.com/office/drawing/2014/main" id="{6564D9E3-A6CA-0A4B-B568-F08BBDE42DCA}"/>
                </a:ext>
              </a:extLst>
            </xdr:cNvPr>
            <xdr:cNvSpPr txBox="1"/>
          </xdr:nvSpPr>
          <xdr:spPr>
            <a:xfrm>
              <a:off x="840317" y="19642138"/>
              <a:ext cx="310072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𝐸𝑥𝑝𝑒𝑐𝑡𝑒𝑑 𝐹𝑢𝑡𝑢𝑟𝑒 𝐿𝑜𝑠𝑠〗_20</a:t>
              </a:r>
              <a:r>
                <a:rPr lang="en-PH" sz="1100" b="0" i="0">
                  <a:latin typeface="Cambria Math" panose="02040503050406030204" pitchFamily="18" charset="0"/>
                </a:rPr>
                <a:t>23</a:t>
              </a:r>
              <a:r>
                <a:rPr lang="en-US" sz="1100" b="0" i="0">
                  <a:latin typeface="Cambria Math" panose="02040503050406030204" pitchFamily="18" charset="0"/>
                </a:rPr>
                <a:t>=𝐸[〖𝐿𝑜𝑠𝑠〗_20</a:t>
              </a:r>
              <a:r>
                <a:rPr lang="en-PH" sz="1100" b="0" i="0">
                  <a:latin typeface="Cambria Math" panose="02040503050406030204" pitchFamily="18" charset="0"/>
                </a:rPr>
                <a:t>23</a:t>
              </a:r>
              <a:r>
                <a:rPr lang="en-US" sz="1100" b="0" i="0">
                  <a:latin typeface="Cambria Math" panose="02040503050406030204" pitchFamily="18" charset="0"/>
                </a:rPr>
                <a:t> ]=2,210 </a:t>
              </a:r>
              <a:endParaRPr lang="en-US" sz="1100"/>
            </a:p>
          </xdr:txBody>
        </xdr:sp>
      </mc:Fallback>
    </mc:AlternateContent>
    <xdr:clientData/>
  </xdr:oneCellAnchor>
  <xdr:twoCellAnchor>
    <xdr:from>
      <xdr:col>1</xdr:col>
      <xdr:colOff>241837</xdr:colOff>
      <xdr:row>33</xdr:row>
      <xdr:rowOff>148167</xdr:rowOff>
    </xdr:from>
    <xdr:to>
      <xdr:col>4</xdr:col>
      <xdr:colOff>0</xdr:colOff>
      <xdr:row>36</xdr:row>
      <xdr:rowOff>80433</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160A6814-77CD-46AD-9948-A6BCE56802C4}"/>
                </a:ext>
              </a:extLst>
            </xdr:cNvPr>
            <xdr:cNvSpPr txBox="1"/>
          </xdr:nvSpPr>
          <xdr:spPr>
            <a:xfrm>
              <a:off x="1067337" y="7016750"/>
              <a:ext cx="2340496" cy="5249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𝐶𝑃𝐷𝐿𝐷</m:t>
                        </m:r>
                      </m:e>
                      <m:sub>
                        <m:argPr>
                          <m:argSz m:val="-2"/>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nary>
                          <m:naryPr>
                            <m:chr m:val="∑"/>
                            <m:limLoc m:val="undOvr"/>
                            <m:subHide m:val="on"/>
                            <m:ctrlPr>
                              <a:rPr lang="en-PH" sz="1100" i="1">
                                <a:solidFill>
                                  <a:schemeClr val="tx1"/>
                                </a:solidFill>
                                <a:effectLst/>
                                <a:latin typeface="Cambria Math" panose="02040503050406030204" pitchFamily="18" charset="0"/>
                                <a:ea typeface="+mn-ea"/>
                                <a:cs typeface="+mn-cs"/>
                              </a:rPr>
                            </m:ctrlPr>
                          </m:naryPr>
                          <m:sub/>
                          <m:sup>
                            <m:argPr>
                              <m:argSz m:val="-2"/>
                            </m:argPr>
                            <m:eqArr>
                              <m:eqArrPr>
                                <m:ctrlPr>
                                  <a:rPr lang="en-PH" sz="1100" i="1">
                                    <a:solidFill>
                                      <a:schemeClr val="tx1"/>
                                    </a:solidFill>
                                    <a:effectLst/>
                                    <a:latin typeface="Cambria Math" panose="02040503050406030204" pitchFamily="18" charset="0"/>
                                    <a:ea typeface="+mn-ea"/>
                                    <a:cs typeface="+mn-cs"/>
                                  </a:rPr>
                                </m:ctrlPr>
                              </m:eqArrPr>
                              <m:e>
                                <m:argPr>
                                  <m:argSz m:val="-2"/>
                                </m:argPr>
                                <m:r>
                                  <a:rPr lang="en-PH" sz="1100" i="1">
                                    <a:solidFill>
                                      <a:schemeClr val="tx1"/>
                                    </a:solidFill>
                                    <a:effectLst/>
                                    <a:latin typeface="Cambria Math" panose="02040503050406030204" pitchFamily="18" charset="0"/>
                                    <a:ea typeface="+mn-ea"/>
                                    <a:cs typeface="+mn-cs"/>
                                  </a:rPr>
                                  <m:t>𝐹𝑢𝑡𝑢𝑟𝑒</m:t>
                                </m:r>
                                <m:r>
                                  <a:rPr lang="en-PH" sz="1100" i="1">
                                    <a:solidFill>
                                      <a:schemeClr val="tx1"/>
                                    </a:solidFill>
                                    <a:effectLst/>
                                    <a:latin typeface="Cambria Math" panose="02040503050406030204" pitchFamily="18" charset="0"/>
                                    <a:ea typeface="+mn-ea"/>
                                    <a:cs typeface="+mn-cs"/>
                                  </a:rPr>
                                  <m:t> </m:t>
                                </m:r>
                              </m:e>
                              <m:e>
                                <m:argPr>
                                  <m:argSz m:val="-2"/>
                                </m:argPr>
                                <m:r>
                                  <a:rPr lang="en-PH" sz="1100" i="1">
                                    <a:solidFill>
                                      <a:schemeClr val="tx1"/>
                                    </a:solidFill>
                                    <a:effectLst/>
                                    <a:latin typeface="Cambria Math" panose="02040503050406030204" pitchFamily="18" charset="0"/>
                                    <a:ea typeface="+mn-ea"/>
                                    <a:cs typeface="+mn-cs"/>
                                  </a:rPr>
                                  <m:t>𝑃𝑒𝑟𝑖𝑜𝑑𝑠</m:t>
                                </m:r>
                              </m:e>
                            </m:eqArr>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𝑃𝐷𝐿𝐷</m:t>
                                </m:r>
                              </m:e>
                              <m:sub>
                                <m:argPr>
                                  <m:argSz m:val="-2"/>
                                </m:argPr>
                                <m:r>
                                  <a:rPr lang="en-PH" sz="1100" i="1">
                                    <a:solidFill>
                                      <a:schemeClr val="tx1"/>
                                    </a:solidFill>
                                    <a:effectLst/>
                                    <a:latin typeface="Cambria Math" panose="02040503050406030204" pitchFamily="18" charset="0"/>
                                    <a:ea typeface="+mn-ea"/>
                                    <a:cs typeface="+mn-cs"/>
                                  </a:rPr>
                                  <m:t>𝑛</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𝑛</m:t>
                                </m:r>
                              </m:sub>
                            </m:sSub>
                          </m:e>
                        </m:nary>
                      </m:num>
                      <m:den>
                        <m:nary>
                          <m:naryPr>
                            <m:chr m:val="∑"/>
                            <m:limLoc m:val="undOvr"/>
                            <m:subHide m:val="on"/>
                            <m:supHide m:val="on"/>
                            <m:ctrlPr>
                              <a:rPr lang="en-PH" sz="1100" i="1">
                                <a:solidFill>
                                  <a:schemeClr val="tx1"/>
                                </a:solidFill>
                                <a:effectLst/>
                                <a:latin typeface="Cambria Math" panose="02040503050406030204" pitchFamily="18" charset="0"/>
                                <a:ea typeface="+mn-ea"/>
                                <a:cs typeface="+mn-cs"/>
                              </a:rPr>
                            </m:ctrlPr>
                          </m:naryP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𝑛</m:t>
                                </m:r>
                              </m:sub>
                            </m:sSub>
                          </m:e>
                        </m:nary>
                      </m:den>
                    </m:f>
                  </m:oMath>
                </m:oMathPara>
              </a14:m>
              <a:endParaRPr lang="en-PH" sz="1100">
                <a:solidFill>
                  <a:schemeClr val="tx1"/>
                </a:solidFill>
                <a:effectLst/>
                <a:latin typeface="+mn-lt"/>
                <a:ea typeface="+mn-ea"/>
                <a:cs typeface="+mn-cs"/>
              </a:endParaRPr>
            </a:p>
          </xdr:txBody>
        </xdr:sp>
      </mc:Choice>
      <mc:Fallback xmlns="">
        <xdr:sp macro="" textlink="">
          <xdr:nvSpPr>
            <xdr:cNvPr id="16" name="TextBox 2">
              <a:extLst>
                <a:ext uri="{FF2B5EF4-FFF2-40B4-BE49-F238E27FC236}">
                  <a16:creationId xmlns:a16="http://schemas.microsoft.com/office/drawing/2014/main" id="{160A6814-77CD-46AD-9948-A6BCE56802C4}"/>
                </a:ext>
              </a:extLst>
            </xdr:cNvPr>
            <xdr:cNvSpPr txBox="1"/>
          </xdr:nvSpPr>
          <xdr:spPr>
            <a:xfrm>
              <a:off x="1067337" y="7016750"/>
              <a:ext cx="2340496" cy="5249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r>
                <a:rPr lang="en-PH" sz="1100" i="0">
                  <a:solidFill>
                    <a:schemeClr val="tx1"/>
                  </a:solidFill>
                  <a:effectLst/>
                  <a:latin typeface="Cambria Math" panose="02040503050406030204" pitchFamily="18" charset="0"/>
                  <a:ea typeface="+mn-ea"/>
                  <a:cs typeface="+mn-cs"/>
                </a:rPr>
                <a:t>〖𝐶𝑃𝐷𝐿𝐷〗_𝑛=(∑1^█(𝐹𝑢𝑡𝑢𝑟𝑒 @𝑃𝑒𝑟𝑖𝑜𝑑𝑠)▒〖〖𝑃𝐷𝐿𝐷〗_𝑛×〖%𝐿𝑜𝑠𝑠〗_𝑛 〗)/(∑1▒〖%𝐿𝑜𝑠𝑠〗_𝑛 )</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231254</xdr:colOff>
      <xdr:row>37</xdr:row>
      <xdr:rowOff>119062</xdr:rowOff>
    </xdr:from>
    <xdr:to>
      <xdr:col>4</xdr:col>
      <xdr:colOff>666750</xdr:colOff>
      <xdr:row>39</xdr:row>
      <xdr:rowOff>127137</xdr:rowOff>
    </xdr:to>
    <mc:AlternateContent xmlns:mc="http://schemas.openxmlformats.org/markup-compatibility/2006" xmlns:a14="http://schemas.microsoft.com/office/drawing/2010/main">
      <mc:Choice Requires="a14">
        <xdr:sp macro="" textlink="">
          <xdr:nvSpPr>
            <xdr:cNvPr id="17" name="TextBox 2">
              <a:extLst>
                <a:ext uri="{FF2B5EF4-FFF2-40B4-BE49-F238E27FC236}">
                  <a16:creationId xmlns:a16="http://schemas.microsoft.com/office/drawing/2014/main" id="{67FBC696-A3BB-48F4-A022-794E5BFEB4FA}"/>
                </a:ext>
              </a:extLst>
            </xdr:cNvPr>
            <xdr:cNvSpPr txBox="1"/>
          </xdr:nvSpPr>
          <xdr:spPr>
            <a:xfrm>
              <a:off x="1056754" y="7781395"/>
              <a:ext cx="3017829" cy="41024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𝐶𝑃𝐷𝐿𝐷</m:t>
                        </m:r>
                      </m:e>
                      <m:sub>
                        <m:argPr>
                          <m:argSz m:val="-2"/>
                        </m:argPr>
                        <m:r>
                          <a:rPr lang="en-PH" sz="1100" i="1">
                            <a:solidFill>
                              <a:schemeClr val="tx1"/>
                            </a:solidFill>
                            <a:effectLst/>
                            <a:latin typeface="Cambria Math" panose="02040503050406030204" pitchFamily="18" charset="0"/>
                            <a:ea typeface="+mn-ea"/>
                            <a:cs typeface="+mn-cs"/>
                          </a:rPr>
                          <m:t>1</m:t>
                        </m:r>
                      </m:sub>
                      <m:sup>
                        <m:argPr>
                          <m:argSz m:val="-1"/>
                        </m:argPr>
                        <m:r>
                          <a:rPr lang="en-PH" sz="1100" i="1">
                            <a:solidFill>
                              <a:schemeClr val="tx1"/>
                            </a:solidFill>
                            <a:effectLst/>
                            <a:latin typeface="Cambria Math" panose="02040503050406030204" pitchFamily="18" charset="0"/>
                            <a:ea typeface="+mn-ea"/>
                            <a:cs typeface="+mn-cs"/>
                          </a:rPr>
                          <m:t>∗</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𝐶𝑃𝐷𝐿𝐷</m:t>
                        </m:r>
                      </m:e>
                      <m:sub>
                        <m:argPr>
                          <m:argSz m:val="-2"/>
                        </m:argPr>
                        <m:r>
                          <a:rPr lang="en-PH" sz="1100" i="1">
                            <a:solidFill>
                              <a:schemeClr val="tx1"/>
                            </a:solidFill>
                            <a:effectLst/>
                            <a:latin typeface="Cambria Math" panose="02040503050406030204" pitchFamily="18" charset="0"/>
                            <a:ea typeface="+mn-ea"/>
                            <a:cs typeface="+mn-cs"/>
                          </a:rPr>
                          <m:t>1</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r>
                          <a:rPr lang="en-PH" sz="1100" i="1">
                            <a:solidFill>
                              <a:schemeClr val="tx1"/>
                            </a:solidFill>
                            <a:effectLst/>
                            <a:latin typeface="Cambria Math" panose="02040503050406030204" pitchFamily="18" charset="0"/>
                            <a:ea typeface="+mn-ea"/>
                            <a:cs typeface="+mn-cs"/>
                          </a:rPr>
                          <m:t>𝐵𝑎𝑠𝑖𝑐</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𝐹𝑎𝑐𝑡𝑜𝑟</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𝑇𝑀</m:t>
                        </m:r>
                      </m:num>
                      <m:den>
                        <m:r>
                          <a:rPr lang="en-PH" sz="1100" i="1">
                            <a:solidFill>
                              <a:schemeClr val="tx1"/>
                            </a:solidFill>
                            <a:effectLst/>
                            <a:latin typeface="Cambria Math" panose="02040503050406030204" pitchFamily="18" charset="0"/>
                            <a:ea typeface="+mn-ea"/>
                            <a:cs typeface="+mn-cs"/>
                          </a:rPr>
                          <m:t>𝐸𝐿𝑅</m:t>
                        </m:r>
                      </m:den>
                    </m:f>
                  </m:oMath>
                </m:oMathPara>
              </a14:m>
              <a:endParaRPr lang="en-PH" sz="1100">
                <a:solidFill>
                  <a:schemeClr val="tx1"/>
                </a:solidFill>
                <a:effectLst/>
                <a:latin typeface="+mn-lt"/>
                <a:ea typeface="+mn-ea"/>
                <a:cs typeface="+mn-cs"/>
              </a:endParaRPr>
            </a:p>
          </xdr:txBody>
        </xdr:sp>
      </mc:Choice>
      <mc:Fallback xmlns="">
        <xdr:sp macro="" textlink="">
          <xdr:nvSpPr>
            <xdr:cNvPr id="17" name="TextBox 2">
              <a:extLst>
                <a:ext uri="{FF2B5EF4-FFF2-40B4-BE49-F238E27FC236}">
                  <a16:creationId xmlns:a16="http://schemas.microsoft.com/office/drawing/2014/main" id="{67FBC696-A3BB-48F4-A022-794E5BFEB4FA}"/>
                </a:ext>
              </a:extLst>
            </xdr:cNvPr>
            <xdr:cNvSpPr txBox="1"/>
          </xdr:nvSpPr>
          <xdr:spPr>
            <a:xfrm>
              <a:off x="1056754" y="7781395"/>
              <a:ext cx="3017829" cy="41024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〖𝐶𝑃𝐷𝐿𝐷〗_1^∗=〖𝐶𝑃𝐷𝐿𝐷〗_1−(𝐵𝑎𝑠𝑖𝑐 𝑃𝑟𝑒𝑚 𝐹𝑎𝑐𝑡𝑜𝑟×𝑇𝑀)/𝐸𝐿𝑅</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222250</xdr:colOff>
      <xdr:row>45</xdr:row>
      <xdr:rowOff>158749</xdr:rowOff>
    </xdr:from>
    <xdr:to>
      <xdr:col>5</xdr:col>
      <xdr:colOff>730250</xdr:colOff>
      <xdr:row>47</xdr:row>
      <xdr:rowOff>22201</xdr:rowOff>
    </xdr:to>
    <mc:AlternateContent xmlns:mc="http://schemas.openxmlformats.org/markup-compatibility/2006" xmlns:a14="http://schemas.microsoft.com/office/drawing/2010/main">
      <mc:Choice Requires="a14">
        <xdr:sp macro="" textlink="">
          <xdr:nvSpPr>
            <xdr:cNvPr id="18" name="TextBox 2">
              <a:extLst>
                <a:ext uri="{FF2B5EF4-FFF2-40B4-BE49-F238E27FC236}">
                  <a16:creationId xmlns:a16="http://schemas.microsoft.com/office/drawing/2014/main" id="{D858D792-32D8-488D-A1AF-7606DF167466}"/>
                </a:ext>
              </a:extLst>
            </xdr:cNvPr>
            <xdr:cNvSpPr txBox="1"/>
          </xdr:nvSpPr>
          <xdr:spPr>
            <a:xfrm>
              <a:off x="1047750" y="9493249"/>
              <a:ext cx="4127500" cy="26561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e>
                      <m:sub>
                        <m:argPr>
                          <m:argSz m:val="-2"/>
                        </m:argPr>
                        <m:r>
                          <a:rPr lang="en-PH" sz="1100" i="1">
                            <a:solidFill>
                              <a:schemeClr val="tx1"/>
                            </a:solidFill>
                            <a:effectLst/>
                            <a:latin typeface="Cambria Math" panose="02040503050406030204" pitchFamily="18" charset="0"/>
                            <a:ea typeface="+mn-ea"/>
                            <a:cs typeface="+mn-cs"/>
                          </a:rPr>
                          <m:t>𝑃𝑌</m:t>
                        </m:r>
                      </m:sub>
                      <m:sup>
                        <m:argPr>
                          <m:argSz m:val="-2"/>
                        </m:argPr>
                        <m:r>
                          <a:rPr lang="en-PH" sz="1100" i="1">
                            <a:solidFill>
                              <a:schemeClr val="tx1"/>
                            </a:solidFill>
                            <a:effectLst/>
                            <a:latin typeface="Cambria Math" panose="02040503050406030204" pitchFamily="18" charset="0"/>
                            <a:ea typeface="+mn-ea"/>
                            <a:cs typeface="+mn-cs"/>
                          </a:rPr>
                          <m:t>𝐿𝑜𝑠𝑠</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𝐿𝑜𝑠𝑠</m:t>
                        </m:r>
                      </m:e>
                      <m:sub>
                        <m:argPr>
                          <m:argSz m:val="-2"/>
                        </m:argPr>
                        <m:r>
                          <a:rPr lang="en-PH" sz="1100" i="1">
                            <a:solidFill>
                              <a:schemeClr val="tx1"/>
                            </a:solidFill>
                            <a:effectLst/>
                            <a:latin typeface="Cambria Math" panose="02040503050406030204" pitchFamily="18" charset="0"/>
                            <a:ea typeface="+mn-ea"/>
                            <a:cs typeface="+mn-cs"/>
                          </a:rPr>
                          <m:t>𝑃𝑌</m:t>
                        </m:r>
                      </m:sub>
                    </m:sSub>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𝐶𝑃𝐷𝐿𝐷</m:t>
                        </m:r>
                      </m:e>
                      <m:sub>
                        <m:argPr>
                          <m:argSz m:val="-2"/>
                        </m:argPr>
                        <m:r>
                          <a:rPr lang="en-PH" sz="1100" i="1">
                            <a:solidFill>
                              <a:schemeClr val="tx1"/>
                            </a:solidFill>
                            <a:effectLst/>
                            <a:latin typeface="Cambria Math" panose="02040503050406030204" pitchFamily="18" charset="0"/>
                            <a:ea typeface="+mn-ea"/>
                            <a:cs typeface="+mn-cs"/>
                          </a:rPr>
                          <m:t>𝑛</m:t>
                        </m:r>
                      </m:sub>
                      <m:sup>
                        <m:argPr>
                          <m:argSz m:val="-1"/>
                        </m:argPr>
                        <m:r>
                          <a:rPr lang="en-PH" sz="1100" i="1">
                            <a:solidFill>
                              <a:schemeClr val="tx1"/>
                            </a:solidFill>
                            <a:effectLst/>
                            <a:latin typeface="Cambria Math" panose="02040503050406030204" pitchFamily="18" charset="0"/>
                            <a:ea typeface="+mn-ea"/>
                            <a:cs typeface="+mn-cs"/>
                          </a:rPr>
                          <m:t>∗</m:t>
                        </m:r>
                      </m:sup>
                    </m:sSubSup>
                  </m:oMath>
                </m:oMathPara>
              </a14:m>
              <a:endParaRPr lang="en-PH" sz="1100">
                <a:solidFill>
                  <a:schemeClr val="tx1"/>
                </a:solidFill>
                <a:effectLst/>
                <a:latin typeface="+mn-lt"/>
                <a:ea typeface="+mn-ea"/>
                <a:cs typeface="+mn-cs"/>
              </a:endParaRPr>
            </a:p>
          </xdr:txBody>
        </xdr:sp>
      </mc:Choice>
      <mc:Fallback xmlns="">
        <xdr:sp macro="" textlink="">
          <xdr:nvSpPr>
            <xdr:cNvPr id="18" name="TextBox 2">
              <a:extLst>
                <a:ext uri="{FF2B5EF4-FFF2-40B4-BE49-F238E27FC236}">
                  <a16:creationId xmlns:a16="http://schemas.microsoft.com/office/drawing/2014/main" id="{D858D792-32D8-488D-A1AF-7606DF167466}"/>
                </a:ext>
              </a:extLst>
            </xdr:cNvPr>
            <xdr:cNvSpPr txBox="1"/>
          </xdr:nvSpPr>
          <xdr:spPr>
            <a:xfrm>
              <a:off x="1047750" y="9493249"/>
              <a:ext cx="4127500" cy="26561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〖𝐸𝑥𝑝𝑒𝑐𝑡𝑒𝑑 𝐹𝑢𝑡𝑢𝑟𝑒 𝑃𝑟𝑒𝑚〗_𝑃𝑌^𝐿𝑜𝑠𝑠=〖𝐸𝑥𝑝𝑒𝑐𝑡𝑒𝑑 𝐹𝑢𝑡𝑢𝑟𝑒 𝐿𝑜𝑠𝑠〗_𝑃𝑌×〖𝐶𝑃𝐷𝐿𝐷〗_𝑛^∗</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222249</xdr:colOff>
      <xdr:row>50</xdr:row>
      <xdr:rowOff>179917</xdr:rowOff>
    </xdr:from>
    <xdr:to>
      <xdr:col>5</xdr:col>
      <xdr:colOff>423332</xdr:colOff>
      <xdr:row>52</xdr:row>
      <xdr:rowOff>43368</xdr:rowOff>
    </xdr:to>
    <mc:AlternateContent xmlns:mc="http://schemas.openxmlformats.org/markup-compatibility/2006" xmlns:a14="http://schemas.microsoft.com/office/drawing/2010/main">
      <mc:Choice Requires="a14">
        <xdr:sp macro="" textlink="">
          <xdr:nvSpPr>
            <xdr:cNvPr id="19" name="TextBox 2">
              <a:extLst>
                <a:ext uri="{FF2B5EF4-FFF2-40B4-BE49-F238E27FC236}">
                  <a16:creationId xmlns:a16="http://schemas.microsoft.com/office/drawing/2014/main" id="{7F4408F6-D316-4438-A5DF-305985A985A0}"/>
                </a:ext>
              </a:extLst>
            </xdr:cNvPr>
            <xdr:cNvSpPr txBox="1"/>
          </xdr:nvSpPr>
          <xdr:spPr>
            <a:xfrm>
              <a:off x="1047749" y="10519834"/>
              <a:ext cx="3820583" cy="2656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𝐵𝑎𝑠𝑖𝑐</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e>
                      <m:sub>
                        <m:argPr>
                          <m:argSz m:val="-2"/>
                        </m:argPr>
                        <m:r>
                          <a:rPr lang="en-PH" sz="1100" i="1">
                            <a:solidFill>
                              <a:schemeClr val="tx1"/>
                            </a:solidFill>
                            <a:effectLst/>
                            <a:latin typeface="Cambria Math" panose="02040503050406030204" pitchFamily="18" charset="0"/>
                            <a:ea typeface="+mn-ea"/>
                            <a:cs typeface="+mn-cs"/>
                          </a:rPr>
                          <m:t>𝑃𝑌</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𝑆𝑡𝑎𝑛𝑑𝑎𝑟𝑑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e>
                      <m:sub>
                        <m:argPr>
                          <m:argSz m:val="-2"/>
                        </m:argPr>
                        <m:r>
                          <a:rPr lang="en-PH" sz="1100" i="1">
                            <a:solidFill>
                              <a:schemeClr val="tx1"/>
                            </a:solidFill>
                            <a:effectLst/>
                            <a:latin typeface="Cambria Math" panose="02040503050406030204" pitchFamily="18" charset="0"/>
                            <a:ea typeface="+mn-ea"/>
                            <a:cs typeface="+mn-cs"/>
                          </a:rPr>
                          <m:t>𝑃𝑌</m:t>
                        </m:r>
                      </m:sub>
                    </m:sSub>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𝐵𝑎𝑠𝑖𝑐</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𝐹𝑎𝑐𝑡𝑜𝑟</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𝑇𝑀</m:t>
                    </m:r>
                  </m:oMath>
                </m:oMathPara>
              </a14:m>
              <a:endParaRPr lang="en-PH" sz="1100">
                <a:solidFill>
                  <a:schemeClr val="tx1"/>
                </a:solidFill>
                <a:effectLst/>
                <a:latin typeface="+mn-lt"/>
                <a:ea typeface="+mn-ea"/>
                <a:cs typeface="+mn-cs"/>
              </a:endParaRPr>
            </a:p>
          </xdr:txBody>
        </xdr:sp>
      </mc:Choice>
      <mc:Fallback xmlns="">
        <xdr:sp macro="" textlink="">
          <xdr:nvSpPr>
            <xdr:cNvPr id="19" name="TextBox 2">
              <a:extLst>
                <a:ext uri="{FF2B5EF4-FFF2-40B4-BE49-F238E27FC236}">
                  <a16:creationId xmlns:a16="http://schemas.microsoft.com/office/drawing/2014/main" id="{7F4408F6-D316-4438-A5DF-305985A985A0}"/>
                </a:ext>
              </a:extLst>
            </xdr:cNvPr>
            <xdr:cNvSpPr txBox="1"/>
          </xdr:nvSpPr>
          <xdr:spPr>
            <a:xfrm>
              <a:off x="1047749" y="10519834"/>
              <a:ext cx="3820583" cy="2656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〖𝐵𝑎𝑠𝑖𝑐 𝑃𝑟𝑒𝑚〗_𝑃𝑌=〖𝑆𝑡𝑎𝑛𝑑𝑎𝑟𝑑 𝑃𝑟𝑒𝑚〗_𝑃𝑌×𝐵𝑎𝑠𝑖𝑐 𝑃𝑟𝑒𝑚 𝐹𝑎𝑐𝑡𝑜𝑟×𝑇𝑀</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222249</xdr:colOff>
      <xdr:row>54</xdr:row>
      <xdr:rowOff>127000</xdr:rowOff>
    </xdr:from>
    <xdr:to>
      <xdr:col>7</xdr:col>
      <xdr:colOff>21166</xdr:colOff>
      <xdr:row>55</xdr:row>
      <xdr:rowOff>200896</xdr:rowOff>
    </xdr:to>
    <mc:AlternateContent xmlns:mc="http://schemas.openxmlformats.org/markup-compatibility/2006" xmlns:a14="http://schemas.microsoft.com/office/drawing/2010/main">
      <mc:Choice Requires="a14">
        <xdr:sp macro="" textlink="">
          <xdr:nvSpPr>
            <xdr:cNvPr id="20" name="TextBox 2">
              <a:extLst>
                <a:ext uri="{FF2B5EF4-FFF2-40B4-BE49-F238E27FC236}">
                  <a16:creationId xmlns:a16="http://schemas.microsoft.com/office/drawing/2014/main" id="{62B0C99D-176B-4847-A058-CC2131F265FB}"/>
                </a:ext>
              </a:extLst>
            </xdr:cNvPr>
            <xdr:cNvSpPr txBox="1"/>
          </xdr:nvSpPr>
          <xdr:spPr>
            <a:xfrm>
              <a:off x="1047749" y="11271250"/>
              <a:ext cx="5069417" cy="2749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𝐸𝑥𝑝𝑒𝑐𝑡𝑒𝑑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𝐹𝑢𝑡𝑢𝑟𝑒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𝐵𝑜𝑜𝑘𝑒𝑑</m:t>
                    </m:r>
                    <m:r>
                      <a:rPr lang="en-PH" sz="1100" i="1">
                        <a:solidFill>
                          <a:schemeClr val="tx1"/>
                        </a:solidFill>
                        <a:effectLst/>
                        <a:latin typeface="Cambria Math" panose="02040503050406030204" pitchFamily="18" charset="0"/>
                        <a:ea typeface="+mn-ea"/>
                        <a:cs typeface="+mn-cs"/>
                      </a:rPr>
                      <m:t> </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𝑃𝑟𝑒𝑚</m:t>
                        </m:r>
                      </m:e>
                      <m:sub>
                        <m:argPr>
                          <m:argSz m:val="-2"/>
                        </m:argPr>
                        <m:r>
                          <a:rPr lang="en-PH" sz="1100" i="1">
                            <a:solidFill>
                              <a:schemeClr val="tx1"/>
                            </a:solidFill>
                            <a:effectLst/>
                            <a:latin typeface="Cambria Math" panose="02040503050406030204" pitchFamily="18" charset="0"/>
                            <a:ea typeface="+mn-ea"/>
                            <a:cs typeface="+mn-cs"/>
                          </a:rPr>
                          <m:t>𝑃𝑟𝑖𝑜𝑟</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𝐴𝑑𝑗</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𝐵𝑎𝑠𝑖𝑐</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e>
                      <m:sub>
                        <m:argPr>
                          <m:argSz m:val="-2"/>
                        </m:argPr>
                        <m:r>
                          <a:rPr lang="en-PH" sz="1100" i="1">
                            <a:solidFill>
                              <a:schemeClr val="tx1"/>
                            </a:solidFill>
                            <a:effectLst/>
                            <a:latin typeface="Cambria Math" panose="02040503050406030204" pitchFamily="18" charset="0"/>
                            <a:ea typeface="+mn-ea"/>
                            <a:cs typeface="+mn-cs"/>
                          </a:rPr>
                          <m:t>1</m:t>
                        </m:r>
                        <m:r>
                          <a:rPr lang="en-PH" sz="1100" i="1">
                            <a:solidFill>
                              <a:schemeClr val="tx1"/>
                            </a:solidFill>
                            <a:effectLst/>
                            <a:latin typeface="Cambria Math" panose="02040503050406030204" pitchFamily="18" charset="0"/>
                            <a:ea typeface="+mn-ea"/>
                            <a:cs typeface="+mn-cs"/>
                          </a:rPr>
                          <m:t>𝑠𝑡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𝐴𝑑𝑗</m:t>
                        </m:r>
                      </m:sub>
                    </m:sSub>
                  </m:oMath>
                </m:oMathPara>
              </a14:m>
              <a:endParaRPr lang="en-PH" sz="1100">
                <a:solidFill>
                  <a:schemeClr val="tx1"/>
                </a:solidFill>
                <a:effectLst/>
                <a:latin typeface="+mn-lt"/>
                <a:ea typeface="+mn-ea"/>
                <a:cs typeface="+mn-cs"/>
              </a:endParaRPr>
            </a:p>
          </xdr:txBody>
        </xdr:sp>
      </mc:Choice>
      <mc:Fallback xmlns="">
        <xdr:sp macro="" textlink="">
          <xdr:nvSpPr>
            <xdr:cNvPr id="20" name="TextBox 2">
              <a:extLst>
                <a:ext uri="{FF2B5EF4-FFF2-40B4-BE49-F238E27FC236}">
                  <a16:creationId xmlns:a16="http://schemas.microsoft.com/office/drawing/2014/main" id="{62B0C99D-176B-4847-A058-CC2131F265FB}"/>
                </a:ext>
              </a:extLst>
            </xdr:cNvPr>
            <xdr:cNvSpPr txBox="1"/>
          </xdr:nvSpPr>
          <xdr:spPr>
            <a:xfrm>
              <a:off x="1047749" y="11271250"/>
              <a:ext cx="5069417" cy="2749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𝑈𝑙𝑡 𝑃𝑟𝑒𝑚=𝐸𝑥𝑝𝑒𝑐𝑡𝑒𝑑 𝐹𝑢𝑡𝑢𝑟𝑒 𝑃𝑟𝑒𝑚+𝐵𝑜𝑜𝑘𝑒𝑑 〖𝑃𝑟𝑒𝑚〗_(𝑃𝑟𝑖𝑜𝑟 𝐴𝑑𝑗)+〖𝐵𝑎𝑠𝑖𝑐 𝑃𝑟𝑒𝑚〗_(1𝑠𝑡 𝐴𝑑𝑗)</a:t>
              </a:r>
              <a:endParaRPr lang="en-PH" sz="1100">
                <a:solidFill>
                  <a:schemeClr val="tx1"/>
                </a:solidFill>
                <a:effectLst/>
                <a:latin typeface="+mn-lt"/>
                <a:ea typeface="+mn-ea"/>
                <a:cs typeface="+mn-cs"/>
              </a:endParaRPr>
            </a:p>
          </xdr:txBody>
        </xdr:sp>
      </mc:Fallback>
    </mc:AlternateContent>
    <xdr:clientData/>
  </xdr:twoCellAnchor>
  <xdr:twoCellAnchor>
    <xdr:from>
      <xdr:col>1</xdr:col>
      <xdr:colOff>254000</xdr:colOff>
      <xdr:row>67</xdr:row>
      <xdr:rowOff>148167</xdr:rowOff>
    </xdr:from>
    <xdr:to>
      <xdr:col>4</xdr:col>
      <xdr:colOff>910167</xdr:colOff>
      <xdr:row>69</xdr:row>
      <xdr:rowOff>10432</xdr:rowOff>
    </xdr:to>
    <mc:AlternateContent xmlns:mc="http://schemas.openxmlformats.org/markup-compatibility/2006" xmlns:a14="http://schemas.microsoft.com/office/drawing/2010/main">
      <mc:Choice Requires="a14">
        <xdr:sp macro="" textlink="">
          <xdr:nvSpPr>
            <xdr:cNvPr id="21" name="TextBox 2">
              <a:extLst>
                <a:ext uri="{FF2B5EF4-FFF2-40B4-BE49-F238E27FC236}">
                  <a16:creationId xmlns:a16="http://schemas.microsoft.com/office/drawing/2014/main" id="{89C011D3-E7DD-4BF0-96DA-E7B3AF082804}"/>
                </a:ext>
              </a:extLst>
            </xdr:cNvPr>
            <xdr:cNvSpPr txBox="1"/>
          </xdr:nvSpPr>
          <xdr:spPr>
            <a:xfrm>
              <a:off x="1079500" y="13917084"/>
              <a:ext cx="323850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𝐴𝑠𝑠𝑒𝑡</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𝑈𝑙𝑡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𝐶𝑢𝑟𝑟𝑒𝑛𝑡</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𝐵𝑜𝑜𝑘𝑒𝑑</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𝑃𝑟𝑒𝑚</m:t>
                    </m:r>
                  </m:oMath>
                </m:oMathPara>
              </a14:m>
              <a:endParaRPr lang="en-PH" sz="1100">
                <a:solidFill>
                  <a:schemeClr val="tx1"/>
                </a:solidFill>
                <a:effectLst/>
                <a:latin typeface="+mn-lt"/>
                <a:ea typeface="+mn-ea"/>
                <a:cs typeface="+mn-cs"/>
              </a:endParaRPr>
            </a:p>
          </xdr:txBody>
        </xdr:sp>
      </mc:Choice>
      <mc:Fallback xmlns="">
        <xdr:sp macro="" textlink="">
          <xdr:nvSpPr>
            <xdr:cNvPr id="21" name="TextBox 2">
              <a:extLst>
                <a:ext uri="{FF2B5EF4-FFF2-40B4-BE49-F238E27FC236}">
                  <a16:creationId xmlns:a16="http://schemas.microsoft.com/office/drawing/2014/main" id="{89C011D3-E7DD-4BF0-96DA-E7B3AF082804}"/>
                </a:ext>
              </a:extLst>
            </xdr:cNvPr>
            <xdr:cNvSpPr txBox="1"/>
          </xdr:nvSpPr>
          <xdr:spPr>
            <a:xfrm>
              <a:off x="1079500" y="13917084"/>
              <a:ext cx="323850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𝑃𝑟𝑒𝑚 𝐴𝑠𝑠𝑒𝑡=𝑈𝑙𝑡 𝑃𝑟𝑒𝑚−𝐶𝑢𝑟𝑟𝑒𝑛𝑡 𝐵𝑜𝑜𝑘𝑒𝑑 𝑃𝑟𝑒𝑚</a:t>
              </a:r>
              <a:endParaRPr lang="en-PH" sz="1100">
                <a:solidFill>
                  <a:schemeClr val="tx1"/>
                </a:solidFill>
                <a:effectLst/>
                <a:latin typeface="+mn-lt"/>
                <a:ea typeface="+mn-ea"/>
                <a:cs typeface="+mn-cs"/>
              </a:endParaRP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01"/>
  <sheetViews>
    <sheetView showGridLines="0" tabSelected="1" zoomScale="120" zoomScaleNormal="120" workbookViewId="0"/>
  </sheetViews>
  <sheetFormatPr baseColWidth="10" defaultColWidth="10.83203125" defaultRowHeight="16" x14ac:dyDescent="0.2"/>
  <cols>
    <col min="1" max="2" width="10.83203125" style="82"/>
    <col min="3" max="3" width="10.83203125" style="82" customWidth="1"/>
    <col min="4" max="4" width="14.6640625" style="82" customWidth="1"/>
    <col min="5" max="16384" width="10.83203125" style="82"/>
  </cols>
  <sheetData>
    <row r="1" spans="1:10" ht="19" x14ac:dyDescent="0.25">
      <c r="A1" s="1" t="s">
        <v>126</v>
      </c>
      <c r="B1" s="80"/>
      <c r="C1" s="80"/>
      <c r="D1" s="80"/>
      <c r="E1" s="80"/>
      <c r="F1" s="80"/>
      <c r="G1" s="80"/>
      <c r="H1" s="80"/>
      <c r="I1" s="80"/>
      <c r="J1" s="81"/>
    </row>
    <row r="2" spans="1:10" x14ac:dyDescent="0.2">
      <c r="A2" s="83"/>
      <c r="B2" s="80"/>
      <c r="C2" s="80"/>
      <c r="D2" s="80"/>
      <c r="E2" s="80"/>
      <c r="F2" s="80"/>
      <c r="G2" s="80"/>
      <c r="H2" s="80"/>
      <c r="I2" s="80"/>
      <c r="J2" s="81"/>
    </row>
    <row r="3" spans="1:10" x14ac:dyDescent="0.2">
      <c r="A3" s="83"/>
      <c r="B3" s="80" t="s">
        <v>1</v>
      </c>
      <c r="C3" s="80"/>
      <c r="D3" s="80"/>
      <c r="E3" s="80"/>
      <c r="F3" s="80"/>
      <c r="G3" s="80"/>
      <c r="H3" s="80"/>
      <c r="I3" s="80"/>
      <c r="J3" s="81"/>
    </row>
    <row r="4" spans="1:10" x14ac:dyDescent="0.2">
      <c r="A4" s="83"/>
      <c r="B4" s="80"/>
      <c r="C4" s="80"/>
      <c r="D4" s="80"/>
      <c r="E4" s="80"/>
      <c r="F4" s="80"/>
      <c r="G4" s="80"/>
      <c r="H4" s="80"/>
      <c r="I4" s="80"/>
      <c r="J4" s="81"/>
    </row>
    <row r="5" spans="1:10" x14ac:dyDescent="0.2">
      <c r="A5" s="83"/>
      <c r="B5" s="80"/>
      <c r="C5" s="128" t="s">
        <v>6</v>
      </c>
      <c r="D5" s="129"/>
      <c r="E5" s="129"/>
      <c r="F5" s="129"/>
      <c r="G5" s="130"/>
      <c r="H5" s="80"/>
      <c r="I5" s="80"/>
      <c r="J5" s="81"/>
    </row>
    <row r="6" spans="1:10" ht="17" x14ac:dyDescent="0.2">
      <c r="A6" s="83"/>
      <c r="B6" s="80"/>
      <c r="C6" s="84"/>
      <c r="D6" s="23"/>
      <c r="E6" s="24" t="s">
        <v>2</v>
      </c>
      <c r="F6" s="24" t="s">
        <v>3</v>
      </c>
      <c r="G6" s="23" t="s">
        <v>4</v>
      </c>
      <c r="H6" s="80"/>
      <c r="I6" s="80"/>
      <c r="J6" s="81"/>
    </row>
    <row r="7" spans="1:10" x14ac:dyDescent="0.2">
      <c r="A7" s="83"/>
      <c r="B7" s="80"/>
      <c r="C7" s="85"/>
      <c r="D7" s="5" t="s">
        <v>5</v>
      </c>
      <c r="E7" s="25">
        <v>0.85</v>
      </c>
      <c r="F7" s="25">
        <v>0.6</v>
      </c>
      <c r="G7" s="26">
        <v>0.5</v>
      </c>
      <c r="H7" s="80"/>
      <c r="I7" s="80"/>
      <c r="J7" s="81"/>
    </row>
    <row r="8" spans="1:10" x14ac:dyDescent="0.2">
      <c r="A8" s="83"/>
      <c r="B8" s="80"/>
      <c r="C8" s="131" t="s">
        <v>40</v>
      </c>
      <c r="D8" s="132"/>
      <c r="E8" s="27">
        <v>0.75</v>
      </c>
      <c r="F8" s="27">
        <v>0.85</v>
      </c>
      <c r="G8" s="28">
        <v>0.9</v>
      </c>
      <c r="H8" s="80"/>
      <c r="I8" s="80"/>
      <c r="J8" s="81"/>
    </row>
    <row r="9" spans="1:10" x14ac:dyDescent="0.2">
      <c r="A9" s="83"/>
      <c r="B9" s="80"/>
      <c r="C9" s="80"/>
      <c r="D9" s="80"/>
      <c r="E9" s="80"/>
      <c r="F9" s="80"/>
      <c r="G9" s="80"/>
      <c r="H9" s="80"/>
      <c r="I9" s="80"/>
      <c r="J9" s="81"/>
    </row>
    <row r="10" spans="1:10" x14ac:dyDescent="0.2">
      <c r="A10" s="83"/>
      <c r="B10" s="80"/>
      <c r="C10" s="80"/>
      <c r="D10" s="80"/>
      <c r="E10" s="80"/>
      <c r="F10" s="80"/>
      <c r="G10" s="80"/>
      <c r="H10" s="80"/>
      <c r="I10" s="80"/>
      <c r="J10" s="81"/>
    </row>
    <row r="11" spans="1:10" x14ac:dyDescent="0.2">
      <c r="A11" s="83"/>
      <c r="B11" s="80" t="s">
        <v>136</v>
      </c>
      <c r="C11" s="80"/>
      <c r="D11" s="86">
        <v>1.2</v>
      </c>
      <c r="E11" s="80"/>
      <c r="F11" s="80"/>
      <c r="G11" s="80"/>
      <c r="H11" s="80"/>
      <c r="I11" s="80"/>
      <c r="J11" s="81"/>
    </row>
    <row r="12" spans="1:10" x14ac:dyDescent="0.2">
      <c r="A12" s="83"/>
      <c r="B12" s="80" t="s">
        <v>137</v>
      </c>
      <c r="C12" s="80"/>
      <c r="D12" s="87">
        <v>1.03</v>
      </c>
      <c r="E12" s="80"/>
      <c r="F12" s="80"/>
      <c r="G12" s="80"/>
      <c r="H12" s="80"/>
      <c r="I12" s="80"/>
      <c r="J12" s="81"/>
    </row>
    <row r="13" spans="1:10" x14ac:dyDescent="0.2">
      <c r="A13" s="83"/>
      <c r="B13" s="80" t="s">
        <v>138</v>
      </c>
      <c r="C13" s="80"/>
      <c r="D13" s="87">
        <v>0.2</v>
      </c>
      <c r="E13" s="80"/>
      <c r="F13" s="80"/>
      <c r="G13" s="80"/>
      <c r="H13" s="80"/>
      <c r="I13" s="80"/>
      <c r="J13" s="81"/>
    </row>
    <row r="14" spans="1:10" x14ac:dyDescent="0.2">
      <c r="A14" s="83"/>
      <c r="B14" s="80" t="s">
        <v>139</v>
      </c>
      <c r="C14" s="80"/>
      <c r="D14" s="88">
        <v>0.7</v>
      </c>
      <c r="E14" s="80"/>
      <c r="F14" s="80"/>
      <c r="G14" s="80"/>
      <c r="H14" s="80"/>
      <c r="I14" s="80"/>
      <c r="J14" s="81"/>
    </row>
    <row r="15" spans="1:10" x14ac:dyDescent="0.2">
      <c r="A15" s="83"/>
      <c r="B15" s="80"/>
      <c r="C15" s="80"/>
      <c r="D15" s="80"/>
      <c r="E15" s="80"/>
      <c r="F15" s="80"/>
      <c r="G15" s="80"/>
      <c r="H15" s="80"/>
      <c r="I15" s="80"/>
      <c r="J15" s="81"/>
    </row>
    <row r="16" spans="1:10" x14ac:dyDescent="0.2">
      <c r="A16" s="83"/>
      <c r="B16" s="80"/>
      <c r="C16" s="80"/>
      <c r="D16" s="80"/>
      <c r="E16" s="80"/>
      <c r="F16" s="80"/>
      <c r="G16" s="80"/>
      <c r="H16" s="80"/>
      <c r="I16" s="80"/>
      <c r="J16" s="81"/>
    </row>
    <row r="17" spans="1:12" x14ac:dyDescent="0.2">
      <c r="A17" s="83"/>
      <c r="B17" s="80" t="s">
        <v>9</v>
      </c>
      <c r="C17" s="80"/>
      <c r="D17" s="80"/>
      <c r="E17" s="80"/>
      <c r="F17" s="80"/>
      <c r="G17" s="80"/>
      <c r="H17" s="80"/>
      <c r="I17" s="80"/>
      <c r="J17" s="81"/>
    </row>
    <row r="18" spans="1:12" ht="17" thickBot="1" x14ac:dyDescent="0.25">
      <c r="A18" s="89"/>
      <c r="B18" s="90"/>
      <c r="C18" s="91"/>
      <c r="D18" s="91"/>
      <c r="E18" s="91"/>
      <c r="F18" s="90"/>
      <c r="G18" s="90"/>
      <c r="H18" s="90"/>
      <c r="I18" s="90"/>
      <c r="J18" s="92"/>
    </row>
    <row r="20" spans="1:12" ht="19" x14ac:dyDescent="0.25">
      <c r="A20" s="2" t="s">
        <v>0</v>
      </c>
    </row>
    <row r="21" spans="1:12" ht="18" x14ac:dyDescent="0.25">
      <c r="A21" s="22" t="s">
        <v>124</v>
      </c>
      <c r="B21" s="15" t="s">
        <v>148</v>
      </c>
      <c r="C21" s="93"/>
    </row>
    <row r="22" spans="1:12" x14ac:dyDescent="0.2">
      <c r="A22" s="22"/>
      <c r="B22" s="15"/>
      <c r="C22" s="93"/>
    </row>
    <row r="23" spans="1:12" x14ac:dyDescent="0.2">
      <c r="A23" s="22"/>
      <c r="B23" s="15"/>
      <c r="C23" s="93"/>
    </row>
    <row r="24" spans="1:12" x14ac:dyDescent="0.2">
      <c r="A24" s="22"/>
      <c r="B24" s="15"/>
      <c r="C24" s="93"/>
    </row>
    <row r="28" spans="1:12" ht="17" thickBot="1" x14ac:dyDescent="0.25">
      <c r="L28" s="4"/>
    </row>
    <row r="29" spans="1:12" ht="19" thickBot="1" x14ac:dyDescent="0.3">
      <c r="C29" s="101" t="s">
        <v>149</v>
      </c>
      <c r="D29" s="102">
        <f>D13*D12/(D14*E8)+E7*D11*D12</f>
        <v>1.4429809523809525</v>
      </c>
      <c r="L29" s="4"/>
    </row>
    <row r="30" spans="1:12" x14ac:dyDescent="0.2">
      <c r="L30" s="4"/>
    </row>
    <row r="31" spans="1:12" x14ac:dyDescent="0.2">
      <c r="A31" s="22" t="s">
        <v>125</v>
      </c>
      <c r="B31" s="15" t="s">
        <v>41</v>
      </c>
      <c r="L31" s="4"/>
    </row>
    <row r="32" spans="1:12" x14ac:dyDescent="0.2">
      <c r="A32" s="22"/>
      <c r="B32" s="15"/>
      <c r="L32" s="4"/>
    </row>
    <row r="33" spans="1:12" x14ac:dyDescent="0.2">
      <c r="A33" s="22"/>
      <c r="B33" s="15"/>
      <c r="L33" s="4"/>
    </row>
    <row r="34" spans="1:12" ht="18" x14ac:dyDescent="0.25">
      <c r="A34" s="22"/>
      <c r="B34" s="15"/>
      <c r="F34" s="94" t="s">
        <v>150</v>
      </c>
      <c r="G34" s="95" t="s">
        <v>151</v>
      </c>
      <c r="L34" s="4"/>
    </row>
    <row r="35" spans="1:12" x14ac:dyDescent="0.2">
      <c r="A35" s="22"/>
      <c r="B35" s="15"/>
      <c r="F35" s="96">
        <v>1</v>
      </c>
      <c r="G35" s="97">
        <f>D29</f>
        <v>1.4429809523809525</v>
      </c>
      <c r="L35" s="4"/>
    </row>
    <row r="36" spans="1:12" x14ac:dyDescent="0.2">
      <c r="A36" s="22"/>
      <c r="B36" s="15"/>
      <c r="F36" s="96">
        <v>2</v>
      </c>
      <c r="G36" s="97">
        <f>F7*$D$11*$D$12</f>
        <v>0.74160000000000004</v>
      </c>
      <c r="L36" s="4"/>
    </row>
    <row r="37" spans="1:12" x14ac:dyDescent="0.2">
      <c r="A37" s="22"/>
      <c r="B37" s="15"/>
      <c r="F37" s="96">
        <v>3</v>
      </c>
      <c r="G37" s="97">
        <f>G7*$D$11*$D$12</f>
        <v>0.61799999999999999</v>
      </c>
      <c r="L37" s="4"/>
    </row>
    <row r="38" spans="1:12" x14ac:dyDescent="0.2">
      <c r="A38" s="22"/>
      <c r="B38" s="15"/>
      <c r="L38" s="4"/>
    </row>
    <row r="39" spans="1:12" x14ac:dyDescent="0.2">
      <c r="L39" s="4"/>
    </row>
    <row r="40" spans="1:12" x14ac:dyDescent="0.2">
      <c r="L40" s="4"/>
    </row>
    <row r="41" spans="1:12" ht="19" x14ac:dyDescent="0.25">
      <c r="A41" s="2" t="s">
        <v>39</v>
      </c>
      <c r="L41" s="4"/>
    </row>
    <row r="42" spans="1:12" ht="18" customHeight="1" x14ac:dyDescent="0.25">
      <c r="A42" s="2"/>
      <c r="B42" s="133" t="s">
        <v>152</v>
      </c>
      <c r="C42" s="133"/>
      <c r="D42" s="133"/>
      <c r="E42" s="133"/>
      <c r="F42" s="133"/>
      <c r="G42" s="133"/>
      <c r="H42" s="133"/>
      <c r="I42" s="133"/>
      <c r="L42" s="4"/>
    </row>
    <row r="43" spans="1:12" ht="19" x14ac:dyDescent="0.25">
      <c r="A43" s="2"/>
      <c r="B43" s="133"/>
      <c r="C43" s="133"/>
      <c r="D43" s="133"/>
      <c r="E43" s="133"/>
      <c r="F43" s="133"/>
      <c r="G43" s="133"/>
      <c r="H43" s="133"/>
      <c r="I43" s="133"/>
      <c r="L43" s="4"/>
    </row>
    <row r="44" spans="1:12" ht="19" x14ac:dyDescent="0.25">
      <c r="A44" s="2"/>
      <c r="B44" s="133"/>
      <c r="C44" s="133"/>
      <c r="D44" s="133"/>
      <c r="E44" s="133"/>
      <c r="F44" s="133"/>
      <c r="G44" s="133"/>
      <c r="H44" s="133"/>
      <c r="I44" s="133"/>
      <c r="L44" s="4"/>
    </row>
    <row r="45" spans="1:12" ht="19" x14ac:dyDescent="0.25">
      <c r="A45" s="2"/>
      <c r="L45" s="4"/>
    </row>
    <row r="46" spans="1:12" ht="18" customHeight="1" x14ac:dyDescent="0.25">
      <c r="A46" s="2"/>
      <c r="B46" s="133" t="s">
        <v>153</v>
      </c>
      <c r="C46" s="133"/>
      <c r="D46" s="133"/>
      <c r="E46" s="133"/>
      <c r="F46" s="133"/>
      <c r="G46" s="133"/>
      <c r="H46" s="133"/>
      <c r="I46" s="133"/>
      <c r="L46" s="4"/>
    </row>
    <row r="47" spans="1:12" ht="19" x14ac:dyDescent="0.25">
      <c r="A47" s="2"/>
      <c r="B47" s="133"/>
      <c r="C47" s="133"/>
      <c r="D47" s="133"/>
      <c r="E47" s="133"/>
      <c r="F47" s="133"/>
      <c r="G47" s="133"/>
      <c r="H47" s="133"/>
      <c r="I47" s="133"/>
      <c r="L47" s="4"/>
    </row>
    <row r="48" spans="1:12" x14ac:dyDescent="0.2">
      <c r="B48" s="133"/>
      <c r="C48" s="133"/>
      <c r="D48" s="133"/>
      <c r="E48" s="133"/>
      <c r="F48" s="133"/>
      <c r="G48" s="133"/>
      <c r="H48" s="133"/>
      <c r="I48" s="133"/>
      <c r="L48" s="4"/>
    </row>
    <row r="49" spans="1:14" x14ac:dyDescent="0.2">
      <c r="A49" s="3"/>
      <c r="C49" s="93"/>
    </row>
    <row r="54" spans="1:14" x14ac:dyDescent="0.2">
      <c r="B54" s="82" t="s">
        <v>154</v>
      </c>
    </row>
    <row r="56" spans="1:14" x14ac:dyDescent="0.2">
      <c r="A56" s="3"/>
      <c r="B56" s="82" t="s">
        <v>71</v>
      </c>
      <c r="C56" s="93"/>
    </row>
    <row r="57" spans="1:14" x14ac:dyDescent="0.2">
      <c r="M57" s="93"/>
    </row>
    <row r="58" spans="1:14" x14ac:dyDescent="0.2">
      <c r="L58" s="4"/>
      <c r="M58" s="4"/>
      <c r="N58" s="4"/>
    </row>
    <row r="59" spans="1:14" x14ac:dyDescent="0.2">
      <c r="L59" s="4"/>
      <c r="M59" s="4"/>
      <c r="N59" s="4"/>
    </row>
    <row r="60" spans="1:14" x14ac:dyDescent="0.2">
      <c r="L60" s="4"/>
      <c r="M60" s="4"/>
      <c r="N60" s="4"/>
    </row>
    <row r="61" spans="1:14" x14ac:dyDescent="0.2">
      <c r="B61" s="82" t="s">
        <v>72</v>
      </c>
      <c r="L61" s="4"/>
      <c r="M61" s="4"/>
      <c r="N61" s="4"/>
    </row>
    <row r="62" spans="1:14" x14ac:dyDescent="0.2">
      <c r="B62" s="112" t="s">
        <v>73</v>
      </c>
      <c r="L62" s="4"/>
      <c r="M62" s="4"/>
      <c r="N62" s="4"/>
    </row>
    <row r="63" spans="1:14" x14ac:dyDescent="0.2">
      <c r="B63" s="112" t="s">
        <v>74</v>
      </c>
      <c r="L63" s="4"/>
      <c r="M63" s="4"/>
      <c r="N63" s="4"/>
    </row>
    <row r="64" spans="1:14" x14ac:dyDescent="0.2">
      <c r="L64" s="4"/>
      <c r="M64" s="4"/>
      <c r="N64" s="4"/>
    </row>
    <row r="65" spans="1:14" x14ac:dyDescent="0.2">
      <c r="L65" s="4"/>
      <c r="M65" s="4"/>
      <c r="N65" s="4"/>
    </row>
    <row r="66" spans="1:14" x14ac:dyDescent="0.2">
      <c r="L66" s="4"/>
      <c r="M66" s="4"/>
      <c r="N66" s="4"/>
    </row>
    <row r="67" spans="1:14" x14ac:dyDescent="0.2">
      <c r="B67" s="113" t="s">
        <v>209</v>
      </c>
      <c r="M67" s="93"/>
    </row>
    <row r="68" spans="1:14" x14ac:dyDescent="0.2">
      <c r="B68" s="113" t="s">
        <v>210</v>
      </c>
      <c r="M68" s="93"/>
    </row>
    <row r="69" spans="1:14" x14ac:dyDescent="0.2">
      <c r="M69" s="93"/>
    </row>
    <row r="70" spans="1:14" ht="19" x14ac:dyDescent="0.25">
      <c r="A70" s="2" t="s">
        <v>75</v>
      </c>
      <c r="L70" s="4"/>
      <c r="M70" s="4"/>
      <c r="N70" s="4"/>
    </row>
    <row r="71" spans="1:14" x14ac:dyDescent="0.2">
      <c r="B71" s="82" t="s">
        <v>76</v>
      </c>
      <c r="L71" s="4"/>
      <c r="M71" s="4"/>
      <c r="N71" s="4"/>
    </row>
    <row r="72" spans="1:14" x14ac:dyDescent="0.2">
      <c r="L72" s="4"/>
      <c r="M72" s="4"/>
      <c r="N72" s="4"/>
    </row>
    <row r="73" spans="1:14" ht="19" x14ac:dyDescent="0.25">
      <c r="A73" s="2" t="s">
        <v>77</v>
      </c>
      <c r="L73" s="4"/>
      <c r="M73" s="4"/>
      <c r="N73" s="4"/>
    </row>
    <row r="74" spans="1:14" x14ac:dyDescent="0.2">
      <c r="B74" s="82" t="s">
        <v>78</v>
      </c>
      <c r="D74" s="82" t="s">
        <v>81</v>
      </c>
      <c r="L74" s="4"/>
      <c r="M74" s="4"/>
      <c r="N74" s="4"/>
    </row>
    <row r="75" spans="1:14" x14ac:dyDescent="0.2">
      <c r="B75" s="82" t="s">
        <v>79</v>
      </c>
      <c r="D75" s="82" t="s">
        <v>82</v>
      </c>
      <c r="L75" s="4"/>
      <c r="M75" s="4"/>
      <c r="N75" s="4"/>
    </row>
    <row r="76" spans="1:14" x14ac:dyDescent="0.2">
      <c r="B76" s="82" t="s">
        <v>80</v>
      </c>
      <c r="L76" s="4"/>
      <c r="M76" s="4"/>
      <c r="N76" s="4"/>
    </row>
    <row r="77" spans="1:14" x14ac:dyDescent="0.2">
      <c r="L77" s="4"/>
      <c r="M77" s="4"/>
      <c r="N77" s="4"/>
    </row>
    <row r="78" spans="1:14" x14ac:dyDescent="0.2">
      <c r="L78" s="4"/>
      <c r="M78" s="4"/>
      <c r="N78" s="4"/>
    </row>
    <row r="79" spans="1:14" x14ac:dyDescent="0.2">
      <c r="M79" s="93"/>
    </row>
    <row r="80" spans="1:14" x14ac:dyDescent="0.2">
      <c r="L80" s="4"/>
      <c r="M80" s="4"/>
      <c r="N80" s="4"/>
    </row>
    <row r="81" spans="12:14" x14ac:dyDescent="0.2">
      <c r="L81" s="4"/>
      <c r="M81" s="4"/>
      <c r="N81" s="4"/>
    </row>
    <row r="82" spans="12:14" x14ac:dyDescent="0.2">
      <c r="L82" s="4"/>
      <c r="M82" s="4"/>
      <c r="N82" s="4"/>
    </row>
    <row r="83" spans="12:14" x14ac:dyDescent="0.2">
      <c r="L83" s="4"/>
      <c r="M83" s="4"/>
      <c r="N83" s="4"/>
    </row>
    <row r="84" spans="12:14" x14ac:dyDescent="0.2">
      <c r="L84" s="4"/>
      <c r="M84" s="4"/>
      <c r="N84" s="4"/>
    </row>
    <row r="85" spans="12:14" x14ac:dyDescent="0.2">
      <c r="L85" s="4"/>
      <c r="M85" s="4"/>
      <c r="N85" s="4"/>
    </row>
    <row r="86" spans="12:14" x14ac:dyDescent="0.2">
      <c r="L86" s="4"/>
      <c r="M86" s="4"/>
      <c r="N86" s="4"/>
    </row>
    <row r="87" spans="12:14" x14ac:dyDescent="0.2">
      <c r="L87" s="4"/>
      <c r="M87" s="4"/>
      <c r="N87" s="4"/>
    </row>
    <row r="88" spans="12:14" x14ac:dyDescent="0.2">
      <c r="L88" s="4"/>
      <c r="M88" s="4"/>
      <c r="N88" s="4"/>
    </row>
    <row r="89" spans="12:14" x14ac:dyDescent="0.2">
      <c r="M89" s="93"/>
    </row>
    <row r="90" spans="12:14" x14ac:dyDescent="0.2">
      <c r="L90" s="4"/>
      <c r="M90" s="4"/>
      <c r="N90" s="4"/>
    </row>
    <row r="91" spans="12:14" x14ac:dyDescent="0.2">
      <c r="L91" s="4"/>
      <c r="M91" s="4"/>
      <c r="N91" s="4"/>
    </row>
    <row r="92" spans="12:14" x14ac:dyDescent="0.2">
      <c r="L92" s="4"/>
      <c r="M92" s="4"/>
      <c r="N92" s="4"/>
    </row>
    <row r="93" spans="12:14" x14ac:dyDescent="0.2">
      <c r="L93" s="4"/>
      <c r="M93" s="4"/>
      <c r="N93" s="4"/>
    </row>
    <row r="94" spans="12:14" x14ac:dyDescent="0.2">
      <c r="L94" s="4"/>
      <c r="M94" s="4"/>
      <c r="N94" s="4"/>
    </row>
    <row r="95" spans="12:14" x14ac:dyDescent="0.2">
      <c r="L95" s="4"/>
      <c r="M95" s="4"/>
      <c r="N95" s="4"/>
    </row>
    <row r="96" spans="12:14" x14ac:dyDescent="0.2">
      <c r="L96" s="4"/>
      <c r="M96" s="4"/>
      <c r="N96" s="4"/>
    </row>
    <row r="97" spans="1:65" x14ac:dyDescent="0.2">
      <c r="L97" s="4"/>
      <c r="M97" s="4"/>
      <c r="N97" s="4"/>
    </row>
    <row r="98" spans="1:65" x14ac:dyDescent="0.2">
      <c r="L98" s="4"/>
      <c r="M98" s="4"/>
      <c r="N98" s="4"/>
    </row>
    <row r="99" spans="1:65" x14ac:dyDescent="0.2">
      <c r="M99" s="93"/>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sheetData>
  <mergeCells count="4">
    <mergeCell ref="C5:G5"/>
    <mergeCell ref="C8:D8"/>
    <mergeCell ref="B42:I44"/>
    <mergeCell ref="B46:I48"/>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202"/>
  <sheetViews>
    <sheetView showGridLines="0" zoomScale="120" zoomScaleNormal="120" workbookViewId="0">
      <selection activeCell="D7" sqref="D7"/>
    </sheetView>
  </sheetViews>
  <sheetFormatPr baseColWidth="10" defaultColWidth="10.83203125" defaultRowHeight="16" x14ac:dyDescent="0.2"/>
  <cols>
    <col min="1" max="2" width="10.83203125" style="82"/>
    <col min="3" max="3" width="12.83203125" style="82" customWidth="1"/>
    <col min="4" max="16384" width="10.83203125" style="82"/>
  </cols>
  <sheetData>
    <row r="1" spans="1:10" ht="19" x14ac:dyDescent="0.25">
      <c r="A1" s="1" t="s">
        <v>127</v>
      </c>
      <c r="B1" s="80"/>
      <c r="C1" s="80"/>
      <c r="D1" s="80"/>
      <c r="E1" s="80"/>
      <c r="F1" s="80"/>
      <c r="G1" s="80"/>
      <c r="H1" s="80"/>
      <c r="I1" s="80"/>
      <c r="J1" s="81"/>
    </row>
    <row r="2" spans="1:10" x14ac:dyDescent="0.2">
      <c r="A2" s="83"/>
      <c r="B2" s="80"/>
      <c r="C2" s="80"/>
      <c r="D2" s="80"/>
      <c r="E2" s="80"/>
      <c r="F2" s="80"/>
      <c r="G2" s="80"/>
      <c r="H2" s="80"/>
      <c r="I2" s="80"/>
      <c r="J2" s="81"/>
    </row>
    <row r="3" spans="1:10" x14ac:dyDescent="0.2">
      <c r="A3" s="83"/>
      <c r="B3" s="80" t="s">
        <v>10</v>
      </c>
      <c r="C3" s="80"/>
      <c r="D3" s="80"/>
      <c r="E3" s="80"/>
      <c r="F3" s="80"/>
      <c r="G3" s="80"/>
      <c r="H3" s="80"/>
      <c r="I3" s="80"/>
      <c r="J3" s="81"/>
    </row>
    <row r="4" spans="1:10" x14ac:dyDescent="0.2">
      <c r="A4" s="83"/>
      <c r="B4" s="80"/>
      <c r="C4" s="80"/>
      <c r="D4" s="80"/>
      <c r="E4" s="80"/>
      <c r="F4" s="80"/>
      <c r="G4" s="80"/>
      <c r="H4" s="80"/>
      <c r="I4" s="80"/>
      <c r="J4" s="81"/>
    </row>
    <row r="5" spans="1:10" x14ac:dyDescent="0.2">
      <c r="A5" s="83"/>
      <c r="B5" s="80"/>
      <c r="C5" s="128" t="s">
        <v>133</v>
      </c>
      <c r="D5" s="129"/>
      <c r="E5" s="129"/>
      <c r="F5" s="129"/>
      <c r="G5" s="129"/>
      <c r="H5" s="130"/>
      <c r="I5" s="80"/>
      <c r="J5" s="81"/>
    </row>
    <row r="6" spans="1:10" x14ac:dyDescent="0.2">
      <c r="A6" s="83"/>
      <c r="B6" s="80"/>
      <c r="C6" s="134" t="s">
        <v>16</v>
      </c>
      <c r="D6" s="36"/>
      <c r="E6" s="36"/>
      <c r="F6" s="36"/>
      <c r="G6" s="36"/>
      <c r="H6" s="37"/>
      <c r="I6" s="80"/>
      <c r="J6" s="81"/>
    </row>
    <row r="7" spans="1:10" ht="17" x14ac:dyDescent="0.2">
      <c r="A7" s="83"/>
      <c r="B7" s="80"/>
      <c r="C7" s="135"/>
      <c r="D7" s="6" t="s">
        <v>11</v>
      </c>
      <c r="E7" s="6" t="s">
        <v>12</v>
      </c>
      <c r="F7" s="6" t="s">
        <v>13</v>
      </c>
      <c r="G7" s="6" t="s">
        <v>14</v>
      </c>
      <c r="H7" s="34" t="s">
        <v>15</v>
      </c>
      <c r="I7" s="80"/>
      <c r="J7" s="81"/>
    </row>
    <row r="8" spans="1:10" x14ac:dyDescent="0.2">
      <c r="A8" s="83"/>
      <c r="B8" s="80"/>
      <c r="C8" s="31">
        <v>2020</v>
      </c>
      <c r="D8" s="32">
        <v>600</v>
      </c>
      <c r="E8" s="32">
        <v>640</v>
      </c>
      <c r="F8" s="32">
        <v>660</v>
      </c>
      <c r="G8" s="32">
        <v>720</v>
      </c>
      <c r="H8" s="7">
        <v>810</v>
      </c>
      <c r="I8" s="80"/>
      <c r="J8" s="81"/>
    </row>
    <row r="9" spans="1:10" x14ac:dyDescent="0.2">
      <c r="A9" s="83"/>
      <c r="B9" s="80"/>
      <c r="C9" s="33">
        <v>2021</v>
      </c>
      <c r="D9" s="6">
        <v>800</v>
      </c>
      <c r="E9" s="6">
        <v>830</v>
      </c>
      <c r="F9" s="6">
        <v>850</v>
      </c>
      <c r="G9" s="6">
        <v>880</v>
      </c>
      <c r="H9" s="34">
        <v>910</v>
      </c>
      <c r="I9" s="80"/>
      <c r="J9" s="81"/>
    </row>
    <row r="10" spans="1:10" x14ac:dyDescent="0.2">
      <c r="A10" s="83"/>
      <c r="B10" s="80"/>
      <c r="C10" s="80"/>
      <c r="D10" s="80"/>
      <c r="E10" s="80"/>
      <c r="F10" s="80"/>
      <c r="G10" s="80"/>
      <c r="H10" s="80"/>
      <c r="I10" s="80"/>
      <c r="J10" s="81"/>
    </row>
    <row r="11" spans="1:10" x14ac:dyDescent="0.2">
      <c r="A11" s="83"/>
      <c r="B11" s="80"/>
      <c r="C11" s="80"/>
      <c r="D11" s="80"/>
      <c r="E11" s="80"/>
      <c r="F11" s="80"/>
      <c r="G11" s="80"/>
      <c r="H11" s="80"/>
      <c r="I11" s="80"/>
      <c r="J11" s="81"/>
    </row>
    <row r="12" spans="1:10" x14ac:dyDescent="0.2">
      <c r="A12" s="83"/>
      <c r="B12" s="80"/>
      <c r="C12" s="128" t="s">
        <v>132</v>
      </c>
      <c r="D12" s="129"/>
      <c r="E12" s="129"/>
      <c r="F12" s="129"/>
      <c r="G12" s="129"/>
      <c r="H12" s="130"/>
      <c r="I12" s="80"/>
      <c r="J12" s="81"/>
    </row>
    <row r="13" spans="1:10" x14ac:dyDescent="0.2">
      <c r="A13" s="83"/>
      <c r="B13" s="80"/>
      <c r="C13" s="134" t="s">
        <v>16</v>
      </c>
      <c r="D13" s="38"/>
      <c r="E13" s="35"/>
      <c r="F13" s="35"/>
      <c r="G13" s="35"/>
      <c r="H13" s="39"/>
      <c r="I13" s="80"/>
      <c r="J13" s="81"/>
    </row>
    <row r="14" spans="1:10" ht="17" x14ac:dyDescent="0.2">
      <c r="A14" s="83"/>
      <c r="B14" s="80"/>
      <c r="C14" s="135"/>
      <c r="D14" s="40" t="s">
        <v>17</v>
      </c>
      <c r="E14" s="6" t="s">
        <v>18</v>
      </c>
      <c r="F14" s="6" t="s">
        <v>19</v>
      </c>
      <c r="G14" s="6" t="s">
        <v>11</v>
      </c>
      <c r="H14" s="34" t="s">
        <v>12</v>
      </c>
      <c r="I14" s="80"/>
      <c r="J14" s="81"/>
    </row>
    <row r="15" spans="1:10" x14ac:dyDescent="0.2">
      <c r="A15" s="83"/>
      <c r="B15" s="80"/>
      <c r="C15" s="31">
        <v>2020</v>
      </c>
      <c r="D15" s="32">
        <v>410</v>
      </c>
      <c r="E15" s="32">
        <v>520</v>
      </c>
      <c r="F15" s="32">
        <v>550</v>
      </c>
      <c r="G15" s="32">
        <v>610</v>
      </c>
      <c r="H15" s="7">
        <v>660</v>
      </c>
      <c r="I15" s="80"/>
      <c r="J15" s="81"/>
    </row>
    <row r="16" spans="1:10" x14ac:dyDescent="0.2">
      <c r="A16" s="83"/>
      <c r="B16" s="80"/>
      <c r="C16" s="33">
        <v>2021</v>
      </c>
      <c r="D16" s="6">
        <v>500</v>
      </c>
      <c r="E16" s="6">
        <v>540</v>
      </c>
      <c r="F16" s="6">
        <v>610</v>
      </c>
      <c r="G16" s="6">
        <v>650</v>
      </c>
      <c r="H16" s="34">
        <v>690</v>
      </c>
      <c r="I16" s="80"/>
      <c r="J16" s="81"/>
    </row>
    <row r="17" spans="1:10" x14ac:dyDescent="0.2">
      <c r="A17" s="83"/>
      <c r="B17" s="80"/>
      <c r="C17" s="80"/>
      <c r="D17" s="80"/>
      <c r="E17" s="80"/>
      <c r="F17" s="80"/>
      <c r="G17" s="80"/>
      <c r="H17" s="80"/>
      <c r="I17" s="80"/>
      <c r="J17" s="81"/>
    </row>
    <row r="18" spans="1:10" x14ac:dyDescent="0.2">
      <c r="A18" s="83"/>
      <c r="B18" s="80"/>
      <c r="C18" s="80"/>
      <c r="D18" s="80"/>
      <c r="E18" s="80"/>
      <c r="F18" s="80"/>
      <c r="G18" s="80"/>
      <c r="H18" s="80"/>
      <c r="I18" s="80"/>
      <c r="J18" s="81"/>
    </row>
    <row r="19" spans="1:10" x14ac:dyDescent="0.2">
      <c r="A19" s="83"/>
      <c r="B19" s="80" t="s">
        <v>134</v>
      </c>
      <c r="C19" s="80"/>
      <c r="D19" s="80"/>
      <c r="E19" s="80"/>
      <c r="F19" s="80"/>
      <c r="G19" s="80"/>
      <c r="H19" s="80"/>
      <c r="I19" s="80"/>
      <c r="J19" s="81"/>
    </row>
    <row r="20" spans="1:10" x14ac:dyDescent="0.2">
      <c r="A20" s="83"/>
      <c r="B20" s="114" t="s">
        <v>211</v>
      </c>
      <c r="C20" s="80"/>
      <c r="D20" s="80"/>
      <c r="E20" s="80"/>
      <c r="F20" s="80"/>
      <c r="G20" s="80"/>
      <c r="H20" s="80"/>
      <c r="I20" s="80"/>
      <c r="J20" s="81"/>
    </row>
    <row r="21" spans="1:10" x14ac:dyDescent="0.2">
      <c r="A21" s="83"/>
      <c r="B21" s="80"/>
      <c r="C21" s="80"/>
      <c r="D21" s="80"/>
      <c r="E21" s="80"/>
      <c r="F21" s="80"/>
      <c r="G21" s="80"/>
      <c r="H21" s="80"/>
      <c r="I21" s="80"/>
      <c r="J21" s="81"/>
    </row>
    <row r="22" spans="1:10" x14ac:dyDescent="0.2">
      <c r="A22" s="83"/>
      <c r="B22" s="80" t="s">
        <v>135</v>
      </c>
      <c r="C22" s="80"/>
      <c r="D22" s="80"/>
      <c r="E22" s="80"/>
      <c r="F22" s="80"/>
      <c r="G22" s="80"/>
      <c r="H22" s="80"/>
      <c r="I22" s="80"/>
      <c r="J22" s="81"/>
    </row>
    <row r="23" spans="1:10" x14ac:dyDescent="0.2">
      <c r="A23" s="83"/>
      <c r="B23" s="80"/>
      <c r="C23" s="80"/>
      <c r="D23" s="80"/>
      <c r="E23" s="80"/>
      <c r="F23" s="80"/>
      <c r="G23" s="80"/>
      <c r="H23" s="80"/>
      <c r="I23" s="80"/>
      <c r="J23" s="81"/>
    </row>
    <row r="24" spans="1:10" x14ac:dyDescent="0.2">
      <c r="A24" s="83"/>
      <c r="B24" s="80" t="s">
        <v>156</v>
      </c>
      <c r="C24" s="80"/>
      <c r="D24" s="80"/>
      <c r="E24" s="80"/>
      <c r="F24" s="80"/>
      <c r="G24" s="80"/>
      <c r="H24" s="80"/>
      <c r="I24" s="80"/>
      <c r="J24" s="81"/>
    </row>
    <row r="25" spans="1:10" ht="17" thickBot="1" x14ac:dyDescent="0.25">
      <c r="A25" s="89"/>
      <c r="B25" s="90"/>
      <c r="C25" s="91"/>
      <c r="D25" s="91"/>
      <c r="E25" s="91"/>
      <c r="F25" s="90"/>
      <c r="G25" s="90"/>
      <c r="H25" s="90"/>
      <c r="I25" s="90"/>
      <c r="J25" s="92"/>
    </row>
    <row r="27" spans="1:10" ht="19" x14ac:dyDescent="0.25">
      <c r="A27" s="2" t="s">
        <v>0</v>
      </c>
    </row>
    <row r="28" spans="1:10" ht="18" customHeight="1" x14ac:dyDescent="0.2">
      <c r="A28" s="22" t="s">
        <v>124</v>
      </c>
      <c r="B28" s="136" t="s">
        <v>155</v>
      </c>
      <c r="C28" s="136"/>
      <c r="D28" s="136"/>
      <c r="E28" s="136"/>
      <c r="F28" s="136"/>
      <c r="G28" s="136"/>
      <c r="H28" s="136"/>
      <c r="I28" s="136"/>
    </row>
    <row r="29" spans="1:10" x14ac:dyDescent="0.2">
      <c r="A29" s="22"/>
      <c r="B29" s="136"/>
      <c r="C29" s="136"/>
      <c r="D29" s="136"/>
      <c r="E29" s="136"/>
      <c r="F29" s="136"/>
      <c r="G29" s="136"/>
      <c r="H29" s="136"/>
      <c r="I29" s="136"/>
    </row>
    <row r="30" spans="1:10" x14ac:dyDescent="0.2">
      <c r="A30" s="22"/>
      <c r="B30" s="104"/>
      <c r="C30" s="104"/>
      <c r="D30" s="104"/>
      <c r="E30" s="104"/>
      <c r="F30" s="104"/>
      <c r="G30" s="104"/>
      <c r="H30" s="104"/>
      <c r="I30" s="104"/>
    </row>
    <row r="31" spans="1:10" ht="19" x14ac:dyDescent="0.25">
      <c r="A31" s="22"/>
      <c r="B31" s="104"/>
      <c r="C31" s="104"/>
      <c r="E31" s="107" t="s">
        <v>29</v>
      </c>
      <c r="F31" s="106" t="s">
        <v>157</v>
      </c>
      <c r="G31" s="104"/>
      <c r="H31" s="104"/>
      <c r="I31" s="104"/>
    </row>
    <row r="32" spans="1:10" x14ac:dyDescent="0.2">
      <c r="A32" s="22"/>
      <c r="B32" s="104"/>
      <c r="C32" s="104"/>
      <c r="E32" s="108">
        <v>2020</v>
      </c>
      <c r="F32" s="105">
        <f>D8/D15</f>
        <v>1.4634146341463414</v>
      </c>
      <c r="G32" s="104"/>
      <c r="H32" s="104"/>
      <c r="I32" s="104"/>
    </row>
    <row r="33" spans="1:12" x14ac:dyDescent="0.2">
      <c r="A33" s="22"/>
      <c r="B33" s="15"/>
      <c r="C33" s="93"/>
      <c r="E33" s="96">
        <v>2021</v>
      </c>
      <c r="F33" s="97">
        <f>D9/D16</f>
        <v>1.6</v>
      </c>
    </row>
    <row r="34" spans="1:12" x14ac:dyDescent="0.2">
      <c r="A34" s="3"/>
      <c r="C34" s="93"/>
    </row>
    <row r="35" spans="1:12" ht="18" x14ac:dyDescent="0.25">
      <c r="A35" s="22" t="s">
        <v>125</v>
      </c>
      <c r="B35" s="15" t="s">
        <v>158</v>
      </c>
      <c r="C35" s="93"/>
    </row>
    <row r="36" spans="1:12" x14ac:dyDescent="0.2">
      <c r="A36" s="22"/>
      <c r="B36" s="15"/>
      <c r="C36" s="93"/>
    </row>
    <row r="37" spans="1:12" x14ac:dyDescent="0.2">
      <c r="A37" s="22"/>
      <c r="B37" s="15"/>
      <c r="C37" s="93"/>
    </row>
    <row r="38" spans="1:12" ht="19" x14ac:dyDescent="0.25">
      <c r="A38" s="22"/>
      <c r="B38" s="15"/>
      <c r="C38" s="93"/>
      <c r="E38" s="107" t="s">
        <v>29</v>
      </c>
      <c r="F38" s="106" t="s">
        <v>159</v>
      </c>
    </row>
    <row r="39" spans="1:12" x14ac:dyDescent="0.2">
      <c r="A39" s="22"/>
      <c r="B39" s="15"/>
      <c r="C39" s="93"/>
      <c r="E39" s="108">
        <v>2020</v>
      </c>
      <c r="F39" s="105">
        <f>(H8-D8)/(H15-D15)</f>
        <v>0.84</v>
      </c>
    </row>
    <row r="40" spans="1:12" x14ac:dyDescent="0.2">
      <c r="A40" s="22"/>
      <c r="B40" s="15"/>
      <c r="C40" s="93"/>
      <c r="E40" s="96">
        <v>2021</v>
      </c>
      <c r="F40" s="97">
        <f>(H9-D9)/(H16-D16)</f>
        <v>0.57894736842105265</v>
      </c>
    </row>
    <row r="41" spans="1:12" x14ac:dyDescent="0.2">
      <c r="A41" s="22"/>
      <c r="B41" s="15"/>
      <c r="C41" s="93"/>
    </row>
    <row r="42" spans="1:12" x14ac:dyDescent="0.2">
      <c r="L42" s="4"/>
    </row>
    <row r="43" spans="1:12" ht="19" x14ac:dyDescent="0.25">
      <c r="A43" s="2" t="s">
        <v>39</v>
      </c>
      <c r="L43" s="4"/>
    </row>
    <row r="44" spans="1:12" x14ac:dyDescent="0.2">
      <c r="B44" s="137" t="s">
        <v>160</v>
      </c>
      <c r="C44" s="137"/>
      <c r="D44" s="137"/>
      <c r="E44" s="137"/>
      <c r="F44" s="137"/>
      <c r="G44" s="137"/>
      <c r="H44" s="137"/>
      <c r="I44" s="137"/>
      <c r="L44" s="4"/>
    </row>
    <row r="45" spans="1:12" x14ac:dyDescent="0.2">
      <c r="B45" s="137"/>
      <c r="C45" s="137"/>
      <c r="D45" s="137"/>
      <c r="E45" s="137"/>
      <c r="F45" s="137"/>
      <c r="G45" s="137"/>
      <c r="H45" s="137"/>
      <c r="I45" s="137"/>
      <c r="L45" s="4"/>
    </row>
    <row r="46" spans="1:12" x14ac:dyDescent="0.2">
      <c r="B46" s="137"/>
      <c r="C46" s="137"/>
      <c r="D46" s="137"/>
      <c r="E46" s="137"/>
      <c r="F46" s="137"/>
      <c r="G46" s="137"/>
      <c r="H46" s="137"/>
      <c r="I46" s="137"/>
      <c r="L46" s="4"/>
    </row>
    <row r="47" spans="1:12" x14ac:dyDescent="0.2">
      <c r="B47" s="137"/>
      <c r="C47" s="137"/>
      <c r="D47" s="137"/>
      <c r="E47" s="137"/>
      <c r="F47" s="137"/>
      <c r="G47" s="137"/>
      <c r="H47" s="137"/>
      <c r="I47" s="137"/>
      <c r="L47" s="4"/>
    </row>
    <row r="48" spans="1:12" x14ac:dyDescent="0.2">
      <c r="A48" s="3"/>
      <c r="C48" s="93"/>
    </row>
    <row r="49" spans="1:14" x14ac:dyDescent="0.2">
      <c r="B49" s="137" t="s">
        <v>161</v>
      </c>
      <c r="C49" s="137"/>
      <c r="D49" s="137"/>
      <c r="E49" s="137"/>
      <c r="F49" s="137"/>
      <c r="G49" s="137"/>
      <c r="H49" s="137"/>
      <c r="I49" s="137"/>
    </row>
    <row r="50" spans="1:14" x14ac:dyDescent="0.2">
      <c r="B50" s="137"/>
      <c r="C50" s="137"/>
      <c r="D50" s="137"/>
      <c r="E50" s="137"/>
      <c r="F50" s="137"/>
      <c r="G50" s="137"/>
      <c r="H50" s="137"/>
      <c r="I50" s="137"/>
    </row>
    <row r="52" spans="1:14" x14ac:dyDescent="0.2">
      <c r="B52" s="137" t="s">
        <v>162</v>
      </c>
      <c r="C52" s="137"/>
      <c r="D52" s="137"/>
      <c r="E52" s="137"/>
      <c r="F52" s="137"/>
      <c r="G52" s="137"/>
      <c r="H52" s="137"/>
      <c r="I52" s="137"/>
    </row>
    <row r="53" spans="1:14" x14ac:dyDescent="0.2">
      <c r="B53" s="137"/>
      <c r="C53" s="137"/>
      <c r="D53" s="137"/>
      <c r="E53" s="137"/>
      <c r="F53" s="137"/>
      <c r="G53" s="137"/>
      <c r="H53" s="137"/>
      <c r="I53" s="137"/>
    </row>
    <row r="54" spans="1:14" x14ac:dyDescent="0.2">
      <c r="B54" s="19"/>
    </row>
    <row r="55" spans="1:14" ht="19" x14ac:dyDescent="0.25">
      <c r="B55" s="20" t="s">
        <v>83</v>
      </c>
    </row>
    <row r="56" spans="1:14" x14ac:dyDescent="0.2">
      <c r="B56" s="82" t="s">
        <v>163</v>
      </c>
    </row>
    <row r="57" spans="1:14" ht="16" customHeight="1" x14ac:dyDescent="0.2">
      <c r="A57" s="3"/>
      <c r="B57" s="139" t="s">
        <v>164</v>
      </c>
      <c r="C57" s="139"/>
      <c r="D57" s="139"/>
      <c r="E57" s="139"/>
      <c r="F57" s="139"/>
      <c r="G57" s="139"/>
      <c r="H57" s="139"/>
      <c r="I57" s="139"/>
    </row>
    <row r="58" spans="1:14" x14ac:dyDescent="0.2">
      <c r="B58" s="139"/>
      <c r="C58" s="139"/>
      <c r="D58" s="139"/>
      <c r="E58" s="139"/>
      <c r="F58" s="139"/>
      <c r="G58" s="139"/>
      <c r="H58" s="139"/>
      <c r="I58" s="139"/>
      <c r="L58" s="93"/>
    </row>
    <row r="59" spans="1:14" x14ac:dyDescent="0.2">
      <c r="B59" s="112"/>
      <c r="L59" s="93"/>
    </row>
    <row r="60" spans="1:14" x14ac:dyDescent="0.2">
      <c r="B60" s="112" t="s">
        <v>84</v>
      </c>
      <c r="K60" s="4"/>
      <c r="L60" s="4"/>
      <c r="M60" s="4"/>
    </row>
    <row r="61" spans="1:14" x14ac:dyDescent="0.2">
      <c r="L61" s="4"/>
      <c r="M61" s="4"/>
      <c r="N61" s="4"/>
    </row>
    <row r="62" spans="1:14" x14ac:dyDescent="0.2">
      <c r="B62" s="137" t="s">
        <v>165</v>
      </c>
      <c r="C62" s="137"/>
      <c r="D62" s="137"/>
      <c r="E62" s="137"/>
      <c r="F62" s="137"/>
      <c r="G62" s="137"/>
      <c r="H62" s="137"/>
      <c r="I62" s="137"/>
      <c r="L62" s="4"/>
      <c r="M62" s="4"/>
      <c r="N62" s="4"/>
    </row>
    <row r="63" spans="1:14" x14ac:dyDescent="0.2">
      <c r="B63" s="137"/>
      <c r="C63" s="137"/>
      <c r="D63" s="137"/>
      <c r="E63" s="137"/>
      <c r="F63" s="137"/>
      <c r="G63" s="137"/>
      <c r="H63" s="137"/>
      <c r="I63" s="137"/>
      <c r="L63" s="4"/>
      <c r="M63" s="4"/>
      <c r="N63" s="4"/>
    </row>
    <row r="64" spans="1:14" x14ac:dyDescent="0.2">
      <c r="B64" s="82" t="s">
        <v>118</v>
      </c>
      <c r="L64" s="4"/>
      <c r="M64" s="4"/>
      <c r="N64" s="4"/>
    </row>
    <row r="65" spans="1:14" x14ac:dyDescent="0.2">
      <c r="B65" s="82" t="s">
        <v>166</v>
      </c>
      <c r="L65" s="4"/>
      <c r="M65" s="4"/>
      <c r="N65" s="4"/>
    </row>
    <row r="66" spans="1:14" ht="15.75" customHeight="1" x14ac:dyDescent="0.2">
      <c r="B66" s="138" t="s">
        <v>167</v>
      </c>
      <c r="C66" s="138"/>
      <c r="D66" s="138"/>
      <c r="E66" s="138"/>
      <c r="F66" s="138"/>
      <c r="G66" s="138"/>
      <c r="H66" s="138"/>
      <c r="I66" s="138"/>
      <c r="L66" s="4"/>
      <c r="M66" s="4"/>
      <c r="N66" s="4"/>
    </row>
    <row r="67" spans="1:14" x14ac:dyDescent="0.2">
      <c r="B67" s="138"/>
      <c r="C67" s="138"/>
      <c r="D67" s="138"/>
      <c r="E67" s="138"/>
      <c r="F67" s="138"/>
      <c r="G67" s="138"/>
      <c r="H67" s="138"/>
      <c r="I67" s="138"/>
      <c r="M67" s="93"/>
    </row>
    <row r="68" spans="1:14" x14ac:dyDescent="0.2">
      <c r="C68" s="103"/>
      <c r="D68" s="103"/>
      <c r="E68" s="103"/>
      <c r="F68" s="103"/>
      <c r="G68" s="103"/>
      <c r="H68" s="103"/>
      <c r="I68" s="103"/>
      <c r="L68" s="4"/>
      <c r="M68" s="4"/>
      <c r="N68" s="4"/>
    </row>
    <row r="69" spans="1:14" x14ac:dyDescent="0.2">
      <c r="B69" s="137" t="s">
        <v>168</v>
      </c>
      <c r="C69" s="137"/>
      <c r="D69" s="137"/>
      <c r="E69" s="137"/>
      <c r="F69" s="137"/>
      <c r="G69" s="137"/>
      <c r="H69" s="137"/>
      <c r="I69" s="137"/>
      <c r="L69" s="4"/>
      <c r="M69" s="4"/>
      <c r="N69" s="4"/>
    </row>
    <row r="70" spans="1:14" x14ac:dyDescent="0.2">
      <c r="B70" s="137"/>
      <c r="C70" s="137"/>
      <c r="D70" s="137"/>
      <c r="E70" s="137"/>
      <c r="F70" s="137"/>
      <c r="G70" s="137"/>
      <c r="H70" s="137"/>
      <c r="I70" s="137"/>
      <c r="L70" s="4"/>
      <c r="M70" s="4"/>
      <c r="N70" s="4"/>
    </row>
    <row r="71" spans="1:14" x14ac:dyDescent="0.2">
      <c r="L71" s="4"/>
      <c r="M71" s="4"/>
      <c r="N71" s="4"/>
    </row>
    <row r="72" spans="1:14" ht="19" x14ac:dyDescent="0.25">
      <c r="B72" s="20" t="s">
        <v>85</v>
      </c>
      <c r="L72" s="4"/>
      <c r="M72" s="4"/>
      <c r="N72" s="4"/>
    </row>
    <row r="73" spans="1:14" x14ac:dyDescent="0.2">
      <c r="B73" s="137" t="s">
        <v>169</v>
      </c>
      <c r="C73" s="137"/>
      <c r="D73" s="137"/>
      <c r="E73" s="137"/>
      <c r="F73" s="137"/>
      <c r="G73" s="137"/>
      <c r="H73" s="137"/>
      <c r="I73" s="137"/>
      <c r="L73" s="4"/>
      <c r="M73" s="4"/>
      <c r="N73" s="4"/>
    </row>
    <row r="74" spans="1:14" x14ac:dyDescent="0.2">
      <c r="B74" s="137"/>
      <c r="C74" s="137"/>
      <c r="D74" s="137"/>
      <c r="E74" s="137"/>
      <c r="F74" s="137"/>
      <c r="G74" s="137"/>
      <c r="H74" s="137"/>
      <c r="I74" s="137"/>
      <c r="L74" s="4"/>
      <c r="M74" s="4"/>
      <c r="N74" s="4"/>
    </row>
    <row r="75" spans="1:14" x14ac:dyDescent="0.2">
      <c r="L75" s="4"/>
      <c r="M75" s="4"/>
      <c r="N75" s="4"/>
    </row>
    <row r="76" spans="1:14" x14ac:dyDescent="0.2">
      <c r="B76" s="82" t="s">
        <v>86</v>
      </c>
      <c r="L76" s="4"/>
      <c r="M76" s="4"/>
      <c r="N76" s="4"/>
    </row>
    <row r="77" spans="1:14" x14ac:dyDescent="0.2">
      <c r="L77" s="4"/>
      <c r="M77" s="4"/>
      <c r="N77" s="4"/>
    </row>
    <row r="78" spans="1:14" ht="19" x14ac:dyDescent="0.25">
      <c r="A78" s="2" t="s">
        <v>75</v>
      </c>
      <c r="L78" s="4"/>
      <c r="M78" s="4"/>
      <c r="N78" s="4"/>
    </row>
    <row r="79" spans="1:14" x14ac:dyDescent="0.2">
      <c r="B79" s="82" t="s">
        <v>87</v>
      </c>
      <c r="L79" s="4"/>
      <c r="M79" s="4"/>
      <c r="N79" s="4"/>
    </row>
    <row r="80" spans="1:14" x14ac:dyDescent="0.2">
      <c r="M80" s="93"/>
    </row>
    <row r="81" spans="1:14" x14ac:dyDescent="0.2">
      <c r="B81" s="82" t="s">
        <v>88</v>
      </c>
      <c r="L81" s="4"/>
      <c r="M81" s="4"/>
      <c r="N81" s="4"/>
    </row>
    <row r="82" spans="1:14" x14ac:dyDescent="0.2">
      <c r="B82" s="82" t="s">
        <v>89</v>
      </c>
      <c r="L82" s="4"/>
      <c r="M82" s="4"/>
      <c r="N82" s="4"/>
    </row>
    <row r="83" spans="1:14" x14ac:dyDescent="0.2">
      <c r="L83" s="4"/>
      <c r="M83" s="4"/>
      <c r="N83" s="4"/>
    </row>
    <row r="84" spans="1:14" ht="19" x14ac:dyDescent="0.25">
      <c r="A84" s="2" t="s">
        <v>77</v>
      </c>
      <c r="L84" s="4"/>
      <c r="M84" s="4"/>
      <c r="N84" s="4"/>
    </row>
    <row r="85" spans="1:14" x14ac:dyDescent="0.2">
      <c r="B85" s="82" t="s">
        <v>90</v>
      </c>
      <c r="L85" s="4"/>
      <c r="M85" s="4"/>
      <c r="N85" s="4"/>
    </row>
    <row r="86" spans="1:14" x14ac:dyDescent="0.2">
      <c r="B86" s="82" t="s">
        <v>91</v>
      </c>
      <c r="L86" s="4"/>
      <c r="M86" s="4"/>
      <c r="N86" s="4"/>
    </row>
    <row r="87" spans="1:14" x14ac:dyDescent="0.2">
      <c r="L87" s="4"/>
      <c r="M87" s="4"/>
      <c r="N87" s="4"/>
    </row>
    <row r="88" spans="1:14" x14ac:dyDescent="0.2">
      <c r="L88" s="4"/>
      <c r="M88" s="4"/>
      <c r="N88" s="4"/>
    </row>
    <row r="89" spans="1:14" x14ac:dyDescent="0.2">
      <c r="L89" s="4"/>
      <c r="M89" s="4"/>
      <c r="N89" s="4"/>
    </row>
    <row r="90" spans="1:14" x14ac:dyDescent="0.2">
      <c r="M90" s="93"/>
    </row>
    <row r="91" spans="1:14" x14ac:dyDescent="0.2">
      <c r="L91" s="4"/>
      <c r="M91" s="4"/>
      <c r="N91" s="4"/>
    </row>
    <row r="92" spans="1:14" x14ac:dyDescent="0.2">
      <c r="L92" s="4"/>
      <c r="M92" s="4"/>
      <c r="N92" s="4"/>
    </row>
    <row r="93" spans="1:14" x14ac:dyDescent="0.2">
      <c r="L93" s="4"/>
      <c r="M93" s="4"/>
      <c r="N93" s="4"/>
    </row>
    <row r="94" spans="1:14" x14ac:dyDescent="0.2">
      <c r="L94" s="4"/>
      <c r="M94" s="4"/>
      <c r="N94" s="4"/>
    </row>
    <row r="95" spans="1:14" x14ac:dyDescent="0.2">
      <c r="L95" s="4"/>
      <c r="M95" s="4"/>
      <c r="N95" s="4"/>
    </row>
    <row r="96" spans="1:14" x14ac:dyDescent="0.2">
      <c r="L96" s="4"/>
      <c r="M96" s="4"/>
      <c r="N96" s="4"/>
    </row>
    <row r="97" spans="1:65" x14ac:dyDescent="0.2">
      <c r="L97" s="4"/>
      <c r="M97" s="4"/>
      <c r="N97" s="4"/>
    </row>
    <row r="98" spans="1:65" x14ac:dyDescent="0.2">
      <c r="L98" s="4"/>
      <c r="M98" s="4"/>
      <c r="N98" s="4"/>
    </row>
    <row r="99" spans="1:65" x14ac:dyDescent="0.2">
      <c r="L99" s="4"/>
      <c r="M99" s="4"/>
      <c r="N99" s="4"/>
    </row>
    <row r="100" spans="1:65" x14ac:dyDescent="0.2">
      <c r="M100" s="93"/>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sheetData>
  <mergeCells count="13">
    <mergeCell ref="B69:I70"/>
    <mergeCell ref="B73:I74"/>
    <mergeCell ref="B44:I47"/>
    <mergeCell ref="B49:I50"/>
    <mergeCell ref="B52:I53"/>
    <mergeCell ref="B62:I63"/>
    <mergeCell ref="B66:I67"/>
    <mergeCell ref="B57:I58"/>
    <mergeCell ref="C5:H5"/>
    <mergeCell ref="C12:H12"/>
    <mergeCell ref="C6:C7"/>
    <mergeCell ref="C13:C14"/>
    <mergeCell ref="B28:I29"/>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210"/>
  <sheetViews>
    <sheetView showGridLines="0" zoomScale="120" zoomScaleNormal="120" workbookViewId="0"/>
  </sheetViews>
  <sheetFormatPr baseColWidth="10" defaultColWidth="10.83203125" defaultRowHeight="16" x14ac:dyDescent="0.2"/>
  <cols>
    <col min="1" max="1" width="10.83203125" style="82"/>
    <col min="2" max="4" width="10.83203125" style="82" customWidth="1"/>
    <col min="5" max="5" width="12.33203125" style="82" customWidth="1"/>
    <col min="6" max="6" width="13.33203125" style="82" customWidth="1"/>
    <col min="7" max="16384" width="10.83203125" style="82"/>
  </cols>
  <sheetData>
    <row r="1" spans="1:10" ht="19" x14ac:dyDescent="0.25">
      <c r="A1" s="1" t="s">
        <v>128</v>
      </c>
      <c r="B1" s="80"/>
      <c r="C1" s="80"/>
      <c r="D1" s="80"/>
      <c r="E1" s="80"/>
      <c r="F1" s="80"/>
      <c r="G1" s="80"/>
      <c r="H1" s="80"/>
      <c r="I1" s="80"/>
      <c r="J1" s="81"/>
    </row>
    <row r="2" spans="1:10" x14ac:dyDescent="0.2">
      <c r="A2" s="83"/>
      <c r="B2" s="80"/>
      <c r="C2" s="80"/>
      <c r="D2" s="80"/>
      <c r="E2" s="80"/>
      <c r="F2" s="80"/>
      <c r="G2" s="80"/>
      <c r="H2" s="80"/>
      <c r="I2" s="80"/>
      <c r="J2" s="81"/>
    </row>
    <row r="3" spans="1:10" x14ac:dyDescent="0.2">
      <c r="A3" s="83"/>
      <c r="B3" s="80" t="s">
        <v>170</v>
      </c>
      <c r="C3" s="80"/>
      <c r="D3" s="80"/>
      <c r="E3" s="80"/>
      <c r="F3" s="80"/>
      <c r="G3" s="80"/>
      <c r="H3" s="80"/>
      <c r="I3" s="80"/>
      <c r="J3" s="81"/>
    </row>
    <row r="4" spans="1:10" x14ac:dyDescent="0.2">
      <c r="A4" s="83"/>
      <c r="B4" s="80"/>
      <c r="C4" s="80"/>
      <c r="D4" s="80"/>
      <c r="E4" s="80"/>
      <c r="F4" s="80"/>
      <c r="G4" s="80"/>
      <c r="H4" s="80"/>
      <c r="I4" s="80"/>
      <c r="J4" s="81"/>
    </row>
    <row r="5" spans="1:10" x14ac:dyDescent="0.2">
      <c r="A5" s="83"/>
      <c r="B5" s="80"/>
      <c r="C5" s="80"/>
      <c r="D5" s="80"/>
      <c r="E5" s="80"/>
      <c r="F5" s="80"/>
      <c r="G5" s="80"/>
      <c r="H5" s="80"/>
      <c r="I5" s="80"/>
      <c r="J5" s="81"/>
    </row>
    <row r="6" spans="1:10" x14ac:dyDescent="0.2">
      <c r="A6" s="83"/>
      <c r="B6" s="80"/>
      <c r="C6" s="149" t="s">
        <v>20</v>
      </c>
      <c r="D6" s="146" t="s">
        <v>21</v>
      </c>
      <c r="E6" s="143" t="s">
        <v>22</v>
      </c>
      <c r="F6" s="140" t="s">
        <v>23</v>
      </c>
      <c r="G6" s="80"/>
      <c r="H6" s="80"/>
      <c r="I6" s="80"/>
      <c r="J6" s="81"/>
    </row>
    <row r="7" spans="1:10" x14ac:dyDescent="0.2">
      <c r="A7" s="83"/>
      <c r="B7" s="80"/>
      <c r="C7" s="150"/>
      <c r="D7" s="147"/>
      <c r="E7" s="144"/>
      <c r="F7" s="141"/>
      <c r="G7" s="80"/>
      <c r="H7" s="80"/>
      <c r="I7" s="80"/>
      <c r="J7" s="81"/>
    </row>
    <row r="8" spans="1:10" x14ac:dyDescent="0.2">
      <c r="A8" s="83"/>
      <c r="B8" s="80"/>
      <c r="C8" s="151"/>
      <c r="D8" s="148"/>
      <c r="E8" s="145"/>
      <c r="F8" s="142"/>
      <c r="G8" s="80"/>
      <c r="H8" s="80"/>
      <c r="I8" s="80"/>
      <c r="J8" s="81"/>
    </row>
    <row r="9" spans="1:10" x14ac:dyDescent="0.2">
      <c r="A9" s="83"/>
      <c r="B9" s="80"/>
      <c r="C9" s="41">
        <v>2020</v>
      </c>
      <c r="D9" s="42">
        <v>2340</v>
      </c>
      <c r="E9" s="43">
        <v>2186</v>
      </c>
      <c r="F9" s="44">
        <v>3431</v>
      </c>
      <c r="G9" s="80"/>
      <c r="H9" s="80"/>
      <c r="I9" s="80"/>
      <c r="J9" s="81"/>
    </row>
    <row r="10" spans="1:10" x14ac:dyDescent="0.2">
      <c r="A10" s="83"/>
      <c r="B10" s="80"/>
      <c r="C10" s="31">
        <v>2021</v>
      </c>
      <c r="D10" s="45">
        <v>2308</v>
      </c>
      <c r="E10" s="46">
        <v>1908</v>
      </c>
      <c r="F10" s="47">
        <v>3412</v>
      </c>
      <c r="G10" s="80"/>
      <c r="H10" s="80"/>
      <c r="I10" s="80"/>
      <c r="J10" s="81"/>
    </row>
    <row r="11" spans="1:10" x14ac:dyDescent="0.2">
      <c r="A11" s="83"/>
      <c r="B11" s="80"/>
      <c r="C11" s="31">
        <v>2022</v>
      </c>
      <c r="D11" s="45">
        <v>1966</v>
      </c>
      <c r="E11" s="32">
        <v>0</v>
      </c>
      <c r="F11" s="7">
        <v>0</v>
      </c>
      <c r="G11" s="80"/>
      <c r="H11" s="80"/>
      <c r="I11" s="80"/>
      <c r="J11" s="81"/>
    </row>
    <row r="12" spans="1:10" x14ac:dyDescent="0.2">
      <c r="A12" s="83"/>
      <c r="B12" s="80"/>
      <c r="C12" s="33">
        <v>2023</v>
      </c>
      <c r="D12" s="48">
        <v>841</v>
      </c>
      <c r="E12" s="6">
        <v>0</v>
      </c>
      <c r="F12" s="34">
        <v>0</v>
      </c>
      <c r="G12" s="80"/>
      <c r="H12" s="80"/>
      <c r="I12" s="80"/>
      <c r="J12" s="81"/>
    </row>
    <row r="13" spans="1:10" x14ac:dyDescent="0.2">
      <c r="A13" s="83"/>
      <c r="B13" s="80"/>
      <c r="C13" s="80"/>
      <c r="D13" s="80"/>
      <c r="E13" s="80"/>
      <c r="F13" s="80"/>
      <c r="G13" s="80"/>
      <c r="H13" s="80"/>
      <c r="I13" s="80"/>
      <c r="J13" s="81"/>
    </row>
    <row r="14" spans="1:10" x14ac:dyDescent="0.2">
      <c r="A14" s="83"/>
      <c r="B14" s="80"/>
      <c r="C14" s="80"/>
      <c r="D14" s="80"/>
      <c r="E14" s="80"/>
      <c r="F14" s="80"/>
      <c r="G14" s="80"/>
      <c r="H14" s="80"/>
      <c r="I14" s="80"/>
      <c r="J14" s="81"/>
    </row>
    <row r="15" spans="1:10" x14ac:dyDescent="0.2">
      <c r="A15" s="83"/>
      <c r="B15" s="128" t="s">
        <v>27</v>
      </c>
      <c r="C15" s="129"/>
      <c r="D15" s="129"/>
      <c r="E15" s="129"/>
      <c r="F15" s="129"/>
      <c r="G15" s="130"/>
      <c r="H15" s="49"/>
      <c r="I15" s="80"/>
      <c r="J15" s="81"/>
    </row>
    <row r="16" spans="1:10" ht="17" x14ac:dyDescent="0.2">
      <c r="A16" s="83"/>
      <c r="B16" s="50"/>
      <c r="C16" s="51" t="s">
        <v>2</v>
      </c>
      <c r="D16" s="29" t="s">
        <v>3</v>
      </c>
      <c r="E16" s="29" t="s">
        <v>4</v>
      </c>
      <c r="F16" s="29" t="s">
        <v>24</v>
      </c>
      <c r="G16" s="30" t="s">
        <v>25</v>
      </c>
      <c r="H16" s="80"/>
      <c r="I16" s="80"/>
      <c r="J16" s="81"/>
    </row>
    <row r="17" spans="1:10" ht="17" x14ac:dyDescent="0.2">
      <c r="A17" s="83"/>
      <c r="B17" s="41" t="s">
        <v>42</v>
      </c>
      <c r="C17" s="38">
        <v>1.65</v>
      </c>
      <c r="D17" s="35">
        <v>0.72</v>
      </c>
      <c r="E17" s="35">
        <v>0.57999999999999996</v>
      </c>
      <c r="F17" s="35">
        <v>0.52</v>
      </c>
      <c r="G17" s="52">
        <v>0</v>
      </c>
      <c r="H17" s="80"/>
      <c r="I17" s="80"/>
      <c r="J17" s="81"/>
    </row>
    <row r="18" spans="1:10" ht="17" x14ac:dyDescent="0.2">
      <c r="A18" s="83"/>
      <c r="B18" s="33" t="s">
        <v>26</v>
      </c>
      <c r="C18" s="53">
        <v>0.79400000000000004</v>
      </c>
      <c r="D18" s="54">
        <v>9.1999999999999998E-2</v>
      </c>
      <c r="E18" s="54">
        <v>6.0999999999999999E-2</v>
      </c>
      <c r="F18" s="54">
        <v>0.04</v>
      </c>
      <c r="G18" s="55">
        <v>1.2999999999999999E-2</v>
      </c>
      <c r="H18" s="80"/>
      <c r="I18" s="80"/>
      <c r="J18" s="81"/>
    </row>
    <row r="19" spans="1:10" x14ac:dyDescent="0.2">
      <c r="A19" s="83"/>
      <c r="B19" s="80"/>
      <c r="C19" s="80"/>
      <c r="D19" s="80"/>
      <c r="E19" s="80"/>
      <c r="F19" s="80"/>
      <c r="G19" s="80"/>
      <c r="H19" s="80"/>
      <c r="I19" s="80"/>
      <c r="J19" s="81"/>
    </row>
    <row r="20" spans="1:10" x14ac:dyDescent="0.2">
      <c r="A20" s="83"/>
      <c r="B20" s="80"/>
      <c r="C20" s="80"/>
      <c r="D20" s="80"/>
      <c r="E20" s="80"/>
      <c r="F20" s="80"/>
      <c r="G20" s="80"/>
      <c r="H20" s="80"/>
      <c r="I20" s="80"/>
      <c r="J20" s="81"/>
    </row>
    <row r="21" spans="1:10" x14ac:dyDescent="0.2">
      <c r="A21" s="83"/>
      <c r="B21" s="80" t="s">
        <v>204</v>
      </c>
      <c r="C21" s="80"/>
      <c r="D21" s="80"/>
      <c r="E21" s="80"/>
      <c r="F21" s="80"/>
      <c r="G21" s="80"/>
      <c r="H21" s="80"/>
      <c r="I21" s="80"/>
      <c r="J21" s="81"/>
    </row>
    <row r="22" spans="1:10" x14ac:dyDescent="0.2">
      <c r="A22" s="83"/>
      <c r="B22" s="80" t="s">
        <v>171</v>
      </c>
      <c r="C22" s="80"/>
      <c r="D22" s="80"/>
      <c r="E22" s="80"/>
      <c r="F22" s="80"/>
      <c r="G22" s="80"/>
      <c r="H22" s="80"/>
      <c r="I22" s="80"/>
      <c r="J22" s="81"/>
    </row>
    <row r="23" spans="1:10" x14ac:dyDescent="0.2">
      <c r="A23" s="83"/>
      <c r="B23" s="80" t="s">
        <v>172</v>
      </c>
      <c r="C23" s="80"/>
      <c r="D23" s="80"/>
      <c r="E23" s="80"/>
      <c r="F23" s="98">
        <v>10906000</v>
      </c>
      <c r="G23" s="80"/>
      <c r="H23" s="80"/>
      <c r="I23" s="80"/>
      <c r="J23" s="81"/>
    </row>
    <row r="24" spans="1:10" x14ac:dyDescent="0.2">
      <c r="A24" s="83"/>
      <c r="B24" s="80"/>
      <c r="C24" s="80"/>
      <c r="D24" s="80"/>
      <c r="E24" s="80"/>
      <c r="F24" s="80"/>
      <c r="G24" s="80"/>
      <c r="H24" s="80"/>
      <c r="I24" s="80"/>
      <c r="J24" s="81"/>
    </row>
    <row r="25" spans="1:10" x14ac:dyDescent="0.2">
      <c r="A25" s="83"/>
      <c r="B25" s="80"/>
      <c r="C25" s="80"/>
      <c r="D25" s="80"/>
      <c r="E25" s="80"/>
      <c r="F25" s="80"/>
      <c r="G25" s="80"/>
      <c r="H25" s="80"/>
      <c r="I25" s="80"/>
      <c r="J25" s="81"/>
    </row>
    <row r="26" spans="1:10" x14ac:dyDescent="0.2">
      <c r="A26" s="83"/>
      <c r="B26" s="80" t="s">
        <v>173</v>
      </c>
      <c r="C26" s="80"/>
      <c r="D26" s="80"/>
      <c r="E26" s="80"/>
      <c r="F26" s="80"/>
      <c r="G26" s="80"/>
      <c r="H26" s="80"/>
      <c r="I26" s="80"/>
      <c r="J26" s="81"/>
    </row>
    <row r="27" spans="1:10" ht="17" thickBot="1" x14ac:dyDescent="0.25">
      <c r="A27" s="89"/>
      <c r="B27" s="90"/>
      <c r="C27" s="91"/>
      <c r="D27" s="91"/>
      <c r="E27" s="91"/>
      <c r="F27" s="90"/>
      <c r="G27" s="90"/>
      <c r="H27" s="90"/>
      <c r="I27" s="90"/>
      <c r="J27" s="92"/>
    </row>
    <row r="29" spans="1:10" ht="19" x14ac:dyDescent="0.25">
      <c r="A29" s="2" t="s">
        <v>0</v>
      </c>
    </row>
    <row r="30" spans="1:10" x14ac:dyDescent="0.2">
      <c r="A30" s="99" t="s">
        <v>124</v>
      </c>
      <c r="B30" s="15" t="s">
        <v>174</v>
      </c>
    </row>
    <row r="31" spans="1:10" x14ac:dyDescent="0.2">
      <c r="A31" s="99"/>
      <c r="B31" s="15"/>
    </row>
    <row r="32" spans="1:10" x14ac:dyDescent="0.2">
      <c r="A32" s="99"/>
      <c r="B32" s="15"/>
    </row>
    <row r="33" spans="1:9" x14ac:dyDescent="0.2">
      <c r="A33" s="99"/>
      <c r="B33" s="15"/>
    </row>
    <row r="34" spans="1:9" x14ac:dyDescent="0.2">
      <c r="A34" s="99"/>
      <c r="B34" s="15"/>
      <c r="C34" s="115"/>
      <c r="D34" s="152" t="s">
        <v>30</v>
      </c>
    </row>
    <row r="35" spans="1:9" ht="17" x14ac:dyDescent="0.2">
      <c r="A35" s="99"/>
      <c r="B35" s="15"/>
      <c r="C35" s="77" t="s">
        <v>29</v>
      </c>
      <c r="D35" s="153"/>
    </row>
    <row r="36" spans="1:9" x14ac:dyDescent="0.2">
      <c r="A36" s="99"/>
      <c r="B36" s="15"/>
      <c r="C36" s="75">
        <v>2020</v>
      </c>
      <c r="D36" s="10">
        <f>D9-E9</f>
        <v>154</v>
      </c>
    </row>
    <row r="37" spans="1:9" x14ac:dyDescent="0.2">
      <c r="A37" s="99"/>
      <c r="B37" s="15"/>
      <c r="C37" s="75">
        <v>2021</v>
      </c>
      <c r="D37" s="10">
        <f>D10-E10</f>
        <v>400</v>
      </c>
      <c r="H37" s="8"/>
      <c r="I37" s="10"/>
    </row>
    <row r="38" spans="1:9" x14ac:dyDescent="0.2">
      <c r="A38" s="99"/>
      <c r="B38" s="15"/>
      <c r="C38" s="75">
        <v>2022</v>
      </c>
      <c r="D38" s="10">
        <f>D11-E11</f>
        <v>1966</v>
      </c>
      <c r="H38" s="8"/>
      <c r="I38" s="10"/>
    </row>
    <row r="39" spans="1:9" x14ac:dyDescent="0.2">
      <c r="A39" s="99"/>
      <c r="B39" s="15"/>
      <c r="C39" s="75">
        <v>2023</v>
      </c>
      <c r="D39" s="10">
        <f>D12-E12</f>
        <v>841</v>
      </c>
      <c r="H39" s="8"/>
      <c r="I39" s="10"/>
    </row>
    <row r="40" spans="1:9" x14ac:dyDescent="0.2">
      <c r="A40" s="99"/>
      <c r="B40" s="15"/>
      <c r="H40" s="8"/>
      <c r="I40" s="10"/>
    </row>
    <row r="41" spans="1:9" x14ac:dyDescent="0.2">
      <c r="A41" s="99"/>
      <c r="B41" s="15"/>
    </row>
    <row r="42" spans="1:9" ht="18" customHeight="1" x14ac:dyDescent="0.2">
      <c r="A42" s="99" t="s">
        <v>125</v>
      </c>
      <c r="B42" s="136" t="s">
        <v>175</v>
      </c>
      <c r="C42" s="136"/>
      <c r="D42" s="136"/>
      <c r="E42" s="136"/>
      <c r="F42" s="136"/>
      <c r="G42" s="136"/>
      <c r="H42" s="136"/>
      <c r="I42" s="136"/>
    </row>
    <row r="43" spans="1:9" x14ac:dyDescent="0.2">
      <c r="A43" s="3"/>
      <c r="B43" s="136"/>
      <c r="C43" s="136"/>
      <c r="D43" s="136"/>
      <c r="E43" s="136"/>
      <c r="F43" s="136"/>
      <c r="G43" s="136"/>
      <c r="H43" s="136"/>
      <c r="I43" s="136"/>
    </row>
    <row r="44" spans="1:9" x14ac:dyDescent="0.2">
      <c r="A44" s="3"/>
    </row>
    <row r="45" spans="1:9" x14ac:dyDescent="0.2">
      <c r="A45" s="3"/>
    </row>
    <row r="46" spans="1:9" x14ac:dyDescent="0.2">
      <c r="A46" s="3"/>
    </row>
    <row r="47" spans="1:9" x14ac:dyDescent="0.2">
      <c r="A47" s="3"/>
    </row>
    <row r="48" spans="1:9" x14ac:dyDescent="0.2">
      <c r="A48" s="3"/>
      <c r="C48" s="155" t="s">
        <v>43</v>
      </c>
    </row>
    <row r="49" spans="1:9" ht="17" x14ac:dyDescent="0.2">
      <c r="A49" s="3"/>
      <c r="C49" s="156"/>
      <c r="D49" s="73" t="s">
        <v>31</v>
      </c>
    </row>
    <row r="50" spans="1:9" x14ac:dyDescent="0.2">
      <c r="A50" s="3"/>
      <c r="C50" s="76">
        <v>1</v>
      </c>
      <c r="D50" s="16">
        <f>SUMPRODUCT($C$17:$G$17,$C$18:$G$18)/SUM($C$18:$G$18)</f>
        <v>1.43252</v>
      </c>
    </row>
    <row r="51" spans="1:9" x14ac:dyDescent="0.2">
      <c r="A51" s="3"/>
      <c r="C51" s="76">
        <v>2</v>
      </c>
      <c r="D51" s="9">
        <f>SUMPRODUCT($D$17:$G$17,$D$18:$G$18)/SUM($D$18:$G$18)</f>
        <v>0.59427184466019412</v>
      </c>
    </row>
    <row r="52" spans="1:9" x14ac:dyDescent="0.2">
      <c r="A52" s="3"/>
      <c r="C52" s="76">
        <v>3</v>
      </c>
      <c r="D52" s="9">
        <f>SUMPRODUCT($E$17:$G$17,$E$18:$G$18)/SUM($E$18:$G$18)</f>
        <v>0.49280701754385958</v>
      </c>
      <c r="H52" s="17"/>
      <c r="I52" s="9"/>
    </row>
    <row r="53" spans="1:9" x14ac:dyDescent="0.2">
      <c r="A53" s="3"/>
      <c r="C53" s="76">
        <v>4</v>
      </c>
      <c r="D53" s="9">
        <f>SUMPRODUCT($F$17:$G$17,$F$18:$G$18)/SUM($F$18:$G$18)</f>
        <v>0.39245283018867932</v>
      </c>
      <c r="H53" s="17"/>
      <c r="I53" s="9"/>
    </row>
    <row r="54" spans="1:9" x14ac:dyDescent="0.2">
      <c r="A54" s="3"/>
      <c r="H54" s="17"/>
      <c r="I54" s="9"/>
    </row>
    <row r="55" spans="1:9" x14ac:dyDescent="0.2">
      <c r="A55" s="3"/>
    </row>
    <row r="56" spans="1:9" x14ac:dyDescent="0.2">
      <c r="A56" s="99" t="s">
        <v>146</v>
      </c>
      <c r="B56" s="15" t="s">
        <v>176</v>
      </c>
    </row>
    <row r="57" spans="1:9" x14ac:dyDescent="0.2">
      <c r="A57" s="99"/>
      <c r="B57" s="15"/>
    </row>
    <row r="58" spans="1:9" x14ac:dyDescent="0.2">
      <c r="A58" s="99"/>
      <c r="B58" s="15"/>
    </row>
    <row r="59" spans="1:9" x14ac:dyDescent="0.2">
      <c r="A59" s="99"/>
      <c r="B59" s="15"/>
    </row>
    <row r="60" spans="1:9" x14ac:dyDescent="0.2">
      <c r="A60" s="99"/>
      <c r="B60" s="15"/>
    </row>
    <row r="61" spans="1:9" x14ac:dyDescent="0.2">
      <c r="A61" s="99"/>
      <c r="B61" s="113" t="s">
        <v>212</v>
      </c>
    </row>
    <row r="62" spans="1:9" x14ac:dyDescent="0.2">
      <c r="A62" s="99"/>
      <c r="B62" s="15"/>
    </row>
    <row r="63" spans="1:9" x14ac:dyDescent="0.2">
      <c r="A63" s="99" t="s">
        <v>147</v>
      </c>
      <c r="B63" s="15" t="s">
        <v>177</v>
      </c>
    </row>
    <row r="64" spans="1:9" x14ac:dyDescent="0.2">
      <c r="A64" s="3"/>
    </row>
    <row r="66" spans="1:12" x14ac:dyDescent="0.2">
      <c r="L66" s="4"/>
    </row>
    <row r="67" spans="1:12" x14ac:dyDescent="0.2">
      <c r="L67" s="4"/>
    </row>
    <row r="68" spans="1:12" ht="34" x14ac:dyDescent="0.2">
      <c r="B68" s="77" t="s">
        <v>29</v>
      </c>
      <c r="C68" s="72" t="s">
        <v>30</v>
      </c>
      <c r="D68" s="72" t="s">
        <v>31</v>
      </c>
      <c r="E68" s="72" t="s">
        <v>32</v>
      </c>
      <c r="F68" s="77" t="s">
        <v>33</v>
      </c>
      <c r="G68" s="72" t="s">
        <v>34</v>
      </c>
      <c r="L68" s="4"/>
    </row>
    <row r="69" spans="1:12" x14ac:dyDescent="0.2">
      <c r="B69" s="75">
        <f>C9</f>
        <v>2020</v>
      </c>
      <c r="C69" s="10">
        <f>D36</f>
        <v>154</v>
      </c>
      <c r="D69" s="9">
        <f>D52</f>
        <v>0.49280701754385958</v>
      </c>
      <c r="E69" s="11">
        <f>D69*C69</f>
        <v>75.892280701754373</v>
      </c>
      <c r="F69" s="78">
        <f>F9</f>
        <v>3431</v>
      </c>
      <c r="G69" s="10">
        <f>SUM(E69:F69)</f>
        <v>3506.8922807017543</v>
      </c>
      <c r="L69" s="4"/>
    </row>
    <row r="70" spans="1:12" x14ac:dyDescent="0.2">
      <c r="B70" s="75">
        <f t="shared" ref="B70:B72" si="0">C10</f>
        <v>2021</v>
      </c>
      <c r="C70" s="10">
        <f>D10-E10</f>
        <v>400</v>
      </c>
      <c r="D70" s="9">
        <f>D51</f>
        <v>0.59427184466019412</v>
      </c>
      <c r="E70" s="11">
        <f t="shared" ref="E70:E72" si="1">D70*C70</f>
        <v>237.70873786407765</v>
      </c>
      <c r="F70" s="78">
        <f t="shared" ref="F70:F72" si="2">F10</f>
        <v>3412</v>
      </c>
      <c r="G70" s="10">
        <f>SUM(E70:F70)</f>
        <v>3649.7087378640776</v>
      </c>
      <c r="L70" s="4"/>
    </row>
    <row r="71" spans="1:12" x14ac:dyDescent="0.2">
      <c r="B71" s="75">
        <f t="shared" si="0"/>
        <v>2022</v>
      </c>
      <c r="C71" s="10">
        <f>D11-E11</f>
        <v>1966</v>
      </c>
      <c r="D71" s="9">
        <f>D50</f>
        <v>1.43252</v>
      </c>
      <c r="E71" s="11">
        <f>D71*C71</f>
        <v>2816.3343199999999</v>
      </c>
      <c r="F71" s="78">
        <f t="shared" si="2"/>
        <v>0</v>
      </c>
      <c r="G71" s="10">
        <f>SUM(E71:F71)</f>
        <v>2816.3343199999999</v>
      </c>
      <c r="L71" s="4"/>
    </row>
    <row r="72" spans="1:12" x14ac:dyDescent="0.2">
      <c r="B72" s="74">
        <f t="shared" si="0"/>
        <v>2023</v>
      </c>
      <c r="C72" s="12">
        <f>D12-E12</f>
        <v>841</v>
      </c>
      <c r="D72" s="13">
        <f>D50</f>
        <v>1.43252</v>
      </c>
      <c r="E72" s="14">
        <f t="shared" si="1"/>
        <v>1204.7493200000001</v>
      </c>
      <c r="F72" s="79">
        <f t="shared" si="2"/>
        <v>0</v>
      </c>
      <c r="G72" s="12">
        <f>SUM(E72:F72)</f>
        <v>1204.7493200000001</v>
      </c>
      <c r="L72" s="4"/>
    </row>
    <row r="73" spans="1:12" ht="17" x14ac:dyDescent="0.2">
      <c r="B73" s="76" t="s">
        <v>35</v>
      </c>
      <c r="C73" s="8"/>
      <c r="D73" s="8"/>
      <c r="E73" s="8"/>
      <c r="F73" s="75"/>
      <c r="G73" s="10">
        <f>SUM(G69:G72)</f>
        <v>11177.684658565833</v>
      </c>
      <c r="L73" s="4"/>
    </row>
    <row r="74" spans="1:12" x14ac:dyDescent="0.2">
      <c r="L74" s="4"/>
    </row>
    <row r="75" spans="1:12" x14ac:dyDescent="0.2">
      <c r="A75" s="3"/>
      <c r="B75" s="127" t="s">
        <v>222</v>
      </c>
      <c r="C75" s="93"/>
    </row>
    <row r="77" spans="1:12" x14ac:dyDescent="0.2">
      <c r="A77" s="99" t="s">
        <v>178</v>
      </c>
      <c r="B77" s="15" t="s">
        <v>179</v>
      </c>
    </row>
    <row r="78" spans="1:12" x14ac:dyDescent="0.2">
      <c r="A78" s="99"/>
      <c r="B78" s="15"/>
    </row>
    <row r="79" spans="1:12" x14ac:dyDescent="0.2">
      <c r="A79" s="99"/>
      <c r="B79" s="15"/>
    </row>
    <row r="80" spans="1:12" ht="17" thickBot="1" x14ac:dyDescent="0.25">
      <c r="A80" s="99"/>
      <c r="B80" s="15"/>
    </row>
    <row r="81" spans="1:14" ht="17" thickBot="1" x14ac:dyDescent="0.25">
      <c r="D81" s="101" t="s">
        <v>36</v>
      </c>
      <c r="E81" s="109">
        <f>G73*1000-$F$23</f>
        <v>271684.6585658323</v>
      </c>
    </row>
    <row r="82" spans="1:14" ht="19" x14ac:dyDescent="0.25">
      <c r="A82" s="2" t="s">
        <v>39</v>
      </c>
    </row>
    <row r="83" spans="1:14" x14ac:dyDescent="0.2">
      <c r="B83" s="137" t="s">
        <v>180</v>
      </c>
      <c r="C83" s="137"/>
      <c r="D83" s="137"/>
      <c r="E83" s="137"/>
      <c r="F83" s="137"/>
      <c r="G83" s="137"/>
      <c r="H83" s="137"/>
      <c r="I83" s="137"/>
      <c r="L83" s="4"/>
      <c r="M83" s="4"/>
      <c r="N83" s="4"/>
    </row>
    <row r="84" spans="1:14" x14ac:dyDescent="0.2">
      <c r="B84" s="137"/>
      <c r="C84" s="137"/>
      <c r="D84" s="137"/>
      <c r="E84" s="137"/>
      <c r="F84" s="137"/>
      <c r="G84" s="137"/>
      <c r="H84" s="137"/>
      <c r="I84" s="137"/>
      <c r="M84" s="93"/>
    </row>
    <row r="85" spans="1:14" x14ac:dyDescent="0.2">
      <c r="L85" s="4"/>
      <c r="M85" s="4"/>
      <c r="N85" s="4"/>
    </row>
    <row r="86" spans="1:14" x14ac:dyDescent="0.2">
      <c r="B86" s="137" t="s">
        <v>181</v>
      </c>
      <c r="C86" s="137"/>
      <c r="D86" s="137"/>
      <c r="E86" s="137"/>
      <c r="F86" s="137"/>
      <c r="G86" s="137"/>
      <c r="H86" s="137"/>
      <c r="I86" s="137"/>
      <c r="L86" s="4"/>
      <c r="M86" s="4"/>
      <c r="N86" s="4"/>
    </row>
    <row r="87" spans="1:14" x14ac:dyDescent="0.2">
      <c r="B87" s="137"/>
      <c r="C87" s="137"/>
      <c r="D87" s="137"/>
      <c r="E87" s="137"/>
      <c r="F87" s="137"/>
      <c r="G87" s="137"/>
      <c r="H87" s="137"/>
      <c r="I87" s="137"/>
      <c r="L87" s="4"/>
      <c r="M87" s="4"/>
      <c r="N87" s="4"/>
    </row>
    <row r="88" spans="1:14" x14ac:dyDescent="0.2">
      <c r="M88" s="93"/>
    </row>
    <row r="89" spans="1:14" x14ac:dyDescent="0.2">
      <c r="B89" s="137" t="s">
        <v>182</v>
      </c>
      <c r="C89" s="137"/>
      <c r="D89" s="137"/>
      <c r="E89" s="137"/>
      <c r="F89" s="137"/>
      <c r="G89" s="137"/>
      <c r="H89" s="137"/>
      <c r="I89" s="137"/>
      <c r="L89" s="4"/>
      <c r="M89" s="4"/>
      <c r="N89" s="4"/>
    </row>
    <row r="90" spans="1:14" x14ac:dyDescent="0.2">
      <c r="B90" s="137"/>
      <c r="C90" s="137"/>
      <c r="D90" s="137"/>
      <c r="E90" s="137"/>
      <c r="F90" s="137"/>
      <c r="G90" s="137"/>
      <c r="H90" s="137"/>
      <c r="I90" s="137"/>
      <c r="L90" s="4"/>
      <c r="M90" s="4"/>
      <c r="N90" s="4"/>
    </row>
    <row r="91" spans="1:14" x14ac:dyDescent="0.2">
      <c r="L91" s="4"/>
      <c r="M91" s="4"/>
      <c r="N91" s="4"/>
    </row>
    <row r="92" spans="1:14" ht="18" customHeight="1" x14ac:dyDescent="0.2">
      <c r="B92" s="137" t="s">
        <v>183</v>
      </c>
      <c r="C92" s="137"/>
      <c r="D92" s="137"/>
      <c r="E92" s="137"/>
      <c r="F92" s="137"/>
      <c r="G92" s="137"/>
      <c r="H92" s="137"/>
      <c r="I92" s="137"/>
      <c r="L92" s="4"/>
      <c r="M92" s="4"/>
      <c r="N92" s="4"/>
    </row>
    <row r="93" spans="1:14" x14ac:dyDescent="0.2">
      <c r="B93" s="137"/>
      <c r="C93" s="137"/>
      <c r="D93" s="137"/>
      <c r="E93" s="137"/>
      <c r="F93" s="137"/>
      <c r="G93" s="137"/>
      <c r="H93" s="137"/>
      <c r="I93" s="137"/>
      <c r="L93" s="4"/>
      <c r="M93" s="4"/>
      <c r="N93" s="4"/>
    </row>
    <row r="94" spans="1:14" ht="16" customHeight="1" x14ac:dyDescent="0.2">
      <c r="B94" s="138" t="s">
        <v>184</v>
      </c>
      <c r="C94" s="138"/>
      <c r="D94" s="138"/>
      <c r="E94" s="138"/>
      <c r="F94" s="138"/>
      <c r="G94" s="138"/>
      <c r="H94" s="138"/>
      <c r="I94" s="138"/>
      <c r="L94" s="4"/>
      <c r="M94" s="4"/>
      <c r="N94" s="4"/>
    </row>
    <row r="95" spans="1:14" x14ac:dyDescent="0.2">
      <c r="B95" s="138"/>
      <c r="C95" s="138"/>
      <c r="D95" s="138"/>
      <c r="E95" s="138"/>
      <c r="F95" s="138"/>
      <c r="G95" s="138"/>
      <c r="H95" s="138"/>
      <c r="I95" s="138"/>
      <c r="L95" s="4"/>
      <c r="M95" s="4"/>
      <c r="N95" s="4"/>
    </row>
    <row r="96" spans="1:14" x14ac:dyDescent="0.2">
      <c r="B96" s="138"/>
      <c r="C96" s="138"/>
      <c r="D96" s="138"/>
      <c r="E96" s="138"/>
      <c r="F96" s="138"/>
      <c r="G96" s="138"/>
      <c r="H96" s="138"/>
      <c r="I96" s="138"/>
      <c r="L96" s="4"/>
      <c r="M96" s="4"/>
      <c r="N96" s="4"/>
    </row>
    <row r="97" spans="1:65" x14ac:dyDescent="0.2">
      <c r="L97" s="4"/>
      <c r="M97" s="4"/>
      <c r="N97" s="4"/>
    </row>
    <row r="98" spans="1:65" x14ac:dyDescent="0.2">
      <c r="B98" s="137" t="s">
        <v>185</v>
      </c>
      <c r="C98" s="137"/>
      <c r="D98" s="137"/>
      <c r="E98" s="137"/>
      <c r="F98" s="137"/>
      <c r="G98" s="137"/>
      <c r="H98" s="137"/>
      <c r="I98" s="137"/>
      <c r="M98" s="93"/>
    </row>
    <row r="99" spans="1:65" x14ac:dyDescent="0.2">
      <c r="B99" s="137"/>
      <c r="C99" s="137"/>
      <c r="D99" s="137"/>
      <c r="E99" s="137"/>
      <c r="F99" s="137"/>
      <c r="G99" s="137"/>
      <c r="H99" s="137"/>
      <c r="I99" s="137"/>
      <c r="L99" s="4"/>
      <c r="M99" s="4"/>
      <c r="N99" s="4"/>
    </row>
    <row r="100" spans="1:65" x14ac:dyDescent="0.2">
      <c r="L100" s="4"/>
      <c r="M100" s="4"/>
      <c r="N100" s="4"/>
    </row>
    <row r="101" spans="1:65" x14ac:dyDescent="0.2">
      <c r="B101" s="137" t="s">
        <v>186</v>
      </c>
      <c r="C101" s="137"/>
      <c r="D101" s="137"/>
      <c r="E101" s="137"/>
      <c r="F101" s="137"/>
      <c r="G101" s="137"/>
      <c r="H101" s="137"/>
      <c r="I101" s="137"/>
      <c r="L101" s="4"/>
      <c r="M101" s="4"/>
      <c r="N101" s="4"/>
    </row>
    <row r="102" spans="1:65" x14ac:dyDescent="0.2">
      <c r="B102" s="137"/>
      <c r="C102" s="137"/>
      <c r="D102" s="137"/>
      <c r="E102" s="137"/>
      <c r="F102" s="137"/>
      <c r="G102" s="137"/>
      <c r="H102" s="137"/>
      <c r="I102" s="137"/>
      <c r="L102" s="4"/>
      <c r="M102" s="4"/>
      <c r="N102" s="4"/>
    </row>
    <row r="103" spans="1:65" x14ac:dyDescent="0.2">
      <c r="L103" s="4"/>
      <c r="M103" s="4"/>
      <c r="N103" s="4"/>
    </row>
    <row r="104" spans="1:65" x14ac:dyDescent="0.2">
      <c r="B104" s="137" t="s">
        <v>187</v>
      </c>
      <c r="C104" s="137"/>
      <c r="D104" s="137"/>
      <c r="E104" s="137"/>
      <c r="F104" s="137"/>
      <c r="G104" s="137"/>
      <c r="H104" s="137"/>
      <c r="I104" s="137"/>
      <c r="L104" s="4"/>
      <c r="M104" s="4"/>
      <c r="N104" s="4"/>
    </row>
    <row r="105" spans="1:65" x14ac:dyDescent="0.2">
      <c r="B105" s="137"/>
      <c r="C105" s="137"/>
      <c r="D105" s="137"/>
      <c r="E105" s="137"/>
      <c r="F105" s="137"/>
      <c r="G105" s="137"/>
      <c r="H105" s="137"/>
      <c r="I105" s="137"/>
      <c r="L105" s="4"/>
      <c r="M105" s="4"/>
      <c r="N105" s="4"/>
    </row>
    <row r="106" spans="1:65" x14ac:dyDescent="0.2">
      <c r="B106" s="112" t="s">
        <v>92</v>
      </c>
      <c r="L106" s="4"/>
      <c r="M106" s="4"/>
      <c r="N106" s="4"/>
    </row>
    <row r="107" spans="1:65" x14ac:dyDescent="0.2">
      <c r="L107" s="4"/>
      <c r="M107" s="4"/>
      <c r="N107" s="4"/>
    </row>
    <row r="108" spans="1:65" ht="19" x14ac:dyDescent="0.25">
      <c r="A108" s="2" t="s">
        <v>75</v>
      </c>
      <c r="M108" s="93"/>
    </row>
    <row r="109" spans="1:65" x14ac:dyDescent="0.2">
      <c r="A109" s="4"/>
      <c r="B109" s="82" t="s">
        <v>93</v>
      </c>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ht="16" customHeight="1" x14ac:dyDescent="0.2">
      <c r="A111" s="4"/>
      <c r="B111" s="154" t="s">
        <v>188</v>
      </c>
      <c r="C111" s="154"/>
      <c r="D111" s="154"/>
      <c r="E111" s="154"/>
      <c r="F111" s="154"/>
      <c r="G111" s="154"/>
      <c r="H111" s="154"/>
      <c r="I111" s="15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154"/>
      <c r="C112" s="154"/>
      <c r="D112" s="154"/>
      <c r="E112" s="154"/>
      <c r="F112" s="154"/>
      <c r="G112" s="154"/>
      <c r="H112" s="154"/>
      <c r="I112" s="15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ht="19" x14ac:dyDescent="0.25">
      <c r="A114" s="2" t="s">
        <v>77</v>
      </c>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82" t="s">
        <v>94</v>
      </c>
      <c r="C115" s="4"/>
      <c r="D115" s="82" t="s">
        <v>98</v>
      </c>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82" t="s">
        <v>95</v>
      </c>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82" t="s">
        <v>96</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82" t="s">
        <v>97</v>
      </c>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sheetData>
  <mergeCells count="17">
    <mergeCell ref="D34:D35"/>
    <mergeCell ref="B111:I112"/>
    <mergeCell ref="B98:I99"/>
    <mergeCell ref="B101:I102"/>
    <mergeCell ref="B104:I105"/>
    <mergeCell ref="B94:I96"/>
    <mergeCell ref="B42:I43"/>
    <mergeCell ref="B83:I84"/>
    <mergeCell ref="B86:I87"/>
    <mergeCell ref="B89:I90"/>
    <mergeCell ref="B92:I93"/>
    <mergeCell ref="C48:C49"/>
    <mergeCell ref="F6:F8"/>
    <mergeCell ref="E6:E8"/>
    <mergeCell ref="D6:D8"/>
    <mergeCell ref="C6:C8"/>
    <mergeCell ref="B15:G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202"/>
  <sheetViews>
    <sheetView showGridLines="0" zoomScale="120" zoomScaleNormal="120" workbookViewId="0"/>
  </sheetViews>
  <sheetFormatPr baseColWidth="10" defaultColWidth="10.83203125" defaultRowHeight="16" x14ac:dyDescent="0.2"/>
  <cols>
    <col min="1" max="3" width="10.83203125" style="82" customWidth="1"/>
    <col min="4" max="4" width="11.33203125" style="82" customWidth="1"/>
    <col min="5" max="5" width="10.83203125" style="82" customWidth="1"/>
    <col min="6" max="6" width="12.6640625" style="82" customWidth="1"/>
    <col min="7" max="10" width="10.83203125" style="82" customWidth="1"/>
    <col min="11" max="16384" width="10.83203125" style="82"/>
  </cols>
  <sheetData>
    <row r="1" spans="1:10" ht="19" x14ac:dyDescent="0.25">
      <c r="A1" s="1" t="s">
        <v>129</v>
      </c>
      <c r="B1" s="80"/>
      <c r="C1" s="80"/>
      <c r="D1" s="80"/>
      <c r="E1" s="80"/>
      <c r="F1" s="80"/>
      <c r="G1" s="80"/>
      <c r="H1" s="80"/>
      <c r="I1" s="80"/>
      <c r="J1" s="81"/>
    </row>
    <row r="2" spans="1:10" x14ac:dyDescent="0.2">
      <c r="A2" s="83"/>
      <c r="B2" s="80"/>
      <c r="C2" s="80"/>
      <c r="D2" s="80"/>
      <c r="E2" s="80"/>
      <c r="F2" s="80"/>
      <c r="G2" s="80"/>
      <c r="H2" s="80"/>
      <c r="I2" s="80"/>
      <c r="J2" s="81"/>
    </row>
    <row r="3" spans="1:10" x14ac:dyDescent="0.2">
      <c r="A3" s="83"/>
      <c r="B3" s="80" t="s">
        <v>44</v>
      </c>
      <c r="C3" s="80"/>
      <c r="D3" s="80"/>
      <c r="E3" s="80"/>
      <c r="F3" s="80"/>
      <c r="G3" s="80"/>
      <c r="H3" s="80"/>
      <c r="I3" s="80"/>
      <c r="J3" s="81"/>
    </row>
    <row r="4" spans="1:10" x14ac:dyDescent="0.2">
      <c r="A4" s="83"/>
      <c r="B4" s="80" t="s">
        <v>45</v>
      </c>
      <c r="C4" s="80"/>
      <c r="D4" s="80"/>
      <c r="E4" s="80"/>
      <c r="F4" s="80"/>
      <c r="G4" s="80"/>
      <c r="H4" s="80"/>
      <c r="I4" s="80"/>
      <c r="J4" s="81"/>
    </row>
    <row r="5" spans="1:10" x14ac:dyDescent="0.2">
      <c r="A5" s="83"/>
      <c r="B5" s="80"/>
      <c r="C5" s="80"/>
      <c r="D5" s="80"/>
      <c r="E5" s="80"/>
      <c r="F5" s="80"/>
      <c r="G5" s="80"/>
      <c r="H5" s="80"/>
      <c r="I5" s="80"/>
      <c r="J5" s="81"/>
    </row>
    <row r="6" spans="1:10" x14ac:dyDescent="0.2">
      <c r="A6" s="83"/>
      <c r="B6" s="80"/>
      <c r="C6" s="166" t="s">
        <v>43</v>
      </c>
      <c r="D6" s="163" t="s">
        <v>46</v>
      </c>
      <c r="E6" s="160" t="s">
        <v>47</v>
      </c>
      <c r="F6" s="160" t="s">
        <v>48</v>
      </c>
      <c r="G6" s="157" t="s">
        <v>49</v>
      </c>
      <c r="H6" s="80"/>
      <c r="I6" s="80"/>
      <c r="J6" s="81"/>
    </row>
    <row r="7" spans="1:10" x14ac:dyDescent="0.2">
      <c r="A7" s="83"/>
      <c r="B7" s="80"/>
      <c r="C7" s="167"/>
      <c r="D7" s="164"/>
      <c r="E7" s="161"/>
      <c r="F7" s="161"/>
      <c r="G7" s="158"/>
      <c r="H7" s="80"/>
      <c r="I7" s="80"/>
      <c r="J7" s="81"/>
    </row>
    <row r="8" spans="1:10" x14ac:dyDescent="0.2">
      <c r="A8" s="83"/>
      <c r="B8" s="80"/>
      <c r="C8" s="167"/>
      <c r="D8" s="164"/>
      <c r="E8" s="161"/>
      <c r="F8" s="161"/>
      <c r="G8" s="158"/>
      <c r="H8" s="80"/>
      <c r="I8" s="80"/>
      <c r="J8" s="81"/>
    </row>
    <row r="9" spans="1:10" x14ac:dyDescent="0.2">
      <c r="A9" s="83"/>
      <c r="B9" s="80"/>
      <c r="C9" s="168"/>
      <c r="D9" s="165"/>
      <c r="E9" s="162"/>
      <c r="F9" s="162"/>
      <c r="G9" s="159"/>
      <c r="H9" s="80"/>
      <c r="I9" s="80"/>
      <c r="J9" s="81"/>
    </row>
    <row r="10" spans="1:10" ht="17" x14ac:dyDescent="0.2">
      <c r="A10" s="83"/>
      <c r="B10" s="80"/>
      <c r="C10" s="57" t="s">
        <v>2</v>
      </c>
      <c r="D10" s="60">
        <v>0.126</v>
      </c>
      <c r="E10" s="61">
        <v>5.0000000000000001E-3</v>
      </c>
      <c r="F10" s="62">
        <v>3.7999999999999999E-2</v>
      </c>
      <c r="G10" s="63">
        <v>0.79400000000000004</v>
      </c>
      <c r="H10" s="80"/>
      <c r="I10" s="80"/>
      <c r="J10" s="81"/>
    </row>
    <row r="11" spans="1:10" ht="17" x14ac:dyDescent="0.2">
      <c r="A11" s="83"/>
      <c r="B11" s="80"/>
      <c r="C11" s="58" t="s">
        <v>3</v>
      </c>
      <c r="D11" s="64">
        <v>0.14299999999999999</v>
      </c>
      <c r="E11" s="56">
        <v>4.0000000000000001E-3</v>
      </c>
      <c r="F11" s="65">
        <v>4.7E-2</v>
      </c>
      <c r="G11" s="66">
        <v>0.88600000000000001</v>
      </c>
      <c r="H11" s="80"/>
      <c r="I11" s="80"/>
      <c r="J11" s="81"/>
    </row>
    <row r="12" spans="1:10" ht="17" x14ac:dyDescent="0.2">
      <c r="A12" s="83"/>
      <c r="B12" s="80"/>
      <c r="C12" s="58" t="s">
        <v>4</v>
      </c>
      <c r="D12" s="64">
        <v>0.158</v>
      </c>
      <c r="E12" s="56">
        <v>4.0000000000000001E-3</v>
      </c>
      <c r="F12" s="65">
        <v>5.3999999999999999E-2</v>
      </c>
      <c r="G12" s="66">
        <v>0.94699999999999995</v>
      </c>
      <c r="H12" s="80"/>
      <c r="I12" s="80"/>
      <c r="J12" s="81"/>
    </row>
    <row r="13" spans="1:10" ht="17" x14ac:dyDescent="0.2">
      <c r="A13" s="83"/>
      <c r="B13" s="80"/>
      <c r="C13" s="59" t="s">
        <v>24</v>
      </c>
      <c r="D13" s="67">
        <v>0.16200000000000001</v>
      </c>
      <c r="E13" s="68">
        <v>3.0000000000000001E-3</v>
      </c>
      <c r="F13" s="69">
        <v>0.06</v>
      </c>
      <c r="G13" s="70">
        <v>0.97699999999999998</v>
      </c>
      <c r="H13" s="80"/>
      <c r="I13" s="80"/>
      <c r="J13" s="81"/>
    </row>
    <row r="14" spans="1:10" x14ac:dyDescent="0.2">
      <c r="A14" s="83"/>
      <c r="B14" s="80"/>
      <c r="C14" s="80"/>
      <c r="D14" s="80"/>
      <c r="E14" s="80"/>
      <c r="F14" s="80"/>
      <c r="G14" s="80"/>
      <c r="H14" s="80"/>
      <c r="I14" s="80"/>
      <c r="J14" s="81"/>
    </row>
    <row r="15" spans="1:10" x14ac:dyDescent="0.2">
      <c r="A15" s="83"/>
      <c r="B15" s="80"/>
      <c r="C15" s="80"/>
      <c r="D15" s="80"/>
      <c r="E15" s="80"/>
      <c r="F15" s="80"/>
      <c r="G15" s="80"/>
      <c r="H15" s="80"/>
      <c r="I15" s="80"/>
      <c r="J15" s="81"/>
    </row>
    <row r="16" spans="1:10" x14ac:dyDescent="0.2">
      <c r="A16" s="83"/>
      <c r="B16" s="80" t="s">
        <v>50</v>
      </c>
      <c r="C16" s="80"/>
      <c r="D16" s="80"/>
      <c r="E16" s="80"/>
      <c r="F16" s="80"/>
      <c r="G16" s="80"/>
      <c r="H16" s="80"/>
      <c r="I16" s="80"/>
      <c r="J16" s="81"/>
    </row>
    <row r="17" spans="1:13" ht="17" thickBot="1" x14ac:dyDescent="0.25">
      <c r="A17" s="89"/>
      <c r="B17" s="90"/>
      <c r="C17" s="91"/>
      <c r="D17" s="91"/>
      <c r="E17" s="91"/>
      <c r="F17" s="90"/>
      <c r="G17" s="90"/>
      <c r="H17" s="90"/>
      <c r="I17" s="90"/>
      <c r="J17" s="92"/>
    </row>
    <row r="19" spans="1:13" ht="19" x14ac:dyDescent="0.25">
      <c r="A19" s="2" t="s">
        <v>0</v>
      </c>
    </row>
    <row r="20" spans="1:13" x14ac:dyDescent="0.2">
      <c r="A20" s="99" t="s">
        <v>124</v>
      </c>
      <c r="B20" s="136" t="s">
        <v>189</v>
      </c>
      <c r="C20" s="136"/>
      <c r="D20" s="136"/>
      <c r="E20" s="136"/>
      <c r="F20" s="136"/>
      <c r="G20" s="136"/>
      <c r="H20" s="136"/>
      <c r="I20" s="136"/>
    </row>
    <row r="21" spans="1:13" x14ac:dyDescent="0.2">
      <c r="A21" s="99"/>
      <c r="B21" s="136"/>
      <c r="C21" s="136"/>
      <c r="D21" s="136"/>
      <c r="E21" s="136"/>
      <c r="F21" s="136"/>
      <c r="G21" s="136"/>
      <c r="H21" s="136"/>
      <c r="I21" s="136"/>
    </row>
    <row r="24" spans="1:13" x14ac:dyDescent="0.2">
      <c r="C24" s="93"/>
      <c r="L24" s="4"/>
    </row>
    <row r="25" spans="1:13" x14ac:dyDescent="0.2">
      <c r="C25" s="93"/>
      <c r="L25" s="4"/>
    </row>
    <row r="26" spans="1:13" x14ac:dyDescent="0.2">
      <c r="C26" s="93"/>
      <c r="L26" s="4"/>
    </row>
    <row r="27" spans="1:13" x14ac:dyDescent="0.2">
      <c r="C27" s="116"/>
      <c r="D27" s="169" t="s">
        <v>51</v>
      </c>
      <c r="L27" s="4"/>
    </row>
    <row r="28" spans="1:13" x14ac:dyDescent="0.2">
      <c r="C28" s="115"/>
      <c r="D28" s="169"/>
      <c r="L28" s="4"/>
    </row>
    <row r="29" spans="1:13" ht="17" customHeight="1" x14ac:dyDescent="0.2">
      <c r="C29" s="110" t="s">
        <v>43</v>
      </c>
      <c r="D29" s="170"/>
      <c r="M29" s="4"/>
    </row>
    <row r="30" spans="1:13" x14ac:dyDescent="0.2">
      <c r="C30" s="76">
        <v>1</v>
      </c>
      <c r="D30" s="17">
        <f>1-(D10-E10)-F10</f>
        <v>0.84099999999999997</v>
      </c>
      <c r="M30" s="4"/>
    </row>
    <row r="31" spans="1:13" x14ac:dyDescent="0.2">
      <c r="C31" s="76">
        <v>2</v>
      </c>
      <c r="D31" s="17">
        <f>1-(D11-E11)-F11</f>
        <v>0.81399999999999995</v>
      </c>
      <c r="M31" s="4"/>
    </row>
    <row r="32" spans="1:13" x14ac:dyDescent="0.2">
      <c r="C32" s="76">
        <v>3</v>
      </c>
      <c r="D32" s="17">
        <f>1-(D12-E12)-F12</f>
        <v>0.79199999999999993</v>
      </c>
      <c r="M32" s="4"/>
    </row>
    <row r="33" spans="1:13" x14ac:dyDescent="0.2">
      <c r="C33" s="76">
        <v>4</v>
      </c>
      <c r="D33" s="17">
        <f>1-(D13-E13)-F13</f>
        <v>0.78099999999999992</v>
      </c>
      <c r="M33" s="4"/>
    </row>
    <row r="34" spans="1:13" x14ac:dyDescent="0.2">
      <c r="B34" s="17"/>
      <c r="C34" s="17"/>
      <c r="L34" s="4"/>
    </row>
    <row r="35" spans="1:13" x14ac:dyDescent="0.2">
      <c r="A35" s="99" t="s">
        <v>125</v>
      </c>
      <c r="B35" s="136" t="s">
        <v>52</v>
      </c>
      <c r="C35" s="136"/>
      <c r="D35" s="136"/>
      <c r="E35" s="136"/>
      <c r="F35" s="136"/>
      <c r="G35" s="136"/>
      <c r="H35" s="136"/>
      <c r="I35" s="136"/>
      <c r="L35" s="4"/>
    </row>
    <row r="36" spans="1:13" x14ac:dyDescent="0.2">
      <c r="B36" s="136"/>
      <c r="C36" s="136"/>
      <c r="D36" s="136"/>
      <c r="E36" s="136"/>
      <c r="F36" s="136"/>
      <c r="G36" s="136"/>
      <c r="H36" s="136"/>
      <c r="I36" s="136"/>
      <c r="L36" s="4"/>
    </row>
    <row r="37" spans="1:13" x14ac:dyDescent="0.2">
      <c r="B37" s="17"/>
      <c r="C37" s="17"/>
      <c r="L37" s="4"/>
    </row>
    <row r="38" spans="1:13" x14ac:dyDescent="0.2">
      <c r="L38" s="4"/>
    </row>
    <row r="39" spans="1:13" x14ac:dyDescent="0.2">
      <c r="L39" s="4"/>
    </row>
    <row r="40" spans="1:13" x14ac:dyDescent="0.2">
      <c r="L40" s="4"/>
    </row>
    <row r="41" spans="1:13" x14ac:dyDescent="0.2">
      <c r="L41" s="4"/>
    </row>
    <row r="42" spans="1:13" x14ac:dyDescent="0.2">
      <c r="C42" s="115"/>
      <c r="D42" s="169" t="s">
        <v>53</v>
      </c>
      <c r="L42" s="4"/>
    </row>
    <row r="43" spans="1:13" x14ac:dyDescent="0.2">
      <c r="C43" s="115"/>
      <c r="D43" s="169"/>
      <c r="L43" s="4"/>
    </row>
    <row r="44" spans="1:13" ht="16" customHeight="1" x14ac:dyDescent="0.2">
      <c r="C44" s="110" t="s">
        <v>43</v>
      </c>
      <c r="D44" s="170"/>
      <c r="M44" s="4"/>
    </row>
    <row r="45" spans="1:13" x14ac:dyDescent="0.2">
      <c r="A45" s="3"/>
      <c r="B45" s="3"/>
      <c r="C45" s="76">
        <v>1</v>
      </c>
      <c r="D45" s="17">
        <f>(D30*G10-0)/(G10-0)</f>
        <v>0.84099999999999986</v>
      </c>
    </row>
    <row r="46" spans="1:13" x14ac:dyDescent="0.2">
      <c r="C46" s="76">
        <v>2</v>
      </c>
      <c r="D46" s="18">
        <f>(D31*G11-D30*G10)/(G11-G10)</f>
        <v>0.58097826086956539</v>
      </c>
    </row>
    <row r="47" spans="1:13" x14ac:dyDescent="0.2">
      <c r="C47" s="76">
        <v>3</v>
      </c>
      <c r="D47" s="18">
        <f>(D32*G12-D31*G11)/(G12-G11)</f>
        <v>0.47245901639344234</v>
      </c>
    </row>
    <row r="48" spans="1:13" x14ac:dyDescent="0.2">
      <c r="C48" s="76">
        <v>4</v>
      </c>
      <c r="D48" s="18">
        <f>(D33*G13-D32*G12)/(G13-G12)</f>
        <v>0.4337666666666643</v>
      </c>
    </row>
    <row r="49" spans="1:14" x14ac:dyDescent="0.2">
      <c r="B49" s="17"/>
      <c r="C49" s="17"/>
    </row>
    <row r="50" spans="1:14" ht="19" x14ac:dyDescent="0.25">
      <c r="A50" s="2" t="s">
        <v>39</v>
      </c>
    </row>
    <row r="51" spans="1:14" x14ac:dyDescent="0.2">
      <c r="B51" s="137" t="s">
        <v>190</v>
      </c>
      <c r="C51" s="137"/>
      <c r="D51" s="137"/>
      <c r="E51" s="137"/>
      <c r="F51" s="137"/>
      <c r="G51" s="137"/>
      <c r="H51" s="137"/>
      <c r="I51" s="137"/>
    </row>
    <row r="52" spans="1:14" x14ac:dyDescent="0.2">
      <c r="B52" s="137"/>
      <c r="C52" s="137"/>
      <c r="D52" s="137"/>
      <c r="E52" s="137"/>
      <c r="F52" s="137"/>
      <c r="G52" s="137"/>
      <c r="H52" s="137"/>
      <c r="I52" s="137"/>
    </row>
    <row r="53" spans="1:14" x14ac:dyDescent="0.2">
      <c r="B53" s="137"/>
      <c r="C53" s="137"/>
      <c r="D53" s="137"/>
      <c r="E53" s="137"/>
      <c r="F53" s="137"/>
      <c r="G53" s="137"/>
      <c r="H53" s="137"/>
      <c r="I53" s="137"/>
    </row>
    <row r="55" spans="1:14" x14ac:dyDescent="0.2">
      <c r="A55" s="3"/>
      <c r="B55" s="82" t="s">
        <v>99</v>
      </c>
      <c r="C55" s="93"/>
    </row>
    <row r="56" spans="1:14" x14ac:dyDescent="0.2">
      <c r="A56" s="3"/>
      <c r="C56" s="93"/>
    </row>
    <row r="57" spans="1:14" x14ac:dyDescent="0.2">
      <c r="B57" s="82" t="s">
        <v>191</v>
      </c>
      <c r="M57" s="93"/>
    </row>
    <row r="58" spans="1:14" x14ac:dyDescent="0.2">
      <c r="M58" s="93"/>
    </row>
    <row r="59" spans="1:14" x14ac:dyDescent="0.2">
      <c r="B59" s="82" t="s">
        <v>192</v>
      </c>
      <c r="L59" s="4"/>
      <c r="M59" s="4"/>
      <c r="N59" s="4"/>
    </row>
    <row r="60" spans="1:14" x14ac:dyDescent="0.2">
      <c r="L60" s="4"/>
      <c r="M60" s="4"/>
      <c r="N60" s="4"/>
    </row>
    <row r="61" spans="1:14" ht="19" x14ac:dyDescent="0.25">
      <c r="B61" s="20" t="s">
        <v>100</v>
      </c>
      <c r="L61" s="4"/>
      <c r="M61" s="4"/>
      <c r="N61" s="4"/>
    </row>
    <row r="62" spans="1:14" x14ac:dyDescent="0.2">
      <c r="B62" s="137" t="s">
        <v>205</v>
      </c>
      <c r="C62" s="137"/>
      <c r="D62" s="137"/>
      <c r="E62" s="137"/>
      <c r="F62" s="137"/>
      <c r="G62" s="137"/>
      <c r="H62" s="137"/>
      <c r="I62" s="137"/>
      <c r="L62" s="4"/>
      <c r="M62" s="4"/>
      <c r="N62" s="4"/>
    </row>
    <row r="63" spans="1:14" x14ac:dyDescent="0.2">
      <c r="B63" s="137"/>
      <c r="C63" s="137"/>
      <c r="D63" s="137"/>
      <c r="E63" s="137"/>
      <c r="F63" s="137"/>
      <c r="G63" s="137"/>
      <c r="H63" s="137"/>
      <c r="I63" s="137"/>
      <c r="L63" s="4"/>
      <c r="M63" s="4"/>
      <c r="N63" s="4"/>
    </row>
    <row r="64" spans="1:14" x14ac:dyDescent="0.2">
      <c r="L64" s="4"/>
      <c r="M64" s="4"/>
      <c r="N64" s="4"/>
    </row>
    <row r="65" spans="1:14" x14ac:dyDescent="0.2">
      <c r="B65" s="82" t="s">
        <v>119</v>
      </c>
      <c r="L65" s="4"/>
      <c r="M65" s="4"/>
      <c r="N65" s="4"/>
    </row>
    <row r="66" spans="1:14" x14ac:dyDescent="0.2">
      <c r="L66" s="4"/>
      <c r="M66" s="4"/>
      <c r="N66" s="4"/>
    </row>
    <row r="67" spans="1:14" x14ac:dyDescent="0.2">
      <c r="B67" s="82" t="s">
        <v>101</v>
      </c>
      <c r="L67" s="4"/>
      <c r="M67" s="4"/>
      <c r="N67" s="4"/>
    </row>
    <row r="68" spans="1:14" x14ac:dyDescent="0.2">
      <c r="L68" s="4"/>
      <c r="M68" s="4"/>
      <c r="N68" s="4"/>
    </row>
    <row r="69" spans="1:14" ht="19" x14ac:dyDescent="0.25">
      <c r="B69" s="20" t="s">
        <v>102</v>
      </c>
      <c r="L69" s="4"/>
      <c r="M69" s="4"/>
      <c r="N69" s="4"/>
    </row>
    <row r="70" spans="1:14" x14ac:dyDescent="0.2">
      <c r="B70" s="15" t="s">
        <v>214</v>
      </c>
      <c r="M70" s="93"/>
    </row>
    <row r="71" spans="1:14" x14ac:dyDescent="0.2">
      <c r="B71" s="113" t="s">
        <v>213</v>
      </c>
      <c r="L71" s="4"/>
      <c r="M71" s="4"/>
      <c r="N71" s="4"/>
    </row>
    <row r="72" spans="1:14" x14ac:dyDescent="0.2">
      <c r="L72" s="4"/>
      <c r="M72" s="4"/>
      <c r="N72" s="4"/>
    </row>
    <row r="73" spans="1:14" x14ac:dyDescent="0.2">
      <c r="B73" s="137" t="s">
        <v>193</v>
      </c>
      <c r="C73" s="137"/>
      <c r="D73" s="137"/>
      <c r="E73" s="137"/>
      <c r="F73" s="137"/>
      <c r="G73" s="137"/>
      <c r="H73" s="137"/>
      <c r="I73" s="137"/>
      <c r="L73" s="4"/>
      <c r="M73" s="4"/>
      <c r="N73" s="4"/>
    </row>
    <row r="74" spans="1:14" x14ac:dyDescent="0.2">
      <c r="B74" s="137"/>
      <c r="C74" s="137"/>
      <c r="D74" s="137"/>
      <c r="E74" s="137"/>
      <c r="F74" s="137"/>
      <c r="G74" s="137"/>
      <c r="H74" s="137"/>
      <c r="I74" s="137"/>
      <c r="L74" s="4"/>
      <c r="M74" s="4"/>
      <c r="N74" s="4"/>
    </row>
    <row r="75" spans="1:14" x14ac:dyDescent="0.2">
      <c r="L75" s="4"/>
      <c r="M75" s="4"/>
      <c r="N75" s="4"/>
    </row>
    <row r="76" spans="1:14" x14ac:dyDescent="0.2">
      <c r="B76" s="19" t="s">
        <v>103</v>
      </c>
      <c r="E76" s="19" t="s">
        <v>104</v>
      </c>
      <c r="L76" s="4"/>
      <c r="M76" s="4"/>
      <c r="N76" s="4"/>
    </row>
    <row r="77" spans="1:14" x14ac:dyDescent="0.2">
      <c r="L77" s="4"/>
      <c r="M77" s="4"/>
      <c r="N77" s="4"/>
    </row>
    <row r="78" spans="1:14" x14ac:dyDescent="0.2">
      <c r="L78" s="4"/>
      <c r="M78" s="4"/>
      <c r="N78" s="4"/>
    </row>
    <row r="79" spans="1:14" x14ac:dyDescent="0.2">
      <c r="L79" s="4"/>
      <c r="M79" s="4"/>
      <c r="N79" s="4"/>
    </row>
    <row r="80" spans="1:14" ht="19" x14ac:dyDescent="0.25">
      <c r="A80" s="2" t="s">
        <v>75</v>
      </c>
      <c r="M80" s="93"/>
    </row>
    <row r="81" spans="1:14" x14ac:dyDescent="0.2">
      <c r="B81" s="82" t="s">
        <v>120</v>
      </c>
      <c r="L81" s="4"/>
      <c r="M81" s="4"/>
      <c r="N81" s="4"/>
    </row>
    <row r="82" spans="1:14" x14ac:dyDescent="0.2">
      <c r="L82" s="4"/>
      <c r="M82" s="4"/>
      <c r="N82" s="4"/>
    </row>
    <row r="83" spans="1:14" ht="19" x14ac:dyDescent="0.25">
      <c r="A83" s="2" t="s">
        <v>77</v>
      </c>
      <c r="L83" s="4"/>
      <c r="M83" s="4"/>
      <c r="N83" s="4"/>
    </row>
    <row r="84" spans="1:14" x14ac:dyDescent="0.2">
      <c r="B84" s="82" t="s">
        <v>105</v>
      </c>
      <c r="L84" s="4"/>
      <c r="M84" s="4"/>
      <c r="N84" s="4"/>
    </row>
    <row r="85" spans="1:14" x14ac:dyDescent="0.2">
      <c r="B85" s="82" t="s">
        <v>106</v>
      </c>
      <c r="L85" s="4"/>
      <c r="M85" s="4"/>
      <c r="N85" s="4"/>
    </row>
    <row r="86" spans="1:14" x14ac:dyDescent="0.2">
      <c r="L86" s="4"/>
      <c r="M86" s="4"/>
      <c r="N86" s="4"/>
    </row>
    <row r="87" spans="1:14" x14ac:dyDescent="0.2">
      <c r="L87" s="4"/>
      <c r="M87" s="4"/>
      <c r="N87" s="4"/>
    </row>
    <row r="88" spans="1:14" x14ac:dyDescent="0.2">
      <c r="L88" s="4"/>
      <c r="M88" s="4"/>
      <c r="N88" s="4"/>
    </row>
    <row r="89" spans="1:14" x14ac:dyDescent="0.2">
      <c r="L89" s="4"/>
      <c r="M89" s="4"/>
      <c r="N89" s="4"/>
    </row>
    <row r="90" spans="1:14" x14ac:dyDescent="0.2">
      <c r="M90" s="93"/>
    </row>
    <row r="91" spans="1:14" x14ac:dyDescent="0.2">
      <c r="L91" s="4"/>
      <c r="M91" s="4"/>
      <c r="N91" s="4"/>
    </row>
    <row r="92" spans="1:14" x14ac:dyDescent="0.2">
      <c r="L92" s="4"/>
      <c r="M92" s="4"/>
      <c r="N92" s="4"/>
    </row>
    <row r="93" spans="1:14" x14ac:dyDescent="0.2">
      <c r="L93" s="4"/>
      <c r="M93" s="4"/>
      <c r="N93" s="4"/>
    </row>
    <row r="94" spans="1:14" x14ac:dyDescent="0.2">
      <c r="L94" s="4"/>
      <c r="M94" s="4"/>
      <c r="N94" s="4"/>
    </row>
    <row r="95" spans="1:14" x14ac:dyDescent="0.2">
      <c r="L95" s="4"/>
      <c r="M95" s="4"/>
      <c r="N95" s="4"/>
    </row>
    <row r="96" spans="1:14" x14ac:dyDescent="0.2">
      <c r="L96" s="4"/>
      <c r="M96" s="4"/>
      <c r="N96" s="4"/>
    </row>
    <row r="97" spans="1:65" x14ac:dyDescent="0.2">
      <c r="L97" s="4"/>
      <c r="M97" s="4"/>
      <c r="N97" s="4"/>
    </row>
    <row r="98" spans="1:65" x14ac:dyDescent="0.2">
      <c r="L98" s="4"/>
      <c r="M98" s="4"/>
      <c r="N98" s="4"/>
    </row>
    <row r="99" spans="1:65" x14ac:dyDescent="0.2">
      <c r="L99" s="4"/>
      <c r="M99" s="4"/>
      <c r="N99" s="4"/>
    </row>
    <row r="100" spans="1:65" x14ac:dyDescent="0.2">
      <c r="M100" s="93"/>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sheetData>
  <mergeCells count="12">
    <mergeCell ref="B20:I21"/>
    <mergeCell ref="B35:I36"/>
    <mergeCell ref="B51:I53"/>
    <mergeCell ref="B62:I63"/>
    <mergeCell ref="B73:I74"/>
    <mergeCell ref="D42:D44"/>
    <mergeCell ref="D27:D29"/>
    <mergeCell ref="G6:G9"/>
    <mergeCell ref="F6:F9"/>
    <mergeCell ref="E6:E9"/>
    <mergeCell ref="D6:D9"/>
    <mergeCell ref="C6:C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M209"/>
  <sheetViews>
    <sheetView showGridLines="0" zoomScale="120" zoomScaleNormal="120" workbookViewId="0"/>
  </sheetViews>
  <sheetFormatPr baseColWidth="10" defaultColWidth="10.83203125" defaultRowHeight="16" x14ac:dyDescent="0.2"/>
  <cols>
    <col min="1" max="1" width="10.83203125" style="82"/>
    <col min="2" max="4" width="11.1640625" style="82" customWidth="1"/>
    <col min="5" max="7" width="10.83203125" style="82" customWidth="1"/>
    <col min="8" max="16384" width="10.83203125" style="82"/>
  </cols>
  <sheetData>
    <row r="1" spans="1:10" ht="19" x14ac:dyDescent="0.25">
      <c r="A1" s="1" t="s">
        <v>130</v>
      </c>
      <c r="B1" s="80"/>
      <c r="C1" s="80"/>
      <c r="D1" s="80"/>
      <c r="E1" s="80"/>
      <c r="F1" s="80"/>
      <c r="G1" s="80"/>
      <c r="H1" s="80"/>
      <c r="I1" s="80"/>
      <c r="J1" s="81"/>
    </row>
    <row r="2" spans="1:10" x14ac:dyDescent="0.2">
      <c r="A2" s="83"/>
      <c r="B2" s="80"/>
      <c r="C2" s="80"/>
      <c r="D2" s="80"/>
      <c r="E2" s="80"/>
      <c r="F2" s="80"/>
      <c r="G2" s="80"/>
      <c r="H2" s="80"/>
      <c r="I2" s="80"/>
      <c r="J2" s="81"/>
    </row>
    <row r="3" spans="1:10" x14ac:dyDescent="0.2">
      <c r="A3" s="83"/>
      <c r="B3" s="80" t="s">
        <v>54</v>
      </c>
      <c r="C3" s="80"/>
      <c r="D3" s="80"/>
      <c r="E3" s="80"/>
      <c r="F3" s="80"/>
      <c r="G3" s="80"/>
      <c r="H3" s="80"/>
      <c r="I3" s="80"/>
      <c r="J3" s="81"/>
    </row>
    <row r="4" spans="1:10" x14ac:dyDescent="0.2">
      <c r="A4" s="83"/>
      <c r="B4" s="80"/>
      <c r="C4" s="80"/>
      <c r="D4" s="80"/>
      <c r="E4" s="80"/>
      <c r="F4" s="80"/>
      <c r="G4" s="80"/>
      <c r="H4" s="80"/>
      <c r="I4" s="80"/>
      <c r="J4" s="81"/>
    </row>
    <row r="5" spans="1:10" x14ac:dyDescent="0.2">
      <c r="A5" s="83"/>
      <c r="B5" s="80" t="s">
        <v>142</v>
      </c>
      <c r="C5" s="80"/>
      <c r="D5" s="80"/>
      <c r="E5" s="98">
        <v>32750000</v>
      </c>
      <c r="F5" s="80"/>
      <c r="G5" s="80"/>
      <c r="H5" s="80"/>
      <c r="I5" s="80"/>
      <c r="J5" s="81"/>
    </row>
    <row r="6" spans="1:10" x14ac:dyDescent="0.2">
      <c r="A6" s="83"/>
      <c r="B6" s="80" t="s">
        <v>143</v>
      </c>
      <c r="C6" s="80"/>
      <c r="D6" s="80"/>
      <c r="E6" s="98">
        <v>42000000</v>
      </c>
      <c r="F6" s="80"/>
      <c r="G6" s="80"/>
      <c r="H6" s="80"/>
      <c r="I6" s="80"/>
      <c r="J6" s="81"/>
    </row>
    <row r="7" spans="1:10" x14ac:dyDescent="0.2">
      <c r="A7" s="83"/>
      <c r="B7" s="80" t="s">
        <v>144</v>
      </c>
      <c r="C7" s="80"/>
      <c r="D7" s="98"/>
      <c r="E7" s="98">
        <v>31795000</v>
      </c>
      <c r="F7" s="80"/>
      <c r="G7" s="80"/>
      <c r="H7" s="80"/>
      <c r="I7" s="80"/>
      <c r="J7" s="81"/>
    </row>
    <row r="8" spans="1:10" x14ac:dyDescent="0.2">
      <c r="A8" s="83"/>
      <c r="B8" s="80" t="s">
        <v>145</v>
      </c>
      <c r="C8" s="80"/>
      <c r="D8" s="98"/>
      <c r="E8" s="98">
        <v>10500000</v>
      </c>
      <c r="F8" s="80"/>
      <c r="G8" s="80"/>
      <c r="H8" s="80"/>
      <c r="I8" s="80"/>
      <c r="J8" s="81"/>
    </row>
    <row r="9" spans="1:10" x14ac:dyDescent="0.2">
      <c r="A9" s="83"/>
      <c r="B9" s="80"/>
      <c r="C9" s="80"/>
      <c r="D9" s="80"/>
      <c r="E9" s="80"/>
      <c r="F9" s="80"/>
      <c r="G9" s="80"/>
      <c r="H9" s="80"/>
      <c r="I9" s="80"/>
      <c r="J9" s="81"/>
    </row>
    <row r="10" spans="1:10" x14ac:dyDescent="0.2">
      <c r="A10" s="83"/>
      <c r="B10" s="80" t="s">
        <v>55</v>
      </c>
      <c r="C10" s="80"/>
      <c r="D10" s="80"/>
      <c r="E10" s="80"/>
      <c r="F10" s="80"/>
      <c r="G10" s="80"/>
      <c r="H10" s="80"/>
      <c r="I10" s="80"/>
      <c r="J10" s="81"/>
    </row>
    <row r="11" spans="1:10" x14ac:dyDescent="0.2">
      <c r="A11" s="83"/>
      <c r="B11" s="80" t="s">
        <v>56</v>
      </c>
      <c r="C11" s="80"/>
      <c r="D11" s="80"/>
      <c r="E11" s="80"/>
      <c r="F11" s="80"/>
      <c r="G11" s="80"/>
      <c r="H11" s="80"/>
      <c r="I11" s="80"/>
      <c r="J11" s="81"/>
    </row>
    <row r="12" spans="1:10" x14ac:dyDescent="0.2">
      <c r="A12" s="83"/>
      <c r="B12" s="80" t="s">
        <v>57</v>
      </c>
      <c r="C12" s="80"/>
      <c r="D12" s="80"/>
      <c r="E12" s="80"/>
      <c r="F12" s="80"/>
      <c r="G12" s="80"/>
      <c r="H12" s="80"/>
      <c r="I12" s="80"/>
      <c r="J12" s="81"/>
    </row>
    <row r="13" spans="1:10" x14ac:dyDescent="0.2">
      <c r="A13" s="83"/>
      <c r="B13" s="80"/>
      <c r="C13" s="80"/>
      <c r="D13" s="80"/>
      <c r="E13" s="80"/>
      <c r="F13" s="80"/>
      <c r="G13" s="80"/>
      <c r="H13" s="80"/>
      <c r="I13" s="80"/>
      <c r="J13" s="81"/>
    </row>
    <row r="14" spans="1:10" x14ac:dyDescent="0.2">
      <c r="A14" s="83"/>
      <c r="B14" s="80"/>
      <c r="C14" s="80" t="s">
        <v>58</v>
      </c>
      <c r="D14" s="80"/>
      <c r="E14" s="80"/>
      <c r="F14" s="80"/>
      <c r="G14" s="80"/>
      <c r="H14" s="80"/>
      <c r="I14" s="80"/>
      <c r="J14" s="81"/>
    </row>
    <row r="15" spans="1:10" x14ac:dyDescent="0.2">
      <c r="A15" s="83"/>
      <c r="B15" s="80"/>
      <c r="C15" s="80"/>
      <c r="D15" s="80"/>
      <c r="E15" s="80"/>
      <c r="F15" s="80"/>
      <c r="G15" s="80"/>
      <c r="H15" s="80"/>
      <c r="I15" s="80"/>
      <c r="J15" s="81"/>
    </row>
    <row r="16" spans="1:10" x14ac:dyDescent="0.2">
      <c r="A16" s="83"/>
      <c r="B16" s="100" t="s">
        <v>59</v>
      </c>
      <c r="C16" s="87">
        <v>0.34799999999999998</v>
      </c>
      <c r="D16" s="80"/>
      <c r="E16" s="80"/>
      <c r="F16" s="80"/>
      <c r="G16" s="80"/>
      <c r="H16" s="80"/>
      <c r="I16" s="80"/>
      <c r="J16" s="81"/>
    </row>
    <row r="17" spans="1:10" x14ac:dyDescent="0.2">
      <c r="A17" s="83"/>
      <c r="B17" s="100" t="s">
        <v>60</v>
      </c>
      <c r="C17" s="87">
        <v>0.88700000000000001</v>
      </c>
      <c r="D17" s="80"/>
      <c r="E17" s="80"/>
      <c r="F17" s="80"/>
      <c r="G17" s="80"/>
      <c r="H17" s="80"/>
      <c r="I17" s="80"/>
      <c r="J17" s="81"/>
    </row>
    <row r="18" spans="1:10" x14ac:dyDescent="0.2">
      <c r="A18" s="83"/>
      <c r="B18" s="80"/>
      <c r="C18" s="80"/>
      <c r="D18" s="80"/>
      <c r="E18" s="80"/>
      <c r="F18" s="80"/>
      <c r="G18" s="80"/>
      <c r="H18" s="80"/>
      <c r="I18" s="80"/>
      <c r="J18" s="81"/>
    </row>
    <row r="19" spans="1:10" x14ac:dyDescent="0.2">
      <c r="A19" s="83"/>
      <c r="B19" s="80"/>
      <c r="C19" s="80"/>
      <c r="D19" s="80"/>
      <c r="E19" s="80"/>
      <c r="F19" s="80"/>
      <c r="G19" s="80"/>
      <c r="H19" s="80"/>
      <c r="I19" s="80"/>
      <c r="J19" s="81"/>
    </row>
    <row r="20" spans="1:10" x14ac:dyDescent="0.2">
      <c r="A20" s="83"/>
      <c r="B20" s="80" t="s">
        <v>61</v>
      </c>
      <c r="C20" s="80"/>
      <c r="D20" s="80"/>
      <c r="E20" s="80"/>
      <c r="F20" s="80"/>
      <c r="G20" s="80"/>
      <c r="H20" s="80"/>
      <c r="I20" s="80"/>
      <c r="J20" s="81"/>
    </row>
    <row r="21" spans="1:10" ht="17" thickBot="1" x14ac:dyDescent="0.25">
      <c r="A21" s="89"/>
      <c r="B21" s="90"/>
      <c r="C21" s="91"/>
      <c r="D21" s="91"/>
      <c r="E21" s="91"/>
      <c r="F21" s="90"/>
      <c r="G21" s="90"/>
      <c r="H21" s="90"/>
      <c r="I21" s="90"/>
      <c r="J21" s="92"/>
    </row>
    <row r="23" spans="1:10" ht="19" x14ac:dyDescent="0.25">
      <c r="A23" s="2" t="s">
        <v>0</v>
      </c>
    </row>
    <row r="24" spans="1:10" x14ac:dyDescent="0.2">
      <c r="A24" s="99" t="s">
        <v>124</v>
      </c>
      <c r="B24" s="15" t="s">
        <v>62</v>
      </c>
    </row>
    <row r="25" spans="1:10" x14ac:dyDescent="0.2">
      <c r="A25" s="99"/>
      <c r="B25" s="15"/>
    </row>
    <row r="26" spans="1:10" x14ac:dyDescent="0.2">
      <c r="A26" s="99"/>
      <c r="B26" s="15"/>
    </row>
    <row r="29" spans="1:10" ht="17" thickBot="1" x14ac:dyDescent="0.25"/>
    <row r="30" spans="1:10" ht="17" thickBot="1" x14ac:dyDescent="0.25">
      <c r="D30" s="101" t="s">
        <v>63</v>
      </c>
      <c r="E30" s="111">
        <f>$C$16+$C$17*(E5/E6)</f>
        <v>1.0396488095238094</v>
      </c>
    </row>
    <row r="32" spans="1:10" x14ac:dyDescent="0.2">
      <c r="A32" s="99" t="s">
        <v>125</v>
      </c>
      <c r="B32" s="15" t="s">
        <v>64</v>
      </c>
    </row>
    <row r="35" spans="1:14" ht="17" thickBot="1" x14ac:dyDescent="0.25"/>
    <row r="36" spans="1:14" ht="17" thickBot="1" x14ac:dyDescent="0.25">
      <c r="D36" s="101" t="s">
        <v>65</v>
      </c>
      <c r="E36" s="109">
        <f>$E$6*E30</f>
        <v>43665250</v>
      </c>
    </row>
    <row r="38" spans="1:14" x14ac:dyDescent="0.2">
      <c r="A38" s="99" t="s">
        <v>146</v>
      </c>
      <c r="B38" s="136" t="s">
        <v>66</v>
      </c>
      <c r="C38" s="136"/>
      <c r="D38" s="136"/>
      <c r="E38" s="136"/>
      <c r="F38" s="136"/>
      <c r="G38" s="136"/>
      <c r="H38" s="136"/>
      <c r="I38" s="136"/>
    </row>
    <row r="39" spans="1:14" x14ac:dyDescent="0.2">
      <c r="A39" s="99"/>
      <c r="B39" s="136"/>
      <c r="C39" s="136"/>
      <c r="D39" s="136"/>
      <c r="E39" s="136"/>
      <c r="F39" s="136"/>
      <c r="G39" s="136"/>
      <c r="H39" s="136"/>
      <c r="I39" s="136"/>
    </row>
    <row r="40" spans="1:14" x14ac:dyDescent="0.2">
      <c r="A40" s="99"/>
      <c r="B40" s="104"/>
      <c r="C40" s="104"/>
      <c r="D40" s="104"/>
      <c r="E40" s="104"/>
      <c r="F40" s="104"/>
      <c r="G40" s="104"/>
      <c r="H40" s="104"/>
      <c r="I40" s="104"/>
    </row>
    <row r="41" spans="1:14" x14ac:dyDescent="0.2">
      <c r="A41" s="99"/>
      <c r="B41" s="104"/>
      <c r="C41" s="104"/>
      <c r="D41" s="104"/>
      <c r="E41" s="104"/>
      <c r="H41" s="104"/>
      <c r="I41" s="104"/>
    </row>
    <row r="43" spans="1:14" ht="17" thickBot="1" x14ac:dyDescent="0.25"/>
    <row r="44" spans="1:14" ht="17" thickBot="1" x14ac:dyDescent="0.25">
      <c r="D44" s="101" t="s">
        <v>36</v>
      </c>
      <c r="E44" s="109">
        <f>E36-E7</f>
        <v>11870250</v>
      </c>
    </row>
    <row r="45" spans="1:14" x14ac:dyDescent="0.2">
      <c r="D45" s="117"/>
      <c r="E45" s="118"/>
    </row>
    <row r="46" spans="1:14" ht="19" x14ac:dyDescent="0.25">
      <c r="A46" s="2" t="s">
        <v>39</v>
      </c>
      <c r="C46" s="93"/>
    </row>
    <row r="47" spans="1:14" x14ac:dyDescent="0.2">
      <c r="B47" s="172" t="s">
        <v>219</v>
      </c>
      <c r="C47" s="173"/>
      <c r="D47" s="173"/>
      <c r="E47" s="173"/>
      <c r="F47" s="173"/>
      <c r="G47" s="173"/>
      <c r="H47" s="173"/>
      <c r="I47" s="173"/>
      <c r="M47" s="93"/>
    </row>
    <row r="48" spans="1:14" x14ac:dyDescent="0.2">
      <c r="B48" s="173"/>
      <c r="C48" s="173"/>
      <c r="D48" s="173"/>
      <c r="E48" s="173"/>
      <c r="F48" s="173"/>
      <c r="G48" s="173"/>
      <c r="H48" s="173"/>
      <c r="I48" s="173"/>
      <c r="L48" s="4"/>
      <c r="M48" s="4"/>
      <c r="N48" s="4"/>
    </row>
    <row r="49" spans="2:14" x14ac:dyDescent="0.2">
      <c r="B49" s="173"/>
      <c r="C49" s="173"/>
      <c r="D49" s="173"/>
      <c r="E49" s="173"/>
      <c r="F49" s="173"/>
      <c r="G49" s="173"/>
      <c r="H49" s="173"/>
      <c r="I49" s="173"/>
      <c r="L49" s="4"/>
      <c r="M49" s="4"/>
      <c r="N49" s="4"/>
    </row>
    <row r="50" spans="2:14" x14ac:dyDescent="0.2">
      <c r="B50" s="173"/>
      <c r="C50" s="173"/>
      <c r="D50" s="173"/>
      <c r="E50" s="173"/>
      <c r="F50" s="173"/>
      <c r="G50" s="173"/>
      <c r="H50" s="173"/>
      <c r="I50" s="173"/>
      <c r="L50" s="4"/>
      <c r="M50" s="4"/>
      <c r="N50" s="4"/>
    </row>
    <row r="51" spans="2:14" x14ac:dyDescent="0.2">
      <c r="B51" s="173"/>
      <c r="C51" s="173"/>
      <c r="D51" s="173"/>
      <c r="E51" s="173"/>
      <c r="F51" s="173"/>
      <c r="G51" s="173"/>
      <c r="H51" s="173"/>
      <c r="I51" s="173"/>
      <c r="L51" s="4"/>
      <c r="M51" s="4"/>
      <c r="N51" s="4"/>
    </row>
    <row r="52" spans="2:14" x14ac:dyDescent="0.2">
      <c r="B52" s="173"/>
      <c r="C52" s="173"/>
      <c r="D52" s="173"/>
      <c r="E52" s="173"/>
      <c r="F52" s="173"/>
      <c r="G52" s="173"/>
      <c r="H52" s="173"/>
      <c r="I52" s="173"/>
      <c r="L52" s="4"/>
      <c r="M52" s="4"/>
      <c r="N52" s="4"/>
    </row>
    <row r="53" spans="2:14" x14ac:dyDescent="0.2">
      <c r="B53" s="173"/>
      <c r="C53" s="173"/>
      <c r="D53" s="173"/>
      <c r="E53" s="173"/>
      <c r="F53" s="173"/>
      <c r="G53" s="173"/>
      <c r="H53" s="173"/>
      <c r="I53" s="173"/>
      <c r="L53" s="4"/>
      <c r="M53" s="4"/>
      <c r="N53" s="4"/>
    </row>
    <row r="54" spans="2:14" x14ac:dyDescent="0.2">
      <c r="B54" s="173"/>
      <c r="C54" s="173"/>
      <c r="D54" s="173"/>
      <c r="E54" s="173"/>
      <c r="F54" s="173"/>
      <c r="G54" s="173"/>
      <c r="H54" s="173"/>
      <c r="I54" s="173"/>
      <c r="L54" s="4"/>
      <c r="M54" s="4"/>
      <c r="N54" s="4"/>
    </row>
    <row r="55" spans="2:14" x14ac:dyDescent="0.2">
      <c r="B55" s="173"/>
      <c r="C55" s="173"/>
      <c r="D55" s="173"/>
      <c r="E55" s="173"/>
      <c r="F55" s="173"/>
      <c r="G55" s="173"/>
      <c r="H55" s="173"/>
      <c r="I55" s="173"/>
      <c r="L55" s="4"/>
      <c r="M55" s="4"/>
      <c r="N55" s="4"/>
    </row>
    <row r="56" spans="2:14" x14ac:dyDescent="0.2">
      <c r="B56" s="173"/>
      <c r="C56" s="173"/>
      <c r="D56" s="173"/>
      <c r="E56" s="173"/>
      <c r="F56" s="173"/>
      <c r="G56" s="173"/>
      <c r="H56" s="173"/>
      <c r="I56" s="173"/>
      <c r="L56" s="4"/>
      <c r="M56" s="4"/>
      <c r="N56" s="4"/>
    </row>
    <row r="57" spans="2:14" x14ac:dyDescent="0.2">
      <c r="B57" s="173"/>
      <c r="C57" s="173"/>
      <c r="D57" s="173"/>
      <c r="E57" s="173"/>
      <c r="F57" s="173"/>
      <c r="G57" s="173"/>
      <c r="H57" s="173"/>
      <c r="I57" s="173"/>
      <c r="L57" s="4"/>
      <c r="M57" s="4"/>
      <c r="N57" s="4"/>
    </row>
    <row r="58" spans="2:14" x14ac:dyDescent="0.2">
      <c r="B58" s="173"/>
      <c r="C58" s="173"/>
      <c r="D58" s="173"/>
      <c r="E58" s="173"/>
      <c r="F58" s="173"/>
      <c r="G58" s="173"/>
      <c r="H58" s="173"/>
      <c r="I58" s="173"/>
      <c r="M58" s="93"/>
    </row>
    <row r="59" spans="2:14" x14ac:dyDescent="0.2">
      <c r="B59" s="173"/>
      <c r="C59" s="173"/>
      <c r="D59" s="173"/>
      <c r="E59" s="173"/>
      <c r="F59" s="173"/>
      <c r="G59" s="173"/>
      <c r="H59" s="173"/>
      <c r="I59" s="173"/>
      <c r="L59" s="4"/>
      <c r="M59" s="4"/>
      <c r="N59" s="4"/>
    </row>
    <row r="60" spans="2:14" x14ac:dyDescent="0.2">
      <c r="B60" s="173"/>
      <c r="C60" s="173"/>
      <c r="D60" s="173"/>
      <c r="E60" s="173"/>
      <c r="F60" s="173"/>
      <c r="G60" s="173"/>
      <c r="H60" s="173"/>
      <c r="I60" s="173"/>
      <c r="L60" s="4"/>
      <c r="M60" s="4"/>
      <c r="N60" s="4"/>
    </row>
    <row r="61" spans="2:14" x14ac:dyDescent="0.2">
      <c r="B61" s="173"/>
      <c r="C61" s="173"/>
      <c r="D61" s="173"/>
      <c r="E61" s="173"/>
      <c r="F61" s="173"/>
      <c r="G61" s="173"/>
      <c r="H61" s="173"/>
      <c r="I61" s="173"/>
      <c r="L61" s="4"/>
      <c r="M61" s="4"/>
      <c r="N61" s="4"/>
    </row>
    <row r="62" spans="2:14" x14ac:dyDescent="0.2">
      <c r="B62" s="173"/>
      <c r="C62" s="173"/>
      <c r="D62" s="173"/>
      <c r="E62" s="173"/>
      <c r="F62" s="173"/>
      <c r="G62" s="173"/>
      <c r="H62" s="173"/>
      <c r="I62" s="173"/>
      <c r="L62" s="4"/>
      <c r="M62" s="4"/>
      <c r="N62" s="4"/>
    </row>
    <row r="63" spans="2:14" x14ac:dyDescent="0.2">
      <c r="L63" s="4"/>
      <c r="M63" s="4"/>
      <c r="N63" s="4"/>
    </row>
    <row r="64" spans="2:14" x14ac:dyDescent="0.2">
      <c r="L64" s="4"/>
      <c r="M64" s="4"/>
      <c r="N64" s="4"/>
    </row>
    <row r="65" spans="2:14" x14ac:dyDescent="0.2">
      <c r="L65" s="4"/>
      <c r="M65" s="4"/>
      <c r="N65" s="4"/>
    </row>
    <row r="66" spans="2:14" x14ac:dyDescent="0.2">
      <c r="L66" s="4"/>
      <c r="M66" s="4"/>
      <c r="N66" s="4"/>
    </row>
    <row r="67" spans="2:14" x14ac:dyDescent="0.2">
      <c r="L67" s="4"/>
      <c r="M67" s="4"/>
      <c r="N67" s="4"/>
    </row>
    <row r="68" spans="2:14" x14ac:dyDescent="0.2">
      <c r="L68" s="4"/>
      <c r="M68" s="4"/>
      <c r="N68" s="4"/>
    </row>
    <row r="69" spans="2:14" x14ac:dyDescent="0.2">
      <c r="L69" s="4"/>
      <c r="M69" s="4"/>
      <c r="N69" s="4"/>
    </row>
    <row r="70" spans="2:14" x14ac:dyDescent="0.2">
      <c r="L70" s="4"/>
      <c r="M70" s="4"/>
      <c r="N70" s="4"/>
    </row>
    <row r="71" spans="2:14" x14ac:dyDescent="0.2">
      <c r="L71" s="4"/>
      <c r="M71" s="4"/>
      <c r="N71" s="4"/>
    </row>
    <row r="72" spans="2:14" x14ac:dyDescent="0.2">
      <c r="L72" s="4"/>
      <c r="M72" s="4"/>
      <c r="N72" s="4"/>
    </row>
    <row r="73" spans="2:14" x14ac:dyDescent="0.2">
      <c r="L73" s="4"/>
      <c r="M73" s="4"/>
      <c r="N73" s="4"/>
    </row>
    <row r="74" spans="2:14" x14ac:dyDescent="0.2">
      <c r="L74" s="4"/>
      <c r="M74" s="4"/>
      <c r="N74" s="4"/>
    </row>
    <row r="75" spans="2:14" x14ac:dyDescent="0.2">
      <c r="L75" s="4"/>
      <c r="M75" s="4"/>
      <c r="N75" s="4"/>
    </row>
    <row r="76" spans="2:14" x14ac:dyDescent="0.2">
      <c r="L76" s="4"/>
      <c r="M76" s="4"/>
      <c r="N76" s="4"/>
    </row>
    <row r="77" spans="2:14" x14ac:dyDescent="0.2">
      <c r="L77" s="4"/>
      <c r="M77" s="4"/>
      <c r="N77" s="4"/>
    </row>
    <row r="78" spans="2:14" x14ac:dyDescent="0.2">
      <c r="B78" s="174" t="s">
        <v>221</v>
      </c>
      <c r="C78" s="173"/>
      <c r="D78" s="173"/>
      <c r="E78" s="173"/>
      <c r="F78" s="173"/>
      <c r="G78" s="173"/>
      <c r="H78" s="173"/>
      <c r="I78" s="173"/>
      <c r="L78" s="4"/>
      <c r="M78" s="4"/>
      <c r="N78" s="4"/>
    </row>
    <row r="79" spans="2:14" x14ac:dyDescent="0.2">
      <c r="B79" s="173"/>
      <c r="C79" s="173"/>
      <c r="D79" s="173"/>
      <c r="E79" s="173"/>
      <c r="F79" s="173"/>
      <c r="G79" s="173"/>
      <c r="H79" s="173"/>
      <c r="I79" s="173"/>
      <c r="L79" s="4"/>
      <c r="M79" s="4"/>
      <c r="N79" s="4"/>
    </row>
    <row r="80" spans="2:14" x14ac:dyDescent="0.2">
      <c r="L80" s="4"/>
      <c r="M80" s="4"/>
      <c r="N80" s="4"/>
    </row>
    <row r="81" spans="1:14" ht="19" x14ac:dyDescent="0.25">
      <c r="B81" s="20" t="s">
        <v>107</v>
      </c>
      <c r="L81" s="4"/>
      <c r="M81" s="4"/>
      <c r="N81" s="4"/>
    </row>
    <row r="82" spans="1:14" x14ac:dyDescent="0.2">
      <c r="B82" s="171" t="s">
        <v>223</v>
      </c>
      <c r="C82" s="137"/>
      <c r="D82" s="137"/>
      <c r="E82" s="137"/>
      <c r="F82" s="137"/>
      <c r="G82" s="137"/>
      <c r="H82" s="137"/>
      <c r="I82" s="137"/>
      <c r="L82" s="4"/>
      <c r="M82" s="4"/>
      <c r="N82" s="4"/>
    </row>
    <row r="83" spans="1:14" x14ac:dyDescent="0.2">
      <c r="B83" s="171"/>
      <c r="C83" s="137"/>
      <c r="D83" s="137"/>
      <c r="E83" s="137"/>
      <c r="F83" s="137"/>
      <c r="G83" s="137"/>
      <c r="H83" s="137"/>
      <c r="I83" s="137"/>
      <c r="L83" s="4"/>
      <c r="M83" s="4"/>
      <c r="N83" s="4"/>
    </row>
    <row r="84" spans="1:14" x14ac:dyDescent="0.2">
      <c r="B84" s="137"/>
      <c r="C84" s="137"/>
      <c r="D84" s="137"/>
      <c r="E84" s="137"/>
      <c r="F84" s="137"/>
      <c r="G84" s="137"/>
      <c r="H84" s="137"/>
      <c r="I84" s="137"/>
      <c r="L84" s="4"/>
      <c r="M84" s="4"/>
      <c r="N84" s="4"/>
    </row>
    <row r="85" spans="1:14" x14ac:dyDescent="0.2">
      <c r="B85" s="82" t="s">
        <v>118</v>
      </c>
      <c r="L85" s="4"/>
      <c r="M85" s="4"/>
      <c r="N85" s="4"/>
    </row>
    <row r="86" spans="1:14" x14ac:dyDescent="0.2">
      <c r="B86" s="171" t="s">
        <v>224</v>
      </c>
      <c r="C86" s="137"/>
      <c r="D86" s="137"/>
      <c r="E86" s="137"/>
      <c r="F86" s="137"/>
      <c r="G86" s="137"/>
      <c r="H86" s="137"/>
      <c r="I86" s="137"/>
      <c r="L86" s="4"/>
      <c r="M86" s="4"/>
      <c r="N86" s="4"/>
    </row>
    <row r="87" spans="1:14" x14ac:dyDescent="0.2">
      <c r="B87" s="137"/>
      <c r="C87" s="137"/>
      <c r="D87" s="137"/>
      <c r="E87" s="137"/>
      <c r="F87" s="137"/>
      <c r="G87" s="137"/>
      <c r="H87" s="137"/>
      <c r="I87" s="137"/>
      <c r="L87" s="4"/>
      <c r="M87" s="4"/>
      <c r="N87" s="4"/>
    </row>
    <row r="88" spans="1:14" x14ac:dyDescent="0.2">
      <c r="L88" s="4"/>
      <c r="M88" s="4"/>
      <c r="N88" s="4"/>
    </row>
    <row r="89" spans="1:14" x14ac:dyDescent="0.2">
      <c r="B89" s="137" t="s">
        <v>194</v>
      </c>
      <c r="C89" s="137"/>
      <c r="D89" s="137"/>
      <c r="E89" s="137"/>
      <c r="F89" s="137"/>
      <c r="G89" s="137"/>
      <c r="H89" s="137"/>
      <c r="I89" s="137"/>
      <c r="L89" s="4"/>
      <c r="M89" s="4"/>
      <c r="N89" s="4"/>
    </row>
    <row r="90" spans="1:14" x14ac:dyDescent="0.2">
      <c r="B90" s="137"/>
      <c r="C90" s="137"/>
      <c r="D90" s="137"/>
      <c r="E90" s="137"/>
      <c r="F90" s="137"/>
      <c r="G90" s="137"/>
      <c r="H90" s="137"/>
      <c r="I90" s="137"/>
      <c r="L90" s="4"/>
      <c r="M90" s="4"/>
      <c r="N90" s="4"/>
    </row>
    <row r="91" spans="1:14" x14ac:dyDescent="0.2">
      <c r="L91" s="4"/>
      <c r="M91" s="4"/>
      <c r="N91" s="4"/>
    </row>
    <row r="92" spans="1:14" ht="19" x14ac:dyDescent="0.25">
      <c r="A92" s="2" t="s">
        <v>75</v>
      </c>
      <c r="L92" s="4"/>
      <c r="M92" s="4"/>
      <c r="N92" s="4"/>
    </row>
    <row r="93" spans="1:14" x14ac:dyDescent="0.2">
      <c r="B93" s="82" t="s">
        <v>108</v>
      </c>
      <c r="L93" s="4"/>
      <c r="M93" s="4"/>
      <c r="N93" s="4"/>
    </row>
    <row r="94" spans="1:14" x14ac:dyDescent="0.2">
      <c r="L94" s="4"/>
      <c r="M94" s="4"/>
      <c r="N94" s="4"/>
    </row>
    <row r="95" spans="1:14" ht="19" x14ac:dyDescent="0.25">
      <c r="A95" s="2" t="s">
        <v>77</v>
      </c>
      <c r="L95" s="4"/>
      <c r="M95" s="4"/>
      <c r="N95" s="4"/>
    </row>
    <row r="96" spans="1:14" x14ac:dyDescent="0.2">
      <c r="B96" s="82" t="s">
        <v>109</v>
      </c>
      <c r="L96" s="4"/>
      <c r="M96" s="4"/>
      <c r="N96" s="4"/>
    </row>
    <row r="97" spans="1:65" x14ac:dyDescent="0.2">
      <c r="M97" s="93"/>
    </row>
    <row r="98" spans="1:65" x14ac:dyDescent="0.2">
      <c r="L98" s="4"/>
      <c r="M98" s="4"/>
      <c r="N98" s="4"/>
    </row>
    <row r="99" spans="1:65" x14ac:dyDescent="0.2">
      <c r="L99" s="4"/>
      <c r="M99" s="4"/>
      <c r="N99" s="4"/>
    </row>
    <row r="100" spans="1:65" x14ac:dyDescent="0.2">
      <c r="L100" s="4"/>
      <c r="M100" s="4"/>
      <c r="N100" s="4"/>
    </row>
    <row r="101" spans="1:65" x14ac:dyDescent="0.2">
      <c r="L101" s="4"/>
      <c r="M101" s="4"/>
      <c r="N101" s="4"/>
    </row>
    <row r="102" spans="1:65" x14ac:dyDescent="0.2">
      <c r="L102" s="4"/>
      <c r="M102" s="4"/>
      <c r="N102" s="4"/>
    </row>
    <row r="103" spans="1:65" x14ac:dyDescent="0.2">
      <c r="L103" s="4"/>
      <c r="M103" s="4"/>
      <c r="N103" s="4"/>
    </row>
    <row r="104" spans="1:65" x14ac:dyDescent="0.2">
      <c r="L104" s="4"/>
      <c r="M104" s="4"/>
      <c r="N104" s="4"/>
    </row>
    <row r="105" spans="1:65" x14ac:dyDescent="0.2">
      <c r="L105" s="4"/>
      <c r="M105" s="4"/>
      <c r="N105" s="4"/>
    </row>
    <row r="106" spans="1:65" x14ac:dyDescent="0.2">
      <c r="L106" s="4"/>
      <c r="M106" s="4"/>
      <c r="N106" s="4"/>
    </row>
    <row r="107" spans="1:65" x14ac:dyDescent="0.2">
      <c r="M107" s="93"/>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sheetData>
  <mergeCells count="6">
    <mergeCell ref="B82:I84"/>
    <mergeCell ref="B86:I87"/>
    <mergeCell ref="B89:I90"/>
    <mergeCell ref="B38:I39"/>
    <mergeCell ref="B47:I62"/>
    <mergeCell ref="B78:I7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201"/>
  <sheetViews>
    <sheetView showGridLines="0" zoomScale="120" zoomScaleNormal="120" workbookViewId="0"/>
  </sheetViews>
  <sheetFormatPr baseColWidth="10" defaultColWidth="10.83203125" defaultRowHeight="16" x14ac:dyDescent="0.2"/>
  <cols>
    <col min="1" max="1" width="10.83203125" style="82"/>
    <col min="2" max="3" width="10.83203125" style="82" customWidth="1"/>
    <col min="4" max="4" width="12.1640625" style="82" customWidth="1"/>
    <col min="5" max="5" width="13.6640625" style="82" customWidth="1"/>
    <col min="6" max="6" width="10.83203125" style="82" customWidth="1"/>
    <col min="7" max="7" width="10.83203125" style="82"/>
    <col min="8" max="8" width="10.83203125" style="82" customWidth="1"/>
    <col min="9" max="16384" width="10.83203125" style="82"/>
  </cols>
  <sheetData>
    <row r="1" spans="1:10" ht="19" x14ac:dyDescent="0.25">
      <c r="A1" s="1" t="s">
        <v>131</v>
      </c>
      <c r="B1" s="80"/>
      <c r="C1" s="80"/>
      <c r="D1" s="80"/>
      <c r="E1" s="80"/>
      <c r="F1" s="80"/>
      <c r="G1" s="80"/>
      <c r="H1" s="80"/>
      <c r="I1" s="80"/>
      <c r="J1" s="81"/>
    </row>
    <row r="2" spans="1:10" x14ac:dyDescent="0.2">
      <c r="A2" s="83"/>
      <c r="B2" s="80"/>
      <c r="C2" s="80"/>
      <c r="D2" s="80"/>
      <c r="E2" s="80"/>
      <c r="F2" s="80"/>
      <c r="G2" s="80"/>
      <c r="H2" s="80"/>
      <c r="I2" s="80"/>
      <c r="J2" s="81"/>
    </row>
    <row r="3" spans="1:10" x14ac:dyDescent="0.2">
      <c r="A3" s="83"/>
      <c r="B3" s="80" t="s">
        <v>170</v>
      </c>
      <c r="C3" s="80"/>
      <c r="D3" s="80"/>
      <c r="E3" s="80"/>
      <c r="F3" s="80"/>
      <c r="G3" s="80"/>
      <c r="H3" s="80"/>
      <c r="I3" s="80"/>
      <c r="J3" s="81"/>
    </row>
    <row r="4" spans="1:10" x14ac:dyDescent="0.2">
      <c r="A4" s="83"/>
      <c r="B4" s="80"/>
      <c r="C4" s="80"/>
      <c r="D4" s="80"/>
      <c r="E4" s="80"/>
      <c r="F4" s="80"/>
      <c r="G4" s="80"/>
      <c r="H4" s="80"/>
      <c r="I4" s="80"/>
      <c r="J4" s="81"/>
    </row>
    <row r="5" spans="1:10" x14ac:dyDescent="0.2">
      <c r="A5" s="83"/>
      <c r="B5" s="80"/>
      <c r="C5" s="149" t="s">
        <v>20</v>
      </c>
      <c r="D5" s="146" t="s">
        <v>67</v>
      </c>
      <c r="E5" s="143" t="s">
        <v>23</v>
      </c>
      <c r="F5" s="140" t="s">
        <v>8</v>
      </c>
      <c r="G5" s="80"/>
      <c r="H5" s="80"/>
      <c r="I5" s="80"/>
      <c r="J5" s="81"/>
    </row>
    <row r="6" spans="1:10" x14ac:dyDescent="0.2">
      <c r="A6" s="83"/>
      <c r="B6" s="80"/>
      <c r="C6" s="150"/>
      <c r="D6" s="147"/>
      <c r="E6" s="144"/>
      <c r="F6" s="141"/>
      <c r="G6" s="80"/>
      <c r="H6" s="80"/>
      <c r="I6" s="80"/>
      <c r="J6" s="81"/>
    </row>
    <row r="7" spans="1:10" x14ac:dyDescent="0.2">
      <c r="A7" s="83"/>
      <c r="B7" s="80"/>
      <c r="C7" s="151"/>
      <c r="D7" s="148"/>
      <c r="E7" s="145"/>
      <c r="F7" s="142"/>
      <c r="G7" s="80"/>
      <c r="H7" s="80"/>
      <c r="I7" s="80"/>
      <c r="J7" s="81"/>
    </row>
    <row r="8" spans="1:10" x14ac:dyDescent="0.2">
      <c r="A8" s="83"/>
      <c r="B8" s="80"/>
      <c r="C8" s="41">
        <v>2020</v>
      </c>
      <c r="D8" s="42">
        <v>273</v>
      </c>
      <c r="E8" s="43">
        <v>2520</v>
      </c>
      <c r="F8" s="44">
        <v>2600</v>
      </c>
      <c r="G8" s="80"/>
      <c r="H8" s="80"/>
      <c r="I8" s="80"/>
      <c r="J8" s="81"/>
    </row>
    <row r="9" spans="1:10" x14ac:dyDescent="0.2">
      <c r="A9" s="83"/>
      <c r="B9" s="80"/>
      <c r="C9" s="31">
        <v>2021</v>
      </c>
      <c r="D9" s="45">
        <v>620</v>
      </c>
      <c r="E9" s="46">
        <v>2740</v>
      </c>
      <c r="F9" s="47">
        <v>2820</v>
      </c>
      <c r="G9" s="80"/>
      <c r="H9" s="80"/>
      <c r="I9" s="80"/>
      <c r="J9" s="81"/>
    </row>
    <row r="10" spans="1:10" x14ac:dyDescent="0.2">
      <c r="A10" s="83"/>
      <c r="B10" s="80"/>
      <c r="C10" s="31">
        <v>2022</v>
      </c>
      <c r="D10" s="45">
        <v>1875</v>
      </c>
      <c r="E10" s="32">
        <v>0</v>
      </c>
      <c r="F10" s="47">
        <v>2400</v>
      </c>
      <c r="G10" s="80"/>
      <c r="H10" s="80"/>
      <c r="I10" s="80"/>
      <c r="J10" s="81"/>
    </row>
    <row r="11" spans="1:10" x14ac:dyDescent="0.2">
      <c r="A11" s="83"/>
      <c r="B11" s="80"/>
      <c r="C11" s="33">
        <v>2023</v>
      </c>
      <c r="D11" s="48">
        <v>2210</v>
      </c>
      <c r="E11" s="6">
        <v>0</v>
      </c>
      <c r="F11" s="71">
        <v>2575</v>
      </c>
      <c r="G11" s="80"/>
      <c r="H11" s="80"/>
      <c r="I11" s="80"/>
      <c r="J11" s="81"/>
    </row>
    <row r="12" spans="1:10" x14ac:dyDescent="0.2">
      <c r="A12" s="83"/>
      <c r="B12" s="80"/>
      <c r="C12" s="80"/>
      <c r="D12" s="80"/>
      <c r="E12" s="80"/>
      <c r="F12" s="80"/>
      <c r="G12" s="80"/>
      <c r="H12" s="80"/>
      <c r="I12" s="80"/>
      <c r="J12" s="81"/>
    </row>
    <row r="13" spans="1:10" x14ac:dyDescent="0.2">
      <c r="A13" s="83"/>
      <c r="B13" s="80" t="s">
        <v>141</v>
      </c>
      <c r="C13" s="80"/>
      <c r="D13" s="80"/>
      <c r="E13" s="80"/>
      <c r="F13" s="88">
        <v>0.75</v>
      </c>
      <c r="G13" s="80"/>
      <c r="H13" s="80"/>
      <c r="I13" s="80"/>
      <c r="J13" s="81"/>
    </row>
    <row r="14" spans="1:10" x14ac:dyDescent="0.2">
      <c r="A14" s="83"/>
      <c r="B14" s="80" t="s">
        <v>140</v>
      </c>
      <c r="C14" s="80"/>
      <c r="D14" s="80"/>
      <c r="E14" s="80"/>
      <c r="F14" s="87">
        <v>0.2</v>
      </c>
      <c r="G14" s="80"/>
      <c r="H14" s="80"/>
      <c r="I14" s="80"/>
      <c r="J14" s="81"/>
    </row>
    <row r="15" spans="1:10" x14ac:dyDescent="0.2">
      <c r="A15" s="83"/>
      <c r="B15" s="80"/>
      <c r="C15" s="80"/>
      <c r="D15" s="80"/>
      <c r="E15" s="80"/>
      <c r="F15" s="80"/>
      <c r="G15" s="80"/>
      <c r="H15" s="80"/>
      <c r="I15" s="80"/>
      <c r="J15" s="81"/>
    </row>
    <row r="16" spans="1:10" x14ac:dyDescent="0.2">
      <c r="A16" s="83"/>
      <c r="B16" s="80"/>
      <c r="C16" s="128" t="s">
        <v>27</v>
      </c>
      <c r="D16" s="129"/>
      <c r="E16" s="129"/>
      <c r="F16" s="129"/>
      <c r="G16" s="129"/>
      <c r="H16" s="130"/>
      <c r="I16" s="80"/>
      <c r="J16" s="81"/>
    </row>
    <row r="17" spans="1:10" ht="20" customHeight="1" x14ac:dyDescent="0.2">
      <c r="A17" s="83"/>
      <c r="B17" s="80"/>
      <c r="C17" s="50"/>
      <c r="D17" s="51" t="s">
        <v>2</v>
      </c>
      <c r="E17" s="29" t="s">
        <v>3</v>
      </c>
      <c r="F17" s="29" t="s">
        <v>4</v>
      </c>
      <c r="G17" s="29" t="s">
        <v>24</v>
      </c>
      <c r="H17" s="30" t="s">
        <v>25</v>
      </c>
      <c r="I17" s="80"/>
      <c r="J17" s="81"/>
    </row>
    <row r="18" spans="1:10" ht="19" x14ac:dyDescent="0.25">
      <c r="A18" s="83"/>
      <c r="B18" s="80"/>
      <c r="C18" s="41" t="s">
        <v>28</v>
      </c>
      <c r="D18" s="38">
        <v>1.73</v>
      </c>
      <c r="E18" s="35">
        <v>0.76</v>
      </c>
      <c r="F18" s="35">
        <v>0.61</v>
      </c>
      <c r="G18" s="35">
        <v>0.51</v>
      </c>
      <c r="H18" s="52">
        <v>0</v>
      </c>
      <c r="I18" s="80"/>
      <c r="J18" s="81"/>
    </row>
    <row r="19" spans="1:10" ht="17" x14ac:dyDescent="0.2">
      <c r="A19" s="83"/>
      <c r="B19" s="80"/>
      <c r="C19" s="33" t="s">
        <v>26</v>
      </c>
      <c r="D19" s="53">
        <v>0.76300000000000001</v>
      </c>
      <c r="E19" s="54">
        <v>0.10299999999999999</v>
      </c>
      <c r="F19" s="54">
        <v>6.9000000000000006E-2</v>
      </c>
      <c r="G19" s="54">
        <v>3.7999999999999999E-2</v>
      </c>
      <c r="H19" s="55">
        <v>2.7E-2</v>
      </c>
      <c r="I19" s="80"/>
      <c r="J19" s="81"/>
    </row>
    <row r="20" spans="1:10" x14ac:dyDescent="0.2">
      <c r="A20" s="83"/>
      <c r="B20" s="80"/>
      <c r="C20" s="80"/>
      <c r="D20" s="80"/>
      <c r="E20" s="80"/>
      <c r="F20" s="80"/>
      <c r="G20" s="80"/>
      <c r="H20" s="80"/>
      <c r="I20" s="80"/>
      <c r="J20" s="81"/>
    </row>
    <row r="21" spans="1:10" x14ac:dyDescent="0.2">
      <c r="A21" s="83"/>
      <c r="B21" s="80"/>
      <c r="C21" s="80"/>
      <c r="D21" s="80"/>
      <c r="E21" s="80"/>
      <c r="F21" s="80"/>
      <c r="G21" s="80"/>
      <c r="H21" s="80"/>
      <c r="I21" s="80"/>
      <c r="J21" s="81"/>
    </row>
    <row r="22" spans="1:10" x14ac:dyDescent="0.2">
      <c r="A22" s="83"/>
      <c r="B22" s="80" t="s">
        <v>206</v>
      </c>
      <c r="C22" s="80"/>
      <c r="D22" s="80"/>
      <c r="E22" s="80"/>
      <c r="F22" s="80"/>
      <c r="G22" s="80"/>
      <c r="H22" s="80"/>
      <c r="I22" s="80"/>
      <c r="J22" s="81"/>
    </row>
    <row r="23" spans="1:10" x14ac:dyDescent="0.2">
      <c r="A23" s="83"/>
      <c r="B23" s="126" t="s">
        <v>220</v>
      </c>
      <c r="C23" s="80"/>
      <c r="D23" s="80"/>
      <c r="E23" s="80"/>
      <c r="F23" s="80"/>
      <c r="G23" s="80"/>
      <c r="H23" s="98">
        <v>11360000</v>
      </c>
      <c r="I23" s="80"/>
      <c r="J23" s="81"/>
    </row>
    <row r="24" spans="1:10" x14ac:dyDescent="0.2">
      <c r="A24" s="83"/>
      <c r="B24" s="80"/>
      <c r="C24" s="80"/>
      <c r="D24" s="80"/>
      <c r="E24" s="80"/>
      <c r="F24" s="80"/>
      <c r="G24" s="80"/>
      <c r="H24" s="80"/>
      <c r="I24" s="80"/>
      <c r="J24" s="81"/>
    </row>
    <row r="25" spans="1:10" x14ac:dyDescent="0.2">
      <c r="A25" s="83"/>
      <c r="B25" s="80"/>
      <c r="C25" s="80"/>
      <c r="D25" s="80"/>
      <c r="E25" s="80"/>
      <c r="F25" s="80"/>
      <c r="G25" s="80"/>
      <c r="H25" s="80"/>
      <c r="I25" s="80"/>
      <c r="J25" s="81"/>
    </row>
    <row r="26" spans="1:10" x14ac:dyDescent="0.2">
      <c r="A26" s="83"/>
      <c r="B26" s="80" t="s">
        <v>207</v>
      </c>
      <c r="C26" s="80"/>
      <c r="D26" s="80"/>
      <c r="E26" s="80"/>
      <c r="F26" s="80"/>
      <c r="G26" s="80"/>
      <c r="H26" s="80"/>
      <c r="I26" s="80"/>
      <c r="J26" s="81"/>
    </row>
    <row r="27" spans="1:10" x14ac:dyDescent="0.2">
      <c r="A27" s="83"/>
      <c r="B27" s="80" t="s">
        <v>68</v>
      </c>
      <c r="C27" s="80"/>
      <c r="D27" s="80"/>
      <c r="E27" s="80"/>
      <c r="F27" s="80"/>
      <c r="G27" s="80"/>
      <c r="H27" s="80"/>
      <c r="I27" s="80"/>
      <c r="J27" s="81"/>
    </row>
    <row r="28" spans="1:10" ht="17" thickBot="1" x14ac:dyDescent="0.25">
      <c r="A28" s="89"/>
      <c r="B28" s="90"/>
      <c r="C28" s="91"/>
      <c r="D28" s="91"/>
      <c r="E28" s="91"/>
      <c r="F28" s="90"/>
      <c r="G28" s="90"/>
      <c r="H28" s="90"/>
      <c r="I28" s="90"/>
      <c r="J28" s="92"/>
    </row>
    <row r="30" spans="1:10" ht="19" x14ac:dyDescent="0.25">
      <c r="A30" s="2" t="s">
        <v>0</v>
      </c>
    </row>
    <row r="31" spans="1:10" ht="18" customHeight="1" x14ac:dyDescent="0.2">
      <c r="A31" s="99" t="s">
        <v>124</v>
      </c>
      <c r="B31" s="136" t="s">
        <v>195</v>
      </c>
      <c r="C31" s="136"/>
      <c r="D31" s="136"/>
      <c r="E31" s="136"/>
      <c r="F31" s="136"/>
      <c r="G31" s="136"/>
      <c r="H31" s="136"/>
      <c r="I31" s="136"/>
    </row>
    <row r="32" spans="1:10" x14ac:dyDescent="0.2">
      <c r="A32" s="99"/>
      <c r="B32" s="136"/>
      <c r="C32" s="136"/>
      <c r="D32" s="136"/>
      <c r="E32" s="136"/>
      <c r="F32" s="136"/>
      <c r="G32" s="136"/>
      <c r="H32" s="136"/>
      <c r="I32" s="136"/>
    </row>
    <row r="33" spans="1:12" x14ac:dyDescent="0.2">
      <c r="A33" s="99"/>
      <c r="B33" s="136"/>
      <c r="C33" s="136"/>
      <c r="D33" s="136"/>
      <c r="E33" s="136"/>
      <c r="F33" s="136"/>
      <c r="G33" s="136"/>
      <c r="H33" s="136"/>
      <c r="I33" s="136"/>
    </row>
    <row r="34" spans="1:12" ht="17" thickBot="1" x14ac:dyDescent="0.25">
      <c r="A34" s="99"/>
      <c r="B34" s="104"/>
      <c r="C34" s="104"/>
      <c r="D34" s="104"/>
      <c r="E34" s="104"/>
      <c r="F34" s="104"/>
      <c r="G34" s="104"/>
      <c r="H34" s="104"/>
      <c r="I34" s="104"/>
    </row>
    <row r="35" spans="1:12" x14ac:dyDescent="0.2">
      <c r="A35" s="99"/>
      <c r="B35" s="104"/>
      <c r="C35" s="104"/>
      <c r="D35" s="104"/>
      <c r="E35" s="104"/>
      <c r="F35" s="120" t="s">
        <v>215</v>
      </c>
      <c r="G35" s="177" t="s">
        <v>31</v>
      </c>
      <c r="H35" s="179" t="s">
        <v>217</v>
      </c>
    </row>
    <row r="36" spans="1:12" ht="15.75" customHeight="1" x14ac:dyDescent="0.2">
      <c r="A36" s="99"/>
      <c r="B36" s="104"/>
      <c r="C36" s="104"/>
      <c r="D36" s="104"/>
      <c r="E36" s="104"/>
      <c r="F36" s="77" t="s">
        <v>216</v>
      </c>
      <c r="G36" s="178"/>
      <c r="H36" s="180"/>
    </row>
    <row r="37" spans="1:12" x14ac:dyDescent="0.2">
      <c r="A37" s="99"/>
      <c r="B37" s="104"/>
      <c r="C37" s="104"/>
      <c r="D37" s="104"/>
      <c r="E37" s="104"/>
      <c r="F37" s="75">
        <v>1</v>
      </c>
      <c r="G37" s="9">
        <f>SUMPRODUCT($D$18:$H$18,$D$19:$H$19)/SUM($D$19:$H$19)</f>
        <v>1.4597399999999998</v>
      </c>
      <c r="H37" s="123">
        <f>G37-$F$14/$F$13</f>
        <v>1.1930733333333332</v>
      </c>
    </row>
    <row r="38" spans="1:12" x14ac:dyDescent="0.2">
      <c r="A38" s="99"/>
      <c r="B38" s="15"/>
      <c r="F38" s="75">
        <v>2</v>
      </c>
      <c r="G38" s="9">
        <f>SUMPRODUCT($E$18:$H$18,$E$19:$H$19)/SUM($E$19:$H$19)</f>
        <v>0.58966244725738404</v>
      </c>
      <c r="H38" s="124">
        <f>G38</f>
        <v>0.58966244725738404</v>
      </c>
    </row>
    <row r="39" spans="1:12" x14ac:dyDescent="0.2">
      <c r="A39" s="3"/>
      <c r="F39" s="75">
        <v>3</v>
      </c>
      <c r="G39" s="9">
        <f>SUMPRODUCT($F$18:$H$18,$F$19:$H$19)/SUM($F$19:$H$19)</f>
        <v>0.45873134328358212</v>
      </c>
      <c r="H39" s="124">
        <f t="shared" ref="H39:H40" si="0">G39</f>
        <v>0.45873134328358212</v>
      </c>
    </row>
    <row r="40" spans="1:12" ht="17" thickBot="1" x14ac:dyDescent="0.25">
      <c r="F40" s="75">
        <v>4</v>
      </c>
      <c r="G40" s="9">
        <f>SUMPRODUCT($G$18:$H$18,$G$19:$H$19)/SUM($G$19:$H$19)</f>
        <v>0.29815384615384616</v>
      </c>
      <c r="H40" s="125">
        <f t="shared" si="0"/>
        <v>0.29815384615384616</v>
      </c>
    </row>
    <row r="41" spans="1:12" ht="17" x14ac:dyDescent="0.2">
      <c r="B41" s="104" t="s">
        <v>196</v>
      </c>
    </row>
    <row r="42" spans="1:12" ht="18" customHeight="1" x14ac:dyDescent="0.2">
      <c r="B42" s="119" t="s">
        <v>208</v>
      </c>
      <c r="C42" s="119"/>
      <c r="D42" s="119"/>
      <c r="E42" s="119"/>
    </row>
    <row r="43" spans="1:12" x14ac:dyDescent="0.2">
      <c r="L43" s="4"/>
    </row>
    <row r="44" spans="1:12" x14ac:dyDescent="0.2">
      <c r="A44" s="99" t="s">
        <v>125</v>
      </c>
      <c r="B44" s="136" t="s">
        <v>197</v>
      </c>
      <c r="C44" s="136"/>
      <c r="D44" s="136"/>
      <c r="E44" s="136"/>
      <c r="F44" s="136"/>
      <c r="G44" s="136"/>
      <c r="H44" s="136"/>
      <c r="I44" s="136"/>
      <c r="L44" s="4"/>
    </row>
    <row r="45" spans="1:12" x14ac:dyDescent="0.2">
      <c r="A45" s="99"/>
      <c r="B45" s="136"/>
      <c r="C45" s="136"/>
      <c r="D45" s="136"/>
      <c r="E45" s="136"/>
      <c r="F45" s="136"/>
      <c r="G45" s="136"/>
      <c r="H45" s="136"/>
      <c r="I45" s="136"/>
      <c r="L45" s="4"/>
    </row>
    <row r="46" spans="1:12" x14ac:dyDescent="0.2">
      <c r="A46" s="99"/>
      <c r="B46" s="15"/>
      <c r="L46" s="4"/>
    </row>
    <row r="47" spans="1:12" x14ac:dyDescent="0.2">
      <c r="A47" s="99"/>
      <c r="B47" s="15"/>
      <c r="L47" s="4"/>
    </row>
    <row r="48" spans="1:12" x14ac:dyDescent="0.2">
      <c r="A48" s="99"/>
      <c r="B48" s="15"/>
      <c r="L48" s="4"/>
    </row>
    <row r="50" spans="1:15" x14ac:dyDescent="0.2">
      <c r="A50" s="99" t="s">
        <v>146</v>
      </c>
      <c r="B50" s="15" t="s">
        <v>70</v>
      </c>
    </row>
    <row r="51" spans="1:15" x14ac:dyDescent="0.2">
      <c r="A51" s="99"/>
      <c r="B51" s="15"/>
    </row>
    <row r="52" spans="1:15" x14ac:dyDescent="0.2">
      <c r="C52" s="9"/>
    </row>
    <row r="54" spans="1:15" x14ac:dyDescent="0.2">
      <c r="A54" s="99" t="s">
        <v>147</v>
      </c>
      <c r="B54" s="15" t="s">
        <v>177</v>
      </c>
    </row>
    <row r="55" spans="1:15" x14ac:dyDescent="0.2">
      <c r="A55" s="99"/>
      <c r="B55" s="15"/>
    </row>
    <row r="56" spans="1:15" x14ac:dyDescent="0.2">
      <c r="A56" s="99"/>
      <c r="B56" s="15"/>
    </row>
    <row r="57" spans="1:15" x14ac:dyDescent="0.2">
      <c r="A57" s="99"/>
      <c r="B57" s="15"/>
    </row>
    <row r="58" spans="1:15" x14ac:dyDescent="0.2">
      <c r="E58" s="177" t="s">
        <v>37</v>
      </c>
      <c r="F58" s="177" t="s">
        <v>38</v>
      </c>
      <c r="G58" s="175" t="s">
        <v>123</v>
      </c>
    </row>
    <row r="59" spans="1:15" x14ac:dyDescent="0.2">
      <c r="B59" s="115"/>
      <c r="C59" s="177" t="s">
        <v>30</v>
      </c>
      <c r="D59" s="177" t="s">
        <v>69</v>
      </c>
      <c r="E59" s="177"/>
      <c r="F59" s="177"/>
      <c r="G59" s="175"/>
    </row>
    <row r="60" spans="1:15" ht="16" customHeight="1" x14ac:dyDescent="0.2">
      <c r="B60" s="77" t="s">
        <v>29</v>
      </c>
      <c r="C60" s="178"/>
      <c r="D60" s="178"/>
      <c r="E60" s="178"/>
      <c r="F60" s="178"/>
      <c r="G60" s="176"/>
      <c r="H60" s="72" t="s">
        <v>34</v>
      </c>
    </row>
    <row r="61" spans="1:15" x14ac:dyDescent="0.2">
      <c r="B61" s="75">
        <v>2020</v>
      </c>
      <c r="C61" s="10">
        <f>D8</f>
        <v>273</v>
      </c>
      <c r="D61" s="9">
        <f>H39</f>
        <v>0.45873134328358212</v>
      </c>
      <c r="E61" s="11">
        <f>D61*C61</f>
        <v>125.23365671641791</v>
      </c>
      <c r="F61" s="10">
        <v>0</v>
      </c>
      <c r="G61" s="78">
        <f>E8</f>
        <v>2520</v>
      </c>
      <c r="H61" s="10">
        <f>SUM(E61:G61)</f>
        <v>2645.233656716418</v>
      </c>
    </row>
    <row r="62" spans="1:15" x14ac:dyDescent="0.2">
      <c r="A62" s="3"/>
      <c r="B62" s="75">
        <v>2021</v>
      </c>
      <c r="C62" s="10">
        <f>D9</f>
        <v>620</v>
      </c>
      <c r="D62" s="9">
        <f>H38</f>
        <v>0.58966244725738404</v>
      </c>
      <c r="E62" s="11">
        <f>D62*C62</f>
        <v>365.5907172995781</v>
      </c>
      <c r="F62" s="10">
        <v>0</v>
      </c>
      <c r="G62" s="78">
        <f>E9</f>
        <v>2740</v>
      </c>
      <c r="H62" s="10">
        <f>SUM(E62:G62)</f>
        <v>3105.590717299578</v>
      </c>
    </row>
    <row r="63" spans="1:15" x14ac:dyDescent="0.2">
      <c r="B63" s="75">
        <v>2022</v>
      </c>
      <c r="C63" s="10">
        <f>D10</f>
        <v>1875</v>
      </c>
      <c r="D63" s="121">
        <f>H37</f>
        <v>1.1930733333333332</v>
      </c>
      <c r="E63" s="11">
        <f>D63*C63</f>
        <v>2237.0124999999998</v>
      </c>
      <c r="F63" s="10">
        <f>F10*$F$14</f>
        <v>480</v>
      </c>
      <c r="G63" s="78">
        <f t="shared" ref="G63:G64" si="1">E10</f>
        <v>0</v>
      </c>
      <c r="H63" s="10">
        <f t="shared" ref="H63:H64" si="2">SUM(E63:G63)</f>
        <v>2717.0124999999998</v>
      </c>
      <c r="N63" s="93"/>
    </row>
    <row r="64" spans="1:15" x14ac:dyDescent="0.2">
      <c r="B64" s="74">
        <v>2023</v>
      </c>
      <c r="C64" s="12">
        <f>D11</f>
        <v>2210</v>
      </c>
      <c r="D64" s="122">
        <f>H37</f>
        <v>1.1930733333333332</v>
      </c>
      <c r="E64" s="14">
        <f>D64*C64</f>
        <v>2636.6920666666665</v>
      </c>
      <c r="F64" s="12">
        <f>F11*$F$14</f>
        <v>515</v>
      </c>
      <c r="G64" s="79">
        <f t="shared" si="1"/>
        <v>0</v>
      </c>
      <c r="H64" s="12">
        <f t="shared" si="2"/>
        <v>3151.6920666666665</v>
      </c>
      <c r="M64" s="4"/>
      <c r="N64" s="4"/>
      <c r="O64" s="4"/>
    </row>
    <row r="65" spans="1:15" ht="17" x14ac:dyDescent="0.2">
      <c r="B65" s="76" t="s">
        <v>35</v>
      </c>
      <c r="C65" s="8"/>
      <c r="D65" s="8"/>
      <c r="E65" s="8"/>
      <c r="F65" s="8"/>
      <c r="G65" s="75"/>
      <c r="H65" s="10">
        <f>SUM(H61:H64)</f>
        <v>11619.528940682663</v>
      </c>
      <c r="M65" s="4"/>
      <c r="N65" s="4"/>
      <c r="O65" s="4"/>
    </row>
    <row r="66" spans="1:15" x14ac:dyDescent="0.2">
      <c r="L66" s="4"/>
      <c r="M66" s="4"/>
      <c r="N66" s="4"/>
    </row>
    <row r="67" spans="1:15" x14ac:dyDescent="0.2">
      <c r="A67" s="99" t="s">
        <v>178</v>
      </c>
      <c r="B67" s="15" t="s">
        <v>198</v>
      </c>
      <c r="L67" s="4"/>
      <c r="M67" s="4"/>
      <c r="N67" s="4"/>
    </row>
    <row r="68" spans="1:15" x14ac:dyDescent="0.2">
      <c r="A68" s="99"/>
      <c r="B68" s="15"/>
      <c r="L68" s="4"/>
      <c r="M68" s="4"/>
      <c r="N68" s="4"/>
    </row>
    <row r="69" spans="1:15" x14ac:dyDescent="0.2">
      <c r="A69" s="99"/>
      <c r="B69" s="15"/>
      <c r="L69" s="4"/>
      <c r="M69" s="4"/>
      <c r="N69" s="4"/>
    </row>
    <row r="70" spans="1:15" ht="17" thickBot="1" x14ac:dyDescent="0.25">
      <c r="L70" s="4"/>
      <c r="M70" s="4"/>
      <c r="N70" s="4"/>
    </row>
    <row r="71" spans="1:15" ht="17" thickBot="1" x14ac:dyDescent="0.25">
      <c r="D71" s="101" t="s">
        <v>36</v>
      </c>
      <c r="E71" s="109">
        <f>H65*1000-$H$23</f>
        <v>259528.94068266265</v>
      </c>
      <c r="L71" s="4"/>
      <c r="M71" s="4"/>
      <c r="N71" s="4"/>
    </row>
    <row r="72" spans="1:15" x14ac:dyDescent="0.2">
      <c r="L72" s="4"/>
      <c r="M72" s="4"/>
      <c r="N72" s="4"/>
    </row>
    <row r="73" spans="1:15" ht="19" x14ac:dyDescent="0.25">
      <c r="A73" s="2" t="s">
        <v>39</v>
      </c>
      <c r="M73" s="93"/>
    </row>
    <row r="74" spans="1:15" ht="18" customHeight="1" x14ac:dyDescent="0.2">
      <c r="B74" s="137" t="s">
        <v>199</v>
      </c>
      <c r="C74" s="137"/>
      <c r="D74" s="137"/>
      <c r="E74" s="137"/>
      <c r="F74" s="137"/>
      <c r="G74" s="137"/>
      <c r="H74" s="137"/>
      <c r="I74" s="137"/>
      <c r="L74" s="4"/>
      <c r="M74" s="4"/>
      <c r="N74" s="4"/>
    </row>
    <row r="75" spans="1:15" x14ac:dyDescent="0.2">
      <c r="B75" s="137"/>
      <c r="C75" s="137"/>
      <c r="D75" s="137"/>
      <c r="E75" s="137"/>
      <c r="F75" s="137"/>
      <c r="G75" s="137"/>
      <c r="H75" s="137"/>
      <c r="I75" s="137"/>
      <c r="L75" s="4"/>
      <c r="M75" s="4"/>
      <c r="N75" s="4"/>
    </row>
    <row r="76" spans="1:15" ht="18" customHeight="1" x14ac:dyDescent="0.2">
      <c r="B76" s="137"/>
      <c r="C76" s="137"/>
      <c r="D76" s="137"/>
      <c r="E76" s="137"/>
      <c r="F76" s="137"/>
      <c r="G76" s="137"/>
      <c r="H76" s="137"/>
      <c r="I76" s="137"/>
      <c r="L76" s="4"/>
      <c r="M76" s="4"/>
      <c r="N76" s="4"/>
    </row>
    <row r="77" spans="1:15" x14ac:dyDescent="0.2">
      <c r="L77" s="4"/>
      <c r="M77" s="4"/>
      <c r="N77" s="4"/>
    </row>
    <row r="78" spans="1:15" x14ac:dyDescent="0.2">
      <c r="B78" s="137" t="s">
        <v>200</v>
      </c>
      <c r="C78" s="137"/>
      <c r="D78" s="137"/>
      <c r="E78" s="137"/>
      <c r="F78" s="137"/>
      <c r="G78" s="137"/>
      <c r="H78" s="137"/>
      <c r="I78" s="137"/>
      <c r="L78" s="4"/>
      <c r="M78" s="4"/>
      <c r="N78" s="4"/>
    </row>
    <row r="79" spans="1:15" x14ac:dyDescent="0.2">
      <c r="B79" s="137"/>
      <c r="C79" s="137"/>
      <c r="D79" s="137"/>
      <c r="E79" s="137"/>
      <c r="F79" s="137"/>
      <c r="G79" s="137"/>
      <c r="H79" s="137"/>
      <c r="I79" s="137"/>
      <c r="L79" s="4"/>
      <c r="M79" s="4"/>
      <c r="N79" s="4"/>
    </row>
    <row r="80" spans="1:15" x14ac:dyDescent="0.2">
      <c r="B80" s="137"/>
      <c r="C80" s="137"/>
      <c r="D80" s="137"/>
      <c r="E80" s="137"/>
      <c r="F80" s="137"/>
      <c r="G80" s="137"/>
      <c r="H80" s="137"/>
      <c r="I80" s="137"/>
      <c r="L80" s="4"/>
      <c r="M80" s="4"/>
      <c r="N80" s="4"/>
    </row>
    <row r="81" spans="2:14" x14ac:dyDescent="0.2">
      <c r="M81" s="93"/>
    </row>
    <row r="82" spans="2:14" ht="19" x14ac:dyDescent="0.25">
      <c r="B82" s="20" t="s">
        <v>110</v>
      </c>
      <c r="L82" s="4"/>
      <c r="M82" s="4"/>
      <c r="N82" s="4"/>
    </row>
    <row r="83" spans="2:14" x14ac:dyDescent="0.2">
      <c r="L83" s="4"/>
      <c r="M83" s="4"/>
      <c r="N83" s="4"/>
    </row>
    <row r="84" spans="2:14" x14ac:dyDescent="0.2">
      <c r="L84" s="4"/>
      <c r="M84" s="4"/>
      <c r="N84" s="4"/>
    </row>
    <row r="85" spans="2:14" x14ac:dyDescent="0.2">
      <c r="L85" s="4"/>
      <c r="M85" s="4"/>
      <c r="N85" s="4"/>
    </row>
    <row r="86" spans="2:14" x14ac:dyDescent="0.2">
      <c r="L86" s="4"/>
      <c r="M86" s="4"/>
      <c r="N86" s="4"/>
    </row>
    <row r="87" spans="2:14" x14ac:dyDescent="0.2">
      <c r="B87" s="3" t="s">
        <v>111</v>
      </c>
      <c r="F87" s="3" t="s">
        <v>112</v>
      </c>
      <c r="L87" s="4"/>
      <c r="M87" s="4"/>
      <c r="N87" s="4"/>
    </row>
    <row r="88" spans="2:14" x14ac:dyDescent="0.2">
      <c r="L88" s="4"/>
      <c r="M88" s="4"/>
      <c r="N88" s="4"/>
    </row>
    <row r="89" spans="2:14" x14ac:dyDescent="0.2">
      <c r="L89" s="4"/>
      <c r="M89" s="4"/>
      <c r="N89" s="4"/>
    </row>
    <row r="90" spans="2:14" x14ac:dyDescent="0.2">
      <c r="L90" s="4"/>
      <c r="M90" s="4"/>
      <c r="N90" s="4"/>
    </row>
    <row r="91" spans="2:14" x14ac:dyDescent="0.2">
      <c r="M91" s="93"/>
    </row>
    <row r="92" spans="2:14" x14ac:dyDescent="0.2">
      <c r="L92" s="4"/>
      <c r="M92" s="4"/>
      <c r="N92" s="4"/>
    </row>
    <row r="93" spans="2:14" x14ac:dyDescent="0.2">
      <c r="B93" s="15" t="s">
        <v>121</v>
      </c>
      <c r="L93" s="4"/>
      <c r="M93" s="4"/>
      <c r="N93" s="4"/>
    </row>
    <row r="94" spans="2:14" x14ac:dyDescent="0.2">
      <c r="L94" s="4"/>
      <c r="M94" s="4"/>
      <c r="N94" s="4"/>
    </row>
    <row r="95" spans="2:14" ht="19" x14ac:dyDescent="0.25">
      <c r="B95" s="20" t="s">
        <v>113</v>
      </c>
      <c r="L95" s="4"/>
      <c r="M95" s="4"/>
      <c r="N95" s="4"/>
    </row>
    <row r="96" spans="2:14" ht="19" x14ac:dyDescent="0.25">
      <c r="B96" s="20"/>
      <c r="F96" s="82" t="s">
        <v>122</v>
      </c>
      <c r="L96" s="4"/>
      <c r="M96" s="4"/>
      <c r="N96" s="4"/>
    </row>
    <row r="97" spans="1:65" ht="19" x14ac:dyDescent="0.25">
      <c r="B97" s="20"/>
      <c r="L97" s="4"/>
      <c r="M97" s="4"/>
      <c r="N97" s="4"/>
    </row>
    <row r="98" spans="1:65" x14ac:dyDescent="0.2">
      <c r="B98" s="3" t="s">
        <v>111</v>
      </c>
      <c r="F98" s="3" t="s">
        <v>114</v>
      </c>
      <c r="L98" s="4"/>
      <c r="M98" s="4"/>
      <c r="N98" s="4"/>
    </row>
    <row r="99" spans="1:65" x14ac:dyDescent="0.2">
      <c r="L99" s="4"/>
      <c r="M99" s="4"/>
      <c r="N99" s="4"/>
    </row>
    <row r="100" spans="1:65" x14ac:dyDescent="0.2">
      <c r="M100" s="93"/>
    </row>
    <row r="101" spans="1:65" x14ac:dyDescent="0.2">
      <c r="A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21"/>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15" t="s">
        <v>115</v>
      </c>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ht="18" x14ac:dyDescent="0.25">
      <c r="A105" s="4"/>
      <c r="B105" s="82" t="s">
        <v>201</v>
      </c>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ht="18" customHeight="1" x14ac:dyDescent="0.2">
      <c r="A107" s="4"/>
      <c r="B107" s="137" t="s">
        <v>202</v>
      </c>
      <c r="C107" s="137"/>
      <c r="D107" s="137"/>
      <c r="E107" s="137"/>
      <c r="F107" s="137"/>
      <c r="G107" s="137"/>
      <c r="H107" s="137"/>
      <c r="I107" s="137"/>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137"/>
      <c r="C108" s="137"/>
      <c r="D108" s="137"/>
      <c r="E108" s="137"/>
      <c r="F108" s="137"/>
      <c r="G108" s="137"/>
      <c r="H108" s="137"/>
      <c r="I108" s="137"/>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ht="18" customHeight="1" x14ac:dyDescent="0.2">
      <c r="A109" s="4"/>
      <c r="B109" s="137"/>
      <c r="C109" s="137"/>
      <c r="D109" s="137"/>
      <c r="E109" s="137"/>
      <c r="F109" s="137"/>
      <c r="G109" s="137"/>
      <c r="H109" s="137"/>
      <c r="I109" s="137"/>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ht="19" x14ac:dyDescent="0.25">
      <c r="A111" s="4"/>
      <c r="B111" s="20" t="s">
        <v>7</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ht="18" customHeight="1" x14ac:dyDescent="0.2">
      <c r="A112" s="4"/>
      <c r="B112" s="137" t="s">
        <v>203</v>
      </c>
      <c r="C112" s="137"/>
      <c r="D112" s="137"/>
      <c r="E112" s="137"/>
      <c r="F112" s="137"/>
      <c r="G112" s="137"/>
      <c r="H112" s="137"/>
      <c r="I112" s="137"/>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137"/>
      <c r="C113" s="137"/>
      <c r="D113" s="137"/>
      <c r="E113" s="137"/>
      <c r="F113" s="137"/>
      <c r="G113" s="137"/>
      <c r="H113" s="137"/>
      <c r="I113" s="137"/>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137"/>
      <c r="C114" s="137"/>
      <c r="D114" s="137"/>
      <c r="E114" s="137"/>
      <c r="F114" s="137"/>
      <c r="G114" s="137"/>
      <c r="H114" s="137"/>
      <c r="I114" s="137"/>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137"/>
      <c r="C115" s="137"/>
      <c r="D115" s="137"/>
      <c r="E115" s="137"/>
      <c r="F115" s="137"/>
      <c r="G115" s="137"/>
      <c r="H115" s="137"/>
      <c r="I115" s="137"/>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137"/>
      <c r="C116" s="137"/>
      <c r="D116" s="137"/>
      <c r="E116" s="137"/>
      <c r="F116" s="137"/>
      <c r="G116" s="137"/>
      <c r="H116" s="137"/>
      <c r="I116" s="137"/>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ht="19" x14ac:dyDescent="0.25">
      <c r="A118" s="2" t="s">
        <v>75</v>
      </c>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82" t="s">
        <v>116</v>
      </c>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113" t="s">
        <v>218</v>
      </c>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ht="19" x14ac:dyDescent="0.25">
      <c r="A123" s="2" t="s">
        <v>77</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82" t="s">
        <v>117</v>
      </c>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sheetData>
  <mergeCells count="18">
    <mergeCell ref="B74:I76"/>
    <mergeCell ref="B78:I80"/>
    <mergeCell ref="B107:I109"/>
    <mergeCell ref="B112:I116"/>
    <mergeCell ref="B31:I33"/>
    <mergeCell ref="B44:I45"/>
    <mergeCell ref="G58:G60"/>
    <mergeCell ref="F58:F60"/>
    <mergeCell ref="E58:E60"/>
    <mergeCell ref="D59:D60"/>
    <mergeCell ref="C59:C60"/>
    <mergeCell ref="G35:G36"/>
    <mergeCell ref="H35:H36"/>
    <mergeCell ref="C16:H16"/>
    <mergeCell ref="F5:F7"/>
    <mergeCell ref="E5:E7"/>
    <mergeCell ref="D5:D7"/>
    <mergeCell ref="C5:C7"/>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PDLD Retro</vt:lpstr>
      <vt:lpstr>PDLD Empirical</vt:lpstr>
      <vt:lpstr>Premium Asset</vt:lpstr>
      <vt:lpstr>Loss Capping Ratios</vt:lpstr>
      <vt:lpstr>Fitzgibbon Method</vt:lpstr>
      <vt:lpstr>Enhanced PDLD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2026-06-17T15:43:28Z</dcterms:modified>
</cp:coreProperties>
</file>