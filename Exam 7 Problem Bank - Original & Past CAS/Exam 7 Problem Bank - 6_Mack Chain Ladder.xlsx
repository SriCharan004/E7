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stephenroll/Library/CloudStorage/Dropbox-RisingFellow/Rising Fellow/_Products/Exam 7/_Problem Bank/Exam 7 Problem Bank - Original &amp; Past CAS/"/>
    </mc:Choice>
  </mc:AlternateContent>
  <xr:revisionPtr revIDLastSave="0" documentId="13_ncr:1_{948AE3FC-27F4-0947-893B-1F50F75417B9}" xr6:coauthVersionLast="47" xr6:coauthVersionMax="47" xr10:uidLastSave="{00000000-0000-0000-0000-000000000000}"/>
  <bookViews>
    <workbookView xWindow="20" yWindow="760" windowWidth="30240" windowHeight="18880" xr2:uid="{B2F629C4-F532-0048-94B5-6129BC4B4200}"/>
  </bookViews>
  <sheets>
    <sheet name="Overview" sheetId="13" r:id="rId1"/>
    <sheet name="Q #1" sheetId="1" r:id="rId2"/>
    <sheet name="Q #2" sheetId="12" r:id="rId3"/>
    <sheet name="Q #3" sheetId="2" r:id="rId4"/>
    <sheet name="Q #4" sheetId="4" r:id="rId5"/>
    <sheet name="Q #5" sheetId="5" r:id="rId6"/>
    <sheet name="Q #6" sheetId="6" r:id="rId7"/>
    <sheet name="Q #7" sheetId="7" r:id="rId8"/>
    <sheet name="Q #8" sheetId="8" r:id="rId9"/>
    <sheet name="Q #9" sheetId="9" r:id="rId10"/>
    <sheet name="Q #10" sheetId="11" r:id="rId11"/>
    <sheet name="Q #11" sheetId="14" r:id="rId12"/>
    <sheet name="Q #12" sheetId="15" r:id="rId13"/>
    <sheet name="Q #13" sheetId="16" r:id="rId14"/>
    <sheet name="2011 #3" sheetId="20" r:id="rId15"/>
    <sheet name="2012 #3" sheetId="21" r:id="rId16"/>
    <sheet name="2012 #5" sheetId="22" r:id="rId17"/>
    <sheet name="2013 #1" sheetId="23" r:id="rId18"/>
    <sheet name="2014 #2" sheetId="24" r:id="rId19"/>
    <sheet name="2015 #3" sheetId="25" r:id="rId20"/>
    <sheet name="2015 #4" sheetId="26" r:id="rId21"/>
    <sheet name="2016 #5" sheetId="27" r:id="rId22"/>
    <sheet name="2016 #7" sheetId="28" r:id="rId23"/>
    <sheet name="2017 #3" sheetId="29" r:id="rId24"/>
    <sheet name="2017 #6" sheetId="30" r:id="rId25"/>
    <sheet name="2018 #7" sheetId="31" r:id="rId26"/>
    <sheet name="2018 #8" sheetId="32" r:id="rId27"/>
    <sheet name="2019 #7" sheetId="33" r:id="rId28"/>
    <sheet name="Essay Problems" sheetId="17"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8" i="7" l="1"/>
  <c r="S7" i="7"/>
  <c r="R7" i="7"/>
  <c r="Q8" i="33"/>
  <c r="N9" i="33"/>
  <c r="O9" i="33"/>
  <c r="D17" i="33"/>
  <c r="M8" i="33" s="1"/>
  <c r="E17" i="33"/>
  <c r="F17" i="33"/>
  <c r="O8" i="33" s="1"/>
  <c r="G17" i="33"/>
  <c r="H17" i="33"/>
  <c r="D18" i="33"/>
  <c r="E18" i="33"/>
  <c r="N8" i="33" s="1"/>
  <c r="F18" i="33"/>
  <c r="G18" i="33"/>
  <c r="P9" i="33" s="1"/>
  <c r="D19" i="33"/>
  <c r="E19" i="33"/>
  <c r="N10" i="33" s="1"/>
  <c r="F19" i="33"/>
  <c r="D20" i="33"/>
  <c r="E20" i="33"/>
  <c r="D21" i="33"/>
  <c r="O26" i="33"/>
  <c r="O30" i="33" s="1"/>
  <c r="O27" i="33"/>
  <c r="O28" i="33"/>
  <c r="O29" i="33"/>
  <c r="N32" i="33"/>
  <c r="N33" i="33"/>
  <c r="L8" i="32"/>
  <c r="M8" i="32"/>
  <c r="N8" i="32"/>
  <c r="P8" i="32"/>
  <c r="R8" i="32" s="1"/>
  <c r="R10" i="32" s="1"/>
  <c r="N19" i="32" s="1"/>
  <c r="O19" i="32" s="1"/>
  <c r="Q8" i="32"/>
  <c r="L9" i="32"/>
  <c r="N9" i="32" s="1"/>
  <c r="M9" i="32"/>
  <c r="P9" i="32"/>
  <c r="Q9" i="32"/>
  <c r="R9" i="32"/>
  <c r="L10" i="32"/>
  <c r="M10" i="32"/>
  <c r="N10" i="32"/>
  <c r="M25" i="32"/>
  <c r="N29" i="32" s="1"/>
  <c r="M7" i="31"/>
  <c r="M14" i="31"/>
  <c r="M15" i="31"/>
  <c r="D16" i="31"/>
  <c r="E16" i="31"/>
  <c r="F16" i="31"/>
  <c r="M6" i="31" s="1"/>
  <c r="M9" i="31" s="1"/>
  <c r="G16" i="31"/>
  <c r="D17" i="31"/>
  <c r="E17" i="31"/>
  <c r="F17" i="31"/>
  <c r="M17" i="31"/>
  <c r="D18" i="31"/>
  <c r="E18" i="31"/>
  <c r="D19" i="31"/>
  <c r="M23" i="31"/>
  <c r="M8" i="30"/>
  <c r="N8" i="30"/>
  <c r="M10" i="30"/>
  <c r="M12" i="30"/>
  <c r="M16" i="30"/>
  <c r="M17" i="30"/>
  <c r="M25" i="30"/>
  <c r="N25" i="30"/>
  <c r="M30" i="30" s="1"/>
  <c r="M26" i="30"/>
  <c r="M6" i="29"/>
  <c r="M11" i="29"/>
  <c r="N11" i="29"/>
  <c r="O11" i="29"/>
  <c r="P11" i="29"/>
  <c r="M12" i="29"/>
  <c r="N12" i="29"/>
  <c r="P12" i="29" s="1"/>
  <c r="O12" i="29"/>
  <c r="M13" i="29"/>
  <c r="N13" i="29"/>
  <c r="O13" i="29"/>
  <c r="P13" i="29"/>
  <c r="M14" i="29"/>
  <c r="N14" i="29"/>
  <c r="P14" i="29" s="1"/>
  <c r="O14" i="29"/>
  <c r="M15" i="29"/>
  <c r="N15" i="29"/>
  <c r="O15" i="29"/>
  <c r="P15" i="29"/>
  <c r="M5" i="28"/>
  <c r="M8" i="28"/>
  <c r="N8" i="28"/>
  <c r="O8" i="28"/>
  <c r="P8" i="28"/>
  <c r="M9" i="28"/>
  <c r="P9" i="28" s="1"/>
  <c r="N9" i="28"/>
  <c r="O9" i="28"/>
  <c r="M10" i="28"/>
  <c r="N10" i="28"/>
  <c r="O10" i="28"/>
  <c r="P10" i="28"/>
  <c r="M11" i="28"/>
  <c r="P11" i="28" s="1"/>
  <c r="N11" i="28"/>
  <c r="O11" i="28"/>
  <c r="M12" i="28"/>
  <c r="N12" i="28"/>
  <c r="O12" i="28"/>
  <c r="P12" i="28"/>
  <c r="M8" i="27"/>
  <c r="N8" i="27"/>
  <c r="O8" i="27"/>
  <c r="P8" i="27"/>
  <c r="Q8" i="27"/>
  <c r="M9" i="27"/>
  <c r="N9" i="27"/>
  <c r="O9" i="27"/>
  <c r="P9" i="27"/>
  <c r="M10" i="27"/>
  <c r="N10" i="27"/>
  <c r="O10" i="27"/>
  <c r="M11" i="27"/>
  <c r="N11" i="27"/>
  <c r="M12" i="27"/>
  <c r="O26" i="27"/>
  <c r="O30" i="27" s="1"/>
  <c r="P26" i="27"/>
  <c r="Q26" i="27"/>
  <c r="R26" i="27"/>
  <c r="R30" i="27" s="1"/>
  <c r="O27" i="27"/>
  <c r="P27" i="27"/>
  <c r="Q27" i="27"/>
  <c r="R27" i="27"/>
  <c r="O28" i="27"/>
  <c r="P28" i="27"/>
  <c r="Q28" i="27"/>
  <c r="R28" i="27"/>
  <c r="O29" i="27"/>
  <c r="P29" i="27"/>
  <c r="Q29" i="27"/>
  <c r="R29" i="27"/>
  <c r="L8" i="26"/>
  <c r="M8" i="26"/>
  <c r="N8" i="26"/>
  <c r="O8" i="26"/>
  <c r="P8" i="26"/>
  <c r="Q8" i="26"/>
  <c r="R8" i="26"/>
  <c r="L9" i="26"/>
  <c r="M9" i="26"/>
  <c r="N9" i="26"/>
  <c r="O9" i="26"/>
  <c r="P9" i="26"/>
  <c r="Q9" i="26"/>
  <c r="L10" i="26"/>
  <c r="M10" i="26"/>
  <c r="N10" i="26"/>
  <c r="O10" i="26"/>
  <c r="P10" i="26"/>
  <c r="L11" i="26"/>
  <c r="M11" i="26"/>
  <c r="N11" i="26"/>
  <c r="O11" i="26"/>
  <c r="L12" i="26"/>
  <c r="M12" i="26"/>
  <c r="N12" i="26"/>
  <c r="L13" i="26"/>
  <c r="M13" i="26"/>
  <c r="L17" i="26"/>
  <c r="L18" i="26"/>
  <c r="L19" i="26"/>
  <c r="L20" i="26"/>
  <c r="L21" i="26"/>
  <c r="L22" i="26"/>
  <c r="M23" i="26"/>
  <c r="N23" i="26"/>
  <c r="O23" i="26"/>
  <c r="P23" i="26"/>
  <c r="Q23" i="26"/>
  <c r="R23" i="26"/>
  <c r="O27" i="26"/>
  <c r="P27" i="26"/>
  <c r="Q27" i="26"/>
  <c r="R27" i="26"/>
  <c r="S27" i="26"/>
  <c r="O28" i="26"/>
  <c r="O31" i="26" s="1"/>
  <c r="P28" i="26"/>
  <c r="Q28" i="26"/>
  <c r="O29" i="26"/>
  <c r="P29" i="26"/>
  <c r="Q29" i="26"/>
  <c r="R29" i="26"/>
  <c r="S29" i="26"/>
  <c r="O30" i="26"/>
  <c r="P30" i="26"/>
  <c r="Q30" i="26" s="1"/>
  <c r="M5" i="25"/>
  <c r="M8" i="25"/>
  <c r="N8" i="25"/>
  <c r="O8" i="25"/>
  <c r="P8" i="25"/>
  <c r="M9" i="25"/>
  <c r="N9" i="25"/>
  <c r="P9" i="25" s="1"/>
  <c r="O9" i="25"/>
  <c r="M10" i="25"/>
  <c r="N10" i="25"/>
  <c r="O10" i="25"/>
  <c r="P10" i="25"/>
  <c r="M11" i="25"/>
  <c r="N11" i="25"/>
  <c r="P11" i="25" s="1"/>
  <c r="O11" i="25"/>
  <c r="M12" i="25"/>
  <c r="N12" i="25"/>
  <c r="O12" i="25"/>
  <c r="P12" i="25"/>
  <c r="M13" i="25"/>
  <c r="N13" i="25"/>
  <c r="P13" i="25" s="1"/>
  <c r="O13" i="25"/>
  <c r="L8" i="23"/>
  <c r="M8" i="23"/>
  <c r="N8" i="23"/>
  <c r="O8" i="23"/>
  <c r="P8" i="23"/>
  <c r="Q8" i="23"/>
  <c r="L9" i="23"/>
  <c r="M9" i="23"/>
  <c r="N9" i="23"/>
  <c r="O9" i="23"/>
  <c r="P9" i="23"/>
  <c r="L10" i="23"/>
  <c r="M10" i="23"/>
  <c r="N10" i="23"/>
  <c r="O10" i="23"/>
  <c r="L11" i="23"/>
  <c r="M11" i="23"/>
  <c r="N11" i="23"/>
  <c r="L12" i="23"/>
  <c r="M12" i="23"/>
  <c r="L15" i="23"/>
  <c r="L16" i="23"/>
  <c r="L17" i="23"/>
  <c r="L18" i="23"/>
  <c r="L19" i="23"/>
  <c r="O22" i="23"/>
  <c r="O25" i="23" s="1"/>
  <c r="P22" i="23"/>
  <c r="Q22" i="23"/>
  <c r="R22" i="23"/>
  <c r="S22" i="23"/>
  <c r="O23" i="23"/>
  <c r="P23" i="23"/>
  <c r="Q23" i="23" s="1"/>
  <c r="O24" i="23"/>
  <c r="P24" i="23"/>
  <c r="Q24" i="23"/>
  <c r="R24" i="23"/>
  <c r="S24" i="23"/>
  <c r="M4" i="21"/>
  <c r="M7" i="21"/>
  <c r="N7" i="21"/>
  <c r="M8" i="21"/>
  <c r="N8" i="21"/>
  <c r="M9" i="21"/>
  <c r="N9" i="21"/>
  <c r="M10" i="21"/>
  <c r="N10" i="21"/>
  <c r="M11" i="21"/>
  <c r="N11" i="21"/>
  <c r="M12" i="21"/>
  <c r="N12" i="21"/>
  <c r="L8" i="20"/>
  <c r="M8" i="20"/>
  <c r="N8" i="20"/>
  <c r="O8" i="20"/>
  <c r="P8" i="20"/>
  <c r="L9" i="20"/>
  <c r="M9" i="20"/>
  <c r="N9" i="20"/>
  <c r="O9" i="20"/>
  <c r="L10" i="20"/>
  <c r="M10" i="20"/>
  <c r="N10" i="20"/>
  <c r="L11" i="20"/>
  <c r="M11" i="20"/>
  <c r="O21" i="20"/>
  <c r="O24" i="20" s="1"/>
  <c r="P21" i="20"/>
  <c r="Q21" i="20" s="1"/>
  <c r="O22" i="20"/>
  <c r="P22" i="20"/>
  <c r="Q22" i="20" s="1"/>
  <c r="R22" i="20" s="1"/>
  <c r="O23" i="20"/>
  <c r="P23" i="20"/>
  <c r="Q23" i="20" s="1"/>
  <c r="Q27" i="20"/>
  <c r="M12" i="33" l="1"/>
  <c r="N11" i="33"/>
  <c r="M9" i="33"/>
  <c r="M11" i="33"/>
  <c r="O10" i="33"/>
  <c r="P8" i="33"/>
  <c r="M10" i="33"/>
  <c r="N11" i="32"/>
  <c r="N18" i="32" s="1"/>
  <c r="O18" i="32" s="1"/>
  <c r="M22" i="32" s="1"/>
  <c r="N28" i="32"/>
  <c r="M22" i="31"/>
  <c r="M25" i="31" s="1"/>
  <c r="M31" i="30"/>
  <c r="N34" i="27"/>
  <c r="N35" i="27"/>
  <c r="R28" i="26"/>
  <c r="R30" i="26"/>
  <c r="S30" i="26" s="1"/>
  <c r="R23" i="23"/>
  <c r="R25" i="23" s="1"/>
  <c r="S22" i="20"/>
  <c r="R23" i="20"/>
  <c r="S23" i="20" s="1"/>
  <c r="R21" i="20"/>
  <c r="R24" i="20" s="1"/>
  <c r="R31" i="26" l="1"/>
  <c r="S28" i="26"/>
  <c r="S31" i="26" s="1"/>
  <c r="S23" i="23"/>
  <c r="S25" i="23" s="1"/>
  <c r="N28" i="23" s="1"/>
  <c r="S21" i="20"/>
  <c r="S24" i="20" s="1"/>
  <c r="M27" i="20"/>
  <c r="N27" i="20"/>
  <c r="M34" i="26" l="1"/>
  <c r="N34" i="26"/>
  <c r="M28" i="23"/>
  <c r="O21" i="16" l="1"/>
  <c r="P21" i="16"/>
  <c r="Q21" i="16"/>
  <c r="O22" i="16"/>
  <c r="P22" i="16"/>
  <c r="Q22" i="16"/>
  <c r="N24" i="16"/>
  <c r="N29" i="16"/>
  <c r="N30" i="16" s="1"/>
  <c r="N67" i="16"/>
  <c r="O67" i="16"/>
  <c r="P67" i="16"/>
  <c r="P70" i="16" s="1"/>
  <c r="N78" i="16" s="1"/>
  <c r="Q67" i="16"/>
  <c r="N68" i="16"/>
  <c r="O68" i="16"/>
  <c r="P68" i="16"/>
  <c r="Q68" i="16"/>
  <c r="T68" i="16" s="1"/>
  <c r="R68" i="16"/>
  <c r="S68" i="16" s="1"/>
  <c r="N69" i="16"/>
  <c r="O69" i="16"/>
  <c r="P69" i="16"/>
  <c r="Q69" i="16"/>
  <c r="R69" i="16"/>
  <c r="N8" i="14"/>
  <c r="O8" i="14"/>
  <c r="O20" i="14" s="1"/>
  <c r="P8" i="14"/>
  <c r="P20" i="14" s="1"/>
  <c r="Q8" i="14"/>
  <c r="Q89" i="14" s="1"/>
  <c r="N9" i="14"/>
  <c r="N88" i="14" s="1"/>
  <c r="O9" i="14"/>
  <c r="O89" i="14" s="1"/>
  <c r="N92" i="14" s="1"/>
  <c r="P9" i="14"/>
  <c r="N10" i="14"/>
  <c r="O10" i="14"/>
  <c r="N11" i="14"/>
  <c r="N13" i="14"/>
  <c r="N20" i="14" s="1"/>
  <c r="O13" i="14"/>
  <c r="O22" i="14" s="1"/>
  <c r="P13" i="14"/>
  <c r="P21" i="14" s="1"/>
  <c r="Q13" i="14"/>
  <c r="R40" i="14" s="1"/>
  <c r="M20" i="14"/>
  <c r="M21" i="14"/>
  <c r="O21" i="14"/>
  <c r="M22" i="14"/>
  <c r="M23" i="14"/>
  <c r="N23" i="14"/>
  <c r="N39" i="14"/>
  <c r="O39" i="14"/>
  <c r="P39" i="14"/>
  <c r="Q39" i="14"/>
  <c r="R39" i="14"/>
  <c r="N40" i="14"/>
  <c r="O40" i="14"/>
  <c r="P40" i="14"/>
  <c r="Q40" i="14"/>
  <c r="N41" i="14"/>
  <c r="O41" i="14"/>
  <c r="P41" i="14"/>
  <c r="Q41" i="14"/>
  <c r="R41" i="14" s="1"/>
  <c r="N42" i="14"/>
  <c r="O42" i="14"/>
  <c r="N43" i="14"/>
  <c r="O43" i="14"/>
  <c r="P43" i="14" s="1"/>
  <c r="Q43" i="14" s="1"/>
  <c r="R43" i="14" s="1"/>
  <c r="M52" i="14"/>
  <c r="M53" i="14"/>
  <c r="M54" i="14"/>
  <c r="M55" i="14"/>
  <c r="M56" i="14"/>
  <c r="P89" i="14"/>
  <c r="O33" i="16" l="1"/>
  <c r="O34" i="16"/>
  <c r="S69" i="16"/>
  <c r="T69" i="16" s="1"/>
  <c r="R67" i="16"/>
  <c r="S67" i="16" s="1"/>
  <c r="O56" i="14"/>
  <c r="N29" i="14"/>
  <c r="N56" i="14" s="1"/>
  <c r="P29" i="14"/>
  <c r="Q29" i="14" s="1"/>
  <c r="Q53" i="14" s="1"/>
  <c r="S53" i="14" s="1"/>
  <c r="O29" i="14"/>
  <c r="N21" i="14"/>
  <c r="N89" i="14"/>
  <c r="Q88" i="14"/>
  <c r="Q20" i="14"/>
  <c r="P88" i="14"/>
  <c r="N91" i="14" s="1"/>
  <c r="P42" i="14"/>
  <c r="Q42" i="14" s="1"/>
  <c r="R42" i="14" s="1"/>
  <c r="O88" i="14"/>
  <c r="N22" i="14"/>
  <c r="S70" i="16" l="1"/>
  <c r="N75" i="16" s="1"/>
  <c r="T67" i="16"/>
  <c r="T70" i="16" s="1"/>
  <c r="N76" i="16" s="1"/>
  <c r="N77" i="16" s="1"/>
  <c r="Q56" i="14"/>
  <c r="P56" i="14"/>
  <c r="S56" i="14" s="1"/>
  <c r="Q54" i="14"/>
  <c r="P54" i="14"/>
  <c r="N66" i="14"/>
  <c r="Q55" i="14"/>
  <c r="O55" i="14"/>
  <c r="P55" i="14"/>
  <c r="O81" i="16" l="1"/>
  <c r="O80" i="16"/>
  <c r="S55" i="14"/>
  <c r="N61" i="14" s="1"/>
  <c r="S54" i="14"/>
  <c r="N62" i="14" l="1"/>
  <c r="N68" i="14"/>
  <c r="N72" i="14" l="1"/>
  <c r="N83" i="14" s="1"/>
  <c r="N69" i="14"/>
  <c r="N71" i="14"/>
  <c r="N82" i="14" s="1"/>
  <c r="N32" i="4"/>
  <c r="P16" i="12"/>
  <c r="Q16" i="12"/>
  <c r="P17" i="12"/>
  <c r="Q17" i="12"/>
  <c r="P18" i="12"/>
  <c r="Q18" i="12"/>
  <c r="R18" i="12"/>
  <c r="S18" i="12"/>
  <c r="T18" i="12" s="1"/>
  <c r="P19" i="12"/>
  <c r="Q19" i="12"/>
  <c r="R19" i="12" s="1"/>
  <c r="N37" i="8"/>
  <c r="P55" i="11"/>
  <c r="P56" i="11" s="1"/>
  <c r="O60" i="11" s="1"/>
  <c r="O55" i="11"/>
  <c r="N55" i="11"/>
  <c r="P8" i="11"/>
  <c r="N29" i="11"/>
  <c r="N28" i="11"/>
  <c r="N27" i="11"/>
  <c r="N26" i="11"/>
  <c r="M29" i="11"/>
  <c r="M28" i="11"/>
  <c r="M27" i="11"/>
  <c r="M26" i="11"/>
  <c r="R17" i="11"/>
  <c r="N10" i="11"/>
  <c r="O9" i="11"/>
  <c r="P9" i="11" s="1"/>
  <c r="Q7" i="11"/>
  <c r="N76" i="14" l="1"/>
  <c r="N75" i="14"/>
  <c r="R16" i="12"/>
  <c r="R17" i="12"/>
  <c r="S17" i="12" s="1"/>
  <c r="P20" i="12"/>
  <c r="S19" i="12"/>
  <c r="T19" i="12"/>
  <c r="N56" i="11"/>
  <c r="O56" i="11"/>
  <c r="N30" i="11"/>
  <c r="O26" i="11"/>
  <c r="P26" i="11" s="1"/>
  <c r="Q8" i="11"/>
  <c r="O10" i="11"/>
  <c r="P10" i="11" s="1"/>
  <c r="Q10" i="11" s="1"/>
  <c r="Q9" i="11"/>
  <c r="S16" i="12" l="1"/>
  <c r="S20" i="12" s="1"/>
  <c r="T17" i="12"/>
  <c r="O27" i="11"/>
  <c r="P18" i="11" s="1"/>
  <c r="R18" i="11" s="1"/>
  <c r="O28" i="11"/>
  <c r="O29" i="11"/>
  <c r="T20" i="12" l="1"/>
  <c r="T16" i="12"/>
  <c r="O19" i="11"/>
  <c r="P19" i="11"/>
  <c r="P29" i="11"/>
  <c r="O20" i="11"/>
  <c r="N20" i="11"/>
  <c r="P20" i="11"/>
  <c r="N60" i="11"/>
  <c r="P60" i="11" s="1"/>
  <c r="P28" i="11"/>
  <c r="N61" i="11"/>
  <c r="P27" i="11"/>
  <c r="O30" i="11"/>
  <c r="N26" i="12" l="1"/>
  <c r="N25" i="12"/>
  <c r="P30" i="11"/>
  <c r="R20" i="11"/>
  <c r="R19" i="11"/>
  <c r="O61" i="11"/>
  <c r="O62" i="11"/>
  <c r="P61" i="11" l="1"/>
  <c r="P62" i="11"/>
  <c r="R21" i="11"/>
  <c r="N34" i="11" s="1"/>
  <c r="P63" i="11" l="1"/>
  <c r="N65" i="11" s="1"/>
  <c r="N39" i="11"/>
  <c r="N38" i="11"/>
  <c r="N70" i="11" l="1"/>
  <c r="N69" i="11"/>
  <c r="N18" i="9"/>
  <c r="N26" i="9" s="1"/>
  <c r="N19" i="9"/>
  <c r="N27" i="9" s="1"/>
  <c r="N17" i="9"/>
  <c r="O25" i="9" s="1"/>
  <c r="N5" i="9"/>
  <c r="N8" i="9" s="1"/>
  <c r="P26" i="9" l="1"/>
  <c r="N7" i="9"/>
  <c r="O27" i="9"/>
  <c r="P25" i="9"/>
  <c r="O26" i="9"/>
  <c r="N25" i="9"/>
  <c r="N28" i="9" s="1"/>
  <c r="P27" i="9"/>
  <c r="N25" i="8"/>
  <c r="M25" i="8"/>
  <c r="N18" i="8"/>
  <c r="O10" i="8"/>
  <c r="N10" i="8"/>
  <c r="M10" i="8"/>
  <c r="M5" i="8"/>
  <c r="Q31" i="8"/>
  <c r="M19" i="8"/>
  <c r="O17" i="8"/>
  <c r="P16" i="8"/>
  <c r="M7" i="8"/>
  <c r="N6" i="8"/>
  <c r="M6" i="8"/>
  <c r="O5" i="8"/>
  <c r="N5" i="8"/>
  <c r="Q7" i="7"/>
  <c r="Q8" i="7"/>
  <c r="Q9" i="7"/>
  <c r="Q6" i="7"/>
  <c r="N13" i="7"/>
  <c r="N9" i="7"/>
  <c r="N8" i="7"/>
  <c r="N7" i="7"/>
  <c r="N6" i="7"/>
  <c r="N24" i="5"/>
  <c r="N26" i="5" s="1"/>
  <c r="V7" i="5"/>
  <c r="U7" i="5"/>
  <c r="V6" i="5"/>
  <c r="U6" i="5"/>
  <c r="Q6" i="5"/>
  <c r="S6" i="5" s="1"/>
  <c r="R8" i="5"/>
  <c r="Q8" i="5"/>
  <c r="R7" i="5"/>
  <c r="Q7" i="5"/>
  <c r="R6" i="5"/>
  <c r="N7" i="5"/>
  <c r="M6" i="5"/>
  <c r="N9" i="5"/>
  <c r="M9" i="5"/>
  <c r="N8" i="5"/>
  <c r="M8" i="5"/>
  <c r="M7" i="5"/>
  <c r="N6" i="5"/>
  <c r="W6" i="5" l="1"/>
  <c r="O28" i="9"/>
  <c r="O29" i="9" s="1"/>
  <c r="N29" i="9"/>
  <c r="P28" i="9"/>
  <c r="P29" i="9" s="1"/>
  <c r="R9" i="7"/>
  <c r="S8" i="5"/>
  <c r="W7" i="5"/>
  <c r="N29" i="5"/>
  <c r="N28" i="5"/>
  <c r="O9" i="5"/>
  <c r="S7" i="5"/>
  <c r="P17" i="8"/>
  <c r="O18" i="8"/>
  <c r="N19" i="8"/>
  <c r="O19" i="8" s="1"/>
  <c r="P19" i="8" s="1"/>
  <c r="N14" i="7"/>
  <c r="R6" i="7"/>
  <c r="R8" i="7"/>
  <c r="O6" i="5"/>
  <c r="O8" i="5"/>
  <c r="O7" i="5"/>
  <c r="N49" i="4"/>
  <c r="N8" i="4"/>
  <c r="P19" i="4"/>
  <c r="N21" i="4"/>
  <c r="N7" i="4"/>
  <c r="N50" i="4"/>
  <c r="N48" i="4"/>
  <c r="N47" i="4"/>
  <c r="R38" i="4"/>
  <c r="O20" i="4"/>
  <c r="Q18" i="4"/>
  <c r="O47" i="4" s="1"/>
  <c r="P12" i="4"/>
  <c r="O12" i="4"/>
  <c r="N12" i="4"/>
  <c r="N9" i="4"/>
  <c r="O8" i="4"/>
  <c r="P7" i="4"/>
  <c r="O7" i="4"/>
  <c r="W8" i="5" l="1"/>
  <c r="O19" i="5" s="1"/>
  <c r="P19" i="5" s="1"/>
  <c r="S9" i="5"/>
  <c r="O18" i="5" s="1"/>
  <c r="P18" i="5" s="1"/>
  <c r="N34" i="8"/>
  <c r="M34" i="8"/>
  <c r="P18" i="8"/>
  <c r="P27" i="4"/>
  <c r="N29" i="4"/>
  <c r="N28" i="4"/>
  <c r="O28" i="4"/>
  <c r="N51" i="4"/>
  <c r="O21" i="4"/>
  <c r="P21" i="4" s="1"/>
  <c r="Q21" i="4" s="1"/>
  <c r="O50" i="4" s="1"/>
  <c r="Q19" i="4"/>
  <c r="O48" i="4" s="1"/>
  <c r="P48" i="4" s="1"/>
  <c r="S9" i="7"/>
  <c r="S6" i="7"/>
  <c r="O10" i="5"/>
  <c r="O17" i="5" s="1"/>
  <c r="P17" i="5" s="1"/>
  <c r="O27" i="4"/>
  <c r="P20" i="4"/>
  <c r="Q20" i="4" s="1"/>
  <c r="O49" i="4" s="1"/>
  <c r="N27" i="4"/>
  <c r="N34" i="2"/>
  <c r="N32" i="2"/>
  <c r="N14" i="2"/>
  <c r="N13" i="2"/>
  <c r="N5" i="2"/>
  <c r="N8" i="2" s="1"/>
  <c r="N21" i="5" l="1"/>
  <c r="O32" i="4"/>
  <c r="O40" i="4" s="1"/>
  <c r="N33" i="8"/>
  <c r="O25" i="8"/>
  <c r="O33" i="8" s="1"/>
  <c r="N65" i="4"/>
  <c r="N71" i="4"/>
  <c r="P49" i="4"/>
  <c r="O51" i="4"/>
  <c r="N70" i="4"/>
  <c r="O41" i="4"/>
  <c r="P50" i="4"/>
  <c r="O65" i="4"/>
  <c r="N7" i="2"/>
  <c r="N10" i="1"/>
  <c r="S19" i="1" s="1"/>
  <c r="T36" i="1" l="1"/>
  <c r="T35" i="1"/>
  <c r="T38" i="1"/>
  <c r="T33" i="1"/>
  <c r="T37" i="1"/>
  <c r="T34" i="1"/>
  <c r="S18" i="1"/>
  <c r="P32" i="4"/>
  <c r="P65" i="4" s="1"/>
  <c r="P66" i="4" s="1"/>
  <c r="O70" i="4" s="1"/>
  <c r="Q33" i="8"/>
  <c r="R33" i="8" s="1"/>
  <c r="O34" i="8"/>
  <c r="Q34" i="8" s="1"/>
  <c r="R34" i="8" s="1"/>
  <c r="O32" i="8"/>
  <c r="Q32" i="8" s="1"/>
  <c r="R32" i="8" s="1"/>
  <c r="N41" i="4"/>
  <c r="P51" i="4"/>
  <c r="O66" i="4" l="1"/>
  <c r="O71" i="4" s="1"/>
  <c r="P41" i="4"/>
  <c r="R41" i="4" s="1"/>
  <c r="Q50" i="4" s="1"/>
  <c r="R50" i="4" s="1"/>
  <c r="S50" i="4" s="1"/>
  <c r="P40" i="4"/>
  <c r="R40" i="4" s="1"/>
  <c r="Q49" i="4" s="1"/>
  <c r="N66" i="4"/>
  <c r="O72" i="4" s="1"/>
  <c r="P39" i="4"/>
  <c r="R39" i="4" s="1"/>
  <c r="Q48" i="4" s="1"/>
  <c r="R48" i="4" s="1"/>
  <c r="S48" i="4" s="1"/>
  <c r="P71" i="4" l="1"/>
  <c r="R49" i="4"/>
  <c r="S49" i="4" s="1"/>
  <c r="P72" i="4"/>
  <c r="P70" i="4"/>
  <c r="P73" i="4" l="1"/>
  <c r="Q51" i="4" s="1"/>
  <c r="R51" i="4" s="1"/>
  <c r="S5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tc={71A1B5CB-E26C-D244-BE26-14A4F34F34F2}</author>
    <author>tc={ADCC4535-EB60-AA43-994C-249AEC2A5A16}</author>
  </authors>
  <commentList>
    <comment ref="R15" authorId="0" shapeId="0" xr:uid="{71A1B5CB-E26C-D244-BE26-14A4F34F34F2}">
      <text>
        <t>[Threaded comment]
Your version of Excel allows you to read this threaded comment; however, any edits to it will get removed if the file is opened in a newer version of Excel. Learn more: https://go.microsoft.com/fwlink/?linkid=870924
Comment:
    ROUNDDOWN(n_j,0) to round down</t>
      </text>
    </comment>
    <comment ref="S15" authorId="1" shapeId="0" xr:uid="{ADCC4535-EB60-AA43-994C-249AEC2A5A16}">
      <text>
        <t>[Threaded comment]
Your version of Excel allows you to read this threaded comment; however, any edits to it will get removed if the file is opened in a newer version of Excel. Learn more: https://go.microsoft.com/fwlink/?linkid=870924
Comment:
    Use COMBIN() function for the number of combinations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tc={988FD8CE-B8E9-3246-9909-425B2FCABB21}</author>
    <author>tc={4CBA233F-6C90-844B-A76D-48122CEA0508}</author>
    <author>tc={0A70D8FE-4193-0F44-BBCE-B49349609636}</author>
  </authors>
  <commentList>
    <comment ref="Q51" authorId="0" shapeId="0" xr:uid="{988FD8CE-B8E9-3246-9909-425B2FCABB21}">
      <text>
        <t>[Threaded comment]
Your version of Excel allows you to read this threaded comment; however, any edits to it will get removed if the file is opened in a newer version of Excel. Learn more: https://go.microsoft.com/fwlink/?linkid=870924
Comment:
    See section below (not part of problem) for how this is calculated</t>
      </text>
    </comment>
    <comment ref="R51" authorId="1" shapeId="0" xr:uid="{4CBA233F-6C90-844B-A76D-48122CEA0508}">
      <text>
        <t>[Threaded comment]
Your version of Excel allows you to read this threaded comment; however, any edits to it will get removed if the file is opened in a newer version of Excel. Learn more: https://go.microsoft.com/fwlink/?linkid=870924
Comment:
    See section below (not part of problem) for how this is calculated</t>
      </text>
    </comment>
    <comment ref="S51" authorId="2" shapeId="0" xr:uid="{0A70D8FE-4193-0F44-BBCE-B49349609636}">
      <text>
        <t>[Threaded comment]
Your version of Excel allows you to read this threaded comment; however, any edits to it will get removed if the file is opened in a newer version of Excel. Learn more: https://go.microsoft.com/fwlink/?linkid=870924
Comment:
    See section below (not part of problem) for how this is calculated</t>
      </text>
    </comment>
  </commentList>
</comments>
</file>

<file path=xl/sharedStrings.xml><?xml version="1.0" encoding="utf-8"?>
<sst xmlns="http://schemas.openxmlformats.org/spreadsheetml/2006/main" count="1445" uniqueCount="715">
  <si>
    <t>a.</t>
  </si>
  <si>
    <t>b.</t>
  </si>
  <si>
    <t>c.</t>
  </si>
  <si>
    <t>Part a</t>
  </si>
  <si>
    <t>Part b</t>
  </si>
  <si>
    <t>Part c</t>
  </si>
  <si>
    <t>Given the following information as of December 31, 2016:</t>
  </si>
  <si>
    <t>Accident Year</t>
  </si>
  <si>
    <t>12 Months</t>
  </si>
  <si>
    <t>24 Months</t>
  </si>
  <si>
    <t>Cumulative Reported Losses ($000)</t>
  </si>
  <si>
    <t>24 months relates to cumulative losses at 12 months.</t>
  </si>
  <si>
    <t>Identify the assumption underlying the chain ladder method that describes how cumulative losses at</t>
  </si>
  <si>
    <t>Expected losses in the next development period (24 months) are proportional to losses-to-date (12 months):</t>
  </si>
  <si>
    <t>E[C_i,k+1 | C_i,1, … C_i,k ] = C_i,k * LDF</t>
  </si>
  <si>
    <t xml:space="preserve">LDF 12-24 = </t>
  </si>
  <si>
    <t>LDF Line</t>
  </si>
  <si>
    <t>12mo</t>
  </si>
  <si>
    <t>24mo</t>
  </si>
  <si>
    <t>AY</t>
  </si>
  <si>
    <t>Weghted Residual</t>
  </si>
  <si>
    <t>Given the following information:</t>
  </si>
  <si>
    <t>12-24 Months</t>
  </si>
  <si>
    <t>24-36 Months</t>
  </si>
  <si>
    <t>36-48 Months</t>
  </si>
  <si>
    <t>48-60 Months</t>
  </si>
  <si>
    <t>60-72 Months</t>
  </si>
  <si>
    <t>Age-to-Age Loss Development Factors</t>
  </si>
  <si>
    <t>Test the null hypothesis that the LDF triangle does not show significant calendar year effects using a</t>
  </si>
  <si>
    <t>95% confidence threshold.</t>
  </si>
  <si>
    <t>Rank LDFs as Small or Large compared to median LDF:</t>
  </si>
  <si>
    <t>L</t>
  </si>
  <si>
    <t>S</t>
  </si>
  <si>
    <t>*</t>
  </si>
  <si>
    <t>Sj</t>
  </si>
  <si>
    <t>Lj</t>
  </si>
  <si>
    <t>Zj</t>
  </si>
  <si>
    <t>nj</t>
  </si>
  <si>
    <t>mj</t>
  </si>
  <si>
    <t>E[Zj]</t>
  </si>
  <si>
    <t>Var(Zj)</t>
  </si>
  <si>
    <t>Diagonal(j)</t>
  </si>
  <si>
    <t xml:space="preserve">CI_bottom = </t>
  </si>
  <si>
    <t xml:space="preserve">CI_top = </t>
  </si>
  <si>
    <t>Z = 4 is inside the C.I., so the null hypothesis of no significant calendar year effects is not rejected.</t>
  </si>
  <si>
    <t>Calculate the Confidence Interval:</t>
  </si>
  <si>
    <t>Solve for E[Z] and Var(Z):</t>
  </si>
  <si>
    <t>Given the following results from a reserve range analysis using the Mack method:</t>
  </si>
  <si>
    <t>Ult</t>
  </si>
  <si>
    <t>Reserve</t>
  </si>
  <si>
    <t>s.e.(Reserve)</t>
  </si>
  <si>
    <t>s.e.(Reserve)/Reserve</t>
  </si>
  <si>
    <t>Overall</t>
  </si>
  <si>
    <t>d.</t>
  </si>
  <si>
    <t>Calculate the 90% confidence interval for the overall reserve estimate using the lognormal distribution.</t>
  </si>
  <si>
    <t>Calculate the 90% confidence interval for the overall reserve estimate using the Normal distribution.</t>
  </si>
  <si>
    <t>Discuss which distribution is more appropriate for creating the confidence interval.</t>
  </si>
  <si>
    <t>by accident year to the variance of the total reserve estimate.</t>
  </si>
  <si>
    <t>Evaluate the reasonableness of the reserve variance by accident year and compare the reserve variance</t>
  </si>
  <si>
    <t xml:space="preserve">sigma^2 = </t>
  </si>
  <si>
    <t xml:space="preserve">C.I. Bottom = </t>
  </si>
  <si>
    <t xml:space="preserve">C.I. Top = </t>
  </si>
  <si>
    <t>Confidence Interval with the Lognormal distribution:</t>
  </si>
  <si>
    <t>Confidence Interval with the Normal distribution:</t>
  </si>
  <si>
    <t>Part d</t>
  </si>
  <si>
    <t>The percentage standard error is greatest for accident years 2008 and 2009. This is reasonable because the reserve estimate is the smallest there. Still, the absolute value of the standard error is smallest for those years.
The percentage standard error also increases significantly for the most recent two accident years. This is reasonable because they’re the most immature and most uncertain accident years.
We can also compare the sum of MSE by accident year to the total MSE:</t>
  </si>
  <si>
    <t>Sum(MSE_AY) =</t>
  </si>
  <si>
    <t xml:space="preserve">MSE_total = </t>
  </si>
  <si>
    <t>The variance (MSE) of the total reserve is greater than the sum of the variance of the individual accident year reserves. This is reasonable and expected because the chain ladder method uses the same LDFs between accident years. So, the reserve estimates for the individual accident years are positively correlated causing a higher total variance than if the accident year reserve estimates were independent.</t>
  </si>
  <si>
    <t>(greater than the sum of MSE by AY)</t>
  </si>
  <si>
    <t>36 Months</t>
  </si>
  <si>
    <t>48 Months</t>
  </si>
  <si>
    <t>Cumulative Paid Losses ($000)</t>
  </si>
  <si>
    <t>Assume no development after 48 months.</t>
  </si>
  <si>
    <t>Calculate the standard error of the chain ladder reserve estimate as a percentage of the reserve estimate</t>
  </si>
  <si>
    <t>for each accident year using Mack’s methodology.</t>
  </si>
  <si>
    <t>Vol-Wtd LDF</t>
  </si>
  <si>
    <t>Square the triangle</t>
  </si>
  <si>
    <t>Alpha^2 Calculation</t>
  </si>
  <si>
    <t>=SUM(CumLoss*(Age-to-Age - LDF)^2)/(I-k-1)</t>
  </si>
  <si>
    <t>k</t>
  </si>
  <si>
    <t>alpha^2</t>
  </si>
  <si>
    <t>MSE Calculation</t>
  </si>
  <si>
    <t>Total MSE</t>
  </si>
  <si>
    <t>Losses-to-Date</t>
  </si>
  <si>
    <t>Resv</t>
  </si>
  <si>
    <t>MSE</t>
  </si>
  <si>
    <t>s.e.</t>
  </si>
  <si>
    <t>s.e.(R)/R</t>
  </si>
  <si>
    <t>Total</t>
  </si>
  <si>
    <t>Calculation of the MSE for the total reserve</t>
  </si>
  <si>
    <t>Incremental</t>
  </si>
  <si>
    <t>Cumulative</t>
  </si>
  <si>
    <t>Ult*sum(Ult)</t>
  </si>
  <si>
    <t>MSE with Correlation</t>
  </si>
  <si>
    <t>Summary and s.e.(R) / R by accident year:</t>
  </si>
  <si>
    <t>&lt;- Extrapolate from decreasing alpha^2</t>
  </si>
  <si>
    <t>Calculate age-to-age factors and vol-wtd LDFs:</t>
  </si>
  <si>
    <t>Given the following information for a book of business as of December 31, 2016:</t>
  </si>
  <si>
    <t>Age-to-Age Factors</t>
  </si>
  <si>
    <t xml:space="preserve">Use Mack’s methodology to test for correlations between subsequent development factors using a </t>
  </si>
  <si>
    <t>50% confidence interval.</t>
  </si>
  <si>
    <t>Development period 2 (24-36):</t>
  </si>
  <si>
    <t>Development period 3 (36-48):</t>
  </si>
  <si>
    <t>Development period 4 (48-60):</t>
  </si>
  <si>
    <t>T_k</t>
  </si>
  <si>
    <r>
      <t>Rank</t>
    </r>
    <r>
      <rPr>
        <vertAlign val="subscript"/>
        <sz val="12"/>
        <color rgb="FF000000"/>
        <rFont val="Calibri"/>
        <family val="2"/>
      </rPr>
      <t>prior</t>
    </r>
  </si>
  <si>
    <r>
      <t>Rank</t>
    </r>
    <r>
      <rPr>
        <vertAlign val="subscript"/>
        <sz val="12"/>
        <color rgb="FF000000"/>
        <rFont val="Calibri"/>
        <family val="2"/>
      </rPr>
      <t>2</t>
    </r>
  </si>
  <si>
    <r>
      <t>(Rank Diff)</t>
    </r>
    <r>
      <rPr>
        <vertAlign val="superscript"/>
        <sz val="12"/>
        <color rgb="FF000000"/>
        <rFont val="Calibri"/>
        <family val="2"/>
      </rPr>
      <t>2</t>
    </r>
  </si>
  <si>
    <r>
      <t>Rank</t>
    </r>
    <r>
      <rPr>
        <vertAlign val="subscript"/>
        <sz val="12"/>
        <color rgb="FF000000"/>
        <rFont val="Calibri"/>
        <family val="2"/>
      </rPr>
      <t>3</t>
    </r>
  </si>
  <si>
    <r>
      <t>Rank</t>
    </r>
    <r>
      <rPr>
        <vertAlign val="subscript"/>
        <sz val="12"/>
        <color rgb="FF000000"/>
        <rFont val="Calibri"/>
        <family val="2"/>
      </rPr>
      <t>4</t>
    </r>
  </si>
  <si>
    <r>
      <t>Note:</t>
    </r>
    <r>
      <rPr>
        <sz val="12"/>
        <color theme="1"/>
        <rFont val="Calibri"/>
        <family val="2"/>
      </rPr>
      <t xml:space="preserve"> Use the Rank(number, array, 1) formula to easily get the rank order of the LDFs.</t>
    </r>
  </si>
  <si>
    <t>S_k</t>
  </si>
  <si>
    <t>n</t>
  </si>
  <si>
    <t>weight</t>
  </si>
  <si>
    <t xml:space="preserve">T = </t>
  </si>
  <si>
    <t>Calculate T_k, Spearman's rank correlation coeffictiont for each period and weighted average T:</t>
  </si>
  <si>
    <t>E[T] =</t>
  </si>
  <si>
    <t xml:space="preserve">Var(T) = </t>
  </si>
  <si>
    <t>#AYs</t>
  </si>
  <si>
    <t>(Original triangle is 2011 - 2016, 6 accident years total)</t>
  </si>
  <si>
    <t>C.I. Top(T) =</t>
  </si>
  <si>
    <t>C.I. Bot(T) =</t>
  </si>
  <si>
    <t>Therefore, the null hypothesis of uncorrelated development factors is rejected.</t>
  </si>
  <si>
    <t>The loss triangle shows significant correlation between adjacent development periods.</t>
  </si>
  <si>
    <t>The chain ladder method assumes expected losses in the next development period are proportional to losses-to-date and are independent of losses evaluated before the most recent development period. Therefore, development factors should be independent between development periods. 
The result in part a violates this assumption. The chain ladder is not appropriate for this book of business.</t>
  </si>
  <si>
    <t>Briefly describe the three Mack assumptions that implicitly underlie the chain ladder method.</t>
  </si>
  <si>
    <t xml:space="preserve">For each assumption identified in part a, discuss one way to test a given run-off triangle to see if the </t>
  </si>
  <si>
    <t>assumption is met or not.</t>
  </si>
  <si>
    <t>1. Expected losses in the next development period are proportional to losses-to-date.</t>
  </si>
  <si>
    <t>2. Losses are independent between accident years.</t>
  </si>
  <si>
    <t>3. Variance of losses in the next development period is proportional to losses-to-date.</t>
  </si>
  <si>
    <t>3. Plot residual graphs for each of the three variance assumptions:</t>
  </si>
  <si>
    <t>Var(C_i,k+1) is a constant</t>
  </si>
  <si>
    <t>Var(C_i,k+1) is proportional to C_i,k</t>
  </si>
  <si>
    <t>Var(C_i,k+1) is proportional to (C_i,k)^2</t>
  </si>
  <si>
    <t>- f_k0</t>
  </si>
  <si>
    <t>- f_k2</t>
  </si>
  <si>
    <t>- f_k1</t>
  </si>
  <si>
    <t>The plot showing variance proportional to prior losses should show residuals random around zero.</t>
  </si>
  <si>
    <t>Var[C_i,k+1 | C_i,1, … C_i,k ] = C_i,k * (alpha_k)^2</t>
  </si>
  <si>
    <t>Reported Losses</t>
  </si>
  <si>
    <t>For each of the following assumptions regarding Var(C_i,k+1 | C_i,1, …, C_i,k), calculate the weighted residuals</t>
  </si>
  <si>
    <t>for losses as of 24 months using Mack's methodology.</t>
  </si>
  <si>
    <t>ii.  Var(C_i,k+1) is proportional to (C_i,k)^2</t>
  </si>
  <si>
    <t>Create a residual plot to test whether the Mack assumption regarding Var(C_i,k+1 | C_i,1, …, C_i,k) is met or not.</t>
  </si>
  <si>
    <t>Age-to age factors:</t>
  </si>
  <si>
    <t>age-to-age</t>
  </si>
  <si>
    <t>Calculate the LDFs:</t>
  </si>
  <si>
    <t>f_k1 =</t>
  </si>
  <si>
    <t>f_k2 =</t>
  </si>
  <si>
    <t>Var(C_i,k+1) prop. C_i,k</t>
  </si>
  <si>
    <t>Weighted Residuals:</t>
  </si>
  <si>
    <t>C_i,12mo</t>
  </si>
  <si>
    <t>for Var(C_i,k+1) prop. (C_i,k)^2</t>
  </si>
  <si>
    <t>for Var(C_i,k+1) prop. C_i,k</t>
  </si>
  <si>
    <t>Residuals appear random around zero, so the Mack assumption of Var(C_i,k+1) proportional to C_i,k appears reasonable.</t>
  </si>
  <si>
    <t>Reported Loss</t>
  </si>
  <si>
    <t>Not Given</t>
  </si>
  <si>
    <t>Alpha^2</t>
  </si>
  <si>
    <t>s.e. (Resv)</t>
  </si>
  <si>
    <t>Given the following results from a reserve range analysis using the Mack method ($000):</t>
  </si>
  <si>
    <t>-</t>
  </si>
  <si>
    <t>Allocate the upper limit of the overall reserve confidence interval to accident years 2014-2016 such that</t>
  </si>
  <si>
    <t>the same level of confidence is used for each accident year. Use the following trials when calculating</t>
  </si>
  <si>
    <t>the accident year confidence interval limits:</t>
  </si>
  <si>
    <t>Trial</t>
  </si>
  <si>
    <t>z-value</t>
  </si>
  <si>
    <t>Calculate the overall reserve Confidence Interval:</t>
  </si>
  <si>
    <t xml:space="preserve">C.I. Bot = </t>
  </si>
  <si>
    <t>The 90% confidence interval is $400,000 to $2,011,000.</t>
  </si>
  <si>
    <t>Calculate sigma^2 for each accident year:</t>
  </si>
  <si>
    <t>sigma^2</t>
  </si>
  <si>
    <r>
      <t>Dif From Total C.I.</t>
    </r>
    <r>
      <rPr>
        <vertAlign val="subscript"/>
        <sz val="12"/>
        <color rgb="FF000000"/>
        <rFont val="Calibri"/>
        <family val="2"/>
      </rPr>
      <t>Upper</t>
    </r>
  </si>
  <si>
    <r>
      <t>t</t>
    </r>
    <r>
      <rPr>
        <i/>
        <vertAlign val="subscript"/>
        <sz val="12"/>
        <color rgb="FF000000"/>
        <rFont val="Calibri"/>
        <family val="2"/>
      </rPr>
      <t>1</t>
    </r>
    <r>
      <rPr>
        <i/>
        <sz val="12"/>
        <color rgb="FF000000"/>
        <rFont val="Calibri"/>
        <family val="2"/>
      </rPr>
      <t>=</t>
    </r>
  </si>
  <si>
    <r>
      <t>t</t>
    </r>
    <r>
      <rPr>
        <i/>
        <vertAlign val="subscript"/>
        <sz val="12"/>
        <color rgb="FF000000"/>
        <rFont val="Calibri"/>
        <family val="2"/>
      </rPr>
      <t>2</t>
    </r>
    <r>
      <rPr>
        <i/>
        <sz val="12"/>
        <color rgb="FF000000"/>
        <rFont val="Calibri"/>
        <family val="2"/>
      </rPr>
      <t>=</t>
    </r>
  </si>
  <si>
    <r>
      <t>t</t>
    </r>
    <r>
      <rPr>
        <i/>
        <vertAlign val="subscript"/>
        <sz val="12"/>
        <color rgb="FF000000"/>
        <rFont val="Calibri"/>
        <family val="2"/>
      </rPr>
      <t>3</t>
    </r>
    <r>
      <rPr>
        <i/>
        <sz val="12"/>
        <color rgb="FF000000"/>
        <rFont val="Calibri"/>
        <family val="2"/>
      </rPr>
      <t>=</t>
    </r>
  </si>
  <si>
    <t>Calculate the upper limit of the C.I. for each AY:</t>
  </si>
  <si>
    <t>$2,011,000. This is the best allocation of the C.I upper limit to AY of the three trials.</t>
  </si>
  <si>
    <t xml:space="preserve">t_3=1.40 results in C.I. upper limits by AY that sum the closest to the overall reserve C.I. upper limit of </t>
  </si>
  <si>
    <t>An analyst performed a reserve range analysis for an Auto book of business using the Mack method.</t>
  </si>
  <si>
    <t>Below is information from the analysis:</t>
  </si>
  <si>
    <t>(12-24mo)</t>
  </si>
  <si>
    <t>(24-36mo)</t>
  </si>
  <si>
    <t>(36-48mo)</t>
  </si>
  <si>
    <t>The analyst assumes that the reserve estimates are independent between accident years.</t>
  </si>
  <si>
    <t>Calculate the 90% confidence interval for the overall reserve estimate using the Normal distribution</t>
  </si>
  <si>
    <t>and the analyst’s assumption.</t>
  </si>
  <si>
    <t>Discuss whether the analyst’s assumption is reasonable under Mack’s methodology.</t>
  </si>
  <si>
    <t>If the analyst’s assumption isn’t reasonable, calculate a more appropriate 90% confidence interval using</t>
  </si>
  <si>
    <t>the Normal distribution for the overall reserve estimate.</t>
  </si>
  <si>
    <t>Cumulative Paid Losses</t>
  </si>
  <si>
    <t>4 (Ult)</t>
  </si>
  <si>
    <t>&lt;- Assuming independence</t>
  </si>
  <si>
    <t>Calculate the overall standard error of the reserve ASSUMING independence between reserve estimates:</t>
  </si>
  <si>
    <t xml:space="preserve">s.e.(Resv) = </t>
  </si>
  <si>
    <t>C.I (Resv) = R +/- z * s.e.(R)</t>
  </si>
  <si>
    <t>Calculate the reserve over all accident years:</t>
  </si>
  <si>
    <t>Mack assumes independence of losses between accident years, but the chain ladder reserve estimates are not independent between accident years. This is because the same LDFs are used across accident years. 
Because of this, the loss reserve estimates by accident year are positively correlated and the MSE of the overall reserve estimate is greater than the sum of the MSE of the individual accident years. The analyst’s assumption is unreasonable and the confidence interval is too narrow.</t>
  </si>
  <si>
    <t>Calculation of the MSE for the total reserve , including correlation between accident years.</t>
  </si>
  <si>
    <t>Discussion</t>
  </si>
  <si>
    <t xml:space="preserve">This is a key type of question to be prepared for. The Mack assumptions are explicitly called out as Knowledge Statements in the syllabus. </t>
  </si>
  <si>
    <t>Note that n is the number of accident years in the original loss triangle. The age-to-age factor triangle shows 5 rows, but the original loss triangle would have 6 accident years.</t>
  </si>
  <si>
    <t>It can help to memorize some of the E[Zi] and Var(Zi) numbers to fill in the table, but make sure to show the calculation for one of the diagonals. Based on the Examiners’ Reports, the graders take off some credit for not showing the E[Zi] and Var(Zi) calculations.</t>
  </si>
  <si>
    <r>
      <rPr>
        <b/>
        <sz val="12"/>
        <color theme="1"/>
        <rFont val="Calibri"/>
        <family val="2"/>
      </rPr>
      <t xml:space="preserve">Note: </t>
    </r>
    <r>
      <rPr>
        <sz val="12"/>
        <color theme="1"/>
        <rFont val="Calibri"/>
        <family val="2"/>
      </rPr>
      <t>In the CBT testing format, graphs aren't allowed in the solution, but you may need to calculate the inputs for graphs. Just note that you shouldn't see a question quite like this.</t>
    </r>
  </si>
  <si>
    <t>SHOW ALL WORK.</t>
  </si>
  <si>
    <t>Solution -&gt;</t>
  </si>
  <si>
    <t>Create a plot of cumulative losses at 24 months vs. cumulative losses at 12 and test the Mack</t>
  </si>
  <si>
    <t>assumption identified in part a.</t>
  </si>
  <si>
    <t>Create a plot of weighted residuals vs. cumulative losses at 12 months with Mack’s methodology to</t>
  </si>
  <si>
    <t>test whether the variance of cumulative losses at 24 months is proportional to cumulative losses</t>
  </si>
  <si>
    <t>at 12 months.</t>
  </si>
  <si>
    <t>Cumulative losses at 24 months are linearly proportional to losses at 12 months with a line through the origin, so the assumption is reasonable.</t>
  </si>
  <si>
    <t>Residuals should be random around zero with no significant trends or patterns. The graph shows that residuals are random around zero with the exception of the 2012 residual, which seems to be an outlier. Therefore, don’t reject the assumption that variance is proportional to cumulative losses-to-date.</t>
  </si>
  <si>
    <t>The lognormal distribution is more appropriate because the normal distribution results in a negative lower bound of the confidence interval. When the standard error is a high percentage of the reserve estimate (e.g. over 50%), the lognormal distribution is more appropriate.</t>
  </si>
  <si>
    <t>The MSE for the total reserve is calculated with the messy formula on pg. 120. This formula adds in correlation between accident years. There is positive correlation between accident years because the same age-to-age factors are used across years.</t>
  </si>
  <si>
    <t>business.</t>
  </si>
  <si>
    <t>Evaluate whether the chain ladder method is appropriate to estimate loss reserves for the book of</t>
  </si>
  <si>
    <t>2. Use the calendar-year test to see if there are calendar-year effects such as major changes in claims handling. This would invalidate the assumption</t>
  </si>
  <si>
    <t>• z-value for the 95th percentile of the normal distribution is 1.645</t>
  </si>
  <si>
    <t>• There is no loss development after 48 months.</t>
  </si>
  <si>
    <t>• z-value for the 75th percentile of the standard normal distribution is 0.67</t>
  </si>
  <si>
    <t>•  z-value for the 95th percentile of the normal distribution is 1.645</t>
  </si>
  <si>
    <t>• The z-value for the 97.5th percentile of the Standard Normal distribution is 1.96.</t>
  </si>
  <si>
    <t>RF Mack Chain Ladder - 1</t>
  </si>
  <si>
    <t>RF Mack Chain Ladder - 2</t>
  </si>
  <si>
    <t>RF Mack Chain Ladder - 3</t>
  </si>
  <si>
    <t>RF Mack Chain Ladder - 4</t>
  </si>
  <si>
    <t>RF Mack Chain Ladder - 5</t>
  </si>
  <si>
    <t>RF Mack Chain Ladder - 6</t>
  </si>
  <si>
    <t>RF Mack Chain Ladder - 7</t>
  </si>
  <si>
    <t>RF Mack Chain Ladder - 8</t>
  </si>
  <si>
    <t>Calculate the standard error for the accident year 2015 estimated loss reserve using the Mack Chain Ladder Methodology.</t>
  </si>
  <si>
    <t>RF Mack Chain Ladder - 9</t>
  </si>
  <si>
    <t>RF Mack Chain Ladder - 10</t>
  </si>
  <si>
    <t xml:space="preserve">std error(Resv_2015) = </t>
  </si>
  <si>
    <t>Recipe</t>
  </si>
  <si>
    <t>Mack - Chain Ladder - Residual Test</t>
  </si>
  <si>
    <t>Mack - Chain Ladder - Calendar Year Test</t>
  </si>
  <si>
    <t>Mack - Chain Ladder - Reserve Confidence Interval</t>
  </si>
  <si>
    <t>Mack - Chain Ladder - MSE Calculation</t>
  </si>
  <si>
    <t>Mack - Chain Ladder -  Overall Reserve MSE Calculation</t>
  </si>
  <si>
    <t>Mack - Chain Ladder - Correlation of Adjacent LDFs</t>
  </si>
  <si>
    <r>
      <rPr>
        <b/>
        <sz val="12"/>
        <color theme="1"/>
        <rFont val="Calibri"/>
        <family val="2"/>
      </rPr>
      <t xml:space="preserve">Note: </t>
    </r>
    <r>
      <rPr>
        <sz val="12"/>
        <color theme="1"/>
        <rFont val="Calibri"/>
        <family val="2"/>
      </rPr>
      <t>This section isn't necessary for this problem, but you may find it helpful to see how the MSE for the total reserve is calculated</t>
    </r>
  </si>
  <si>
    <t xml:space="preserve">T = -.367 is outside the C.I. </t>
  </si>
  <si>
    <r>
      <t>Var(C_i,k+1) prop. (C_i,k)</t>
    </r>
    <r>
      <rPr>
        <vertAlign val="superscript"/>
        <sz val="12"/>
        <color theme="1"/>
        <rFont val="Calibri"/>
        <family val="2"/>
      </rPr>
      <t>2</t>
    </r>
  </si>
  <si>
    <t>Note that the correct confidence interval is wider using Mack’s methodology. Take a look at pg. 120 in Mack Chain Ladder for some more context about why the overall chain ladder reserve MSE is larger than the sum of the individual MSEs by accident year.
As noted in the recipe in the Cookbook, this is more of a fringe topic. Understanding the concept is more important than memorizing the formula for the calculation I think. If a calculation problem like this shows up on the exam, I think you’d probably be given the formula as it’s shown in the Mack paper.</t>
  </si>
  <si>
    <t>For residual test questions, be sure to understand how to calculate the LDFs and residuals under different variance assumptions.
For part b, there are not enough data points here to draw too strong of a conclusion, but multiple answers/interpretations are likely fine as long as you justify your answer.</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</si>
  <si>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</si>
  <si>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</si>
  <si>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</si>
  <si>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</si>
  <si>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</si>
  <si>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</si>
  <si>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</si>
  <si>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</si>
  <si>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</si>
  <si>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Make sure you're comfortable with the MSE calculations. For the empirical confidence interval, we use the min and max age-to-age factors to create a range of ultimate losses. This is briefly discussed in the paper, but not a very good way to develop a confidence interval.</t>
  </si>
  <si>
    <t>CI Upper Limit =</t>
  </si>
  <si>
    <t>CI Lower Limit =</t>
  </si>
  <si>
    <t>Max CL Factor</t>
  </si>
  <si>
    <t>Min CL Factor</t>
  </si>
  <si>
    <t>k=4</t>
  </si>
  <si>
    <t>k=3</t>
  </si>
  <si>
    <t>k=2</t>
  </si>
  <si>
    <t>k=1</t>
  </si>
  <si>
    <t>Part e:</t>
  </si>
  <si>
    <t>80% CI Upper Limit =</t>
  </si>
  <si>
    <t>80% CI Lower Limit =</t>
  </si>
  <si>
    <t>Since all variability is captured in reserve, just add the losses to the 80% CI for the reserve to get the CI for the ultimate loss estimate:</t>
  </si>
  <si>
    <t>Part d:</t>
  </si>
  <si>
    <t>Alternative Calculation:</t>
  </si>
  <si>
    <t>mu =</t>
  </si>
  <si>
    <r>
      <t>σ</t>
    </r>
    <r>
      <rPr>
        <vertAlign val="superscript"/>
        <sz val="12"/>
        <color theme="1"/>
        <rFont val="Calibri"/>
        <family val="2"/>
      </rPr>
      <t>2</t>
    </r>
    <r>
      <rPr>
        <sz val="12"/>
        <color theme="1"/>
        <rFont val="Calibri"/>
        <family val="2"/>
      </rPr>
      <t xml:space="preserve"> = </t>
    </r>
  </si>
  <si>
    <t>R_4 =</t>
  </si>
  <si>
    <t>Part c:</t>
  </si>
  <si>
    <t>s.e.(R_4) =</t>
  </si>
  <si>
    <t>(s.e.(R_4))^2</t>
  </si>
  <si>
    <t>Calculate the s.e.(R_4):</t>
  </si>
  <si>
    <t>MSE Triangle</t>
  </si>
  <si>
    <t>k=5</t>
  </si>
  <si>
    <t>k-3</t>
  </si>
  <si>
    <t>Complete the triangle using the age-to-age factors from part a.:</t>
  </si>
  <si>
    <t>Part b:</t>
  </si>
  <si>
    <t>For k = 4, use min(alpha_3^4/alpha_2^2,min(alpha_2^2,alpha_3^2))</t>
  </si>
  <si>
    <t>Construct a confidence interval for the AY 2011 Ultimate Loss Estimate using empirical limits.</t>
  </si>
  <si>
    <r>
      <t>α</t>
    </r>
    <r>
      <rPr>
        <vertAlign val="superscript"/>
        <sz val="12"/>
        <color theme="1"/>
        <rFont val="Calibri (Body)"/>
      </rPr>
      <t>2</t>
    </r>
  </si>
  <si>
    <t>e.</t>
  </si>
  <si>
    <t>Construct an 80% confidence interval for the AY 2011 Ultimate Loss Estimate.</t>
  </si>
  <si>
    <r>
      <t>Construct an 80% confidence interval for R</t>
    </r>
    <r>
      <rPr>
        <vertAlign val="subscript"/>
        <sz val="12"/>
        <color theme="1"/>
        <rFont val="Calibri (Body)"/>
      </rPr>
      <t>4</t>
    </r>
    <r>
      <rPr>
        <sz val="12"/>
        <color theme="1"/>
        <rFont val="Calibri"/>
        <family val="2"/>
        <scheme val="minor"/>
      </rPr>
      <t>,</t>
    </r>
    <r>
      <rPr>
        <sz val="12"/>
        <color theme="1"/>
        <rFont val="Calibri"/>
        <family val="2"/>
        <scheme val="minor"/>
      </rPr>
      <t xml:space="preserve"> the AY 2011 reserve.</t>
    </r>
  </si>
  <si>
    <r>
      <t>Calculate the standard error of R</t>
    </r>
    <r>
      <rPr>
        <vertAlign val="subscript"/>
        <sz val="12"/>
        <color theme="1"/>
        <rFont val="Calibri (Body)"/>
      </rPr>
      <t>4,</t>
    </r>
    <r>
      <rPr>
        <sz val="12"/>
        <color theme="1"/>
        <rFont val="Calibri (Body)"/>
      </rPr>
      <t xml:space="preserve"> the AY 2011 reserve</t>
    </r>
    <r>
      <rPr>
        <sz val="12"/>
        <color theme="1"/>
        <rFont val="Calibri"/>
        <family val="2"/>
        <scheme val="minor"/>
      </rPr>
      <t>.</t>
    </r>
  </si>
  <si>
    <t xml:space="preserve">Calculate       for </t>
  </si>
  <si>
    <r>
      <t>Calculate α</t>
    </r>
    <r>
      <rPr>
        <u/>
        <vertAlign val="superscript"/>
        <sz val="12"/>
        <color theme="1"/>
        <rFont val="Calibri (Body)"/>
      </rPr>
      <t>2</t>
    </r>
    <r>
      <rPr>
        <u/>
        <sz val="12"/>
        <color theme="1"/>
        <rFont val="Calibri"/>
        <family val="2"/>
        <scheme val="minor"/>
      </rPr>
      <t>:</t>
    </r>
  </si>
  <si>
    <t>• The 90th percentile of the standard normal distribution is:</t>
  </si>
  <si>
    <t>• Assume reserves follow a lognormal distribution</t>
  </si>
  <si>
    <t>CL Factor</t>
  </si>
  <si>
    <t>• Assume age-to-age factors are determined by the standard chain-ladder method</t>
  </si>
  <si>
    <t>60 mo.</t>
  </si>
  <si>
    <t>48 mo.</t>
  </si>
  <si>
    <t>36 mo.</t>
  </si>
  <si>
    <t>24 mo.</t>
  </si>
  <si>
    <t>12 mo.</t>
  </si>
  <si>
    <t>Calculate the age-to-age factors:</t>
  </si>
  <si>
    <t>Cumulative Incurred Losses ($)</t>
  </si>
  <si>
    <t>Part a:</t>
  </si>
  <si>
    <t>Given the following for an insurer as of December 31, 2012:</t>
  </si>
  <si>
    <t>RF Mack Chain Ladder - 11</t>
  </si>
  <si>
    <t>Comment on whether or not the data satisfies Mack's first and third assumption for k=1.</t>
  </si>
  <si>
    <t>• The fitted values and weighted residuals are based on the standard chain-ladder development factors</t>
  </si>
  <si>
    <t>This type of question could be made into a good multiple selection type question.</t>
  </si>
  <si>
    <r>
      <rPr>
        <b/>
        <sz val="12"/>
        <color theme="1"/>
        <rFont val="Calibri"/>
        <family val="2"/>
        <scheme val="minor"/>
      </rPr>
      <t>Third assumption (variance assumption)</t>
    </r>
    <r>
      <rPr>
        <sz val="12"/>
        <color theme="1"/>
        <rFont val="Calibri"/>
        <family val="2"/>
        <scheme val="minor"/>
      </rPr>
      <t xml:space="preserve"> - Since the residuals in the second graph appear to increase as the losses increase, Mack's third assumption is not satisfied</t>
    </r>
  </si>
  <si>
    <r>
      <rPr>
        <b/>
        <sz val="12"/>
        <color theme="1"/>
        <rFont val="Calibri"/>
        <family val="2"/>
        <scheme val="minor"/>
      </rPr>
      <t>First assumption (linearity)</t>
    </r>
    <r>
      <rPr>
        <sz val="12"/>
        <color theme="1"/>
        <rFont val="Calibri"/>
        <family val="2"/>
        <scheme val="minor"/>
      </rPr>
      <t xml:space="preserve"> - Since the regression line through the origin in the first graph provides a nice fit of the data, Mack's first assumption is satisfied</t>
    </r>
  </si>
  <si>
    <t>Given the following graphs:</t>
  </si>
  <si>
    <t>RF Mack Chain Ladder - 12</t>
  </si>
  <si>
    <t>Since Z = 0 does not lie within (0.30, 2.70), we reject the null hypothesis that accident years are independent.</t>
  </si>
  <si>
    <t>95% CI Upper Limit =</t>
  </si>
  <si>
    <t>95% CI Lower Limit =</t>
  </si>
  <si>
    <t>Z =</t>
  </si>
  <si>
    <t>SD(Z) =</t>
  </si>
  <si>
    <t>Var(Z) =</t>
  </si>
  <si>
    <t>E(Z) =</t>
  </si>
  <si>
    <t>Calculate the 95% CI:</t>
  </si>
  <si>
    <t>Var(Z_j)</t>
  </si>
  <si>
    <t>E(Z_j)</t>
  </si>
  <si>
    <t>m</t>
  </si>
  <si>
    <t>Z_j</t>
  </si>
  <si>
    <t>L_j</t>
  </si>
  <si>
    <t>S_j</t>
  </si>
  <si>
    <t>j</t>
  </si>
  <si>
    <t>Create the following table:</t>
  </si>
  <si>
    <t>Count the number of Ss and Ls for each diagonal j:</t>
  </si>
  <si>
    <t>i</t>
  </si>
  <si>
    <t>Convert table of ranks into Ss, Ls and *s:</t>
  </si>
  <si>
    <t>Create table of ranks based on age-to-age factors:</t>
  </si>
  <si>
    <t>Since T = -0.67 does not lie within (-0.387, 0.387), we reject the null hypothesis of having uncorrelated development factors</t>
  </si>
  <si>
    <t>50% CI Upper Limit =</t>
  </si>
  <si>
    <t>50% CI Lower Limit =</t>
  </si>
  <si>
    <t>E(T) =</t>
  </si>
  <si>
    <t>SD(T) =</t>
  </si>
  <si>
    <t>Var(T) =</t>
  </si>
  <si>
    <t>Calculate a 50% confidence for T:</t>
  </si>
  <si>
    <t>T =</t>
  </si>
  <si>
    <t>&lt;- The original loss triangle has 5 AYs</t>
  </si>
  <si>
    <r>
      <t>T</t>
    </r>
    <r>
      <rPr>
        <vertAlign val="subscript"/>
        <sz val="12"/>
        <color theme="1"/>
        <rFont val="Calibri"/>
        <family val="2"/>
      </rPr>
      <t>k</t>
    </r>
  </si>
  <si>
    <r>
      <t>S</t>
    </r>
    <r>
      <rPr>
        <vertAlign val="subscript"/>
        <sz val="12"/>
        <color theme="1"/>
        <rFont val="Calibri"/>
        <family val="2"/>
      </rPr>
      <t>k</t>
    </r>
  </si>
  <si>
    <t>Test the null hypothesis that accident years are independent using a 95% confidence interval.</t>
  </si>
  <si>
    <t>Test the null hypothesis that development factors are uncorrelated across the entire triangle using a 50% confidence interval.</t>
  </si>
  <si>
    <t>Calculate T_k and T:</t>
  </si>
  <si>
    <t>• The 97.5th percentile of the standard normal distribution is:</t>
  </si>
  <si>
    <t>• The 75th percentile of the standard normal distribution is:</t>
  </si>
  <si>
    <t>r_i3</t>
  </si>
  <si>
    <t>s_i3</t>
  </si>
  <si>
    <t>r_i2</t>
  </si>
  <si>
    <t>s_i2</t>
  </si>
  <si>
    <t>r_i1</t>
  </si>
  <si>
    <t>k = 4</t>
  </si>
  <si>
    <t>k = 3</t>
  </si>
  <si>
    <t>k = 2</t>
  </si>
  <si>
    <t>k = 1</t>
  </si>
  <si>
    <t>Create table of r's and s's based on age-to-age factors:</t>
  </si>
  <si>
    <t>Given the following age-to-age factors for a 5 x 5 loss triangle:</t>
  </si>
  <si>
    <t>RF Mack Chain Ladder - 13</t>
  </si>
  <si>
    <t>Question #5 is covered on page 120 of the source paper. We also show in example of the MSE of the total reserve in the Cookbook.</t>
  </si>
  <si>
    <t>To arrive a confidence intervals for each accident year, Mack begins by determining the confidence interval for the overall reserve. Then, he allocates the upper and lower limit of that confidence interval to the individual accident years such that each accident year shares the same confidence level</t>
  </si>
  <si>
    <t>These are not equal since each estimator of R_i is influenced by the same age-to-age factor (thus, they are not independent)</t>
  </si>
  <si>
    <t>Question #5</t>
  </si>
  <si>
    <t>• To test this, we run a statistical test to determine if diagonals exist where small or large development factors are prevalent. If our test statistic lies within a specified confidence interval, we fail to reject the null hypothesis that accident years independent</t>
  </si>
  <si>
    <t>• A major consequence is the assumption that calendar year effects do not exist</t>
  </si>
  <si>
    <t>• To test this, we run a statistical test where the test statistic is Spearman's rank correlation.  If our test statistic lies within a specified confidence interval for the true correlation, we  fail to reject the null hypothesis that development factors are uncorrelated.</t>
  </si>
  <si>
    <t>• A major consequence is the assumption that development factors are uncorrelated</t>
  </si>
  <si>
    <t>Question #4</t>
  </si>
  <si>
    <t>If Plot 0 or Plot 2 shows a more random pattern than Plot 1, and if this holds true for several values of k, we should consider replacing f_k1 with f_k0 or f_k2</t>
  </si>
  <si>
    <t>Plot 0: (C_i,k+1 - C_ik*f_k2)/C_ik against C_ik</t>
  </si>
  <si>
    <t>Plot 1: (C_i,k+1 - C_ik*f_k1)/sqrt(C_ik) against C_ik</t>
  </si>
  <si>
    <t>Plot 0: (C_i,k+1 - C_ik*f_k0) against C_ik</t>
  </si>
  <si>
    <t>Briefly describe the allocation procedure Mack uses to allocate the confidence interval for the overall reserve to confidence intervals for each individual accident year reserve.</t>
  </si>
  <si>
    <t>Create three separate plots of weighted residuals:</t>
  </si>
  <si>
    <t>Briefly describe why the sum of the squared error for the overall reserve is not equal to the sum of the individual accident year squared standard errors.</t>
  </si>
  <si>
    <t>Option 3: f_k2 = 1/(I-k)*sum(C_i,k+1/C_ik); simple average of the individual factors</t>
  </si>
  <si>
    <t>Option 2: f_k1 = sum(C_i,k+1)/sum(C_ik); standard CL factor</t>
  </si>
  <si>
    <t>Option 1: f_k0 = sum(C_ik*C_i,k+1)/sum(C_ik^2)</t>
  </si>
  <si>
    <t>Option 3: Var(C_i,k+1 | C_i1, …, C_ik) is proportional to C_ik^2</t>
  </si>
  <si>
    <t>The second implicit assumption underlying the chain-ladder method states that accident years are independent. Describe a major consequence of this assumption. In addition, briefly describe a procedure for testing this assumption.</t>
  </si>
  <si>
    <t>Option 2: Var(C_i,k+1 | C_i1, …, C_ik) is proportional to C_ik</t>
  </si>
  <si>
    <t>Option 1: Var(C_i,k+1 | C_i1, …, C_ik) is proportional to 1</t>
  </si>
  <si>
    <t>The first implicit assumption underlying the chain-ladder method states that information contained in              cannot be augmented by using other than     . Describe a major consequence of this assumption. In addition, briefly describe a procedure for testing this assumption.</t>
  </si>
  <si>
    <t>Question #3</t>
  </si>
  <si>
    <t>Lognormal distribution</t>
  </si>
  <si>
    <t>Describe a graphical variance test that can be employed in order to determine the appropriate        estimator to use.</t>
  </si>
  <si>
    <t>• The confidence interval can have negative lower limits, even if a negative reserve is not possible</t>
  </si>
  <si>
    <t>• If data is skewed, it is a poor approximation</t>
  </si>
  <si>
    <t>For each variance assumption, provide the formula for the corresponding estimator for        and briefly describe the estimator in words.</t>
  </si>
  <si>
    <t>Question #2</t>
  </si>
  <si>
    <t xml:space="preserve">Provide three different variance assumptions for </t>
  </si>
  <si>
    <t>Set alpha_I-1^2 = min(alpha_I-2^4/alpha_I-3^2, min(alpha_I-3^2,alpha_I-2^2)). This formula ensure that alpha_I-3/alpha_I-2 = alpha_I-2/alpha_I-2 (as long as alpha_I-3 &gt; alpha_I-2)</t>
  </si>
  <si>
    <t>Option 3:</t>
  </si>
  <si>
    <r>
      <t xml:space="preserve">Identify an alternative distribution for </t>
    </r>
    <r>
      <rPr>
        <i/>
        <sz val="12"/>
        <color theme="1"/>
        <rFont val="Calibri"/>
        <family val="2"/>
        <scheme val="minor"/>
      </rPr>
      <t>R</t>
    </r>
    <r>
      <rPr>
        <sz val="12"/>
        <color theme="1"/>
        <rFont val="Calibri"/>
        <family val="2"/>
        <scheme val="minor"/>
      </rPr>
      <t xml:space="preserve"> that avoids these problems.</t>
    </r>
  </si>
  <si>
    <t>Extrapolate the series of alpha_1, alpha_2, …, alpha_I-2 using loglinear regression</t>
  </si>
  <si>
    <t>Option 2:</t>
  </si>
  <si>
    <t>Briefly describe two problems with using the normal distribution as an approximation to the true distribution of R.</t>
  </si>
  <si>
    <t>Set alpha_I-1^2 = 0. We do this if f_I-1 = 1 and claims development is expected to be finished after I-1 years</t>
  </si>
  <si>
    <t>Option 1:</t>
  </si>
  <si>
    <t>The formula for        does not provide an estimator for         . Provide three options for          .</t>
  </si>
  <si>
    <t>Question #1</t>
  </si>
  <si>
    <t>Solutions -&gt;</t>
  </si>
  <si>
    <t>RF Mack - Essay Problems</t>
  </si>
  <si>
    <t>Mack (Chain Ladder) – Residual Test</t>
  </si>
  <si>
    <r>
      <rPr>
        <b/>
        <sz val="12"/>
        <color theme="1"/>
        <rFont val="Calibri"/>
        <family val="2"/>
        <scheme val="minor"/>
      </rPr>
      <t>Part a</t>
    </r>
    <r>
      <rPr>
        <sz val="12"/>
        <color theme="1"/>
        <rFont val="Calibri"/>
        <family val="2"/>
        <scheme val="minor"/>
      </rPr>
      <t xml:space="preserve"> - You needed to calculate the weighted residuals for each accident year and plot the residuals vs. the prior loss (loss as of 12 months). According to the examiner’s report, the most common mistakes were not using the correct residual formula and not labeling the graph axes.
</t>
    </r>
    <r>
      <rPr>
        <b/>
        <sz val="12"/>
        <color theme="1"/>
        <rFont val="Calibri"/>
        <family val="2"/>
        <scheme val="minor"/>
      </rPr>
      <t>Part b</t>
    </r>
    <r>
      <rPr>
        <sz val="12"/>
        <color theme="1"/>
        <rFont val="Calibri"/>
        <family val="2"/>
        <scheme val="minor"/>
      </rPr>
      <t xml:space="preserve"> - A question about the Mack assumptions and reviewing the residual graph to test whether the variance assumption is met. The original Mack assumptions use a volume-weighted LDF with the assumption that the variance of the loss at the next development period is proportional to cumulative losses to-date.</t>
    </r>
  </si>
  <si>
    <t>Variance assumptions:
The plot tests the assumption that the variance of the next period’s losses are proportional to losses-to-date and a factor based on age. Residuals should be random around zero. The residuals decrease as the prior loss increases, so the assumption is not met.</t>
  </si>
  <si>
    <t>Part b.</t>
  </si>
  <si>
    <t>Not testable in PearsonVue since it requires creating a graph, but you should understand how to calculate the graph inputs like the residuals.</t>
  </si>
  <si>
    <t>Note</t>
  </si>
  <si>
    <t>discuss whether the assumption has been violated.</t>
  </si>
  <si>
    <t>ladder method can be tested by reviewing the scatter plot created in part a. above, and</t>
  </si>
  <si>
    <t>Identify which one of the three assumptions specified by Mack as underlying the chain</t>
  </si>
  <si>
    <t>0.75 point</t>
  </si>
  <si>
    <t>as of 12 months.</t>
  </si>
  <si>
    <t>methodology. Create a scatter plot of these residuals against cumulative reported claims</t>
  </si>
  <si>
    <t>Calculate the weighted residuals for reported claims as of 24 months following Mack's</t>
  </si>
  <si>
    <t>1.5 points</t>
  </si>
  <si>
    <t>⇽ Weighted Residual = (actual - fitted)/sqrt(prior actual)</t>
  </si>
  <si>
    <t xml:space="preserve">12 Months </t>
  </si>
  <si>
    <t xml:space="preserve">Year </t>
  </si>
  <si>
    <t>wtd residual</t>
  </si>
  <si>
    <t>Fitted</t>
  </si>
  <si>
    <t>Actual</t>
  </si>
  <si>
    <r>
      <t>Loss</t>
    </r>
    <r>
      <rPr>
        <vertAlign val="subscript"/>
        <sz val="12"/>
        <color theme="1"/>
        <rFont val="Calibri (Body)"/>
      </rPr>
      <t>12</t>
    </r>
  </si>
  <si>
    <t>As of</t>
  </si>
  <si>
    <t xml:space="preserve"> As of </t>
  </si>
  <si>
    <t>Accident</t>
  </si>
  <si>
    <t>Loss at 24 months</t>
  </si>
  <si>
    <t>Cumulative Reported Claims ($000)</t>
  </si>
  <si>
    <r>
      <t>LDF</t>
    </r>
    <r>
      <rPr>
        <vertAlign val="subscript"/>
        <sz val="12"/>
        <color theme="1"/>
        <rFont val="Calibri (Body)"/>
      </rPr>
      <t>12-24</t>
    </r>
    <r>
      <rPr>
        <sz val="12"/>
        <color theme="1"/>
        <rFont val="Calibri"/>
        <family val="2"/>
        <scheme val="minor"/>
      </rPr>
      <t xml:space="preserve"> = </t>
    </r>
  </si>
  <si>
    <t>Part a.</t>
  </si>
  <si>
    <t>Points:</t>
  </si>
  <si>
    <t>Q #3</t>
  </si>
  <si>
    <t>Exam 7</t>
  </si>
  <si>
    <t>Spring 2015</t>
  </si>
  <si>
    <t>Source:</t>
  </si>
  <si>
    <t>Mack (94) – Calendar Year Test</t>
  </si>
  <si>
    <t xml:space="preserve">Recipe
 </t>
  </si>
  <si>
    <t>•	Variance of losses in the next development period is proportional to losses-to-date with a factor that varies by age</t>
  </si>
  <si>
    <t>• Future incremental expected loss is proportional to the cumulative losses to date.</t>
  </si>
  <si>
    <t>Since Z = 0 is NOT within the confidence interval, we reject the null hypothesis that accident years are independent.</t>
  </si>
  <si>
    <t>method.</t>
  </si>
  <si>
    <t>&lt;-Using 1.96 which is the 97.5th percentile of a standard normal</t>
  </si>
  <si>
    <t xml:space="preserve">z-score = </t>
  </si>
  <si>
    <t xml:space="preserve">C.I. = </t>
  </si>
  <si>
    <t>Describe two other implicit assumptions underlying the chain ladder loss development</t>
  </si>
  <si>
    <t>1 point</t>
  </si>
  <si>
    <t>Upper</t>
  </si>
  <si>
    <t>Lower</t>
  </si>
  <si>
    <t>significant calendar year effects.</t>
  </si>
  <si>
    <t>Using a 95% confidence interval, test the null-hypothesis that this triangle does not have</t>
  </si>
  <si>
    <t>3 points</t>
  </si>
  <si>
    <r>
      <t>Var(Z</t>
    </r>
    <r>
      <rPr>
        <vertAlign val="subscript"/>
        <sz val="12"/>
        <color theme="1"/>
        <rFont val="Calibri (Body)"/>
      </rPr>
      <t>j</t>
    </r>
    <r>
      <rPr>
        <sz val="12"/>
        <color theme="1"/>
        <rFont val="Calibri"/>
        <family val="2"/>
        <scheme val="minor"/>
      </rPr>
      <t>)</t>
    </r>
  </si>
  <si>
    <r>
      <t>E[Z</t>
    </r>
    <r>
      <rPr>
        <vertAlign val="subscript"/>
        <sz val="12"/>
        <color theme="1"/>
        <rFont val="Calibri (Body)"/>
      </rPr>
      <t>j</t>
    </r>
    <r>
      <rPr>
        <sz val="12"/>
        <color theme="1"/>
        <rFont val="Calibri"/>
        <family val="2"/>
        <scheme val="minor"/>
      </rPr>
      <t>]</t>
    </r>
  </si>
  <si>
    <r>
      <t>m</t>
    </r>
    <r>
      <rPr>
        <vertAlign val="subscript"/>
        <sz val="12"/>
        <color theme="1"/>
        <rFont val="Calibri (Body)"/>
      </rPr>
      <t>j</t>
    </r>
  </si>
  <si>
    <r>
      <t>n</t>
    </r>
    <r>
      <rPr>
        <vertAlign val="subscript"/>
        <sz val="12"/>
        <color theme="1"/>
        <rFont val="Calibri (Body)"/>
      </rPr>
      <t>j</t>
    </r>
  </si>
  <si>
    <r>
      <t>Z</t>
    </r>
    <r>
      <rPr>
        <vertAlign val="subscript"/>
        <sz val="12"/>
        <color theme="1"/>
        <rFont val="Calibri (Body)"/>
      </rPr>
      <t>j</t>
    </r>
  </si>
  <si>
    <r>
      <t>L</t>
    </r>
    <r>
      <rPr>
        <vertAlign val="subscript"/>
        <sz val="12"/>
        <color theme="1"/>
        <rFont val="Calibri (Body)"/>
      </rPr>
      <t>j</t>
    </r>
  </si>
  <si>
    <r>
      <t>S</t>
    </r>
    <r>
      <rPr>
        <vertAlign val="subscript"/>
        <sz val="12"/>
        <color theme="1"/>
        <rFont val="Calibri (Body)"/>
      </rPr>
      <t>j</t>
    </r>
  </si>
  <si>
    <t>Diagnol(j)</t>
  </si>
  <si>
    <t>48-60</t>
  </si>
  <si>
    <t xml:space="preserve">36-48 </t>
  </si>
  <si>
    <t xml:space="preserve">24-36 </t>
  </si>
  <si>
    <t>12-24</t>
  </si>
  <si>
    <t>Months</t>
  </si>
  <si>
    <t xml:space="preserve">Year  </t>
  </si>
  <si>
    <t xml:space="preserve">Accident </t>
  </si>
  <si>
    <t>Reported Losses ($000)</t>
  </si>
  <si>
    <t>36-48</t>
  </si>
  <si>
    <t>24-36</t>
  </si>
  <si>
    <t>ratios:</t>
  </si>
  <si>
    <t>Convert the table of age-to-age factors into ranks. You can use the RANK() formula to do this:</t>
  </si>
  <si>
    <t>independence of the accident years. Given the following loss development triangle and link</t>
  </si>
  <si>
    <t>One implicit assumption underlying the chain ladder loss development method is</t>
  </si>
  <si>
    <t>Spring 2011</t>
  </si>
  <si>
    <t xml:space="preserve">Mack (1994) – Residual Test </t>
  </si>
  <si>
    <t xml:space="preserve">Make sure to use the weighted residual formula to calculate residuals. For part b, the examiners’ report states: “Candidates are encouraged to state what the assumption is and how the graph did or did not meet the criteria.” </t>
  </si>
  <si>
    <t>The residuals seem to be random around zero and don’t have any significant trends or patterns as the loss at 24 months increases, as we would expect. So the assumption that the variance of losses at 36 months is proportional to losses at 24 months is met.</t>
  </si>
  <si>
    <t>ladder method has been met.</t>
  </si>
  <si>
    <t>Based on the residual plot, assess whether the variance assumption underlying the chain</t>
  </si>
  <si>
    <t>0.5 point</t>
  </si>
  <si>
    <t>of weighted residuals following Mack's methodology.</t>
  </si>
  <si>
    <t>Using a volume-weighted average to calculate the overall age-to-age factor, create a plot</t>
  </si>
  <si>
    <t>2 points</t>
  </si>
  <si>
    <t xml:space="preserve">24 Months </t>
  </si>
  <si>
    <t xml:space="preserve">As of </t>
  </si>
  <si>
    <r>
      <rPr>
        <sz val="12"/>
        <color theme="1"/>
        <rFont val="Calibri"/>
        <family val="2"/>
      </rPr>
      <t>ɛ</t>
    </r>
    <r>
      <rPr>
        <vertAlign val="subscript"/>
        <sz val="12"/>
        <color theme="1"/>
        <rFont val="Calibri"/>
        <family val="2"/>
      </rPr>
      <t>AY</t>
    </r>
  </si>
  <si>
    <r>
      <t>Loss</t>
    </r>
    <r>
      <rPr>
        <vertAlign val="subscript"/>
        <sz val="12"/>
        <color theme="1"/>
        <rFont val="Calibri"/>
        <family val="2"/>
        <scheme val="minor"/>
      </rPr>
      <t>24</t>
    </r>
  </si>
  <si>
    <t>Cumulative Incurred Losses ($000)</t>
  </si>
  <si>
    <r>
      <t>LDF</t>
    </r>
    <r>
      <rPr>
        <vertAlign val="subscript"/>
        <sz val="12"/>
        <color theme="1"/>
        <rFont val="Calibri"/>
        <family val="2"/>
        <scheme val="minor"/>
      </rPr>
      <t>24</t>
    </r>
    <r>
      <rPr>
        <sz val="12"/>
        <color theme="1"/>
        <rFont val="Calibri"/>
        <family val="2"/>
        <scheme val="minor"/>
      </rPr>
      <t xml:space="preserve"> =</t>
    </r>
  </si>
  <si>
    <t>Given the following information as of December 31, 2011:</t>
  </si>
  <si>
    <t>Spring 2012</t>
  </si>
  <si>
    <t xml:space="preserve">According to the examiners’ report, candidates loss credit for not explaining why the assumptions were met or not in part b.  </t>
  </si>
  <si>
    <t xml:space="preserve">     the 24-36 month loss development factors. These relationships do not appear to be random.</t>
  </si>
  <si>
    <t>iii. In the third triangle, the 36-48 month loss development factors are inversely proportional to</t>
  </si>
  <si>
    <t xml:space="preserve">    loss development factors was to use an all year volume-weighted average approach.</t>
  </si>
  <si>
    <t>ii. For the second triangle, the actuary found that the most appropriate selection method for</t>
  </si>
  <si>
    <t xml:space="preserve">1. Assumption 2 is violated. This is a calendar year effect and losses between accident years will not be independent.
2. Mack uses the all-years volume-weighted LDF, which is needed for the variance assumption. So, no assumptions are violated. 
3. This shows a dependency between 36-48 and 24-36 LDFs, violating assumption 1. Assumption 1 implies that adjacent LDFs are uncorrelated and loss development only depends on loss-to-date, not the path of loss development. 
</t>
  </si>
  <si>
    <t xml:space="preserve">   resulting from the use of new claims management software.</t>
  </si>
  <si>
    <t xml:space="preserve">i. The first triangle shows a faster claims settlement pattern in the most recent calendar year </t>
  </si>
  <si>
    <t>violated.</t>
  </si>
  <si>
    <t>For each of the following situations, discuss whether any of Mack's assumptions are</t>
  </si>
  <si>
    <t>State the three chain ladder assumptions as described by Mack.</t>
  </si>
  <si>
    <t>assumptions underlying the chain ladder method are met.</t>
  </si>
  <si>
    <t xml:space="preserve">1. Expected losses in the next development period are proportional to losses-to-date.
2. Losses are independent between accident years. 
3. Variance of losses in the next development period is a function of the age and the cumulative losses to date.
</t>
  </si>
  <si>
    <t>A loss reserve actuary has reviewed three cumulative paid loss triangles to test whether the</t>
  </si>
  <si>
    <t>Q #5</t>
  </si>
  <si>
    <t xml:space="preserve">For part b, accepted answers included changes in inflation/trends, claims reserving practices, and legislative/judicial changes that would have a calendar year impact. Other answers were accepted if the explanation for why there was a calendar year impact was adequate. 
</t>
  </si>
  <si>
    <t>• Significant, unexpected changes in inflation could affect all claims in a calendar year. 
• Changes in the Claims handling of loss reserves or claims settlement (such as strengthening reserves for all open claims) would have a calendar year impact.
• Legislative changes - a law change might impact all claims settled after that date</t>
  </si>
  <si>
    <t>Any two of the following (among others)</t>
  </si>
  <si>
    <t>are independent.</t>
  </si>
  <si>
    <t>Since Z = 2 is within the confidence interval, we do not reject the null hypothesis that accident years</t>
  </si>
  <si>
    <t>Briefly describe two potential causes of calendar year effects in loss development data.</t>
  </si>
  <si>
    <t>90% confidence level.</t>
  </si>
  <si>
    <t>a test to determine whether the null hypothesis should be accepted or rejected at the</t>
  </si>
  <si>
    <t>The null hypothesis is that the triangle does not display calendar year effects. Conduct</t>
  </si>
  <si>
    <t>2.5 points</t>
  </si>
  <si>
    <t>60-72</t>
  </si>
  <si>
    <r>
      <t>z-value for 90</t>
    </r>
    <r>
      <rPr>
        <vertAlign val="superscript"/>
        <sz val="12"/>
        <color theme="1"/>
        <rFont val="Calibri"/>
        <family val="2"/>
        <scheme val="minor"/>
      </rPr>
      <t>th</t>
    </r>
    <r>
      <rPr>
        <sz val="12"/>
        <color theme="1"/>
        <rFont val="Calibri"/>
        <family val="2"/>
        <scheme val="minor"/>
      </rPr>
      <t xml:space="preserve"> percentile of the normal distribution: </t>
    </r>
  </si>
  <si>
    <t xml:space="preserve">48-60 </t>
  </si>
  <si>
    <t>Q #1</t>
  </si>
  <si>
    <t>Spring 2013</t>
  </si>
  <si>
    <t>estimating ultimate loss.</t>
  </si>
  <si>
    <t>Based on the two charts above, explain whether the chain-ladder method is appropriate for</t>
  </si>
  <si>
    <r>
      <t>•  C</t>
    </r>
    <r>
      <rPr>
        <vertAlign val="subscript"/>
        <sz val="12"/>
        <color theme="1"/>
        <rFont val="Calibri"/>
        <family val="2"/>
        <scheme val="minor"/>
      </rPr>
      <t>i2</t>
    </r>
    <r>
      <rPr>
        <sz val="12"/>
        <color theme="1"/>
        <rFont val="Calibri"/>
        <family val="2"/>
        <scheme val="minor"/>
      </rPr>
      <t>: Loss evaluated at 24 months for accident year</t>
    </r>
    <r>
      <rPr>
        <i/>
        <sz val="12"/>
        <color theme="1"/>
        <rFont val="Calibri"/>
        <family val="2"/>
        <scheme val="minor"/>
      </rPr>
      <t xml:space="preserve"> i</t>
    </r>
    <r>
      <rPr>
        <sz val="12"/>
        <color theme="1"/>
        <rFont val="Calibri"/>
        <family val="2"/>
        <scheme val="minor"/>
      </rPr>
      <t xml:space="preserve"> ($000)</t>
    </r>
  </si>
  <si>
    <r>
      <t>•  C</t>
    </r>
    <r>
      <rPr>
        <vertAlign val="subscript"/>
        <sz val="12"/>
        <color theme="1"/>
        <rFont val="Calibri"/>
        <family val="2"/>
        <scheme val="minor"/>
      </rPr>
      <t>i1</t>
    </r>
    <r>
      <rPr>
        <sz val="12"/>
        <color theme="1"/>
        <rFont val="Calibri"/>
        <family val="2"/>
        <scheme val="minor"/>
      </rPr>
      <t>: Loss evaluated at 12 months for accident year</t>
    </r>
    <r>
      <rPr>
        <i/>
        <sz val="12"/>
        <color theme="1"/>
        <rFont val="Calibri"/>
        <family val="2"/>
        <scheme val="minor"/>
      </rPr>
      <t xml:space="preserve"> i</t>
    </r>
    <r>
      <rPr>
        <sz val="12"/>
        <color theme="1"/>
        <rFont val="Calibri"/>
        <family val="2"/>
        <scheme val="minor"/>
      </rPr>
      <t xml:space="preserve"> ($000)</t>
    </r>
  </si>
  <si>
    <t xml:space="preserve">Mack (Chain Ladder) – Residual Test </t>
  </si>
  <si>
    <t>Remember that the second graph uses weighted residuals. Therefore, even though the overall variance increases as losses-to-date increase, the weighted residuals should be random around zero if the Mack variance assumption holds.
After looking at the second graph, we might want to create the residual plots for the alternative variance assumptions and LDFs to see if they show more random behavior. We also want to look at the residual plots for the other development periods.</t>
  </si>
  <si>
    <t>Given the following output from a company's reserving software:</t>
  </si>
  <si>
    <r>
      <t xml:space="preserve">The </t>
    </r>
    <r>
      <rPr>
        <b/>
        <sz val="12"/>
        <color theme="1"/>
        <rFont val="Calibri"/>
        <family val="2"/>
        <scheme val="minor"/>
      </rPr>
      <t>first graph</t>
    </r>
    <r>
      <rPr>
        <sz val="12"/>
        <color theme="1"/>
        <rFont val="Calibri"/>
        <family val="2"/>
        <scheme val="minor"/>
      </rPr>
      <t xml:space="preserve"> shows that cumulative losses at 24 months are linearly proportional to losses at 12 months with a line through the origin. This supports Mack’s first assumption that expected losses in the next development period are proportional to losses to date.
The </t>
    </r>
    <r>
      <rPr>
        <b/>
        <sz val="12"/>
        <color theme="1"/>
        <rFont val="Calibri"/>
        <family val="2"/>
        <scheme val="minor"/>
      </rPr>
      <t>second graph</t>
    </r>
    <r>
      <rPr>
        <sz val="12"/>
        <color theme="1"/>
        <rFont val="Calibri"/>
        <family val="2"/>
        <scheme val="minor"/>
      </rPr>
      <t xml:space="preserve"> shows residuals around zero, but the variance of the weighted residuals increases as the size of loss increases. This violates Mack’s assumption that variance is proportional to losses-to-date, and that another variance assumption may be more appropriate. The chain-ladder method may not be appropriate, but we should look at the other development periods.</t>
    </r>
  </si>
  <si>
    <t>Q #2</t>
  </si>
  <si>
    <t>Spring 2014</t>
  </si>
  <si>
    <t>According to the Examiners’ Report, one mistake on this problem was to use Spearman’s T method. This didn’t receive credit because that method is a development year test, while this question asks about calendar year effects. Acceptable responses for part b included high/changing inflation, changes in payment/claims processes and legislative changes.</t>
  </si>
  <si>
    <t xml:space="preserve">• Changes in the Claims department setting of case reserves across AYs could cause a CY effect.
• Unexpectedly high inflation impacting claims across AYs may cause loss development to not be independent by AY. </t>
  </si>
  <si>
    <t>Z=2 is outside the C.I, so we reject the null hypothesis of no significant CY effects.</t>
  </si>
  <si>
    <t>Top</t>
  </si>
  <si>
    <t>Bottom</t>
  </si>
  <si>
    <t>Diagonals</t>
  </si>
  <si>
    <t>Median LDF</t>
  </si>
  <si>
    <t>not to be independent by accident year.</t>
  </si>
  <si>
    <t>Provide two examples of calendar years effects that may cause loss development data</t>
  </si>
  <si>
    <t>display significant calendar year effects.</t>
  </si>
  <si>
    <t>Using a 95% confidence threshold, test the null hypothesis that the triangle does not</t>
  </si>
  <si>
    <t>•  z-value for the 95% confidence level: ±</t>
  </si>
  <si>
    <t xml:space="preserve"> Months</t>
  </si>
  <si>
    <t>72-84</t>
  </si>
  <si>
    <t>12..24</t>
  </si>
  <si>
    <t>Age-to-Age Paid Loss Development Factors</t>
  </si>
  <si>
    <t>Q #4</t>
  </si>
  <si>
    <t>Mack (Chain Ladder) – Calendar Year Test</t>
  </si>
  <si>
    <t>Part b is just a quarter point “Identify” problem, so you shouldn’t write more than a sentence here. Mack discusses examples of calendar year effects on pg. 162.</t>
  </si>
  <si>
    <t>Major change in claims handling practices within the company.</t>
  </si>
  <si>
    <t>Since Z = 2 is within the 90% CI, we do NOT reject the null hypothesis that accident years independent</t>
  </si>
  <si>
    <t>90% CI Upper Limit =</t>
  </si>
  <si>
    <t>90% CI Lower Limit =</t>
  </si>
  <si>
    <t>E(Z_j) = n/2 - ((n-1) choose m)*n/2^n</t>
  </si>
  <si>
    <r>
      <t>E(Z</t>
    </r>
    <r>
      <rPr>
        <vertAlign val="subscript"/>
        <sz val="12"/>
        <color theme="1"/>
        <rFont val="Calibri (Body)"/>
      </rPr>
      <t>j</t>
    </r>
    <r>
      <rPr>
        <sz val="12"/>
        <color theme="1"/>
        <rFont val="Calibri (Body)"/>
      </rPr>
      <t>)</t>
    </r>
  </si>
  <si>
    <t>Diagonal j</t>
  </si>
  <si>
    <t>development triangle.</t>
  </si>
  <si>
    <t>Identify one internal company action that can cause calendar year effects in a loss</t>
  </si>
  <si>
    <t>0.25 point</t>
  </si>
  <si>
    <t>exhibit calendar year effects at the 90% confidence level.</t>
  </si>
  <si>
    <t>Using the procedure shown by Mack, test the null hypothesis that the triangle does not</t>
  </si>
  <si>
    <t xml:space="preserve">•  z-value for the 95th percentile of the normal distribution: </t>
  </si>
  <si>
    <t>where Z is the calendar year effect test statistic developed by Mack.</t>
  </si>
  <si>
    <t xml:space="preserve">•  Var[Z] = </t>
  </si>
  <si>
    <t>Convert the table of ranks into S's, L's and *'s:</t>
  </si>
  <si>
    <t xml:space="preserve"> Months </t>
  </si>
  <si>
    <t>Year</t>
  </si>
  <si>
    <t xml:space="preserve"> 24-36 </t>
  </si>
  <si>
    <t xml:space="preserve">12-24 </t>
  </si>
  <si>
    <t>Age-to-age development factors</t>
  </si>
  <si>
    <t>Spring 2016</t>
  </si>
  <si>
    <t>The wording of part b is a bit confusing, but just remember that the weighted residual plot in Mack (Chain Ladder) is used to review the variance assumption.</t>
  </si>
  <si>
    <t>Variance assumption - the variance of the next incremental loss is a function of the age and the cumulative losses to date.  
Residuals should be random around zero with no significant trends or patterns. The graph shows positive residuals for smaller 24-month losses and negative residuals for larger losses, indicating that the assumption is not met. But, there are only a few data points so it’s hard to tell.</t>
  </si>
  <si>
    <t>You aren't required to graph in the PearsonVue testing environment, but you should know how to calculate the  X and Y inputs for a graph and interpret one if it's given.</t>
  </si>
  <si>
    <t>this assumption has been violated.</t>
  </si>
  <si>
    <t>be tested by reviewing the scatter plot created in part a. above and briefly explain whether</t>
  </si>
  <si>
    <t>Identify the chain-ladder method assumption needed for least-squares optimality that can</t>
  </si>
  <si>
    <t>reported losses as of 24 months following Mack's methodology</t>
  </si>
  <si>
    <t>Create a scatter plot of the weighted residuals for reported losses as of 36 months against</t>
  </si>
  <si>
    <t>1.25 points</t>
  </si>
  <si>
    <t>Weighted Resid = (actual - fitted)/sqrt(prior actual)</t>
  </si>
  <si>
    <t xml:space="preserve">Months </t>
  </si>
  <si>
    <t>Loss at 24</t>
  </si>
  <si>
    <t>Fitted at 36</t>
  </si>
  <si>
    <t>Actual at 36</t>
  </si>
  <si>
    <t xml:space="preserve">  As of 36</t>
  </si>
  <si>
    <t>As of 24</t>
  </si>
  <si>
    <t>Weighted Resid at 36</t>
  </si>
  <si>
    <t xml:space="preserve">24-36 LDF = </t>
  </si>
  <si>
    <t>Q #7</t>
  </si>
  <si>
    <t>Mack (Chain Ladder) - Residual Test</t>
  </si>
  <si>
    <t>Under this particular variance assumption, the weighted residuals equals the raw residual. Make sure you know how the weighted residual changes under different variance assumptions.</t>
  </si>
  <si>
    <t>Residuals are randomly distributed around zero so the variance assumption is reasonable.</t>
  </si>
  <si>
    <t>Interpretation</t>
  </si>
  <si>
    <t>results.</t>
  </si>
  <si>
    <t>Plot the residuals against the cumulative reported loss as of 12 months and interpret the</t>
  </si>
  <si>
    <t>according to Mack.</t>
  </si>
  <si>
    <t>Calculate the age-to-age factor for 12 to 24 months using the most appropriate formula</t>
  </si>
  <si>
    <t xml:space="preserve">    amount of accident year i up to development year k.</t>
  </si>
  <si>
    <r>
      <t>is constant for all i where C</t>
    </r>
    <r>
      <rPr>
        <vertAlign val="subscript"/>
        <sz val="12"/>
        <color theme="1"/>
        <rFont val="Calibri (Body)"/>
      </rPr>
      <t>i,k</t>
    </r>
    <r>
      <rPr>
        <sz val="12"/>
        <color theme="1"/>
        <rFont val="Calibri"/>
        <family val="2"/>
        <scheme val="minor"/>
      </rPr>
      <t xml:space="preserve"> is the accumulated total claims</t>
    </r>
  </si>
  <si>
    <t xml:space="preserve">•   </t>
  </si>
  <si>
    <t>Fitted at 24</t>
  </si>
  <si>
    <t>Actual at 24</t>
  </si>
  <si>
    <t>Loss at 12</t>
  </si>
  <si>
    <t>Weighted Resid at 24</t>
  </si>
  <si>
    <t>12-24 LDF</t>
  </si>
  <si>
    <t>Cumulative Reported Loss ($000)</t>
  </si>
  <si>
    <r>
      <t>When the variance is proportional to 1, we use a C</t>
    </r>
    <r>
      <rPr>
        <vertAlign val="superscript"/>
        <sz val="12"/>
        <color theme="1"/>
        <rFont val="Calibri (Body)"/>
      </rPr>
      <t>2</t>
    </r>
    <r>
      <rPr>
        <vertAlign val="subscript"/>
        <sz val="12"/>
        <color theme="1"/>
        <rFont val="Calibri (Body)"/>
      </rPr>
      <t>ik</t>
    </r>
    <r>
      <rPr>
        <sz val="12"/>
        <color theme="1"/>
        <rFont val="Calibri"/>
        <family val="2"/>
        <scheme val="minor"/>
      </rPr>
      <t xml:space="preserve"> weighted LDF:</t>
    </r>
  </si>
  <si>
    <t>Spring 2017</t>
  </si>
  <si>
    <t>Mack (Chain Ladder) - Reserve Confidence Interval</t>
  </si>
  <si>
    <t xml:space="preserve">Upper Limit = </t>
  </si>
  <si>
    <t>($000)</t>
  </si>
  <si>
    <t xml:space="preserve">Lower Limit = </t>
  </si>
  <si>
    <r>
      <t xml:space="preserve">Empirical Confidence Interval for AY 2014 </t>
    </r>
    <r>
      <rPr>
        <i/>
        <u/>
        <sz val="12"/>
        <color theme="1"/>
        <rFont val="Calibri (Body)"/>
      </rPr>
      <t>ultimate loss</t>
    </r>
    <r>
      <rPr>
        <sz val="12"/>
        <color theme="1"/>
        <rFont val="Calibri (Body)"/>
      </rPr>
      <t xml:space="preserve"> </t>
    </r>
    <r>
      <rPr>
        <sz val="12"/>
        <color theme="1"/>
        <rFont val="Calibri"/>
        <family val="2"/>
        <scheme val="minor"/>
      </rPr>
      <t>estimate:</t>
    </r>
  </si>
  <si>
    <t>empirical limits.</t>
  </si>
  <si>
    <t>Construct a confidence interval for the accident year 2014 ultimate loss estimate using</t>
  </si>
  <si>
    <t>For the empirical range, calculate the different age-to-age factors and use the minimum and maximum for each development period to create an empirical confidence interval:</t>
  </si>
  <si>
    <r>
      <t>Construct an 80% confidence interval for R</t>
    </r>
    <r>
      <rPr>
        <vertAlign val="subscript"/>
        <sz val="12"/>
        <color theme="1"/>
        <rFont val="Calibri (Body)"/>
      </rPr>
      <t>3</t>
    </r>
    <r>
      <rPr>
        <sz val="12"/>
        <color theme="1"/>
        <rFont val="Calibri"/>
        <family val="2"/>
        <scheme val="minor"/>
      </rPr>
      <t>.</t>
    </r>
  </si>
  <si>
    <r>
      <t>•  The accident year 2014 loss reserve estimate, R</t>
    </r>
    <r>
      <rPr>
        <vertAlign val="subscript"/>
        <sz val="12"/>
        <color theme="1"/>
        <rFont val="Calibri (Body)"/>
      </rPr>
      <t>3</t>
    </r>
    <r>
      <rPr>
        <sz val="12"/>
        <color theme="1"/>
        <rFont val="Calibri"/>
        <family val="2"/>
        <scheme val="minor"/>
      </rPr>
      <t>, has a standard error of</t>
    </r>
  </si>
  <si>
    <t>•  The 90th percentile of the standard normal distribution is:</t>
  </si>
  <si>
    <t>•  Reserves are approximated by a lognormal distribution.</t>
  </si>
  <si>
    <t>•  There is no development beyond 60 months.</t>
  </si>
  <si>
    <t>•  Age-to-age factors are determined by a volume weighted average of all years.</t>
  </si>
  <si>
    <t>80% Confidence Interval for AY 2014 loss reserve estimate:</t>
  </si>
  <si>
    <t xml:space="preserve"> = ln( 1+( s.e.(R) / R )^2 )</t>
  </si>
  <si>
    <t>sigma^2 =</t>
  </si>
  <si>
    <t>Reserve (2018) =</t>
  </si>
  <si>
    <t>LDF</t>
  </si>
  <si>
    <t>Accident 
Year</t>
  </si>
  <si>
    <t>Cumulative Paid Loss ($000)</t>
  </si>
  <si>
    <r>
      <t xml:space="preserve">First, we need to calculate the reserve estimate for AY 2014 and use the standard error (given) to calculate the confidence interval for the </t>
    </r>
    <r>
      <rPr>
        <i/>
        <u/>
        <sz val="12"/>
        <color theme="1"/>
        <rFont val="Calibri (Body)"/>
      </rPr>
      <t>lognormal</t>
    </r>
    <r>
      <rPr>
        <sz val="12"/>
        <color theme="1"/>
        <rFont val="Calibri (Body)"/>
      </rPr>
      <t xml:space="preserve"> distribution:</t>
    </r>
  </si>
  <si>
    <t>Q #6</t>
  </si>
  <si>
    <t>Plot these residuals against the previous cumulative losses C_(i,k).   If a scenario's residuals are randomly scattered around zero, then the scenario is appropriate.  If all three plots show a random scattering around zero, then choose the chain-ladder LDFs f_(k1) since the other two scenario are not superior</t>
  </si>
  <si>
    <t>calculations.</t>
  </si>
  <si>
    <t>and c. above is most reasonable for the data in this triangle. Do not perform any</t>
  </si>
  <si>
    <t>• For the part c. scenaro, (C_(i,k+1) - C_(i,k)*f_k2) / C_(i,k)</t>
  </si>
  <si>
    <t>Fully describe a test to determine which of the three variance assumptions in parts a., b.,</t>
  </si>
  <si>
    <t>• For the part b. scenaro, [C_(i,k+1) - C_(i,k)*f_k1] / (sqrt(C_i,k))</t>
  </si>
  <si>
    <t>• For the part a. scenaro, C_(i,k+1) - C_(i,k)*f_k0</t>
  </si>
  <si>
    <t>next incremental loss is proportional to the square of the losses reported to date.</t>
  </si>
  <si>
    <t>Calculate the ultimate loss for AY 2014 under the assumption that the variance of the</t>
  </si>
  <si>
    <t>Calculate the following weighted residuals:</t>
  </si>
  <si>
    <t>Part d.</t>
  </si>
  <si>
    <t>next incremental loss is proportional to the losses reported to date.</t>
  </si>
  <si>
    <t>AY 2014 Ult</t>
  </si>
  <si>
    <t>next incremental loss is a constant for each development age.</t>
  </si>
  <si>
    <t>48-60 LDF</t>
  </si>
  <si>
    <t>36-48 LDF</t>
  </si>
  <si>
    <t>⇾ Use Simple Average LDFs</t>
  </si>
  <si>
    <r>
      <t>Var(C</t>
    </r>
    <r>
      <rPr>
        <vertAlign val="subscript"/>
        <sz val="12"/>
        <color theme="1"/>
        <rFont val="Calibri (Body)"/>
      </rPr>
      <t>k+1</t>
    </r>
    <r>
      <rPr>
        <sz val="12"/>
        <color theme="1"/>
        <rFont val="Calibri"/>
        <family val="2"/>
        <scheme val="minor"/>
      </rPr>
      <t>) is proportional to C</t>
    </r>
    <r>
      <rPr>
        <vertAlign val="superscript"/>
        <sz val="12"/>
        <color theme="1"/>
        <rFont val="Calibri (Body)"/>
      </rPr>
      <t>2</t>
    </r>
    <r>
      <rPr>
        <vertAlign val="subscript"/>
        <sz val="12"/>
        <color theme="1"/>
        <rFont val="Calibri (Body)"/>
      </rPr>
      <t>k</t>
    </r>
    <r>
      <rPr>
        <sz val="12"/>
        <color theme="1"/>
        <rFont val="Calibri"/>
        <family val="2"/>
        <scheme val="minor"/>
      </rPr>
      <t>:</t>
    </r>
  </si>
  <si>
    <t>Straight average LDFs:</t>
  </si>
  <si>
    <t>Part c.</t>
  </si>
  <si>
    <t>Observed Loss Development Factors</t>
  </si>
  <si>
    <r>
      <t>⇾ Use C</t>
    </r>
    <r>
      <rPr>
        <vertAlign val="subscript"/>
        <sz val="12"/>
        <color theme="1"/>
        <rFont val="Calibri (Body)"/>
      </rPr>
      <t>i,k</t>
    </r>
    <r>
      <rPr>
        <sz val="12"/>
        <color theme="1"/>
        <rFont val="Calibri"/>
        <family val="2"/>
        <scheme val="minor"/>
      </rPr>
      <t xml:space="preserve"> volume-weighted LDFs</t>
    </r>
  </si>
  <si>
    <r>
      <t>Var(C</t>
    </r>
    <r>
      <rPr>
        <vertAlign val="subscript"/>
        <sz val="12"/>
        <color theme="1"/>
        <rFont val="Calibri (Body)"/>
      </rPr>
      <t>k+1</t>
    </r>
    <r>
      <rPr>
        <sz val="12"/>
        <color theme="1"/>
        <rFont val="Calibri"/>
        <family val="2"/>
        <scheme val="minor"/>
      </rPr>
      <t>) is proportional to C</t>
    </r>
    <r>
      <rPr>
        <vertAlign val="subscript"/>
        <sz val="12"/>
        <color theme="1"/>
        <rFont val="Calibri (Body)"/>
      </rPr>
      <t>k</t>
    </r>
    <r>
      <rPr>
        <sz val="12"/>
        <color theme="1"/>
        <rFont val="Calibri"/>
        <family val="2"/>
        <scheme val="minor"/>
      </rPr>
      <t>:</t>
    </r>
  </si>
  <si>
    <t>Standard chain-ladder formula:</t>
  </si>
  <si>
    <r>
      <t>⇾ Use C</t>
    </r>
    <r>
      <rPr>
        <vertAlign val="superscript"/>
        <sz val="12"/>
        <color theme="1"/>
        <rFont val="Calibri (Body)"/>
      </rPr>
      <t>2</t>
    </r>
    <r>
      <rPr>
        <vertAlign val="subscript"/>
        <sz val="12"/>
        <color theme="1"/>
        <rFont val="Calibri (Body)"/>
      </rPr>
      <t>i,k</t>
    </r>
    <r>
      <rPr>
        <sz val="12"/>
        <color theme="1"/>
        <rFont val="Calibri"/>
        <family val="2"/>
        <scheme val="minor"/>
      </rPr>
      <t xml:space="preserve"> weighted LDFs</t>
    </r>
  </si>
  <si>
    <r>
      <t>Var(C</t>
    </r>
    <r>
      <rPr>
        <vertAlign val="subscript"/>
        <sz val="12"/>
        <color theme="1"/>
        <rFont val="Calibri (Body)"/>
      </rPr>
      <t>k+1</t>
    </r>
    <r>
      <rPr>
        <sz val="12"/>
        <color theme="1"/>
        <rFont val="Calibri"/>
        <family val="2"/>
        <scheme val="minor"/>
      </rPr>
      <t>) is constant (proportional to 1):</t>
    </r>
  </si>
  <si>
    <t>Cumulative Reported Loss ($000) as of (months)</t>
  </si>
  <si>
    <t>For parts a-c, we need to use the specific LDF formula associated with the variance assumption:</t>
  </si>
  <si>
    <t>Spring 2018</t>
  </si>
  <si>
    <t>Mack (Chain Ladder) - Correlation of Adjacent LDFs</t>
  </si>
  <si>
    <t>Note that the CAS also accepted ``accident years are independent" which is stated in Venter Factors</t>
  </si>
  <si>
    <t>Linearity assumption - the expected cumulative losses in the next development period is proportional to losses paid to date</t>
  </si>
  <si>
    <t>2. It's more important to know whether correlations globally prevail than to find a smaller part of the triangle with correlations</t>
  </si>
  <si>
    <t>1. We should expect some pairs of LDFs to exhibit correlation purely due to random chance</t>
  </si>
  <si>
    <t>Since T = 0.333 is within (-0.387, 0.387), we fail to reject the null hypothesis that subsequent columns of development factors are uncorrelated (i.e. no observed correlation).</t>
  </si>
  <si>
    <t>⇽ Var(T) = 1 / ( (#AYs - 2)*(#AYs - 3) / 2 )</t>
  </si>
  <si>
    <t>above.</t>
  </si>
  <si>
    <t>Identify which assumption of the chain ladder method is being evaluated in part a.</t>
  </si>
  <si>
    <t>rather than correlation between pairs of columns.</t>
  </si>
  <si>
    <t>Briefly describe two reasons why it is more appropriate to test the triangle as a whole</t>
  </si>
  <si>
    <t>Spearman's rank at a 50% confidence threshold.</t>
  </si>
  <si>
    <t>Evaluate whether subsequent columns of development factors exhibit correlation using</t>
  </si>
  <si>
    <t>•  Probability of a standard normal variate lying in the interval (-0.67, 0.67) is 50%</t>
  </si>
  <si>
    <t>•  There is no development after the 5th period.</t>
  </si>
  <si>
    <t>4-5</t>
  </si>
  <si>
    <t>3-4</t>
  </si>
  <si>
    <t>2-3</t>
  </si>
  <si>
    <t>1-2</t>
  </si>
  <si>
    <t>Observed Age-to-Age Loss Development Factors as of (years)</t>
  </si>
  <si>
    <t>Development period 3 (2 - 3):</t>
  </si>
  <si>
    <t>Development period 2 (1 - 2):</t>
  </si>
  <si>
    <t>Q #8</t>
  </si>
  <si>
    <t>iii. Acceleration of loss payment in 2016.</t>
  </si>
  <si>
    <t>ii. Increase in case reserve adequacy in 2016.</t>
  </si>
  <si>
    <t>i. Sustained increase in calendar year trend rate in 2016.</t>
  </si>
  <si>
    <t>Mack (Chain Ladder) - Calendar Year Test</t>
  </si>
  <si>
    <t>Discuss whether the results above could be explained by each of the following:</t>
  </si>
  <si>
    <t>iii - No. An acceleration of payments will not impact incurred losses assuming case reserves are adequate.</t>
  </si>
  <si>
    <t>ii - Yes. A sudden increase in case reserves would produce under-prediction in 2016. This may cause over-development of losses resulting in negative residuals in 2017 and 2018</t>
  </si>
  <si>
    <t>i - No. A sustained increase in calendar year trend would show under-prediction in calendar years 2017 and 2018 (i.e. positive residuals) rather than the negative residuals we see in the graph.</t>
  </si>
  <si>
    <t>Since Z = 1 is NOT within the confidence internal, we reject the null hypothesis that there are no calendar year influences</t>
  </si>
  <si>
    <t>95% CI Upper Limit</t>
  </si>
  <si>
    <t>95% CI Lower Limit</t>
  </si>
  <si>
    <t>24, 36, and 48 months.</t>
  </si>
  <si>
    <t>The graph below shows the weighted residuals of case incurred losses for maturities of</t>
  </si>
  <si>
    <r>
      <t>• The 97.5</t>
    </r>
    <r>
      <rPr>
        <vertAlign val="superscript"/>
        <sz val="12"/>
        <color theme="1"/>
        <rFont val="Calibri"/>
        <family val="2"/>
        <scheme val="minor"/>
      </rPr>
      <t>th</t>
    </r>
    <r>
      <rPr>
        <sz val="12"/>
        <color theme="1"/>
        <rFont val="Calibri"/>
        <family val="2"/>
        <scheme val="minor"/>
      </rPr>
      <t xml:space="preserve"> percentile of the Standard Normal distribution is </t>
    </r>
  </si>
  <si>
    <t xml:space="preserve">• Var(Z) = </t>
  </si>
  <si>
    <t xml:space="preserve">• E[Z] = </t>
  </si>
  <si>
    <t>Mack's methodology assuming an error probability of 5% where:</t>
  </si>
  <si>
    <t>Test the null-hypothesis that there are no calendar year influences in the data using</t>
  </si>
  <si>
    <t>1.75 points</t>
  </si>
  <si>
    <t>Case Incurred Loss Development Factor as of (months):</t>
  </si>
  <si>
    <t>Cumulative Case Incurred Losses ($000,000) as of (months):</t>
  </si>
  <si>
    <t>Given the following information for a company as of December 31, 2018:</t>
  </si>
  <si>
    <t>Spring 2019</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</si>
  <si>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</si>
  <si>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1. At each development period (k), plot loss at k+1 vs. loss at k and draw a line through the origin with a slope of the LDF. If Assumption 1 is met, the line should go approximately through the points.</t>
  </si>
  <si>
    <t>i.   Var(C_i,k+1) is proportional to C_i,k, cumulative losses for accident year i as of development period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</si>
</sst>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43" formatCode="_(* #,##0.00_);_(* \(#,##0.00\);_(* &quot;-&quot;??_);_(@_)"/>
    <numFmt numFmtId="164" formatCode="_-* #,##0.00_-;\-* #,##0.00_-;_-* &quot;-&quot;??_-;_-@_-"/>
    <numFmt numFmtId="165" formatCode="0.000"/>
    <numFmt numFmtId="166" formatCode="_(* #,##0.000_);_(* \(#,##0.000\);_(* &quot;-&quot;??_);_(@_)"/>
    <numFmt numFmtId="167" formatCode="_(* #,##0_);_(* \(#,##0\);_(* &quot;-&quot;???_);_(@_)"/>
    <numFmt numFmtId="168" formatCode="0.0"/>
    <numFmt numFmtId="169" formatCode="0.0000"/>
    <numFmt numFmtId="170" formatCode="_(* #,##0_);_(* \(#,##0\);_(* &quot;-&quot;??_);_(@_)"/>
    <numFmt numFmtId="171" formatCode="_-* #,##0_-;\-* #,##0_-;_-* &quot;-&quot;??_-;_-@_-"/>
    <numFmt numFmtId="172" formatCode="#,##0.0\ ;&quot; (&quot;#,##0.0\);&quot; -&quot;#.0\ ;@\ "/>
    <numFmt numFmtId="173" formatCode="#,##0.00\ ;&quot; (&quot;#,##0.00\);&quot; -&quot;#.00\ ;@\ "/>
    <numFmt numFmtId="174" formatCode="0.00000"/>
    <numFmt numFmtId="175" formatCode="#,##0.0000"/>
    <numFmt numFmtId="176" formatCode="#,##0.000"/>
    <numFmt numFmtId="177" formatCode="#,##0.0"/>
  </numFmts>
  <fonts count="45"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sz val="12"/>
      <color rgb="FF3F3F76"/>
      <name val="Calibri"/>
      <family val="2"/>
      <scheme val="minor"/>
    </font>
    <font>
      <sz val="12"/>
      <color rgb="FF000000"/>
      <name val="Calibri"/>
      <family val="2"/>
    </font>
    <font>
      <u/>
      <sz val="12"/>
      <color theme="1"/>
      <name val="Calibri"/>
      <family val="2"/>
    </font>
    <font>
      <b/>
      <sz val="12"/>
      <color theme="1"/>
      <name val="Calibri"/>
      <family val="2"/>
    </font>
    <font>
      <sz val="12"/>
      <color rgb="FF0000FF"/>
      <name val="Calibri"/>
      <family val="2"/>
    </font>
    <font>
      <vertAlign val="subscript"/>
      <sz val="12"/>
      <color rgb="FF000000"/>
      <name val="Calibri"/>
      <family val="2"/>
    </font>
    <font>
      <vertAlign val="superscript"/>
      <sz val="12"/>
      <color rgb="FF000000"/>
      <name val="Calibri"/>
      <family val="2"/>
    </font>
    <font>
      <i/>
      <sz val="12"/>
      <color rgb="FF000000"/>
      <name val="Calibri"/>
      <family val="2"/>
    </font>
    <font>
      <i/>
      <vertAlign val="subscript"/>
      <sz val="12"/>
      <color rgb="FF000000"/>
      <name val="Calibri"/>
      <family val="2"/>
    </font>
    <font>
      <u val="singleAccounting"/>
      <sz val="12"/>
      <color theme="1"/>
      <name val="Calibri"/>
      <family val="2"/>
    </font>
    <font>
      <vertAlign val="superscript"/>
      <sz val="12"/>
      <color theme="1"/>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b/>
      <sz val="12"/>
      <color theme="1"/>
      <name val="Calibri"/>
      <family val="2"/>
      <scheme val="minor"/>
    </font>
    <font>
      <u/>
      <sz val="12"/>
      <color theme="1"/>
      <name val="Calibri"/>
      <family val="2"/>
      <scheme val="minor"/>
    </font>
    <font>
      <b/>
      <u/>
      <sz val="12"/>
      <color theme="1"/>
      <name val="Calibri (Body)"/>
    </font>
    <font>
      <vertAlign val="superscript"/>
      <sz val="12"/>
      <color theme="1"/>
      <name val="Calibri (Body)"/>
    </font>
    <font>
      <vertAlign val="subscript"/>
      <sz val="12"/>
      <color theme="1"/>
      <name val="Calibri (Body)"/>
    </font>
    <font>
      <sz val="12"/>
      <color theme="1"/>
      <name val="Calibri (Body)"/>
    </font>
    <font>
      <u/>
      <vertAlign val="superscript"/>
      <sz val="12"/>
      <color theme="1"/>
      <name val="Calibri (Body)"/>
    </font>
    <font>
      <vertAlign val="subscript"/>
      <sz val="12"/>
      <color theme="1"/>
      <name val="Calibri"/>
      <family val="2"/>
    </font>
    <font>
      <sz val="12"/>
      <color rgb="FF000000"/>
      <name val="Calibri"/>
      <family val="2"/>
      <scheme val="minor"/>
    </font>
    <font>
      <u/>
      <sz val="12"/>
      <color rgb="FF000000"/>
      <name val="Calibri"/>
      <family val="2"/>
      <scheme val="minor"/>
    </font>
    <font>
      <i/>
      <sz val="12"/>
      <color theme="1"/>
      <name val="Calibri"/>
      <family val="2"/>
      <scheme val="minor"/>
    </font>
    <font>
      <vertAlign val="subscript"/>
      <sz val="12"/>
      <color theme="1"/>
      <name val="Calibri"/>
      <family val="2"/>
      <scheme val="minor"/>
    </font>
    <font>
      <i/>
      <u/>
      <sz val="12"/>
      <color theme="1"/>
      <name val="Calibri"/>
      <family val="2"/>
      <scheme val="minor"/>
    </font>
    <font>
      <vertAlign val="superscript"/>
      <sz val="12"/>
      <color theme="1"/>
      <name val="Calibri"/>
      <family val="2"/>
      <scheme val="minor"/>
    </font>
    <font>
      <sz val="12"/>
      <color theme="1"/>
      <name val="Arial"/>
      <family val="2"/>
    </font>
    <font>
      <i/>
      <u/>
      <sz val="12"/>
      <color theme="1"/>
      <name val="Calibri (Body)"/>
    </font>
  </fonts>
  <fills count="8">
    <fill>
      <patternFill patternType="none"/>
    </fill>
    <fill>
      <patternFill patternType="gray125"/>
    </fill>
    <fill>
      <patternFill patternType="solid">
        <fgColor theme="0" tint="-4.9989318521683403E-2"/>
        <bgColor indexed="64"/>
      </patternFill>
    </fill>
    <fill>
      <patternFill patternType="solid">
        <fgColor rgb="FFFFCC99"/>
      </patternFill>
    </fill>
    <fill>
      <patternFill patternType="solid">
        <fgColor rgb="FFFFCC00"/>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0" tint="-0.14999847407452621"/>
        <bgColor indexed="64"/>
      </patternFill>
    </fill>
  </fills>
  <borders count="35">
    <border>
      <left/>
      <right/>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s>
  <cellStyleXfs count="7">
    <xf numFmtId="0" fontId="0" fillId="0" borderId="0"/>
    <xf numFmtId="43" fontId="8" fillId="0" borderId="0" applyFont="0" applyFill="0" applyBorder="0" applyAlignment="0" applyProtection="0"/>
    <xf numFmtId="9" fontId="8" fillId="0" borderId="0" applyFont="0" applyFill="0" applyBorder="0" applyAlignment="0" applyProtection="0"/>
    <xf numFmtId="0" fontId="13" fillId="3" borderId="4" applyNumberFormat="0" applyAlignment="0" applyProtection="0"/>
    <xf numFmtId="0" fontId="24" fillId="0" borderId="0"/>
    <xf numFmtId="0" fontId="5" fillId="0" borderId="0"/>
    <xf numFmtId="0" fontId="25" fillId="0" borderId="0" applyNumberFormat="0" applyFill="0" applyBorder="0" applyAlignment="0" applyProtection="0"/>
  </cellStyleXfs>
  <cellXfs count="446">
    <xf numFmtId="0" fontId="0" fillId="0" borderId="0" xfId="0"/>
    <xf numFmtId="0" fontId="9" fillId="2" borderId="1" xfId="0" applyFont="1" applyFill="1" applyBorder="1"/>
    <xf numFmtId="2" fontId="10" fillId="2" borderId="1" xfId="0" applyNumberFormat="1" applyFont="1" applyFill="1" applyBorder="1" applyAlignment="1">
      <alignment horizontal="left"/>
    </xf>
    <xf numFmtId="0" fontId="9" fillId="0" borderId="0" xfId="0" applyFont="1"/>
    <xf numFmtId="0" fontId="11" fillId="0" borderId="0" xfId="0" applyFont="1"/>
    <xf numFmtId="0" fontId="12" fillId="0" borderId="0" xfId="0" applyFont="1"/>
    <xf numFmtId="3" fontId="14"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3" fontId="14" fillId="0" borderId="0" xfId="0" applyNumberFormat="1" applyFont="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5" xfId="0" applyFont="1" applyBorder="1" applyAlignment="1">
      <alignment horizontal="center" vertical="center" wrapText="1"/>
    </xf>
    <xf numFmtId="2" fontId="14" fillId="2" borderId="0" xfId="0" applyNumberFormat="1" applyFont="1" applyFill="1" applyAlignment="1">
      <alignment horizontal="center" vertical="center" wrapText="1"/>
    </xf>
    <xf numFmtId="2"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6" fillId="0" borderId="0" xfId="0" applyFont="1"/>
    <xf numFmtId="9" fontId="14" fillId="2" borderId="0" xfId="0" applyNumberFormat="1" applyFont="1" applyFill="1" applyAlignment="1">
      <alignment horizontal="center" vertical="center" wrapText="1"/>
    </xf>
    <xf numFmtId="172" fontId="17" fillId="4" borderId="0" xfId="3" applyNumberFormat="1" applyFont="1" applyFill="1" applyBorder="1" applyAlignment="1" applyProtection="1">
      <alignment horizontal="right"/>
    </xf>
    <xf numFmtId="0" fontId="14" fillId="0" borderId="12" xfId="0" applyFont="1" applyBorder="1" applyAlignment="1">
      <alignment horizontal="center" vertical="center" wrapText="1"/>
    </xf>
    <xf numFmtId="0" fontId="14" fillId="0" borderId="11"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6" xfId="0" applyFont="1" applyFill="1" applyBorder="1" applyAlignment="1">
      <alignment horizontal="center" vertical="center" wrapText="1"/>
    </xf>
    <xf numFmtId="173" fontId="17" fillId="4" borderId="0" xfId="3" applyNumberFormat="1" applyFont="1" applyFill="1" applyBorder="1" applyAlignment="1" applyProtection="1">
      <alignment horizontal="right"/>
    </xf>
    <xf numFmtId="0" fontId="20" fillId="0" borderId="0" xfId="0" applyFont="1" applyAlignment="1">
      <alignment horizontal="center" vertical="center" wrapText="1"/>
    </xf>
    <xf numFmtId="168" fontId="14" fillId="0" borderId="0" xfId="0" applyNumberFormat="1" applyFont="1" applyAlignment="1">
      <alignment horizontal="center" vertical="center" wrapText="1"/>
    </xf>
    <xf numFmtId="1" fontId="14" fillId="0" borderId="0" xfId="0" applyNumberFormat="1" applyFont="1" applyAlignment="1">
      <alignment horizontal="center" vertical="center" wrapText="1"/>
    </xf>
    <xf numFmtId="0" fontId="14" fillId="0" borderId="0" xfId="0" applyFont="1" applyAlignment="1">
      <alignment horizontal="left" vertical="center"/>
    </xf>
    <xf numFmtId="0" fontId="16" fillId="2" borderId="13" xfId="0" applyFont="1" applyFill="1" applyBorder="1" applyAlignment="1">
      <alignment horizontal="center" vertical="center"/>
    </xf>
    <xf numFmtId="0" fontId="16" fillId="2" borderId="0" xfId="0" applyFont="1" applyFill="1" applyAlignment="1">
      <alignment horizontal="center" vertical="center"/>
    </xf>
    <xf numFmtId="0" fontId="14" fillId="2" borderId="5" xfId="0" applyFont="1" applyFill="1" applyBorder="1" applyAlignment="1">
      <alignment horizontal="center" wrapText="1"/>
    </xf>
    <xf numFmtId="3" fontId="14" fillId="2" borderId="5" xfId="0" applyNumberFormat="1" applyFont="1" applyFill="1" applyBorder="1" applyAlignment="1">
      <alignment horizontal="center" vertical="center" wrapText="1"/>
    </xf>
    <xf numFmtId="9" fontId="14" fillId="2" borderId="5" xfId="0" applyNumberFormat="1" applyFont="1" applyFill="1" applyBorder="1" applyAlignment="1">
      <alignment horizontal="center" vertical="center" wrapText="1"/>
    </xf>
    <xf numFmtId="0" fontId="14" fillId="2" borderId="7" xfId="0" applyFont="1" applyFill="1" applyBorder="1" applyAlignment="1">
      <alignment horizontal="center" wrapText="1"/>
    </xf>
    <xf numFmtId="3" fontId="14" fillId="0" borderId="5" xfId="0" applyNumberFormat="1" applyFont="1" applyBorder="1" applyAlignment="1">
      <alignment horizontal="center" vertical="center" wrapText="1"/>
    </xf>
    <xf numFmtId="0" fontId="15" fillId="2" borderId="0" xfId="0" applyFont="1" applyFill="1" applyAlignment="1">
      <alignment horizontal="center"/>
    </xf>
    <xf numFmtId="0" fontId="7" fillId="2" borderId="13" xfId="0" applyFont="1" applyFill="1" applyBorder="1" applyAlignment="1">
      <alignment horizontal="center" vertical="center"/>
    </xf>
    <xf numFmtId="0" fontId="7" fillId="2" borderId="0" xfId="0" applyFont="1" applyFill="1"/>
    <xf numFmtId="0" fontId="7" fillId="2" borderId="2" xfId="0" applyFont="1" applyFill="1" applyBorder="1"/>
    <xf numFmtId="0" fontId="7" fillId="0" borderId="0" xfId="0" applyFont="1"/>
    <xf numFmtId="165" fontId="7" fillId="0" borderId="0" xfId="0" applyNumberFormat="1" applyFont="1"/>
    <xf numFmtId="0" fontId="7" fillId="0" borderId="0" xfId="0" applyFont="1" applyAlignment="1">
      <alignment horizontal="left" wrapText="1"/>
    </xf>
    <xf numFmtId="166" fontId="7" fillId="0" borderId="0" xfId="1" applyNumberFormat="1" applyFont="1"/>
    <xf numFmtId="0" fontId="7" fillId="0" borderId="7" xfId="0" applyFont="1" applyBorder="1" applyAlignment="1">
      <alignment horizontal="center"/>
    </xf>
    <xf numFmtId="0" fontId="7" fillId="0" borderId="5" xfId="0" applyFont="1" applyBorder="1" applyAlignment="1">
      <alignment horizontal="center"/>
    </xf>
    <xf numFmtId="167" fontId="7" fillId="0" borderId="6" xfId="0" applyNumberFormat="1" applyFont="1" applyBorder="1"/>
    <xf numFmtId="167" fontId="7" fillId="0" borderId="0" xfId="0" applyNumberFormat="1" applyFont="1"/>
    <xf numFmtId="168" fontId="7" fillId="0" borderId="0" xfId="0" applyNumberFormat="1" applyFont="1"/>
    <xf numFmtId="0" fontId="7" fillId="0" borderId="0" xfId="0" applyFont="1" applyAlignment="1">
      <alignment wrapText="1"/>
    </xf>
    <xf numFmtId="0" fontId="7" fillId="2" borderId="13" xfId="0" applyFont="1" applyFill="1" applyBorder="1"/>
    <xf numFmtId="0" fontId="7" fillId="2" borderId="17" xfId="0" applyFont="1" applyFill="1" applyBorder="1"/>
    <xf numFmtId="0" fontId="7" fillId="0" borderId="7" xfId="0" applyFont="1" applyBorder="1"/>
    <xf numFmtId="0" fontId="7" fillId="0" borderId="0" xfId="0" applyFont="1" applyAlignment="1">
      <alignment horizontal="center"/>
    </xf>
    <xf numFmtId="0" fontId="7" fillId="0" borderId="6" xfId="0" applyFont="1" applyBorder="1"/>
    <xf numFmtId="171" fontId="7" fillId="0" borderId="0" xfId="1" applyNumberFormat="1" applyFont="1"/>
    <xf numFmtId="171" fontId="7" fillId="0" borderId="7" xfId="1" applyNumberFormat="1" applyFont="1" applyBorder="1"/>
    <xf numFmtId="171" fontId="16" fillId="0" borderId="0" xfId="1" applyNumberFormat="1" applyFont="1"/>
    <xf numFmtId="168" fontId="7" fillId="2" borderId="0" xfId="0" applyNumberFormat="1" applyFont="1" applyFill="1" applyAlignment="1">
      <alignment horizontal="center"/>
    </xf>
    <xf numFmtId="165" fontId="7" fillId="2" borderId="0" xfId="0" applyNumberFormat="1" applyFont="1" applyFill="1" applyAlignment="1">
      <alignment horizontal="center"/>
    </xf>
    <xf numFmtId="0" fontId="16" fillId="0" borderId="5" xfId="0" applyFont="1" applyBorder="1" applyAlignment="1">
      <alignment horizontal="center"/>
    </xf>
    <xf numFmtId="0" fontId="7" fillId="0" borderId="6" xfId="0" applyFont="1" applyBorder="1" applyAlignment="1">
      <alignment horizontal="center"/>
    </xf>
    <xf numFmtId="0" fontId="7" fillId="5" borderId="0" xfId="0" applyFont="1" applyFill="1"/>
    <xf numFmtId="0" fontId="7" fillId="5" borderId="6" xfId="0" applyFont="1" applyFill="1" applyBorder="1"/>
    <xf numFmtId="1" fontId="7" fillId="0" borderId="0" xfId="0" applyNumberFormat="1" applyFont="1"/>
    <xf numFmtId="171" fontId="7" fillId="0" borderId="6" xfId="1" applyNumberFormat="1" applyFont="1" applyBorder="1"/>
    <xf numFmtId="171" fontId="7" fillId="0" borderId="6" xfId="0" applyNumberFormat="1" applyFont="1" applyBorder="1"/>
    <xf numFmtId="171" fontId="22" fillId="0" borderId="0" xfId="1" applyNumberFormat="1" applyFont="1"/>
    <xf numFmtId="0" fontId="7" fillId="2" borderId="0" xfId="0" quotePrefix="1" applyFont="1" applyFill="1"/>
    <xf numFmtId="169" fontId="7" fillId="0" borderId="0" xfId="0" applyNumberFormat="1" applyFont="1"/>
    <xf numFmtId="171" fontId="7" fillId="0" borderId="0" xfId="0" applyNumberFormat="1" applyFont="1"/>
    <xf numFmtId="0" fontId="7" fillId="2" borderId="1" xfId="0" applyFont="1" applyFill="1" applyBorder="1"/>
    <xf numFmtId="171" fontId="7" fillId="0" borderId="5" xfId="0" applyNumberFormat="1" applyFont="1" applyBorder="1"/>
    <xf numFmtId="171" fontId="7" fillId="0" borderId="5" xfId="1" applyNumberFormat="1" applyFont="1" applyBorder="1"/>
    <xf numFmtId="174" fontId="7" fillId="0" borderId="0" xfId="0" applyNumberFormat="1" applyFont="1"/>
    <xf numFmtId="164" fontId="7" fillId="0" borderId="5" xfId="0" applyNumberFormat="1" applyFont="1" applyBorder="1"/>
    <xf numFmtId="174" fontId="7" fillId="0" borderId="5" xfId="0" applyNumberFormat="1" applyFont="1" applyBorder="1"/>
    <xf numFmtId="164" fontId="7" fillId="0" borderId="0" xfId="0" applyNumberFormat="1" applyFont="1"/>
    <xf numFmtId="171" fontId="16" fillId="0" borderId="0" xfId="0" applyNumberFormat="1" applyFont="1"/>
    <xf numFmtId="0" fontId="7" fillId="0" borderId="0" xfId="0" applyFont="1" applyAlignment="1">
      <alignment vertical="center" wrapText="1"/>
    </xf>
    <xf numFmtId="170" fontId="7" fillId="0" borderId="0" xfId="1" applyNumberFormat="1" applyFont="1"/>
    <xf numFmtId="0" fontId="7" fillId="0" borderId="5" xfId="0" quotePrefix="1" applyFont="1" applyBorder="1" applyAlignment="1">
      <alignment horizontal="center"/>
    </xf>
    <xf numFmtId="0" fontId="7" fillId="2" borderId="7" xfId="0" applyFont="1" applyFill="1" applyBorder="1"/>
    <xf numFmtId="0" fontId="7" fillId="2" borderId="5" xfId="0" applyFont="1" applyFill="1" applyBorder="1" applyAlignment="1">
      <alignment horizontal="center"/>
    </xf>
    <xf numFmtId="0" fontId="7" fillId="2" borderId="6" xfId="0" applyFont="1" applyFill="1" applyBorder="1" applyAlignment="1">
      <alignment horizontal="center"/>
    </xf>
    <xf numFmtId="0" fontId="7" fillId="2" borderId="0" xfId="0" applyFont="1" applyFill="1" applyAlignment="1">
      <alignment horizontal="center"/>
    </xf>
    <xf numFmtId="0" fontId="7" fillId="0" borderId="5" xfId="0" applyFont="1" applyBorder="1"/>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vertical="center"/>
    </xf>
    <xf numFmtId="165" fontId="7" fillId="0" borderId="0" xfId="0" applyNumberFormat="1" applyFont="1" applyAlignment="1">
      <alignment horizontal="center"/>
    </xf>
    <xf numFmtId="0" fontId="7" fillId="0" borderId="0" xfId="0" quotePrefix="1" applyFont="1"/>
    <xf numFmtId="0" fontId="7" fillId="2"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0" xfId="0" applyFont="1" applyFill="1" applyAlignment="1">
      <alignment horizontal="center" vertical="center" wrapText="1"/>
    </xf>
    <xf numFmtId="0" fontId="7" fillId="0" borderId="5" xfId="0" quotePrefix="1" applyFont="1" applyBorder="1"/>
    <xf numFmtId="0" fontId="16" fillId="0" borderId="8" xfId="0" applyFont="1" applyBorder="1" applyAlignment="1">
      <alignment horizontal="center"/>
    </xf>
    <xf numFmtId="0" fontId="16" fillId="0" borderId="9" xfId="0" applyFont="1" applyBorder="1"/>
    <xf numFmtId="9" fontId="16" fillId="0" borderId="9" xfId="2" applyFont="1" applyBorder="1"/>
    <xf numFmtId="9" fontId="16" fillId="0" borderId="10" xfId="2" applyFont="1" applyBorder="1"/>
    <xf numFmtId="9" fontId="7" fillId="0" borderId="0" xfId="2" applyFont="1"/>
    <xf numFmtId="169" fontId="7" fillId="0" borderId="5" xfId="0" applyNumberFormat="1" applyFont="1" applyBorder="1"/>
    <xf numFmtId="0" fontId="7" fillId="2" borderId="0" xfId="0" applyFont="1" applyFill="1" applyAlignment="1">
      <alignment horizontal="center" vertical="center"/>
    </xf>
    <xf numFmtId="3" fontId="7" fillId="0" borderId="0" xfId="0" applyNumberFormat="1" applyFont="1"/>
    <xf numFmtId="0" fontId="6" fillId="0" borderId="0" xfId="0" applyFont="1"/>
    <xf numFmtId="0" fontId="6" fillId="0" borderId="18" xfId="0" applyFont="1" applyBorder="1"/>
    <xf numFmtId="171" fontId="6" fillId="0" borderId="17" xfId="1" applyNumberFormat="1" applyFont="1" applyBorder="1"/>
    <xf numFmtId="0" fontId="6" fillId="0" borderId="19" xfId="0" applyFont="1" applyBorder="1"/>
    <xf numFmtId="171" fontId="6" fillId="0" borderId="3" xfId="1" applyNumberFormat="1" applyFont="1" applyBorder="1"/>
    <xf numFmtId="0" fontId="7" fillId="0" borderId="18" xfId="0" applyFont="1" applyBorder="1"/>
    <xf numFmtId="170" fontId="7" fillId="0" borderId="17" xfId="1" applyNumberFormat="1" applyFont="1" applyBorder="1"/>
    <xf numFmtId="0" fontId="7" fillId="0" borderId="19" xfId="0" applyFont="1" applyBorder="1"/>
    <xf numFmtId="170" fontId="7" fillId="0" borderId="3" xfId="1" applyNumberFormat="1" applyFont="1" applyBorder="1"/>
    <xf numFmtId="0" fontId="20" fillId="0" borderId="20" xfId="0" applyFont="1" applyBorder="1" applyAlignment="1">
      <alignment horizontal="center" vertical="center" wrapText="1"/>
    </xf>
    <xf numFmtId="0" fontId="14" fillId="0" borderId="21" xfId="0" applyFont="1" applyBorder="1" applyAlignment="1">
      <alignment horizontal="center" vertical="center" wrapText="1"/>
    </xf>
    <xf numFmtId="1" fontId="14" fillId="0" borderId="9" xfId="0" applyNumberFormat="1" applyFont="1" applyBorder="1" applyAlignment="1">
      <alignment horizontal="center" vertical="center" wrapText="1"/>
    </xf>
    <xf numFmtId="3" fontId="14" fillId="0" borderId="21" xfId="0" applyNumberFormat="1" applyFont="1" applyBorder="1" applyAlignment="1">
      <alignment horizontal="center" vertical="center" wrapText="1"/>
    </xf>
    <xf numFmtId="3" fontId="14" fillId="0" borderId="10" xfId="0" applyNumberFormat="1" applyFont="1" applyBorder="1" applyAlignment="1">
      <alignment horizontal="center" vertical="center" wrapText="1"/>
    </xf>
    <xf numFmtId="0" fontId="6" fillId="0" borderId="14" xfId="0" applyFont="1" applyBorder="1"/>
    <xf numFmtId="171" fontId="6" fillId="0" borderId="15" xfId="1" applyNumberFormat="1" applyFont="1" applyBorder="1"/>
    <xf numFmtId="171" fontId="6" fillId="0" borderId="16" xfId="1" applyNumberFormat="1" applyFont="1" applyBorder="1" applyAlignment="1">
      <alignment horizontal="center"/>
    </xf>
    <xf numFmtId="165" fontId="6" fillId="0" borderId="0" xfId="0" applyNumberFormat="1" applyFont="1"/>
    <xf numFmtId="0" fontId="6" fillId="0" borderId="0" xfId="0" applyFont="1" applyAlignment="1">
      <alignment wrapText="1"/>
    </xf>
    <xf numFmtId="0" fontId="6" fillId="0" borderId="0" xfId="0" applyFont="1" applyAlignment="1">
      <alignment horizontal="center"/>
    </xf>
    <xf numFmtId="0" fontId="6" fillId="0" borderId="6" xfId="0" applyFont="1" applyBorder="1" applyAlignment="1">
      <alignment horizontal="center"/>
    </xf>
    <xf numFmtId="0" fontId="6" fillId="0" borderId="6" xfId="0" applyFont="1" applyBorder="1"/>
    <xf numFmtId="0" fontId="6" fillId="0" borderId="5" xfId="0" applyFont="1" applyBorder="1" applyAlignment="1">
      <alignment horizontal="center"/>
    </xf>
    <xf numFmtId="0" fontId="6" fillId="0" borderId="7" xfId="0" applyFont="1" applyBorder="1" applyAlignment="1">
      <alignment horizontal="center"/>
    </xf>
    <xf numFmtId="0" fontId="6" fillId="2" borderId="2" xfId="0" applyFont="1" applyFill="1" applyBorder="1"/>
    <xf numFmtId="0" fontId="6" fillId="2" borderId="0" xfId="0" applyFont="1" applyFill="1"/>
    <xf numFmtId="0" fontId="6" fillId="0" borderId="5" xfId="0" applyFont="1" applyBorder="1"/>
    <xf numFmtId="0" fontId="6" fillId="0" borderId="7" xfId="0" applyFont="1" applyBorder="1"/>
    <xf numFmtId="165" fontId="6" fillId="0" borderId="5" xfId="0" applyNumberFormat="1" applyFont="1" applyBorder="1"/>
    <xf numFmtId="0" fontId="6" fillId="2" borderId="13" xfId="0" applyFont="1" applyFill="1" applyBorder="1" applyAlignment="1">
      <alignment horizontal="center" vertical="center"/>
    </xf>
    <xf numFmtId="170" fontId="6" fillId="0" borderId="17" xfId="1" applyNumberFormat="1" applyFont="1" applyBorder="1"/>
    <xf numFmtId="170" fontId="6" fillId="0" borderId="3" xfId="1" applyNumberFormat="1" applyFont="1" applyBorder="1"/>
    <xf numFmtId="165" fontId="6" fillId="0" borderId="17" xfId="0" applyNumberFormat="1" applyFont="1" applyBorder="1"/>
    <xf numFmtId="165" fontId="6" fillId="0" borderId="3" xfId="0" applyNumberFormat="1" applyFont="1" applyBorder="1"/>
    <xf numFmtId="0" fontId="16" fillId="0" borderId="0" xfId="0" applyFont="1" applyAlignment="1">
      <alignment horizontal="center"/>
    </xf>
    <xf numFmtId="165" fontId="16" fillId="0" borderId="0" xfId="0" applyNumberFormat="1" applyFont="1" applyAlignment="1">
      <alignment horizontal="center"/>
    </xf>
    <xf numFmtId="0" fontId="5" fillId="0" borderId="18" xfId="4" applyFont="1" applyBorder="1" applyAlignment="1">
      <alignment horizontal="center" vertical="center"/>
    </xf>
    <xf numFmtId="0" fontId="5" fillId="0" borderId="13" xfId="4" applyFont="1" applyBorder="1" applyAlignment="1">
      <alignment vertical="center" wrapText="1"/>
    </xf>
    <xf numFmtId="0" fontId="16" fillId="0" borderId="13" xfId="4" applyFont="1" applyBorder="1" applyAlignment="1">
      <alignment horizontal="center" vertical="center"/>
    </xf>
    <xf numFmtId="0" fontId="5" fillId="0" borderId="17" xfId="4" applyFont="1" applyBorder="1" applyAlignment="1">
      <alignment horizontal="center" vertical="center"/>
    </xf>
    <xf numFmtId="0" fontId="5" fillId="0" borderId="0" xfId="4" applyFont="1" applyAlignment="1">
      <alignment horizontal="center" vertical="center"/>
    </xf>
    <xf numFmtId="0" fontId="5" fillId="0" borderId="1" xfId="5" applyBorder="1"/>
    <xf numFmtId="0" fontId="5" fillId="0" borderId="0" xfId="5"/>
    <xf numFmtId="0" fontId="5" fillId="0" borderId="2" xfId="5" applyBorder="1"/>
    <xf numFmtId="0" fontId="25" fillId="0" borderId="0" xfId="6" applyBorder="1"/>
    <xf numFmtId="0" fontId="26" fillId="0" borderId="0" xfId="5" applyFont="1"/>
    <xf numFmtId="0" fontId="5" fillId="0" borderId="0" xfId="5" applyAlignment="1">
      <alignment horizontal="left" vertical="top"/>
    </xf>
    <xf numFmtId="0" fontId="27" fillId="0" borderId="0" xfId="5" applyFont="1"/>
    <xf numFmtId="0" fontId="10" fillId="0" borderId="0" xfId="5" applyFont="1" applyAlignment="1">
      <alignment horizontal="left" vertical="top"/>
    </xf>
    <xf numFmtId="0" fontId="5" fillId="0" borderId="19" xfId="4" applyFont="1" applyBorder="1" applyAlignment="1">
      <alignment horizontal="center" vertical="center"/>
    </xf>
    <xf numFmtId="0" fontId="5" fillId="0" borderId="22" xfId="4" applyFont="1" applyBorder="1" applyAlignment="1">
      <alignment horizontal="center" vertical="center"/>
    </xf>
    <xf numFmtId="0" fontId="5" fillId="0" borderId="3" xfId="4" applyFont="1" applyBorder="1" applyAlignment="1">
      <alignment horizontal="center" vertical="center"/>
    </xf>
    <xf numFmtId="0" fontId="28" fillId="0" borderId="0" xfId="0" applyFont="1"/>
    <xf numFmtId="0" fontId="0" fillId="0" borderId="0" xfId="0" applyAlignment="1">
      <alignment horizontal="left" vertical="top" wrapText="1"/>
    </xf>
    <xf numFmtId="3" fontId="0" fillId="0" borderId="3" xfId="0" applyNumberFormat="1" applyBorder="1"/>
    <xf numFmtId="0" fontId="0" fillId="0" borderId="19" xfId="0" applyBorder="1"/>
    <xf numFmtId="3" fontId="0" fillId="0" borderId="17" xfId="0" applyNumberFormat="1" applyBorder="1"/>
    <xf numFmtId="0" fontId="0" fillId="0" borderId="18" xfId="0" applyBorder="1"/>
    <xf numFmtId="165" fontId="0" fillId="0" borderId="0" xfId="0" applyNumberFormat="1" applyAlignment="1">
      <alignment horizontal="center"/>
    </xf>
    <xf numFmtId="0" fontId="0" fillId="0" borderId="6" xfId="0" applyBorder="1"/>
    <xf numFmtId="0" fontId="0" fillId="0" borderId="5" xfId="0" applyBorder="1" applyAlignment="1">
      <alignment horizontal="center"/>
    </xf>
    <xf numFmtId="0" fontId="0" fillId="0" borderId="7" xfId="0" applyBorder="1"/>
    <xf numFmtId="0" fontId="29" fillId="0" borderId="0" xfId="0" applyFont="1"/>
    <xf numFmtId="3" fontId="0" fillId="0" borderId="3" xfId="0" applyNumberFormat="1" applyBorder="1" applyAlignment="1">
      <alignment horizontal="center"/>
    </xf>
    <xf numFmtId="3" fontId="0" fillId="0" borderId="17" xfId="0" applyNumberFormat="1" applyBorder="1" applyAlignment="1">
      <alignment horizontal="center"/>
    </xf>
    <xf numFmtId="3" fontId="0" fillId="0" borderId="0" xfId="0" applyNumberFormat="1" applyAlignment="1">
      <alignment horizontal="center"/>
    </xf>
    <xf numFmtId="0" fontId="30" fillId="0" borderId="0" xfId="0" applyFont="1"/>
    <xf numFmtId="165" fontId="0" fillId="0" borderId="0" xfId="0" applyNumberFormat="1"/>
    <xf numFmtId="0" fontId="0" fillId="0" borderId="0" xfId="0" applyAlignment="1">
      <alignment horizontal="center"/>
    </xf>
    <xf numFmtId="0" fontId="4" fillId="0" borderId="0" xfId="0" applyFont="1" applyAlignment="1">
      <alignment horizontal="center"/>
    </xf>
    <xf numFmtId="3" fontId="0" fillId="0" borderId="0" xfId="0" applyNumberFormat="1"/>
    <xf numFmtId="175" fontId="0" fillId="0" borderId="0" xfId="0" applyNumberFormat="1"/>
    <xf numFmtId="2" fontId="0" fillId="0" borderId="16" xfId="0" applyNumberFormat="1" applyBorder="1" applyAlignment="1">
      <alignment horizontal="center"/>
    </xf>
    <xf numFmtId="0" fontId="0" fillId="0" borderId="14" xfId="0" applyBorder="1" applyAlignment="1">
      <alignment horizontal="center"/>
    </xf>
    <xf numFmtId="171" fontId="4" fillId="0" borderId="6" xfId="0" applyNumberFormat="1" applyFont="1" applyBorder="1"/>
    <xf numFmtId="171" fontId="4" fillId="0" borderId="0" xfId="1" applyNumberFormat="1" applyFont="1"/>
    <xf numFmtId="0" fontId="4" fillId="0" borderId="6" xfId="0" applyFont="1" applyBorder="1" applyAlignment="1">
      <alignment horizontal="center"/>
    </xf>
    <xf numFmtId="171" fontId="16" fillId="6" borderId="0" xfId="1" applyNumberFormat="1" applyFont="1" applyFill="1"/>
    <xf numFmtId="171" fontId="4" fillId="6" borderId="6" xfId="0" applyNumberFormat="1" applyFont="1" applyFill="1" applyBorder="1"/>
    <xf numFmtId="171" fontId="4" fillId="6" borderId="0" xfId="1" applyNumberFormat="1" applyFont="1" applyFill="1"/>
    <xf numFmtId="0" fontId="4" fillId="6" borderId="6" xfId="0" applyFont="1" applyFill="1" applyBorder="1" applyAlignment="1">
      <alignment horizontal="center"/>
    </xf>
    <xf numFmtId="171" fontId="4" fillId="0" borderId="6" xfId="1" applyNumberFormat="1" applyFont="1" applyBorder="1"/>
    <xf numFmtId="0" fontId="4" fillId="7" borderId="6" xfId="0" applyFont="1" applyFill="1" applyBorder="1"/>
    <xf numFmtId="0" fontId="4" fillId="7" borderId="0" xfId="0" applyFont="1" applyFill="1"/>
    <xf numFmtId="0" fontId="4" fillId="0" borderId="7" xfId="0" applyFont="1" applyBorder="1" applyAlignment="1">
      <alignment horizontal="center"/>
    </xf>
    <xf numFmtId="0" fontId="4" fillId="0" borderId="5" xfId="0" applyFont="1" applyBorder="1" applyAlignment="1">
      <alignment horizontal="center"/>
    </xf>
    <xf numFmtId="3" fontId="0" fillId="0" borderId="7"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2" borderId="16" xfId="0" applyFill="1" applyBorder="1"/>
    <xf numFmtId="0" fontId="0" fillId="2" borderId="15" xfId="0" applyFill="1" applyBorder="1"/>
    <xf numFmtId="0" fontId="0" fillId="2" borderId="14" xfId="0" applyFill="1" applyBorder="1"/>
    <xf numFmtId="0" fontId="0" fillId="2" borderId="2" xfId="0" applyFill="1" applyBorder="1"/>
    <xf numFmtId="0" fontId="0" fillId="2" borderId="0" xfId="0" applyFill="1"/>
    <xf numFmtId="0" fontId="31" fillId="2" borderId="0" xfId="0" applyFont="1" applyFill="1"/>
    <xf numFmtId="0" fontId="0" fillId="2" borderId="1" xfId="0" applyFill="1" applyBorder="1"/>
    <xf numFmtId="6" fontId="0" fillId="2" borderId="0" xfId="0" applyNumberFormat="1" applyFill="1"/>
    <xf numFmtId="165" fontId="0" fillId="6" borderId="16" xfId="0" applyNumberFormat="1" applyFill="1" applyBorder="1" applyAlignment="1">
      <alignment horizontal="center"/>
    </xf>
    <xf numFmtId="165" fontId="0" fillId="0" borderId="15" xfId="0" applyNumberFormat="1" applyBorder="1" applyAlignment="1">
      <alignment horizontal="center"/>
    </xf>
    <xf numFmtId="165" fontId="0" fillId="0" borderId="14" xfId="0" applyNumberFormat="1" applyBorder="1" applyAlignment="1">
      <alignment horizontal="center"/>
    </xf>
    <xf numFmtId="0" fontId="0" fillId="2" borderId="0" xfId="0" applyFill="1" applyAlignment="1">
      <alignment horizontal="center"/>
    </xf>
    <xf numFmtId="0" fontId="0" fillId="2" borderId="0" xfId="0" quotePrefix="1" applyFill="1" applyAlignment="1">
      <alignment horizontal="left"/>
    </xf>
    <xf numFmtId="0" fontId="0" fillId="2" borderId="0" xfId="0" quotePrefix="1" applyFill="1" applyAlignment="1">
      <alignment horizontal="center"/>
    </xf>
    <xf numFmtId="1" fontId="4" fillId="0" borderId="0" xfId="0" applyNumberFormat="1" applyFont="1" applyAlignment="1">
      <alignment horizontal="center"/>
    </xf>
    <xf numFmtId="1" fontId="4" fillId="0" borderId="0" xfId="0" applyNumberFormat="1" applyFont="1"/>
    <xf numFmtId="0" fontId="0" fillId="2" borderId="0" xfId="0" quotePrefix="1" applyFill="1"/>
    <xf numFmtId="2" fontId="0" fillId="2" borderId="0" xfId="0" applyNumberFormat="1" applyFill="1" applyAlignment="1">
      <alignment horizontal="center"/>
    </xf>
    <xf numFmtId="3" fontId="0" fillId="2" borderId="0" xfId="0" applyNumberFormat="1" applyFill="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3" fontId="0" fillId="2" borderId="5" xfId="0" applyNumberFormat="1" applyFill="1" applyBorder="1" applyAlignment="1">
      <alignment horizontal="center"/>
    </xf>
    <xf numFmtId="3" fontId="0" fillId="2" borderId="23" xfId="0" applyNumberFormat="1" applyFill="1" applyBorder="1" applyAlignment="1">
      <alignment horizontal="center"/>
    </xf>
    <xf numFmtId="0" fontId="0" fillId="2" borderId="12" xfId="0" applyFill="1" applyBorder="1" applyAlignment="1">
      <alignment horizontal="center"/>
    </xf>
    <xf numFmtId="0" fontId="0" fillId="2" borderId="6" xfId="0" applyFill="1" applyBorder="1" applyAlignment="1">
      <alignment horizontal="center"/>
    </xf>
    <xf numFmtId="3" fontId="0" fillId="2" borderId="24" xfId="0" applyNumberFormat="1" applyFill="1" applyBorder="1" applyAlignment="1">
      <alignment horizontal="center"/>
    </xf>
    <xf numFmtId="0" fontId="0" fillId="2" borderId="11" xfId="0" applyFill="1" applyBorder="1" applyAlignment="1">
      <alignment horizontal="center"/>
    </xf>
    <xf numFmtId="165" fontId="0" fillId="0" borderId="5" xfId="0" applyNumberFormat="1" applyBorder="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6" fontId="0" fillId="0" borderId="0" xfId="0" applyNumberFormat="1"/>
    <xf numFmtId="0" fontId="0" fillId="2" borderId="17" xfId="0" applyFill="1" applyBorder="1"/>
    <xf numFmtId="0" fontId="0" fillId="2" borderId="13" xfId="0" applyFill="1" applyBorder="1"/>
    <xf numFmtId="0" fontId="0" fillId="2" borderId="13" xfId="0" applyFill="1" applyBorder="1" applyAlignment="1">
      <alignment horizontal="center"/>
    </xf>
    <xf numFmtId="0" fontId="29" fillId="2" borderId="13" xfId="0" applyFont="1" applyFill="1" applyBorder="1"/>
    <xf numFmtId="0" fontId="28" fillId="2" borderId="18" xfId="0" applyFont="1" applyFill="1" applyBorder="1"/>
    <xf numFmtId="166" fontId="0" fillId="0" borderId="0" xfId="0" applyNumberFormat="1"/>
    <xf numFmtId="0" fontId="31" fillId="2" borderId="15" xfId="0" applyFont="1" applyFill="1" applyBorder="1"/>
    <xf numFmtId="43" fontId="0" fillId="0" borderId="0" xfId="0" applyNumberFormat="1"/>
    <xf numFmtId="0" fontId="0" fillId="2" borderId="0" xfId="0" quotePrefix="1" applyFill="1" applyAlignment="1">
      <alignment vertical="top"/>
    </xf>
    <xf numFmtId="166" fontId="8" fillId="0" borderId="0" xfId="1" applyNumberFormat="1" applyFont="1"/>
    <xf numFmtId="176" fontId="0" fillId="0" borderId="0" xfId="0" applyNumberFormat="1"/>
    <xf numFmtId="166" fontId="8" fillId="0" borderId="0" xfId="1" applyNumberFormat="1" applyFont="1" applyAlignment="1">
      <alignment horizontal="center"/>
    </xf>
    <xf numFmtId="2" fontId="0" fillId="0" borderId="0" xfId="0" applyNumberFormat="1"/>
    <xf numFmtId="2" fontId="4" fillId="0" borderId="0" xfId="0" applyNumberFormat="1" applyFont="1" applyAlignment="1">
      <alignment horizontal="center"/>
    </xf>
    <xf numFmtId="0" fontId="0" fillId="2" borderId="0" xfId="0" applyFill="1" applyAlignment="1">
      <alignment horizontal="left" wrapText="1"/>
    </xf>
    <xf numFmtId="0" fontId="0" fillId="2" borderId="0" xfId="0" applyFill="1" applyAlignment="1">
      <alignment horizontal="left"/>
    </xf>
    <xf numFmtId="2" fontId="0" fillId="2" borderId="7" xfId="0" applyNumberFormat="1" applyFill="1" applyBorder="1" applyAlignment="1">
      <alignment horizontal="center"/>
    </xf>
    <xf numFmtId="2" fontId="0" fillId="2" borderId="5" xfId="0" applyNumberFormat="1" applyFill="1" applyBorder="1" applyAlignment="1">
      <alignment horizontal="center"/>
    </xf>
    <xf numFmtId="2" fontId="0" fillId="2" borderId="6" xfId="0" applyNumberFormat="1" applyFill="1" applyBorder="1" applyAlignment="1">
      <alignment horizontal="center"/>
    </xf>
    <xf numFmtId="3" fontId="0" fillId="0" borderId="5" xfId="0" applyNumberFormat="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31" xfId="0" applyFill="1" applyBorder="1" applyAlignment="1">
      <alignment horizontal="center"/>
    </xf>
    <xf numFmtId="9" fontId="0" fillId="0" borderId="0" xfId="0" applyNumberFormat="1"/>
    <xf numFmtId="0" fontId="0" fillId="0" borderId="0" xfId="0" applyAlignment="1">
      <alignment horizontal="left"/>
    </xf>
    <xf numFmtId="0" fontId="30" fillId="0" borderId="0" xfId="0" applyFont="1" applyAlignment="1">
      <alignment horizontal="left"/>
    </xf>
    <xf numFmtId="0" fontId="29" fillId="0" borderId="0" xfId="0" quotePrefix="1" applyFont="1" applyAlignment="1">
      <alignment horizontal="left"/>
    </xf>
    <xf numFmtId="0" fontId="0" fillId="0" borderId="0" xfId="0" quotePrefix="1" applyAlignment="1">
      <alignment horizontal="left"/>
    </xf>
    <xf numFmtId="0" fontId="37" fillId="0" borderId="0" xfId="0" applyFont="1"/>
    <xf numFmtId="0" fontId="37" fillId="2" borderId="3" xfId="0" quotePrefix="1" applyFont="1" applyFill="1" applyBorder="1" applyAlignment="1">
      <alignment wrapText="1"/>
    </xf>
    <xf numFmtId="0" fontId="37" fillId="2" borderId="22" xfId="0" quotePrefix="1" applyFont="1" applyFill="1" applyBorder="1" applyAlignment="1">
      <alignment wrapText="1"/>
    </xf>
    <xf numFmtId="0" fontId="0" fillId="2" borderId="19" xfId="0" applyFill="1" applyBorder="1" applyAlignment="1">
      <alignment horizontal="left"/>
    </xf>
    <xf numFmtId="0" fontId="37" fillId="2" borderId="2" xfId="0" quotePrefix="1" applyFont="1" applyFill="1" applyBorder="1" applyAlignment="1">
      <alignment horizontal="left" wrapText="1"/>
    </xf>
    <xf numFmtId="0" fontId="37" fillId="2" borderId="0" xfId="0" quotePrefix="1" applyFont="1" applyFill="1" applyAlignment="1">
      <alignment horizontal="left" wrapText="1"/>
    </xf>
    <xf numFmtId="0" fontId="0" fillId="2" borderId="1" xfId="0" applyFill="1" applyBorder="1" applyAlignment="1">
      <alignment horizontal="left"/>
    </xf>
    <xf numFmtId="0" fontId="0" fillId="2" borderId="2" xfId="0" applyFill="1" applyBorder="1" applyAlignment="1">
      <alignment horizontal="left"/>
    </xf>
    <xf numFmtId="0" fontId="37" fillId="2" borderId="0" xfId="0" quotePrefix="1" applyFont="1" applyFill="1" applyAlignment="1">
      <alignment horizontal="left"/>
    </xf>
    <xf numFmtId="0" fontId="37" fillId="2" borderId="0" xfId="0" quotePrefix="1" applyFont="1" applyFill="1" applyAlignment="1">
      <alignment horizontal="center"/>
    </xf>
    <xf numFmtId="0" fontId="38" fillId="0" borderId="0" xfId="0" applyFont="1"/>
    <xf numFmtId="0" fontId="0" fillId="2" borderId="2" xfId="0" applyFill="1" applyBorder="1" applyAlignment="1">
      <alignment horizontal="left" wrapText="1"/>
    </xf>
    <xf numFmtId="0" fontId="37" fillId="2" borderId="0" xfId="0" applyFont="1" applyFill="1"/>
    <xf numFmtId="0" fontId="29" fillId="2" borderId="0" xfId="0" applyFont="1" applyFill="1" applyAlignment="1">
      <alignment horizontal="left"/>
    </xf>
    <xf numFmtId="0" fontId="37" fillId="2" borderId="2" xfId="0" quotePrefix="1" applyFont="1" applyFill="1" applyBorder="1" applyAlignment="1">
      <alignment wrapText="1"/>
    </xf>
    <xf numFmtId="0" fontId="37" fillId="2" borderId="0" xfId="0" quotePrefix="1" applyFont="1" applyFill="1" applyAlignment="1">
      <alignment wrapText="1"/>
    </xf>
    <xf numFmtId="0" fontId="37" fillId="2" borderId="0" xfId="0" quotePrefix="1" applyFont="1" applyFill="1"/>
    <xf numFmtId="0" fontId="0" fillId="0" borderId="0" xfId="0" applyAlignment="1">
      <alignment wrapText="1"/>
    </xf>
    <xf numFmtId="0" fontId="37" fillId="2" borderId="0" xfId="0" applyFont="1" applyFill="1" applyAlignment="1">
      <alignment horizontal="left"/>
    </xf>
    <xf numFmtId="0" fontId="37" fillId="0" borderId="0" xfId="0" quotePrefix="1" applyFont="1"/>
    <xf numFmtId="6" fontId="0" fillId="2" borderId="0" xfId="0" applyNumberFormat="1" applyFill="1" applyAlignment="1">
      <alignment horizontal="left"/>
    </xf>
    <xf numFmtId="2" fontId="0" fillId="2" borderId="0" xfId="0" applyNumberFormat="1" applyFill="1" applyAlignment="1">
      <alignment horizontal="left"/>
    </xf>
    <xf numFmtId="0" fontId="0" fillId="2" borderId="17" xfId="0" applyFill="1" applyBorder="1" applyAlignment="1">
      <alignment horizontal="left"/>
    </xf>
    <xf numFmtId="0" fontId="0" fillId="2" borderId="13" xfId="0" applyFill="1" applyBorder="1" applyAlignment="1">
      <alignment horizontal="left"/>
    </xf>
    <xf numFmtId="3" fontId="29" fillId="0" borderId="0" xfId="0" applyNumberFormat="1" applyFont="1"/>
    <xf numFmtId="0" fontId="0" fillId="2" borderId="15" xfId="0" quotePrefix="1" applyFill="1" applyBorder="1"/>
    <xf numFmtId="0" fontId="0" fillId="2" borderId="14" xfId="0" applyFill="1" applyBorder="1" applyAlignment="1">
      <alignment horizontal="left"/>
    </xf>
    <xf numFmtId="3" fontId="8" fillId="0" borderId="0" xfId="1" applyNumberFormat="1" applyFont="1"/>
    <xf numFmtId="3" fontId="0" fillId="2" borderId="12" xfId="0" applyNumberFormat="1" applyFill="1" applyBorder="1" applyAlignment="1">
      <alignment horizontal="center"/>
    </xf>
    <xf numFmtId="0" fontId="0" fillId="2" borderId="32" xfId="0" applyFill="1" applyBorder="1" applyAlignment="1">
      <alignment horizontal="center"/>
    </xf>
    <xf numFmtId="177" fontId="0" fillId="0" borderId="10" xfId="0" applyNumberFormat="1" applyBorder="1" applyAlignment="1">
      <alignment horizontal="center"/>
    </xf>
    <xf numFmtId="177" fontId="0" fillId="0" borderId="9" xfId="0" applyNumberFormat="1" applyBorder="1" applyAlignment="1">
      <alignment horizontal="center"/>
    </xf>
    <xf numFmtId="3" fontId="8" fillId="0" borderId="0" xfId="1" applyNumberFormat="1" applyFont="1" applyAlignment="1">
      <alignment horizontal="center"/>
    </xf>
    <xf numFmtId="0" fontId="0" fillId="2" borderId="23" xfId="0" applyFill="1" applyBorder="1" applyAlignment="1">
      <alignment horizontal="center"/>
    </xf>
    <xf numFmtId="3" fontId="0" fillId="0" borderId="8" xfId="0" applyNumberFormat="1" applyBorder="1" applyAlignment="1">
      <alignment horizontal="center"/>
    </xf>
    <xf numFmtId="3" fontId="0" fillId="0" borderId="5" xfId="1" applyNumberFormat="1" applyFont="1" applyBorder="1" applyAlignment="1">
      <alignment horizontal="center"/>
    </xf>
    <xf numFmtId="2" fontId="29" fillId="2" borderId="0" xfId="0" applyNumberFormat="1" applyFont="1" applyFill="1" applyAlignment="1">
      <alignment horizontal="center"/>
    </xf>
    <xf numFmtId="0" fontId="29" fillId="2" borderId="0" xfId="0" applyFont="1" applyFill="1"/>
    <xf numFmtId="0" fontId="0" fillId="2" borderId="18" xfId="0" applyFill="1" applyBorder="1" applyAlignment="1">
      <alignment horizontal="left"/>
    </xf>
    <xf numFmtId="0" fontId="28" fillId="0" borderId="0" xfId="0" applyFont="1" applyAlignment="1">
      <alignment vertical="top"/>
    </xf>
    <xf numFmtId="0" fontId="0" fillId="0" borderId="0" xfId="0" applyAlignment="1">
      <alignment vertical="top"/>
    </xf>
    <xf numFmtId="2" fontId="0" fillId="0" borderId="0" xfId="0" applyNumberFormat="1" applyAlignment="1">
      <alignment horizontal="center"/>
    </xf>
    <xf numFmtId="165" fontId="0" fillId="0" borderId="3" xfId="0" applyNumberFormat="1" applyBorder="1" applyAlignment="1">
      <alignment horizontal="center"/>
    </xf>
    <xf numFmtId="165" fontId="0" fillId="0" borderId="22" xfId="0" applyNumberFormat="1" applyBorder="1" applyAlignment="1">
      <alignment horizontal="center"/>
    </xf>
    <xf numFmtId="0" fontId="0" fillId="0" borderId="19" xfId="0" applyBorder="1" applyAlignment="1">
      <alignment horizontal="center" vertical="center"/>
    </xf>
    <xf numFmtId="166" fontId="0" fillId="0" borderId="33" xfId="0" quotePrefix="1" applyNumberFormat="1" applyBorder="1" applyAlignment="1">
      <alignment horizontal="center"/>
    </xf>
    <xf numFmtId="166" fontId="0" fillId="0" borderId="34" xfId="1" quotePrefix="1" applyNumberFormat="1" applyFont="1" applyFill="1" applyBorder="1" applyAlignment="1">
      <alignment horizont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5" xfId="0" applyBorder="1" applyAlignment="1">
      <alignment horizontal="center" vertical="center"/>
    </xf>
    <xf numFmtId="1" fontId="0" fillId="0" borderId="5" xfId="0" applyNumberFormat="1"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4" fontId="0" fillId="2" borderId="7" xfId="0" applyNumberFormat="1" applyFill="1" applyBorder="1" applyAlignment="1">
      <alignment horizontal="center"/>
    </xf>
    <xf numFmtId="4" fontId="0" fillId="2" borderId="5" xfId="0" applyNumberFormat="1" applyFill="1" applyBorder="1" applyAlignment="1">
      <alignment horizontal="center"/>
    </xf>
    <xf numFmtId="4" fontId="0" fillId="2" borderId="6" xfId="0" applyNumberFormat="1" applyFill="1" applyBorder="1" applyAlignment="1">
      <alignment horizontal="center"/>
    </xf>
    <xf numFmtId="4" fontId="0" fillId="2" borderId="0" xfId="0" applyNumberFormat="1" applyFill="1" applyAlignment="1">
      <alignment horizontal="center"/>
    </xf>
    <xf numFmtId="0" fontId="0" fillId="2" borderId="26" xfId="0" quotePrefix="1" applyFill="1" applyBorder="1" applyAlignment="1">
      <alignment horizontal="center"/>
    </xf>
    <xf numFmtId="0" fontId="0" fillId="2" borderId="27" xfId="0" quotePrefix="1" applyFill="1" applyBorder="1" applyAlignment="1">
      <alignment horizontal="center"/>
    </xf>
    <xf numFmtId="3" fontId="0" fillId="2" borderId="7" xfId="0" applyNumberFormat="1" applyFill="1" applyBorder="1" applyAlignment="1">
      <alignment horizontal="center"/>
    </xf>
    <xf numFmtId="3" fontId="0" fillId="2" borderId="6" xfId="0" applyNumberFormat="1" applyFill="1" applyBorder="1" applyAlignment="1">
      <alignment horizontal="center"/>
    </xf>
    <xf numFmtId="0" fontId="0" fillId="0" borderId="5" xfId="0" applyBorder="1"/>
    <xf numFmtId="0" fontId="0" fillId="0" borderId="5" xfId="0" quotePrefix="1" applyBorder="1" applyAlignment="1">
      <alignment horizontal="center"/>
    </xf>
    <xf numFmtId="170" fontId="0" fillId="0" borderId="0" xfId="1" applyNumberFormat="1" applyFont="1"/>
    <xf numFmtId="0" fontId="0" fillId="0" borderId="0" xfId="0" applyAlignment="1">
      <alignment vertical="center"/>
    </xf>
    <xf numFmtId="0" fontId="28" fillId="0" borderId="0" xfId="0" applyFont="1" applyAlignment="1">
      <alignment vertical="center"/>
    </xf>
    <xf numFmtId="168" fontId="0" fillId="0" borderId="0" xfId="0" applyNumberFormat="1" applyAlignment="1">
      <alignment horizontal="center" vertical="center"/>
    </xf>
    <xf numFmtId="3" fontId="0" fillId="0" borderId="0" xfId="0" applyNumberFormat="1" applyAlignment="1">
      <alignment horizontal="center" vertical="center"/>
    </xf>
    <xf numFmtId="3" fontId="0" fillId="2" borderId="29" xfId="0" applyNumberFormat="1" applyFill="1" applyBorder="1" applyAlignment="1">
      <alignment horizontal="center"/>
    </xf>
    <xf numFmtId="3" fontId="0" fillId="2" borderId="31" xfId="0" applyNumberFormat="1" applyFill="1" applyBorder="1" applyAlignment="1">
      <alignment horizontal="center"/>
    </xf>
    <xf numFmtId="165" fontId="0" fillId="0" borderId="0" xfId="0" applyNumberFormat="1" applyAlignment="1">
      <alignment horizontal="center" vertical="center"/>
    </xf>
    <xf numFmtId="0" fontId="0" fillId="0" borderId="0" xfId="0" applyAlignment="1">
      <alignment vertical="top" wrapText="1"/>
    </xf>
    <xf numFmtId="0" fontId="41" fillId="0" borderId="0" xfId="0" applyFont="1"/>
    <xf numFmtId="166" fontId="0" fillId="0" borderId="5" xfId="0" quotePrefix="1" applyNumberFormat="1" applyBorder="1" applyAlignment="1">
      <alignment horizontal="center"/>
    </xf>
    <xf numFmtId="166" fontId="0" fillId="0" borderId="5" xfId="1" quotePrefix="1" applyNumberFormat="1" applyFont="1" applyFill="1" applyBorder="1" applyAlignment="1">
      <alignment horizontal="center"/>
    </xf>
    <xf numFmtId="43" fontId="29" fillId="0" borderId="0" xfId="0" applyNumberFormat="1" applyFont="1"/>
    <xf numFmtId="43" fontId="0" fillId="0" borderId="0" xfId="1" applyFont="1"/>
    <xf numFmtId="165" fontId="0" fillId="0" borderId="0" xfId="1" applyNumberFormat="1" applyFont="1" applyAlignment="1">
      <alignment horizontal="center"/>
    </xf>
    <xf numFmtId="166" fontId="0" fillId="0" borderId="5" xfId="0" applyNumberFormat="1" applyBorder="1" applyAlignment="1">
      <alignment horizontal="center"/>
    </xf>
    <xf numFmtId="166" fontId="0" fillId="0" borderId="5" xfId="1" applyNumberFormat="1" applyFont="1" applyBorder="1" applyAlignment="1">
      <alignment horizontal="center"/>
    </xf>
    <xf numFmtId="43" fontId="0" fillId="0" borderId="0" xfId="1" applyFont="1" applyAlignment="1">
      <alignment horizontal="center"/>
    </xf>
    <xf numFmtId="165" fontId="4" fillId="0" borderId="5" xfId="0" applyNumberFormat="1" applyFont="1" applyBorder="1" applyAlignment="1">
      <alignment horizontal="center"/>
    </xf>
    <xf numFmtId="165" fontId="4" fillId="0" borderId="0" xfId="0" applyNumberFormat="1" applyFont="1" applyAlignment="1">
      <alignment horizontal="center"/>
    </xf>
    <xf numFmtId="0" fontId="29" fillId="0" borderId="6" xfId="0" applyFont="1" applyBorder="1" applyAlignment="1">
      <alignment horizontal="center"/>
    </xf>
    <xf numFmtId="43" fontId="0" fillId="0" borderId="0" xfId="0" applyNumberFormat="1" applyAlignment="1">
      <alignment horizontal="center"/>
    </xf>
    <xf numFmtId="166" fontId="0" fillId="0" borderId="0" xfId="1" applyNumberFormat="1" applyFont="1" applyAlignment="1">
      <alignment horizontal="center"/>
    </xf>
    <xf numFmtId="170" fontId="0" fillId="0" borderId="5" xfId="1" applyNumberFormat="1" applyFont="1" applyBorder="1" applyAlignment="1">
      <alignment horizontal="center"/>
    </xf>
    <xf numFmtId="17" fontId="0" fillId="2" borderId="31" xfId="0" applyNumberFormat="1" applyFill="1" applyBorder="1" applyAlignment="1">
      <alignment horizontal="center"/>
    </xf>
    <xf numFmtId="0" fontId="0" fillId="0" borderId="30" xfId="0" applyBorder="1" applyAlignment="1">
      <alignment horizontal="center"/>
    </xf>
    <xf numFmtId="0" fontId="0" fillId="0" borderId="29" xfId="0" applyBorder="1" applyAlignment="1">
      <alignment horizontal="center"/>
    </xf>
    <xf numFmtId="165" fontId="0" fillId="2" borderId="7" xfId="0" applyNumberFormat="1" applyFill="1" applyBorder="1" applyAlignment="1">
      <alignment horizontal="center"/>
    </xf>
    <xf numFmtId="165" fontId="0" fillId="2" borderId="5" xfId="0" applyNumberFormat="1" applyFill="1" applyBorder="1" applyAlignment="1">
      <alignment horizontal="center"/>
    </xf>
    <xf numFmtId="165" fontId="0" fillId="2" borderId="23" xfId="0" applyNumberFormat="1" applyFill="1" applyBorder="1" applyAlignment="1">
      <alignment horizontal="center"/>
    </xf>
    <xf numFmtId="165" fontId="0" fillId="2" borderId="6" xfId="0" applyNumberFormat="1" applyFill="1" applyBorder="1" applyAlignment="1">
      <alignment horizontal="center"/>
    </xf>
    <xf numFmtId="165" fontId="0" fillId="2" borderId="0" xfId="0" applyNumberFormat="1" applyFill="1" applyAlignment="1">
      <alignment horizontal="center"/>
    </xf>
    <xf numFmtId="165" fontId="0" fillId="2" borderId="24" xfId="0" applyNumberFormat="1" applyFill="1" applyBorder="1" applyAlignment="1">
      <alignment horizontal="center"/>
    </xf>
    <xf numFmtId="165" fontId="0" fillId="2" borderId="29" xfId="0" applyNumberFormat="1" applyFill="1" applyBorder="1" applyAlignment="1">
      <alignment horizontal="center"/>
    </xf>
    <xf numFmtId="165" fontId="0" fillId="2" borderId="30" xfId="0" applyNumberFormat="1" applyFill="1" applyBorder="1" applyAlignment="1">
      <alignment horizontal="center"/>
    </xf>
    <xf numFmtId="165" fontId="0" fillId="2" borderId="31" xfId="0" applyNumberFormat="1" applyFill="1" applyBorder="1" applyAlignment="1">
      <alignment horizontal="center"/>
    </xf>
    <xf numFmtId="0" fontId="0" fillId="2" borderId="31" xfId="0" quotePrefix="1" applyFill="1" applyBorder="1" applyAlignment="1">
      <alignment horizontal="center"/>
    </xf>
    <xf numFmtId="0" fontId="29" fillId="0" borderId="0" xfId="0" applyFont="1" applyAlignment="1">
      <alignment horizontal="left"/>
    </xf>
    <xf numFmtId="177" fontId="0" fillId="0" borderId="0" xfId="0" applyNumberFormat="1" applyAlignment="1">
      <alignment horizontal="center"/>
    </xf>
    <xf numFmtId="3" fontId="0" fillId="0" borderId="6" xfId="0" applyNumberFormat="1" applyBorder="1" applyAlignment="1">
      <alignment horizontal="center"/>
    </xf>
    <xf numFmtId="170" fontId="0" fillId="0" borderId="0" xfId="1" applyNumberFormat="1" applyFont="1" applyAlignment="1">
      <alignment horizontal="center"/>
    </xf>
    <xf numFmtId="0" fontId="29" fillId="0" borderId="0" xfId="0" applyFont="1" applyAlignment="1">
      <alignment horizontal="center"/>
    </xf>
    <xf numFmtId="0" fontId="43" fillId="0" borderId="0" xfId="0" applyFont="1"/>
    <xf numFmtId="0" fontId="4" fillId="0" borderId="0" xfId="0" applyFont="1"/>
    <xf numFmtId="3" fontId="0" fillId="0" borderId="6" xfId="0" applyNumberFormat="1" applyBorder="1" applyAlignment="1">
      <alignment horizontal="center" vertical="center"/>
    </xf>
    <xf numFmtId="165" fontId="0" fillId="0" borderId="16" xfId="0" quotePrefix="1" applyNumberFormat="1" applyBorder="1" applyAlignment="1">
      <alignment horizontal="center"/>
    </xf>
    <xf numFmtId="4" fontId="0" fillId="0" borderId="3" xfId="0" applyNumberFormat="1" applyBorder="1" applyAlignment="1">
      <alignment horizontal="center"/>
    </xf>
    <xf numFmtId="0" fontId="0" fillId="0" borderId="19" xfId="0" applyBorder="1" applyAlignment="1">
      <alignment horizontal="center"/>
    </xf>
    <xf numFmtId="0" fontId="0" fillId="0" borderId="0" xfId="0" quotePrefix="1"/>
    <xf numFmtId="4" fontId="0" fillId="0" borderId="17" xfId="0" applyNumberFormat="1" applyBorder="1" applyAlignment="1">
      <alignment horizontal="center"/>
    </xf>
    <xf numFmtId="0" fontId="0" fillId="0" borderId="18" xfId="0" applyBorder="1" applyAlignment="1">
      <alignment horizontal="center"/>
    </xf>
    <xf numFmtId="3" fontId="0" fillId="0" borderId="0" xfId="0" quotePrefix="1" applyNumberFormat="1" applyAlignment="1">
      <alignment horizontal="left"/>
    </xf>
    <xf numFmtId="4" fontId="0" fillId="0" borderId="0" xfId="0" applyNumberFormat="1"/>
    <xf numFmtId="0" fontId="0" fillId="2" borderId="24" xfId="0" applyFill="1" applyBorder="1" applyAlignment="1">
      <alignment horizontal="center"/>
    </xf>
    <xf numFmtId="0" fontId="0" fillId="0" borderId="0" xfId="0" quotePrefix="1" applyAlignment="1">
      <alignment horizontal="center"/>
    </xf>
    <xf numFmtId="3" fontId="0" fillId="2" borderId="30" xfId="0" applyNumberFormat="1" applyFill="1" applyBorder="1" applyAlignment="1">
      <alignment horizontal="center"/>
    </xf>
    <xf numFmtId="3" fontId="0" fillId="0" borderId="16" xfId="0" applyNumberFormat="1" applyBorder="1" applyAlignment="1">
      <alignment horizontal="center"/>
    </xf>
    <xf numFmtId="176" fontId="0" fillId="0" borderId="0" xfId="0" applyNumberFormat="1" applyAlignment="1">
      <alignment horizontal="center"/>
    </xf>
    <xf numFmtId="176" fontId="0" fillId="0" borderId="0" xfId="0" quotePrefix="1" applyNumberFormat="1" applyAlignment="1">
      <alignment horizontal="center"/>
    </xf>
    <xf numFmtId="176" fontId="0" fillId="2" borderId="7" xfId="0" applyNumberFormat="1" applyFill="1" applyBorder="1" applyAlignment="1">
      <alignment horizontal="center"/>
    </xf>
    <xf numFmtId="176" fontId="0" fillId="2" borderId="5" xfId="0" applyNumberFormat="1" applyFill="1" applyBorder="1" applyAlignment="1">
      <alignment horizontal="center"/>
    </xf>
    <xf numFmtId="176" fontId="0" fillId="2" borderId="6" xfId="0" applyNumberFormat="1" applyFill="1" applyBorder="1" applyAlignment="1">
      <alignment horizontal="center"/>
    </xf>
    <xf numFmtId="176" fontId="0" fillId="2" borderId="0" xfId="0" applyNumberFormat="1" applyFill="1" applyAlignment="1">
      <alignment horizontal="center"/>
    </xf>
    <xf numFmtId="165" fontId="0" fillId="0" borderId="0" xfId="0" quotePrefix="1" applyNumberFormat="1" applyAlignment="1">
      <alignment horizontal="center"/>
    </xf>
    <xf numFmtId="165" fontId="4" fillId="0" borderId="0" xfId="0" applyNumberFormat="1" applyFont="1"/>
    <xf numFmtId="9" fontId="0" fillId="2" borderId="0" xfId="0" applyNumberFormat="1" applyFill="1" applyAlignment="1">
      <alignment horizontal="left"/>
    </xf>
    <xf numFmtId="0" fontId="14" fillId="0" borderId="29" xfId="0" applyFont="1" applyBorder="1" applyAlignment="1">
      <alignment horizontal="center" vertical="center" wrapText="1"/>
    </xf>
    <xf numFmtId="0" fontId="0" fillId="2" borderId="3" xfId="0" applyFill="1" applyBorder="1"/>
    <xf numFmtId="0" fontId="0" fillId="2" borderId="22" xfId="0" applyFill="1" applyBorder="1"/>
    <xf numFmtId="0" fontId="0" fillId="2" borderId="22" xfId="0" quotePrefix="1" applyFill="1" applyBorder="1"/>
    <xf numFmtId="4" fontId="0" fillId="2" borderId="0" xfId="0" applyNumberFormat="1" applyFill="1" applyAlignment="1">
      <alignment horizontal="left"/>
    </xf>
    <xf numFmtId="0" fontId="2" fillId="2" borderId="0" xfId="0" applyFont="1" applyFill="1"/>
    <xf numFmtId="0" fontId="5" fillId="0" borderId="0" xfId="5" applyAlignment="1">
      <alignment horizontal="left" vertical="top" wrapText="1"/>
    </xf>
    <xf numFmtId="0" fontId="5" fillId="0" borderId="0" xfId="5" applyAlignment="1">
      <alignment horizontal="left" vertical="top"/>
    </xf>
    <xf numFmtId="0" fontId="3" fillId="0" borderId="0" xfId="5" applyFont="1" applyAlignment="1">
      <alignment horizontal="left" vertical="top" wrapText="1"/>
    </xf>
    <xf numFmtId="0" fontId="7" fillId="0" borderId="0" xfId="0" applyFont="1" applyAlignment="1">
      <alignment horizontal="left" wrapText="1"/>
    </xf>
    <xf numFmtId="0" fontId="15" fillId="2" borderId="0" xfId="0" applyFont="1" applyFill="1" applyAlignment="1">
      <alignment horizontal="center"/>
    </xf>
    <xf numFmtId="0" fontId="16" fillId="2" borderId="14" xfId="0" applyFont="1" applyFill="1" applyBorder="1" applyAlignment="1">
      <alignment horizontal="left"/>
    </xf>
    <xf numFmtId="0" fontId="16" fillId="2" borderId="15" xfId="0" applyFont="1" applyFill="1" applyBorder="1" applyAlignment="1">
      <alignment horizontal="left"/>
    </xf>
    <xf numFmtId="0" fontId="16" fillId="2" borderId="16" xfId="0" applyFont="1" applyFill="1" applyBorder="1" applyAlignment="1">
      <alignment horizontal="left"/>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7" fillId="0" borderId="0" xfId="0" applyFont="1" applyAlignment="1">
      <alignment horizontal="center" wrapText="1"/>
    </xf>
    <xf numFmtId="0" fontId="7" fillId="0" borderId="5" xfId="0" applyFont="1" applyBorder="1" applyAlignment="1">
      <alignment horizontal="center" wrapText="1"/>
    </xf>
    <xf numFmtId="0" fontId="6" fillId="0" borderId="0" xfId="0" applyFont="1" applyAlignment="1">
      <alignment horizontal="left" wrapText="1"/>
    </xf>
    <xf numFmtId="0" fontId="7" fillId="0" borderId="0" xfId="0" applyFont="1" applyAlignment="1">
      <alignment horizontal="left" vertical="center" wrapText="1"/>
    </xf>
    <xf numFmtId="0" fontId="3" fillId="0" borderId="0" xfId="0" applyFont="1" applyAlignment="1">
      <alignment horizontal="left" wrapText="1"/>
    </xf>
    <xf numFmtId="0" fontId="14" fillId="2" borderId="6" xfId="0" applyFont="1" applyFill="1" applyBorder="1" applyAlignment="1">
      <alignment horizontal="center" wrapText="1"/>
    </xf>
    <xf numFmtId="0" fontId="14" fillId="2" borderId="7" xfId="0" applyFont="1" applyFill="1" applyBorder="1" applyAlignment="1">
      <alignment horizontal="center" wrapText="1"/>
    </xf>
    <xf numFmtId="0" fontId="6" fillId="0" borderId="0" xfId="0" applyFont="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7" fillId="2" borderId="0" xfId="0" applyFont="1" applyFill="1" applyAlignment="1">
      <alignment horizontal="left" vertical="top" wrapText="1"/>
    </xf>
    <xf numFmtId="0" fontId="14" fillId="0" borderId="6" xfId="0" applyFont="1" applyBorder="1" applyAlignment="1">
      <alignment horizontal="center" vertical="center" wrapText="1"/>
    </xf>
    <xf numFmtId="0" fontId="6" fillId="0" borderId="0" xfId="0" applyFont="1" applyAlignment="1">
      <alignment horizontal="left" vertical="center" wrapText="1"/>
    </xf>
    <xf numFmtId="0" fontId="0" fillId="2" borderId="28" xfId="0" applyFill="1" applyBorder="1" applyAlignment="1">
      <alignment horizontal="center"/>
    </xf>
    <xf numFmtId="0" fontId="0" fillId="2" borderId="27" xfId="0" applyFill="1" applyBorder="1" applyAlignment="1">
      <alignment horizontal="center"/>
    </xf>
    <xf numFmtId="0" fontId="0" fillId="2" borderId="26" xfId="0" applyFill="1" applyBorder="1" applyAlignment="1">
      <alignment horizontal="center"/>
    </xf>
    <xf numFmtId="0" fontId="15" fillId="0" borderId="0" xfId="0" applyFont="1" applyAlignment="1">
      <alignment horizontal="center"/>
    </xf>
    <xf numFmtId="0" fontId="0" fillId="2" borderId="25" xfId="0" applyFill="1" applyBorder="1" applyAlignment="1">
      <alignment horizontal="center"/>
    </xf>
    <xf numFmtId="0" fontId="0" fillId="2" borderId="12" xfId="0" applyFill="1" applyBorder="1" applyAlignment="1">
      <alignment horizontal="center"/>
    </xf>
    <xf numFmtId="0" fontId="0" fillId="0" borderId="0" xfId="0" applyAlignment="1">
      <alignment horizontal="left" vertical="top" wrapText="1"/>
    </xf>
    <xf numFmtId="0" fontId="0" fillId="0" borderId="0" xfId="0" applyAlignment="1">
      <alignment horizontal="left" wrapText="1"/>
    </xf>
    <xf numFmtId="0" fontId="0" fillId="2" borderId="31" xfId="0" applyFill="1" applyBorder="1" applyAlignment="1">
      <alignment horizontal="center"/>
    </xf>
    <xf numFmtId="0" fontId="0" fillId="2" borderId="30" xfId="0" applyFill="1" applyBorder="1" applyAlignment="1">
      <alignment horizontal="center"/>
    </xf>
    <xf numFmtId="0" fontId="0" fillId="2" borderId="29" xfId="0" applyFill="1" applyBorder="1" applyAlignment="1">
      <alignment horizontal="center"/>
    </xf>
    <xf numFmtId="0" fontId="0" fillId="2" borderId="0" xfId="0" applyFill="1" applyAlignment="1">
      <alignment horizontal="left" wrapText="1"/>
    </xf>
    <xf numFmtId="0" fontId="0" fillId="0" borderId="18" xfId="0" applyBorder="1" applyAlignment="1">
      <alignment horizontal="left" wrapText="1"/>
    </xf>
    <xf numFmtId="0" fontId="0" fillId="0" borderId="13" xfId="0" applyBorder="1" applyAlignment="1">
      <alignment horizontal="left" wrapText="1"/>
    </xf>
    <xf numFmtId="0" fontId="0" fillId="0" borderId="17" xfId="0" applyBorder="1" applyAlignment="1">
      <alignment horizontal="left" wrapText="1"/>
    </xf>
    <xf numFmtId="0" fontId="0" fillId="0" borderId="19" xfId="0" applyBorder="1" applyAlignment="1">
      <alignment horizontal="left" wrapText="1"/>
    </xf>
    <xf numFmtId="0" fontId="0" fillId="0" borderId="22" xfId="0" applyBorder="1" applyAlignment="1">
      <alignment horizontal="left" wrapText="1"/>
    </xf>
    <xf numFmtId="0" fontId="0" fillId="0" borderId="3" xfId="0" applyBorder="1" applyAlignment="1">
      <alignment horizontal="left" wrapText="1"/>
    </xf>
    <xf numFmtId="0" fontId="0" fillId="2" borderId="32" xfId="0" applyFill="1" applyBorder="1" applyAlignment="1">
      <alignment horizontal="center"/>
    </xf>
    <xf numFmtId="0" fontId="29" fillId="0" borderId="0" xfId="0" applyFont="1" applyAlignment="1">
      <alignment horizontal="left" wrapText="1"/>
    </xf>
    <xf numFmtId="0" fontId="0" fillId="0" borderId="0" xfId="0" applyAlignment="1">
      <alignment horizontal="left" vertical="center" wrapText="1"/>
    </xf>
    <xf numFmtId="0" fontId="39" fillId="0" borderId="0" xfId="0" applyFont="1" applyAlignment="1">
      <alignment horizontal="left" vertical="top" wrapText="1"/>
    </xf>
    <xf numFmtId="3" fontId="0" fillId="0" borderId="0" xfId="0" applyNumberFormat="1" applyAlignment="1">
      <alignment horizontal="left" vertical="top" wrapText="1"/>
    </xf>
    <xf numFmtId="0" fontId="30" fillId="0" borderId="0" xfId="0" applyFont="1" applyAlignment="1">
      <alignment horizontal="center"/>
    </xf>
    <xf numFmtId="0" fontId="0" fillId="0" borderId="0" xfId="0" applyAlignment="1">
      <alignment horizontal="center" wrapText="1"/>
    </xf>
    <xf numFmtId="0" fontId="0" fillId="0" borderId="5" xfId="0" applyBorder="1" applyAlignment="1">
      <alignment horizontal="center" wrapText="1"/>
    </xf>
    <xf numFmtId="0" fontId="34" fillId="0" borderId="0" xfId="0" applyFont="1" applyAlignment="1">
      <alignment horizontal="left" vertical="top"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2" borderId="25" xfId="0" applyFill="1" applyBorder="1" applyAlignment="1">
      <alignment horizontal="center" wrapText="1"/>
    </xf>
    <xf numFmtId="0" fontId="0" fillId="2" borderId="12" xfId="0" applyFill="1" applyBorder="1" applyAlignment="1">
      <alignment horizontal="center" wrapText="1"/>
    </xf>
    <xf numFmtId="0" fontId="39" fillId="0" borderId="0" xfId="0" applyFont="1" applyAlignment="1">
      <alignment horizontal="left" wrapText="1"/>
    </xf>
    <xf numFmtId="0" fontId="37" fillId="2" borderId="0" xfId="0" quotePrefix="1" applyFont="1" applyFill="1" applyAlignment="1">
      <alignment horizontal="left" wrapText="1"/>
    </xf>
    <xf numFmtId="0" fontId="0" fillId="0" borderId="0" xfId="0" quotePrefix="1" applyAlignment="1">
      <alignment horizontal="left" wrapText="1"/>
    </xf>
  </cellXfs>
  <cellStyles count="7">
    <cellStyle name="Comma" xfId="1" builtinId="3"/>
    <cellStyle name="Hyperlink 2" xfId="6" xr:uid="{9A5D646B-92A7-4445-BA36-F3860EC89240}"/>
    <cellStyle name="Input" xfId="3" builtinId="20"/>
    <cellStyle name="Normal" xfId="0" builtinId="0"/>
    <cellStyle name="Normal 2 2" xfId="4" xr:uid="{2AFC7FAC-BA66-294E-B1B8-F7E7FDC7217E}"/>
    <cellStyle name="Normal 4" xfId="5" xr:uid="{244A8A85-ADF2-E84D-B8B9-413F65985E5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600"/>
            </a:pPr>
            <a:r>
              <a:rPr lang="en-US" sz="1600"/>
              <a:t>Loss at 24mo vs 12mo</a:t>
            </a:r>
          </a:p>
        </c:rich>
      </c:tx>
      <c:layout>
        <c:manualLayout>
          <c:xMode val="edge"/>
          <c:yMode val="edge"/>
          <c:x val="0.244754039891355"/>
          <c:y val="3.5675138379979703E-2"/>
        </c:manualLayout>
      </c:layout>
      <c:overlay val="0"/>
    </c:title>
    <c:autoTitleDeleted val="0"/>
    <c:plotArea>
      <c:layout>
        <c:manualLayout>
          <c:layoutTarget val="inner"/>
          <c:xMode val="edge"/>
          <c:yMode val="edge"/>
          <c:x val="0.23443262411347501"/>
          <c:y val="0.146674998958464"/>
          <c:w val="0.66402974628171496"/>
          <c:h val="0.67342686037484756"/>
        </c:manualLayout>
      </c:layout>
      <c:scatterChart>
        <c:scatterStyle val="smoothMarker"/>
        <c:varyColors val="0"/>
        <c:ser>
          <c:idx val="1"/>
          <c:order val="1"/>
          <c:marker>
            <c:symbol val="none"/>
          </c:marker>
          <c:xVal>
            <c:numRef>
              <c:f>'Q #1'!$R$18:$R$19</c:f>
            </c:numRef>
          </c:xVal>
          <c:yVal>
            <c:numRef>
              <c:f>'Q #1'!$S$18:$S$19</c:f>
            </c:numRef>
          </c:yVal>
          <c:smooth val="1"/>
          <c:extLst>
            <c:ext xmlns:c16="http://schemas.microsoft.com/office/drawing/2014/chart" uri="{C3380CC4-5D6E-409C-BE32-E72D297353CC}">
              <c16:uniqueId val="{00000000-1AF7-C749-A5D2-FE37471B2AB5}"/>
            </c:ext>
          </c:extLst>
        </c:ser>
        <c:dLbls>
          <c:showLegendKey val="0"/>
          <c:showVal val="0"/>
          <c:showCatName val="0"/>
          <c:showSerName val="0"/>
          <c:showPercent val="0"/>
          <c:showBubbleSize val="0"/>
        </c:dLbls>
        <c:axId val="-2069666328"/>
        <c:axId val="-2068942440"/>
      </c:scatterChart>
      <c:scatterChart>
        <c:scatterStyle val="lineMarker"/>
        <c:varyColors val="0"/>
        <c:ser>
          <c:idx val="0"/>
          <c:order val="0"/>
          <c:spPr>
            <a:ln w="31750">
              <a:noFill/>
            </a:ln>
          </c:spPr>
          <c:marker>
            <c:symbol val="diamond"/>
            <c:size val="7"/>
            <c:spPr>
              <a:solidFill>
                <a:schemeClr val="tx1"/>
              </a:solidFill>
              <a:ln cmpd="sng">
                <a:solidFill>
                  <a:schemeClr val="tx1"/>
                </a:solidFill>
              </a:ln>
              <a:effectLst/>
            </c:spPr>
          </c:marker>
          <c:xVal>
            <c:numRef>
              <c:f>'Q #1'!$D$8:$D$13</c:f>
              <c:numCache>
                <c:formatCode>#,##0</c:formatCode>
                <c:ptCount val="6"/>
                <c:pt idx="0">
                  <c:v>8240</c:v>
                </c:pt>
                <c:pt idx="1">
                  <c:v>7360</c:v>
                </c:pt>
                <c:pt idx="2">
                  <c:v>5040</c:v>
                </c:pt>
                <c:pt idx="3">
                  <c:v>9980</c:v>
                </c:pt>
                <c:pt idx="4">
                  <c:v>7480</c:v>
                </c:pt>
                <c:pt idx="5">
                  <c:v>10190</c:v>
                </c:pt>
              </c:numCache>
            </c:numRef>
          </c:xVal>
          <c:yVal>
            <c:numRef>
              <c:f>'Q #1'!$E$8:$E$13</c:f>
              <c:numCache>
                <c:formatCode>#,##0</c:formatCode>
                <c:ptCount val="6"/>
                <c:pt idx="0">
                  <c:v>10700</c:v>
                </c:pt>
                <c:pt idx="1">
                  <c:v>8830</c:v>
                </c:pt>
                <c:pt idx="2">
                  <c:v>9140</c:v>
                </c:pt>
                <c:pt idx="3">
                  <c:v>13470</c:v>
                </c:pt>
                <c:pt idx="4">
                  <c:v>8080</c:v>
                </c:pt>
                <c:pt idx="5">
                  <c:v>11210</c:v>
                </c:pt>
              </c:numCache>
            </c:numRef>
          </c:yVal>
          <c:smooth val="1"/>
          <c:extLst>
            <c:ext xmlns:c16="http://schemas.microsoft.com/office/drawing/2014/chart" uri="{C3380CC4-5D6E-409C-BE32-E72D297353CC}">
              <c16:uniqueId val="{00000001-1AF7-C749-A5D2-FE37471B2AB5}"/>
            </c:ext>
          </c:extLst>
        </c:ser>
        <c:dLbls>
          <c:showLegendKey val="0"/>
          <c:showVal val="0"/>
          <c:showCatName val="0"/>
          <c:showSerName val="0"/>
          <c:showPercent val="0"/>
          <c:showBubbleSize val="0"/>
        </c:dLbls>
        <c:axId val="-2069666328"/>
        <c:axId val="-2068942440"/>
      </c:scatterChart>
      <c:valAx>
        <c:axId val="-2069666328"/>
        <c:scaling>
          <c:orientation val="minMax"/>
          <c:max val="15000"/>
          <c:min val="0"/>
        </c:scaling>
        <c:delete val="0"/>
        <c:axPos val="b"/>
        <c:title>
          <c:tx>
            <c:rich>
              <a:bodyPr/>
              <a:lstStyle/>
              <a:p>
                <a:pPr>
                  <a:defRPr/>
                </a:pPr>
                <a:r>
                  <a:rPr lang="en-US"/>
                  <a:t>Loss at 12 Months</a:t>
                </a:r>
              </a:p>
            </c:rich>
          </c:tx>
          <c:layout>
            <c:manualLayout>
              <c:xMode val="edge"/>
              <c:yMode val="edge"/>
              <c:x val="0.42490562349918998"/>
              <c:y val="0.91396408782235505"/>
            </c:manualLayout>
          </c:layout>
          <c:overlay val="0"/>
        </c:title>
        <c:numFmt formatCode="_(* #,##0_);_(* \(#,##0\);_(* &quot;-&quot;???_);_(@_)" sourceLinked="1"/>
        <c:majorTickMark val="cross"/>
        <c:minorTickMark val="none"/>
        <c:tickLblPos val="low"/>
        <c:spPr>
          <a:ln>
            <a:solidFill>
              <a:schemeClr val="tx1"/>
            </a:solidFill>
          </a:ln>
        </c:spPr>
        <c:crossAx val="-2068942440"/>
        <c:crosses val="autoZero"/>
        <c:crossBetween val="midCat"/>
      </c:valAx>
      <c:valAx>
        <c:axId val="-2068942440"/>
        <c:scaling>
          <c:orientation val="minMax"/>
          <c:max val="15000"/>
          <c:min val="0"/>
        </c:scaling>
        <c:delete val="0"/>
        <c:axPos val="l"/>
        <c:title>
          <c:tx>
            <c:rich>
              <a:bodyPr rot="-5400000" vert="horz"/>
              <a:lstStyle/>
              <a:p>
                <a:pPr>
                  <a:defRPr/>
                </a:pPr>
                <a:r>
                  <a:rPr lang="en-US"/>
                  <a:t>Loss at  24 Months</a:t>
                </a:r>
              </a:p>
            </c:rich>
          </c:tx>
          <c:layout>
            <c:manualLayout>
              <c:xMode val="edge"/>
              <c:yMode val="edge"/>
              <c:x val="1.8657576339542924E-2"/>
              <c:y val="0.25457388756637978"/>
            </c:manualLayout>
          </c:layout>
          <c:overlay val="0"/>
        </c:title>
        <c:numFmt formatCode="_(* #,##0_);_(* \(#,##0\);_(* &quot;-&quot;???_);_(@_)" sourceLinked="1"/>
        <c:majorTickMark val="cross"/>
        <c:minorTickMark val="none"/>
        <c:tickLblPos val="nextTo"/>
        <c:spPr>
          <a:ln>
            <a:solidFill>
              <a:schemeClr val="tx1"/>
            </a:solidFill>
          </a:ln>
        </c:spPr>
        <c:crossAx val="-2069666328"/>
        <c:crosses val="autoZero"/>
        <c:crossBetween val="midCat"/>
      </c:valAx>
    </c:plotArea>
    <c:plotVisOnly val="1"/>
    <c:dispBlanksAs val="zero"/>
    <c:showDLblsOverMax val="1"/>
  </c:chart>
  <c:spPr>
    <a:ln>
      <a:noFill/>
    </a:ln>
  </c:spPr>
  <c:txPr>
    <a:bodyPr/>
    <a:lstStyle/>
    <a:p>
      <a:pPr>
        <a:defRPr sz="1200">
          <a:latin typeface="Calibri" panose="020F0502020204030204" pitchFamily="34" charset="0"/>
          <a:cs typeface="Calibri" panose="020F0502020204030204" pitchFamily="34" charset="0"/>
        </a:defRPr>
      </a:pPr>
      <a:endParaRPr lang="en-US"/>
    </a:p>
  </c:tx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600"/>
            </a:pPr>
            <a:r>
              <a:rPr lang="en-US" sz="1600"/>
              <a:t>Residual Plot</a:t>
            </a:r>
          </a:p>
        </c:rich>
      </c:tx>
      <c:layout>
        <c:manualLayout>
          <c:xMode val="edge"/>
          <c:yMode val="edge"/>
          <c:x val="0.36776086322543"/>
          <c:y val="1.0928961748633901E-2"/>
        </c:manualLayout>
      </c:layout>
      <c:overlay val="0"/>
    </c:title>
    <c:autoTitleDeleted val="0"/>
    <c:plotArea>
      <c:layout>
        <c:manualLayout>
          <c:layoutTarget val="inner"/>
          <c:xMode val="edge"/>
          <c:yMode val="edge"/>
          <c:x val="0.22332137649460501"/>
          <c:y val="0.119495288498774"/>
          <c:w val="0.67884456109652902"/>
          <c:h val="0.69220626833410503"/>
        </c:manualLayout>
      </c:layout>
      <c:scatterChart>
        <c:scatterStyle val="lineMarker"/>
        <c:varyColors val="0"/>
        <c:ser>
          <c:idx val="0"/>
          <c:order val="0"/>
          <c:marker>
            <c:symbol val="diamond"/>
            <c:size val="7"/>
            <c:spPr>
              <a:solidFill>
                <a:schemeClr val="tx1"/>
              </a:solidFill>
              <a:ln cmpd="sng">
                <a:noFill/>
              </a:ln>
              <a:effectLst/>
            </c:spPr>
          </c:marker>
          <c:xVal>
            <c:numRef>
              <c:f>'Q #1'!$S$33:$S$38</c:f>
            </c:numRef>
          </c:xVal>
          <c:yVal>
            <c:numRef>
              <c:f>'Q #1'!$T$33:$T$38</c:f>
            </c:numRef>
          </c:yVal>
          <c:smooth val="0"/>
          <c:extLst>
            <c:ext xmlns:c16="http://schemas.microsoft.com/office/drawing/2014/chart" uri="{C3380CC4-5D6E-409C-BE32-E72D297353CC}">
              <c16:uniqueId val="{00000000-1F26-2D41-910F-FD5274C937B7}"/>
            </c:ext>
          </c:extLst>
        </c:ser>
        <c:dLbls>
          <c:showLegendKey val="0"/>
          <c:showVal val="0"/>
          <c:showCatName val="0"/>
          <c:showSerName val="0"/>
          <c:showPercent val="0"/>
          <c:showBubbleSize val="0"/>
        </c:dLbls>
        <c:axId val="-2069028264"/>
        <c:axId val="-2069598872"/>
      </c:scatterChart>
      <c:valAx>
        <c:axId val="-2069028264"/>
        <c:scaling>
          <c:orientation val="minMax"/>
          <c:min val="0"/>
        </c:scaling>
        <c:delete val="0"/>
        <c:axPos val="b"/>
        <c:title>
          <c:tx>
            <c:rich>
              <a:bodyPr/>
              <a:lstStyle/>
              <a:p>
                <a:pPr>
                  <a:defRPr/>
                </a:pPr>
                <a:r>
                  <a:rPr lang="en-US"/>
                  <a:t>Loss at 12 Months</a:t>
                </a:r>
              </a:p>
            </c:rich>
          </c:tx>
          <c:layout>
            <c:manualLayout>
              <c:xMode val="edge"/>
              <c:yMode val="edge"/>
              <c:x val="0.437184626397225"/>
              <c:y val="0.91649992280376702"/>
            </c:manualLayout>
          </c:layout>
          <c:overlay val="0"/>
        </c:title>
        <c:numFmt formatCode="#,##0" sourceLinked="1"/>
        <c:majorTickMark val="cross"/>
        <c:minorTickMark val="none"/>
        <c:tickLblPos val="low"/>
        <c:spPr>
          <a:ln>
            <a:solidFill>
              <a:schemeClr val="tx1"/>
            </a:solidFill>
          </a:ln>
        </c:spPr>
        <c:crossAx val="-2069598872"/>
        <c:crosses val="autoZero"/>
        <c:crossBetween val="midCat"/>
      </c:valAx>
      <c:valAx>
        <c:axId val="-2069598872"/>
        <c:scaling>
          <c:orientation val="minMax"/>
        </c:scaling>
        <c:delete val="0"/>
        <c:axPos val="l"/>
        <c:title>
          <c:tx>
            <c:rich>
              <a:bodyPr rot="-5400000" vert="horz"/>
              <a:lstStyle/>
              <a:p>
                <a:pPr>
                  <a:defRPr/>
                </a:pPr>
                <a:r>
                  <a:rPr lang="en-US"/>
                  <a:t>Weighted Residual</a:t>
                </a:r>
              </a:p>
            </c:rich>
          </c:tx>
          <c:layout>
            <c:manualLayout>
              <c:xMode val="edge"/>
              <c:yMode val="edge"/>
              <c:x val="2.5983085447652401E-2"/>
              <c:y val="0.186075039800353"/>
            </c:manualLayout>
          </c:layout>
          <c:overlay val="0"/>
        </c:title>
        <c:numFmt formatCode="0.0" sourceLinked="1"/>
        <c:majorTickMark val="cross"/>
        <c:minorTickMark val="none"/>
        <c:tickLblPos val="nextTo"/>
        <c:spPr>
          <a:ln>
            <a:solidFill>
              <a:schemeClr val="tx1"/>
            </a:solidFill>
          </a:ln>
        </c:spPr>
        <c:crossAx val="-2069028264"/>
        <c:crosses val="autoZero"/>
        <c:crossBetween val="midCat"/>
      </c:valAx>
    </c:plotArea>
    <c:plotVisOnly val="1"/>
    <c:dispBlanksAs val="zero"/>
    <c:showDLblsOverMax val="1"/>
  </c:chart>
  <c:spPr>
    <a:ln>
      <a:noFill/>
    </a:ln>
  </c:spPr>
  <c:txPr>
    <a:bodyPr/>
    <a:lstStyle/>
    <a:p>
      <a:pPr>
        <a:defRPr sz="1200">
          <a:latin typeface="Calibri" panose="020F0502020204030204" pitchFamily="34" charset="0"/>
          <a:cs typeface="Calibri" panose="020F0502020204030204" pitchFamily="34" charset="0"/>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600"/>
            </a:pPr>
            <a:r>
              <a:rPr lang="en-US" sz="1600"/>
              <a:t>Residual Plot</a:t>
            </a:r>
          </a:p>
        </c:rich>
      </c:tx>
      <c:layout>
        <c:manualLayout>
          <c:xMode val="edge"/>
          <c:yMode val="edge"/>
          <c:x val="0.36776086322543"/>
          <c:y val="1.0928961748633901E-2"/>
        </c:manualLayout>
      </c:layout>
      <c:overlay val="0"/>
    </c:title>
    <c:autoTitleDeleted val="0"/>
    <c:plotArea>
      <c:layout>
        <c:manualLayout>
          <c:layoutTarget val="inner"/>
          <c:xMode val="edge"/>
          <c:yMode val="edge"/>
          <c:x val="0.23386764832479531"/>
          <c:y val="0.119495288498774"/>
          <c:w val="0.66829842694987052"/>
          <c:h val="0.69220626833410503"/>
        </c:manualLayout>
      </c:layout>
      <c:scatterChart>
        <c:scatterStyle val="lineMarker"/>
        <c:varyColors val="0"/>
        <c:ser>
          <c:idx val="0"/>
          <c:order val="0"/>
          <c:marker>
            <c:symbol val="diamond"/>
            <c:size val="7"/>
            <c:spPr>
              <a:solidFill>
                <a:schemeClr val="tx1"/>
              </a:solidFill>
              <a:ln cmpd="sng">
                <a:noFill/>
              </a:ln>
              <a:effectLst/>
            </c:spPr>
          </c:marker>
          <c:xVal>
            <c:numRef>
              <c:f>'Q #7'!$Q$6:$Q$9</c:f>
            </c:numRef>
          </c:xVal>
          <c:yVal>
            <c:numRef>
              <c:f>'Q #7'!$R$6:$R$9</c:f>
            </c:numRef>
          </c:yVal>
          <c:smooth val="0"/>
          <c:extLst>
            <c:ext xmlns:c16="http://schemas.microsoft.com/office/drawing/2014/chart" uri="{C3380CC4-5D6E-409C-BE32-E72D297353CC}">
              <c16:uniqueId val="{00000000-6C5C-9E47-9DDE-4095533CD1BB}"/>
            </c:ext>
          </c:extLst>
        </c:ser>
        <c:dLbls>
          <c:showLegendKey val="0"/>
          <c:showVal val="0"/>
          <c:showCatName val="0"/>
          <c:showSerName val="0"/>
          <c:showPercent val="0"/>
          <c:showBubbleSize val="0"/>
        </c:dLbls>
        <c:axId val="-2069028264"/>
        <c:axId val="-2069598872"/>
      </c:scatterChart>
      <c:valAx>
        <c:axId val="-2069028264"/>
        <c:scaling>
          <c:orientation val="minMax"/>
          <c:min val="0"/>
        </c:scaling>
        <c:delete val="0"/>
        <c:axPos val="b"/>
        <c:title>
          <c:tx>
            <c:rich>
              <a:bodyPr/>
              <a:lstStyle/>
              <a:p>
                <a:pPr>
                  <a:defRPr/>
                </a:pPr>
                <a:r>
                  <a:rPr lang="en-US"/>
                  <a:t>Loss at 12 Months</a:t>
                </a:r>
              </a:p>
            </c:rich>
          </c:tx>
          <c:layout>
            <c:manualLayout>
              <c:xMode val="edge"/>
              <c:yMode val="edge"/>
              <c:x val="0.437184626397225"/>
              <c:y val="0.91649992280376702"/>
            </c:manualLayout>
          </c:layout>
          <c:overlay val="0"/>
        </c:title>
        <c:numFmt formatCode="General" sourceLinked="1"/>
        <c:majorTickMark val="cross"/>
        <c:minorTickMark val="none"/>
        <c:tickLblPos val="low"/>
        <c:spPr>
          <a:ln>
            <a:solidFill>
              <a:schemeClr val="tx1"/>
            </a:solidFill>
          </a:ln>
        </c:spPr>
        <c:crossAx val="-2069598872"/>
        <c:crosses val="autoZero"/>
        <c:crossBetween val="midCat"/>
      </c:valAx>
      <c:valAx>
        <c:axId val="-2069598872"/>
        <c:scaling>
          <c:orientation val="minMax"/>
        </c:scaling>
        <c:delete val="0"/>
        <c:axPos val="l"/>
        <c:title>
          <c:tx>
            <c:rich>
              <a:bodyPr rot="-5400000" vert="horz"/>
              <a:lstStyle/>
              <a:p>
                <a:pPr>
                  <a:defRPr/>
                </a:pPr>
                <a:r>
                  <a:rPr lang="en-US"/>
                  <a:t>Weighted Residual</a:t>
                </a:r>
              </a:p>
            </c:rich>
          </c:tx>
          <c:layout>
            <c:manualLayout>
              <c:xMode val="edge"/>
              <c:yMode val="edge"/>
              <c:x val="2.5983085447652401E-2"/>
              <c:y val="0.186075039800353"/>
            </c:manualLayout>
          </c:layout>
          <c:overlay val="0"/>
        </c:title>
        <c:numFmt formatCode="0.000" sourceLinked="1"/>
        <c:majorTickMark val="cross"/>
        <c:minorTickMark val="none"/>
        <c:tickLblPos val="nextTo"/>
        <c:spPr>
          <a:ln>
            <a:solidFill>
              <a:schemeClr val="tx1"/>
            </a:solidFill>
          </a:ln>
        </c:spPr>
        <c:crossAx val="-2069028264"/>
        <c:crosses val="autoZero"/>
        <c:crossBetween val="midCat"/>
      </c:valAx>
    </c:plotArea>
    <c:plotVisOnly val="1"/>
    <c:dispBlanksAs val="zero"/>
    <c:showDLblsOverMax val="1"/>
  </c:chart>
  <c:spPr>
    <a:ln>
      <a:noFill/>
    </a:ln>
  </c:spPr>
  <c:txPr>
    <a:bodyPr/>
    <a:lstStyle/>
    <a:p>
      <a:pPr>
        <a:defRPr sz="1200">
          <a:latin typeface="Calibri" panose="020F0502020204030204" pitchFamily="34" charset="0"/>
          <a:cs typeface="Calibri" panose="020F0502020204030204" pitchFamily="34" charset="0"/>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sz="1400"/>
              <a:t>Residual Plot</a:t>
            </a:r>
          </a:p>
        </c:rich>
      </c:tx>
      <c:layout>
        <c:manualLayout>
          <c:xMode val="edge"/>
          <c:yMode val="edge"/>
          <c:x val="0.44945024191253197"/>
          <c:y val="3.8251366120218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21150649843468358"/>
          <c:y val="0.20655737704918034"/>
          <c:w val="0.721061331941941"/>
          <c:h val="0.63688524590163931"/>
        </c:manualLayout>
      </c:layout>
      <c:scatterChart>
        <c:scatterStyle val="lineMarker"/>
        <c:varyColors val="0"/>
        <c:ser>
          <c:idx val="0"/>
          <c:order val="0"/>
          <c:spPr>
            <a:ln w="19050" cap="rnd" cmpd="sng" algn="ctr">
              <a:noFill/>
              <a:prstDash val="solid"/>
              <a:round/>
            </a:ln>
            <a:effectLst/>
          </c:spPr>
          <c:marker>
            <c:spPr>
              <a:solidFill>
                <a:schemeClr val="dk1">
                  <a:tint val="88500"/>
                </a:schemeClr>
              </a:solidFill>
              <a:ln w="6350" cap="flat" cmpd="sng" algn="ctr">
                <a:solidFill>
                  <a:schemeClr val="dk1">
                    <a:tint val="88500"/>
                  </a:schemeClr>
                </a:solidFill>
                <a:prstDash val="solid"/>
                <a:round/>
              </a:ln>
              <a:effectLst>
                <a:outerShdw blurRad="50800" dist="50800" dir="5400000" algn="ctr" rotWithShape="0">
                  <a:schemeClr val="bg1"/>
                </a:outerShdw>
              </a:effectLst>
            </c:spPr>
          </c:marker>
          <c:xVal>
            <c:numRef>
              <c:f>'2012 #3'!$M$7:$M$12</c:f>
            </c:numRef>
          </c:xVal>
          <c:yVal>
            <c:numRef>
              <c:f>'2012 #3'!$N$7:$N$12</c:f>
            </c:numRef>
          </c:yVal>
          <c:smooth val="0"/>
          <c:extLst>
            <c:ext xmlns:c16="http://schemas.microsoft.com/office/drawing/2014/chart" uri="{C3380CC4-5D6E-409C-BE32-E72D297353CC}">
              <c16:uniqueId val="{00000000-10C2-EB40-BBAA-7E9211A31588}"/>
            </c:ext>
          </c:extLst>
        </c:ser>
        <c:dLbls>
          <c:showLegendKey val="0"/>
          <c:showVal val="0"/>
          <c:showCatName val="0"/>
          <c:showSerName val="0"/>
          <c:showPercent val="0"/>
          <c:showBubbleSize val="0"/>
        </c:dLbls>
        <c:axId val="1514367407"/>
        <c:axId val="1971214399"/>
      </c:scatterChart>
      <c:valAx>
        <c:axId val="15143674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200"/>
                  <a:t>Loss at 24 Months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71214399"/>
        <c:crosses val="autoZero"/>
        <c:crossBetween val="midCat"/>
      </c:valAx>
      <c:valAx>
        <c:axId val="197121439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200"/>
                  <a:t>Wieghted Residual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14367407"/>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Residual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170121591943861"/>
          <c:y val="0.16255930911861824"/>
          <c:w val="0.75429192779473986"/>
          <c:h val="0.67094606722546779"/>
        </c:manualLayout>
      </c:layout>
      <c:scatterChart>
        <c:scatterStyle val="lineMarker"/>
        <c:varyColors val="0"/>
        <c:ser>
          <c:idx val="0"/>
          <c:order val="0"/>
          <c:tx>
            <c:strRef>
              <c:f>'2015 #3'!$P$7</c:f>
              <c:strCache>
                <c:ptCount val="1"/>
                <c:pt idx="0">
                  <c:v>wtd residual</c:v>
                </c:pt>
              </c:strCache>
            </c:strRef>
          </c:tx>
          <c:spPr>
            <a:ln w="19050" cap="rnd">
              <a:solidFill>
                <a:schemeClr val="accent1"/>
              </a:solidFill>
              <a:round/>
            </a:ln>
            <a:effectLst/>
          </c:spPr>
          <c:marker>
            <c:symbol val="diamond"/>
            <c:size val="6"/>
            <c:spPr>
              <a:solidFill>
                <a:schemeClr val="tx1"/>
              </a:solidFill>
              <a:ln w="9525">
                <a:solidFill>
                  <a:schemeClr val="tx1"/>
                </a:solidFill>
              </a:ln>
              <a:effectLst/>
            </c:spPr>
          </c:marker>
          <c:xVal>
            <c:numRef>
              <c:f>'2015 #3'!$M$8:$M$13</c:f>
            </c:numRef>
          </c:xVal>
          <c:yVal>
            <c:numRef>
              <c:f>'2015 #3'!$P$8:$P$13</c:f>
            </c:numRef>
          </c:yVal>
          <c:smooth val="0"/>
          <c:extLst>
            <c:ext xmlns:c16="http://schemas.microsoft.com/office/drawing/2014/chart" uri="{C3380CC4-5D6E-409C-BE32-E72D297353CC}">
              <c16:uniqueId val="{00000000-46BF-954D-8755-2D5F85BA0841}"/>
            </c:ext>
          </c:extLst>
        </c:ser>
        <c:dLbls>
          <c:showLegendKey val="0"/>
          <c:showVal val="0"/>
          <c:showCatName val="0"/>
          <c:showSerName val="0"/>
          <c:showPercent val="0"/>
          <c:showBubbleSize val="0"/>
        </c:dLbls>
        <c:axId val="2129293984"/>
        <c:axId val="42471887"/>
      </c:scatterChart>
      <c:valAx>
        <c:axId val="212929398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Loss at 12 Months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0" sourceLinked="1"/>
        <c:majorTickMark val="cross"/>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42471887"/>
        <c:crosses val="autoZero"/>
        <c:crossBetween val="midCat"/>
      </c:valAx>
      <c:valAx>
        <c:axId val="42471887"/>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Weighted Residual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0.0"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292939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Residual Graph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'2016 #7'!$O$8:$O$12</c:f>
            </c:numRef>
          </c:xVal>
          <c:yVal>
            <c:numRef>
              <c:f>'2016 #7'!$P$8:$P$12</c:f>
            </c:numRef>
          </c:yVal>
          <c:smooth val="0"/>
          <c:extLst>
            <c:ext xmlns:c16="http://schemas.microsoft.com/office/drawing/2014/chart" uri="{C3380CC4-5D6E-409C-BE32-E72D297353CC}">
              <c16:uniqueId val="{00000000-8A42-1448-8FAF-8BF5C57FFC99}"/>
            </c:ext>
          </c:extLst>
        </c:ser>
        <c:dLbls>
          <c:showLegendKey val="0"/>
          <c:showVal val="0"/>
          <c:showCatName val="0"/>
          <c:showSerName val="0"/>
          <c:showPercent val="0"/>
          <c:showBubbleSize val="0"/>
        </c:dLbls>
        <c:axId val="197375583"/>
        <c:axId val="197473807"/>
      </c:scatterChart>
      <c:valAx>
        <c:axId val="1973755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7473807"/>
        <c:crosses val="autoZero"/>
        <c:crossBetween val="midCat"/>
      </c:valAx>
      <c:valAx>
        <c:axId val="1974738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7375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600" b="0">
                <a:latin typeface="Calibri" panose="020F0502020204030204" pitchFamily="34" charset="0"/>
                <a:cs typeface="Calibri" panose="020F0502020204030204" pitchFamily="34" charset="0"/>
              </a:defRPr>
            </a:pPr>
            <a:r>
              <a:rPr lang="en-US" sz="1600" b="0">
                <a:latin typeface="Calibri" panose="020F0502020204030204" pitchFamily="34" charset="0"/>
                <a:cs typeface="Calibri" panose="020F0502020204030204" pitchFamily="34" charset="0"/>
              </a:rPr>
              <a:t>Residual Plot</a:t>
            </a:r>
          </a:p>
        </c:rich>
      </c:tx>
      <c:layout>
        <c:manualLayout>
          <c:xMode val="edge"/>
          <c:yMode val="edge"/>
          <c:x val="0.43672640057923789"/>
          <c:y val="1.5537211074422149E-2"/>
        </c:manualLayout>
      </c:layout>
      <c:overlay val="0"/>
    </c:title>
    <c:autoTitleDeleted val="0"/>
    <c:plotArea>
      <c:layout>
        <c:manualLayout>
          <c:layoutTarget val="inner"/>
          <c:xMode val="edge"/>
          <c:yMode val="edge"/>
          <c:x val="0.18129270100779388"/>
          <c:y val="0.119495288498774"/>
          <c:w val="0.72087315421450171"/>
          <c:h val="0.69220626833410503"/>
        </c:manualLayout>
      </c:layout>
      <c:scatterChart>
        <c:scatterStyle val="lineMarker"/>
        <c:varyColors val="0"/>
        <c:ser>
          <c:idx val="0"/>
          <c:order val="0"/>
          <c:marker>
            <c:symbol val="diamond"/>
            <c:size val="7"/>
            <c:spPr>
              <a:solidFill>
                <a:schemeClr val="tx1"/>
              </a:solidFill>
              <a:ln cmpd="sng">
                <a:solidFill>
                  <a:schemeClr val="tx1"/>
                </a:solidFill>
              </a:ln>
              <a:effectLst/>
            </c:spPr>
          </c:marker>
          <c:xVal>
            <c:numRef>
              <c:f>'2017 #3'!$M$11:$M$15</c:f>
            </c:numRef>
          </c:xVal>
          <c:yVal>
            <c:numRef>
              <c:f>'2017 #3'!$P$11:$P$15</c:f>
            </c:numRef>
          </c:yVal>
          <c:smooth val="1"/>
          <c:extLst>
            <c:ext xmlns:c16="http://schemas.microsoft.com/office/drawing/2014/chart" uri="{C3380CC4-5D6E-409C-BE32-E72D297353CC}">
              <c16:uniqueId val="{00000000-4044-D045-9AD8-AC64138F5EAA}"/>
            </c:ext>
          </c:extLst>
        </c:ser>
        <c:dLbls>
          <c:showLegendKey val="0"/>
          <c:showVal val="0"/>
          <c:showCatName val="0"/>
          <c:showSerName val="0"/>
          <c:showPercent val="0"/>
          <c:showBubbleSize val="0"/>
        </c:dLbls>
        <c:axId val="282434336"/>
        <c:axId val="282434720"/>
      </c:scatterChart>
      <c:valAx>
        <c:axId val="282434336"/>
        <c:scaling>
          <c:orientation val="minMax"/>
          <c:min val="0"/>
        </c:scaling>
        <c:delete val="0"/>
        <c:axPos val="b"/>
        <c:title>
          <c:tx>
            <c:rich>
              <a:bodyPr/>
              <a:lstStyle/>
              <a:p>
                <a:pPr>
                  <a:defRPr sz="1200" b="0">
                    <a:latin typeface="Calibri" panose="020F0502020204030204" pitchFamily="34" charset="0"/>
                    <a:cs typeface="Calibri" panose="020F0502020204030204" pitchFamily="34" charset="0"/>
                  </a:defRPr>
                </a:pPr>
                <a:r>
                  <a:rPr lang="en-US" sz="1200" b="0" baseline="0">
                    <a:latin typeface="Calibri" panose="020F0502020204030204" pitchFamily="34" charset="0"/>
                    <a:cs typeface="Calibri" panose="020F0502020204030204" pitchFamily="34" charset="0"/>
                  </a:rPr>
                  <a:t>Loss at 12 Months</a:t>
                </a:r>
                <a:endParaRPr lang="en-US" sz="1200" b="0">
                  <a:latin typeface="Calibri" panose="020F0502020204030204" pitchFamily="34" charset="0"/>
                  <a:cs typeface="Calibri" panose="020F0502020204030204" pitchFamily="34" charset="0"/>
                </a:endParaRPr>
              </a:p>
            </c:rich>
          </c:tx>
          <c:layout>
            <c:manualLayout>
              <c:xMode val="edge"/>
              <c:yMode val="edge"/>
              <c:x val="0.437184626397225"/>
              <c:y val="0.91649992280376702"/>
            </c:manualLayout>
          </c:layout>
          <c:overlay val="0"/>
        </c:title>
        <c:numFmt formatCode="#,##0" sourceLinked="1"/>
        <c:majorTickMark val="cross"/>
        <c:minorTickMark val="none"/>
        <c:tickLblPos val="low"/>
        <c:spPr>
          <a:ln>
            <a:solidFill>
              <a:schemeClr val="tx1"/>
            </a:solidFill>
          </a:ln>
        </c:spPr>
        <c:txPr>
          <a:bodyPr anchor="t" anchorCtr="0"/>
          <a:lstStyle/>
          <a:p>
            <a:pPr lvl="0">
              <a:defRPr sz="1100">
                <a:latin typeface="Calibri" panose="020F0502020204030204" pitchFamily="34" charset="0"/>
                <a:cs typeface="Calibri" panose="020F0502020204030204" pitchFamily="34" charset="0"/>
              </a:defRPr>
            </a:pPr>
            <a:endParaRPr lang="en-US"/>
          </a:p>
        </c:txPr>
        <c:crossAx val="282434720"/>
        <c:crosses val="autoZero"/>
        <c:crossBetween val="midCat"/>
      </c:valAx>
      <c:valAx>
        <c:axId val="282434720"/>
        <c:scaling>
          <c:orientation val="minMax"/>
          <c:max val="300"/>
          <c:min val="-300"/>
        </c:scaling>
        <c:delete val="0"/>
        <c:axPos val="l"/>
        <c:title>
          <c:tx>
            <c:rich>
              <a:bodyPr rot="-5400000" vert="horz"/>
              <a:lstStyle/>
              <a:p>
                <a:pPr>
                  <a:defRPr sz="1200" b="0">
                    <a:latin typeface="Calibri" panose="020F0502020204030204" pitchFamily="34" charset="0"/>
                    <a:cs typeface="Calibri" panose="020F0502020204030204" pitchFamily="34" charset="0"/>
                  </a:defRPr>
                </a:pPr>
                <a:r>
                  <a:rPr lang="en-US" sz="1200" b="0">
                    <a:latin typeface="Calibri" panose="020F0502020204030204" pitchFamily="34" charset="0"/>
                    <a:cs typeface="Calibri" panose="020F0502020204030204" pitchFamily="34" charset="0"/>
                  </a:rPr>
                  <a:t>Weighted Residual</a:t>
                </a:r>
              </a:p>
            </c:rich>
          </c:tx>
          <c:layout>
            <c:manualLayout>
              <c:xMode val="edge"/>
              <c:yMode val="edge"/>
              <c:x val="2.9424124481991103E-2"/>
              <c:y val="0.30063121138866505"/>
            </c:manualLayout>
          </c:layout>
          <c:overlay val="0"/>
        </c:title>
        <c:numFmt formatCode="#,##0" sourceLinked="1"/>
        <c:majorTickMark val="cross"/>
        <c:minorTickMark val="none"/>
        <c:tickLblPos val="nextTo"/>
        <c:spPr>
          <a:ln>
            <a:solidFill>
              <a:schemeClr val="tx1"/>
            </a:solidFill>
          </a:ln>
        </c:spPr>
        <c:txPr>
          <a:bodyPr/>
          <a:lstStyle/>
          <a:p>
            <a:pPr lvl="0">
              <a:defRPr sz="1100">
                <a:latin typeface="Calibri" panose="020F0502020204030204" pitchFamily="34" charset="0"/>
                <a:cs typeface="Calibri" panose="020F0502020204030204" pitchFamily="34" charset="0"/>
              </a:defRPr>
            </a:pPr>
            <a:endParaRPr lang="en-US"/>
          </a:p>
        </c:txPr>
        <c:crossAx val="282434336"/>
        <c:crosses val="autoZero"/>
        <c:crossBetween val="midCat"/>
      </c:valAx>
    </c:plotArea>
    <c:plotVisOnly val="1"/>
    <c:dispBlanksAs val="zero"/>
    <c:showDLblsOverMax val="1"/>
  </c:chart>
  <c:spPr>
    <a:ln>
      <a:solidFill>
        <a:schemeClr val="tx1"/>
      </a:solidFill>
    </a:ln>
  </c:sp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6.emf"/></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1699058E-D67A-2841-9CB8-3937670DDA92}"/>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15</xdr:row>
      <xdr:rowOff>0</xdr:rowOff>
    </xdr:from>
    <xdr:to>
      <xdr:col>16</xdr:col>
      <xdr:colOff>323362</xdr:colOff>
      <xdr:row>28</xdr:row>
      <xdr:rowOff>63500</xdr:rowOff>
    </xdr:to>
    <xdr:graphicFrame macro="">
      <xdr:nvGraphicFramePr>
        <xdr:cNvPr id="2" name="Chart 1" title="Chart">
          <a:extLst>
            <a:ext uri="{FF2B5EF4-FFF2-40B4-BE49-F238E27FC236}">
              <a16:creationId xmlns:a16="http://schemas.microsoft.com/office/drawing/2014/main" id="{704E7F89-24DF-B945-903D-0CCFC21A9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12</xdr:col>
      <xdr:colOff>0</xdr:colOff>
      <xdr:row>32</xdr:row>
      <xdr:rowOff>0</xdr:rowOff>
    </xdr:from>
    <xdr:to>
      <xdr:col>16</xdr:col>
      <xdr:colOff>310662</xdr:colOff>
      <xdr:row>45</xdr:row>
      <xdr:rowOff>101600</xdr:rowOff>
    </xdr:to>
    <xdr:graphicFrame macro="">
      <xdr:nvGraphicFramePr>
        <xdr:cNvPr id="3" name="Chart 2" title="Chart">
          <a:extLst>
            <a:ext uri="{FF2B5EF4-FFF2-40B4-BE49-F238E27FC236}">
              <a16:creationId xmlns:a16="http://schemas.microsoft.com/office/drawing/2014/main" id="{5A6D2FB1-494E-6542-A68B-CE0DC0E54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12</xdr:col>
      <xdr:colOff>126999</xdr:colOff>
      <xdr:row>17</xdr:row>
      <xdr:rowOff>87924</xdr:rowOff>
    </xdr:from>
    <xdr:to>
      <xdr:col>16</xdr:col>
      <xdr:colOff>437662</xdr:colOff>
      <xdr:row>29</xdr:row>
      <xdr:rowOff>169985</xdr:rowOff>
    </xdr:to>
    <xdr:graphicFrame macro="">
      <xdr:nvGraphicFramePr>
        <xdr:cNvPr id="2" name="Chart 1" title="Chart">
          <a:extLst>
            <a:ext uri="{FF2B5EF4-FFF2-40B4-BE49-F238E27FC236}">
              <a16:creationId xmlns:a16="http://schemas.microsoft.com/office/drawing/2014/main" id="{D68BB552-32F6-AC4A-BACC-9552A5E20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oneCellAnchor>
    <xdr:from>
      <xdr:col>1</xdr:col>
      <xdr:colOff>628646</xdr:colOff>
      <xdr:row>17</xdr:row>
      <xdr:rowOff>25400</xdr:rowOff>
    </xdr:from>
    <xdr:ext cx="184025" cy="1797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4828992-9E85-9442-9BD5-EEC995FEDF46}"/>
                </a:ext>
              </a:extLst>
            </xdr:cNvPr>
            <xdr:cNvSpPr txBox="1"/>
          </xdr:nvSpPr>
          <xdr:spPr>
            <a:xfrm>
              <a:off x="1466846" y="3479800"/>
              <a:ext cx="184025"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latin typeface="Cambria Math" panose="02040503050406030204" pitchFamily="18" charset="0"/>
                          </a:rPr>
                        </m:ctrlPr>
                      </m:sSubSupPr>
                      <m:e>
                        <m:acc>
                          <m:accPr>
                            <m:chr m:val="̂"/>
                            <m:ctrlPr>
                              <a:rPr lang="en-US" sz="1100" b="0" i="1">
                                <a:latin typeface="Cambria Math" panose="02040503050406030204" pitchFamily="18" charset="0"/>
                              </a:rPr>
                            </m:ctrlPr>
                          </m:accPr>
                          <m:e>
                            <m:r>
                              <a:rPr lang="en-US" sz="1100" b="0" i="1">
                                <a:latin typeface="Cambria Math" panose="02040503050406030204" pitchFamily="18" charset="0"/>
                              </a:rPr>
                              <m:t>⍺</m:t>
                            </m:r>
                          </m:e>
                        </m:acc>
                      </m:e>
                      <m:sub>
                        <m:r>
                          <a:rPr lang="en-US" sz="1100" b="0" i="1">
                            <a:latin typeface="Cambria Math" panose="02040503050406030204" pitchFamily="18" charset="0"/>
                          </a:rPr>
                          <m:t>𝑘</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2" name="TextBox 1">
              <a:extLst>
                <a:ext uri="{FF2B5EF4-FFF2-40B4-BE49-F238E27FC236}">
                  <a16:creationId xmlns:a16="http://schemas.microsoft.com/office/drawing/2014/main" id="{C4828992-9E85-9442-9BD5-EEC995FEDF46}"/>
                </a:ext>
              </a:extLst>
            </xdr:cNvPr>
            <xdr:cNvSpPr txBox="1"/>
          </xdr:nvSpPr>
          <xdr:spPr>
            <a:xfrm>
              <a:off x="1466846" y="3479800"/>
              <a:ext cx="184025"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 ̂_𝑘^2</a:t>
              </a:r>
              <a:endParaRPr lang="en-US" sz="1100"/>
            </a:p>
          </xdr:txBody>
        </xdr:sp>
      </mc:Fallback>
    </mc:AlternateContent>
    <xdr:clientData/>
  </xdr:oneCellAnchor>
  <xdr:oneCellAnchor>
    <xdr:from>
      <xdr:col>2</xdr:col>
      <xdr:colOff>307975</xdr:colOff>
      <xdr:row>17</xdr:row>
      <xdr:rowOff>44450</xdr:rowOff>
    </xdr:from>
    <xdr:ext cx="666977"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A8765DD-C7DE-E449-BB07-6A1BB2FD9554}"/>
                </a:ext>
              </a:extLst>
            </xdr:cNvPr>
            <xdr:cNvSpPr txBox="1"/>
          </xdr:nvSpPr>
          <xdr:spPr>
            <a:xfrm>
              <a:off x="1984375" y="3498850"/>
              <a:ext cx="6669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1≤</m:t>
                    </m:r>
                    <m:r>
                      <a:rPr lang="en-US" sz="1100" b="0" i="1">
                        <a:latin typeface="Cambria Math" panose="02040503050406030204" pitchFamily="18" charset="0"/>
                      </a:rPr>
                      <m:t>𝑘</m:t>
                    </m:r>
                    <m:r>
                      <a:rPr lang="en-US" sz="1100" b="0" i="1">
                        <a:latin typeface="Cambria Math" panose="02040503050406030204" pitchFamily="18" charset="0"/>
                      </a:rPr>
                      <m:t>≤4.</m:t>
                    </m:r>
                  </m:oMath>
                </m:oMathPara>
              </a14:m>
              <a:endParaRPr lang="en-US" sz="1100"/>
            </a:p>
          </xdr:txBody>
        </xdr:sp>
      </mc:Choice>
      <mc:Fallback xmlns="">
        <xdr:sp macro="" textlink="">
          <xdr:nvSpPr>
            <xdr:cNvPr id="3" name="TextBox 2">
              <a:extLst>
                <a:ext uri="{FF2B5EF4-FFF2-40B4-BE49-F238E27FC236}">
                  <a16:creationId xmlns:a16="http://schemas.microsoft.com/office/drawing/2014/main" id="{BA8765DD-C7DE-E449-BB07-6A1BB2FD9554}"/>
                </a:ext>
              </a:extLst>
            </xdr:cNvPr>
            <xdr:cNvSpPr txBox="1"/>
          </xdr:nvSpPr>
          <xdr:spPr>
            <a:xfrm>
              <a:off x="1984375" y="3498850"/>
              <a:ext cx="6669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1≤𝑘≤4.</a:t>
              </a:r>
              <a:endParaRPr lang="en-US" sz="1100"/>
            </a:p>
          </xdr:txBody>
        </xdr:sp>
      </mc:Fallback>
    </mc:AlternateContent>
    <xdr:clientData/>
  </xdr:oneCellAnchor>
  <xdr:oneCellAnchor>
    <xdr:from>
      <xdr:col>3</xdr:col>
      <xdr:colOff>325437</xdr:colOff>
      <xdr:row>20</xdr:row>
      <xdr:rowOff>19050</xdr:rowOff>
    </xdr:from>
    <xdr:ext cx="65" cy="172098"/>
    <xdr:sp macro="" textlink="">
      <xdr:nvSpPr>
        <xdr:cNvPr id="4" name="TextBox 3">
          <a:extLst>
            <a:ext uri="{FF2B5EF4-FFF2-40B4-BE49-F238E27FC236}">
              <a16:creationId xmlns:a16="http://schemas.microsoft.com/office/drawing/2014/main" id="{38B6C8E0-84F1-7B4D-A56C-1F6A6C086896}"/>
            </a:ext>
          </a:extLst>
        </xdr:cNvPr>
        <xdr:cNvSpPr txBox="1"/>
      </xdr:nvSpPr>
      <xdr:spPr>
        <a:xfrm>
          <a:off x="2840037" y="4083050"/>
          <a:ext cx="6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12</xdr:col>
      <xdr:colOff>808566</xdr:colOff>
      <xdr:row>23</xdr:row>
      <xdr:rowOff>120652</xdr:rowOff>
    </xdr:from>
    <xdr:to>
      <xdr:col>16</xdr:col>
      <xdr:colOff>25400</xdr:colOff>
      <xdr:row>25</xdr:row>
      <xdr:rowOff>188516</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E12731E2-D08C-004A-973D-85830ADCBE9D}"/>
                </a:ext>
              </a:extLst>
            </xdr:cNvPr>
            <xdr:cNvSpPr txBox="1"/>
          </xdr:nvSpPr>
          <xdr:spPr>
            <a:xfrm>
              <a:off x="10866966" y="4794252"/>
              <a:ext cx="2569634" cy="4742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𝐼</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den>
                    </m:f>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r>
                                          <a:rPr lang="en-US" sz="1100" i="1">
                                            <a:solidFill>
                                              <a:schemeClr val="tx1"/>
                                            </a:solidFill>
                                            <a:effectLst/>
                                            <a:latin typeface="Cambria Math" panose="02040503050406030204" pitchFamily="18" charset="0"/>
                                            <a:ea typeface="+mn-ea"/>
                                            <a:cs typeface="+mn-cs"/>
                                          </a:rPr>
                                          <m:t>+1</m:t>
                                        </m:r>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den>
                                </m:f>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Sub>
                              </m:e>
                            </m:d>
                          </m:e>
                          <m:sup>
                            <m:r>
                              <a:rPr lang="en-US" sz="1100" i="1">
                                <a:solidFill>
                                  <a:schemeClr val="tx1"/>
                                </a:solidFill>
                                <a:effectLst/>
                                <a:latin typeface="Cambria Math" panose="02040503050406030204" pitchFamily="18" charset="0"/>
                                <a:ea typeface="+mn-ea"/>
                                <a:cs typeface="+mn-cs"/>
                              </a:rPr>
                              <m:t>2</m:t>
                            </m:r>
                          </m:sup>
                        </m:sSup>
                      </m:e>
                    </m:nary>
                  </m:oMath>
                </m:oMathPara>
              </a14:m>
              <a:endParaRPr lang="en-US"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E12731E2-D08C-004A-973D-85830ADCBE9D}"/>
                </a:ext>
              </a:extLst>
            </xdr:cNvPr>
            <xdr:cNvSpPr txBox="1"/>
          </xdr:nvSpPr>
          <xdr:spPr>
            <a:xfrm>
              <a:off x="10866966" y="4794252"/>
              <a:ext cx="2569634" cy="4742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𝛼_𝑘^2=1/(𝐼−𝑘−1)×∑1^𝐴𝑌𝑠▒〖𝐶_(𝐴𝑌,𝑘)×(𝐶_(𝐴𝑌,𝑘+1)/𝐶_(𝐴𝑌,𝑘) −〖𝐿𝐷𝐹〗_𝑘 )^2 〗</a:t>
              </a:r>
              <a:endParaRPr lang="en-US" sz="1100">
                <a:solidFill>
                  <a:schemeClr val="tx1"/>
                </a:solidFill>
                <a:effectLst/>
                <a:latin typeface="+mn-lt"/>
                <a:ea typeface="+mn-ea"/>
                <a:cs typeface="+mn-cs"/>
              </a:endParaRPr>
            </a:p>
          </xdr:txBody>
        </xdr:sp>
      </mc:Fallback>
    </mc:AlternateContent>
    <xdr:clientData/>
  </xdr:twoCellAnchor>
  <xdr:twoCellAnchor>
    <xdr:from>
      <xdr:col>12</xdr:col>
      <xdr:colOff>952500</xdr:colOff>
      <xdr:row>15</xdr:row>
      <xdr:rowOff>165100</xdr:rowOff>
    </xdr:from>
    <xdr:to>
      <xdr:col>15</xdr:col>
      <xdr:colOff>264584</xdr:colOff>
      <xdr:row>17</xdr:row>
      <xdr:rowOff>65617</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9FF8ECB1-4ACC-C140-8B98-FCE78AE4C678}"/>
                </a:ext>
              </a:extLst>
            </xdr:cNvPr>
            <xdr:cNvSpPr txBox="1"/>
          </xdr:nvSpPr>
          <xdr:spPr>
            <a:xfrm>
              <a:off x="10896600" y="3213100"/>
              <a:ext cx="1940984" cy="306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𝑎𝑔𝑒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𝑎𝑔𝑒</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Sub>
                          </m:e>
                        </m:d>
                      </m:e>
                      <m:sup>
                        <m:r>
                          <a:rPr lang="en-US" sz="1100" i="1">
                            <a:solidFill>
                              <a:schemeClr val="tx1"/>
                            </a:solidFill>
                            <a:effectLst/>
                            <a:latin typeface="Cambria Math" panose="02040503050406030204" pitchFamily="18" charset="0"/>
                            <a:ea typeface="+mn-ea"/>
                            <a:cs typeface="+mn-cs"/>
                          </a:rPr>
                          <m:t>2</m:t>
                        </m:r>
                      </m:sup>
                    </m:sSup>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9FF8ECB1-4ACC-C140-8B98-FCE78AE4C678}"/>
                </a:ext>
              </a:extLst>
            </xdr:cNvPr>
            <xdr:cNvSpPr txBox="1"/>
          </xdr:nvSpPr>
          <xdr:spPr>
            <a:xfrm>
              <a:off x="10896600" y="3213100"/>
              <a:ext cx="1940984" cy="306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〖𝐿𝑜𝑠𝑠〗_(𝐴𝑌,𝑘)×(〖𝑎𝑔𝑒 𝑡𝑜 𝑎𝑔𝑒〗_(𝐴𝑌,𝑘)−〖𝐿𝐷𝐹〗_𝑘 )^2</a:t>
              </a:r>
              <a:endParaRPr lang="en-US" sz="1100">
                <a:solidFill>
                  <a:schemeClr val="tx1"/>
                </a:solidFill>
                <a:effectLst/>
                <a:latin typeface="+mn-lt"/>
                <a:ea typeface="+mn-ea"/>
                <a:cs typeface="+mn-cs"/>
              </a:endParaRPr>
            </a:p>
          </xdr:txBody>
        </xdr:sp>
      </mc:Fallback>
    </mc:AlternateContent>
    <xdr:clientData/>
  </xdr:twoCellAnchor>
  <xdr:twoCellAnchor>
    <xdr:from>
      <xdr:col>12</xdr:col>
      <xdr:colOff>431800</xdr:colOff>
      <xdr:row>44</xdr:row>
      <xdr:rowOff>38100</xdr:rowOff>
    </xdr:from>
    <xdr:to>
      <xdr:col>17</xdr:col>
      <xdr:colOff>484717</xdr:colOff>
      <xdr:row>47</xdr:row>
      <xdr:rowOff>104326</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ABE4A524-04B9-184C-B3CD-BECDE8106391}"/>
                </a:ext>
              </a:extLst>
            </xdr:cNvPr>
            <xdr:cNvSpPr txBox="1"/>
          </xdr:nvSpPr>
          <xdr:spPr>
            <a:xfrm>
              <a:off x="10490200" y="8978900"/>
              <a:ext cx="4243917" cy="67582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𝑀𝑆𝐸</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𝑅</m:t>
                            </m:r>
                          </m:e>
                          <m:sub>
                            <m:r>
                              <a:rPr lang="en-US" sz="1100" i="1">
                                <a:solidFill>
                                  <a:schemeClr val="tx1"/>
                                </a:solidFill>
                                <a:effectLst/>
                                <a:latin typeface="Cambria Math" panose="02040503050406030204" pitchFamily="18" charset="0"/>
                                <a:ea typeface="+mn-ea"/>
                                <a:cs typeface="+mn-cs"/>
                              </a:rPr>
                              <m:t>𝐴𝑌</m:t>
                            </m:r>
                          </m:sub>
                        </m:sSub>
                      </m:e>
                    </m:d>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eqArr>
                          <m:eqArrPr>
                            <m:ctrlPr>
                              <a:rPr lang="en-US"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𝐷𝑒𝑣𝑒𝑙𝑜𝑝𝑚𝑒𝑛𝑡</m:t>
                            </m:r>
                            <m:r>
                              <a:rPr lang="en-US" sz="1100" i="1">
                                <a:solidFill>
                                  <a:schemeClr val="tx1"/>
                                </a:solidFill>
                                <a:effectLst/>
                                <a:latin typeface="Cambria Math" panose="02040503050406030204" pitchFamily="18" charset="0"/>
                                <a:ea typeface="+mn-ea"/>
                                <a:cs typeface="+mn-cs"/>
                              </a:rPr>
                              <m:t> </m:t>
                            </m:r>
                          </m:e>
                          <m:e>
                            <m:r>
                              <a:rPr lang="en-US" sz="1100" i="1">
                                <a:solidFill>
                                  <a:schemeClr val="tx1"/>
                                </a:solidFill>
                                <a:effectLst/>
                                <a:latin typeface="Cambria Math" panose="02040503050406030204" pitchFamily="18" charset="0"/>
                                <a:ea typeface="+mn-ea"/>
                                <a:cs typeface="+mn-cs"/>
                              </a:rPr>
                              <m:t>𝑃𝑒𝑟𝑖𝑜𝑑𝑠</m:t>
                            </m:r>
                          </m:e>
                        </m:eqArr>
                      </m:sup>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𝑈𝑙𝑡</m:t>
                            </m:r>
                          </m:e>
                          <m:sub>
                            <m:r>
                              <a:rPr lang="en-US" sz="1100" i="1">
                                <a:solidFill>
                                  <a:schemeClr val="tx1"/>
                                </a:solidFill>
                                <a:effectLst/>
                                <a:latin typeface="Cambria Math" panose="02040503050406030204" pitchFamily="18" charset="0"/>
                                <a:ea typeface="+mn-ea"/>
                                <a:cs typeface="+mn-cs"/>
                              </a:rPr>
                              <m:t>𝐴𝑌</m:t>
                            </m:r>
                          </m:sub>
                          <m:sup>
                            <m:r>
                              <a:rPr lang="en-US" sz="1100" i="1">
                                <a:solidFill>
                                  <a:schemeClr val="tx1"/>
                                </a:solidFill>
                                <a:effectLst/>
                                <a:latin typeface="Cambria Math" panose="02040503050406030204" pitchFamily="18" charset="0"/>
                                <a:ea typeface="+mn-ea"/>
                                <a:cs typeface="+mn-cs"/>
                              </a:rPr>
                              <m:t>2</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𝛼</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r>
                                  <a:rPr lang="en-US" sz="1100" i="1">
                                    <a:solidFill>
                                      <a:schemeClr val="tx1"/>
                                    </a:solidFill>
                                    <a:effectLst/>
                                    <a:latin typeface="Cambria Math" panose="02040503050406030204" pitchFamily="18" charset="0"/>
                                    <a:ea typeface="+mn-ea"/>
                                    <a:cs typeface="+mn-cs"/>
                                  </a:rPr>
                                  <m:t>𝑘</m:t>
                                </m:r>
                              </m:sub>
                              <m:sup>
                                <m:r>
                                  <a:rPr lang="en-US" sz="1100" i="1">
                                    <a:solidFill>
                                      <a:schemeClr val="tx1"/>
                                    </a:solidFill>
                                    <a:effectLst/>
                                    <a:latin typeface="Cambria Math" panose="02040503050406030204" pitchFamily="18" charset="0"/>
                                    <a:ea typeface="+mn-ea"/>
                                    <a:cs typeface="+mn-cs"/>
                                  </a:rPr>
                                  <m:t>2</m:t>
                                </m:r>
                              </m:sup>
                            </m:sSubSup>
                          </m:den>
                        </m:f>
                        <m:d>
                          <m:dPr>
                            <m:begChr m:val="["/>
                            <m:endChr m:val="]"/>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acc>
                                  <m:accPr>
                                    <m:chr m:val="̂"/>
                                    <m:ctrlPr>
                                      <a:rPr lang="en-US" sz="1100" i="1">
                                        <a:solidFill>
                                          <a:schemeClr val="tx1"/>
                                        </a:solidFill>
                                        <a:effectLst/>
                                        <a:latin typeface="Cambria Math" panose="02040503050406030204" pitchFamily="18" charset="0"/>
                                        <a:ea typeface="+mn-ea"/>
                                        <a:cs typeface="+mn-cs"/>
                                      </a:rPr>
                                    </m:ctrlPr>
                                  </m:acc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acc>
                              </m:den>
                            </m:f>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nary>
                                  <m:naryPr>
                                    <m:chr m:val="∑"/>
                                    <m:limLoc m:val="undOvr"/>
                                    <m:subHide m:val="on"/>
                                    <m:ctrlPr>
                                      <a:rPr lang="en-US" sz="1100" i="1">
                                        <a:solidFill>
                                          <a:schemeClr val="tx1"/>
                                        </a:solidFill>
                                        <a:effectLst/>
                                        <a:latin typeface="Cambria Math" panose="02040503050406030204" pitchFamily="18" charset="0"/>
                                        <a:ea typeface="+mn-ea"/>
                                        <a:cs typeface="+mn-cs"/>
                                      </a:rPr>
                                    </m:ctrlPr>
                                  </m:naryPr>
                                  <m:sub/>
                                  <m:sup>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𝑏𝑒𝑓𝑜𝑟𝑒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𝑐𝑢𝑟𝑟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𝑑𝑖𝑎𝑔𝑜𝑛𝑎𝑙</m:t>
                                    </m:r>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𝑘</m:t>
                                        </m:r>
                                      </m:sub>
                                    </m:sSub>
                                  </m:e>
                                </m:nary>
                              </m:den>
                            </m:f>
                          </m:e>
                        </m:d>
                      </m:e>
                    </m:nary>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ABE4A524-04B9-184C-B3CD-BECDE8106391}"/>
                </a:ext>
              </a:extLst>
            </xdr:cNvPr>
            <xdr:cNvSpPr txBox="1"/>
          </xdr:nvSpPr>
          <xdr:spPr>
            <a:xfrm>
              <a:off x="10490200" y="8978900"/>
              <a:ext cx="4243917" cy="67582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𝑀𝑆𝐸(𝑅_𝐴𝑌 )=∑1^█(𝐷𝑒𝑣𝑒𝑙𝑜𝑝𝑚𝑒𝑛𝑡 @𝑃𝑒𝑟𝑖𝑜𝑑𝑠)▒〖〖𝑈𝑙𝑡〗_𝐴𝑌^2×(𝛼_𝑘^2)/(〖𝐿𝐷𝐹〗_𝑘^2 ) [1/(𝐶_(𝐴𝑌,𝑘) ) ̂ +1/(∑1^(𝐴𝑌𝑠 𝑏𝑒𝑓𝑜𝑟𝑒 𝑐𝑢𝑟𝑟. 𝑑𝑖𝑎𝑔𝑜𝑛𝑎𝑙)▒𝐶_(𝐴𝑌,𝑘) )] 〗</a:t>
              </a:r>
              <a:endParaRPr lang="en-US" sz="1100">
                <a:solidFill>
                  <a:schemeClr val="tx1"/>
                </a:solidFill>
                <a:effectLst/>
                <a:latin typeface="+mn-lt"/>
                <a:ea typeface="+mn-ea"/>
                <a:cs typeface="+mn-cs"/>
              </a:endParaRPr>
            </a:p>
          </xdr:txBody>
        </xdr:sp>
      </mc:Fallback>
    </mc:AlternateContent>
    <xdr:clientData/>
  </xdr:twoCellAnchor>
  <xdr:twoCellAnchor>
    <xdr:from>
      <xdr:col>14</xdr:col>
      <xdr:colOff>465665</xdr:colOff>
      <xdr:row>66</xdr:row>
      <xdr:rowOff>50800</xdr:rowOff>
    </xdr:from>
    <xdr:to>
      <xdr:col>16</xdr:col>
      <xdr:colOff>550332</xdr:colOff>
      <xdr:row>68</xdr:row>
      <xdr:rowOff>91685</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2BAFF9B-4757-144B-9686-CC89B27A7116}"/>
                </a:ext>
              </a:extLst>
            </xdr:cNvPr>
            <xdr:cNvSpPr txBox="1"/>
          </xdr:nvSpPr>
          <xdr:spPr>
            <a:xfrm>
              <a:off x="12200465" y="13462000"/>
              <a:ext cx="1761067" cy="44728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𝑅</m:t>
                                            </m:r>
                                          </m:e>
                                        </m:d>
                                      </m:num>
                                      <m:den>
                                        <m:r>
                                          <a:rPr lang="en-US" sz="1100" i="1">
                                            <a:solidFill>
                                              <a:schemeClr val="tx1"/>
                                            </a:solidFill>
                                            <a:effectLst/>
                                            <a:latin typeface="Cambria Math" panose="02040503050406030204" pitchFamily="18" charset="0"/>
                                            <a:ea typeface="+mn-ea"/>
                                            <a:cs typeface="+mn-cs"/>
                                          </a:rPr>
                                          <m:t>𝑅</m:t>
                                        </m:r>
                                      </m:den>
                                    </m:f>
                                  </m:e>
                                </m:d>
                              </m:e>
                              <m:sup>
                                <m:r>
                                  <a:rPr lang="en-US" sz="1100" i="1">
                                    <a:solidFill>
                                      <a:schemeClr val="tx1"/>
                                    </a:solidFill>
                                    <a:effectLst/>
                                    <a:latin typeface="Cambria Math" panose="02040503050406030204" pitchFamily="18" charset="0"/>
                                    <a:ea typeface="+mn-ea"/>
                                    <a:cs typeface="+mn-cs"/>
                                  </a:rPr>
                                  <m:t>2</m:t>
                                </m:r>
                              </m:sup>
                            </m:sSup>
                          </m:e>
                        </m:d>
                      </m:e>
                    </m:func>
                    <m:r>
                      <a:rPr lang="en-US" sz="1100" i="1">
                        <a:solidFill>
                          <a:schemeClr val="tx1"/>
                        </a:solidFill>
                        <a:effectLst/>
                        <a:latin typeface="Cambria Math" panose="02040503050406030204" pitchFamily="18" charset="0"/>
                        <a:ea typeface="+mn-ea"/>
                        <a:cs typeface="+mn-cs"/>
                      </a:rPr>
                      <m:t>  </m:t>
                    </m:r>
                  </m:oMath>
                </m:oMathPara>
              </a14:m>
              <a:endParaRPr lang="en-US"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72BAFF9B-4757-144B-9686-CC89B27A7116}"/>
                </a:ext>
              </a:extLst>
            </xdr:cNvPr>
            <xdr:cNvSpPr txBox="1"/>
          </xdr:nvSpPr>
          <xdr:spPr>
            <a:xfrm>
              <a:off x="12200465" y="13462000"/>
              <a:ext cx="1761067" cy="44728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𝜎^2=ln⁡[1+((𝑠.𝑒.(𝑅))/𝑅)^2 ]   </a:t>
              </a:r>
              <a:endParaRPr lang="en-US" sz="1100">
                <a:solidFill>
                  <a:schemeClr val="tx1"/>
                </a:solidFill>
                <a:effectLst/>
                <a:latin typeface="+mn-lt"/>
                <a:ea typeface="+mn-ea"/>
                <a:cs typeface="+mn-cs"/>
              </a:endParaRPr>
            </a:p>
          </xdr:txBody>
        </xdr:sp>
      </mc:Fallback>
    </mc:AlternateContent>
    <xdr:clientData/>
  </xdr:twoCellAnchor>
  <xdr:twoCellAnchor>
    <xdr:from>
      <xdr:col>14</xdr:col>
      <xdr:colOff>495300</xdr:colOff>
      <xdr:row>69</xdr:row>
      <xdr:rowOff>148166</xdr:rowOff>
    </xdr:from>
    <xdr:to>
      <xdr:col>16</xdr:col>
      <xdr:colOff>579966</xdr:colOff>
      <xdr:row>72</xdr:row>
      <xdr:rowOff>20305</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5CCD5EA7-A0AC-4D4F-927C-1372D6878B7D}"/>
                </a:ext>
              </a:extLst>
            </xdr:cNvPr>
            <xdr:cNvSpPr txBox="1"/>
          </xdr:nvSpPr>
          <xdr:spPr>
            <a:xfrm>
              <a:off x="12230100" y="14168966"/>
              <a:ext cx="1761066" cy="48173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C</m:t>
                    </m:r>
                    <m:r>
                      <a:rPr lang="en-US" sz="1100">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I</m:t>
                    </m:r>
                    <m:r>
                      <a:rPr lang="en-US" sz="1100">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m:t>
                    </m:r>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exp</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𝑧</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𝜎</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e>
                        </m:d>
                      </m:e>
                    </m:func>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5CCD5EA7-A0AC-4D4F-927C-1372D6878B7D}"/>
                </a:ext>
              </a:extLst>
            </xdr:cNvPr>
            <xdr:cNvSpPr txBox="1"/>
          </xdr:nvSpPr>
          <xdr:spPr>
            <a:xfrm>
              <a:off x="12230100" y="14168966"/>
              <a:ext cx="1761066" cy="48173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C.I.=𝑅×exp⁡[±𝑧×𝜎−𝜎^2/2]</a:t>
              </a:r>
              <a:endParaRPr lang="en-US" sz="1100">
                <a:solidFill>
                  <a:schemeClr val="tx1"/>
                </a:solidFill>
                <a:effectLst/>
                <a:latin typeface="+mn-lt"/>
                <a:ea typeface="+mn-ea"/>
                <a:cs typeface="+mn-cs"/>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1</xdr:col>
      <xdr:colOff>615090</xdr:colOff>
      <xdr:row>4</xdr:row>
      <xdr:rowOff>25400</xdr:rowOff>
    </xdr:from>
    <xdr:ext cx="4388711" cy="3095541"/>
    <xdr:pic>
      <xdr:nvPicPr>
        <xdr:cNvPr id="2" name="Picture 1">
          <a:extLst>
            <a:ext uri="{FF2B5EF4-FFF2-40B4-BE49-F238E27FC236}">
              <a16:creationId xmlns:a16="http://schemas.microsoft.com/office/drawing/2014/main" id="{DC25B922-AB97-7B48-9590-28723DF24265}"/>
            </a:ext>
          </a:extLst>
        </xdr:cNvPr>
        <xdr:cNvPicPr>
          <a:picLocks noChangeAspect="1"/>
        </xdr:cNvPicPr>
      </xdr:nvPicPr>
      <xdr:blipFill>
        <a:blip xmlns:r="http://schemas.openxmlformats.org/officeDocument/2006/relationships" r:embed="rId1"/>
        <a:stretch>
          <a:fillRect/>
        </a:stretch>
      </xdr:blipFill>
      <xdr:spPr>
        <a:xfrm>
          <a:off x="1453290" y="838200"/>
          <a:ext cx="4388711" cy="3095541"/>
        </a:xfrm>
        <a:prstGeom prst="rect">
          <a:avLst/>
        </a:prstGeom>
        <a:ln>
          <a:solidFill>
            <a:schemeClr val="tx1"/>
          </a:solidFill>
        </a:ln>
      </xdr:spPr>
    </xdr:pic>
    <xdr:clientData/>
  </xdr:oneCellAnchor>
  <xdr:oneCellAnchor>
    <xdr:from>
      <xdr:col>1</xdr:col>
      <xdr:colOff>647701</xdr:colOff>
      <xdr:row>20</xdr:row>
      <xdr:rowOff>12701</xdr:rowOff>
    </xdr:from>
    <xdr:ext cx="4404021" cy="3073399"/>
    <xdr:pic>
      <xdr:nvPicPr>
        <xdr:cNvPr id="3" name="Picture 2">
          <a:extLst>
            <a:ext uri="{FF2B5EF4-FFF2-40B4-BE49-F238E27FC236}">
              <a16:creationId xmlns:a16="http://schemas.microsoft.com/office/drawing/2014/main" id="{69C8E809-26E7-844E-81A3-67211462A0F3}"/>
            </a:ext>
          </a:extLst>
        </xdr:cNvPr>
        <xdr:cNvPicPr>
          <a:picLocks noChangeAspect="1"/>
        </xdr:cNvPicPr>
      </xdr:nvPicPr>
      <xdr:blipFill>
        <a:blip xmlns:r="http://schemas.openxmlformats.org/officeDocument/2006/relationships" r:embed="rId2"/>
        <a:stretch>
          <a:fillRect/>
        </a:stretch>
      </xdr:blipFill>
      <xdr:spPr>
        <a:xfrm>
          <a:off x="1485901" y="4076701"/>
          <a:ext cx="4404021" cy="3073399"/>
        </a:xfrm>
        <a:prstGeom prst="rect">
          <a:avLst/>
        </a:prstGeom>
        <a:ln>
          <a:solidFill>
            <a:schemeClr val="tx1"/>
          </a:solidFill>
        </a:ln>
      </xdr:spPr>
    </xdr:pic>
    <xdr:clientData/>
  </xdr:oneCellAnchor>
</xdr:wsDr>
</file>

<file path=xl/drawings/drawing6.xml><?xml version="1.0" encoding="utf-8"?>
<xdr:wsDr xmlns:xdr="http://schemas.openxmlformats.org/drawingml/2006/spreadsheetDrawing" xmlns:a="http://schemas.openxmlformats.org/drawingml/2006/main">
  <xdr:twoCellAnchor>
    <xdr:from>
      <xdr:col>12</xdr:col>
      <xdr:colOff>647700</xdr:colOff>
      <xdr:row>14</xdr:row>
      <xdr:rowOff>76200</xdr:rowOff>
    </xdr:from>
    <xdr:to>
      <xdr:col>14</xdr:col>
      <xdr:colOff>309034</xdr:colOff>
      <xdr:row>17</xdr:row>
      <xdr:rowOff>27516</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9D47D2C7-F3B0-404D-A074-5D940D23A151}"/>
                </a:ext>
              </a:extLst>
            </xdr:cNvPr>
            <xdr:cNvSpPr txBox="1"/>
          </xdr:nvSpPr>
          <xdr:spPr>
            <a:xfrm>
              <a:off x="10706100" y="2921000"/>
              <a:ext cx="1337734" cy="56091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=1−</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𝑆</m:t>
                            </m:r>
                          </m:e>
                          <m:sub>
                            <m:r>
                              <a:rPr lang="en-US" sz="1100" i="1">
                                <a:solidFill>
                                  <a:schemeClr val="tx1"/>
                                </a:solidFill>
                                <a:effectLst/>
                                <a:latin typeface="Cambria Math" panose="02040503050406030204" pitchFamily="18" charset="0"/>
                                <a:ea typeface="+mn-ea"/>
                                <a:cs typeface="+mn-cs"/>
                              </a:rPr>
                              <m:t>𝑘</m:t>
                            </m:r>
                          </m:sub>
                        </m:sSub>
                      </m:num>
                      <m:den>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𝑛</m:t>
                            </m:r>
                            <m:d>
                              <m:dPr>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𝑛</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−1</m:t>
                                </m:r>
                              </m:e>
                            </m:d>
                          </m:num>
                          <m:den>
                            <m:r>
                              <a:rPr lang="en-US" sz="1100" i="1">
                                <a:solidFill>
                                  <a:schemeClr val="tx1"/>
                                </a:solidFill>
                                <a:effectLst/>
                                <a:latin typeface="Cambria Math" panose="02040503050406030204" pitchFamily="18" charset="0"/>
                                <a:ea typeface="+mn-ea"/>
                                <a:cs typeface="+mn-cs"/>
                              </a:rPr>
                              <m:t>6</m:t>
                            </m:r>
                          </m:den>
                        </m:f>
                      </m:den>
                    </m:f>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9D47D2C7-F3B0-404D-A074-5D940D23A151}"/>
                </a:ext>
              </a:extLst>
            </xdr:cNvPr>
            <xdr:cNvSpPr txBox="1"/>
          </xdr:nvSpPr>
          <xdr:spPr>
            <a:xfrm>
              <a:off x="10706100" y="2921000"/>
              <a:ext cx="1337734" cy="56091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𝑇_𝑘=1−𝑆_𝑘/(𝑛(𝑛^2−1)/6)</a:t>
              </a:r>
              <a:endParaRPr lang="en-US" sz="1100">
                <a:solidFill>
                  <a:schemeClr val="tx1"/>
                </a:solidFill>
                <a:effectLst/>
                <a:latin typeface="+mn-lt"/>
                <a:ea typeface="+mn-ea"/>
                <a:cs typeface="+mn-cs"/>
              </a:endParaRPr>
            </a:p>
          </xdr:txBody>
        </xdr:sp>
      </mc:Fallback>
    </mc:AlternateContent>
    <xdr:clientData/>
  </xdr:twoCellAnchor>
  <xdr:twoCellAnchor>
    <xdr:from>
      <xdr:col>14</xdr:col>
      <xdr:colOff>698500</xdr:colOff>
      <xdr:row>14</xdr:row>
      <xdr:rowOff>114300</xdr:rowOff>
    </xdr:from>
    <xdr:to>
      <xdr:col>16</xdr:col>
      <xdr:colOff>275167</xdr:colOff>
      <xdr:row>16</xdr:row>
      <xdr:rowOff>158851</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721D4DB-ED2F-6441-9013-332E80159812}"/>
                </a:ext>
              </a:extLst>
            </xdr:cNvPr>
            <xdr:cNvSpPr txBox="1"/>
          </xdr:nvSpPr>
          <xdr:spPr>
            <a:xfrm>
              <a:off x="12433300" y="2959100"/>
              <a:ext cx="1253067" cy="45095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𝑇</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𝑤𝑒𝑖𝑔ℎ𝑡</m:t>
                                </m:r>
                              </m:e>
                              <m:sub>
                                <m:r>
                                  <a:rPr lang="en-US" sz="1100" i="1">
                                    <a:solidFill>
                                      <a:schemeClr val="tx1"/>
                                    </a:solidFill>
                                    <a:effectLst/>
                                    <a:latin typeface="Cambria Math" panose="02040503050406030204" pitchFamily="18" charset="0"/>
                                    <a:ea typeface="+mn-ea"/>
                                    <a:cs typeface="+mn-cs"/>
                                  </a:rPr>
                                  <m:t>𝑘</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𝑇</m:t>
                                </m:r>
                              </m:e>
                              <m:sub>
                                <m:r>
                                  <a:rPr lang="en-US" sz="1100" i="1">
                                    <a:solidFill>
                                      <a:schemeClr val="tx1"/>
                                    </a:solidFill>
                                    <a:effectLst/>
                                    <a:latin typeface="Cambria Math" panose="02040503050406030204" pitchFamily="18" charset="0"/>
                                    <a:ea typeface="+mn-ea"/>
                                    <a:cs typeface="+mn-cs"/>
                                  </a:rPr>
                                  <m:t>𝑘</m:t>
                                </m:r>
                              </m:sub>
                            </m:sSub>
                          </m:e>
                        </m:nary>
                      </m:num>
                      <m:den>
                        <m:sSub>
                          <m:sSubPr>
                            <m:ctrlPr>
                              <a:rPr lang="en-US" sz="1100" i="1">
                                <a:solidFill>
                                  <a:schemeClr val="tx1"/>
                                </a:solidFill>
                                <a:effectLst/>
                                <a:latin typeface="Cambria Math" panose="02040503050406030204" pitchFamily="18" charset="0"/>
                                <a:ea typeface="+mn-ea"/>
                                <a:cs typeface="+mn-cs"/>
                              </a:rPr>
                            </m:ctrlPr>
                          </m:sSubPr>
                          <m:e>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𝑤𝑒𝑖𝑔ℎ𝑡</m:t>
                                </m:r>
                              </m:e>
                            </m:nary>
                          </m:e>
                          <m:sub>
                            <m:r>
                              <a:rPr lang="en-US" sz="1100" i="1">
                                <a:solidFill>
                                  <a:schemeClr val="tx1"/>
                                </a:solidFill>
                                <a:effectLst/>
                                <a:latin typeface="Cambria Math" panose="02040503050406030204" pitchFamily="18" charset="0"/>
                                <a:ea typeface="+mn-ea"/>
                                <a:cs typeface="+mn-cs"/>
                              </a:rPr>
                              <m:t>𝑘</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E721D4DB-ED2F-6441-9013-332E80159812}"/>
                </a:ext>
              </a:extLst>
            </xdr:cNvPr>
            <xdr:cNvSpPr txBox="1"/>
          </xdr:nvSpPr>
          <xdr:spPr>
            <a:xfrm>
              <a:off x="12433300" y="2959100"/>
              <a:ext cx="1253067" cy="45095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𝑇=(∑1▒〖〖𝑤𝑒𝑖𝑔ℎ𝑡〗_𝑘×𝑇_𝑘 〗)/∑1▒𝑤𝑒𝑖𝑔ℎ𝑡_𝑘 </a:t>
              </a:r>
              <a:endParaRPr lang="en-US" sz="1100">
                <a:solidFill>
                  <a:schemeClr val="tx1"/>
                </a:solidFill>
                <a:effectLst/>
                <a:latin typeface="+mn-lt"/>
                <a:ea typeface="+mn-ea"/>
                <a:cs typeface="+mn-cs"/>
              </a:endParaRPr>
            </a:p>
          </xdr:txBody>
        </xdr:sp>
      </mc:Fallback>
    </mc:AlternateContent>
    <xdr:clientData/>
  </xdr:twoCellAnchor>
  <xdr:twoCellAnchor>
    <xdr:from>
      <xdr:col>14</xdr:col>
      <xdr:colOff>673100</xdr:colOff>
      <xdr:row>27</xdr:row>
      <xdr:rowOff>165100</xdr:rowOff>
    </xdr:from>
    <xdr:to>
      <xdr:col>17</xdr:col>
      <xdr:colOff>313267</xdr:colOff>
      <xdr:row>30</xdr:row>
      <xdr:rowOff>116416</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C2176E8F-4333-F540-9912-BA4AA588C228}"/>
                </a:ext>
              </a:extLst>
            </xdr:cNvPr>
            <xdr:cNvSpPr txBox="1"/>
          </xdr:nvSpPr>
          <xdr:spPr>
            <a:xfrm>
              <a:off x="12407900" y="5651500"/>
              <a:ext cx="2154767" cy="56091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sty m:val="p"/>
                      </m:rPr>
                      <a:rPr lang="en-US" sz="1100">
                        <a:solidFill>
                          <a:schemeClr val="tx1"/>
                        </a:solidFill>
                        <a:effectLst/>
                        <a:latin typeface="Cambria Math" panose="02040503050406030204" pitchFamily="18" charset="0"/>
                        <a:ea typeface="+mn-ea"/>
                        <a:cs typeface="+mn-cs"/>
                      </a:rPr>
                      <m:t>Var</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𝑇</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−2</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𝐴𝑌𝑠</m:t>
                            </m:r>
                            <m:r>
                              <a:rPr lang="en-US" sz="1100" i="1">
                                <a:solidFill>
                                  <a:schemeClr val="tx1"/>
                                </a:solidFill>
                                <a:effectLst/>
                                <a:latin typeface="Cambria Math" panose="02040503050406030204" pitchFamily="18" charset="0"/>
                                <a:ea typeface="+mn-ea"/>
                                <a:cs typeface="+mn-cs"/>
                              </a:rPr>
                              <m:t>−3</m:t>
                            </m:r>
                          </m:num>
                          <m:den>
                            <m:r>
                              <a:rPr lang="en-US" sz="1100" i="1">
                                <a:solidFill>
                                  <a:schemeClr val="tx1"/>
                                </a:solidFill>
                                <a:effectLst/>
                                <a:latin typeface="Cambria Math" panose="02040503050406030204" pitchFamily="18" charset="0"/>
                                <a:ea typeface="+mn-ea"/>
                                <a:cs typeface="+mn-cs"/>
                              </a:rPr>
                              <m:t>2</m:t>
                            </m:r>
                          </m:den>
                        </m:f>
                      </m:den>
                    </m:f>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C2176E8F-4333-F540-9912-BA4AA588C228}"/>
                </a:ext>
              </a:extLst>
            </xdr:cNvPr>
            <xdr:cNvSpPr txBox="1"/>
          </xdr:nvSpPr>
          <xdr:spPr>
            <a:xfrm>
              <a:off x="12407900" y="5651500"/>
              <a:ext cx="2154767" cy="56091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Var(𝑇)=1/((#𝐴𝑌𝑠−2)×(#𝐴𝑌𝑠−3)/2)</a:t>
              </a:r>
              <a:endParaRPr lang="en-US" sz="1100">
                <a:solidFill>
                  <a:schemeClr val="tx1"/>
                </a:solidFill>
                <a:effectLst/>
                <a:latin typeface="+mn-lt"/>
                <a:ea typeface="+mn-ea"/>
                <a:cs typeface="+mn-cs"/>
              </a:endParaRP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279400</xdr:colOff>
      <xdr:row>12</xdr:row>
      <xdr:rowOff>139701</xdr:rowOff>
    </xdr:from>
    <xdr:to>
      <xdr:col>16</xdr:col>
      <xdr:colOff>304800</xdr:colOff>
      <xdr:row>24</xdr:row>
      <xdr:rowOff>1</xdr:rowOff>
    </xdr:to>
    <xdr:graphicFrame macro="">
      <xdr:nvGraphicFramePr>
        <xdr:cNvPr id="2" name="Chart 1">
          <a:extLst>
            <a:ext uri="{FF2B5EF4-FFF2-40B4-BE49-F238E27FC236}">
              <a16:creationId xmlns:a16="http://schemas.microsoft.com/office/drawing/2014/main" id="{BAA6F950-B738-2D40-A765-89D16B7E5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5</xdr:row>
      <xdr:rowOff>0</xdr:rowOff>
    </xdr:from>
    <xdr:ext cx="5581650" cy="3387872"/>
    <xdr:pic>
      <xdr:nvPicPr>
        <xdr:cNvPr id="2" name="Picture 1">
          <a:extLst>
            <a:ext uri="{FF2B5EF4-FFF2-40B4-BE49-F238E27FC236}">
              <a16:creationId xmlns:a16="http://schemas.microsoft.com/office/drawing/2014/main" id="{5AF04DCF-6D4B-D244-89F0-5BB6F20E69BD}"/>
            </a:ext>
          </a:extLst>
        </xdr:cNvPr>
        <xdr:cNvPicPr>
          <a:picLocks noChangeAspect="1"/>
        </xdr:cNvPicPr>
      </xdr:nvPicPr>
      <xdr:blipFill>
        <a:blip xmlns:r="http://schemas.openxmlformats.org/officeDocument/2006/relationships" r:embed="rId1"/>
        <a:stretch>
          <a:fillRect/>
        </a:stretch>
      </xdr:blipFill>
      <xdr:spPr>
        <a:xfrm>
          <a:off x="1676400" y="1016000"/>
          <a:ext cx="5581650" cy="3387872"/>
        </a:xfrm>
        <a:prstGeom prst="rect">
          <a:avLst/>
        </a:prstGeom>
      </xdr:spPr>
    </xdr:pic>
    <xdr:clientData/>
  </xdr:oneCellAnchor>
  <xdr:oneCellAnchor>
    <xdr:from>
      <xdr:col>2</xdr:col>
      <xdr:colOff>0</xdr:colOff>
      <xdr:row>23</xdr:row>
      <xdr:rowOff>0</xdr:rowOff>
    </xdr:from>
    <xdr:ext cx="5600700" cy="3251647"/>
    <xdr:pic>
      <xdr:nvPicPr>
        <xdr:cNvPr id="3" name="Picture 2">
          <a:extLst>
            <a:ext uri="{FF2B5EF4-FFF2-40B4-BE49-F238E27FC236}">
              <a16:creationId xmlns:a16="http://schemas.microsoft.com/office/drawing/2014/main" id="{DA2087EE-EAED-544E-9C82-EA68A257D1DB}"/>
            </a:ext>
          </a:extLst>
        </xdr:cNvPr>
        <xdr:cNvPicPr>
          <a:picLocks noChangeAspect="1"/>
        </xdr:cNvPicPr>
      </xdr:nvPicPr>
      <xdr:blipFill>
        <a:blip xmlns:r="http://schemas.openxmlformats.org/officeDocument/2006/relationships" r:embed="rId2"/>
        <a:stretch>
          <a:fillRect/>
        </a:stretch>
      </xdr:blipFill>
      <xdr:spPr>
        <a:xfrm>
          <a:off x="1676400" y="4673600"/>
          <a:ext cx="5600700" cy="3251647"/>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11</xdr:col>
      <xdr:colOff>615950</xdr:colOff>
      <xdr:row>14</xdr:row>
      <xdr:rowOff>6350</xdr:rowOff>
    </xdr:from>
    <xdr:to>
      <xdr:col>17</xdr:col>
      <xdr:colOff>330200</xdr:colOff>
      <xdr:row>28</xdr:row>
      <xdr:rowOff>88900</xdr:rowOff>
    </xdr:to>
    <xdr:graphicFrame macro="">
      <xdr:nvGraphicFramePr>
        <xdr:cNvPr id="2" name="Chart 1">
          <a:extLst>
            <a:ext uri="{FF2B5EF4-FFF2-40B4-BE49-F238E27FC236}">
              <a16:creationId xmlns:a16="http://schemas.microsoft.com/office/drawing/2014/main" id="{740C030D-10AC-5644-B618-F143E640D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673100</xdr:colOff>
      <xdr:row>31</xdr:row>
      <xdr:rowOff>0</xdr:rowOff>
    </xdr:from>
    <xdr:to>
      <xdr:col>16</xdr:col>
      <xdr:colOff>706748</xdr:colOff>
      <xdr:row>33</xdr:row>
      <xdr:rowOff>123952</xdr:rowOff>
    </xdr:to>
    <xdr:pic>
      <xdr:nvPicPr>
        <xdr:cNvPr id="2" name="Picture 3">
          <a:extLst>
            <a:ext uri="{FF2B5EF4-FFF2-40B4-BE49-F238E27FC236}">
              <a16:creationId xmlns:a16="http://schemas.microsoft.com/office/drawing/2014/main" id="{B21FC592-D55B-034B-90B7-1FF51A477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7900" y="6299200"/>
          <a:ext cx="1710048" cy="530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292100</xdr:colOff>
      <xdr:row>14</xdr:row>
      <xdr:rowOff>101600</xdr:rowOff>
    </xdr:from>
    <xdr:to>
      <xdr:col>16</xdr:col>
      <xdr:colOff>190500</xdr:colOff>
      <xdr:row>26</xdr:row>
      <xdr:rowOff>127000</xdr:rowOff>
    </xdr:to>
    <xdr:graphicFrame macro="">
      <xdr:nvGraphicFramePr>
        <xdr:cNvPr id="2" name="Chart 1">
          <a:extLst>
            <a:ext uri="{FF2B5EF4-FFF2-40B4-BE49-F238E27FC236}">
              <a16:creationId xmlns:a16="http://schemas.microsoft.com/office/drawing/2014/main" id="{B45FD10D-C95E-9749-B017-1FF0DEF45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oneCellAnchor>
    <xdr:from>
      <xdr:col>2</xdr:col>
      <xdr:colOff>215900</xdr:colOff>
      <xdr:row>15</xdr:row>
      <xdr:rowOff>50800</xdr:rowOff>
    </xdr:from>
    <xdr:ext cx="1460500" cy="19313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8D21213-F22B-4941-B3C7-3BEAF1368A5C}"/>
                </a:ext>
              </a:extLst>
            </xdr:cNvPr>
            <xdr:cNvSpPr txBox="1"/>
          </xdr:nvSpPr>
          <xdr:spPr>
            <a:xfrm>
              <a:off x="1892300" y="3098800"/>
              <a:ext cx="1460500" cy="1931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US" sz="1200" b="0" i="1">
                      <a:latin typeface="Cambria Math" panose="02040503050406030204" pitchFamily="18" charset="0"/>
                    </a:rPr>
                    <m:t>𝑉𝑎𝑟</m:t>
                  </m:r>
                  <m:r>
                    <a:rPr lang="en-US" sz="1200" b="0" i="1">
                      <a:latin typeface="Cambria Math" panose="02040503050406030204" pitchFamily="18" charset="0"/>
                    </a:rPr>
                    <m:t>(</m:t>
                  </m:r>
                  <m:sSub>
                    <m:sSubPr>
                      <m:ctrlPr>
                        <a:rPr lang="en-US" sz="1200" b="0" i="1">
                          <a:latin typeface="Cambria Math" panose="02040503050406030204" pitchFamily="18" charset="0"/>
                        </a:rPr>
                      </m:ctrlPr>
                    </m:sSubPr>
                    <m:e>
                      <m:r>
                        <a:rPr lang="en-US" sz="1200" b="0" i="1">
                          <a:latin typeface="Cambria Math" panose="02040503050406030204" pitchFamily="18" charset="0"/>
                        </a:rPr>
                        <m:t>𝐶</m:t>
                      </m:r>
                    </m:e>
                    <m:sub>
                      <m:r>
                        <a:rPr lang="en-US" sz="1200" b="0" i="1">
                          <a:latin typeface="Cambria Math" panose="02040503050406030204" pitchFamily="18" charset="0"/>
                        </a:rPr>
                        <m:t>𝑖</m:t>
                      </m:r>
                      <m:r>
                        <a:rPr lang="en-US" sz="1200" b="0" i="1">
                          <a:latin typeface="Cambria Math" panose="02040503050406030204" pitchFamily="18" charset="0"/>
                        </a:rPr>
                        <m:t>,</m:t>
                      </m:r>
                      <m:r>
                        <a:rPr lang="en-US" sz="1200" b="0" i="1">
                          <a:latin typeface="Cambria Math" panose="02040503050406030204" pitchFamily="18" charset="0"/>
                        </a:rPr>
                        <m:t>𝑘</m:t>
                      </m:r>
                      <m:r>
                        <a:rPr lang="en-US" sz="1200" b="0" i="1">
                          <a:latin typeface="Cambria Math" panose="02040503050406030204" pitchFamily="18" charset="0"/>
                        </a:rPr>
                        <m:t>+1</m:t>
                      </m:r>
                    </m:sub>
                  </m:sSub>
                  <m:r>
                    <a:rPr lang="en-US" sz="1200" b="0" i="1">
                      <a:latin typeface="Cambria Math" panose="02040503050406030204" pitchFamily="18" charset="0"/>
                    </a:rPr>
                    <m:t>|</m:t>
                  </m:r>
                  <m:sSub>
                    <m:sSubPr>
                      <m:ctrlPr>
                        <a:rPr lang="en-US" sz="1200" b="0" i="1">
                          <a:latin typeface="Cambria Math" panose="02040503050406030204" pitchFamily="18" charset="0"/>
                        </a:rPr>
                      </m:ctrlPr>
                    </m:sSubPr>
                    <m:e>
                      <m:r>
                        <a:rPr lang="en-US" sz="1200" b="0" i="1">
                          <a:latin typeface="Cambria Math" panose="02040503050406030204" pitchFamily="18" charset="0"/>
                        </a:rPr>
                        <m:t>𝐶</m:t>
                      </m:r>
                    </m:e>
                    <m:sub>
                      <m:r>
                        <a:rPr lang="en-US" sz="1200" b="0" i="1">
                          <a:latin typeface="Cambria Math" panose="02040503050406030204" pitchFamily="18" charset="0"/>
                        </a:rPr>
                        <m:t>𝑖</m:t>
                      </m:r>
                      <m:r>
                        <a:rPr lang="en-US" sz="1200" b="0" i="1">
                          <a:latin typeface="Cambria Math" panose="02040503050406030204" pitchFamily="18" charset="0"/>
                        </a:rPr>
                        <m:t>1</m:t>
                      </m:r>
                    </m:sub>
                  </m:sSub>
                  <m:sSub>
                    <m:sSubPr>
                      <m:ctrlPr>
                        <a:rPr lang="en-US" sz="1200" b="0" i="1">
                          <a:latin typeface="Cambria Math" panose="02040503050406030204" pitchFamily="18" charset="0"/>
                        </a:rPr>
                      </m:ctrlPr>
                    </m:sSubPr>
                    <m:e>
                      <m:r>
                        <a:rPr lang="en-US" sz="1200" b="0" i="1">
                          <a:latin typeface="Cambria Math" panose="02040503050406030204" pitchFamily="18" charset="0"/>
                        </a:rPr>
                        <m:t>,…,</m:t>
                      </m:r>
                      <m:r>
                        <a:rPr lang="en-US" sz="1200" b="0" i="1">
                          <a:latin typeface="Cambria Math" panose="02040503050406030204" pitchFamily="18" charset="0"/>
                        </a:rPr>
                        <m:t>𝐶</m:t>
                      </m:r>
                    </m:e>
                    <m:sub>
                      <m:r>
                        <a:rPr lang="en-US" sz="1200" b="0" i="1">
                          <a:latin typeface="Cambria Math" panose="02040503050406030204" pitchFamily="18" charset="0"/>
                        </a:rPr>
                        <m:t>𝑖𝑘</m:t>
                      </m:r>
                    </m:sub>
                  </m:sSub>
                </m:oMath>
              </a14:m>
              <a:r>
                <a:rPr lang="en-US" sz="1200"/>
                <a:t>)</a:t>
              </a:r>
            </a:p>
          </xdr:txBody>
        </xdr:sp>
      </mc:Choice>
      <mc:Fallback xmlns="">
        <xdr:sp macro="" textlink="">
          <xdr:nvSpPr>
            <xdr:cNvPr id="2" name="TextBox 1">
              <a:extLst>
                <a:ext uri="{FF2B5EF4-FFF2-40B4-BE49-F238E27FC236}">
                  <a16:creationId xmlns:a16="http://schemas.microsoft.com/office/drawing/2014/main" id="{28D21213-F22B-4941-B3C7-3BEAF1368A5C}"/>
                </a:ext>
              </a:extLst>
            </xdr:cNvPr>
            <xdr:cNvSpPr txBox="1"/>
          </xdr:nvSpPr>
          <xdr:spPr>
            <a:xfrm>
              <a:off x="1892300" y="3098800"/>
              <a:ext cx="1460500" cy="1931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200" b="0" i="0">
                  <a:latin typeface="Cambria Math" panose="02040503050406030204" pitchFamily="18" charset="0"/>
                </a:rPr>
                <a:t>𝑉𝑎𝑟(𝐶_(𝑖,𝑘+1) |𝐶_𝑖1 〖,…,𝐶〗_𝑖𝑘</a:t>
              </a:r>
              <a:r>
                <a:rPr lang="en-US" sz="1200"/>
                <a:t>)</a:t>
              </a:r>
            </a:p>
          </xdr:txBody>
        </xdr:sp>
      </mc:Fallback>
    </mc:AlternateContent>
    <xdr:clientData/>
  </xdr:oneCellAnchor>
  <xdr:twoCellAnchor>
    <xdr:from>
      <xdr:col>11</xdr:col>
      <xdr:colOff>215900</xdr:colOff>
      <xdr:row>15</xdr:row>
      <xdr:rowOff>215900</xdr:rowOff>
    </xdr:from>
    <xdr:to>
      <xdr:col>17</xdr:col>
      <xdr:colOff>203200</xdr:colOff>
      <xdr:row>29</xdr:row>
      <xdr:rowOff>88900</xdr:rowOff>
    </xdr:to>
    <xdr:graphicFrame macro="">
      <xdr:nvGraphicFramePr>
        <xdr:cNvPr id="3" name="Chart 2" title="Chart">
          <a:extLst>
            <a:ext uri="{FF2B5EF4-FFF2-40B4-BE49-F238E27FC236}">
              <a16:creationId xmlns:a16="http://schemas.microsoft.com/office/drawing/2014/main" id="{D7E862AD-4C97-2645-97E0-629F7B321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3.xml><?xml version="1.0" encoding="utf-8"?>
<xdr:wsDr xmlns:xdr="http://schemas.openxmlformats.org/drawingml/2006/spreadsheetDrawing" xmlns:a="http://schemas.openxmlformats.org/drawingml/2006/main">
  <xdr:twoCellAnchor>
    <xdr:from>
      <xdr:col>14</xdr:col>
      <xdr:colOff>95250</xdr:colOff>
      <xdr:row>20</xdr:row>
      <xdr:rowOff>57149</xdr:rowOff>
    </xdr:from>
    <xdr:to>
      <xdr:col>15</xdr:col>
      <xdr:colOff>746308</xdr:colOff>
      <xdr:row>22</xdr:row>
      <xdr:rowOff>25653</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C79427A-1C66-CD4D-94D5-E79CAB705006}"/>
                </a:ext>
              </a:extLst>
            </xdr:cNvPr>
            <xdr:cNvSpPr txBox="1"/>
          </xdr:nvSpPr>
          <xdr:spPr>
            <a:xfrm>
              <a:off x="11830050" y="4121149"/>
              <a:ext cx="1489258" cy="37490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
                    <m:sSub>
                      <m:sSubPr>
                        <m:ctrlPr>
                          <a:rPr lang="en-US" sz="1200" b="0" i="1">
                            <a:latin typeface="Cambria Math" panose="02040503050406030204" pitchFamily="18" charset="0"/>
                          </a:rPr>
                        </m:ctrlPr>
                      </m:sSubPr>
                      <m:e>
                        <m:r>
                          <a:rPr lang="en-US" sz="1200" b="0" i="1">
                            <a:latin typeface="Cambria Math" panose="02040503050406030204" pitchFamily="18" charset="0"/>
                          </a:rPr>
                          <m:t>𝑇</m:t>
                        </m:r>
                      </m:e>
                      <m:sub>
                        <m:r>
                          <a:rPr lang="en-US" sz="1200" b="0" i="1">
                            <a:latin typeface="Cambria Math" panose="02040503050406030204" pitchFamily="18" charset="0"/>
                          </a:rPr>
                          <m:t>𝑘</m:t>
                        </m:r>
                      </m:sub>
                    </m:sSub>
                    <m:r>
                      <a:rPr lang="en-US" sz="1200" b="0" i="1">
                        <a:latin typeface="Cambria Math" panose="02040503050406030204" pitchFamily="18" charset="0"/>
                      </a:rPr>
                      <m:t>=1−</m:t>
                    </m:r>
                    <m:f>
                      <m:fPr>
                        <m:ctrlPr>
                          <a:rPr lang="en-US" sz="1200" b="0" i="1">
                            <a:latin typeface="Cambria Math" panose="02040503050406030204" pitchFamily="18" charset="0"/>
                          </a:rPr>
                        </m:ctrlPr>
                      </m:fPr>
                      <m:num>
                        <m:sSub>
                          <m:sSubPr>
                            <m:ctrlPr>
                              <a:rPr lang="en-US" sz="1200" b="0" i="1">
                                <a:latin typeface="Cambria Math" panose="02040503050406030204" pitchFamily="18" charset="0"/>
                              </a:rPr>
                            </m:ctrlPr>
                          </m:sSubPr>
                          <m:e>
                            <m:r>
                              <a:rPr lang="en-US" sz="1200" b="0" i="1">
                                <a:latin typeface="Cambria Math" panose="02040503050406030204" pitchFamily="18" charset="0"/>
                              </a:rPr>
                              <m:t>𝑆</m:t>
                            </m:r>
                          </m:e>
                          <m:sub>
                            <m:r>
                              <a:rPr lang="en-US" sz="1200" b="0" i="1">
                                <a:latin typeface="Cambria Math" panose="02040503050406030204" pitchFamily="18" charset="0"/>
                              </a:rPr>
                              <m:t>𝑘</m:t>
                            </m:r>
                          </m:sub>
                        </m:sSub>
                      </m:num>
                      <m:den>
                        <m:f>
                          <m:fPr>
                            <m:type m:val="lin"/>
                            <m:ctrlPr>
                              <a:rPr lang="en-US" sz="1200" b="0" i="1">
                                <a:latin typeface="Cambria Math" panose="02040503050406030204" pitchFamily="18" charset="0"/>
                              </a:rPr>
                            </m:ctrlPr>
                          </m:fPr>
                          <m:num>
                            <m:r>
                              <a:rPr lang="en-US" sz="1200" b="0" i="1">
                                <a:latin typeface="Cambria Math" panose="02040503050406030204" pitchFamily="18" charset="0"/>
                              </a:rPr>
                              <m:t>𝑛</m:t>
                            </m:r>
                            <m:d>
                              <m:dPr>
                                <m:ctrlPr>
                                  <a:rPr lang="en-US" sz="1200" b="0" i="1">
                                    <a:latin typeface="Cambria Math" panose="02040503050406030204" pitchFamily="18" charset="0"/>
                                  </a:rPr>
                                </m:ctrlPr>
                              </m:dPr>
                              <m:e>
                                <m:sSup>
                                  <m:sSupPr>
                                    <m:ctrlPr>
                                      <a:rPr lang="en-US" sz="1200" b="0" i="1">
                                        <a:latin typeface="Cambria Math" panose="02040503050406030204" pitchFamily="18" charset="0"/>
                                      </a:rPr>
                                    </m:ctrlPr>
                                  </m:sSupPr>
                                  <m:e>
                                    <m:r>
                                      <a:rPr lang="en-US" sz="1200" b="0" i="1">
                                        <a:latin typeface="Cambria Math" panose="02040503050406030204" pitchFamily="18" charset="0"/>
                                      </a:rPr>
                                      <m:t>𝑛</m:t>
                                    </m:r>
                                  </m:e>
                                  <m:sup>
                                    <m:r>
                                      <a:rPr lang="en-US" sz="1200" b="0" i="1">
                                        <a:latin typeface="Cambria Math" panose="02040503050406030204" pitchFamily="18" charset="0"/>
                                      </a:rPr>
                                      <m:t>2</m:t>
                                    </m:r>
                                  </m:sup>
                                </m:sSup>
                                <m:r>
                                  <a:rPr lang="en-US" sz="1200" b="0" i="1">
                                    <a:latin typeface="Cambria Math" panose="02040503050406030204" pitchFamily="18" charset="0"/>
                                  </a:rPr>
                                  <m:t>−1</m:t>
                                </m:r>
                              </m:e>
                            </m:d>
                          </m:num>
                          <m:den>
                            <m:r>
                              <a:rPr lang="en-US" sz="1200" b="0" i="1">
                                <a:latin typeface="Cambria Math" panose="02040503050406030204" pitchFamily="18" charset="0"/>
                              </a:rPr>
                              <m:t>6</m:t>
                            </m:r>
                          </m:den>
                        </m:f>
                      </m:den>
                    </m:f>
                  </m:oMath>
                </m:oMathPara>
              </a14:m>
              <a:endParaRPr lang="en-US" sz="1200"/>
            </a:p>
          </xdr:txBody>
        </xdr:sp>
      </mc:Choice>
      <mc:Fallback xmlns="">
        <xdr:sp macro="" textlink="">
          <xdr:nvSpPr>
            <xdr:cNvPr id="2" name="TextBox 1">
              <a:extLst>
                <a:ext uri="{FF2B5EF4-FFF2-40B4-BE49-F238E27FC236}">
                  <a16:creationId xmlns:a16="http://schemas.microsoft.com/office/drawing/2014/main" id="{5C79427A-1C66-CD4D-94D5-E79CAB705006}"/>
                </a:ext>
              </a:extLst>
            </xdr:cNvPr>
            <xdr:cNvSpPr txBox="1"/>
          </xdr:nvSpPr>
          <xdr:spPr>
            <a:xfrm>
              <a:off x="11830050" y="4121149"/>
              <a:ext cx="1489258" cy="37490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𝑇_𝑘=1−𝑆_𝑘/(𝑛(𝑛^2−1)∕6)</a:t>
              </a:r>
              <a:endParaRPr lang="en-US" sz="1200"/>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oneCellAnchor>
    <xdr:from>
      <xdr:col>2</xdr:col>
      <xdr:colOff>0</xdr:colOff>
      <xdr:row>32</xdr:row>
      <xdr:rowOff>0</xdr:rowOff>
    </xdr:from>
    <xdr:ext cx="5382376" cy="3419947"/>
    <xdr:pic>
      <xdr:nvPicPr>
        <xdr:cNvPr id="2" name="Picture 1">
          <a:extLst>
            <a:ext uri="{FF2B5EF4-FFF2-40B4-BE49-F238E27FC236}">
              <a16:creationId xmlns:a16="http://schemas.microsoft.com/office/drawing/2014/main" id="{9AFEDE8B-9676-4A45-B6DC-243D739A75BE}"/>
            </a:ext>
          </a:extLst>
        </xdr:cNvPr>
        <xdr:cNvPicPr>
          <a:picLocks noChangeAspect="1"/>
        </xdr:cNvPicPr>
      </xdr:nvPicPr>
      <xdr:blipFill>
        <a:blip xmlns:r="http://schemas.openxmlformats.org/officeDocument/2006/relationships" r:embed="rId1"/>
        <a:stretch>
          <a:fillRect/>
        </a:stretch>
      </xdr:blipFill>
      <xdr:spPr>
        <a:xfrm>
          <a:off x="1676400" y="6502400"/>
          <a:ext cx="5382376" cy="3419947"/>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xdr:col>
      <xdr:colOff>220663</xdr:colOff>
      <xdr:row>4</xdr:row>
      <xdr:rowOff>0</xdr:rowOff>
    </xdr:from>
    <xdr:ext cx="184025" cy="1797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06BFFA-FD46-224C-8D43-D8B25B5923CC}"/>
                </a:ext>
              </a:extLst>
            </xdr:cNvPr>
            <xdr:cNvSpPr txBox="1"/>
          </xdr:nvSpPr>
          <xdr:spPr>
            <a:xfrm>
              <a:off x="1871663" y="812800"/>
              <a:ext cx="184025"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Sup>
                      <m:sSubSupPr>
                        <m:ctrlPr>
                          <a:rPr lang="en-US" sz="1100" i="1">
                            <a:latin typeface="Cambria Math" panose="02040503050406030204" pitchFamily="18" charset="0"/>
                          </a:rPr>
                        </m:ctrlPr>
                      </m:sSubSupPr>
                      <m:e>
                        <m:acc>
                          <m:accPr>
                            <m:chr m:val="̂"/>
                            <m:ctrlPr>
                              <a:rPr lang="en-US" sz="1100" b="0" i="1">
                                <a:latin typeface="Cambria Math" panose="02040503050406030204" pitchFamily="18" charset="0"/>
                              </a:rPr>
                            </m:ctrlPr>
                          </m:accPr>
                          <m:e>
                            <m:r>
                              <a:rPr lang="en-US" sz="1100" b="0" i="1">
                                <a:latin typeface="Cambria Math" panose="02040503050406030204" pitchFamily="18" charset="0"/>
                              </a:rPr>
                              <m:t>⍺</m:t>
                            </m:r>
                          </m:e>
                        </m:acc>
                      </m:e>
                      <m:sub>
                        <m:r>
                          <a:rPr lang="en-US" sz="1100" b="0" i="1">
                            <a:latin typeface="Cambria Math" panose="02040503050406030204" pitchFamily="18" charset="0"/>
                          </a:rPr>
                          <m:t>𝑘</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2" name="TextBox 1">
              <a:extLst>
                <a:ext uri="{FF2B5EF4-FFF2-40B4-BE49-F238E27FC236}">
                  <a16:creationId xmlns:a16="http://schemas.microsoft.com/office/drawing/2014/main" id="{AD06BFFA-FD46-224C-8D43-D8B25B5923CC}"/>
                </a:ext>
              </a:extLst>
            </xdr:cNvPr>
            <xdr:cNvSpPr txBox="1"/>
          </xdr:nvSpPr>
          <xdr:spPr>
            <a:xfrm>
              <a:off x="1871663" y="812800"/>
              <a:ext cx="184025" cy="17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 ̂_𝑘^2</a:t>
              </a:r>
              <a:endParaRPr lang="en-US" sz="1100"/>
            </a:p>
          </xdr:txBody>
        </xdr:sp>
      </mc:Fallback>
    </mc:AlternateContent>
    <xdr:clientData/>
  </xdr:oneCellAnchor>
  <xdr:oneCellAnchor>
    <xdr:from>
      <xdr:col>4</xdr:col>
      <xdr:colOff>736600</xdr:colOff>
      <xdr:row>4</xdr:row>
      <xdr:rowOff>20638</xdr:rowOff>
    </xdr:from>
    <xdr:ext cx="296620"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08E41D-B7D2-7149-AFAD-C0F1958F572F}"/>
                </a:ext>
              </a:extLst>
            </xdr:cNvPr>
            <xdr:cNvSpPr txBox="1"/>
          </xdr:nvSpPr>
          <xdr:spPr>
            <a:xfrm>
              <a:off x="4038600" y="833438"/>
              <a:ext cx="2966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m:t>
                        </m:r>
                      </m:e>
                      <m:sub>
                        <m:r>
                          <a:rPr lang="en-US" sz="1100" b="0" i="1">
                            <a:latin typeface="Cambria Math" panose="02040503050406030204" pitchFamily="18" charset="0"/>
                          </a:rPr>
                          <m:t>𝐼</m:t>
                        </m:r>
                        <m:r>
                          <a:rPr lang="en-US" sz="1100" b="0" i="1">
                            <a:latin typeface="Cambria Math" panose="02040503050406030204" pitchFamily="18" charset="0"/>
                          </a:rPr>
                          <m:t>−1</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5008E41D-B7D2-7149-AFAD-C0F1958F572F}"/>
                </a:ext>
              </a:extLst>
            </xdr:cNvPr>
            <xdr:cNvSpPr txBox="1"/>
          </xdr:nvSpPr>
          <xdr:spPr>
            <a:xfrm>
              <a:off x="4038600" y="833438"/>
              <a:ext cx="2966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⍺_(𝐼−1)</a:t>
              </a:r>
              <a:endParaRPr lang="en-US" sz="1100"/>
            </a:p>
          </xdr:txBody>
        </xdr:sp>
      </mc:Fallback>
    </mc:AlternateContent>
    <xdr:clientData/>
  </xdr:oneCellAnchor>
  <xdr:oneCellAnchor>
    <xdr:from>
      <xdr:col>7</xdr:col>
      <xdr:colOff>230188</xdr:colOff>
      <xdr:row>4</xdr:row>
      <xdr:rowOff>3175</xdr:rowOff>
    </xdr:from>
    <xdr:ext cx="296620"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CFF68F0-77B7-024B-AA38-92CCE2048D93}"/>
                </a:ext>
              </a:extLst>
            </xdr:cNvPr>
            <xdr:cNvSpPr txBox="1"/>
          </xdr:nvSpPr>
          <xdr:spPr>
            <a:xfrm>
              <a:off x="6008688" y="815975"/>
              <a:ext cx="2966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m:t>
                        </m:r>
                      </m:e>
                      <m:sub>
                        <m:r>
                          <a:rPr lang="en-US" sz="1100" b="0" i="1">
                            <a:latin typeface="Cambria Math" panose="02040503050406030204" pitchFamily="18" charset="0"/>
                          </a:rPr>
                          <m:t>𝐼</m:t>
                        </m:r>
                        <m:r>
                          <a:rPr lang="en-US" sz="1100" b="0" i="1">
                            <a:latin typeface="Cambria Math" panose="02040503050406030204" pitchFamily="18" charset="0"/>
                          </a:rPr>
                          <m:t>−1</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id="{0CFF68F0-77B7-024B-AA38-92CCE2048D93}"/>
                </a:ext>
              </a:extLst>
            </xdr:cNvPr>
            <xdr:cNvSpPr txBox="1"/>
          </xdr:nvSpPr>
          <xdr:spPr>
            <a:xfrm>
              <a:off x="6008688" y="815975"/>
              <a:ext cx="2966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⍺_(𝐼−1)</a:t>
              </a:r>
              <a:endParaRPr lang="en-US" sz="1100"/>
            </a:p>
          </xdr:txBody>
        </xdr:sp>
      </mc:Fallback>
    </mc:AlternateContent>
    <xdr:clientData/>
  </xdr:oneCellAnchor>
  <xdr:oneCellAnchor>
    <xdr:from>
      <xdr:col>4</xdr:col>
      <xdr:colOff>365125</xdr:colOff>
      <xdr:row>18</xdr:row>
      <xdr:rowOff>17463</xdr:rowOff>
    </xdr:from>
    <xdr:ext cx="243977"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86BF6EE-A850-244B-B799-84A5B065A520}"/>
                </a:ext>
              </a:extLst>
            </xdr:cNvPr>
            <xdr:cNvSpPr txBox="1"/>
          </xdr:nvSpPr>
          <xdr:spPr>
            <a:xfrm>
              <a:off x="3667125" y="3675063"/>
              <a:ext cx="2439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𝑖𝑘</m:t>
                        </m:r>
                      </m:sub>
                    </m:sSub>
                    <m:r>
                      <a:rPr lang="en-US" sz="1100" b="0" i="1">
                        <a:latin typeface="Cambria Math" panose="02040503050406030204" pitchFamily="18" charset="0"/>
                      </a:rPr>
                      <m:t>.</m:t>
                    </m:r>
                  </m:oMath>
                </m:oMathPara>
              </a14:m>
              <a:endParaRPr lang="en-US" sz="1100"/>
            </a:p>
          </xdr:txBody>
        </xdr:sp>
      </mc:Choice>
      <mc:Fallback xmlns="">
        <xdr:sp macro="" textlink="">
          <xdr:nvSpPr>
            <xdr:cNvPr id="5" name="TextBox 4">
              <a:extLst>
                <a:ext uri="{FF2B5EF4-FFF2-40B4-BE49-F238E27FC236}">
                  <a16:creationId xmlns:a16="http://schemas.microsoft.com/office/drawing/2014/main" id="{886BF6EE-A850-244B-B799-84A5B065A520}"/>
                </a:ext>
              </a:extLst>
            </xdr:cNvPr>
            <xdr:cNvSpPr txBox="1"/>
          </xdr:nvSpPr>
          <xdr:spPr>
            <a:xfrm>
              <a:off x="3667125" y="3675063"/>
              <a:ext cx="2439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𝐶_𝑖𝑘.</a:t>
              </a:r>
              <a:endParaRPr lang="en-US" sz="1100"/>
            </a:p>
          </xdr:txBody>
        </xdr:sp>
      </mc:Fallback>
    </mc:AlternateContent>
    <xdr:clientData/>
  </xdr:oneCellAnchor>
  <xdr:oneCellAnchor>
    <xdr:from>
      <xdr:col>7</xdr:col>
      <xdr:colOff>306386</xdr:colOff>
      <xdr:row>21</xdr:row>
      <xdr:rowOff>0</xdr:rowOff>
    </xdr:from>
    <xdr:ext cx="158569"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7BE1A98-CF2A-0649-B2FB-B3ABDD153294}"/>
                </a:ext>
              </a:extLst>
            </xdr:cNvPr>
            <xdr:cNvSpPr txBox="1"/>
          </xdr:nvSpPr>
          <xdr:spPr>
            <a:xfrm>
              <a:off x="6084886" y="4267200"/>
              <a:ext cx="15856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𝑓</m:t>
                        </m:r>
                      </m:e>
                      <m:sub>
                        <m:r>
                          <a:rPr lang="en-US" sz="1100" b="0" i="1">
                            <a:latin typeface="Cambria Math" panose="02040503050406030204" pitchFamily="18" charset="0"/>
                          </a:rPr>
                          <m:t>𝑘</m:t>
                        </m:r>
                      </m:sub>
                    </m:sSub>
                  </m:oMath>
                </m:oMathPara>
              </a14:m>
              <a:endParaRPr lang="en-US" sz="1100"/>
            </a:p>
          </xdr:txBody>
        </xdr:sp>
      </mc:Choice>
      <mc:Fallback xmlns="">
        <xdr:sp macro="" textlink="">
          <xdr:nvSpPr>
            <xdr:cNvPr id="6" name="TextBox 5">
              <a:extLst>
                <a:ext uri="{FF2B5EF4-FFF2-40B4-BE49-F238E27FC236}">
                  <a16:creationId xmlns:a16="http://schemas.microsoft.com/office/drawing/2014/main" id="{67BE1A98-CF2A-0649-B2FB-B3ABDD153294}"/>
                </a:ext>
              </a:extLst>
            </xdr:cNvPr>
            <xdr:cNvSpPr txBox="1"/>
          </xdr:nvSpPr>
          <xdr:spPr>
            <a:xfrm>
              <a:off x="6084886" y="4267200"/>
              <a:ext cx="15856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𝑓_𝑘</a:t>
              </a:r>
              <a:endParaRPr lang="en-US" sz="1100"/>
            </a:p>
          </xdr:txBody>
        </xdr:sp>
      </mc:Fallback>
    </mc:AlternateContent>
    <xdr:clientData/>
  </xdr:oneCellAnchor>
  <xdr:oneCellAnchor>
    <xdr:from>
      <xdr:col>7</xdr:col>
      <xdr:colOff>741358</xdr:colOff>
      <xdr:row>25</xdr:row>
      <xdr:rowOff>3175</xdr:rowOff>
    </xdr:from>
    <xdr:ext cx="158569"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8923DD3-EB75-8F4E-81DE-307A44020269}"/>
                </a:ext>
              </a:extLst>
            </xdr:cNvPr>
            <xdr:cNvSpPr txBox="1"/>
          </xdr:nvSpPr>
          <xdr:spPr>
            <a:xfrm>
              <a:off x="6519858" y="5083175"/>
              <a:ext cx="15856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𝑓</m:t>
                        </m:r>
                      </m:e>
                      <m:sub>
                        <m:r>
                          <a:rPr lang="en-US" sz="1100" b="0" i="1">
                            <a:latin typeface="Cambria Math" panose="02040503050406030204" pitchFamily="18" charset="0"/>
                          </a:rPr>
                          <m:t>𝑘</m:t>
                        </m:r>
                      </m:sub>
                    </m:sSub>
                  </m:oMath>
                </m:oMathPara>
              </a14:m>
              <a:endParaRPr lang="en-US" sz="1100"/>
            </a:p>
          </xdr:txBody>
        </xdr:sp>
      </mc:Choice>
      <mc:Fallback xmlns="">
        <xdr:sp macro="" textlink="">
          <xdr:nvSpPr>
            <xdr:cNvPr id="7" name="TextBox 6">
              <a:extLst>
                <a:ext uri="{FF2B5EF4-FFF2-40B4-BE49-F238E27FC236}">
                  <a16:creationId xmlns:a16="http://schemas.microsoft.com/office/drawing/2014/main" id="{18923DD3-EB75-8F4E-81DE-307A44020269}"/>
                </a:ext>
              </a:extLst>
            </xdr:cNvPr>
            <xdr:cNvSpPr txBox="1"/>
          </xdr:nvSpPr>
          <xdr:spPr>
            <a:xfrm>
              <a:off x="6519858" y="5083175"/>
              <a:ext cx="15856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𝑓_𝑘</a:t>
              </a:r>
              <a:endParaRPr lang="en-US" sz="1100"/>
            </a:p>
          </xdr:txBody>
        </xdr:sp>
      </mc:Fallback>
    </mc:AlternateContent>
    <xdr:clientData/>
  </xdr:oneCellAnchor>
  <xdr:oneCellAnchor>
    <xdr:from>
      <xdr:col>1</xdr:col>
      <xdr:colOff>790574</xdr:colOff>
      <xdr:row>32</xdr:row>
      <xdr:rowOff>3174</xdr:rowOff>
    </xdr:from>
    <xdr:ext cx="466794" cy="176972"/>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811788F-D954-4849-B203-5310D902F42D}"/>
                </a:ext>
              </a:extLst>
            </xdr:cNvPr>
            <xdr:cNvSpPr txBox="1"/>
          </xdr:nvSpPr>
          <xdr:spPr>
            <a:xfrm>
              <a:off x="1616074" y="6505574"/>
              <a:ext cx="466794"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𝑖</m:t>
                        </m:r>
                        <m:r>
                          <a:rPr lang="en-US" sz="1100" b="0" i="1">
                            <a:latin typeface="Cambria Math" panose="02040503050406030204" pitchFamily="18" charset="0"/>
                          </a:rPr>
                          <m:t>,</m:t>
                        </m:r>
                        <m:r>
                          <a:rPr lang="en-US" sz="1100" b="0" i="1">
                            <a:latin typeface="Cambria Math" panose="02040503050406030204" pitchFamily="18" charset="0"/>
                          </a:rPr>
                          <m:t>𝐼</m:t>
                        </m:r>
                        <m:r>
                          <a:rPr lang="en-US" sz="1100" b="0" i="1">
                            <a:latin typeface="Cambria Math" panose="02040503050406030204" pitchFamily="18" charset="0"/>
                          </a:rPr>
                          <m:t>+1−</m:t>
                        </m:r>
                        <m:r>
                          <a:rPr lang="en-US" sz="1100" b="0" i="1">
                            <a:latin typeface="Cambria Math" panose="02040503050406030204" pitchFamily="18" charset="0"/>
                          </a:rPr>
                          <m:t>𝑖</m:t>
                        </m:r>
                      </m:sub>
                    </m:sSub>
                  </m:oMath>
                </m:oMathPara>
              </a14:m>
              <a:endParaRPr lang="en-US" sz="1100"/>
            </a:p>
          </xdr:txBody>
        </xdr:sp>
      </mc:Choice>
      <mc:Fallback xmlns="">
        <xdr:sp macro="" textlink="">
          <xdr:nvSpPr>
            <xdr:cNvPr id="8" name="TextBox 7">
              <a:extLst>
                <a:ext uri="{FF2B5EF4-FFF2-40B4-BE49-F238E27FC236}">
                  <a16:creationId xmlns:a16="http://schemas.microsoft.com/office/drawing/2014/main" id="{4811788F-D954-4849-B203-5310D902F42D}"/>
                </a:ext>
              </a:extLst>
            </xdr:cNvPr>
            <xdr:cNvSpPr txBox="1"/>
          </xdr:nvSpPr>
          <xdr:spPr>
            <a:xfrm>
              <a:off x="1616074" y="6505574"/>
              <a:ext cx="466794" cy="17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𝐶_(𝑖,𝐼+1−𝑖)</a:t>
              </a:r>
              <a:endParaRPr lang="en-US" sz="1100"/>
            </a:p>
          </xdr:txBody>
        </xdr:sp>
      </mc:Fallback>
    </mc:AlternateContent>
    <xdr:clientData/>
  </xdr:oneCellAnchor>
  <xdr:oneCellAnchor>
    <xdr:from>
      <xdr:col>5</xdr:col>
      <xdr:colOff>341312</xdr:colOff>
      <xdr:row>31</xdr:row>
      <xdr:rowOff>198437</xdr:rowOff>
    </xdr:from>
    <xdr:ext cx="215059" cy="172227"/>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AC10376-F442-D944-8D5B-F34654982CBB}"/>
                </a:ext>
              </a:extLst>
            </xdr:cNvPr>
            <xdr:cNvSpPr txBox="1"/>
          </xdr:nvSpPr>
          <xdr:spPr>
            <a:xfrm>
              <a:off x="4468812" y="6497637"/>
              <a:ext cx="21505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𝑖𝑘</m:t>
                        </m:r>
                      </m:sub>
                    </m:sSub>
                  </m:oMath>
                </m:oMathPara>
              </a14:m>
              <a:endParaRPr lang="en-US" sz="1100"/>
            </a:p>
          </xdr:txBody>
        </xdr:sp>
      </mc:Choice>
      <mc:Fallback xmlns="">
        <xdr:sp macro="" textlink="">
          <xdr:nvSpPr>
            <xdr:cNvPr id="9" name="TextBox 8">
              <a:extLst>
                <a:ext uri="{FF2B5EF4-FFF2-40B4-BE49-F238E27FC236}">
                  <a16:creationId xmlns:a16="http://schemas.microsoft.com/office/drawing/2014/main" id="{DAC10376-F442-D944-8D5B-F34654982CBB}"/>
                </a:ext>
              </a:extLst>
            </xdr:cNvPr>
            <xdr:cNvSpPr txBox="1"/>
          </xdr:nvSpPr>
          <xdr:spPr>
            <a:xfrm>
              <a:off x="4468812" y="6497637"/>
              <a:ext cx="21505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𝐶_𝑖𝑘</a:t>
              </a:r>
              <a:endParaRPr lang="en-US" sz="1100"/>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person displayName="Steve Roll" id="{CD278B0C-7EEE-974A-BEE2-5F011BD91414}" userId="9e328bbf48be10ca"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15" dT="2020-08-31T15:28:50.85" personId="{CD278B0C-7EEE-974A-BEE2-5F011BD91414}" id="{71A1B5CB-E26C-D244-BE26-14A4F34F34F2}">
    <text>ROUNDDOWN(n_j,0) to round down</text>
  </threadedComment>
  <threadedComment ref="S15" dT="2020-08-31T15:33:54.24" personId="{CD278B0C-7EEE-974A-BEE2-5F011BD91414}" id="{ADCC4535-EB60-AA43-994C-249AEC2A5A16}">
    <text>Use COMBIN() function for the number of combinations</text>
  </threadedComment>
</ThreadedComments>
</file>

<file path=xl/threadedComments/threadedComment2.xml><?xml version="1.0" encoding="utf-8"?>
<ThreadedComments xmlns="http://schemas.microsoft.com/office/spreadsheetml/2018/threadedcomments" xmlns:x="http://schemas.openxmlformats.org/spreadsheetml/2006/main">
  <threadedComment ref="Q51" dT="2020-08-31T16:19:02.94" personId="{CD278B0C-7EEE-974A-BEE2-5F011BD91414}" id="{988FD8CE-B8E9-3246-9909-425B2FCABB21}">
    <text>See section below (not part of problem) for how this is calculated</text>
  </threadedComment>
  <threadedComment ref="R51" dT="2020-08-31T16:19:02.94" personId="{CD278B0C-7EEE-974A-BEE2-5F011BD91414}" id="{4CBA233F-6C90-844B-A76D-48122CEA0508}">
    <text>See section below (not part of problem) for how this is calculated</text>
  </threadedComment>
  <threadedComment ref="S51" dT="2020-08-31T16:19:02.94" personId="{CD278B0C-7EEE-974A-BEE2-5F011BD91414}" id="{0A70D8FE-4193-0F44-BBCE-B49349609636}">
    <text>See section below (not part of problem) for how this is calculated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F3CC-4487-6147-BEE9-74E4E3F6E0C0}">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144" customWidth="1"/>
    <col min="6" max="12" width="10.83203125" style="144" customWidth="1"/>
    <col min="13" max="13" width="10.6640625" style="144" customWidth="1"/>
    <col min="14" max="16" width="10" style="144" customWidth="1"/>
    <col min="17" max="16384" width="8.5" style="144"/>
  </cols>
  <sheetData>
    <row r="1" spans="1:13" ht="14.5" customHeight="1" x14ac:dyDescent="0.2">
      <c r="A1" s="140"/>
      <c r="B1" s="141"/>
      <c r="C1" s="141"/>
      <c r="D1" s="141"/>
      <c r="E1" s="141"/>
      <c r="F1" s="141"/>
      <c r="G1" s="141"/>
      <c r="H1" s="141"/>
      <c r="I1" s="141"/>
      <c r="J1" s="141"/>
      <c r="K1" s="141"/>
      <c r="L1" s="142" t="s">
        <v>248</v>
      </c>
      <c r="M1" s="143"/>
    </row>
    <row r="2" spans="1:13" s="146" customFormat="1" x14ac:dyDescent="0.2">
      <c r="A2" s="145"/>
      <c r="M2" s="147"/>
    </row>
    <row r="3" spans="1:13" s="146" customFormat="1" ht="16" customHeight="1" x14ac:dyDescent="0.2">
      <c r="A3" s="145"/>
      <c r="M3" s="147"/>
    </row>
    <row r="4" spans="1:13" s="146" customFormat="1" ht="16" customHeight="1" x14ac:dyDescent="0.2">
      <c r="A4" s="145"/>
      <c r="M4" s="147"/>
    </row>
    <row r="5" spans="1:13" s="146" customFormat="1" ht="16" customHeight="1" x14ac:dyDescent="0.2">
      <c r="A5" s="145"/>
      <c r="M5" s="147"/>
    </row>
    <row r="6" spans="1:13" s="146" customFormat="1" ht="16" customHeight="1" x14ac:dyDescent="0.2">
      <c r="A6" s="145"/>
      <c r="B6" s="148" t="s">
        <v>249</v>
      </c>
      <c r="M6" s="147"/>
    </row>
    <row r="7" spans="1:13" s="146" customFormat="1" ht="16" customHeight="1" x14ac:dyDescent="0.2">
      <c r="A7" s="145"/>
      <c r="M7" s="147"/>
    </row>
    <row r="8" spans="1:13" s="146" customFormat="1" ht="16" customHeight="1" x14ac:dyDescent="0.25">
      <c r="A8" s="145"/>
      <c r="B8" s="149" t="s">
        <v>250</v>
      </c>
      <c r="M8" s="147"/>
    </row>
    <row r="9" spans="1:13" s="146" customFormat="1" ht="17" customHeight="1" x14ac:dyDescent="0.2">
      <c r="A9" s="145"/>
      <c r="C9" s="389" t="s">
        <v>251</v>
      </c>
      <c r="D9" s="390"/>
      <c r="E9" s="390"/>
      <c r="F9" s="390"/>
      <c r="G9" s="390"/>
      <c r="H9" s="390"/>
      <c r="I9" s="390"/>
      <c r="J9" s="390"/>
      <c r="K9" s="390"/>
      <c r="M9" s="147"/>
    </row>
    <row r="10" spans="1:13" s="146" customFormat="1" x14ac:dyDescent="0.2">
      <c r="A10" s="145"/>
      <c r="C10" s="390"/>
      <c r="D10" s="390"/>
      <c r="E10" s="390"/>
      <c r="F10" s="390"/>
      <c r="G10" s="390"/>
      <c r="H10" s="390"/>
      <c r="I10" s="390"/>
      <c r="J10" s="390"/>
      <c r="K10" s="390"/>
      <c r="M10" s="147"/>
    </row>
    <row r="11" spans="1:13" s="146" customFormat="1" ht="16" customHeight="1" x14ac:dyDescent="0.2">
      <c r="A11" s="145"/>
      <c r="C11" s="390"/>
      <c r="D11" s="390"/>
      <c r="E11" s="390"/>
      <c r="F11" s="390"/>
      <c r="G11" s="390"/>
      <c r="H11" s="390"/>
      <c r="I11" s="390"/>
      <c r="J11" s="390"/>
      <c r="K11" s="390"/>
      <c r="M11" s="147"/>
    </row>
    <row r="12" spans="1:13" s="146" customFormat="1" ht="16" customHeight="1" x14ac:dyDescent="0.2">
      <c r="A12" s="145"/>
      <c r="C12" s="390"/>
      <c r="D12" s="390"/>
      <c r="E12" s="390"/>
      <c r="F12" s="390"/>
      <c r="G12" s="390"/>
      <c r="H12" s="390"/>
      <c r="I12" s="390"/>
      <c r="J12" s="390"/>
      <c r="K12" s="390"/>
      <c r="M12" s="147"/>
    </row>
    <row r="13" spans="1:13" s="146" customFormat="1" ht="16" customHeight="1" x14ac:dyDescent="0.2">
      <c r="A13" s="145"/>
      <c r="C13" s="390"/>
      <c r="D13" s="390"/>
      <c r="E13" s="390"/>
      <c r="F13" s="390"/>
      <c r="G13" s="390"/>
      <c r="H13" s="390"/>
      <c r="I13" s="390"/>
      <c r="J13" s="390"/>
      <c r="K13" s="390"/>
      <c r="M13" s="147"/>
    </row>
    <row r="14" spans="1:13" s="146" customFormat="1" ht="16" customHeight="1" x14ac:dyDescent="0.2">
      <c r="A14" s="145"/>
      <c r="C14" s="390"/>
      <c r="D14" s="390"/>
      <c r="E14" s="390"/>
      <c r="F14" s="390"/>
      <c r="G14" s="390"/>
      <c r="H14" s="390"/>
      <c r="I14" s="390"/>
      <c r="J14" s="390"/>
      <c r="K14" s="390"/>
      <c r="M14" s="147"/>
    </row>
    <row r="15" spans="1:13" s="146" customFormat="1" ht="16" customHeight="1" x14ac:dyDescent="0.2">
      <c r="A15" s="145"/>
      <c r="C15" s="390"/>
      <c r="D15" s="390"/>
      <c r="E15" s="390"/>
      <c r="F15" s="390"/>
      <c r="G15" s="390"/>
      <c r="H15" s="390"/>
      <c r="I15" s="390"/>
      <c r="J15" s="390"/>
      <c r="K15" s="390"/>
      <c r="M15" s="147"/>
    </row>
    <row r="16" spans="1:13" s="146" customFormat="1" ht="16" customHeight="1" x14ac:dyDescent="0.2">
      <c r="A16" s="145"/>
      <c r="C16" s="390"/>
      <c r="D16" s="390"/>
      <c r="E16" s="390"/>
      <c r="F16" s="390"/>
      <c r="G16" s="390"/>
      <c r="H16" s="390"/>
      <c r="I16" s="390"/>
      <c r="J16" s="390"/>
      <c r="K16" s="390"/>
      <c r="M16" s="147"/>
    </row>
    <row r="17" spans="1:13" s="146" customFormat="1" ht="16" customHeight="1" x14ac:dyDescent="0.2">
      <c r="A17" s="145"/>
      <c r="M17" s="147"/>
    </row>
    <row r="18" spans="1:13" s="146" customFormat="1" ht="16" customHeight="1" x14ac:dyDescent="0.25">
      <c r="A18" s="145"/>
      <c r="B18" s="149" t="s">
        <v>252</v>
      </c>
      <c r="M18" s="147"/>
    </row>
    <row r="19" spans="1:13" s="146" customFormat="1" ht="17" customHeight="1" x14ac:dyDescent="0.2">
      <c r="A19" s="145"/>
      <c r="C19" s="389" t="s">
        <v>253</v>
      </c>
      <c r="D19" s="390"/>
      <c r="E19" s="390"/>
      <c r="F19" s="390"/>
      <c r="G19" s="390"/>
      <c r="H19" s="390"/>
      <c r="I19" s="390"/>
      <c r="J19" s="390"/>
      <c r="K19" s="390"/>
      <c r="M19" s="147"/>
    </row>
    <row r="20" spans="1:13" s="146" customFormat="1" x14ac:dyDescent="0.2">
      <c r="A20" s="145"/>
      <c r="C20" s="390"/>
      <c r="D20" s="390"/>
      <c r="E20" s="390"/>
      <c r="F20" s="390"/>
      <c r="G20" s="390"/>
      <c r="H20" s="390"/>
      <c r="I20" s="390"/>
      <c r="J20" s="390"/>
      <c r="K20" s="390"/>
      <c r="M20" s="147"/>
    </row>
    <row r="21" spans="1:13" s="146" customFormat="1" x14ac:dyDescent="0.2">
      <c r="A21" s="145"/>
      <c r="C21" s="390"/>
      <c r="D21" s="390"/>
      <c r="E21" s="390"/>
      <c r="F21" s="390"/>
      <c r="G21" s="390"/>
      <c r="H21" s="390"/>
      <c r="I21" s="390"/>
      <c r="J21" s="390"/>
      <c r="K21" s="390"/>
      <c r="M21" s="147"/>
    </row>
    <row r="22" spans="1:13" s="146" customFormat="1" x14ac:dyDescent="0.2">
      <c r="A22" s="145"/>
      <c r="C22" s="390"/>
      <c r="D22" s="390"/>
      <c r="E22" s="390"/>
      <c r="F22" s="390"/>
      <c r="G22" s="390"/>
      <c r="H22" s="390"/>
      <c r="I22" s="390"/>
      <c r="J22" s="390"/>
      <c r="K22" s="390"/>
      <c r="M22" s="147"/>
    </row>
    <row r="23" spans="1:13" s="146" customFormat="1" x14ac:dyDescent="0.2">
      <c r="A23" s="145"/>
      <c r="C23" s="390"/>
      <c r="D23" s="390"/>
      <c r="E23" s="390"/>
      <c r="F23" s="390"/>
      <c r="G23" s="390"/>
      <c r="H23" s="390"/>
      <c r="I23" s="390"/>
      <c r="J23" s="390"/>
      <c r="K23" s="390"/>
      <c r="M23" s="147"/>
    </row>
    <row r="24" spans="1:13" s="146" customFormat="1" x14ac:dyDescent="0.2">
      <c r="A24" s="145"/>
      <c r="C24" s="390"/>
      <c r="D24" s="390"/>
      <c r="E24" s="390"/>
      <c r="F24" s="390"/>
      <c r="G24" s="390"/>
      <c r="H24" s="390"/>
      <c r="I24" s="390"/>
      <c r="J24" s="390"/>
      <c r="K24" s="390"/>
      <c r="M24" s="147"/>
    </row>
    <row r="25" spans="1:13" s="146" customFormat="1" x14ac:dyDescent="0.2">
      <c r="A25" s="145"/>
      <c r="C25" s="390"/>
      <c r="D25" s="390"/>
      <c r="E25" s="390"/>
      <c r="F25" s="390"/>
      <c r="G25" s="390"/>
      <c r="H25" s="390"/>
      <c r="I25" s="390"/>
      <c r="J25" s="390"/>
      <c r="K25" s="390"/>
      <c r="M25" s="147"/>
    </row>
    <row r="26" spans="1:13" s="146" customFormat="1" x14ac:dyDescent="0.2">
      <c r="A26" s="145"/>
      <c r="C26" s="390"/>
      <c r="D26" s="390"/>
      <c r="E26" s="390"/>
      <c r="F26" s="390"/>
      <c r="G26" s="390"/>
      <c r="H26" s="390"/>
      <c r="I26" s="390"/>
      <c r="J26" s="390"/>
      <c r="K26" s="390"/>
      <c r="M26" s="147"/>
    </row>
    <row r="27" spans="1:13" s="146" customFormat="1" x14ac:dyDescent="0.2">
      <c r="A27" s="145"/>
      <c r="C27" s="390"/>
      <c r="D27" s="390"/>
      <c r="E27" s="390"/>
      <c r="F27" s="390"/>
      <c r="G27" s="390"/>
      <c r="H27" s="390"/>
      <c r="I27" s="390"/>
      <c r="J27" s="390"/>
      <c r="K27" s="390"/>
      <c r="M27" s="147"/>
    </row>
    <row r="28" spans="1:13" s="146" customFormat="1" x14ac:dyDescent="0.2">
      <c r="A28" s="145"/>
      <c r="C28" s="390"/>
      <c r="D28" s="390"/>
      <c r="E28" s="390"/>
      <c r="F28" s="390"/>
      <c r="G28" s="390"/>
      <c r="H28" s="390"/>
      <c r="I28" s="390"/>
      <c r="J28" s="390"/>
      <c r="K28" s="390"/>
      <c r="M28" s="147"/>
    </row>
    <row r="29" spans="1:13" s="146" customFormat="1" x14ac:dyDescent="0.2">
      <c r="A29" s="145"/>
      <c r="C29" s="150"/>
      <c r="D29" s="150"/>
      <c r="E29" s="150"/>
      <c r="F29" s="150"/>
      <c r="G29" s="150"/>
      <c r="H29" s="150"/>
      <c r="I29" s="150"/>
      <c r="J29" s="150"/>
      <c r="K29" s="150"/>
      <c r="M29" s="147"/>
    </row>
    <row r="30" spans="1:13" s="146" customFormat="1" ht="19" x14ac:dyDescent="0.25">
      <c r="A30" s="145"/>
      <c r="C30" s="151" t="s">
        <v>254</v>
      </c>
      <c r="D30" s="150"/>
      <c r="E30" s="150"/>
      <c r="F30" s="150"/>
      <c r="G30" s="150"/>
      <c r="H30" s="150"/>
      <c r="I30" s="150"/>
      <c r="J30" s="150"/>
      <c r="K30" s="150"/>
      <c r="M30" s="147"/>
    </row>
    <row r="31" spans="1:13" s="146" customFormat="1" x14ac:dyDescent="0.2">
      <c r="A31" s="145"/>
      <c r="C31" s="389" t="s">
        <v>255</v>
      </c>
      <c r="D31" s="389"/>
      <c r="E31" s="389"/>
      <c r="F31" s="389"/>
      <c r="G31" s="389"/>
      <c r="H31" s="389"/>
      <c r="I31" s="389"/>
      <c r="J31" s="389"/>
      <c r="K31" s="389"/>
      <c r="M31" s="147"/>
    </row>
    <row r="32" spans="1:13" s="146" customFormat="1" x14ac:dyDescent="0.2">
      <c r="A32" s="145"/>
      <c r="C32" s="389"/>
      <c r="D32" s="389"/>
      <c r="E32" s="389"/>
      <c r="F32" s="389"/>
      <c r="G32" s="389"/>
      <c r="H32" s="389"/>
      <c r="I32" s="389"/>
      <c r="J32" s="389"/>
      <c r="K32" s="389"/>
      <c r="M32" s="147"/>
    </row>
    <row r="33" spans="1:13" s="146" customFormat="1" x14ac:dyDescent="0.2">
      <c r="A33" s="145"/>
      <c r="C33" s="389"/>
      <c r="D33" s="389"/>
      <c r="E33" s="389"/>
      <c r="F33" s="389"/>
      <c r="G33" s="389"/>
      <c r="H33" s="389"/>
      <c r="I33" s="389"/>
      <c r="J33" s="389"/>
      <c r="K33" s="389"/>
      <c r="M33" s="147"/>
    </row>
    <row r="34" spans="1:13" s="146" customFormat="1" x14ac:dyDescent="0.2">
      <c r="A34" s="145"/>
      <c r="C34" s="389"/>
      <c r="D34" s="389"/>
      <c r="E34" s="389"/>
      <c r="F34" s="389"/>
      <c r="G34" s="389"/>
      <c r="H34" s="389"/>
      <c r="I34" s="389"/>
      <c r="J34" s="389"/>
      <c r="K34" s="389"/>
      <c r="M34" s="147"/>
    </row>
    <row r="35" spans="1:13" s="146" customFormat="1" x14ac:dyDescent="0.2">
      <c r="A35" s="145"/>
      <c r="C35" s="389"/>
      <c r="D35" s="389"/>
      <c r="E35" s="389"/>
      <c r="F35" s="389"/>
      <c r="G35" s="389"/>
      <c r="H35" s="389"/>
      <c r="I35" s="389"/>
      <c r="J35" s="389"/>
      <c r="K35" s="389"/>
      <c r="M35" s="147"/>
    </row>
    <row r="36" spans="1:13" s="146" customFormat="1" x14ac:dyDescent="0.2">
      <c r="A36" s="145"/>
      <c r="C36" s="389"/>
      <c r="D36" s="389"/>
      <c r="E36" s="389"/>
      <c r="F36" s="389"/>
      <c r="G36" s="389"/>
      <c r="H36" s="389"/>
      <c r="I36" s="389"/>
      <c r="J36" s="389"/>
      <c r="K36" s="389"/>
      <c r="M36" s="147"/>
    </row>
    <row r="37" spans="1:13" s="146" customFormat="1" x14ac:dyDescent="0.2">
      <c r="A37" s="145"/>
      <c r="C37" s="389"/>
      <c r="D37" s="389"/>
      <c r="E37" s="389"/>
      <c r="F37" s="389"/>
      <c r="G37" s="389"/>
      <c r="H37" s="389"/>
      <c r="I37" s="389"/>
      <c r="J37" s="389"/>
      <c r="K37" s="389"/>
      <c r="M37" s="147"/>
    </row>
    <row r="38" spans="1:13" s="146" customFormat="1" x14ac:dyDescent="0.2">
      <c r="A38" s="145"/>
      <c r="C38" s="389"/>
      <c r="D38" s="389"/>
      <c r="E38" s="389"/>
      <c r="F38" s="389"/>
      <c r="G38" s="389"/>
      <c r="H38" s="389"/>
      <c r="I38" s="389"/>
      <c r="J38" s="389"/>
      <c r="K38" s="389"/>
      <c r="M38" s="147"/>
    </row>
    <row r="39" spans="1:13" s="146" customFormat="1" x14ac:dyDescent="0.2">
      <c r="A39" s="145"/>
      <c r="C39" s="389"/>
      <c r="D39" s="389"/>
      <c r="E39" s="389"/>
      <c r="F39" s="389"/>
      <c r="G39" s="389"/>
      <c r="H39" s="389"/>
      <c r="I39" s="389"/>
      <c r="J39" s="389"/>
      <c r="K39" s="389"/>
      <c r="M39" s="147"/>
    </row>
    <row r="40" spans="1:13" s="146" customFormat="1" x14ac:dyDescent="0.2">
      <c r="A40" s="145"/>
      <c r="C40" s="152"/>
      <c r="D40" s="152"/>
      <c r="E40" s="152"/>
      <c r="F40" s="152"/>
      <c r="G40" s="152"/>
      <c r="H40" s="152"/>
      <c r="I40" s="152"/>
      <c r="J40" s="152"/>
      <c r="K40" s="152"/>
      <c r="M40" s="147"/>
    </row>
    <row r="41" spans="1:13" s="146" customFormat="1" ht="21" x14ac:dyDescent="0.25">
      <c r="A41" s="145"/>
      <c r="B41" s="149" t="s">
        <v>256</v>
      </c>
      <c r="M41" s="147"/>
    </row>
    <row r="42" spans="1:13" s="146" customFormat="1" x14ac:dyDescent="0.2">
      <c r="A42" s="145"/>
      <c r="C42" s="391" t="s">
        <v>712</v>
      </c>
      <c r="D42" s="390"/>
      <c r="E42" s="390"/>
      <c r="F42" s="390"/>
      <c r="G42" s="390"/>
      <c r="H42" s="390"/>
      <c r="I42" s="390"/>
      <c r="J42" s="390"/>
      <c r="K42" s="390"/>
      <c r="M42" s="147"/>
    </row>
    <row r="43" spans="1:13" s="146" customFormat="1" x14ac:dyDescent="0.2">
      <c r="A43" s="145"/>
      <c r="C43" s="390"/>
      <c r="D43" s="390"/>
      <c r="E43" s="390"/>
      <c r="F43" s="390"/>
      <c r="G43" s="390"/>
      <c r="H43" s="390"/>
      <c r="I43" s="390"/>
      <c r="J43" s="390"/>
      <c r="K43" s="390"/>
      <c r="M43" s="147"/>
    </row>
    <row r="44" spans="1:13" s="146" customFormat="1" x14ac:dyDescent="0.2">
      <c r="A44" s="145"/>
      <c r="C44" s="390"/>
      <c r="D44" s="390"/>
      <c r="E44" s="390"/>
      <c r="F44" s="390"/>
      <c r="G44" s="390"/>
      <c r="H44" s="390"/>
      <c r="I44" s="390"/>
      <c r="J44" s="390"/>
      <c r="K44" s="390"/>
      <c r="M44" s="147"/>
    </row>
    <row r="45" spans="1:13" s="146" customFormat="1" x14ac:dyDescent="0.2">
      <c r="A45" s="145"/>
      <c r="C45" s="390"/>
      <c r="D45" s="390"/>
      <c r="E45" s="390"/>
      <c r="F45" s="390"/>
      <c r="G45" s="390"/>
      <c r="H45" s="390"/>
      <c r="I45" s="390"/>
      <c r="J45" s="390"/>
      <c r="K45" s="390"/>
      <c r="M45" s="147"/>
    </row>
    <row r="46" spans="1:13" s="146" customFormat="1" x14ac:dyDescent="0.2">
      <c r="A46" s="145"/>
      <c r="C46" s="390"/>
      <c r="D46" s="390"/>
      <c r="E46" s="390"/>
      <c r="F46" s="390"/>
      <c r="G46" s="390"/>
      <c r="H46" s="390"/>
      <c r="I46" s="390"/>
      <c r="J46" s="390"/>
      <c r="K46" s="390"/>
      <c r="M46" s="147"/>
    </row>
    <row r="47" spans="1:13" s="146" customFormat="1" x14ac:dyDescent="0.2">
      <c r="A47" s="145"/>
      <c r="C47" s="390"/>
      <c r="D47" s="390"/>
      <c r="E47" s="390"/>
      <c r="F47" s="390"/>
      <c r="G47" s="390"/>
      <c r="H47" s="390"/>
      <c r="I47" s="390"/>
      <c r="J47" s="390"/>
      <c r="K47" s="390"/>
      <c r="M47" s="147"/>
    </row>
    <row r="48" spans="1:13" s="146" customFormat="1" x14ac:dyDescent="0.2">
      <c r="A48" s="145"/>
      <c r="C48" s="390"/>
      <c r="D48" s="390"/>
      <c r="E48" s="390"/>
      <c r="F48" s="390"/>
      <c r="G48" s="390"/>
      <c r="H48" s="390"/>
      <c r="I48" s="390"/>
      <c r="J48" s="390"/>
      <c r="K48" s="390"/>
      <c r="M48" s="147"/>
    </row>
    <row r="49" spans="1:13" s="146" customFormat="1" x14ac:dyDescent="0.2">
      <c r="A49" s="145"/>
      <c r="C49" s="390"/>
      <c r="D49" s="390"/>
      <c r="E49" s="390"/>
      <c r="F49" s="390"/>
      <c r="G49" s="390"/>
      <c r="H49" s="390"/>
      <c r="I49" s="390"/>
      <c r="J49" s="390"/>
      <c r="K49" s="390"/>
      <c r="M49" s="147"/>
    </row>
    <row r="50" spans="1:13" s="146" customFormat="1" x14ac:dyDescent="0.2">
      <c r="A50" s="145"/>
      <c r="C50" s="390"/>
      <c r="D50" s="390"/>
      <c r="E50" s="390"/>
      <c r="F50" s="390"/>
      <c r="G50" s="390"/>
      <c r="H50" s="390"/>
      <c r="I50" s="390"/>
      <c r="J50" s="390"/>
      <c r="K50" s="390"/>
      <c r="M50" s="147"/>
    </row>
    <row r="51" spans="1:13" s="146" customFormat="1" x14ac:dyDescent="0.2">
      <c r="A51" s="145"/>
      <c r="C51" s="152"/>
      <c r="D51" s="152"/>
      <c r="E51" s="152"/>
      <c r="F51" s="152"/>
      <c r="G51" s="152"/>
      <c r="H51" s="152"/>
      <c r="I51" s="152"/>
      <c r="J51" s="152"/>
      <c r="K51" s="152"/>
      <c r="M51" s="147"/>
    </row>
    <row r="52" spans="1:13" ht="17" thickBot="1" x14ac:dyDescent="0.25">
      <c r="A52" s="153"/>
      <c r="B52" s="154"/>
      <c r="C52" s="154"/>
      <c r="D52" s="154"/>
      <c r="E52" s="154"/>
      <c r="F52" s="154"/>
      <c r="G52" s="154"/>
      <c r="H52" s="154"/>
      <c r="I52" s="154"/>
      <c r="J52" s="154"/>
      <c r="K52" s="154"/>
      <c r="L52" s="154"/>
      <c r="M52" s="155"/>
    </row>
  </sheetData>
  <mergeCells count="4">
    <mergeCell ref="C9:K16"/>
    <mergeCell ref="C19:K28"/>
    <mergeCell ref="C31:K39"/>
    <mergeCell ref="C42:K50"/>
  </mergeCells>
  <hyperlinks>
    <hyperlink ref="B6" r:id="rId1" xr:uid="{011604AA-87F4-2240-B22D-9C560EFB5B56}"/>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192"/>
  <sheetViews>
    <sheetView zoomScaleNormal="100" workbookViewId="0"/>
  </sheetViews>
  <sheetFormatPr baseColWidth="10" defaultColWidth="10.83203125" defaultRowHeight="16" outlineLevelCol="1" x14ac:dyDescent="0.2"/>
  <cols>
    <col min="1" max="1" width="4.6640625" style="39" customWidth="1"/>
    <col min="2" max="2" width="10.83203125" style="39"/>
    <col min="3" max="3" width="10.83203125" style="39" customWidth="1"/>
    <col min="4" max="10" width="10.83203125" style="39"/>
    <col min="11" max="11" width="11.5" style="39" bestFit="1" customWidth="1"/>
    <col min="12" max="20" width="10.83203125" style="39" hidden="1" customWidth="1" outlineLevel="1"/>
    <col min="21" max="21" width="10.83203125" style="39" collapsed="1"/>
    <col min="22" max="16384" width="10.83203125" style="39"/>
  </cols>
  <sheetData>
    <row r="1" spans="1:20" ht="19" x14ac:dyDescent="0.25">
      <c r="A1" s="1" t="s">
        <v>224</v>
      </c>
      <c r="B1" s="28"/>
      <c r="C1" s="36"/>
      <c r="D1" s="36"/>
      <c r="E1" s="36"/>
      <c r="F1" s="37"/>
      <c r="G1" s="37"/>
      <c r="H1" s="37"/>
      <c r="I1" s="37"/>
      <c r="J1" s="38"/>
      <c r="K1" s="3" t="s">
        <v>206</v>
      </c>
    </row>
    <row r="2" spans="1:20" x14ac:dyDescent="0.2">
      <c r="A2" s="2"/>
      <c r="B2" s="37"/>
      <c r="C2" s="37"/>
      <c r="D2" s="37"/>
      <c r="E2" s="37"/>
      <c r="F2" s="37"/>
      <c r="G2" s="37"/>
      <c r="H2" s="37"/>
      <c r="I2" s="37"/>
      <c r="J2" s="38"/>
      <c r="L2" s="15" t="s">
        <v>3</v>
      </c>
      <c r="N2" s="40"/>
    </row>
    <row r="3" spans="1:20" x14ac:dyDescent="0.2">
      <c r="A3" s="2"/>
      <c r="B3" s="37" t="s">
        <v>6</v>
      </c>
      <c r="C3" s="37"/>
      <c r="D3" s="37"/>
      <c r="E3" s="37"/>
      <c r="F3" s="37"/>
      <c r="G3" s="37"/>
      <c r="H3" s="37"/>
      <c r="I3" s="37"/>
      <c r="J3" s="38"/>
      <c r="M3" s="392" t="s">
        <v>13</v>
      </c>
      <c r="N3" s="392"/>
      <c r="O3" s="392"/>
      <c r="P3" s="392"/>
      <c r="Q3" s="392"/>
      <c r="R3" s="392"/>
      <c r="S3" s="392"/>
      <c r="T3" s="392"/>
    </row>
    <row r="4" spans="1:20" x14ac:dyDescent="0.2">
      <c r="A4" s="2"/>
      <c r="B4" s="37"/>
      <c r="C4" s="37"/>
      <c r="D4" s="37"/>
      <c r="E4" s="37"/>
      <c r="F4" s="37"/>
      <c r="G4" s="37"/>
      <c r="H4" s="37"/>
      <c r="I4" s="37"/>
      <c r="J4" s="38"/>
      <c r="M4" s="392"/>
      <c r="N4" s="392"/>
      <c r="O4" s="392"/>
      <c r="P4" s="392"/>
      <c r="Q4" s="392"/>
      <c r="R4" s="392"/>
      <c r="S4" s="392"/>
      <c r="T4" s="392"/>
    </row>
    <row r="5" spans="1:20" x14ac:dyDescent="0.2">
      <c r="A5" s="2"/>
      <c r="B5" s="37"/>
      <c r="C5" s="393" t="s">
        <v>10</v>
      </c>
      <c r="D5" s="393"/>
      <c r="E5" s="393"/>
      <c r="F5" s="37"/>
      <c r="G5" s="37"/>
      <c r="H5" s="37"/>
      <c r="I5" s="37"/>
      <c r="J5" s="38"/>
    </row>
    <row r="6" spans="1:20" x14ac:dyDescent="0.2">
      <c r="A6" s="2"/>
      <c r="B6" s="37"/>
      <c r="C6" s="397" t="s">
        <v>7</v>
      </c>
      <c r="D6" s="35"/>
      <c r="E6" s="35"/>
      <c r="F6" s="37"/>
      <c r="G6" s="37"/>
      <c r="H6" s="37"/>
      <c r="I6" s="37"/>
      <c r="J6" s="38"/>
      <c r="M6" s="39" t="s">
        <v>14</v>
      </c>
    </row>
    <row r="7" spans="1:20" ht="17" x14ac:dyDescent="0.2">
      <c r="A7" s="2"/>
      <c r="B7" s="37"/>
      <c r="C7" s="398"/>
      <c r="D7" s="20" t="s">
        <v>8</v>
      </c>
      <c r="E7" s="20" t="s">
        <v>9</v>
      </c>
      <c r="F7" s="37"/>
      <c r="G7" s="37"/>
      <c r="H7" s="37"/>
      <c r="I7" s="37"/>
      <c r="J7" s="38"/>
    </row>
    <row r="8" spans="1:20" x14ac:dyDescent="0.2">
      <c r="A8" s="2"/>
      <c r="B8" s="37"/>
      <c r="C8" s="22">
        <v>2010</v>
      </c>
      <c r="D8" s="6">
        <v>8240</v>
      </c>
      <c r="E8" s="6">
        <v>10700</v>
      </c>
      <c r="F8" s="37"/>
      <c r="G8" s="37"/>
      <c r="H8" s="37"/>
      <c r="I8" s="37"/>
      <c r="J8" s="38"/>
    </row>
    <row r="9" spans="1:20" x14ac:dyDescent="0.2">
      <c r="A9" s="2"/>
      <c r="B9" s="37"/>
      <c r="C9" s="22">
        <v>2011</v>
      </c>
      <c r="D9" s="6">
        <v>7360</v>
      </c>
      <c r="E9" s="6">
        <v>8830</v>
      </c>
      <c r="F9" s="37"/>
      <c r="G9" s="37"/>
      <c r="H9" s="37"/>
      <c r="I9" s="37"/>
      <c r="J9" s="38"/>
      <c r="L9" s="15" t="s">
        <v>4</v>
      </c>
      <c r="N9" s="40"/>
    </row>
    <row r="10" spans="1:20" x14ac:dyDescent="0.2">
      <c r="A10" s="2"/>
      <c r="B10" s="37"/>
      <c r="C10" s="22">
        <v>2012</v>
      </c>
      <c r="D10" s="6">
        <v>5040</v>
      </c>
      <c r="E10" s="6">
        <v>9140</v>
      </c>
      <c r="F10" s="37"/>
      <c r="G10" s="37"/>
      <c r="H10" s="37"/>
      <c r="I10" s="37"/>
      <c r="J10" s="38"/>
      <c r="M10" s="39" t="s">
        <v>15</v>
      </c>
      <c r="N10" s="42">
        <f>SUM(E8:E13)/SUM(D8:D13)</f>
        <v>1.2721060260923587</v>
      </c>
    </row>
    <row r="11" spans="1:20" x14ac:dyDescent="0.2">
      <c r="A11" s="2"/>
      <c r="B11" s="37"/>
      <c r="C11" s="22">
        <v>2013</v>
      </c>
      <c r="D11" s="6">
        <v>9980</v>
      </c>
      <c r="E11" s="6">
        <v>13470</v>
      </c>
      <c r="F11" s="37"/>
      <c r="G11" s="37"/>
      <c r="H11" s="37"/>
      <c r="I11" s="37"/>
      <c r="J11" s="38"/>
    </row>
    <row r="12" spans="1:20" x14ac:dyDescent="0.2">
      <c r="A12" s="2"/>
      <c r="B12" s="37"/>
      <c r="C12" s="22">
        <v>2014</v>
      </c>
      <c r="D12" s="6">
        <v>7480</v>
      </c>
      <c r="E12" s="6">
        <v>8080</v>
      </c>
      <c r="F12" s="37"/>
      <c r="G12" s="37"/>
      <c r="H12" s="37"/>
      <c r="I12" s="37"/>
      <c r="J12" s="38"/>
      <c r="M12" s="392" t="s">
        <v>212</v>
      </c>
      <c r="N12" s="392"/>
      <c r="O12" s="392"/>
      <c r="P12" s="392"/>
      <c r="Q12" s="392"/>
      <c r="R12" s="392"/>
      <c r="S12" s="392"/>
      <c r="T12" s="392"/>
    </row>
    <row r="13" spans="1:20" x14ac:dyDescent="0.2">
      <c r="A13" s="2"/>
      <c r="B13" s="37"/>
      <c r="C13" s="22">
        <v>2015</v>
      </c>
      <c r="D13" s="6">
        <v>10190</v>
      </c>
      <c r="E13" s="6">
        <v>11210</v>
      </c>
      <c r="F13" s="37"/>
      <c r="G13" s="37"/>
      <c r="H13" s="37"/>
      <c r="I13" s="37"/>
      <c r="J13" s="38"/>
      <c r="M13" s="392"/>
      <c r="N13" s="392"/>
      <c r="O13" s="392"/>
      <c r="P13" s="392"/>
      <c r="Q13" s="392"/>
      <c r="R13" s="392"/>
      <c r="S13" s="392"/>
      <c r="T13" s="392"/>
    </row>
    <row r="14" spans="1:20" x14ac:dyDescent="0.2">
      <c r="A14" s="2"/>
      <c r="B14" s="37"/>
      <c r="C14" s="22">
        <v>2016</v>
      </c>
      <c r="D14" s="6">
        <v>9850</v>
      </c>
      <c r="E14" s="7"/>
      <c r="F14" s="37"/>
      <c r="G14" s="37"/>
      <c r="H14" s="37"/>
      <c r="I14" s="37"/>
      <c r="J14" s="38"/>
    </row>
    <row r="15" spans="1:20" x14ac:dyDescent="0.2">
      <c r="A15" s="2"/>
      <c r="B15" s="37"/>
      <c r="C15" s="37"/>
      <c r="D15" s="37"/>
      <c r="E15" s="37"/>
      <c r="F15" s="37"/>
      <c r="G15" s="37"/>
      <c r="H15" s="37"/>
      <c r="I15" s="37"/>
      <c r="J15" s="38"/>
    </row>
    <row r="16" spans="1:20" x14ac:dyDescent="0.2">
      <c r="A16" s="2"/>
      <c r="B16" s="37"/>
      <c r="C16" s="37"/>
      <c r="D16" s="37"/>
      <c r="E16" s="37"/>
      <c r="F16" s="37"/>
      <c r="G16" s="37"/>
      <c r="H16" s="37"/>
      <c r="I16" s="37"/>
      <c r="J16" s="38"/>
      <c r="R16" s="39" t="s">
        <v>16</v>
      </c>
    </row>
    <row r="17" spans="1:20" x14ac:dyDescent="0.2">
      <c r="A17" s="37" t="s">
        <v>0</v>
      </c>
      <c r="B17" s="37" t="s">
        <v>12</v>
      </c>
      <c r="C17" s="37"/>
      <c r="D17" s="37"/>
      <c r="E17" s="37"/>
      <c r="F17" s="37"/>
      <c r="G17" s="37"/>
      <c r="H17" s="37"/>
      <c r="I17" s="37"/>
      <c r="J17" s="38"/>
      <c r="R17" s="43" t="s">
        <v>17</v>
      </c>
      <c r="S17" s="44" t="s">
        <v>18</v>
      </c>
    </row>
    <row r="18" spans="1:20" x14ac:dyDescent="0.2">
      <c r="A18" s="2"/>
      <c r="B18" s="37" t="s">
        <v>11</v>
      </c>
      <c r="C18" s="37"/>
      <c r="D18" s="37"/>
      <c r="E18" s="37"/>
      <c r="F18" s="37"/>
      <c r="G18" s="37"/>
      <c r="H18" s="37"/>
      <c r="I18" s="37"/>
      <c r="J18" s="38"/>
      <c r="R18" s="45">
        <v>0</v>
      </c>
      <c r="S18" s="46">
        <f>R18*$N$10</f>
        <v>0</v>
      </c>
    </row>
    <row r="19" spans="1:20" x14ac:dyDescent="0.2">
      <c r="A19" s="2"/>
      <c r="B19" s="37"/>
      <c r="C19" s="37"/>
      <c r="D19" s="37"/>
      <c r="E19" s="37"/>
      <c r="F19" s="37"/>
      <c r="G19" s="37"/>
      <c r="H19" s="37"/>
      <c r="I19" s="37"/>
      <c r="J19" s="38"/>
      <c r="R19" s="45">
        <v>15000</v>
      </c>
      <c r="S19" s="46">
        <f>R19*$N$10</f>
        <v>19081.59039138538</v>
      </c>
    </row>
    <row r="20" spans="1:20" x14ac:dyDescent="0.2">
      <c r="A20" s="37" t="s">
        <v>1</v>
      </c>
      <c r="B20" s="37" t="s">
        <v>207</v>
      </c>
      <c r="C20" s="37"/>
      <c r="D20" s="37"/>
      <c r="E20" s="37"/>
      <c r="F20" s="37"/>
      <c r="G20" s="37"/>
      <c r="H20" s="37"/>
      <c r="I20" s="37"/>
      <c r="J20" s="38"/>
      <c r="N20" s="40"/>
    </row>
    <row r="21" spans="1:20" x14ac:dyDescent="0.2">
      <c r="A21" s="2"/>
      <c r="B21" s="37" t="s">
        <v>208</v>
      </c>
      <c r="C21" s="37"/>
      <c r="D21" s="37"/>
      <c r="E21" s="37"/>
      <c r="F21" s="37"/>
      <c r="G21" s="37"/>
      <c r="H21" s="37"/>
      <c r="I21" s="37"/>
      <c r="J21" s="38"/>
    </row>
    <row r="22" spans="1:20" x14ac:dyDescent="0.2">
      <c r="A22" s="2"/>
      <c r="B22" s="37"/>
      <c r="C22" s="37"/>
      <c r="D22" s="37"/>
      <c r="E22" s="37"/>
      <c r="F22" s="37"/>
      <c r="G22" s="37"/>
      <c r="H22" s="37"/>
      <c r="I22" s="37"/>
      <c r="J22" s="38"/>
    </row>
    <row r="23" spans="1:20" x14ac:dyDescent="0.2">
      <c r="A23" s="37" t="s">
        <v>2</v>
      </c>
      <c r="B23" s="37" t="s">
        <v>209</v>
      </c>
      <c r="C23" s="37"/>
      <c r="D23" s="37"/>
      <c r="E23" s="37"/>
      <c r="F23" s="37"/>
      <c r="G23" s="37"/>
      <c r="H23" s="37"/>
      <c r="I23" s="37"/>
      <c r="J23" s="38"/>
    </row>
    <row r="24" spans="1:20" x14ac:dyDescent="0.2">
      <c r="A24" s="2"/>
      <c r="B24" s="37" t="s">
        <v>210</v>
      </c>
      <c r="C24" s="37"/>
      <c r="D24" s="37"/>
      <c r="E24" s="37"/>
      <c r="F24" s="37"/>
      <c r="G24" s="37"/>
      <c r="H24" s="37"/>
      <c r="I24" s="37"/>
      <c r="J24" s="38"/>
    </row>
    <row r="25" spans="1:20" x14ac:dyDescent="0.2">
      <c r="A25" s="2"/>
      <c r="B25" s="37" t="s">
        <v>211</v>
      </c>
      <c r="C25" s="37"/>
      <c r="D25" s="37"/>
      <c r="E25" s="37"/>
      <c r="F25" s="37"/>
      <c r="G25" s="37"/>
      <c r="H25" s="37"/>
      <c r="I25" s="37"/>
      <c r="J25" s="38"/>
    </row>
    <row r="26" spans="1:20" x14ac:dyDescent="0.2">
      <c r="A26" s="2"/>
      <c r="B26" s="37"/>
      <c r="C26" s="37"/>
      <c r="D26" s="37"/>
      <c r="E26" s="37"/>
      <c r="F26" s="37"/>
      <c r="G26" s="37"/>
      <c r="H26" s="37"/>
      <c r="I26" s="37"/>
      <c r="J26" s="38"/>
    </row>
    <row r="27" spans="1:20" ht="17" thickBot="1" x14ac:dyDescent="0.25">
      <c r="A27" s="2"/>
      <c r="B27" s="37"/>
      <c r="C27" s="37"/>
      <c r="D27" s="37"/>
      <c r="E27" s="37"/>
      <c r="F27" s="37"/>
      <c r="G27" s="37"/>
      <c r="H27" s="37"/>
      <c r="I27" s="37"/>
      <c r="J27" s="38"/>
    </row>
    <row r="28" spans="1:20" ht="17" thickBot="1" x14ac:dyDescent="0.25">
      <c r="A28" s="394" t="s">
        <v>205</v>
      </c>
      <c r="B28" s="395"/>
      <c r="C28" s="395"/>
      <c r="D28" s="395"/>
      <c r="E28" s="395"/>
      <c r="F28" s="395"/>
      <c r="G28" s="395"/>
      <c r="H28" s="395"/>
      <c r="I28" s="395"/>
      <c r="J28" s="396"/>
    </row>
    <row r="30" spans="1:20" ht="19" x14ac:dyDescent="0.25">
      <c r="A30" s="3"/>
    </row>
    <row r="31" spans="1:20" x14ac:dyDescent="0.2">
      <c r="T31" s="399" t="s">
        <v>20</v>
      </c>
    </row>
    <row r="32" spans="1:20" ht="17" x14ac:dyDescent="0.2">
      <c r="L32" s="15" t="s">
        <v>5</v>
      </c>
      <c r="R32" s="10" t="s">
        <v>19</v>
      </c>
      <c r="S32" s="11" t="s">
        <v>8</v>
      </c>
      <c r="T32" s="400"/>
    </row>
    <row r="33" spans="13:20" x14ac:dyDescent="0.2">
      <c r="R33" s="9">
        <v>2010</v>
      </c>
      <c r="S33" s="8">
        <v>8240</v>
      </c>
      <c r="T33" s="47">
        <f t="shared" ref="T33:T38" si="0">(E8-D8*$N$10)/SQRT(D8)</f>
        <v>2.399864226271939</v>
      </c>
    </row>
    <row r="34" spans="13:20" x14ac:dyDescent="0.2">
      <c r="R34" s="9">
        <v>2011</v>
      </c>
      <c r="S34" s="8">
        <v>7360</v>
      </c>
      <c r="T34" s="47">
        <f t="shared" si="0"/>
        <v>-6.2093204953547927</v>
      </c>
    </row>
    <row r="35" spans="13:20" x14ac:dyDescent="0.2">
      <c r="R35" s="9">
        <v>2012</v>
      </c>
      <c r="S35" s="8">
        <v>5040</v>
      </c>
      <c r="T35" s="47">
        <f t="shared" si="0"/>
        <v>38.434595888553673</v>
      </c>
    </row>
    <row r="36" spans="13:20" x14ac:dyDescent="0.2">
      <c r="R36" s="9">
        <v>2013</v>
      </c>
      <c r="S36" s="8">
        <v>9980</v>
      </c>
      <c r="T36" s="47">
        <f t="shared" si="0"/>
        <v>7.7515740496999754</v>
      </c>
    </row>
    <row r="37" spans="13:20" x14ac:dyDescent="0.2">
      <c r="R37" s="9">
        <v>2014</v>
      </c>
      <c r="S37" s="8">
        <v>7480</v>
      </c>
      <c r="T37" s="47">
        <f t="shared" si="0"/>
        <v>-16.596172688748407</v>
      </c>
    </row>
    <row r="38" spans="13:20" x14ac:dyDescent="0.2">
      <c r="R38" s="9">
        <v>2015</v>
      </c>
      <c r="S38" s="8">
        <v>10190</v>
      </c>
      <c r="T38" s="47">
        <f t="shared" si="0"/>
        <v>-17.363427664420602</v>
      </c>
    </row>
    <row r="48" spans="13:20" ht="16" customHeight="1" x14ac:dyDescent="0.2">
      <c r="M48" s="392" t="s">
        <v>213</v>
      </c>
      <c r="N48" s="392"/>
      <c r="O48" s="392"/>
      <c r="P48" s="392"/>
      <c r="Q48" s="392"/>
      <c r="R48" s="392"/>
      <c r="S48" s="392"/>
      <c r="T48" s="392"/>
    </row>
    <row r="49" spans="12:21" x14ac:dyDescent="0.2">
      <c r="M49" s="392"/>
      <c r="N49" s="392"/>
      <c r="O49" s="392"/>
      <c r="P49" s="392"/>
      <c r="Q49" s="392"/>
      <c r="R49" s="392"/>
      <c r="S49" s="392"/>
      <c r="T49" s="392"/>
    </row>
    <row r="50" spans="12:21" x14ac:dyDescent="0.2">
      <c r="M50" s="392"/>
      <c r="N50" s="392"/>
      <c r="O50" s="392"/>
      <c r="P50" s="392"/>
      <c r="Q50" s="392"/>
      <c r="R50" s="392"/>
      <c r="S50" s="392"/>
      <c r="T50" s="392"/>
    </row>
    <row r="51" spans="12:21" x14ac:dyDescent="0.2">
      <c r="M51" s="392"/>
      <c r="N51" s="392"/>
      <c r="O51" s="392"/>
      <c r="P51" s="392"/>
      <c r="Q51" s="392"/>
      <c r="R51" s="392"/>
      <c r="S51" s="392"/>
      <c r="T51" s="392"/>
    </row>
    <row r="52" spans="12:21" ht="19" x14ac:dyDescent="0.25">
      <c r="L52" s="3"/>
    </row>
    <row r="53" spans="12:21" ht="16" customHeight="1" x14ac:dyDescent="0.2">
      <c r="M53" s="392" t="s">
        <v>204</v>
      </c>
      <c r="N53" s="392"/>
      <c r="O53" s="392"/>
      <c r="P53" s="392"/>
      <c r="Q53" s="392"/>
      <c r="R53" s="392"/>
      <c r="S53" s="392"/>
      <c r="T53" s="392"/>
      <c r="U53" s="48"/>
    </row>
    <row r="54" spans="12:21" x14ac:dyDescent="0.2">
      <c r="L54" s="5"/>
      <c r="M54" s="392"/>
      <c r="N54" s="392"/>
      <c r="O54" s="392"/>
      <c r="P54" s="392"/>
      <c r="Q54" s="392"/>
      <c r="R54" s="392"/>
      <c r="S54" s="392"/>
      <c r="T54" s="392"/>
    </row>
    <row r="55" spans="12:21" x14ac:dyDescent="0.2">
      <c r="L55" s="104"/>
      <c r="M55" s="104"/>
      <c r="N55" s="104"/>
      <c r="O55" s="104"/>
      <c r="P55" s="104"/>
      <c r="Q55" s="104"/>
      <c r="R55" s="104"/>
      <c r="S55" s="104"/>
      <c r="T55" s="104"/>
      <c r="U55" s="104"/>
    </row>
    <row r="56" spans="12:21" ht="19" x14ac:dyDescent="0.25">
      <c r="L56" s="3" t="s">
        <v>236</v>
      </c>
      <c r="M56" s="104"/>
      <c r="N56" s="104"/>
      <c r="O56" s="104"/>
      <c r="P56" s="104"/>
      <c r="Q56" s="104"/>
      <c r="R56" s="104"/>
      <c r="S56" s="104"/>
      <c r="T56" s="104"/>
      <c r="U56" s="104"/>
    </row>
    <row r="57" spans="12:21" x14ac:dyDescent="0.2">
      <c r="L57" s="104" t="s">
        <v>237</v>
      </c>
      <c r="M57" s="104"/>
      <c r="N57" s="104"/>
      <c r="O57" s="104"/>
      <c r="P57" s="104"/>
      <c r="Q57" s="104"/>
      <c r="R57" s="104"/>
      <c r="S57" s="104"/>
      <c r="T57" s="104"/>
      <c r="U57" s="104"/>
    </row>
    <row r="58" spans="12:21" x14ac:dyDescent="0.2">
      <c r="L58" s="104"/>
      <c r="M58" s="104"/>
      <c r="N58" s="104"/>
      <c r="O58" s="104"/>
      <c r="P58" s="104"/>
      <c r="Q58" s="104"/>
      <c r="R58" s="104"/>
      <c r="S58" s="104"/>
      <c r="T58" s="104"/>
      <c r="U58" s="104"/>
    </row>
    <row r="59" spans="12:21" x14ac:dyDescent="0.2">
      <c r="L59" s="104"/>
      <c r="M59" s="104"/>
      <c r="N59" s="104"/>
      <c r="O59" s="104"/>
      <c r="P59" s="104"/>
      <c r="Q59" s="104"/>
      <c r="R59" s="104"/>
      <c r="S59" s="104"/>
      <c r="T59" s="104"/>
      <c r="U59" s="104"/>
    </row>
    <row r="60" spans="12:21" x14ac:dyDescent="0.2">
      <c r="L60" s="104"/>
      <c r="M60" s="121"/>
      <c r="N60" s="104"/>
      <c r="O60" s="104"/>
      <c r="P60" s="104"/>
      <c r="Q60" s="104"/>
      <c r="R60" s="104"/>
      <c r="S60" s="104"/>
      <c r="T60" s="104"/>
      <c r="U60" s="104"/>
    </row>
    <row r="61" spans="12:21" x14ac:dyDescent="0.2">
      <c r="L61" s="104"/>
      <c r="M61" s="104"/>
      <c r="N61" s="104"/>
      <c r="O61" s="104"/>
      <c r="P61" s="104"/>
      <c r="Q61" s="104"/>
      <c r="R61" s="104"/>
      <c r="S61" s="104"/>
      <c r="T61" s="104"/>
      <c r="U61" s="104"/>
    </row>
    <row r="62" spans="12:21" x14ac:dyDescent="0.2">
      <c r="L62" s="104"/>
      <c r="M62" s="104"/>
      <c r="N62" s="104"/>
      <c r="O62" s="104"/>
      <c r="P62" s="104"/>
      <c r="Q62" s="104"/>
      <c r="R62" s="104"/>
      <c r="S62" s="104"/>
      <c r="T62" s="104"/>
      <c r="U62" s="104"/>
    </row>
    <row r="63" spans="12:21" x14ac:dyDescent="0.2">
      <c r="L63" s="104"/>
      <c r="M63" s="104"/>
      <c r="N63" s="104"/>
      <c r="O63" s="104"/>
      <c r="P63" s="104"/>
      <c r="Q63" s="104"/>
      <c r="R63" s="104"/>
      <c r="S63" s="104"/>
      <c r="T63" s="104"/>
      <c r="U63" s="104"/>
    </row>
    <row r="64" spans="12:21" x14ac:dyDescent="0.2">
      <c r="L64" s="104"/>
      <c r="M64" s="104"/>
      <c r="N64" s="104"/>
      <c r="O64" s="104"/>
      <c r="P64" s="104"/>
      <c r="Q64" s="104"/>
      <c r="R64" s="104"/>
      <c r="S64" s="104"/>
      <c r="T64" s="104"/>
      <c r="U64" s="104"/>
    </row>
    <row r="65" spans="12:21" x14ac:dyDescent="0.2">
      <c r="L65" s="104"/>
      <c r="M65" s="104"/>
      <c r="N65" s="104"/>
      <c r="O65" s="104"/>
      <c r="P65" s="104"/>
      <c r="Q65" s="104"/>
      <c r="R65" s="104"/>
      <c r="S65" s="104"/>
      <c r="T65" s="104"/>
      <c r="U65" s="104"/>
    </row>
    <row r="66" spans="12:21" x14ac:dyDescent="0.2">
      <c r="L66" s="104"/>
      <c r="M66" s="104"/>
      <c r="N66" s="104"/>
      <c r="O66" s="104"/>
      <c r="P66" s="104"/>
      <c r="Q66" s="104"/>
      <c r="R66" s="104"/>
      <c r="S66" s="104"/>
      <c r="T66" s="104"/>
      <c r="U66" s="104"/>
    </row>
    <row r="67" spans="12:21" x14ac:dyDescent="0.2">
      <c r="L67" s="104"/>
      <c r="M67" s="104"/>
      <c r="N67" s="104"/>
      <c r="O67" s="104"/>
      <c r="P67" s="104"/>
      <c r="Q67" s="104"/>
      <c r="R67" s="104"/>
      <c r="S67" s="104"/>
      <c r="T67" s="104"/>
      <c r="U67" s="104"/>
    </row>
    <row r="68" spans="12:21" x14ac:dyDescent="0.2">
      <c r="L68" s="104"/>
      <c r="M68" s="104"/>
      <c r="N68" s="104"/>
      <c r="O68" s="104"/>
      <c r="P68" s="104"/>
      <c r="Q68" s="104"/>
      <c r="R68" s="104"/>
      <c r="S68" s="104"/>
      <c r="T68" s="104"/>
      <c r="U68" s="104"/>
    </row>
    <row r="69" spans="12:21" x14ac:dyDescent="0.2">
      <c r="L69" s="104"/>
      <c r="M69" s="104"/>
      <c r="N69" s="104"/>
      <c r="O69" s="104"/>
      <c r="P69" s="104"/>
      <c r="Q69" s="104"/>
      <c r="R69" s="104"/>
      <c r="S69" s="104"/>
      <c r="T69" s="104"/>
      <c r="U69" s="104"/>
    </row>
    <row r="70" spans="12:21" x14ac:dyDescent="0.2">
      <c r="L70" s="104"/>
      <c r="M70" s="121"/>
      <c r="N70" s="104"/>
      <c r="O70" s="104"/>
      <c r="P70" s="104"/>
      <c r="Q70" s="104"/>
      <c r="R70" s="104"/>
      <c r="S70" s="104"/>
      <c r="T70" s="104"/>
      <c r="U70" s="104"/>
    </row>
    <row r="71" spans="12:21" x14ac:dyDescent="0.2">
      <c r="L71" s="104"/>
      <c r="M71" s="104"/>
      <c r="N71" s="104"/>
      <c r="O71" s="104"/>
      <c r="P71" s="104"/>
      <c r="Q71" s="104"/>
      <c r="R71" s="104"/>
      <c r="S71" s="104"/>
      <c r="T71" s="104"/>
      <c r="U71" s="104"/>
    </row>
    <row r="72" spans="12:21" x14ac:dyDescent="0.2">
      <c r="L72" s="104"/>
      <c r="M72" s="104"/>
      <c r="N72" s="104"/>
      <c r="O72" s="104"/>
      <c r="P72" s="104"/>
      <c r="Q72" s="104"/>
      <c r="R72" s="104"/>
      <c r="S72" s="104"/>
      <c r="T72" s="104"/>
      <c r="U72" s="104"/>
    </row>
    <row r="73" spans="12:21" x14ac:dyDescent="0.2">
      <c r="L73" s="104"/>
      <c r="M73" s="104"/>
      <c r="N73" s="104"/>
      <c r="O73" s="104"/>
      <c r="P73" s="104"/>
      <c r="Q73" s="104"/>
      <c r="R73" s="104"/>
      <c r="S73" s="104"/>
      <c r="T73" s="104"/>
      <c r="U73" s="104"/>
    </row>
    <row r="74" spans="12:21" x14ac:dyDescent="0.2">
      <c r="L74" s="104"/>
      <c r="M74" s="104"/>
      <c r="N74" s="104"/>
      <c r="O74" s="104"/>
      <c r="P74" s="104"/>
      <c r="Q74" s="104"/>
      <c r="R74" s="104"/>
      <c r="S74" s="104"/>
      <c r="T74" s="104"/>
      <c r="U74" s="104"/>
    </row>
    <row r="75" spans="12:21" x14ac:dyDescent="0.2">
      <c r="L75" s="104"/>
      <c r="M75" s="104"/>
      <c r="N75" s="104"/>
      <c r="O75" s="104"/>
      <c r="P75" s="104"/>
      <c r="Q75" s="104"/>
      <c r="R75" s="104"/>
      <c r="S75" s="104"/>
      <c r="T75" s="104"/>
      <c r="U75" s="104"/>
    </row>
    <row r="76" spans="12:21" x14ac:dyDescent="0.2">
      <c r="L76" s="104"/>
      <c r="M76" s="104"/>
      <c r="N76" s="104"/>
      <c r="O76" s="104"/>
      <c r="P76" s="104"/>
      <c r="Q76" s="104"/>
      <c r="R76" s="104"/>
      <c r="S76" s="104"/>
      <c r="T76" s="104"/>
      <c r="U76" s="104"/>
    </row>
    <row r="77" spans="12:21" x14ac:dyDescent="0.2">
      <c r="L77" s="104"/>
      <c r="M77" s="104"/>
      <c r="N77" s="104"/>
      <c r="O77" s="104"/>
      <c r="P77" s="104"/>
      <c r="Q77" s="104"/>
      <c r="R77" s="104"/>
      <c r="S77" s="104"/>
      <c r="T77" s="104"/>
      <c r="U77" s="104"/>
    </row>
    <row r="78" spans="12:21" x14ac:dyDescent="0.2">
      <c r="L78" s="104"/>
      <c r="M78" s="104"/>
      <c r="N78" s="104"/>
      <c r="O78" s="104"/>
      <c r="P78" s="104"/>
      <c r="Q78" s="104"/>
      <c r="R78" s="104"/>
      <c r="S78" s="104"/>
      <c r="T78" s="104"/>
      <c r="U78" s="104"/>
    </row>
    <row r="79" spans="12:21" x14ac:dyDescent="0.2">
      <c r="L79" s="104"/>
      <c r="M79" s="104"/>
      <c r="N79" s="104"/>
      <c r="O79" s="104"/>
      <c r="P79" s="104"/>
      <c r="Q79" s="104"/>
      <c r="R79" s="104"/>
      <c r="S79" s="104"/>
      <c r="T79" s="104"/>
      <c r="U79" s="104"/>
    </row>
    <row r="80" spans="12:21" x14ac:dyDescent="0.2">
      <c r="L80" s="104"/>
      <c r="M80" s="121"/>
      <c r="N80" s="104"/>
      <c r="O80" s="104"/>
      <c r="P80" s="104"/>
      <c r="Q80" s="104"/>
      <c r="R80" s="104"/>
      <c r="S80" s="104"/>
      <c r="T80" s="104"/>
      <c r="U80" s="104"/>
    </row>
    <row r="81" spans="1:65" x14ac:dyDescent="0.2">
      <c r="L81" s="104"/>
      <c r="M81" s="104"/>
      <c r="N81" s="104"/>
      <c r="O81" s="104"/>
      <c r="P81" s="104"/>
      <c r="Q81" s="104"/>
      <c r="R81" s="104"/>
      <c r="S81" s="104"/>
      <c r="T81" s="104"/>
      <c r="U81" s="104"/>
    </row>
    <row r="82" spans="1:65" x14ac:dyDescent="0.2">
      <c r="L82" s="104"/>
      <c r="M82" s="104"/>
      <c r="N82" s="104"/>
      <c r="O82" s="104"/>
      <c r="P82" s="104"/>
      <c r="Q82" s="104"/>
      <c r="R82" s="104"/>
      <c r="S82" s="104"/>
      <c r="T82" s="104"/>
      <c r="U82" s="104"/>
    </row>
    <row r="83" spans="1:65" x14ac:dyDescent="0.2">
      <c r="L83" s="104"/>
      <c r="M83" s="104"/>
      <c r="N83" s="104"/>
      <c r="O83" s="104"/>
      <c r="P83" s="104"/>
      <c r="Q83" s="104"/>
      <c r="R83" s="104"/>
      <c r="S83" s="104"/>
      <c r="T83" s="104"/>
      <c r="U83" s="104"/>
    </row>
    <row r="84" spans="1:65" x14ac:dyDescent="0.2">
      <c r="L84" s="104"/>
      <c r="M84" s="104"/>
      <c r="N84" s="104"/>
      <c r="O84" s="104"/>
      <c r="P84" s="104"/>
      <c r="Q84" s="104"/>
      <c r="R84" s="104"/>
      <c r="S84" s="104"/>
      <c r="T84" s="104"/>
      <c r="U84" s="104"/>
    </row>
    <row r="85" spans="1:65" x14ac:dyDescent="0.2">
      <c r="L85" s="104"/>
      <c r="M85" s="104"/>
      <c r="N85" s="104"/>
      <c r="O85" s="104"/>
      <c r="P85" s="104"/>
      <c r="Q85" s="104"/>
      <c r="R85" s="104"/>
      <c r="S85" s="104"/>
      <c r="T85" s="104"/>
      <c r="U85" s="104"/>
    </row>
    <row r="86" spans="1:65" x14ac:dyDescent="0.2">
      <c r="L86" s="104"/>
      <c r="M86" s="104"/>
      <c r="N86" s="104"/>
      <c r="O86" s="104"/>
      <c r="P86" s="104"/>
      <c r="Q86" s="104"/>
      <c r="R86" s="104"/>
      <c r="S86" s="104"/>
      <c r="T86" s="104"/>
      <c r="U86" s="104"/>
    </row>
    <row r="87" spans="1:65" x14ac:dyDescent="0.2">
      <c r="L87" s="104"/>
      <c r="M87" s="104"/>
      <c r="N87" s="104"/>
      <c r="O87" s="104"/>
      <c r="P87" s="104"/>
      <c r="Q87" s="104"/>
      <c r="R87" s="104"/>
      <c r="S87" s="104"/>
      <c r="T87" s="104"/>
      <c r="U87" s="104"/>
    </row>
    <row r="88" spans="1:65" x14ac:dyDescent="0.2">
      <c r="L88" s="104"/>
      <c r="M88" s="104"/>
      <c r="N88" s="104"/>
      <c r="O88" s="104"/>
      <c r="P88" s="104"/>
      <c r="Q88" s="104"/>
      <c r="R88" s="104"/>
      <c r="S88" s="104"/>
      <c r="T88" s="104"/>
      <c r="U88" s="104"/>
    </row>
    <row r="89" spans="1:65" x14ac:dyDescent="0.2">
      <c r="A89" s="5"/>
      <c r="B89" s="5"/>
      <c r="C89" s="5"/>
      <c r="D89" s="5"/>
      <c r="E89" s="5"/>
      <c r="F89" s="5"/>
      <c r="G89" s="5"/>
      <c r="H89" s="5"/>
      <c r="I89" s="5"/>
      <c r="J89" s="5"/>
      <c r="L89" s="5"/>
      <c r="M89" s="5"/>
      <c r="N89" s="5"/>
    </row>
    <row r="90" spans="1:65" x14ac:dyDescent="0.2">
      <c r="A90" s="5"/>
      <c r="B90" s="5"/>
      <c r="C90" s="5"/>
      <c r="D90" s="5"/>
      <c r="E90" s="5"/>
      <c r="F90" s="5"/>
      <c r="G90" s="5"/>
      <c r="H90" s="5"/>
      <c r="I90" s="5"/>
      <c r="J90" s="5"/>
      <c r="M90" s="40"/>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sheetData>
  <mergeCells count="8">
    <mergeCell ref="M53:T54"/>
    <mergeCell ref="C5:E5"/>
    <mergeCell ref="A28:J28"/>
    <mergeCell ref="M3:T4"/>
    <mergeCell ref="M12:T13"/>
    <mergeCell ref="M48:T51"/>
    <mergeCell ref="C6:C7"/>
    <mergeCell ref="T31:T3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1352-DF00-D84C-B586-5E5E79441EEF}">
  <dimension ref="A1:BM190"/>
  <sheetViews>
    <sheetView zoomScaleNormal="100" workbookViewId="0"/>
  </sheetViews>
  <sheetFormatPr baseColWidth="10" defaultColWidth="10.83203125" defaultRowHeight="16" outlineLevelCol="1" x14ac:dyDescent="0.2"/>
  <cols>
    <col min="1" max="1" width="4.6640625" style="104" customWidth="1"/>
    <col min="2" max="2" width="10.83203125" style="104"/>
    <col min="3" max="3" width="10.83203125" style="104" customWidth="1"/>
    <col min="4" max="10" width="10.83203125" style="104"/>
    <col min="11" max="11" width="11.5" style="104" bestFit="1" customWidth="1"/>
    <col min="12" max="12" width="11.1640625" style="104" hidden="1" customWidth="1" outlineLevel="1"/>
    <col min="13" max="20" width="10.83203125" style="104" hidden="1" customWidth="1" outlineLevel="1"/>
    <col min="21" max="21" width="10.83203125" style="104" collapsed="1"/>
    <col min="22" max="16384" width="10.83203125" style="104"/>
  </cols>
  <sheetData>
    <row r="1" spans="1:20" ht="19" x14ac:dyDescent="0.25">
      <c r="A1" s="1" t="s">
        <v>225</v>
      </c>
      <c r="B1" s="28"/>
      <c r="C1" s="133"/>
      <c r="D1" s="133"/>
      <c r="E1" s="133"/>
      <c r="F1" s="129"/>
      <c r="G1" s="129"/>
      <c r="H1" s="129"/>
      <c r="I1" s="129"/>
      <c r="J1" s="128"/>
      <c r="K1" s="3" t="s">
        <v>206</v>
      </c>
    </row>
    <row r="2" spans="1:20" x14ac:dyDescent="0.2">
      <c r="A2" s="2"/>
      <c r="B2" s="129"/>
      <c r="C2" s="129"/>
      <c r="D2" s="129"/>
      <c r="E2" s="129"/>
      <c r="F2" s="129"/>
      <c r="G2" s="129"/>
      <c r="H2" s="129"/>
      <c r="I2" s="129"/>
      <c r="J2" s="128"/>
      <c r="L2" s="15"/>
      <c r="N2" s="121"/>
    </row>
    <row r="3" spans="1:20" x14ac:dyDescent="0.2">
      <c r="A3" s="2"/>
      <c r="B3" s="129" t="s">
        <v>21</v>
      </c>
      <c r="C3" s="129"/>
      <c r="D3" s="129"/>
      <c r="E3" s="129"/>
      <c r="F3" s="129"/>
      <c r="G3" s="129"/>
      <c r="H3" s="129"/>
      <c r="I3" s="129"/>
      <c r="J3" s="128"/>
      <c r="M3" s="104" t="s">
        <v>30</v>
      </c>
    </row>
    <row r="4" spans="1:20" x14ac:dyDescent="0.2">
      <c r="A4" s="2"/>
      <c r="B4" s="129"/>
      <c r="C4" s="129"/>
      <c r="D4" s="129"/>
      <c r="E4" s="129"/>
      <c r="F4" s="129"/>
      <c r="G4" s="129"/>
      <c r="H4" s="129"/>
      <c r="I4" s="129"/>
      <c r="J4" s="128"/>
    </row>
    <row r="5" spans="1:20" x14ac:dyDescent="0.2">
      <c r="A5" s="2"/>
      <c r="B5" s="129"/>
      <c r="C5" s="393" t="s">
        <v>27</v>
      </c>
      <c r="D5" s="393"/>
      <c r="E5" s="393"/>
      <c r="F5" s="393"/>
      <c r="G5" s="393"/>
      <c r="H5" s="393"/>
      <c r="I5" s="129"/>
      <c r="J5" s="128"/>
    </row>
    <row r="6" spans="1:20" ht="34" x14ac:dyDescent="0.2">
      <c r="A6" s="2"/>
      <c r="B6" s="129"/>
      <c r="C6" s="21" t="s">
        <v>7</v>
      </c>
      <c r="D6" s="20" t="s">
        <v>22</v>
      </c>
      <c r="E6" s="20" t="s">
        <v>23</v>
      </c>
      <c r="F6" s="20" t="s">
        <v>24</v>
      </c>
      <c r="G6" s="20" t="s">
        <v>25</v>
      </c>
      <c r="H6" s="20" t="s">
        <v>26</v>
      </c>
      <c r="I6" s="129"/>
      <c r="J6" s="128"/>
      <c r="M6" s="10" t="s">
        <v>7</v>
      </c>
      <c r="N6" s="11" t="s">
        <v>22</v>
      </c>
      <c r="O6" s="11" t="s">
        <v>23</v>
      </c>
      <c r="P6" s="11" t="s">
        <v>24</v>
      </c>
      <c r="Q6" s="11" t="s">
        <v>25</v>
      </c>
      <c r="R6" s="11" t="s">
        <v>26</v>
      </c>
    </row>
    <row r="7" spans="1:20" ht="17" x14ac:dyDescent="0.2">
      <c r="A7" s="2"/>
      <c r="B7" s="129"/>
      <c r="C7" s="22">
        <v>2012</v>
      </c>
      <c r="D7" s="12">
        <v>6.4</v>
      </c>
      <c r="E7" s="12">
        <v>2.7</v>
      </c>
      <c r="F7" s="12">
        <v>1.2</v>
      </c>
      <c r="G7" s="7">
        <v>1.1200000000000001</v>
      </c>
      <c r="H7" s="7">
        <v>1.05</v>
      </c>
      <c r="I7" s="129"/>
      <c r="J7" s="128"/>
      <c r="M7" s="9">
        <v>2012</v>
      </c>
      <c r="N7" s="13" t="s">
        <v>31</v>
      </c>
      <c r="O7" s="13" t="s">
        <v>31</v>
      </c>
      <c r="P7" s="13" t="s">
        <v>33</v>
      </c>
      <c r="Q7" s="14" t="s">
        <v>32</v>
      </c>
      <c r="R7" s="14" t="s">
        <v>33</v>
      </c>
    </row>
    <row r="8" spans="1:20" ht="17" x14ac:dyDescent="0.2">
      <c r="A8" s="2"/>
      <c r="B8" s="129"/>
      <c r="C8" s="22">
        <v>2013</v>
      </c>
      <c r="D8" s="12">
        <v>3.2</v>
      </c>
      <c r="E8" s="12">
        <v>2.9</v>
      </c>
      <c r="F8" s="12">
        <v>1.3</v>
      </c>
      <c r="G8" s="7">
        <v>1.18</v>
      </c>
      <c r="H8" s="7"/>
      <c r="I8" s="129"/>
      <c r="J8" s="128"/>
      <c r="M8" s="9">
        <v>2013</v>
      </c>
      <c r="N8" s="13" t="s">
        <v>32</v>
      </c>
      <c r="O8" s="13" t="s">
        <v>31</v>
      </c>
      <c r="P8" s="13" t="s">
        <v>31</v>
      </c>
      <c r="Q8" s="14" t="s">
        <v>31</v>
      </c>
      <c r="R8" s="14"/>
    </row>
    <row r="9" spans="1:20" ht="17" x14ac:dyDescent="0.2">
      <c r="A9" s="2"/>
      <c r="B9" s="129"/>
      <c r="C9" s="22">
        <v>2014</v>
      </c>
      <c r="D9" s="12">
        <v>5.4</v>
      </c>
      <c r="E9" s="12">
        <v>1.6</v>
      </c>
      <c r="F9" s="12">
        <v>1.1000000000000001</v>
      </c>
      <c r="G9" s="7"/>
      <c r="H9" s="7"/>
      <c r="I9" s="129"/>
      <c r="J9" s="128"/>
      <c r="M9" s="9">
        <v>2014</v>
      </c>
      <c r="N9" s="13" t="s">
        <v>33</v>
      </c>
      <c r="O9" s="13" t="s">
        <v>32</v>
      </c>
      <c r="P9" s="13" t="s">
        <v>32</v>
      </c>
      <c r="Q9" s="14"/>
      <c r="R9" s="14"/>
    </row>
    <row r="10" spans="1:20" ht="17" x14ac:dyDescent="0.2">
      <c r="A10" s="2"/>
      <c r="B10" s="129"/>
      <c r="C10" s="22">
        <v>2015</v>
      </c>
      <c r="D10" s="12">
        <v>6.8</v>
      </c>
      <c r="E10" s="12">
        <v>1.2</v>
      </c>
      <c r="F10" s="12"/>
      <c r="G10" s="7"/>
      <c r="H10" s="7"/>
      <c r="I10" s="129"/>
      <c r="J10" s="128"/>
      <c r="M10" s="9">
        <v>2015</v>
      </c>
      <c r="N10" s="13" t="s">
        <v>31</v>
      </c>
      <c r="O10" s="13" t="s">
        <v>32</v>
      </c>
      <c r="P10" s="13"/>
      <c r="Q10" s="14"/>
      <c r="R10" s="14"/>
    </row>
    <row r="11" spans="1:20" ht="17" x14ac:dyDescent="0.2">
      <c r="A11" s="2"/>
      <c r="B11" s="129"/>
      <c r="C11" s="22">
        <v>2016</v>
      </c>
      <c r="D11" s="12">
        <v>3.4</v>
      </c>
      <c r="E11" s="12"/>
      <c r="F11" s="12"/>
      <c r="G11" s="7"/>
      <c r="H11" s="7"/>
      <c r="I11" s="129"/>
      <c r="J11" s="128"/>
      <c r="M11" s="9">
        <v>2016</v>
      </c>
      <c r="N11" s="13" t="s">
        <v>32</v>
      </c>
      <c r="O11" s="13"/>
      <c r="P11" s="13"/>
      <c r="Q11" s="14"/>
      <c r="R11" s="14"/>
    </row>
    <row r="12" spans="1:20" x14ac:dyDescent="0.2">
      <c r="A12" s="2"/>
      <c r="B12" s="129"/>
      <c r="C12" s="129"/>
      <c r="D12" s="129"/>
      <c r="E12" s="129"/>
      <c r="F12" s="129"/>
      <c r="G12" s="129"/>
      <c r="H12" s="129"/>
      <c r="I12" s="129"/>
      <c r="J12" s="128"/>
    </row>
    <row r="13" spans="1:20" x14ac:dyDescent="0.2">
      <c r="A13" s="2"/>
      <c r="B13" s="129" t="s">
        <v>223</v>
      </c>
      <c r="C13" s="129"/>
      <c r="D13" s="129"/>
      <c r="E13" s="129"/>
      <c r="F13" s="129"/>
      <c r="G13" s="129"/>
      <c r="H13" s="129"/>
      <c r="I13" s="129"/>
      <c r="J13" s="128"/>
      <c r="M13" s="104" t="s">
        <v>46</v>
      </c>
    </row>
    <row r="14" spans="1:20" x14ac:dyDescent="0.2">
      <c r="A14" s="2"/>
      <c r="B14" s="129"/>
      <c r="C14" s="129"/>
      <c r="D14" s="129"/>
      <c r="E14" s="129"/>
      <c r="F14" s="129"/>
      <c r="G14" s="129"/>
      <c r="H14" s="129"/>
      <c r="I14" s="129"/>
      <c r="J14" s="128"/>
    </row>
    <row r="15" spans="1:20" x14ac:dyDescent="0.2">
      <c r="A15" s="2"/>
      <c r="B15" s="129"/>
      <c r="C15" s="129"/>
      <c r="D15" s="129"/>
      <c r="E15" s="129"/>
      <c r="F15" s="129"/>
      <c r="G15" s="129"/>
      <c r="H15" s="129"/>
      <c r="I15" s="129"/>
      <c r="J15" s="128"/>
      <c r="L15" s="15"/>
      <c r="M15" s="131" t="s">
        <v>41</v>
      </c>
      <c r="N15" s="132" t="s">
        <v>34</v>
      </c>
      <c r="O15" s="130" t="s">
        <v>35</v>
      </c>
      <c r="P15" s="130" t="s">
        <v>36</v>
      </c>
      <c r="Q15" s="130" t="s">
        <v>37</v>
      </c>
      <c r="R15" s="131" t="s">
        <v>38</v>
      </c>
      <c r="S15" s="130" t="s">
        <v>39</v>
      </c>
      <c r="T15" s="130" t="s">
        <v>40</v>
      </c>
    </row>
    <row r="16" spans="1:20" x14ac:dyDescent="0.2">
      <c r="A16" s="2"/>
      <c r="B16" s="129" t="s">
        <v>28</v>
      </c>
      <c r="C16" s="129"/>
      <c r="D16" s="129"/>
      <c r="E16" s="129"/>
      <c r="F16" s="129"/>
      <c r="G16" s="129"/>
      <c r="H16" s="129"/>
      <c r="I16" s="129"/>
      <c r="J16" s="128"/>
      <c r="M16" s="124">
        <v>2</v>
      </c>
      <c r="N16" s="123">
        <v>1</v>
      </c>
      <c r="O16" s="123">
        <v>1</v>
      </c>
      <c r="P16" s="123">
        <f>MIN(N16:O16)</f>
        <v>1</v>
      </c>
      <c r="Q16" s="123">
        <f>SUM(N16:O16)</f>
        <v>2</v>
      </c>
      <c r="R16" s="124">
        <f>ROUNDDOWN(((Q16-1)/2),0)</f>
        <v>0</v>
      </c>
      <c r="S16" s="123">
        <f>Q16/2-COMBIN(Q16-1,R16)*(Q16/(2^Q16))</f>
        <v>0.5</v>
      </c>
      <c r="T16" s="123">
        <f>Q16*(Q16-1)/4-COMBIN(Q16-1,R16)*Q16*(Q16-1)/(2^Q16)+S16-S16^2</f>
        <v>0.25</v>
      </c>
    </row>
    <row r="17" spans="1:20" x14ac:dyDescent="0.2">
      <c r="A17" s="2"/>
      <c r="B17" s="129" t="s">
        <v>29</v>
      </c>
      <c r="C17" s="129"/>
      <c r="D17" s="129"/>
      <c r="E17" s="129"/>
      <c r="F17" s="129"/>
      <c r="G17" s="129"/>
      <c r="H17" s="129"/>
      <c r="I17" s="129"/>
      <c r="J17" s="128"/>
      <c r="M17" s="124">
        <v>3</v>
      </c>
      <c r="N17" s="123">
        <v>0</v>
      </c>
      <c r="O17" s="123">
        <v>1</v>
      </c>
      <c r="P17" s="123">
        <f>MIN(N17:O17)</f>
        <v>0</v>
      </c>
      <c r="Q17" s="123">
        <f>SUM(N17:O17)</f>
        <v>1</v>
      </c>
      <c r="R17" s="124">
        <f>ROUNDDOWN(((Q17-1)/2),0)</f>
        <v>0</v>
      </c>
      <c r="S17" s="123">
        <f>Q17/2-COMBIN(Q17-1,R17)*(Q17/(2^Q17))</f>
        <v>0</v>
      </c>
      <c r="T17" s="123">
        <f>Q17*(Q17-1)/4-COMBIN(Q17-1,R17)*Q17*(Q17-1)/(2^Q17)+S17-S17^2</f>
        <v>0</v>
      </c>
    </row>
    <row r="18" spans="1:20" x14ac:dyDescent="0.2">
      <c r="A18" s="2"/>
      <c r="B18" s="129"/>
      <c r="C18" s="129"/>
      <c r="D18" s="129"/>
      <c r="E18" s="129"/>
      <c r="F18" s="129"/>
      <c r="G18" s="129"/>
      <c r="H18" s="129"/>
      <c r="I18" s="129"/>
      <c r="J18" s="128"/>
      <c r="M18" s="124">
        <v>4</v>
      </c>
      <c r="N18" s="123">
        <v>2</v>
      </c>
      <c r="O18" s="123">
        <v>2</v>
      </c>
      <c r="P18" s="123">
        <f>MIN(N18:O18)</f>
        <v>2</v>
      </c>
      <c r="Q18" s="123">
        <f>SUM(N18:O18)</f>
        <v>4</v>
      </c>
      <c r="R18" s="124">
        <f>ROUNDDOWN(((Q18-1)/2),0)</f>
        <v>1</v>
      </c>
      <c r="S18" s="123">
        <f>Q18/2-COMBIN(Q18-1,R18)*(Q18/(2^Q18))</f>
        <v>1.25</v>
      </c>
      <c r="T18" s="123">
        <f>Q18*(Q18-1)/4-COMBIN(Q18-1,R18)*Q18*(Q18-1)/(2^Q18)+S18-S18^2</f>
        <v>0.4375</v>
      </c>
    </row>
    <row r="19" spans="1:20" ht="17" thickBot="1" x14ac:dyDescent="0.25">
      <c r="A19" s="2"/>
      <c r="B19" s="129"/>
      <c r="C19" s="129"/>
      <c r="D19" s="129"/>
      <c r="E19" s="129"/>
      <c r="F19" s="129"/>
      <c r="G19" s="129"/>
      <c r="H19" s="129"/>
      <c r="I19" s="129"/>
      <c r="J19" s="128"/>
      <c r="M19" s="127">
        <v>5</v>
      </c>
      <c r="N19" s="126">
        <v>3</v>
      </c>
      <c r="O19" s="126">
        <v>1</v>
      </c>
      <c r="P19" s="126">
        <f>MIN(N19:O19)</f>
        <v>1</v>
      </c>
      <c r="Q19" s="126">
        <f>SUM(N19:O19)</f>
        <v>4</v>
      </c>
      <c r="R19" s="127">
        <f>ROUNDDOWN(((Q19-1)/2),0)</f>
        <v>1</v>
      </c>
      <c r="S19" s="126">
        <f>Q19/2-COMBIN(Q19-1,R19)*(Q19/(2^Q19))</f>
        <v>1.25</v>
      </c>
      <c r="T19" s="126">
        <f>Q19*(Q19-1)/4-COMBIN(Q19-1,R19)*Q19*(Q19-1)/(2^Q19)+S19-S19^2</f>
        <v>0.4375</v>
      </c>
    </row>
    <row r="20" spans="1:20" ht="17" thickBot="1" x14ac:dyDescent="0.25">
      <c r="A20" s="394" t="s">
        <v>205</v>
      </c>
      <c r="B20" s="395"/>
      <c r="C20" s="395"/>
      <c r="D20" s="395"/>
      <c r="E20" s="395"/>
      <c r="F20" s="395"/>
      <c r="G20" s="395"/>
      <c r="H20" s="395"/>
      <c r="I20" s="395"/>
      <c r="J20" s="396"/>
      <c r="M20" s="125"/>
      <c r="N20" s="123"/>
      <c r="O20" s="123"/>
      <c r="P20" s="123">
        <f>SUM(P16:P19)</f>
        <v>4</v>
      </c>
      <c r="Q20" s="123"/>
      <c r="R20" s="124"/>
      <c r="S20" s="123">
        <f>SUM(S16:S19)</f>
        <v>3</v>
      </c>
      <c r="T20" s="123">
        <f>SUM(T16:T19)</f>
        <v>1.125</v>
      </c>
    </row>
    <row r="22" spans="1:20" ht="19" x14ac:dyDescent="0.25">
      <c r="A22" s="3"/>
    </row>
    <row r="23" spans="1:20" x14ac:dyDescent="0.2">
      <c r="M23" s="104" t="s">
        <v>45</v>
      </c>
    </row>
    <row r="24" spans="1:20" ht="17" thickBot="1" x14ac:dyDescent="0.25"/>
    <row r="25" spans="1:20" x14ac:dyDescent="0.2">
      <c r="M25" s="105" t="s">
        <v>43</v>
      </c>
      <c r="N25" s="136">
        <f>$S$20+1.96*SQRT($T$20)</f>
        <v>5.0788939366884494</v>
      </c>
    </row>
    <row r="26" spans="1:20" ht="17" thickBot="1" x14ac:dyDescent="0.25">
      <c r="L26" s="15"/>
      <c r="M26" s="107" t="s">
        <v>42</v>
      </c>
      <c r="N26" s="137">
        <f>$S$20-1.96*SQRT($T$20)</f>
        <v>0.92110606331155065</v>
      </c>
    </row>
    <row r="28" spans="1:20" x14ac:dyDescent="0.2">
      <c r="M28" s="15" t="s">
        <v>44</v>
      </c>
    </row>
    <row r="30" spans="1:20" ht="16" customHeight="1" x14ac:dyDescent="0.2"/>
    <row r="31" spans="1:20" ht="19" x14ac:dyDescent="0.25">
      <c r="L31" s="3" t="s">
        <v>200</v>
      </c>
    </row>
    <row r="32" spans="1:20" x14ac:dyDescent="0.2">
      <c r="L32" s="401" t="s">
        <v>203</v>
      </c>
      <c r="M32" s="401"/>
      <c r="N32" s="401"/>
      <c r="O32" s="401"/>
      <c r="P32" s="401"/>
      <c r="Q32" s="401"/>
      <c r="R32" s="401"/>
      <c r="S32" s="401"/>
      <c r="T32" s="122"/>
    </row>
    <row r="33" spans="12:19" x14ac:dyDescent="0.2">
      <c r="L33" s="401"/>
      <c r="M33" s="401"/>
      <c r="N33" s="401"/>
      <c r="O33" s="401"/>
      <c r="P33" s="401"/>
      <c r="Q33" s="401"/>
      <c r="R33" s="401"/>
      <c r="S33" s="401"/>
    </row>
    <row r="34" spans="12:19" x14ac:dyDescent="0.2">
      <c r="L34" s="401"/>
      <c r="M34" s="401"/>
      <c r="N34" s="401"/>
      <c r="O34" s="401"/>
      <c r="P34" s="401"/>
      <c r="Q34" s="401"/>
      <c r="R34" s="401"/>
      <c r="S34" s="401"/>
    </row>
    <row r="35" spans="12:19" x14ac:dyDescent="0.2">
      <c r="L35" s="5"/>
    </row>
    <row r="36" spans="12:19" ht="19" x14ac:dyDescent="0.25">
      <c r="L36" s="3" t="s">
        <v>236</v>
      </c>
    </row>
    <row r="37" spans="12:19" x14ac:dyDescent="0.2">
      <c r="L37" s="104" t="s">
        <v>238</v>
      </c>
    </row>
    <row r="48" spans="12:19" x14ac:dyDescent="0.2">
      <c r="M48" s="121"/>
    </row>
    <row r="49" spans="12:14" x14ac:dyDescent="0.2">
      <c r="L49" s="5"/>
      <c r="M49" s="5"/>
      <c r="N49" s="5"/>
    </row>
    <row r="50" spans="12:14" x14ac:dyDescent="0.2">
      <c r="L50" s="5"/>
      <c r="M50" s="5"/>
      <c r="N50" s="5"/>
    </row>
    <row r="51" spans="12:14" ht="49" customHeight="1"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M58" s="121"/>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M68" s="121"/>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M78" s="121"/>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A87" s="5"/>
      <c r="B87" s="5"/>
      <c r="C87" s="5"/>
      <c r="D87" s="5"/>
      <c r="E87" s="5"/>
      <c r="F87" s="5"/>
      <c r="G87" s="5"/>
      <c r="H87" s="5"/>
      <c r="I87" s="5"/>
      <c r="J87" s="5"/>
      <c r="K87" s="5"/>
      <c r="L87" s="5"/>
      <c r="M87" s="5"/>
      <c r="N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M88" s="121"/>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L189" s="5"/>
      <c r="M189" s="5"/>
      <c r="N189" s="5"/>
      <c r="O189" s="5"/>
      <c r="P189" s="5"/>
      <c r="Q189" s="5"/>
      <c r="R189" s="5"/>
      <c r="S189" s="5"/>
      <c r="T189" s="5"/>
      <c r="U189" s="5"/>
    </row>
    <row r="190" spans="1:65" x14ac:dyDescent="0.2">
      <c r="L190" s="5"/>
      <c r="M190" s="5"/>
      <c r="N190" s="5"/>
      <c r="O190" s="5"/>
      <c r="P190" s="5"/>
      <c r="Q190" s="5"/>
      <c r="R190" s="5"/>
      <c r="S190" s="5"/>
      <c r="T190" s="5"/>
      <c r="U190" s="5"/>
    </row>
  </sheetData>
  <mergeCells count="3">
    <mergeCell ref="C5:H5"/>
    <mergeCell ref="A20:J20"/>
    <mergeCell ref="L32:S3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202"/>
  <sheetViews>
    <sheetView zoomScaleNormal="100" workbookViewId="0"/>
  </sheetViews>
  <sheetFormatPr baseColWidth="10" defaultColWidth="10.83203125" defaultRowHeight="16" outlineLevelCol="1" x14ac:dyDescent="0.2"/>
  <cols>
    <col min="1" max="1" width="4.6640625" style="39" customWidth="1"/>
    <col min="2" max="3" width="10.83203125" style="39" customWidth="1"/>
    <col min="4" max="5" width="10.83203125" style="39"/>
    <col min="6" max="6" width="11.83203125" style="39" customWidth="1"/>
    <col min="7" max="7" width="11.6640625" style="39" customWidth="1"/>
    <col min="8" max="10" width="10.83203125" style="39"/>
    <col min="11" max="11" width="11.5" style="39" bestFit="1" customWidth="1"/>
    <col min="12" max="12" width="10.83203125" style="39" hidden="1" customWidth="1" outlineLevel="1"/>
    <col min="13" max="13" width="12.6640625" style="39" hidden="1" customWidth="1" outlineLevel="1"/>
    <col min="14" max="14" width="11.33203125" style="39" hidden="1" customWidth="1" outlineLevel="1"/>
    <col min="15" max="20" width="10.83203125" style="39" hidden="1" customWidth="1" outlineLevel="1"/>
    <col min="21" max="21" width="10.83203125" style="39" collapsed="1"/>
    <col min="22" max="16384" width="10.83203125" style="39"/>
  </cols>
  <sheetData>
    <row r="1" spans="1:14" ht="19" x14ac:dyDescent="0.25">
      <c r="A1" s="1" t="s">
        <v>226</v>
      </c>
      <c r="B1" s="28"/>
      <c r="C1" s="36"/>
      <c r="D1" s="36"/>
      <c r="E1" s="36"/>
      <c r="F1" s="37"/>
      <c r="G1" s="37"/>
      <c r="H1" s="37"/>
      <c r="I1" s="37"/>
      <c r="J1" s="38"/>
      <c r="K1" s="3" t="s">
        <v>206</v>
      </c>
    </row>
    <row r="2" spans="1:14" x14ac:dyDescent="0.2">
      <c r="A2" s="2"/>
      <c r="B2" s="29"/>
      <c r="C2" s="102"/>
      <c r="D2" s="102"/>
      <c r="E2" s="102"/>
      <c r="F2" s="37"/>
      <c r="G2" s="37"/>
      <c r="H2" s="37"/>
      <c r="I2" s="37"/>
      <c r="J2" s="38"/>
      <c r="L2" s="15" t="s">
        <v>3</v>
      </c>
      <c r="N2" s="40"/>
    </row>
    <row r="3" spans="1:14" x14ac:dyDescent="0.2">
      <c r="A3" s="2"/>
      <c r="B3" s="37" t="s">
        <v>47</v>
      </c>
      <c r="C3" s="37"/>
      <c r="D3" s="37"/>
      <c r="E3" s="37"/>
      <c r="F3" s="37"/>
      <c r="G3" s="37"/>
      <c r="H3" s="37"/>
      <c r="I3" s="37"/>
      <c r="J3" s="38"/>
      <c r="L3" s="15"/>
      <c r="M3" s="39" t="s">
        <v>62</v>
      </c>
      <c r="N3" s="40"/>
    </row>
    <row r="4" spans="1:14" ht="15" customHeight="1" x14ac:dyDescent="0.2">
      <c r="A4" s="2"/>
      <c r="B4" s="37"/>
      <c r="C4" s="37"/>
      <c r="D4" s="37"/>
      <c r="E4" s="37"/>
      <c r="F4" s="37"/>
      <c r="G4" s="37"/>
      <c r="H4" s="37"/>
      <c r="I4" s="37"/>
      <c r="J4" s="38"/>
      <c r="L4" s="15"/>
      <c r="N4" s="40"/>
    </row>
    <row r="5" spans="1:14" ht="34" x14ac:dyDescent="0.2">
      <c r="A5" s="2"/>
      <c r="B5" s="37"/>
      <c r="C5" s="33" t="s">
        <v>7</v>
      </c>
      <c r="D5" s="30" t="s">
        <v>48</v>
      </c>
      <c r="E5" s="30" t="s">
        <v>49</v>
      </c>
      <c r="F5" s="30" t="s">
        <v>50</v>
      </c>
      <c r="G5" s="30" t="s">
        <v>51</v>
      </c>
      <c r="H5" s="37"/>
      <c r="I5" s="37"/>
      <c r="J5" s="38"/>
      <c r="M5" s="39" t="s">
        <v>59</v>
      </c>
      <c r="N5" s="40">
        <f>LN(1+(F15/E15)^2)</f>
        <v>0.37583207717902128</v>
      </c>
    </row>
    <row r="6" spans="1:14" ht="17" thickBot="1" x14ac:dyDescent="0.25">
      <c r="A6" s="2"/>
      <c r="B6" s="37"/>
      <c r="C6" s="22">
        <v>2008</v>
      </c>
      <c r="D6" s="6">
        <v>7339</v>
      </c>
      <c r="E6" s="7">
        <v>48</v>
      </c>
      <c r="F6" s="7">
        <v>314</v>
      </c>
      <c r="G6" s="16">
        <v>6.55</v>
      </c>
      <c r="H6" s="37"/>
      <c r="I6" s="37"/>
      <c r="J6" s="38"/>
    </row>
    <row r="7" spans="1:14" x14ac:dyDescent="0.2">
      <c r="A7" s="2"/>
      <c r="B7" s="37"/>
      <c r="C7" s="22">
        <v>2009</v>
      </c>
      <c r="D7" s="6">
        <v>11149</v>
      </c>
      <c r="E7" s="7">
        <v>178</v>
      </c>
      <c r="F7" s="7">
        <v>462</v>
      </c>
      <c r="G7" s="16">
        <v>2.6</v>
      </c>
      <c r="H7" s="37"/>
      <c r="I7" s="37"/>
      <c r="J7" s="38"/>
      <c r="M7" s="105" t="s">
        <v>61</v>
      </c>
      <c r="N7" s="134">
        <f>$E$15*EXP(1.645*SQRT($N$5)-$N$5/2)</f>
        <v>32931.391167851143</v>
      </c>
    </row>
    <row r="8" spans="1:14" ht="17" thickBot="1" x14ac:dyDescent="0.25">
      <c r="A8" s="2"/>
      <c r="B8" s="37"/>
      <c r="C8" s="22">
        <v>2010</v>
      </c>
      <c r="D8" s="6">
        <v>10609</v>
      </c>
      <c r="E8" s="7">
        <v>594</v>
      </c>
      <c r="F8" s="7">
        <v>551</v>
      </c>
      <c r="G8" s="16">
        <v>0.93</v>
      </c>
      <c r="H8" s="37"/>
      <c r="I8" s="37"/>
      <c r="J8" s="38"/>
      <c r="M8" s="107" t="s">
        <v>60</v>
      </c>
      <c r="N8" s="135">
        <f>$E$15*EXP(-1.645*SQRT($N$5)-$N$5/2)</f>
        <v>4381.9204171974661</v>
      </c>
    </row>
    <row r="9" spans="1:14" x14ac:dyDescent="0.2">
      <c r="A9" s="2"/>
      <c r="B9" s="37"/>
      <c r="C9" s="22">
        <v>2011</v>
      </c>
      <c r="D9" s="6">
        <v>11844</v>
      </c>
      <c r="E9" s="6">
        <v>1052</v>
      </c>
      <c r="F9" s="7">
        <v>673</v>
      </c>
      <c r="G9" s="16">
        <v>0.64</v>
      </c>
      <c r="H9" s="37"/>
      <c r="I9" s="37"/>
      <c r="J9" s="38"/>
    </row>
    <row r="10" spans="1:14" x14ac:dyDescent="0.2">
      <c r="A10" s="2"/>
      <c r="B10" s="37"/>
      <c r="C10" s="22">
        <v>2012</v>
      </c>
      <c r="D10" s="6">
        <v>12467</v>
      </c>
      <c r="E10" s="6">
        <v>1965</v>
      </c>
      <c r="F10" s="6">
        <v>1232</v>
      </c>
      <c r="G10" s="16">
        <v>0.63</v>
      </c>
      <c r="H10" s="37"/>
      <c r="I10" s="37"/>
      <c r="J10" s="38"/>
      <c r="L10" s="15" t="s">
        <v>4</v>
      </c>
      <c r="N10" s="40"/>
    </row>
    <row r="11" spans="1:14" x14ac:dyDescent="0.2">
      <c r="A11" s="2"/>
      <c r="B11" s="37"/>
      <c r="C11" s="22">
        <v>2013</v>
      </c>
      <c r="D11" s="6">
        <v>8824</v>
      </c>
      <c r="E11" s="6">
        <v>2227</v>
      </c>
      <c r="F11" s="6">
        <v>1531</v>
      </c>
      <c r="G11" s="16">
        <v>0.69</v>
      </c>
      <c r="H11" s="37"/>
      <c r="I11" s="37"/>
      <c r="J11" s="38"/>
      <c r="M11" s="39" t="s">
        <v>63</v>
      </c>
      <c r="N11" s="40"/>
    </row>
    <row r="12" spans="1:14" ht="17" thickBot="1" x14ac:dyDescent="0.25">
      <c r="A12" s="2"/>
      <c r="B12" s="37"/>
      <c r="C12" s="22">
        <v>2014</v>
      </c>
      <c r="D12" s="6">
        <v>8229</v>
      </c>
      <c r="E12" s="6">
        <v>2846</v>
      </c>
      <c r="F12" s="6">
        <v>2204</v>
      </c>
      <c r="G12" s="16">
        <v>0.77</v>
      </c>
      <c r="H12" s="37"/>
      <c r="I12" s="37"/>
      <c r="J12" s="38"/>
      <c r="N12" s="40"/>
    </row>
    <row r="13" spans="1:14" x14ac:dyDescent="0.2">
      <c r="A13" s="2"/>
      <c r="B13" s="37"/>
      <c r="C13" s="22">
        <v>2015</v>
      </c>
      <c r="D13" s="6">
        <v>4177</v>
      </c>
      <c r="E13" s="6">
        <v>2488</v>
      </c>
      <c r="F13" s="6">
        <v>4944</v>
      </c>
      <c r="G13" s="16">
        <v>1.99</v>
      </c>
      <c r="H13" s="37"/>
      <c r="I13" s="37"/>
      <c r="J13" s="38"/>
      <c r="M13" s="105" t="s">
        <v>61</v>
      </c>
      <c r="N13" s="134">
        <f>$E$15+1.645*$F$15</f>
        <v>30602.195</v>
      </c>
    </row>
    <row r="14" spans="1:14" ht="17" thickBot="1" x14ac:dyDescent="0.25">
      <c r="A14" s="2"/>
      <c r="B14" s="37"/>
      <c r="C14" s="21">
        <v>2016</v>
      </c>
      <c r="D14" s="31">
        <v>3871</v>
      </c>
      <c r="E14" s="31">
        <v>3098</v>
      </c>
      <c r="F14" s="31">
        <v>7102</v>
      </c>
      <c r="G14" s="32">
        <v>2.29</v>
      </c>
      <c r="H14" s="37"/>
      <c r="I14" s="37"/>
      <c r="J14" s="38"/>
      <c r="M14" s="107" t="s">
        <v>60</v>
      </c>
      <c r="N14" s="135">
        <f>$E$15-1.645*$F$15</f>
        <v>-1610.1949999999997</v>
      </c>
    </row>
    <row r="15" spans="1:14" ht="17" x14ac:dyDescent="0.2">
      <c r="A15" s="2"/>
      <c r="B15" s="37"/>
      <c r="C15" s="22" t="s">
        <v>52</v>
      </c>
      <c r="D15" s="6">
        <v>87230</v>
      </c>
      <c r="E15" s="6">
        <v>14496</v>
      </c>
      <c r="F15" s="6">
        <v>9791</v>
      </c>
      <c r="G15" s="16">
        <v>0.68</v>
      </c>
      <c r="H15" s="37"/>
      <c r="I15" s="37"/>
      <c r="J15" s="38"/>
    </row>
    <row r="16" spans="1:14" x14ac:dyDescent="0.2">
      <c r="A16" s="2"/>
      <c r="B16" s="37"/>
      <c r="C16" s="37"/>
      <c r="D16" s="37"/>
      <c r="E16" s="37"/>
      <c r="F16" s="37"/>
      <c r="G16" s="37"/>
      <c r="H16" s="37"/>
      <c r="I16" s="37"/>
      <c r="J16" s="38"/>
      <c r="L16" s="15" t="s">
        <v>5</v>
      </c>
      <c r="N16" s="40"/>
    </row>
    <row r="17" spans="1:21" x14ac:dyDescent="0.2">
      <c r="A17" s="2"/>
      <c r="B17" s="67" t="s">
        <v>222</v>
      </c>
      <c r="C17" s="37"/>
      <c r="D17" s="37"/>
      <c r="E17" s="37"/>
      <c r="F17" s="37"/>
      <c r="G17" s="37"/>
      <c r="H17" s="37"/>
      <c r="I17" s="37"/>
      <c r="J17" s="38"/>
      <c r="L17" s="392" t="s">
        <v>214</v>
      </c>
      <c r="M17" s="392"/>
      <c r="N17" s="392"/>
      <c r="O17" s="392"/>
      <c r="P17" s="392"/>
      <c r="Q17" s="392"/>
      <c r="R17" s="392"/>
      <c r="S17" s="392"/>
    </row>
    <row r="18" spans="1:21" x14ac:dyDescent="0.2">
      <c r="A18" s="2"/>
      <c r="B18" s="37"/>
      <c r="C18" s="37"/>
      <c r="D18" s="37"/>
      <c r="E18" s="37"/>
      <c r="F18" s="37"/>
      <c r="G18" s="37"/>
      <c r="H18" s="37"/>
      <c r="I18" s="37"/>
      <c r="J18" s="38"/>
      <c r="L18" s="392"/>
      <c r="M18" s="392"/>
      <c r="N18" s="392"/>
      <c r="O18" s="392"/>
      <c r="P18" s="392"/>
      <c r="Q18" s="392"/>
      <c r="R18" s="392"/>
      <c r="S18" s="392"/>
    </row>
    <row r="19" spans="1:21" x14ac:dyDescent="0.2">
      <c r="A19" s="2"/>
      <c r="B19" s="37"/>
      <c r="C19" s="37"/>
      <c r="D19" s="37"/>
      <c r="E19" s="37"/>
      <c r="F19" s="37"/>
      <c r="G19" s="37"/>
      <c r="H19" s="37"/>
      <c r="I19" s="37"/>
      <c r="J19" s="38"/>
      <c r="L19" s="392"/>
      <c r="M19" s="392"/>
      <c r="N19" s="392"/>
      <c r="O19" s="392"/>
      <c r="P19" s="392"/>
      <c r="Q19" s="392"/>
      <c r="R19" s="392"/>
      <c r="S19" s="392"/>
    </row>
    <row r="20" spans="1:21" x14ac:dyDescent="0.2">
      <c r="A20" s="37" t="s">
        <v>0</v>
      </c>
      <c r="B20" s="37" t="s">
        <v>54</v>
      </c>
      <c r="C20" s="37"/>
      <c r="D20" s="37"/>
      <c r="E20" s="37"/>
      <c r="F20" s="37"/>
      <c r="G20" s="37"/>
      <c r="H20" s="37"/>
      <c r="I20" s="37"/>
      <c r="J20" s="38"/>
    </row>
    <row r="21" spans="1:21" x14ac:dyDescent="0.2">
      <c r="A21" s="2"/>
      <c r="B21" s="37"/>
      <c r="C21" s="37"/>
      <c r="D21" s="37"/>
      <c r="E21" s="37"/>
      <c r="F21" s="37"/>
      <c r="G21" s="37"/>
      <c r="H21" s="37"/>
      <c r="I21" s="37"/>
      <c r="J21" s="38"/>
    </row>
    <row r="22" spans="1:21" x14ac:dyDescent="0.2">
      <c r="A22" s="37" t="s">
        <v>1</v>
      </c>
      <c r="B22" s="37" t="s">
        <v>55</v>
      </c>
      <c r="C22" s="37"/>
      <c r="D22" s="37"/>
      <c r="E22" s="37"/>
      <c r="F22" s="37"/>
      <c r="G22" s="37"/>
      <c r="H22" s="37"/>
      <c r="I22" s="37"/>
      <c r="J22" s="38"/>
      <c r="L22" s="15" t="s">
        <v>64</v>
      </c>
    </row>
    <row r="23" spans="1:21" ht="16" customHeight="1" x14ac:dyDescent="0.2">
      <c r="A23" s="2"/>
      <c r="B23" s="37"/>
      <c r="C23" s="37"/>
      <c r="D23" s="37"/>
      <c r="E23" s="37"/>
      <c r="F23" s="37"/>
      <c r="G23" s="37"/>
      <c r="H23" s="37"/>
      <c r="I23" s="37"/>
      <c r="J23" s="38"/>
      <c r="L23" s="392" t="s">
        <v>65</v>
      </c>
      <c r="M23" s="392"/>
      <c r="N23" s="392"/>
      <c r="O23" s="392"/>
      <c r="P23" s="392"/>
      <c r="Q23" s="392"/>
      <c r="R23" s="392"/>
      <c r="S23" s="392"/>
      <c r="T23" s="48"/>
    </row>
    <row r="24" spans="1:21" x14ac:dyDescent="0.2">
      <c r="A24" s="37" t="s">
        <v>2</v>
      </c>
      <c r="B24" s="37" t="s">
        <v>56</v>
      </c>
      <c r="C24" s="37"/>
      <c r="D24" s="37"/>
      <c r="E24" s="37"/>
      <c r="F24" s="37"/>
      <c r="G24" s="37"/>
      <c r="H24" s="37"/>
      <c r="I24" s="37"/>
      <c r="J24" s="38"/>
      <c r="L24" s="392"/>
      <c r="M24" s="392"/>
      <c r="N24" s="392"/>
      <c r="O24" s="392"/>
      <c r="P24" s="392"/>
      <c r="Q24" s="392"/>
      <c r="R24" s="392"/>
      <c r="S24" s="392"/>
      <c r="T24" s="48"/>
    </row>
    <row r="25" spans="1:21" x14ac:dyDescent="0.2">
      <c r="A25" s="2"/>
      <c r="B25" s="37"/>
      <c r="C25" s="37"/>
      <c r="D25" s="37"/>
      <c r="E25" s="37"/>
      <c r="F25" s="37"/>
      <c r="G25" s="37"/>
      <c r="H25" s="37"/>
      <c r="I25" s="37"/>
      <c r="J25" s="38"/>
      <c r="L25" s="392"/>
      <c r="M25" s="392"/>
      <c r="N25" s="392"/>
      <c r="O25" s="392"/>
      <c r="P25" s="392"/>
      <c r="Q25" s="392"/>
      <c r="R25" s="392"/>
      <c r="S25" s="392"/>
      <c r="T25" s="48"/>
    </row>
    <row r="26" spans="1:21" x14ac:dyDescent="0.2">
      <c r="A26" s="37" t="s">
        <v>53</v>
      </c>
      <c r="B26" s="37" t="s">
        <v>58</v>
      </c>
      <c r="C26" s="37"/>
      <c r="D26" s="37"/>
      <c r="E26" s="37"/>
      <c r="F26" s="37"/>
      <c r="G26" s="37"/>
      <c r="H26" s="37"/>
      <c r="I26" s="37"/>
      <c r="J26" s="38"/>
      <c r="L26" s="392"/>
      <c r="M26" s="392"/>
      <c r="N26" s="392"/>
      <c r="O26" s="392"/>
      <c r="P26" s="392"/>
      <c r="Q26" s="392"/>
      <c r="R26" s="392"/>
      <c r="S26" s="392"/>
      <c r="T26" s="48"/>
    </row>
    <row r="27" spans="1:21" x14ac:dyDescent="0.2">
      <c r="A27" s="2"/>
      <c r="B27" s="37" t="s">
        <v>57</v>
      </c>
      <c r="C27" s="37"/>
      <c r="D27" s="37"/>
      <c r="E27" s="37"/>
      <c r="F27" s="37"/>
      <c r="G27" s="37"/>
      <c r="H27" s="37"/>
      <c r="I27" s="37"/>
      <c r="J27" s="38"/>
      <c r="L27" s="392"/>
      <c r="M27" s="392"/>
      <c r="N27" s="392"/>
      <c r="O27" s="392"/>
      <c r="P27" s="392"/>
      <c r="Q27" s="392"/>
      <c r="R27" s="392"/>
      <c r="S27" s="392"/>
      <c r="T27" s="48"/>
    </row>
    <row r="28" spans="1:21" x14ac:dyDescent="0.2">
      <c r="A28" s="2"/>
      <c r="B28" s="37"/>
      <c r="C28" s="37"/>
      <c r="D28" s="37"/>
      <c r="E28" s="37"/>
      <c r="F28" s="37"/>
      <c r="G28" s="37"/>
      <c r="H28" s="37"/>
      <c r="I28" s="37"/>
      <c r="J28" s="38"/>
      <c r="L28" s="392"/>
      <c r="M28" s="392"/>
      <c r="N28" s="392"/>
      <c r="O28" s="392"/>
      <c r="P28" s="392"/>
      <c r="Q28" s="392"/>
      <c r="R28" s="392"/>
      <c r="S28" s="392"/>
      <c r="T28" s="48"/>
    </row>
    <row r="29" spans="1:21" ht="16" customHeight="1" thickBot="1" x14ac:dyDescent="0.25">
      <c r="A29" s="2"/>
      <c r="B29" s="37"/>
      <c r="C29" s="37"/>
      <c r="D29" s="37"/>
      <c r="E29" s="37"/>
      <c r="F29" s="37"/>
      <c r="G29" s="37"/>
      <c r="H29" s="37"/>
      <c r="I29" s="37"/>
      <c r="J29" s="38"/>
      <c r="L29" s="392"/>
      <c r="M29" s="392"/>
      <c r="N29" s="392"/>
      <c r="O29" s="392"/>
      <c r="P29" s="392"/>
      <c r="Q29" s="392"/>
      <c r="R29" s="392"/>
      <c r="S29" s="392"/>
    </row>
    <row r="30" spans="1:21" ht="17" thickBot="1" x14ac:dyDescent="0.25">
      <c r="A30" s="394" t="s">
        <v>205</v>
      </c>
      <c r="B30" s="395"/>
      <c r="C30" s="395"/>
      <c r="D30" s="395"/>
      <c r="E30" s="395"/>
      <c r="F30" s="395"/>
      <c r="G30" s="395"/>
      <c r="H30" s="395"/>
      <c r="I30" s="395"/>
      <c r="J30" s="396"/>
      <c r="L30" s="392"/>
      <c r="M30" s="392"/>
      <c r="N30" s="392"/>
      <c r="O30" s="392"/>
      <c r="P30" s="392"/>
      <c r="Q30" s="392"/>
      <c r="R30" s="392"/>
      <c r="S30" s="392"/>
    </row>
    <row r="31" spans="1:21" x14ac:dyDescent="0.2">
      <c r="M31" s="41"/>
      <c r="N31" s="41"/>
      <c r="O31" s="41"/>
      <c r="P31" s="41"/>
      <c r="Q31" s="41"/>
      <c r="R31" s="41"/>
      <c r="S31" s="41"/>
      <c r="T31" s="41"/>
    </row>
    <row r="32" spans="1:21" ht="19" x14ac:dyDescent="0.25">
      <c r="A32" s="3"/>
      <c r="M32" s="39" t="s">
        <v>66</v>
      </c>
      <c r="N32" s="79">
        <f>SUMSQ(F6:F14)</f>
        <v>84669511</v>
      </c>
      <c r="U32" s="41"/>
    </row>
    <row r="34" spans="12:19" x14ac:dyDescent="0.2">
      <c r="M34" s="39" t="s">
        <v>67</v>
      </c>
      <c r="N34" s="103">
        <f>F15^2</f>
        <v>95863681</v>
      </c>
      <c r="O34" s="39" t="s">
        <v>69</v>
      </c>
    </row>
    <row r="36" spans="12:19" ht="16" customHeight="1" x14ac:dyDescent="0.2">
      <c r="L36" s="402" t="s">
        <v>68</v>
      </c>
      <c r="M36" s="402"/>
      <c r="N36" s="402"/>
      <c r="O36" s="402"/>
      <c r="P36" s="402"/>
      <c r="Q36" s="402"/>
      <c r="R36" s="402"/>
      <c r="S36" s="402"/>
    </row>
    <row r="37" spans="12:19" x14ac:dyDescent="0.2">
      <c r="L37" s="402"/>
      <c r="M37" s="402"/>
      <c r="N37" s="402"/>
      <c r="O37" s="402"/>
      <c r="P37" s="402"/>
      <c r="Q37" s="402"/>
      <c r="R37" s="402"/>
      <c r="S37" s="402"/>
    </row>
    <row r="38" spans="12:19" ht="15" customHeight="1" x14ac:dyDescent="0.2">
      <c r="L38" s="402"/>
      <c r="M38" s="402"/>
      <c r="N38" s="402"/>
      <c r="O38" s="402"/>
      <c r="P38" s="402"/>
      <c r="Q38" s="402"/>
      <c r="R38" s="402"/>
      <c r="S38" s="402"/>
    </row>
    <row r="39" spans="12:19" ht="15" customHeight="1" x14ac:dyDescent="0.2">
      <c r="L39" s="402"/>
      <c r="M39" s="402"/>
      <c r="N39" s="402"/>
      <c r="O39" s="402"/>
      <c r="P39" s="402"/>
      <c r="Q39" s="402"/>
      <c r="R39" s="402"/>
      <c r="S39" s="402"/>
    </row>
    <row r="40" spans="12:19" x14ac:dyDescent="0.2">
      <c r="L40" s="402"/>
      <c r="M40" s="402"/>
      <c r="N40" s="402"/>
      <c r="O40" s="402"/>
      <c r="P40" s="402"/>
      <c r="Q40" s="402"/>
      <c r="R40" s="402"/>
      <c r="S40" s="402"/>
    </row>
    <row r="42" spans="12:19" ht="19" x14ac:dyDescent="0.25">
      <c r="L42" s="3" t="s">
        <v>236</v>
      </c>
      <c r="M42" s="104"/>
      <c r="N42" s="104"/>
      <c r="O42" s="104"/>
      <c r="P42" s="104"/>
      <c r="Q42" s="104"/>
      <c r="R42" s="104"/>
      <c r="S42" s="104"/>
    </row>
    <row r="43" spans="12:19" x14ac:dyDescent="0.2">
      <c r="L43" s="104" t="s">
        <v>239</v>
      </c>
      <c r="M43" s="104"/>
      <c r="N43" s="104"/>
      <c r="O43" s="104"/>
      <c r="P43" s="104"/>
      <c r="Q43" s="104"/>
      <c r="R43" s="104"/>
      <c r="S43" s="104"/>
    </row>
    <row r="44" spans="12:19" x14ac:dyDescent="0.2">
      <c r="L44" s="104"/>
      <c r="M44" s="104"/>
      <c r="N44" s="104"/>
      <c r="O44" s="104"/>
      <c r="P44" s="104"/>
      <c r="Q44" s="104"/>
      <c r="R44" s="104"/>
      <c r="S44" s="104"/>
    </row>
    <row r="45" spans="12:19" x14ac:dyDescent="0.2">
      <c r="L45" s="104"/>
      <c r="M45" s="104"/>
      <c r="N45" s="104"/>
      <c r="O45" s="104"/>
      <c r="P45" s="104"/>
      <c r="Q45" s="104"/>
      <c r="R45" s="104"/>
      <c r="S45" s="104"/>
    </row>
    <row r="46" spans="12:19" x14ac:dyDescent="0.2">
      <c r="L46" s="104"/>
      <c r="M46" s="104"/>
      <c r="N46" s="104"/>
      <c r="O46" s="104"/>
      <c r="P46" s="104"/>
      <c r="Q46" s="104"/>
      <c r="R46" s="104"/>
      <c r="S46" s="104"/>
    </row>
    <row r="47" spans="12:19" x14ac:dyDescent="0.2">
      <c r="L47" s="104"/>
      <c r="M47" s="104"/>
      <c r="N47" s="104"/>
      <c r="O47" s="104"/>
      <c r="P47" s="104"/>
      <c r="Q47" s="104"/>
      <c r="R47" s="104"/>
      <c r="S47" s="104"/>
    </row>
    <row r="48" spans="12:19" x14ac:dyDescent="0.2">
      <c r="L48" s="104"/>
      <c r="M48" s="104"/>
      <c r="N48" s="104"/>
      <c r="O48" s="104"/>
      <c r="P48" s="104"/>
      <c r="Q48" s="104"/>
      <c r="R48" s="104"/>
      <c r="S48" s="104"/>
    </row>
    <row r="49" spans="12:19" x14ac:dyDescent="0.2">
      <c r="L49" s="104"/>
      <c r="M49" s="104"/>
      <c r="N49" s="104"/>
      <c r="O49" s="104"/>
      <c r="P49" s="104"/>
      <c r="Q49" s="104"/>
      <c r="R49" s="104"/>
      <c r="S49" s="104"/>
    </row>
    <row r="50" spans="12:19" x14ac:dyDescent="0.2">
      <c r="L50" s="104"/>
      <c r="M50" s="104"/>
      <c r="N50" s="104"/>
      <c r="O50" s="104"/>
      <c r="P50" s="104"/>
      <c r="Q50" s="104"/>
      <c r="R50" s="104"/>
      <c r="S50" s="104"/>
    </row>
    <row r="51" spans="12:19" x14ac:dyDescent="0.2">
      <c r="L51" s="104"/>
      <c r="M51" s="104"/>
      <c r="N51" s="104"/>
      <c r="O51" s="104"/>
      <c r="P51" s="104"/>
      <c r="Q51" s="104"/>
      <c r="R51" s="104"/>
      <c r="S51" s="104"/>
    </row>
    <row r="52" spans="12:19" x14ac:dyDescent="0.2">
      <c r="L52" s="104"/>
      <c r="M52" s="104"/>
      <c r="N52" s="104"/>
      <c r="O52" s="104"/>
      <c r="P52" s="104"/>
      <c r="Q52" s="104"/>
      <c r="R52" s="104"/>
      <c r="S52" s="104"/>
    </row>
    <row r="53" spans="12:19" x14ac:dyDescent="0.2">
      <c r="L53" s="104"/>
      <c r="M53" s="104"/>
      <c r="N53" s="104"/>
      <c r="O53" s="104"/>
      <c r="P53" s="104"/>
      <c r="Q53" s="104"/>
      <c r="R53" s="104"/>
      <c r="S53" s="104"/>
    </row>
    <row r="54" spans="12:19" x14ac:dyDescent="0.2">
      <c r="L54" s="104"/>
      <c r="M54" s="104"/>
      <c r="N54" s="104"/>
      <c r="O54" s="104"/>
      <c r="P54" s="104"/>
      <c r="Q54" s="104"/>
      <c r="R54" s="104"/>
      <c r="S54" s="104"/>
    </row>
    <row r="55" spans="12:19" x14ac:dyDescent="0.2">
      <c r="L55" s="104"/>
      <c r="M55" s="104"/>
      <c r="N55" s="104"/>
      <c r="O55" s="104"/>
      <c r="P55" s="104"/>
      <c r="Q55" s="104"/>
      <c r="R55" s="104"/>
      <c r="S55" s="104"/>
    </row>
    <row r="56" spans="12:19" x14ac:dyDescent="0.2">
      <c r="L56" s="104"/>
      <c r="M56" s="104"/>
      <c r="N56" s="104"/>
      <c r="O56" s="104"/>
      <c r="P56" s="104"/>
      <c r="Q56" s="104"/>
      <c r="R56" s="104"/>
      <c r="S56" s="104"/>
    </row>
    <row r="57" spans="12:19" x14ac:dyDescent="0.2">
      <c r="L57" s="104"/>
      <c r="M57" s="104"/>
      <c r="N57" s="104"/>
      <c r="O57" s="104"/>
      <c r="P57" s="104"/>
      <c r="Q57" s="104"/>
      <c r="R57" s="104"/>
      <c r="S57" s="104"/>
    </row>
    <row r="58" spans="12:19" x14ac:dyDescent="0.2">
      <c r="L58" s="104"/>
      <c r="M58" s="104"/>
      <c r="N58" s="104"/>
      <c r="O58" s="104"/>
      <c r="P58" s="104"/>
      <c r="Q58" s="104"/>
      <c r="R58" s="104"/>
      <c r="S58" s="104"/>
    </row>
    <row r="59" spans="12:19" x14ac:dyDescent="0.2">
      <c r="L59" s="104"/>
      <c r="M59" s="104"/>
      <c r="N59" s="104"/>
      <c r="O59" s="104"/>
      <c r="P59" s="104"/>
      <c r="Q59" s="104"/>
      <c r="R59" s="104"/>
      <c r="S59" s="104"/>
    </row>
    <row r="60" spans="12:19" x14ac:dyDescent="0.2">
      <c r="L60" s="104"/>
      <c r="M60" s="121"/>
      <c r="N60" s="104"/>
      <c r="O60" s="104"/>
      <c r="P60" s="104"/>
      <c r="Q60" s="104"/>
      <c r="R60" s="104"/>
      <c r="S60" s="104"/>
    </row>
    <row r="61" spans="12:19" x14ac:dyDescent="0.2">
      <c r="L61" s="104"/>
      <c r="M61" s="104"/>
      <c r="N61" s="104"/>
      <c r="O61" s="104"/>
      <c r="P61" s="104"/>
      <c r="Q61" s="104"/>
      <c r="R61" s="104"/>
      <c r="S61" s="104"/>
    </row>
    <row r="62" spans="12:19" x14ac:dyDescent="0.2">
      <c r="L62" s="104"/>
      <c r="M62" s="104"/>
      <c r="N62" s="104"/>
      <c r="O62" s="104"/>
      <c r="P62" s="104"/>
      <c r="Q62" s="104"/>
      <c r="R62" s="104"/>
      <c r="S62" s="104"/>
    </row>
    <row r="63" spans="12:19" x14ac:dyDescent="0.2">
      <c r="L63" s="104"/>
      <c r="M63" s="104"/>
      <c r="N63" s="104"/>
      <c r="O63" s="104"/>
      <c r="P63" s="104"/>
      <c r="Q63" s="104"/>
      <c r="R63" s="104"/>
      <c r="S63" s="104"/>
    </row>
    <row r="64" spans="12:19" x14ac:dyDescent="0.2">
      <c r="L64" s="104"/>
      <c r="M64" s="104"/>
      <c r="N64" s="104"/>
      <c r="O64" s="104"/>
      <c r="P64" s="104"/>
      <c r="Q64" s="104"/>
      <c r="R64" s="104"/>
      <c r="S64" s="104"/>
    </row>
    <row r="65" spans="12:19" x14ac:dyDescent="0.2">
      <c r="L65" s="104"/>
      <c r="M65" s="104"/>
      <c r="N65" s="104"/>
      <c r="O65" s="104"/>
      <c r="P65" s="104"/>
      <c r="Q65" s="104"/>
      <c r="R65" s="104"/>
      <c r="S65" s="104"/>
    </row>
    <row r="66" spans="12:19" x14ac:dyDescent="0.2">
      <c r="L66" s="104"/>
      <c r="M66" s="104"/>
      <c r="N66" s="104"/>
      <c r="O66" s="104"/>
      <c r="P66" s="104"/>
      <c r="Q66" s="104"/>
      <c r="R66" s="104"/>
      <c r="S66" s="104"/>
    </row>
    <row r="67" spans="12:19" x14ac:dyDescent="0.2">
      <c r="L67" s="104"/>
      <c r="M67" s="104"/>
      <c r="N67" s="104"/>
      <c r="O67" s="104"/>
      <c r="P67" s="104"/>
      <c r="Q67" s="104"/>
      <c r="R67" s="104"/>
      <c r="S67" s="104"/>
    </row>
    <row r="68" spans="12:19" x14ac:dyDescent="0.2">
      <c r="L68" s="104"/>
      <c r="M68" s="104"/>
      <c r="N68" s="104"/>
      <c r="O68" s="104"/>
      <c r="P68" s="104"/>
      <c r="Q68" s="104"/>
      <c r="R68" s="104"/>
      <c r="S68" s="104"/>
    </row>
    <row r="69" spans="12:19" x14ac:dyDescent="0.2">
      <c r="L69" s="104"/>
      <c r="M69" s="104"/>
      <c r="N69" s="104"/>
      <c r="O69" s="104"/>
      <c r="P69" s="104"/>
      <c r="Q69" s="104"/>
      <c r="R69" s="104"/>
      <c r="S69" s="104"/>
    </row>
    <row r="70" spans="12:19" x14ac:dyDescent="0.2">
      <c r="L70" s="104"/>
      <c r="M70" s="121"/>
      <c r="N70" s="104"/>
      <c r="O70" s="104"/>
      <c r="P70" s="104"/>
      <c r="Q70" s="104"/>
      <c r="R70" s="104"/>
      <c r="S70" s="104"/>
    </row>
    <row r="71" spans="12:19" x14ac:dyDescent="0.2">
      <c r="L71" s="104"/>
      <c r="M71" s="104"/>
      <c r="N71" s="104"/>
      <c r="O71" s="104"/>
      <c r="P71" s="104"/>
      <c r="Q71" s="104"/>
      <c r="R71" s="104"/>
      <c r="S71" s="104"/>
    </row>
    <row r="72" spans="12:19" x14ac:dyDescent="0.2">
      <c r="L72" s="104"/>
      <c r="M72" s="104"/>
      <c r="N72" s="104"/>
      <c r="O72" s="104"/>
      <c r="P72" s="104"/>
      <c r="Q72" s="104"/>
      <c r="R72" s="104"/>
      <c r="S72" s="104"/>
    </row>
    <row r="73" spans="12:19" x14ac:dyDescent="0.2">
      <c r="L73" s="104"/>
      <c r="M73" s="104"/>
      <c r="N73" s="104"/>
      <c r="O73" s="104"/>
      <c r="P73" s="104"/>
      <c r="Q73" s="104"/>
      <c r="R73" s="104"/>
      <c r="S73" s="104"/>
    </row>
    <row r="74" spans="12:19" x14ac:dyDescent="0.2">
      <c r="L74" s="5"/>
      <c r="M74" s="5"/>
      <c r="N74" s="5"/>
    </row>
    <row r="75" spans="12:19" x14ac:dyDescent="0.2">
      <c r="L75" s="5"/>
      <c r="M75" s="5"/>
      <c r="N75" s="5"/>
    </row>
    <row r="76" spans="12:19" x14ac:dyDescent="0.2">
      <c r="L76" s="5"/>
      <c r="M76" s="5"/>
      <c r="N76" s="5"/>
    </row>
    <row r="77" spans="12:19" x14ac:dyDescent="0.2">
      <c r="L77" s="5"/>
      <c r="M77" s="5"/>
      <c r="N77" s="5"/>
    </row>
    <row r="78" spans="12:19" x14ac:dyDescent="0.2">
      <c r="L78" s="5"/>
      <c r="M78" s="5"/>
      <c r="N78" s="5"/>
    </row>
    <row r="79" spans="12:19" x14ac:dyDescent="0.2">
      <c r="L79" s="5"/>
      <c r="M79" s="5"/>
      <c r="N79" s="5"/>
    </row>
    <row r="80" spans="12:19" x14ac:dyDescent="0.2">
      <c r="L80" s="5"/>
      <c r="M80" s="40"/>
    </row>
    <row r="81" spans="1:65" x14ac:dyDescent="0.2">
      <c r="L81" s="5"/>
      <c r="M81" s="5"/>
      <c r="N81" s="5"/>
    </row>
    <row r="82" spans="1:65" x14ac:dyDescent="0.2">
      <c r="L82" s="5"/>
      <c r="M82" s="5"/>
      <c r="N82" s="5"/>
    </row>
    <row r="83" spans="1:65" x14ac:dyDescent="0.2">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A89" s="5"/>
      <c r="B89" s="5"/>
      <c r="C89" s="5"/>
      <c r="D89" s="5"/>
      <c r="E89" s="5"/>
      <c r="F89" s="5"/>
      <c r="G89" s="5"/>
      <c r="H89" s="5"/>
      <c r="I89" s="5"/>
      <c r="J89" s="5"/>
      <c r="L89" s="5"/>
      <c r="M89" s="5"/>
      <c r="N89" s="5"/>
    </row>
    <row r="90" spans="1:65" x14ac:dyDescent="0.2">
      <c r="A90" s="5"/>
      <c r="B90" s="5"/>
      <c r="C90" s="5"/>
      <c r="D90" s="5"/>
      <c r="E90" s="5"/>
      <c r="F90" s="5"/>
      <c r="G90" s="5"/>
      <c r="H90" s="5"/>
      <c r="I90" s="5"/>
      <c r="J90" s="5"/>
      <c r="L90" s="5"/>
      <c r="M90" s="40"/>
    </row>
    <row r="91" spans="1:65" x14ac:dyDescent="0.2">
      <c r="A91" s="5"/>
      <c r="B91" s="5"/>
      <c r="C91" s="5"/>
      <c r="D91" s="5"/>
      <c r="E91" s="5"/>
      <c r="F91" s="5"/>
      <c r="G91" s="5"/>
      <c r="H91" s="5"/>
      <c r="I91" s="5"/>
      <c r="J91" s="5"/>
      <c r="L91" s="5"/>
      <c r="M91" s="5"/>
      <c r="N91" s="5"/>
    </row>
    <row r="92" spans="1:65" x14ac:dyDescent="0.2">
      <c r="A92" s="5"/>
      <c r="B92" s="5"/>
      <c r="C92" s="5"/>
      <c r="D92" s="5"/>
      <c r="E92" s="5"/>
      <c r="F92" s="5"/>
      <c r="G92" s="5"/>
      <c r="H92" s="5"/>
      <c r="I92" s="5"/>
      <c r="J92" s="5"/>
      <c r="L92" s="5"/>
      <c r="M92" s="5"/>
      <c r="N92" s="5"/>
    </row>
    <row r="93" spans="1:65" x14ac:dyDescent="0.2">
      <c r="A93" s="5"/>
      <c r="B93" s="5"/>
      <c r="C93" s="5"/>
      <c r="D93" s="5"/>
      <c r="E93" s="5"/>
      <c r="F93" s="5"/>
      <c r="G93" s="5"/>
      <c r="H93" s="5"/>
      <c r="I93" s="5"/>
      <c r="J93" s="5"/>
      <c r="M93" s="5"/>
      <c r="N93" s="5"/>
    </row>
    <row r="94" spans="1:65" x14ac:dyDescent="0.2">
      <c r="A94" s="5"/>
      <c r="B94" s="5"/>
      <c r="C94" s="5"/>
      <c r="D94" s="5"/>
      <c r="E94" s="5"/>
      <c r="F94" s="5"/>
      <c r="G94" s="5"/>
      <c r="H94" s="5"/>
      <c r="I94" s="5"/>
      <c r="J94" s="5"/>
      <c r="K94" s="5"/>
      <c r="L94" s="5"/>
      <c r="M94" s="5"/>
      <c r="N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40"/>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1:65" x14ac:dyDescent="0.2">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1:65" x14ac:dyDescent="0.2">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1:65" x14ac:dyDescent="0.2">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1:65" x14ac:dyDescent="0.2">
      <c r="M196" s="5"/>
      <c r="N196" s="5"/>
      <c r="O196" s="5"/>
      <c r="P196" s="5"/>
      <c r="Q196" s="5"/>
      <c r="R196" s="5"/>
      <c r="S196" s="5"/>
      <c r="T196" s="5"/>
      <c r="U196" s="5"/>
    </row>
    <row r="197" spans="11:65" x14ac:dyDescent="0.2">
      <c r="M197" s="5"/>
      <c r="N197" s="5"/>
      <c r="O197" s="5"/>
      <c r="P197" s="5"/>
      <c r="Q197" s="5"/>
      <c r="R197" s="5"/>
      <c r="S197" s="5"/>
      <c r="T197" s="5"/>
      <c r="U197" s="5"/>
    </row>
    <row r="198" spans="11:65" x14ac:dyDescent="0.2">
      <c r="M198" s="5"/>
      <c r="N198" s="5"/>
      <c r="O198" s="5"/>
      <c r="P198" s="5"/>
      <c r="Q198" s="5"/>
      <c r="R198" s="5"/>
      <c r="S198" s="5"/>
      <c r="T198" s="5"/>
      <c r="U198" s="5"/>
    </row>
    <row r="199" spans="11:65" x14ac:dyDescent="0.2">
      <c r="M199" s="5"/>
      <c r="N199" s="5"/>
      <c r="O199" s="5"/>
      <c r="P199" s="5"/>
      <c r="Q199" s="5"/>
      <c r="R199" s="5"/>
      <c r="S199" s="5"/>
      <c r="T199" s="5"/>
    </row>
    <row r="200" spans="11:65" x14ac:dyDescent="0.2">
      <c r="M200" s="5"/>
      <c r="N200" s="5"/>
      <c r="O200" s="5"/>
      <c r="P200" s="5"/>
      <c r="Q200" s="5"/>
      <c r="R200" s="5"/>
      <c r="S200" s="5"/>
      <c r="T200" s="5"/>
    </row>
    <row r="201" spans="11:65" x14ac:dyDescent="0.2">
      <c r="M201" s="5"/>
      <c r="N201" s="5"/>
      <c r="O201" s="5"/>
      <c r="P201" s="5"/>
      <c r="Q201" s="5"/>
      <c r="R201" s="5"/>
      <c r="S201" s="5"/>
      <c r="T201" s="5"/>
    </row>
    <row r="202" spans="11:65" x14ac:dyDescent="0.2">
      <c r="M202" s="5"/>
      <c r="N202" s="5"/>
      <c r="O202" s="5"/>
      <c r="P202" s="5"/>
      <c r="Q202" s="5"/>
      <c r="R202" s="5"/>
      <c r="S202" s="5"/>
      <c r="T202" s="5"/>
    </row>
  </sheetData>
  <mergeCells count="4">
    <mergeCell ref="A30:J30"/>
    <mergeCell ref="L17:S19"/>
    <mergeCell ref="L23:S30"/>
    <mergeCell ref="L36:S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196"/>
  <sheetViews>
    <sheetView zoomScaleNormal="100" workbookViewId="0"/>
  </sheetViews>
  <sheetFormatPr baseColWidth="10" defaultColWidth="10.83203125" defaultRowHeight="16" outlineLevelCol="1" x14ac:dyDescent="0.2"/>
  <cols>
    <col min="1" max="1" width="4.6640625" style="39" customWidth="1"/>
    <col min="2" max="2" width="10.83203125" style="39"/>
    <col min="3" max="3" width="12" style="39" customWidth="1"/>
    <col min="4" max="10" width="10.83203125" style="39"/>
    <col min="11" max="11" width="11.5" style="39" bestFit="1" customWidth="1"/>
    <col min="12" max="13" width="10.83203125" style="39" hidden="1" customWidth="1" outlineLevel="1"/>
    <col min="14" max="14" width="12.33203125" style="39" hidden="1" customWidth="1" outlineLevel="1"/>
    <col min="15" max="20" width="10.83203125" style="39" hidden="1" customWidth="1" outlineLevel="1"/>
    <col min="21" max="21" width="10.83203125" style="39" collapsed="1"/>
    <col min="22" max="16384" width="10.83203125" style="39"/>
  </cols>
  <sheetData>
    <row r="1" spans="1:20" ht="19" x14ac:dyDescent="0.25">
      <c r="A1" s="1" t="s">
        <v>227</v>
      </c>
      <c r="B1" s="28"/>
      <c r="C1" s="36"/>
      <c r="D1" s="36"/>
      <c r="E1" s="36"/>
      <c r="F1" s="37"/>
      <c r="G1" s="37"/>
      <c r="H1" s="37"/>
      <c r="I1" s="37"/>
      <c r="J1" s="38"/>
      <c r="K1" s="3" t="s">
        <v>206</v>
      </c>
    </row>
    <row r="2" spans="1:20" x14ac:dyDescent="0.2">
      <c r="A2" s="2"/>
      <c r="B2" s="37"/>
      <c r="C2" s="37"/>
      <c r="D2" s="37"/>
      <c r="E2" s="37"/>
      <c r="F2" s="37"/>
      <c r="G2" s="37"/>
      <c r="H2" s="37"/>
      <c r="I2" s="37"/>
      <c r="J2" s="38"/>
    </row>
    <row r="3" spans="1:20" x14ac:dyDescent="0.2">
      <c r="A3" s="2"/>
      <c r="B3" s="37" t="s">
        <v>21</v>
      </c>
      <c r="C3" s="37"/>
      <c r="D3" s="37"/>
      <c r="E3" s="37"/>
      <c r="F3" s="37"/>
      <c r="G3" s="37"/>
      <c r="H3" s="37"/>
      <c r="I3" s="37"/>
      <c r="J3" s="38"/>
    </row>
    <row r="4" spans="1:20" x14ac:dyDescent="0.2">
      <c r="A4" s="2"/>
      <c r="B4" s="37"/>
      <c r="C4" s="37"/>
      <c r="D4" s="37"/>
      <c r="E4" s="37"/>
      <c r="F4" s="37"/>
      <c r="G4" s="37"/>
      <c r="H4" s="37"/>
      <c r="I4" s="37"/>
      <c r="J4" s="38"/>
      <c r="L4" s="15"/>
      <c r="M4" s="15" t="s">
        <v>97</v>
      </c>
    </row>
    <row r="5" spans="1:20" x14ac:dyDescent="0.2">
      <c r="A5" s="2"/>
      <c r="B5" s="37"/>
      <c r="C5" s="393" t="s">
        <v>72</v>
      </c>
      <c r="D5" s="393"/>
      <c r="E5" s="393"/>
      <c r="F5" s="393"/>
      <c r="G5" s="393"/>
      <c r="H5" s="37"/>
      <c r="I5" s="37"/>
      <c r="J5" s="38"/>
    </row>
    <row r="6" spans="1:20" ht="18" customHeight="1" x14ac:dyDescent="0.2">
      <c r="A6" s="2"/>
      <c r="B6" s="37"/>
      <c r="C6" s="21" t="s">
        <v>7</v>
      </c>
      <c r="D6" s="20" t="s">
        <v>8</v>
      </c>
      <c r="E6" s="20" t="s">
        <v>9</v>
      </c>
      <c r="F6" s="20" t="s">
        <v>70</v>
      </c>
      <c r="G6" s="20" t="s">
        <v>71</v>
      </c>
      <c r="H6" s="37"/>
      <c r="I6" s="37"/>
      <c r="J6" s="38"/>
      <c r="M6" s="43" t="s">
        <v>19</v>
      </c>
      <c r="N6" s="80">
        <v>1</v>
      </c>
      <c r="O6" s="80">
        <v>2</v>
      </c>
      <c r="P6" s="80">
        <v>3</v>
      </c>
    </row>
    <row r="7" spans="1:20" x14ac:dyDescent="0.2">
      <c r="A7" s="2"/>
      <c r="B7" s="37"/>
      <c r="C7" s="22">
        <v>2012</v>
      </c>
      <c r="D7" s="6">
        <v>2168</v>
      </c>
      <c r="E7" s="6">
        <v>3583</v>
      </c>
      <c r="F7" s="6">
        <v>3857</v>
      </c>
      <c r="G7" s="6">
        <v>4202</v>
      </c>
      <c r="H7" s="37"/>
      <c r="I7" s="37"/>
      <c r="J7" s="38"/>
      <c r="M7" s="60">
        <v>1</v>
      </c>
      <c r="N7" s="40">
        <f>E7/D7</f>
        <v>1.6526752767527675</v>
      </c>
      <c r="O7" s="40">
        <f>F7/E7</f>
        <v>1.0764722299748815</v>
      </c>
      <c r="P7" s="40">
        <f>G7/F7</f>
        <v>1.0894477573243453</v>
      </c>
      <c r="Q7" s="40"/>
      <c r="R7" s="40"/>
      <c r="S7" s="40"/>
      <c r="T7" s="40"/>
    </row>
    <row r="8" spans="1:20" x14ac:dyDescent="0.2">
      <c r="A8" s="2"/>
      <c r="B8" s="37"/>
      <c r="C8" s="22">
        <v>2013</v>
      </c>
      <c r="D8" s="7">
        <v>522</v>
      </c>
      <c r="E8" s="6">
        <v>3172</v>
      </c>
      <c r="F8" s="6">
        <v>3570</v>
      </c>
      <c r="G8" s="7"/>
      <c r="H8" s="37"/>
      <c r="I8" s="37"/>
      <c r="J8" s="38"/>
      <c r="M8" s="60">
        <v>2</v>
      </c>
      <c r="N8" s="40">
        <f>E8/D8</f>
        <v>6.0766283524904212</v>
      </c>
      <c r="O8" s="40">
        <f>F8/E8</f>
        <v>1.1254728877679698</v>
      </c>
      <c r="P8" s="40"/>
      <c r="Q8" s="40"/>
      <c r="R8" s="40"/>
      <c r="S8" s="40"/>
    </row>
    <row r="9" spans="1:20" x14ac:dyDescent="0.2">
      <c r="A9" s="2"/>
      <c r="B9" s="37"/>
      <c r="C9" s="22">
        <v>2014</v>
      </c>
      <c r="D9" s="7">
        <v>362</v>
      </c>
      <c r="E9" s="7">
        <v>850</v>
      </c>
      <c r="F9" s="7"/>
      <c r="G9" s="7"/>
      <c r="H9" s="37"/>
      <c r="I9" s="37"/>
      <c r="J9" s="38"/>
      <c r="M9" s="60">
        <v>3</v>
      </c>
      <c r="N9" s="40">
        <f>E9/D9</f>
        <v>2.3480662983425415</v>
      </c>
      <c r="O9" s="40"/>
      <c r="P9" s="40"/>
      <c r="Q9" s="40"/>
      <c r="R9" s="40"/>
    </row>
    <row r="10" spans="1:20" x14ac:dyDescent="0.2">
      <c r="A10" s="2"/>
      <c r="B10" s="37"/>
      <c r="C10" s="22">
        <v>2015</v>
      </c>
      <c r="D10" s="7">
        <v>973</v>
      </c>
      <c r="E10" s="7"/>
      <c r="F10" s="7"/>
      <c r="G10" s="7"/>
      <c r="H10" s="37"/>
      <c r="I10" s="37"/>
      <c r="J10" s="38"/>
    </row>
    <row r="11" spans="1:20" x14ac:dyDescent="0.2">
      <c r="A11" s="2"/>
      <c r="B11" s="37"/>
      <c r="C11" s="37"/>
      <c r="D11" s="37"/>
      <c r="E11" s="37"/>
      <c r="F11" s="37"/>
      <c r="G11" s="37"/>
      <c r="H11" s="37"/>
      <c r="I11" s="37"/>
      <c r="J11" s="38"/>
      <c r="M11" s="51"/>
      <c r="N11" s="44">
        <v>1</v>
      </c>
      <c r="O11" s="44">
        <v>2</v>
      </c>
      <c r="P11" s="44">
        <v>3</v>
      </c>
    </row>
    <row r="12" spans="1:20" x14ac:dyDescent="0.2">
      <c r="A12" s="2"/>
      <c r="B12" s="37" t="s">
        <v>73</v>
      </c>
      <c r="C12" s="37"/>
      <c r="D12" s="37"/>
      <c r="E12" s="37"/>
      <c r="F12" s="37"/>
      <c r="G12" s="37"/>
      <c r="H12" s="37"/>
      <c r="I12" s="37"/>
      <c r="J12" s="38"/>
      <c r="M12" s="53" t="s">
        <v>76</v>
      </c>
      <c r="N12" s="40">
        <f>SUM(E7:E9)/SUM(D7:D9)</f>
        <v>2.491808650065531</v>
      </c>
      <c r="O12" s="40">
        <f>SUM(F7:F8)/SUM(E7:E8)</f>
        <v>1.099481865284974</v>
      </c>
      <c r="P12" s="40">
        <f>SUM(G7:G7)/SUM(F7:F7)</f>
        <v>1.0894477573243453</v>
      </c>
    </row>
    <row r="13" spans="1:20" x14ac:dyDescent="0.2">
      <c r="A13" s="2"/>
      <c r="B13" s="37"/>
      <c r="C13" s="37"/>
      <c r="D13" s="37"/>
      <c r="E13" s="37"/>
      <c r="F13" s="37"/>
      <c r="G13" s="37"/>
      <c r="H13" s="37"/>
      <c r="I13" s="37"/>
      <c r="J13" s="38"/>
      <c r="N13" s="40"/>
      <c r="O13" s="40"/>
      <c r="P13" s="40"/>
    </row>
    <row r="14" spans="1:20" x14ac:dyDescent="0.2">
      <c r="A14" s="2"/>
      <c r="B14" s="37"/>
      <c r="C14" s="37"/>
      <c r="D14" s="37"/>
      <c r="E14" s="37"/>
      <c r="F14" s="37"/>
      <c r="G14" s="37"/>
      <c r="H14" s="37"/>
      <c r="I14" s="37"/>
      <c r="J14" s="38"/>
      <c r="L14" s="15"/>
      <c r="N14" s="40"/>
      <c r="O14" s="40"/>
      <c r="P14" s="40"/>
    </row>
    <row r="15" spans="1:20" x14ac:dyDescent="0.2">
      <c r="A15" s="2"/>
      <c r="B15" s="37" t="s">
        <v>74</v>
      </c>
      <c r="C15" s="37"/>
      <c r="D15" s="37"/>
      <c r="E15" s="37"/>
      <c r="F15" s="37"/>
      <c r="G15" s="37"/>
      <c r="H15" s="37"/>
      <c r="I15" s="37"/>
      <c r="J15" s="38"/>
      <c r="M15" s="15" t="s">
        <v>77</v>
      </c>
    </row>
    <row r="16" spans="1:20" x14ac:dyDescent="0.2">
      <c r="A16" s="2"/>
      <c r="B16" s="37" t="s">
        <v>75</v>
      </c>
      <c r="C16" s="37"/>
      <c r="D16" s="37"/>
      <c r="E16" s="37"/>
      <c r="F16" s="37"/>
      <c r="G16" s="37"/>
      <c r="H16" s="37"/>
      <c r="I16" s="37"/>
      <c r="J16" s="38"/>
    </row>
    <row r="17" spans="1:20" x14ac:dyDescent="0.2">
      <c r="A17" s="2"/>
      <c r="B17" s="37"/>
      <c r="C17" s="37"/>
      <c r="D17" s="37"/>
      <c r="E17" s="37"/>
      <c r="F17" s="37"/>
      <c r="G17" s="37"/>
      <c r="H17" s="37"/>
      <c r="I17" s="37"/>
      <c r="J17" s="38"/>
      <c r="M17" s="51" t="s">
        <v>19</v>
      </c>
      <c r="N17" s="44">
        <v>1</v>
      </c>
      <c r="O17" s="44">
        <v>2</v>
      </c>
      <c r="P17" s="44">
        <v>3</v>
      </c>
      <c r="Q17" s="44">
        <v>4</v>
      </c>
      <c r="S17" s="52"/>
      <c r="T17" s="52"/>
    </row>
    <row r="18" spans="1:20" ht="17" thickBot="1" x14ac:dyDescent="0.25">
      <c r="A18" s="2"/>
      <c r="B18" s="37"/>
      <c r="C18" s="37"/>
      <c r="D18" s="37"/>
      <c r="E18" s="37"/>
      <c r="F18" s="37"/>
      <c r="G18" s="37"/>
      <c r="H18" s="37"/>
      <c r="I18" s="37"/>
      <c r="J18" s="38"/>
      <c r="M18" s="53">
        <v>1</v>
      </c>
      <c r="N18" s="54"/>
      <c r="O18" s="54"/>
      <c r="P18" s="54"/>
      <c r="Q18" s="55">
        <f>G7</f>
        <v>4202</v>
      </c>
      <c r="S18" s="54"/>
      <c r="T18" s="54"/>
    </row>
    <row r="19" spans="1:20" ht="17" thickBot="1" x14ac:dyDescent="0.25">
      <c r="A19" s="394" t="s">
        <v>205</v>
      </c>
      <c r="B19" s="395"/>
      <c r="C19" s="395"/>
      <c r="D19" s="395"/>
      <c r="E19" s="395"/>
      <c r="F19" s="395"/>
      <c r="G19" s="395"/>
      <c r="H19" s="395"/>
      <c r="I19" s="395"/>
      <c r="J19" s="396"/>
      <c r="M19" s="53">
        <v>2</v>
      </c>
      <c r="N19" s="54"/>
      <c r="O19" s="54"/>
      <c r="P19" s="55">
        <f>F8</f>
        <v>3570</v>
      </c>
      <c r="Q19" s="54">
        <f>P19*P$12</f>
        <v>3889.3284936479126</v>
      </c>
      <c r="R19" s="54"/>
      <c r="S19" s="54"/>
      <c r="T19" s="54"/>
    </row>
    <row r="20" spans="1:20" x14ac:dyDescent="0.2">
      <c r="M20" s="53">
        <v>3</v>
      </c>
      <c r="N20" s="54"/>
      <c r="O20" s="55">
        <f>E9</f>
        <v>850</v>
      </c>
      <c r="P20" s="54">
        <f>O20*O$12</f>
        <v>934.55958549222794</v>
      </c>
      <c r="Q20" s="54">
        <f>P20*P$12</f>
        <v>1018.1538445004775</v>
      </c>
      <c r="R20" s="54"/>
      <c r="S20" s="54"/>
      <c r="T20" s="54"/>
    </row>
    <row r="21" spans="1:20" x14ac:dyDescent="0.2">
      <c r="M21" s="53">
        <v>4</v>
      </c>
      <c r="N21" s="55">
        <f>D10</f>
        <v>973</v>
      </c>
      <c r="O21" s="54">
        <f>N21*N$12</f>
        <v>2424.5298165137615</v>
      </c>
      <c r="P21" s="54">
        <f>O21*O$12</f>
        <v>2665.7265650995864</v>
      </c>
      <c r="Q21" s="54">
        <f>P21*P$12</f>
        <v>2904.1698279876746</v>
      </c>
      <c r="R21" s="54"/>
      <c r="S21" s="54"/>
      <c r="T21" s="54"/>
    </row>
    <row r="22" spans="1:20" ht="19" x14ac:dyDescent="0.25">
      <c r="A22" s="3"/>
      <c r="N22" s="56"/>
      <c r="O22" s="54"/>
      <c r="P22" s="54"/>
      <c r="Q22" s="54"/>
      <c r="R22" s="54"/>
      <c r="S22" s="54"/>
      <c r="T22" s="54"/>
    </row>
    <row r="24" spans="1:20" x14ac:dyDescent="0.2">
      <c r="M24" s="15" t="s">
        <v>78</v>
      </c>
      <c r="N24" s="15"/>
      <c r="O24" s="15"/>
    </row>
    <row r="25" spans="1:20" x14ac:dyDescent="0.2">
      <c r="L25" s="15"/>
      <c r="N25" s="90" t="s">
        <v>79</v>
      </c>
    </row>
    <row r="26" spans="1:20" x14ac:dyDescent="0.2">
      <c r="M26" s="51" t="s">
        <v>19</v>
      </c>
      <c r="N26" s="95">
        <v>1</v>
      </c>
      <c r="O26" s="95">
        <v>2</v>
      </c>
      <c r="P26" s="95">
        <v>3</v>
      </c>
    </row>
    <row r="27" spans="1:20" x14ac:dyDescent="0.2">
      <c r="M27" s="39">
        <v>1</v>
      </c>
      <c r="N27" s="63">
        <f>D7*(N7-N$12)^2</f>
        <v>1526.5859658733348</v>
      </c>
      <c r="O27" s="47">
        <f>E7*(O7-O$12)^2</f>
        <v>1.8969954051816964</v>
      </c>
      <c r="P27" s="63">
        <f>F7*(P7-P$12)^2</f>
        <v>0</v>
      </c>
    </row>
    <row r="28" spans="1:20" x14ac:dyDescent="0.2">
      <c r="M28" s="39">
        <v>2</v>
      </c>
      <c r="N28" s="63">
        <f>D8*(N8-N$12)^2</f>
        <v>6708.1866600225003</v>
      </c>
      <c r="O28" s="47">
        <f>E8*(O8-O$12)^2</f>
        <v>2.142791468085171</v>
      </c>
      <c r="P28" s="63"/>
    </row>
    <row r="29" spans="1:20" x14ac:dyDescent="0.2">
      <c r="M29" s="39">
        <v>3</v>
      </c>
      <c r="N29" s="63">
        <f>D9*(N9-N$12)^2</f>
        <v>7.4795946517457281</v>
      </c>
      <c r="O29" s="63"/>
      <c r="P29" s="63"/>
    </row>
    <row r="31" spans="1:20" x14ac:dyDescent="0.2">
      <c r="M31" s="51" t="s">
        <v>80</v>
      </c>
      <c r="N31" s="85">
        <v>1</v>
      </c>
      <c r="O31" s="85">
        <v>2</v>
      </c>
      <c r="P31" s="85">
        <v>3</v>
      </c>
    </row>
    <row r="32" spans="1:20" x14ac:dyDescent="0.2">
      <c r="M32" s="53" t="s">
        <v>81</v>
      </c>
      <c r="N32" s="47">
        <f>SUM(N27:N29)/(4-N31-1)</f>
        <v>4121.1261102737908</v>
      </c>
      <c r="O32" s="47">
        <f>SUM(O27:O29)/(4-O31-1)</f>
        <v>4.0397868732668671</v>
      </c>
      <c r="P32" s="17">
        <f>O32^2/N32</f>
        <v>3.9600530400500326E-3</v>
      </c>
      <c r="R32" s="39" t="s">
        <v>96</v>
      </c>
    </row>
    <row r="33" spans="13:19" x14ac:dyDescent="0.2">
      <c r="N33" s="47"/>
      <c r="O33" s="47"/>
      <c r="P33" s="47"/>
    </row>
    <row r="34" spans="13:19" x14ac:dyDescent="0.2">
      <c r="N34" s="47"/>
      <c r="O34" s="47"/>
      <c r="P34" s="47"/>
    </row>
    <row r="35" spans="13:19" x14ac:dyDescent="0.2">
      <c r="M35" s="15" t="s">
        <v>82</v>
      </c>
    </row>
    <row r="36" spans="13:19" x14ac:dyDescent="0.2">
      <c r="N36" s="15"/>
    </row>
    <row r="37" spans="13:19" x14ac:dyDescent="0.2">
      <c r="M37" s="43" t="s">
        <v>19</v>
      </c>
      <c r="N37" s="44">
        <v>1</v>
      </c>
      <c r="O37" s="44">
        <v>2</v>
      </c>
      <c r="P37" s="44">
        <v>3</v>
      </c>
      <c r="Q37" s="43"/>
      <c r="R37" s="59" t="s">
        <v>83</v>
      </c>
    </row>
    <row r="38" spans="13:19" x14ac:dyDescent="0.2">
      <c r="M38" s="60">
        <v>1</v>
      </c>
      <c r="N38" s="61"/>
      <c r="O38" s="61"/>
      <c r="P38" s="61"/>
      <c r="Q38" s="62"/>
      <c r="R38" s="54">
        <f>SUM(N38:Q38)</f>
        <v>0</v>
      </c>
      <c r="S38" s="63"/>
    </row>
    <row r="39" spans="13:19" x14ac:dyDescent="0.2">
      <c r="M39" s="60">
        <v>2</v>
      </c>
      <c r="N39" s="54"/>
      <c r="O39" s="54"/>
      <c r="P39" s="54">
        <f>$O48^2*P$32/P$12^2*(1/P19+1/SUM(F$7:F$7))</f>
        <v>27.222813255009633</v>
      </c>
      <c r="Q39" s="64"/>
      <c r="R39" s="54">
        <f>SUM(N39:Q39)</f>
        <v>27.222813255009633</v>
      </c>
      <c r="S39" s="63"/>
    </row>
    <row r="40" spans="13:19" x14ac:dyDescent="0.2">
      <c r="M40" s="60">
        <v>3</v>
      </c>
      <c r="N40" s="54"/>
      <c r="O40" s="54">
        <f>$O49^2*O$32/O$12^2*(1/O20+1/SUM(E$7:E$8))</f>
        <v>4588.4294952909249</v>
      </c>
      <c r="P40" s="54">
        <f>$O49^2*P$32/P$12^2*(1/P20+1/SUM(F$7:F$7))</f>
        <v>4.5976430790633493</v>
      </c>
      <c r="Q40" s="64"/>
      <c r="R40" s="54">
        <f>SUM(N40:Q40)</f>
        <v>4593.0271383699883</v>
      </c>
      <c r="S40" s="63"/>
    </row>
    <row r="41" spans="13:19" x14ac:dyDescent="0.2">
      <c r="M41" s="60">
        <v>4</v>
      </c>
      <c r="N41" s="54">
        <f>$O50^2*N$32/N$12^2*(1/N21+1/SUM(D$7:D$9))</f>
        <v>7587506.2138658613</v>
      </c>
      <c r="O41" s="54">
        <f>$O50^2*O$32/O$12^2*(1/O21+1/SUM(E$7:E$8))</f>
        <v>15797.700824220719</v>
      </c>
      <c r="P41" s="54">
        <f>$O50^2*P$32/P$12^2*(1/P21+1/SUM(F$7:F$7))</f>
        <v>17.852380595457863</v>
      </c>
      <c r="Q41" s="65"/>
      <c r="R41" s="54">
        <f>SUM(N41:Q41)</f>
        <v>7603321.7670706771</v>
      </c>
      <c r="S41" s="63"/>
    </row>
    <row r="42" spans="13:19" x14ac:dyDescent="0.2">
      <c r="N42" s="68"/>
      <c r="O42" s="68"/>
      <c r="P42" s="68"/>
      <c r="Q42" s="68"/>
    </row>
    <row r="43" spans="13:19" x14ac:dyDescent="0.2">
      <c r="N43" s="68"/>
      <c r="O43" s="68"/>
      <c r="P43" s="68"/>
      <c r="Q43" s="68"/>
    </row>
    <row r="44" spans="13:19" x14ac:dyDescent="0.2">
      <c r="M44" s="15" t="s">
        <v>95</v>
      </c>
    </row>
    <row r="45" spans="13:19" ht="17" thickBot="1" x14ac:dyDescent="0.25"/>
    <row r="46" spans="13:19" x14ac:dyDescent="0.2">
      <c r="M46" s="43" t="s">
        <v>19</v>
      </c>
      <c r="N46" s="44" t="s">
        <v>84</v>
      </c>
      <c r="O46" s="44" t="s">
        <v>48</v>
      </c>
      <c r="P46" s="44" t="s">
        <v>85</v>
      </c>
      <c r="Q46" s="44" t="s">
        <v>86</v>
      </c>
      <c r="R46" s="44" t="s">
        <v>87</v>
      </c>
      <c r="S46" s="96" t="s">
        <v>88</v>
      </c>
    </row>
    <row r="47" spans="13:19" x14ac:dyDescent="0.2">
      <c r="M47" s="60">
        <v>1</v>
      </c>
      <c r="N47" s="69">
        <f>G7</f>
        <v>4202</v>
      </c>
      <c r="O47" s="54">
        <f>Q18</f>
        <v>4202</v>
      </c>
      <c r="P47" s="54"/>
      <c r="Q47" s="54"/>
      <c r="R47" s="54"/>
      <c r="S47" s="97"/>
    </row>
    <row r="48" spans="13:19" x14ac:dyDescent="0.2">
      <c r="M48" s="60">
        <v>2</v>
      </c>
      <c r="N48" s="69">
        <f>F8</f>
        <v>3570</v>
      </c>
      <c r="O48" s="54">
        <f t="shared" ref="O48:O50" si="0">Q19</f>
        <v>3889.3284936479126</v>
      </c>
      <c r="P48" s="54">
        <f>O48-N48</f>
        <v>319.32849364791264</v>
      </c>
      <c r="Q48" s="54">
        <f>R39</f>
        <v>27.222813255009633</v>
      </c>
      <c r="R48" s="54">
        <f>SQRT(Q48)</f>
        <v>5.2175485867416347</v>
      </c>
      <c r="S48" s="98">
        <f t="shared" ref="S48:S49" si="1">R48/P48</f>
        <v>1.6339126293234685E-2</v>
      </c>
    </row>
    <row r="49" spans="12:19" x14ac:dyDescent="0.2">
      <c r="M49" s="60">
        <v>3</v>
      </c>
      <c r="N49" s="69">
        <f>E9</f>
        <v>850</v>
      </c>
      <c r="O49" s="54">
        <f t="shared" si="0"/>
        <v>1018.1538445004775</v>
      </c>
      <c r="P49" s="54">
        <f>O49-N49</f>
        <v>168.15384450047748</v>
      </c>
      <c r="Q49" s="54">
        <f>R40</f>
        <v>4593.0271383699883</v>
      </c>
      <c r="R49" s="54">
        <f>SQRT(Q49)</f>
        <v>67.77187571825047</v>
      </c>
      <c r="S49" s="98">
        <f t="shared" si="1"/>
        <v>0.40303494647758725</v>
      </c>
    </row>
    <row r="50" spans="12:19" ht="17" thickBot="1" x14ac:dyDescent="0.25">
      <c r="M50" s="43">
        <v>4</v>
      </c>
      <c r="N50" s="71">
        <f>D10</f>
        <v>973</v>
      </c>
      <c r="O50" s="72">
        <f t="shared" si="0"/>
        <v>2904.1698279876746</v>
      </c>
      <c r="P50" s="72">
        <f>O50-N50</f>
        <v>1931.1698279876746</v>
      </c>
      <c r="Q50" s="72">
        <f>R41</f>
        <v>7603321.7670706771</v>
      </c>
      <c r="R50" s="72">
        <f t="shared" ref="R50:R51" si="2">SQRT(Q50)</f>
        <v>2757.4121503813458</v>
      </c>
      <c r="S50" s="99">
        <f>R50/P50</f>
        <v>1.4278455009079318</v>
      </c>
    </row>
    <row r="51" spans="12:19" x14ac:dyDescent="0.2">
      <c r="M51" s="60" t="s">
        <v>89</v>
      </c>
      <c r="N51" s="54">
        <f>SUM(N47:N50)</f>
        <v>9595</v>
      </c>
      <c r="O51" s="54">
        <f>SUM(O47:O50)</f>
        <v>12013.652166136064</v>
      </c>
      <c r="P51" s="54">
        <f>SUM(P47:P50)</f>
        <v>2418.6521661360648</v>
      </c>
      <c r="Q51" s="54">
        <f>P73</f>
        <v>7610899.1755770883</v>
      </c>
      <c r="R51" s="54">
        <f t="shared" si="2"/>
        <v>2758.7858154588748</v>
      </c>
      <c r="S51" s="100">
        <f>R51/P51</f>
        <v>1.1406294191802673</v>
      </c>
    </row>
    <row r="52" spans="12:19" x14ac:dyDescent="0.2">
      <c r="N52" s="54"/>
      <c r="O52" s="54"/>
      <c r="P52" s="54"/>
      <c r="Q52" s="54"/>
      <c r="R52" s="54"/>
    </row>
    <row r="53" spans="12:19" x14ac:dyDescent="0.2">
      <c r="N53" s="54"/>
      <c r="O53" s="54"/>
      <c r="P53" s="54"/>
      <c r="Q53" s="54"/>
      <c r="R53" s="54"/>
    </row>
    <row r="54" spans="12:19" x14ac:dyDescent="0.2">
      <c r="N54" s="54"/>
      <c r="O54" s="54"/>
      <c r="P54" s="54"/>
      <c r="Q54" s="54"/>
      <c r="R54" s="54"/>
    </row>
    <row r="55" spans="12:19" ht="19" x14ac:dyDescent="0.25">
      <c r="L55" s="3" t="s">
        <v>90</v>
      </c>
      <c r="R55" s="69"/>
    </row>
    <row r="56" spans="12:19" ht="19" x14ac:dyDescent="0.25">
      <c r="M56" s="3"/>
      <c r="Q56" s="68"/>
      <c r="R56" s="69"/>
    </row>
    <row r="57" spans="12:19" x14ac:dyDescent="0.2">
      <c r="L57" s="401" t="s">
        <v>243</v>
      </c>
      <c r="M57" s="401"/>
      <c r="N57" s="401"/>
      <c r="O57" s="401"/>
      <c r="P57" s="401"/>
      <c r="Q57" s="401"/>
      <c r="R57" s="401"/>
      <c r="S57" s="401"/>
    </row>
    <row r="58" spans="12:19" x14ac:dyDescent="0.2">
      <c r="L58" s="401"/>
      <c r="M58" s="401"/>
      <c r="N58" s="401"/>
      <c r="O58" s="401"/>
      <c r="P58" s="401"/>
      <c r="Q58" s="401"/>
      <c r="R58" s="401"/>
      <c r="S58" s="401"/>
    </row>
    <row r="59" spans="12:19" ht="19" x14ac:dyDescent="0.25">
      <c r="L59" s="3"/>
      <c r="P59" s="68"/>
      <c r="Q59" s="69"/>
    </row>
    <row r="60" spans="12:19" x14ac:dyDescent="0.2">
      <c r="L60" s="392" t="s">
        <v>215</v>
      </c>
      <c r="M60" s="392"/>
      <c r="N60" s="392"/>
      <c r="O60" s="392"/>
      <c r="P60" s="392"/>
      <c r="Q60" s="392"/>
      <c r="R60" s="392"/>
      <c r="S60" s="392"/>
    </row>
    <row r="61" spans="12:19" x14ac:dyDescent="0.2">
      <c r="L61" s="392"/>
      <c r="M61" s="392"/>
      <c r="N61" s="392"/>
      <c r="O61" s="392"/>
      <c r="P61" s="392"/>
      <c r="Q61" s="392"/>
      <c r="R61" s="392"/>
      <c r="S61" s="392"/>
    </row>
    <row r="62" spans="12:19" x14ac:dyDescent="0.2">
      <c r="L62" s="392"/>
      <c r="M62" s="392"/>
      <c r="N62" s="392"/>
      <c r="O62" s="392"/>
      <c r="P62" s="392"/>
      <c r="Q62" s="392"/>
      <c r="R62" s="392"/>
      <c r="S62" s="392"/>
    </row>
    <row r="64" spans="12:19" x14ac:dyDescent="0.2">
      <c r="M64" s="43" t="s">
        <v>80</v>
      </c>
      <c r="N64" s="44">
        <v>1</v>
      </c>
      <c r="O64" s="44">
        <v>2</v>
      </c>
      <c r="P64" s="44">
        <v>3</v>
      </c>
    </row>
    <row r="65" spans="11:20" x14ac:dyDescent="0.2">
      <c r="M65" s="53" t="s">
        <v>91</v>
      </c>
      <c r="N65" s="68">
        <f>2*N32/N12^2/SUM(D7:D9)</f>
        <v>0.43494264650987363</v>
      </c>
      <c r="O65" s="68">
        <f>2*O32/O12^2/SUM(E7:E8)</f>
        <v>9.8943428451696465E-4</v>
      </c>
      <c r="P65" s="68">
        <f>2*P32/P12^2/SUM(F7:F7)</f>
        <v>1.7300893837268598E-6</v>
      </c>
      <c r="Q65" s="68"/>
      <c r="S65" s="68"/>
      <c r="T65" s="68"/>
    </row>
    <row r="66" spans="11:20" x14ac:dyDescent="0.2">
      <c r="M66" s="53" t="s">
        <v>92</v>
      </c>
      <c r="N66" s="68">
        <f>SUM(N65:$P$65)</f>
        <v>0.43593381088377431</v>
      </c>
      <c r="O66" s="68">
        <f>SUM(O65:$P$65)</f>
        <v>9.9116437390069155E-4</v>
      </c>
      <c r="P66" s="68">
        <f>SUM(P65:$P$65)</f>
        <v>1.7300893837268598E-6</v>
      </c>
      <c r="Q66" s="68"/>
      <c r="R66" s="68"/>
      <c r="S66" s="68"/>
      <c r="T66" s="68"/>
    </row>
    <row r="68" spans="11:20" x14ac:dyDescent="0.2">
      <c r="P68" s="399" t="s">
        <v>94</v>
      </c>
    </row>
    <row r="69" spans="11:20" x14ac:dyDescent="0.2">
      <c r="K69" s="5"/>
      <c r="M69" s="43" t="s">
        <v>19</v>
      </c>
      <c r="N69" s="44" t="s">
        <v>93</v>
      </c>
      <c r="O69" s="44"/>
      <c r="P69" s="400"/>
    </row>
    <row r="70" spans="11:20" x14ac:dyDescent="0.2">
      <c r="K70" s="5"/>
      <c r="M70" s="60">
        <v>2</v>
      </c>
      <c r="N70" s="69">
        <f>O48*SUM(O49:$O$50)</f>
        <v>15255205.220717894</v>
      </c>
      <c r="O70" s="68">
        <f>P66</f>
        <v>1.7300893837268598E-6</v>
      </c>
      <c r="P70" s="69">
        <f>O70*N70+Q48</f>
        <v>53.615681853948232</v>
      </c>
    </row>
    <row r="71" spans="11:20" x14ac:dyDescent="0.2">
      <c r="K71" s="5"/>
      <c r="M71" s="60">
        <v>3</v>
      </c>
      <c r="N71" s="69">
        <f>O49*SUM(O50:$O$50)</f>
        <v>2956891.6754479413</v>
      </c>
      <c r="O71" s="68">
        <f>O66</f>
        <v>9.9116437390069155E-4</v>
      </c>
      <c r="P71" s="69">
        <f>O71*N71+Q49</f>
        <v>7523.792824557514</v>
      </c>
    </row>
    <row r="72" spans="11:20" x14ac:dyDescent="0.2">
      <c r="K72" s="5"/>
      <c r="M72" s="43">
        <v>4</v>
      </c>
      <c r="N72" s="74">
        <v>0</v>
      </c>
      <c r="O72" s="101">
        <f>N66</f>
        <v>0.43593381088377431</v>
      </c>
      <c r="P72" s="71">
        <f>O72*N72+Q50</f>
        <v>7603321.7670706771</v>
      </c>
    </row>
    <row r="73" spans="11:20" x14ac:dyDescent="0.2">
      <c r="K73" s="5"/>
      <c r="L73" s="5"/>
      <c r="M73" s="60" t="s">
        <v>89</v>
      </c>
      <c r="N73" s="76"/>
      <c r="O73" s="68"/>
      <c r="P73" s="77">
        <f>SUM(P70:P72)</f>
        <v>7610899.1755770883</v>
      </c>
    </row>
    <row r="74" spans="11:20" x14ac:dyDescent="0.2">
      <c r="L74" s="5"/>
      <c r="M74" s="5"/>
    </row>
    <row r="75" spans="11:20" x14ac:dyDescent="0.2">
      <c r="L75" s="5"/>
      <c r="M75" s="5"/>
    </row>
    <row r="76" spans="11:20" ht="19" x14ac:dyDescent="0.25">
      <c r="L76" s="3" t="s">
        <v>236</v>
      </c>
      <c r="M76" s="5"/>
      <c r="N76" s="5"/>
    </row>
    <row r="77" spans="11:20" x14ac:dyDescent="0.2">
      <c r="L77" s="104" t="s">
        <v>240</v>
      </c>
      <c r="M77" s="5"/>
      <c r="N77" s="5"/>
    </row>
    <row r="78" spans="11:20" x14ac:dyDescent="0.2">
      <c r="L78" s="5"/>
      <c r="M78" s="5"/>
      <c r="N78" s="5"/>
    </row>
    <row r="79" spans="11:20" x14ac:dyDescent="0.2">
      <c r="L79" s="5"/>
      <c r="M79" s="5"/>
      <c r="N79" s="5"/>
    </row>
    <row r="80" spans="11:20"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M84" s="40"/>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L90" s="5"/>
      <c r="M90" s="5"/>
      <c r="N90" s="5"/>
    </row>
    <row r="91" spans="1:65" x14ac:dyDescent="0.2">
      <c r="L91" s="5"/>
      <c r="M91" s="5"/>
      <c r="N91" s="5"/>
    </row>
    <row r="92" spans="1:65" x14ac:dyDescent="0.2">
      <c r="J92" s="5"/>
      <c r="L92" s="5"/>
      <c r="M92" s="5"/>
      <c r="N92" s="5"/>
    </row>
    <row r="93" spans="1:65" x14ac:dyDescent="0.2">
      <c r="A93" s="5"/>
      <c r="J93" s="5"/>
      <c r="K93" s="5"/>
      <c r="L93" s="5"/>
      <c r="M93" s="5"/>
      <c r="N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M94" s="40"/>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L195" s="5"/>
      <c r="M195" s="5"/>
      <c r="N195" s="5"/>
      <c r="O195" s="5"/>
      <c r="P195" s="5"/>
      <c r="Q195" s="5"/>
      <c r="R195" s="5"/>
      <c r="S195" s="5"/>
      <c r="T195" s="5"/>
      <c r="U195" s="5"/>
    </row>
    <row r="196" spans="1:65" x14ac:dyDescent="0.2">
      <c r="L196" s="5"/>
      <c r="M196" s="5"/>
      <c r="N196" s="5"/>
      <c r="O196" s="5"/>
      <c r="P196" s="5"/>
      <c r="Q196" s="5"/>
      <c r="R196" s="5"/>
      <c r="S196" s="5"/>
      <c r="T196" s="5"/>
      <c r="U196" s="5"/>
    </row>
  </sheetData>
  <mergeCells count="5">
    <mergeCell ref="C5:G5"/>
    <mergeCell ref="A19:J19"/>
    <mergeCell ref="L57:S58"/>
    <mergeCell ref="L60:S62"/>
    <mergeCell ref="P68:P69"/>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M208"/>
  <sheetViews>
    <sheetView zoomScaleNormal="100" workbookViewId="0"/>
  </sheetViews>
  <sheetFormatPr baseColWidth="10" defaultColWidth="10.83203125" defaultRowHeight="16" outlineLevelCol="1" x14ac:dyDescent="0.2"/>
  <cols>
    <col min="1" max="1" width="4.6640625" style="39" customWidth="1"/>
    <col min="2" max="2" width="10.83203125" style="39"/>
    <col min="3" max="3" width="10.83203125" style="39" customWidth="1"/>
    <col min="4" max="10" width="10.83203125" style="39"/>
    <col min="11" max="11" width="11.5" style="39" bestFit="1" customWidth="1"/>
    <col min="12" max="23" width="10.83203125" style="39" hidden="1" customWidth="1" outlineLevel="1"/>
    <col min="24" max="24" width="10.83203125" style="39" collapsed="1"/>
    <col min="25" max="16384" width="10.83203125" style="39"/>
  </cols>
  <sheetData>
    <row r="1" spans="1:23" ht="19" x14ac:dyDescent="0.25">
      <c r="A1" s="1" t="s">
        <v>228</v>
      </c>
      <c r="B1" s="28"/>
      <c r="C1" s="36"/>
      <c r="D1" s="36"/>
      <c r="E1" s="36"/>
      <c r="F1" s="37"/>
      <c r="G1" s="37"/>
      <c r="H1" s="37"/>
      <c r="I1" s="37"/>
      <c r="J1" s="38"/>
      <c r="K1" s="3" t="s">
        <v>206</v>
      </c>
    </row>
    <row r="2" spans="1:23" x14ac:dyDescent="0.2">
      <c r="A2" s="2"/>
      <c r="B2" s="37"/>
      <c r="C2" s="37"/>
      <c r="D2" s="37"/>
      <c r="E2" s="37"/>
      <c r="F2" s="37"/>
      <c r="G2" s="37"/>
      <c r="H2" s="37"/>
      <c r="I2" s="37"/>
      <c r="J2" s="38"/>
      <c r="L2" s="15" t="s">
        <v>3</v>
      </c>
      <c r="N2" s="40"/>
    </row>
    <row r="3" spans="1:23" x14ac:dyDescent="0.2">
      <c r="A3" s="2"/>
      <c r="B3" s="37" t="s">
        <v>98</v>
      </c>
      <c r="C3" s="37"/>
      <c r="D3" s="37"/>
      <c r="E3" s="37"/>
      <c r="F3" s="37"/>
      <c r="G3" s="37"/>
      <c r="H3" s="37"/>
      <c r="I3" s="37"/>
      <c r="J3" s="38"/>
      <c r="M3" s="39" t="s">
        <v>102</v>
      </c>
      <c r="Q3" s="39" t="s">
        <v>103</v>
      </c>
      <c r="U3" s="39" t="s">
        <v>104</v>
      </c>
    </row>
    <row r="4" spans="1:23" x14ac:dyDescent="0.2">
      <c r="A4" s="2"/>
      <c r="B4" s="37"/>
      <c r="C4" s="37"/>
      <c r="D4" s="37"/>
      <c r="E4" s="37"/>
      <c r="F4" s="37"/>
      <c r="G4" s="37"/>
      <c r="H4" s="37"/>
      <c r="I4" s="37"/>
      <c r="J4" s="38"/>
    </row>
    <row r="5" spans="1:23" ht="20" x14ac:dyDescent="0.2">
      <c r="A5" s="2"/>
      <c r="B5" s="37"/>
      <c r="C5" s="393" t="s">
        <v>99</v>
      </c>
      <c r="D5" s="393"/>
      <c r="E5" s="393"/>
      <c r="F5" s="393"/>
      <c r="G5" s="393"/>
      <c r="H5" s="393"/>
      <c r="I5" s="37"/>
      <c r="J5" s="38"/>
      <c r="M5" s="11" t="s">
        <v>106</v>
      </c>
      <c r="N5" s="18" t="s">
        <v>107</v>
      </c>
      <c r="O5" s="11" t="s">
        <v>108</v>
      </c>
      <c r="Q5" s="11" t="s">
        <v>106</v>
      </c>
      <c r="R5" s="18" t="s">
        <v>109</v>
      </c>
      <c r="S5" s="11" t="s">
        <v>108</v>
      </c>
      <c r="U5" s="11" t="s">
        <v>106</v>
      </c>
      <c r="V5" s="18" t="s">
        <v>110</v>
      </c>
      <c r="W5" s="11" t="s">
        <v>108</v>
      </c>
    </row>
    <row r="6" spans="1:23" ht="34" x14ac:dyDescent="0.2">
      <c r="A6" s="2"/>
      <c r="B6" s="37"/>
      <c r="C6" s="91" t="s">
        <v>7</v>
      </c>
      <c r="D6" s="92" t="s">
        <v>22</v>
      </c>
      <c r="E6" s="92" t="s">
        <v>23</v>
      </c>
      <c r="F6" s="92" t="s">
        <v>24</v>
      </c>
      <c r="G6" s="92" t="s">
        <v>25</v>
      </c>
      <c r="H6" s="92" t="s">
        <v>26</v>
      </c>
      <c r="I6" s="37"/>
      <c r="J6" s="38"/>
      <c r="M6" s="14">
        <f t="shared" ref="M6:N9" si="0">RANK(D7,D$7:D$10,1)</f>
        <v>1</v>
      </c>
      <c r="N6" s="19">
        <f t="shared" si="0"/>
        <v>3</v>
      </c>
      <c r="O6" s="14">
        <f>(M6-N6)^2</f>
        <v>4</v>
      </c>
      <c r="Q6" s="14">
        <f t="shared" ref="Q6:R8" si="1">RANK(E7,E$7:E$9,1)</f>
        <v>3</v>
      </c>
      <c r="R6" s="19">
        <f t="shared" si="1"/>
        <v>1</v>
      </c>
      <c r="S6" s="14">
        <f t="shared" ref="S6:S8" si="2">(Q6-R6)^2</f>
        <v>4</v>
      </c>
      <c r="U6" s="14">
        <f>RANK(F7,F$7:F$8,1)</f>
        <v>1</v>
      </c>
      <c r="V6" s="19">
        <f>RANK(G7,G$7:G$8,1)</f>
        <v>1</v>
      </c>
      <c r="W6" s="14">
        <f t="shared" ref="W6:W7" si="3">(U6-V6)^2</f>
        <v>0</v>
      </c>
    </row>
    <row r="7" spans="1:23" x14ac:dyDescent="0.2">
      <c r="A7" s="2"/>
      <c r="B7" s="37"/>
      <c r="C7" s="93">
        <v>2011</v>
      </c>
      <c r="D7" s="94">
        <v>2.0430000000000001</v>
      </c>
      <c r="E7" s="94">
        <v>1.6639999999999999</v>
      </c>
      <c r="F7" s="94">
        <v>1.149</v>
      </c>
      <c r="G7" s="94">
        <v>1.1020000000000001</v>
      </c>
      <c r="H7" s="94">
        <v>1.113</v>
      </c>
      <c r="I7" s="37"/>
      <c r="J7" s="38"/>
      <c r="M7" s="14">
        <f t="shared" si="0"/>
        <v>4</v>
      </c>
      <c r="N7" s="19">
        <f t="shared" si="0"/>
        <v>1</v>
      </c>
      <c r="O7" s="14">
        <f t="shared" ref="O7:O9" si="4">(M7-N7)^2</f>
        <v>9</v>
      </c>
      <c r="Q7" s="14">
        <f t="shared" si="1"/>
        <v>1</v>
      </c>
      <c r="R7" s="19">
        <f t="shared" si="1"/>
        <v>3</v>
      </c>
      <c r="S7" s="14">
        <f t="shared" si="2"/>
        <v>4</v>
      </c>
      <c r="U7" s="11">
        <f>RANK(F8,F$7:F$8,1)</f>
        <v>2</v>
      </c>
      <c r="V7" s="18">
        <f>RANK(G8,G$7:G$8,1)</f>
        <v>2</v>
      </c>
      <c r="W7" s="11">
        <f t="shared" si="3"/>
        <v>0</v>
      </c>
    </row>
    <row r="8" spans="1:23" x14ac:dyDescent="0.2">
      <c r="A8" s="2"/>
      <c r="B8" s="37"/>
      <c r="C8" s="93">
        <v>2012</v>
      </c>
      <c r="D8" s="94">
        <v>8.7590000000000003</v>
      </c>
      <c r="E8" s="94">
        <v>1.3560000000000001</v>
      </c>
      <c r="F8" s="94">
        <v>1.4</v>
      </c>
      <c r="G8" s="94">
        <v>1.171</v>
      </c>
      <c r="H8" s="94"/>
      <c r="I8" s="37"/>
      <c r="J8" s="38"/>
      <c r="M8" s="14">
        <f t="shared" si="0"/>
        <v>2</v>
      </c>
      <c r="N8" s="19">
        <f t="shared" si="0"/>
        <v>2</v>
      </c>
      <c r="O8" s="14">
        <f t="shared" si="4"/>
        <v>0</v>
      </c>
      <c r="Q8" s="11">
        <f t="shared" si="1"/>
        <v>2</v>
      </c>
      <c r="R8" s="18">
        <f t="shared" si="1"/>
        <v>2</v>
      </c>
      <c r="S8" s="11">
        <f t="shared" si="2"/>
        <v>0</v>
      </c>
      <c r="U8" s="14"/>
      <c r="V8" s="19"/>
      <c r="W8" s="14">
        <f>SUM(W6:W7)</f>
        <v>0</v>
      </c>
    </row>
    <row r="9" spans="1:23" x14ac:dyDescent="0.2">
      <c r="A9" s="2"/>
      <c r="B9" s="37"/>
      <c r="C9" s="93">
        <v>2013</v>
      </c>
      <c r="D9" s="94">
        <v>4.26</v>
      </c>
      <c r="E9" s="94">
        <v>1.6160000000000001</v>
      </c>
      <c r="F9" s="94">
        <v>1.2050000000000001</v>
      </c>
      <c r="G9" s="94"/>
      <c r="H9" s="94"/>
      <c r="I9" s="37"/>
      <c r="J9" s="38"/>
      <c r="M9" s="11">
        <f t="shared" si="0"/>
        <v>3</v>
      </c>
      <c r="N9" s="18">
        <f t="shared" si="0"/>
        <v>4</v>
      </c>
      <c r="O9" s="11">
        <f t="shared" si="4"/>
        <v>1</v>
      </c>
      <c r="Q9" s="14"/>
      <c r="R9" s="19"/>
      <c r="S9" s="14">
        <f>SUM(S6:S8)</f>
        <v>8</v>
      </c>
    </row>
    <row r="10" spans="1:23" x14ac:dyDescent="0.2">
      <c r="A10" s="2"/>
      <c r="B10" s="37"/>
      <c r="C10" s="93">
        <v>2014</v>
      </c>
      <c r="D10" s="94">
        <v>7.2169999999999996</v>
      </c>
      <c r="E10" s="94">
        <v>2.7229999999999999</v>
      </c>
      <c r="F10" s="94"/>
      <c r="G10" s="94"/>
      <c r="H10" s="94"/>
      <c r="I10" s="37"/>
      <c r="J10" s="38"/>
      <c r="M10" s="14"/>
      <c r="N10" s="19"/>
      <c r="O10" s="14">
        <f>SUM(O6:O9)</f>
        <v>14</v>
      </c>
      <c r="W10" s="5"/>
    </row>
    <row r="11" spans="1:23" x14ac:dyDescent="0.2">
      <c r="A11" s="2"/>
      <c r="B11" s="37"/>
      <c r="C11" s="93">
        <v>2015</v>
      </c>
      <c r="D11" s="94">
        <v>5.1420000000000003</v>
      </c>
      <c r="E11" s="94"/>
      <c r="F11" s="94"/>
      <c r="G11" s="94"/>
      <c r="H11" s="94"/>
      <c r="I11" s="37"/>
      <c r="J11" s="38"/>
      <c r="W11" s="5"/>
    </row>
    <row r="12" spans="1:23" x14ac:dyDescent="0.2">
      <c r="A12" s="2"/>
      <c r="B12" s="37"/>
      <c r="C12" s="37"/>
      <c r="D12" s="37"/>
      <c r="E12" s="37"/>
      <c r="F12" s="37"/>
      <c r="G12" s="37"/>
      <c r="H12" s="37"/>
      <c r="I12" s="37"/>
      <c r="J12" s="38"/>
      <c r="M12" s="15" t="s">
        <v>111</v>
      </c>
      <c r="W12" s="5"/>
    </row>
    <row r="13" spans="1:23" x14ac:dyDescent="0.2">
      <c r="A13" s="2"/>
      <c r="B13" s="67" t="s">
        <v>221</v>
      </c>
      <c r="C13" s="37"/>
      <c r="D13" s="37"/>
      <c r="E13" s="37"/>
      <c r="F13" s="37"/>
      <c r="G13" s="37"/>
      <c r="H13" s="37"/>
      <c r="I13" s="37"/>
      <c r="J13" s="38"/>
      <c r="W13" s="5"/>
    </row>
    <row r="14" spans="1:23" x14ac:dyDescent="0.2">
      <c r="A14" s="2"/>
      <c r="B14" s="37"/>
      <c r="C14" s="37"/>
      <c r="D14" s="37"/>
      <c r="E14" s="37"/>
      <c r="F14" s="37"/>
      <c r="G14" s="37"/>
      <c r="H14" s="37"/>
      <c r="I14" s="37"/>
      <c r="J14" s="38"/>
      <c r="L14" s="15"/>
      <c r="M14" s="39" t="s">
        <v>116</v>
      </c>
      <c r="N14" s="40"/>
    </row>
    <row r="15" spans="1:23" x14ac:dyDescent="0.2">
      <c r="A15" s="37" t="s">
        <v>0</v>
      </c>
      <c r="B15" s="37" t="s">
        <v>100</v>
      </c>
      <c r="C15" s="37"/>
      <c r="D15" s="37"/>
      <c r="E15" s="37"/>
      <c r="F15" s="37"/>
      <c r="G15" s="37"/>
      <c r="H15" s="37"/>
      <c r="I15" s="37"/>
      <c r="J15" s="38"/>
    </row>
    <row r="16" spans="1:23" x14ac:dyDescent="0.2">
      <c r="A16" s="2"/>
      <c r="B16" s="37" t="s">
        <v>101</v>
      </c>
      <c r="C16" s="37"/>
      <c r="D16" s="37"/>
      <c r="E16" s="37"/>
      <c r="F16" s="37"/>
      <c r="G16" s="37"/>
      <c r="H16" s="37"/>
      <c r="I16" s="37"/>
      <c r="J16" s="38"/>
      <c r="M16" s="43" t="s">
        <v>80</v>
      </c>
      <c r="N16" s="44" t="s">
        <v>113</v>
      </c>
      <c r="O16" s="44" t="s">
        <v>112</v>
      </c>
      <c r="P16" s="44" t="s">
        <v>105</v>
      </c>
      <c r="Q16" s="44" t="s">
        <v>114</v>
      </c>
    </row>
    <row r="17" spans="1:17" x14ac:dyDescent="0.2">
      <c r="A17" s="2"/>
      <c r="B17" s="37"/>
      <c r="C17" s="37"/>
      <c r="D17" s="37"/>
      <c r="E17" s="37"/>
      <c r="F17" s="37"/>
      <c r="G17" s="37"/>
      <c r="H17" s="37"/>
      <c r="I17" s="37"/>
      <c r="J17" s="38"/>
      <c r="M17" s="60">
        <v>2</v>
      </c>
      <c r="N17" s="52">
        <v>4</v>
      </c>
      <c r="O17" s="52">
        <f>O10</f>
        <v>14</v>
      </c>
      <c r="P17" s="52">
        <f>1-O17/(N17*(N17^2-1)/6)</f>
        <v>-0.39999999999999991</v>
      </c>
      <c r="Q17" s="52">
        <v>3</v>
      </c>
    </row>
    <row r="18" spans="1:17" x14ac:dyDescent="0.2">
      <c r="A18" s="2"/>
      <c r="B18" s="37"/>
      <c r="C18" s="37"/>
      <c r="D18" s="37"/>
      <c r="E18" s="37"/>
      <c r="F18" s="37"/>
      <c r="G18" s="37"/>
      <c r="H18" s="37"/>
      <c r="I18" s="37"/>
      <c r="J18" s="38"/>
      <c r="M18" s="60">
        <v>3</v>
      </c>
      <c r="N18" s="52">
        <v>3</v>
      </c>
      <c r="O18" s="52">
        <f>S9</f>
        <v>8</v>
      </c>
      <c r="P18" s="52">
        <f>1-O18/(N18*(N18^2-1)/6)</f>
        <v>-1</v>
      </c>
      <c r="Q18" s="52">
        <v>2</v>
      </c>
    </row>
    <row r="19" spans="1:17" x14ac:dyDescent="0.2">
      <c r="A19" s="37" t="s">
        <v>1</v>
      </c>
      <c r="B19" s="37" t="s">
        <v>217</v>
      </c>
      <c r="C19" s="37"/>
      <c r="D19" s="37"/>
      <c r="E19" s="37"/>
      <c r="F19" s="37"/>
      <c r="G19" s="37"/>
      <c r="H19" s="37"/>
      <c r="I19" s="37"/>
      <c r="J19" s="38"/>
      <c r="M19" s="60">
        <v>4</v>
      </c>
      <c r="N19" s="52">
        <v>2</v>
      </c>
      <c r="O19" s="52">
        <f>W8</f>
        <v>0</v>
      </c>
      <c r="P19" s="52">
        <f>1-O19/(N19*(N19^2-1)/6)</f>
        <v>1</v>
      </c>
      <c r="Q19" s="52">
        <v>1</v>
      </c>
    </row>
    <row r="20" spans="1:17" x14ac:dyDescent="0.2">
      <c r="A20" s="2"/>
      <c r="B20" s="37" t="s">
        <v>216</v>
      </c>
      <c r="C20" s="37"/>
      <c r="D20" s="37"/>
      <c r="E20" s="37"/>
      <c r="F20" s="37"/>
      <c r="G20" s="37"/>
      <c r="H20" s="37"/>
      <c r="I20" s="37"/>
      <c r="J20" s="38"/>
    </row>
    <row r="21" spans="1:17" x14ac:dyDescent="0.2">
      <c r="A21" s="2"/>
      <c r="B21" s="37"/>
      <c r="C21" s="37"/>
      <c r="D21" s="37"/>
      <c r="E21" s="37"/>
      <c r="F21" s="37"/>
      <c r="G21" s="37"/>
      <c r="H21" s="37"/>
      <c r="I21" s="37"/>
      <c r="J21" s="38"/>
      <c r="M21" s="138" t="s">
        <v>115</v>
      </c>
      <c r="N21" s="139">
        <f>SUMPRODUCT(P17:P19,Q17:Q19)/SUM(Q17:Q19)</f>
        <v>-0.36666666666666664</v>
      </c>
    </row>
    <row r="22" spans="1:17" ht="17" thickBot="1" x14ac:dyDescent="0.25">
      <c r="A22" s="2"/>
      <c r="B22" s="37"/>
      <c r="C22" s="37"/>
      <c r="D22" s="37"/>
      <c r="E22" s="37"/>
      <c r="F22" s="37"/>
      <c r="G22" s="37"/>
      <c r="H22" s="37"/>
      <c r="I22" s="37"/>
      <c r="J22" s="38"/>
    </row>
    <row r="23" spans="1:17" ht="17" thickBot="1" x14ac:dyDescent="0.25">
      <c r="A23" s="394" t="s">
        <v>205</v>
      </c>
      <c r="B23" s="395"/>
      <c r="C23" s="395"/>
      <c r="D23" s="395"/>
      <c r="E23" s="395"/>
      <c r="F23" s="395"/>
      <c r="G23" s="395"/>
      <c r="H23" s="395"/>
      <c r="I23" s="395"/>
      <c r="J23" s="396"/>
    </row>
    <row r="24" spans="1:17" x14ac:dyDescent="0.2">
      <c r="M24" s="39" t="s">
        <v>119</v>
      </c>
      <c r="N24" s="39">
        <f>COUNT(D7:D11)+1</f>
        <v>6</v>
      </c>
      <c r="O24" s="39" t="s">
        <v>120</v>
      </c>
    </row>
    <row r="25" spans="1:17" ht="19" x14ac:dyDescent="0.25">
      <c r="A25" s="3"/>
      <c r="M25" s="39" t="s">
        <v>117</v>
      </c>
      <c r="N25" s="39">
        <v>0</v>
      </c>
    </row>
    <row r="26" spans="1:17" x14ac:dyDescent="0.2">
      <c r="M26" s="39" t="s">
        <v>118</v>
      </c>
      <c r="N26" s="68">
        <f>1/((N24-2)*(N24-3)/2)</f>
        <v>0.16666666666666666</v>
      </c>
    </row>
    <row r="28" spans="1:17" ht="16" customHeight="1" x14ac:dyDescent="0.2">
      <c r="M28" s="39" t="s">
        <v>121</v>
      </c>
      <c r="N28" s="40">
        <f>$N$25+0.67*SQRT($N$26)</f>
        <v>0.27352635461078822</v>
      </c>
    </row>
    <row r="29" spans="1:17" ht="16" customHeight="1" x14ac:dyDescent="0.2">
      <c r="M29" s="39" t="s">
        <v>122</v>
      </c>
      <c r="N29" s="40">
        <f>$N$25-0.67*SQRT($N$26)</f>
        <v>-0.27352635461078822</v>
      </c>
    </row>
    <row r="31" spans="1:17" x14ac:dyDescent="0.2">
      <c r="M31" s="104" t="s">
        <v>244</v>
      </c>
    </row>
    <row r="33" spans="12:23" x14ac:dyDescent="0.2">
      <c r="M33" s="15" t="s">
        <v>123</v>
      </c>
    </row>
    <row r="34" spans="12:23" x14ac:dyDescent="0.2">
      <c r="M34" s="15" t="s">
        <v>124</v>
      </c>
    </row>
    <row r="36" spans="12:23" x14ac:dyDescent="0.2">
      <c r="L36" s="15" t="s">
        <v>4</v>
      </c>
      <c r="N36" s="40"/>
    </row>
    <row r="37" spans="12:23" ht="16" customHeight="1" x14ac:dyDescent="0.2">
      <c r="M37" s="392" t="s">
        <v>125</v>
      </c>
      <c r="N37" s="392"/>
      <c r="O37" s="392"/>
      <c r="P37" s="392"/>
      <c r="Q37" s="392"/>
      <c r="R37" s="392"/>
      <c r="S37" s="392"/>
      <c r="T37" s="392"/>
      <c r="U37" s="48"/>
    </row>
    <row r="38" spans="12:23" x14ac:dyDescent="0.2">
      <c r="M38" s="392"/>
      <c r="N38" s="392"/>
      <c r="O38" s="392"/>
      <c r="P38" s="392"/>
      <c r="Q38" s="392"/>
      <c r="R38" s="392"/>
      <c r="S38" s="392"/>
      <c r="T38" s="392"/>
      <c r="W38" s="5"/>
    </row>
    <row r="39" spans="12:23" x14ac:dyDescent="0.2">
      <c r="M39" s="392"/>
      <c r="N39" s="392"/>
      <c r="O39" s="392"/>
      <c r="P39" s="392"/>
      <c r="Q39" s="392"/>
      <c r="R39" s="392"/>
      <c r="S39" s="392"/>
      <c r="T39" s="392"/>
      <c r="W39" s="5"/>
    </row>
    <row r="40" spans="12:23" x14ac:dyDescent="0.2">
      <c r="M40" s="392"/>
      <c r="N40" s="392"/>
      <c r="O40" s="392"/>
      <c r="P40" s="392"/>
      <c r="Q40" s="392"/>
      <c r="R40" s="392"/>
      <c r="S40" s="392"/>
      <c r="T40" s="392"/>
      <c r="W40" s="5"/>
    </row>
    <row r="41" spans="12:23" x14ac:dyDescent="0.2">
      <c r="M41" s="392"/>
      <c r="N41" s="392"/>
      <c r="O41" s="392"/>
      <c r="P41" s="392"/>
      <c r="Q41" s="392"/>
      <c r="R41" s="392"/>
      <c r="S41" s="392"/>
      <c r="T41" s="392"/>
      <c r="W41" s="5"/>
    </row>
    <row r="42" spans="12:23" x14ac:dyDescent="0.2">
      <c r="M42" s="392"/>
      <c r="N42" s="392"/>
      <c r="O42" s="392"/>
      <c r="P42" s="392"/>
      <c r="Q42" s="392"/>
      <c r="R42" s="392"/>
      <c r="S42" s="392"/>
      <c r="T42" s="392"/>
      <c r="W42" s="5"/>
    </row>
    <row r="43" spans="12:23" x14ac:dyDescent="0.2">
      <c r="M43" s="41"/>
      <c r="N43" s="41"/>
      <c r="O43" s="41"/>
      <c r="P43" s="41"/>
      <c r="Q43" s="41"/>
      <c r="R43" s="41"/>
      <c r="S43" s="41"/>
      <c r="T43" s="41"/>
      <c r="W43" s="5"/>
    </row>
    <row r="44" spans="12:23" ht="19" x14ac:dyDescent="0.25">
      <c r="L44" s="3" t="s">
        <v>200</v>
      </c>
      <c r="W44" s="5"/>
    </row>
    <row r="45" spans="12:23" ht="16" customHeight="1" x14ac:dyDescent="0.2">
      <c r="L45" s="392" t="s">
        <v>202</v>
      </c>
      <c r="M45" s="392"/>
      <c r="N45" s="392"/>
      <c r="O45" s="392"/>
      <c r="P45" s="392"/>
      <c r="Q45" s="392"/>
      <c r="R45" s="392"/>
      <c r="S45" s="392"/>
      <c r="T45" s="48"/>
      <c r="V45" s="5"/>
    </row>
    <row r="46" spans="12:23" x14ac:dyDescent="0.2">
      <c r="L46" s="392"/>
      <c r="M46" s="392"/>
      <c r="N46" s="392"/>
      <c r="O46" s="392"/>
      <c r="P46" s="392"/>
      <c r="Q46" s="392"/>
      <c r="R46" s="392"/>
      <c r="S46" s="392"/>
    </row>
    <row r="48" spans="12:23" ht="19" x14ac:dyDescent="0.25">
      <c r="L48" s="3" t="s">
        <v>236</v>
      </c>
    </row>
    <row r="49" spans="12:12" x14ac:dyDescent="0.2">
      <c r="L49" s="104" t="s">
        <v>242</v>
      </c>
    </row>
    <row r="66" spans="12:14" x14ac:dyDescent="0.2">
      <c r="M66" s="40"/>
    </row>
    <row r="67" spans="12:14" x14ac:dyDescent="0.2">
      <c r="M67" s="5"/>
      <c r="N67" s="5"/>
    </row>
    <row r="68" spans="12:14" x14ac:dyDescent="0.2">
      <c r="M68" s="5"/>
      <c r="N68" s="5"/>
    </row>
    <row r="69" spans="12:14" x14ac:dyDescent="0.2">
      <c r="M69" s="5"/>
      <c r="N69" s="5"/>
    </row>
    <row r="70" spans="12:14" x14ac:dyDescent="0.2">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M76" s="40"/>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M86" s="40"/>
    </row>
    <row r="87" spans="12:14" x14ac:dyDescent="0.2">
      <c r="L87" s="5"/>
      <c r="M87" s="5"/>
      <c r="N87" s="5"/>
    </row>
    <row r="88" spans="12:14" x14ac:dyDescent="0.2">
      <c r="L88" s="5"/>
      <c r="M88" s="5"/>
      <c r="N88" s="5"/>
    </row>
    <row r="89" spans="12:14" x14ac:dyDescent="0.2">
      <c r="L89" s="5"/>
      <c r="M89" s="5"/>
      <c r="N89" s="5"/>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M96" s="40"/>
    </row>
    <row r="97" spans="1:65" x14ac:dyDescent="0.2">
      <c r="L97" s="5"/>
      <c r="M97" s="5"/>
      <c r="N97" s="5"/>
    </row>
    <row r="98" spans="1:65" x14ac:dyDescent="0.2">
      <c r="L98" s="5"/>
      <c r="M98" s="5"/>
      <c r="N98" s="5"/>
    </row>
    <row r="99" spans="1:65" x14ac:dyDescent="0.2">
      <c r="L99" s="5"/>
      <c r="M99" s="5"/>
      <c r="N99" s="5"/>
    </row>
    <row r="100" spans="1:65" x14ac:dyDescent="0.2">
      <c r="L100" s="5"/>
      <c r="M100" s="5"/>
      <c r="N100" s="5"/>
    </row>
    <row r="101" spans="1:65" x14ac:dyDescent="0.2">
      <c r="L101" s="5"/>
      <c r="M101" s="5"/>
      <c r="N101" s="5"/>
    </row>
    <row r="102" spans="1:65" x14ac:dyDescent="0.2">
      <c r="L102" s="5"/>
      <c r="M102" s="5"/>
      <c r="N102" s="5"/>
    </row>
    <row r="103" spans="1:65" x14ac:dyDescent="0.2">
      <c r="L103" s="5"/>
      <c r="M103" s="5"/>
      <c r="N103" s="5"/>
    </row>
    <row r="104" spans="1:65" x14ac:dyDescent="0.2">
      <c r="L104" s="5"/>
      <c r="M104" s="5"/>
      <c r="N104" s="5"/>
    </row>
    <row r="105" spans="1:65" x14ac:dyDescent="0.2">
      <c r="L105" s="5"/>
      <c r="M105" s="5"/>
      <c r="N105" s="5"/>
    </row>
    <row r="106" spans="1:65" x14ac:dyDescent="0.2">
      <c r="A106" s="5"/>
      <c r="B106" s="5"/>
      <c r="C106" s="5"/>
      <c r="D106" s="5"/>
      <c r="E106" s="5"/>
      <c r="F106" s="5"/>
      <c r="G106" s="5"/>
      <c r="H106" s="5"/>
      <c r="I106" s="5"/>
      <c r="J106" s="5"/>
      <c r="M106" s="40"/>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sheetData>
  <mergeCells count="4">
    <mergeCell ref="C5:H5"/>
    <mergeCell ref="A23:J23"/>
    <mergeCell ref="M37:T42"/>
    <mergeCell ref="L45:S4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M182"/>
  <sheetViews>
    <sheetView zoomScaleNormal="100" workbookViewId="0"/>
  </sheetViews>
  <sheetFormatPr baseColWidth="10" defaultColWidth="10.83203125" defaultRowHeight="16" outlineLevelCol="1" x14ac:dyDescent="0.2"/>
  <cols>
    <col min="1" max="1" width="4.6640625" style="39" customWidth="1"/>
    <col min="2" max="3" width="10.83203125" style="39" customWidth="1"/>
    <col min="4" max="10" width="10.83203125" style="39"/>
    <col min="11" max="11" width="11.5" style="39" bestFit="1" customWidth="1"/>
    <col min="12" max="14" width="10.83203125" style="39" hidden="1" customWidth="1" outlineLevel="1"/>
    <col min="15" max="15" width="12.5" style="39" hidden="1" customWidth="1" outlineLevel="1"/>
    <col min="16" max="20" width="10.83203125" style="39" hidden="1" customWidth="1" outlineLevel="1"/>
    <col min="21" max="21" width="10.83203125" style="39" collapsed="1"/>
    <col min="22" max="16384" width="10.83203125" style="39"/>
  </cols>
  <sheetData>
    <row r="1" spans="1:20" ht="19" x14ac:dyDescent="0.25">
      <c r="A1" s="1" t="s">
        <v>229</v>
      </c>
      <c r="B1" s="28"/>
      <c r="C1" s="36"/>
      <c r="D1" s="36"/>
      <c r="E1" s="36"/>
      <c r="F1" s="37"/>
      <c r="G1" s="37"/>
      <c r="H1" s="37"/>
      <c r="I1" s="37"/>
      <c r="J1" s="38"/>
      <c r="K1" s="3" t="s">
        <v>206</v>
      </c>
    </row>
    <row r="2" spans="1:20" x14ac:dyDescent="0.2">
      <c r="A2" s="2"/>
      <c r="B2" s="37"/>
      <c r="C2" s="37"/>
      <c r="D2" s="37"/>
      <c r="E2" s="37"/>
      <c r="F2" s="37"/>
      <c r="G2" s="37"/>
      <c r="H2" s="37"/>
      <c r="I2" s="37"/>
      <c r="J2" s="38"/>
      <c r="L2" s="15" t="s">
        <v>3</v>
      </c>
      <c r="N2" s="40"/>
    </row>
    <row r="3" spans="1:20" x14ac:dyDescent="0.2">
      <c r="A3" s="37" t="s">
        <v>0</v>
      </c>
      <c r="B3" s="37" t="s">
        <v>126</v>
      </c>
      <c r="C3" s="37"/>
      <c r="D3" s="37"/>
      <c r="E3" s="37"/>
      <c r="F3" s="37"/>
      <c r="G3" s="37"/>
      <c r="H3" s="37"/>
      <c r="I3" s="37"/>
      <c r="J3" s="38"/>
      <c r="M3" s="39" t="s">
        <v>129</v>
      </c>
    </row>
    <row r="4" spans="1:20" x14ac:dyDescent="0.2">
      <c r="A4" s="2"/>
      <c r="B4" s="37"/>
      <c r="C4" s="37"/>
      <c r="D4" s="37"/>
      <c r="E4" s="37"/>
      <c r="F4" s="37"/>
      <c r="G4" s="37"/>
      <c r="H4" s="37"/>
      <c r="I4" s="37"/>
      <c r="J4" s="38"/>
    </row>
    <row r="5" spans="1:20" x14ac:dyDescent="0.2">
      <c r="A5" s="37" t="s">
        <v>1</v>
      </c>
      <c r="B5" s="37" t="s">
        <v>127</v>
      </c>
      <c r="C5" s="37"/>
      <c r="D5" s="37"/>
      <c r="E5" s="37"/>
      <c r="F5" s="37"/>
      <c r="G5" s="37"/>
      <c r="H5" s="37"/>
      <c r="I5" s="37"/>
      <c r="J5" s="38"/>
      <c r="N5" s="39" t="s">
        <v>14</v>
      </c>
    </row>
    <row r="6" spans="1:20" x14ac:dyDescent="0.2">
      <c r="A6" s="2"/>
      <c r="B6" s="37" t="s">
        <v>128</v>
      </c>
      <c r="C6" s="37"/>
      <c r="D6" s="37"/>
      <c r="E6" s="37"/>
      <c r="F6" s="37"/>
      <c r="G6" s="37"/>
      <c r="H6" s="37"/>
      <c r="I6" s="37"/>
      <c r="J6" s="38"/>
    </row>
    <row r="7" spans="1:20" x14ac:dyDescent="0.2">
      <c r="A7" s="2"/>
      <c r="B7" s="37"/>
      <c r="C7" s="37"/>
      <c r="D7" s="37"/>
      <c r="E7" s="37"/>
      <c r="F7" s="37"/>
      <c r="G7" s="37"/>
      <c r="H7" s="37"/>
      <c r="I7" s="37"/>
      <c r="J7" s="38"/>
      <c r="M7" s="39" t="s">
        <v>130</v>
      </c>
    </row>
    <row r="8" spans="1:20" x14ac:dyDescent="0.2">
      <c r="A8" s="2"/>
      <c r="B8" s="37"/>
      <c r="C8" s="37"/>
      <c r="D8" s="37"/>
      <c r="E8" s="37"/>
      <c r="F8" s="37"/>
      <c r="G8" s="37"/>
      <c r="H8" s="37"/>
      <c r="I8" s="37"/>
      <c r="J8" s="38"/>
    </row>
    <row r="9" spans="1:20" ht="17" thickBot="1" x14ac:dyDescent="0.25">
      <c r="A9" s="2"/>
      <c r="B9" s="37"/>
      <c r="C9" s="37"/>
      <c r="D9" s="37"/>
      <c r="E9" s="37"/>
      <c r="F9" s="37"/>
      <c r="G9" s="37"/>
      <c r="H9" s="37"/>
      <c r="I9" s="37"/>
      <c r="J9" s="38"/>
      <c r="M9" s="39" t="s">
        <v>131</v>
      </c>
    </row>
    <row r="10" spans="1:20" ht="17" thickBot="1" x14ac:dyDescent="0.25">
      <c r="A10" s="394" t="s">
        <v>205</v>
      </c>
      <c r="B10" s="395"/>
      <c r="C10" s="395"/>
      <c r="D10" s="395"/>
      <c r="E10" s="395"/>
      <c r="F10" s="395"/>
      <c r="G10" s="395"/>
      <c r="H10" s="395"/>
      <c r="I10" s="395"/>
      <c r="J10" s="396"/>
    </row>
    <row r="11" spans="1:20" x14ac:dyDescent="0.2">
      <c r="N11" s="39" t="s">
        <v>140</v>
      </c>
    </row>
    <row r="12" spans="1:20" ht="19" x14ac:dyDescent="0.25">
      <c r="A12" s="3"/>
    </row>
    <row r="13" spans="1:20" x14ac:dyDescent="0.2">
      <c r="L13" s="15" t="s">
        <v>4</v>
      </c>
      <c r="N13" s="40"/>
    </row>
    <row r="14" spans="1:20" x14ac:dyDescent="0.2">
      <c r="M14" s="403" t="s">
        <v>713</v>
      </c>
      <c r="N14" s="392"/>
      <c r="O14" s="392"/>
      <c r="P14" s="392"/>
      <c r="Q14" s="392"/>
      <c r="R14" s="392"/>
      <c r="S14" s="392"/>
      <c r="T14" s="392"/>
    </row>
    <row r="15" spans="1:20" x14ac:dyDescent="0.2">
      <c r="M15" s="392"/>
      <c r="N15" s="392"/>
      <c r="O15" s="392"/>
      <c r="P15" s="392"/>
      <c r="Q15" s="392"/>
      <c r="R15" s="392"/>
      <c r="S15" s="392"/>
      <c r="T15" s="392"/>
    </row>
    <row r="17" spans="12:20" x14ac:dyDescent="0.2">
      <c r="M17" s="392" t="s">
        <v>218</v>
      </c>
      <c r="N17" s="392"/>
      <c r="O17" s="392"/>
      <c r="P17" s="392"/>
      <c r="Q17" s="392"/>
      <c r="R17" s="392"/>
      <c r="S17" s="392"/>
      <c r="T17" s="392"/>
    </row>
    <row r="18" spans="12:20" x14ac:dyDescent="0.2">
      <c r="M18" s="392"/>
      <c r="N18" s="392"/>
      <c r="O18" s="392"/>
      <c r="P18" s="392"/>
      <c r="Q18" s="392"/>
      <c r="R18" s="392"/>
      <c r="S18" s="392"/>
      <c r="T18" s="392"/>
    </row>
    <row r="20" spans="12:20" x14ac:dyDescent="0.2">
      <c r="M20" s="39" t="s">
        <v>132</v>
      </c>
    </row>
    <row r="21" spans="12:20" x14ac:dyDescent="0.2">
      <c r="M21" s="39" t="s">
        <v>133</v>
      </c>
      <c r="P21" s="90" t="s">
        <v>136</v>
      </c>
    </row>
    <row r="22" spans="12:20" x14ac:dyDescent="0.2">
      <c r="M22" s="39" t="s">
        <v>134</v>
      </c>
      <c r="P22" s="90" t="s">
        <v>138</v>
      </c>
    </row>
    <row r="23" spans="12:20" x14ac:dyDescent="0.2">
      <c r="M23" s="39" t="s">
        <v>135</v>
      </c>
      <c r="P23" s="90" t="s">
        <v>137</v>
      </c>
    </row>
    <row r="24" spans="12:20" x14ac:dyDescent="0.2">
      <c r="L24" s="15"/>
      <c r="N24" s="40"/>
    </row>
    <row r="25" spans="12:20" x14ac:dyDescent="0.2">
      <c r="M25" s="39" t="s">
        <v>139</v>
      </c>
    </row>
    <row r="26" spans="12:20" ht="16" customHeight="1" x14ac:dyDescent="0.2">
      <c r="L26" s="5"/>
    </row>
    <row r="27" spans="12:20" ht="19" x14ac:dyDescent="0.25">
      <c r="L27" s="3" t="s">
        <v>200</v>
      </c>
    </row>
    <row r="28" spans="12:20" x14ac:dyDescent="0.2">
      <c r="L28" s="392" t="s">
        <v>201</v>
      </c>
      <c r="M28" s="392"/>
      <c r="N28" s="392"/>
      <c r="O28" s="392"/>
      <c r="P28" s="392"/>
      <c r="Q28" s="392"/>
      <c r="R28" s="392"/>
      <c r="S28" s="392"/>
      <c r="T28" s="48"/>
    </row>
    <row r="29" spans="12:20" x14ac:dyDescent="0.2">
      <c r="L29" s="392"/>
      <c r="M29" s="392"/>
      <c r="N29" s="392"/>
      <c r="O29" s="392"/>
      <c r="P29" s="392"/>
      <c r="Q29" s="392"/>
      <c r="R29" s="392"/>
      <c r="S29" s="392"/>
    </row>
    <row r="40" spans="12:14" x14ac:dyDescent="0.2">
      <c r="M40" s="40"/>
    </row>
    <row r="41" spans="12:14" x14ac:dyDescent="0.2">
      <c r="L41" s="5"/>
      <c r="M41" s="5"/>
      <c r="N41" s="5"/>
    </row>
    <row r="42" spans="12:14" x14ac:dyDescent="0.2">
      <c r="L42" s="5"/>
      <c r="M42" s="5"/>
      <c r="N42" s="5"/>
    </row>
    <row r="43" spans="12:14" x14ac:dyDescent="0.2">
      <c r="L43" s="5"/>
      <c r="M43" s="5"/>
      <c r="N43" s="5"/>
    </row>
    <row r="44" spans="12:14" x14ac:dyDescent="0.2">
      <c r="L44" s="5"/>
      <c r="M44" s="5"/>
      <c r="N44" s="5"/>
    </row>
    <row r="45" spans="12:14" x14ac:dyDescent="0.2">
      <c r="L45" s="5"/>
      <c r="M45" s="5"/>
      <c r="N45" s="5"/>
    </row>
    <row r="46" spans="12:14" x14ac:dyDescent="0.2">
      <c r="L46" s="5"/>
      <c r="M46" s="5"/>
      <c r="N46" s="5"/>
    </row>
    <row r="47" spans="12:14" x14ac:dyDescent="0.2">
      <c r="L47" s="5"/>
      <c r="M47" s="5"/>
      <c r="N47" s="5"/>
    </row>
    <row r="48" spans="12:14" x14ac:dyDescent="0.2">
      <c r="L48" s="5"/>
      <c r="M48" s="5"/>
      <c r="N48" s="5"/>
    </row>
    <row r="49" spans="12:14" x14ac:dyDescent="0.2">
      <c r="L49" s="5"/>
      <c r="M49" s="5"/>
      <c r="N49" s="5"/>
    </row>
    <row r="50" spans="12:14" x14ac:dyDescent="0.2">
      <c r="M50" s="40"/>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M60" s="40"/>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L69" s="5"/>
      <c r="M69" s="5"/>
      <c r="N69" s="5"/>
    </row>
    <row r="70" spans="1:65" x14ac:dyDescent="0.2">
      <c r="M70" s="40"/>
    </row>
    <row r="71" spans="1:65" x14ac:dyDescent="0.2">
      <c r="L71" s="5"/>
      <c r="M71" s="5"/>
      <c r="N71" s="5"/>
    </row>
    <row r="72" spans="1:65" x14ac:dyDescent="0.2">
      <c r="L72" s="5"/>
      <c r="M72" s="5"/>
      <c r="N72" s="5"/>
    </row>
    <row r="73" spans="1:65" x14ac:dyDescent="0.2">
      <c r="L73" s="5"/>
      <c r="M73" s="5"/>
      <c r="N73" s="5"/>
    </row>
    <row r="74" spans="1:65" x14ac:dyDescent="0.2">
      <c r="L74" s="5"/>
      <c r="M74" s="5"/>
      <c r="N74" s="5"/>
    </row>
    <row r="75" spans="1:65" x14ac:dyDescent="0.2">
      <c r="L75" s="5"/>
      <c r="M75" s="5"/>
      <c r="N75" s="5"/>
    </row>
    <row r="76" spans="1:65" x14ac:dyDescent="0.2">
      <c r="L76" s="5"/>
      <c r="M76" s="5"/>
      <c r="N76" s="5"/>
    </row>
    <row r="77" spans="1:65" x14ac:dyDescent="0.2">
      <c r="A77" s="5"/>
      <c r="B77" s="5"/>
      <c r="C77" s="5"/>
      <c r="D77" s="5"/>
      <c r="E77" s="5"/>
      <c r="F77" s="5"/>
      <c r="G77" s="5"/>
      <c r="H77" s="5"/>
      <c r="I77" s="5"/>
      <c r="J77" s="5"/>
      <c r="L77" s="5"/>
      <c r="M77" s="5"/>
      <c r="N77" s="5"/>
    </row>
    <row r="78" spans="1:65" x14ac:dyDescent="0.2">
      <c r="A78" s="5"/>
      <c r="B78" s="5"/>
      <c r="C78" s="5"/>
      <c r="D78" s="5"/>
      <c r="E78" s="5"/>
      <c r="F78" s="5"/>
      <c r="G78" s="5"/>
      <c r="H78" s="5"/>
      <c r="I78" s="5"/>
      <c r="J78" s="5"/>
      <c r="L78" s="5"/>
      <c r="M78" s="5"/>
      <c r="N78" s="5"/>
    </row>
    <row r="79" spans="1:65" x14ac:dyDescent="0.2">
      <c r="A79" s="5"/>
      <c r="B79" s="5"/>
      <c r="C79" s="5"/>
      <c r="D79" s="5"/>
      <c r="E79" s="5"/>
      <c r="F79" s="5"/>
      <c r="G79" s="5"/>
      <c r="H79" s="5"/>
      <c r="I79" s="5"/>
      <c r="J79" s="5"/>
      <c r="K79" s="5"/>
      <c r="L79" s="5"/>
      <c r="M79" s="5"/>
      <c r="N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M80" s="40"/>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L181" s="5"/>
      <c r="M181" s="5"/>
      <c r="N181" s="5"/>
      <c r="O181" s="5"/>
      <c r="P181" s="5"/>
      <c r="Q181" s="5"/>
      <c r="R181" s="5"/>
      <c r="S181" s="5"/>
      <c r="T181" s="5"/>
    </row>
    <row r="182" spans="1:65" x14ac:dyDescent="0.2">
      <c r="L182" s="5"/>
      <c r="M182" s="5"/>
      <c r="N182" s="5"/>
      <c r="O182" s="5"/>
      <c r="P182" s="5"/>
      <c r="Q182" s="5"/>
      <c r="R182" s="5"/>
      <c r="S182" s="5"/>
      <c r="T182" s="5"/>
    </row>
  </sheetData>
  <mergeCells count="4">
    <mergeCell ref="A10:J10"/>
    <mergeCell ref="M14:T15"/>
    <mergeCell ref="M17:T18"/>
    <mergeCell ref="L28:S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M200"/>
  <sheetViews>
    <sheetView zoomScaleNormal="100" workbookViewId="0"/>
  </sheetViews>
  <sheetFormatPr baseColWidth="10" defaultColWidth="10.83203125" defaultRowHeight="16" outlineLevelCol="1" x14ac:dyDescent="0.2"/>
  <cols>
    <col min="1" max="1" width="4.6640625" style="39" customWidth="1"/>
    <col min="2" max="2" width="10.83203125" style="39"/>
    <col min="3" max="3" width="10.83203125" style="39" customWidth="1"/>
    <col min="4" max="6" width="10.83203125" style="39"/>
    <col min="7" max="8" width="10.83203125" style="39" customWidth="1"/>
    <col min="9" max="10" width="10.83203125" style="39"/>
    <col min="11" max="11" width="11.5" style="39" bestFit="1" customWidth="1"/>
    <col min="12" max="18" width="10.83203125" style="39" hidden="1" customWidth="1" outlineLevel="1"/>
    <col min="19" max="19" width="14.1640625" style="39" hidden="1" customWidth="1" outlineLevel="1"/>
    <col min="20" max="20" width="10.83203125" style="39" hidden="1" customWidth="1" outlineLevel="1"/>
    <col min="21" max="21" width="10.83203125" style="39" collapsed="1"/>
    <col min="22" max="16384" width="10.83203125" style="39"/>
  </cols>
  <sheetData>
    <row r="1" spans="1:19" ht="19" x14ac:dyDescent="0.25">
      <c r="A1" s="1" t="s">
        <v>230</v>
      </c>
      <c r="B1" s="28"/>
      <c r="C1" s="36"/>
      <c r="D1" s="36"/>
      <c r="E1" s="36"/>
      <c r="F1" s="37"/>
      <c r="G1" s="37"/>
      <c r="H1" s="37"/>
      <c r="I1" s="37"/>
      <c r="J1" s="38"/>
      <c r="K1" s="3" t="s">
        <v>206</v>
      </c>
    </row>
    <row r="2" spans="1:19" x14ac:dyDescent="0.2">
      <c r="A2" s="2"/>
      <c r="B2" s="37"/>
      <c r="C2" s="37"/>
      <c r="D2" s="37"/>
      <c r="E2" s="37"/>
      <c r="F2" s="37"/>
      <c r="G2" s="37"/>
      <c r="H2" s="37"/>
      <c r="I2" s="37"/>
      <c r="J2" s="38"/>
      <c r="L2" s="15" t="s">
        <v>3</v>
      </c>
      <c r="N2" s="40"/>
    </row>
    <row r="3" spans="1:19" x14ac:dyDescent="0.2">
      <c r="A3" s="2"/>
      <c r="B3" s="37" t="s">
        <v>21</v>
      </c>
      <c r="C3" s="37"/>
      <c r="D3" s="37"/>
      <c r="E3" s="37"/>
      <c r="F3" s="37"/>
      <c r="G3" s="37"/>
      <c r="H3" s="37"/>
      <c r="I3" s="37"/>
      <c r="J3" s="38"/>
      <c r="M3" s="39" t="s">
        <v>146</v>
      </c>
      <c r="Q3" s="39" t="s">
        <v>152</v>
      </c>
    </row>
    <row r="4" spans="1:19" x14ac:dyDescent="0.2">
      <c r="A4" s="2"/>
      <c r="B4" s="37"/>
      <c r="C4" s="37"/>
      <c r="D4" s="37"/>
      <c r="E4" s="37"/>
      <c r="F4" s="37"/>
      <c r="G4" s="37"/>
      <c r="H4" s="37"/>
      <c r="I4" s="37"/>
      <c r="J4" s="38"/>
      <c r="R4" s="408" t="s">
        <v>151</v>
      </c>
      <c r="S4" s="406" t="s">
        <v>245</v>
      </c>
    </row>
    <row r="5" spans="1:19" x14ac:dyDescent="0.2">
      <c r="A5" s="2"/>
      <c r="B5" s="37"/>
      <c r="C5" s="393" t="s">
        <v>141</v>
      </c>
      <c r="D5" s="393"/>
      <c r="E5" s="393"/>
      <c r="F5" s="37"/>
      <c r="G5" s="37"/>
      <c r="H5" s="37"/>
      <c r="I5" s="37"/>
      <c r="J5" s="38"/>
      <c r="M5" s="86" t="s">
        <v>19</v>
      </c>
      <c r="N5" s="87" t="s">
        <v>147</v>
      </c>
      <c r="O5" s="88"/>
      <c r="P5" s="88"/>
      <c r="Q5" s="86" t="s">
        <v>153</v>
      </c>
      <c r="R5" s="407"/>
      <c r="S5" s="407"/>
    </row>
    <row r="6" spans="1:19" x14ac:dyDescent="0.2">
      <c r="A6" s="2"/>
      <c r="B6" s="37"/>
      <c r="C6" s="404" t="s">
        <v>7</v>
      </c>
      <c r="D6" s="35"/>
      <c r="E6" s="35"/>
      <c r="F6" s="37"/>
      <c r="G6" s="37"/>
      <c r="H6" s="37"/>
      <c r="I6" s="37"/>
      <c r="J6" s="38"/>
      <c r="M6" s="60">
        <v>2011</v>
      </c>
      <c r="N6" s="89">
        <f>E8/D8</f>
        <v>2.064516129032258</v>
      </c>
      <c r="Q6" s="60">
        <f>D8</f>
        <v>310</v>
      </c>
      <c r="R6" s="89">
        <f>(E8-Q6*$N$13)/SQRT(Q6)</f>
        <v>6.4059913005553319</v>
      </c>
      <c r="S6" s="89">
        <f>(E8-Q6*$N$14)/Q6</f>
        <v>0.32836029817596624</v>
      </c>
    </row>
    <row r="7" spans="1:19" ht="17" x14ac:dyDescent="0.2">
      <c r="A7" s="2"/>
      <c r="B7" s="37"/>
      <c r="C7" s="405"/>
      <c r="D7" s="30" t="s">
        <v>8</v>
      </c>
      <c r="E7" s="30" t="s">
        <v>9</v>
      </c>
      <c r="F7" s="37"/>
      <c r="G7" s="37"/>
      <c r="H7" s="37"/>
      <c r="I7" s="37"/>
      <c r="J7" s="38"/>
      <c r="M7" s="60">
        <v>2012</v>
      </c>
      <c r="N7" s="89">
        <f>E9/D9</f>
        <v>1.6222222222222222</v>
      </c>
      <c r="Q7" s="60">
        <f>D9</f>
        <v>450</v>
      </c>
      <c r="R7" s="89">
        <f>(E9-Q7*$N$13)/SQRT(Q7)</f>
        <v>-1.6643465734050678</v>
      </c>
      <c r="S7" s="89">
        <f>(E9-Q7*$N$14)/Q7</f>
        <v>-0.11393360863406947</v>
      </c>
    </row>
    <row r="8" spans="1:19" x14ac:dyDescent="0.2">
      <c r="A8" s="2"/>
      <c r="B8" s="37"/>
      <c r="C8" s="22">
        <v>2011</v>
      </c>
      <c r="D8" s="7">
        <v>310</v>
      </c>
      <c r="E8" s="7">
        <v>640</v>
      </c>
      <c r="F8" s="37"/>
      <c r="G8" s="37"/>
      <c r="H8" s="37"/>
      <c r="I8" s="37"/>
      <c r="J8" s="38"/>
      <c r="M8" s="60">
        <v>2013</v>
      </c>
      <c r="N8" s="89">
        <f>E10/D10</f>
        <v>1.7272727272727273</v>
      </c>
      <c r="Q8" s="60">
        <f>D10</f>
        <v>220</v>
      </c>
      <c r="R8" s="89">
        <f>(E10-Q8*$N$13)/SQRT(Q8)</f>
        <v>0.39442985150910992</v>
      </c>
      <c r="S8" s="89">
        <f>(E10-Q8*$N$14)/Q8</f>
        <v>-8.8831035835643096E-3</v>
      </c>
    </row>
    <row r="9" spans="1:19" x14ac:dyDescent="0.2">
      <c r="A9" s="2"/>
      <c r="B9" s="37"/>
      <c r="C9" s="22">
        <v>2012</v>
      </c>
      <c r="D9" s="7">
        <v>450</v>
      </c>
      <c r="E9" s="7">
        <v>730</v>
      </c>
      <c r="F9" s="37"/>
      <c r="G9" s="37"/>
      <c r="H9" s="37"/>
      <c r="I9" s="37"/>
      <c r="J9" s="38"/>
      <c r="M9" s="60">
        <v>2014</v>
      </c>
      <c r="N9" s="89">
        <f>E11/D11</f>
        <v>1.5306122448979591</v>
      </c>
      <c r="Q9" s="60">
        <f>D11</f>
        <v>490</v>
      </c>
      <c r="R9" s="89">
        <f>(E11-Q9*$N$13)/SQRT(Q9)</f>
        <v>-3.7646162621052102</v>
      </c>
      <c r="S9" s="89">
        <f>(E11-Q9*$N$14)/Q9</f>
        <v>-0.20554358595833241</v>
      </c>
    </row>
    <row r="10" spans="1:19" x14ac:dyDescent="0.2">
      <c r="A10" s="2"/>
      <c r="B10" s="37"/>
      <c r="C10" s="22">
        <v>2013</v>
      </c>
      <c r="D10" s="7">
        <v>220</v>
      </c>
      <c r="E10" s="7">
        <v>380</v>
      </c>
      <c r="F10" s="37"/>
      <c r="G10" s="37"/>
      <c r="H10" s="37"/>
      <c r="I10" s="37"/>
      <c r="J10" s="38"/>
    </row>
    <row r="11" spans="1:19" x14ac:dyDescent="0.2">
      <c r="A11" s="2"/>
      <c r="B11" s="37"/>
      <c r="C11" s="22">
        <v>2014</v>
      </c>
      <c r="D11" s="7">
        <v>490</v>
      </c>
      <c r="E11" s="7">
        <v>750</v>
      </c>
      <c r="F11" s="37"/>
      <c r="G11" s="37"/>
      <c r="H11" s="37"/>
      <c r="I11" s="37"/>
      <c r="J11" s="38"/>
      <c r="M11" s="39" t="s">
        <v>148</v>
      </c>
    </row>
    <row r="12" spans="1:19" x14ac:dyDescent="0.2">
      <c r="A12" s="2"/>
      <c r="B12" s="37"/>
      <c r="C12" s="22">
        <v>2015</v>
      </c>
      <c r="D12" s="7">
        <v>190</v>
      </c>
      <c r="E12" s="7"/>
      <c r="F12" s="37"/>
      <c r="G12" s="37"/>
      <c r="H12" s="37"/>
      <c r="I12" s="37"/>
      <c r="J12" s="38"/>
    </row>
    <row r="13" spans="1:19" x14ac:dyDescent="0.2">
      <c r="A13" s="2"/>
      <c r="B13" s="37"/>
      <c r="C13" s="37"/>
      <c r="D13" s="37"/>
      <c r="E13" s="37"/>
      <c r="F13" s="37"/>
      <c r="G13" s="37"/>
      <c r="H13" s="37"/>
      <c r="I13" s="37"/>
      <c r="J13" s="38"/>
      <c r="M13" s="52" t="s">
        <v>149</v>
      </c>
      <c r="N13" s="89">
        <f>SUM(E8:E11)/SUM(D8:D11)</f>
        <v>1.7006802721088434</v>
      </c>
      <c r="O13" s="39" t="s">
        <v>155</v>
      </c>
    </row>
    <row r="14" spans="1:19" x14ac:dyDescent="0.2">
      <c r="A14" s="2"/>
      <c r="B14" s="37"/>
      <c r="C14" s="37"/>
      <c r="D14" s="37"/>
      <c r="E14" s="37"/>
      <c r="F14" s="37"/>
      <c r="G14" s="37"/>
      <c r="H14" s="37"/>
      <c r="I14" s="37"/>
      <c r="J14" s="38"/>
      <c r="M14" s="52" t="s">
        <v>150</v>
      </c>
      <c r="N14" s="89">
        <f>AVERAGE(N6:N9)</f>
        <v>1.7361558308562917</v>
      </c>
      <c r="O14" s="39" t="s">
        <v>154</v>
      </c>
    </row>
    <row r="15" spans="1:19" x14ac:dyDescent="0.2">
      <c r="A15" s="37" t="s">
        <v>0</v>
      </c>
      <c r="B15" s="37" t="s">
        <v>142</v>
      </c>
      <c r="C15" s="37"/>
      <c r="D15" s="37"/>
      <c r="E15" s="37"/>
      <c r="F15" s="37"/>
      <c r="G15" s="37"/>
      <c r="H15" s="37"/>
      <c r="I15" s="37"/>
      <c r="J15" s="38"/>
    </row>
    <row r="16" spans="1:19" x14ac:dyDescent="0.2">
      <c r="A16" s="2"/>
      <c r="B16" s="37" t="s">
        <v>143</v>
      </c>
      <c r="C16" s="37"/>
      <c r="D16" s="37"/>
      <c r="E16" s="37"/>
      <c r="F16" s="37"/>
      <c r="G16" s="37"/>
      <c r="H16" s="37"/>
      <c r="I16" s="37"/>
      <c r="J16" s="38"/>
    </row>
    <row r="17" spans="1:20" x14ac:dyDescent="0.2">
      <c r="A17" s="2"/>
      <c r="B17" s="37"/>
      <c r="C17" s="37"/>
      <c r="D17" s="37"/>
      <c r="E17" s="37"/>
      <c r="F17" s="37"/>
      <c r="G17" s="37"/>
      <c r="H17" s="37"/>
      <c r="I17" s="37"/>
      <c r="J17" s="38"/>
      <c r="L17" s="15" t="s">
        <v>4</v>
      </c>
      <c r="N17" s="40"/>
    </row>
    <row r="18" spans="1:20" x14ac:dyDescent="0.2">
      <c r="A18" s="2"/>
      <c r="B18" s="388" t="s">
        <v>714</v>
      </c>
      <c r="C18" s="37"/>
      <c r="D18" s="37"/>
      <c r="E18" s="37"/>
      <c r="F18" s="37"/>
      <c r="G18" s="37"/>
      <c r="H18" s="37"/>
      <c r="I18" s="37"/>
      <c r="J18" s="38"/>
      <c r="M18" s="4"/>
    </row>
    <row r="19" spans="1:20" x14ac:dyDescent="0.2">
      <c r="A19" s="2"/>
      <c r="B19" s="37" t="s">
        <v>144</v>
      </c>
      <c r="C19" s="37"/>
      <c r="D19" s="37"/>
      <c r="E19" s="37"/>
      <c r="F19" s="37"/>
      <c r="G19" s="37"/>
      <c r="H19" s="37"/>
      <c r="I19" s="37"/>
      <c r="J19" s="38"/>
    </row>
    <row r="20" spans="1:20" x14ac:dyDescent="0.2">
      <c r="A20" s="2"/>
      <c r="B20" s="37"/>
      <c r="C20" s="37"/>
      <c r="D20" s="37"/>
      <c r="E20" s="37"/>
      <c r="F20" s="37"/>
      <c r="G20" s="37"/>
      <c r="H20" s="37"/>
      <c r="I20" s="37"/>
      <c r="J20" s="38"/>
    </row>
    <row r="21" spans="1:20" x14ac:dyDescent="0.2">
      <c r="A21" s="37" t="s">
        <v>1</v>
      </c>
      <c r="B21" s="37" t="s">
        <v>145</v>
      </c>
      <c r="C21" s="37"/>
      <c r="D21" s="37"/>
      <c r="E21" s="37"/>
      <c r="F21" s="37"/>
      <c r="G21" s="37"/>
      <c r="H21" s="37"/>
      <c r="I21" s="37"/>
      <c r="J21" s="38"/>
    </row>
    <row r="22" spans="1:20" x14ac:dyDescent="0.2">
      <c r="A22" s="2"/>
      <c r="B22" s="37"/>
      <c r="C22" s="37"/>
      <c r="D22" s="37"/>
      <c r="E22" s="37"/>
      <c r="F22" s="37"/>
      <c r="G22" s="37"/>
      <c r="H22" s="37"/>
      <c r="I22" s="37"/>
      <c r="J22" s="38"/>
    </row>
    <row r="23" spans="1:20" ht="17" thickBot="1" x14ac:dyDescent="0.25">
      <c r="A23" s="2"/>
      <c r="B23" s="37"/>
      <c r="C23" s="37"/>
      <c r="D23" s="37"/>
      <c r="E23" s="37"/>
      <c r="F23" s="37"/>
      <c r="G23" s="37"/>
      <c r="H23" s="37"/>
      <c r="I23" s="37"/>
      <c r="J23" s="38"/>
    </row>
    <row r="24" spans="1:20" ht="17" thickBot="1" x14ac:dyDescent="0.25">
      <c r="A24" s="394" t="s">
        <v>205</v>
      </c>
      <c r="B24" s="395"/>
      <c r="C24" s="395"/>
      <c r="D24" s="395"/>
      <c r="E24" s="395"/>
      <c r="F24" s="395"/>
      <c r="G24" s="395"/>
      <c r="H24" s="395"/>
      <c r="I24" s="395"/>
      <c r="J24" s="396"/>
    </row>
    <row r="26" spans="1:20" ht="19" x14ac:dyDescent="0.25">
      <c r="A26" s="3"/>
    </row>
    <row r="28" spans="1:20" x14ac:dyDescent="0.2">
      <c r="L28" s="15"/>
    </row>
    <row r="32" spans="1:20" x14ac:dyDescent="0.2">
      <c r="M32" s="392" t="s">
        <v>156</v>
      </c>
      <c r="N32" s="392"/>
      <c r="O32" s="392"/>
      <c r="P32" s="392"/>
      <c r="Q32" s="392"/>
      <c r="R32" s="392"/>
      <c r="S32" s="392"/>
      <c r="T32" s="392"/>
    </row>
    <row r="33" spans="12:20" x14ac:dyDescent="0.2">
      <c r="M33" s="392"/>
      <c r="N33" s="392"/>
      <c r="O33" s="392"/>
      <c r="P33" s="392"/>
      <c r="Q33" s="392"/>
      <c r="R33" s="392"/>
      <c r="S33" s="392"/>
      <c r="T33" s="392"/>
    </row>
    <row r="35" spans="12:20" ht="19" x14ac:dyDescent="0.25">
      <c r="L35" s="3" t="s">
        <v>200</v>
      </c>
    </row>
    <row r="36" spans="12:20" ht="16" customHeight="1" x14ac:dyDescent="0.2">
      <c r="L36" s="401" t="s">
        <v>247</v>
      </c>
      <c r="M36" s="392"/>
      <c r="N36" s="392"/>
      <c r="O36" s="392"/>
      <c r="P36" s="392"/>
      <c r="Q36" s="392"/>
      <c r="R36" s="392"/>
      <c r="S36" s="392"/>
      <c r="T36" s="48"/>
    </row>
    <row r="37" spans="12:20" ht="16" customHeight="1" x14ac:dyDescent="0.2">
      <c r="L37" s="392"/>
      <c r="M37" s="392"/>
      <c r="N37" s="392"/>
      <c r="O37" s="392"/>
      <c r="P37" s="392"/>
      <c r="Q37" s="392"/>
      <c r="R37" s="392"/>
      <c r="S37" s="392"/>
      <c r="T37" s="48"/>
    </row>
    <row r="38" spans="12:20" ht="16" customHeight="1" x14ac:dyDescent="0.2">
      <c r="L38" s="392"/>
      <c r="M38" s="392"/>
      <c r="N38" s="392"/>
      <c r="O38" s="392"/>
      <c r="P38" s="392"/>
      <c r="Q38" s="392"/>
      <c r="R38" s="392"/>
      <c r="S38" s="392"/>
      <c r="T38" s="48"/>
    </row>
    <row r="39" spans="12:20" ht="16" customHeight="1" x14ac:dyDescent="0.2">
      <c r="L39" s="392"/>
      <c r="M39" s="392"/>
      <c r="N39" s="392"/>
      <c r="O39" s="392"/>
      <c r="P39" s="392"/>
      <c r="Q39" s="392"/>
      <c r="R39" s="392"/>
      <c r="S39" s="392"/>
      <c r="T39" s="48"/>
    </row>
    <row r="40" spans="12:20" x14ac:dyDescent="0.2">
      <c r="L40" s="392"/>
      <c r="M40" s="392"/>
      <c r="N40" s="392"/>
      <c r="O40" s="392"/>
      <c r="P40" s="392"/>
      <c r="Q40" s="392"/>
      <c r="R40" s="392"/>
      <c r="S40" s="392"/>
    </row>
    <row r="41" spans="12:20" x14ac:dyDescent="0.2">
      <c r="L41" s="41"/>
      <c r="M41" s="41"/>
      <c r="N41" s="41"/>
      <c r="O41" s="41"/>
      <c r="P41" s="41"/>
      <c r="Q41" s="41"/>
      <c r="R41" s="41"/>
      <c r="S41" s="41"/>
    </row>
    <row r="42" spans="12:20" ht="16" customHeight="1" x14ac:dyDescent="0.2">
      <c r="L42" s="392" t="s">
        <v>204</v>
      </c>
      <c r="M42" s="392"/>
      <c r="N42" s="392"/>
      <c r="O42" s="392"/>
      <c r="P42" s="392"/>
      <c r="Q42" s="392"/>
      <c r="R42" s="392"/>
      <c r="S42" s="392"/>
      <c r="T42" s="48"/>
    </row>
    <row r="43" spans="12:20" x14ac:dyDescent="0.2">
      <c r="L43" s="392"/>
      <c r="M43" s="392"/>
      <c r="N43" s="392"/>
      <c r="O43" s="392"/>
      <c r="P43" s="392"/>
      <c r="Q43" s="392"/>
      <c r="R43" s="392"/>
      <c r="S43" s="392"/>
    </row>
    <row r="44" spans="12:20" x14ac:dyDescent="0.2">
      <c r="L44" s="5"/>
    </row>
    <row r="45" spans="12:20" ht="19" x14ac:dyDescent="0.25">
      <c r="L45" s="3" t="s">
        <v>236</v>
      </c>
    </row>
    <row r="46" spans="12:20" x14ac:dyDescent="0.2">
      <c r="L46" s="104" t="s">
        <v>237</v>
      </c>
    </row>
    <row r="58" spans="12:14" x14ac:dyDescent="0.2">
      <c r="M58" s="40"/>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M68" s="40"/>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M78" s="40"/>
    </row>
    <row r="79" spans="12:14" x14ac:dyDescent="0.2">
      <c r="L79" s="5"/>
      <c r="M79" s="5"/>
      <c r="N79" s="5"/>
    </row>
    <row r="80" spans="12: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M88" s="40"/>
    </row>
    <row r="89" spans="12:14" x14ac:dyDescent="0.2">
      <c r="L89" s="5"/>
      <c r="M89" s="5"/>
      <c r="N89" s="5"/>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M98" s="40"/>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sheetData>
  <mergeCells count="8">
    <mergeCell ref="C5:E5"/>
    <mergeCell ref="A24:J24"/>
    <mergeCell ref="M32:T33"/>
    <mergeCell ref="L36:S40"/>
    <mergeCell ref="L42:S43"/>
    <mergeCell ref="C6:C7"/>
    <mergeCell ref="S4:S5"/>
    <mergeCell ref="R4:R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dimension ref="A1:BM158"/>
  <sheetViews>
    <sheetView zoomScaleNormal="100" workbookViewId="0"/>
  </sheetViews>
  <sheetFormatPr baseColWidth="10" defaultColWidth="10.83203125" defaultRowHeight="16" outlineLevelCol="1" x14ac:dyDescent="0.2"/>
  <cols>
    <col min="1" max="1" width="4.6640625" style="39" customWidth="1"/>
    <col min="2" max="2" width="10.83203125" style="39"/>
    <col min="3" max="3" width="10.83203125" style="39" customWidth="1"/>
    <col min="4" max="9" width="10.83203125" style="39"/>
    <col min="10" max="10" width="10.83203125" style="39" customWidth="1"/>
    <col min="11" max="11" width="11.5" style="39" bestFit="1" customWidth="1"/>
    <col min="12" max="19" width="10.83203125" style="39" hidden="1" customWidth="1" outlineLevel="1"/>
    <col min="20" max="20" width="10.83203125" style="39" collapsed="1"/>
    <col min="21" max="16384" width="10.83203125" style="39"/>
  </cols>
  <sheetData>
    <row r="1" spans="1:19" ht="19" x14ac:dyDescent="0.25">
      <c r="A1" s="1" t="s">
        <v>231</v>
      </c>
      <c r="B1" s="28"/>
      <c r="C1" s="36"/>
      <c r="D1" s="36"/>
      <c r="E1" s="36"/>
      <c r="F1" s="37"/>
      <c r="G1" s="37"/>
      <c r="H1" s="37"/>
      <c r="I1" s="37"/>
      <c r="J1" s="38"/>
      <c r="K1" s="3" t="s">
        <v>206</v>
      </c>
    </row>
    <row r="2" spans="1:19" x14ac:dyDescent="0.2">
      <c r="A2" s="2"/>
      <c r="B2" s="37"/>
      <c r="C2" s="37"/>
      <c r="D2" s="37"/>
      <c r="E2" s="37"/>
      <c r="F2" s="37"/>
      <c r="G2" s="37"/>
      <c r="H2" s="37"/>
      <c r="I2" s="37"/>
      <c r="J2" s="38"/>
      <c r="L2" s="15" t="s">
        <v>97</v>
      </c>
    </row>
    <row r="3" spans="1:19" x14ac:dyDescent="0.2">
      <c r="A3" s="2"/>
      <c r="B3" s="37" t="s">
        <v>21</v>
      </c>
      <c r="C3" s="37"/>
      <c r="D3" s="37"/>
      <c r="E3" s="37"/>
      <c r="F3" s="37"/>
      <c r="G3" s="37"/>
      <c r="H3" s="37"/>
      <c r="I3" s="37"/>
      <c r="J3" s="38"/>
    </row>
    <row r="4" spans="1:19" x14ac:dyDescent="0.2">
      <c r="A4" s="2"/>
      <c r="B4" s="37"/>
      <c r="C4" s="37"/>
      <c r="D4" s="37"/>
      <c r="E4" s="37"/>
      <c r="F4" s="37"/>
      <c r="G4" s="37"/>
      <c r="H4" s="37"/>
      <c r="I4" s="37"/>
      <c r="J4" s="38"/>
      <c r="L4" s="43" t="s">
        <v>19</v>
      </c>
      <c r="M4" s="80">
        <v>1</v>
      </c>
      <c r="N4" s="80">
        <v>2</v>
      </c>
      <c r="O4" s="80">
        <v>3</v>
      </c>
    </row>
    <row r="5" spans="1:19" x14ac:dyDescent="0.2">
      <c r="A5" s="2"/>
      <c r="B5" s="37"/>
      <c r="C5" s="393" t="s">
        <v>157</v>
      </c>
      <c r="D5" s="393"/>
      <c r="E5" s="393"/>
      <c r="F5" s="393"/>
      <c r="G5" s="393"/>
      <c r="H5" s="37"/>
      <c r="I5" s="37"/>
      <c r="J5" s="38"/>
      <c r="L5" s="60">
        <v>1</v>
      </c>
      <c r="M5" s="40">
        <f>E7/D7</f>
        <v>1.8374125874125875</v>
      </c>
      <c r="N5" s="40">
        <f>F7/E7</f>
        <v>1.4205518553758325</v>
      </c>
      <c r="O5" s="40">
        <f>G7/F7</f>
        <v>1.0582719356999331</v>
      </c>
      <c r="P5" s="40"/>
      <c r="Q5" s="40"/>
      <c r="R5" s="40"/>
      <c r="S5" s="40"/>
    </row>
    <row r="6" spans="1:19" ht="34" x14ac:dyDescent="0.2">
      <c r="A6" s="2"/>
      <c r="B6" s="37"/>
      <c r="C6" s="21" t="s">
        <v>7</v>
      </c>
      <c r="D6" s="20" t="s">
        <v>8</v>
      </c>
      <c r="E6" s="20" t="s">
        <v>9</v>
      </c>
      <c r="F6" s="20" t="s">
        <v>70</v>
      </c>
      <c r="G6" s="20" t="s">
        <v>71</v>
      </c>
      <c r="H6" s="37"/>
      <c r="I6" s="37"/>
      <c r="J6" s="38"/>
      <c r="L6" s="60">
        <v>2</v>
      </c>
      <c r="M6" s="40">
        <f>E8/D8</f>
        <v>1.5994194484760522</v>
      </c>
      <c r="N6" s="40">
        <f>F8/E8</f>
        <v>1.3021778584392014</v>
      </c>
      <c r="O6" s="40"/>
      <c r="P6" s="40"/>
      <c r="Q6" s="40"/>
      <c r="R6" s="40"/>
    </row>
    <row r="7" spans="1:19" x14ac:dyDescent="0.2">
      <c r="A7" s="2"/>
      <c r="B7" s="37"/>
      <c r="C7" s="22">
        <v>2012</v>
      </c>
      <c r="D7" s="7">
        <v>572</v>
      </c>
      <c r="E7" s="6">
        <v>1051</v>
      </c>
      <c r="F7" s="6">
        <v>1493</v>
      </c>
      <c r="G7" s="6">
        <v>1580</v>
      </c>
      <c r="H7" s="37"/>
      <c r="I7" s="37"/>
      <c r="J7" s="38"/>
      <c r="L7" s="60">
        <v>3</v>
      </c>
      <c r="M7" s="40">
        <f>E9/D9</f>
        <v>1.9252491694352158</v>
      </c>
      <c r="N7" s="40"/>
      <c r="O7" s="40"/>
      <c r="P7" s="40"/>
      <c r="Q7" s="40"/>
    </row>
    <row r="8" spans="1:19" x14ac:dyDescent="0.2">
      <c r="A8" s="2"/>
      <c r="B8" s="37"/>
      <c r="C8" s="22">
        <v>2013</v>
      </c>
      <c r="D8" s="7">
        <v>689</v>
      </c>
      <c r="E8" s="6">
        <v>1102</v>
      </c>
      <c r="F8" s="6">
        <v>1435</v>
      </c>
      <c r="G8" s="7"/>
      <c r="H8" s="37"/>
      <c r="I8" s="37"/>
      <c r="J8" s="38"/>
    </row>
    <row r="9" spans="1:19" x14ac:dyDescent="0.2">
      <c r="A9" s="2"/>
      <c r="B9" s="37"/>
      <c r="C9" s="22">
        <v>2014</v>
      </c>
      <c r="D9" s="7">
        <v>602</v>
      </c>
      <c r="E9" s="6">
        <v>1159</v>
      </c>
      <c r="F9" s="7"/>
      <c r="G9" s="7"/>
      <c r="H9" s="37"/>
      <c r="I9" s="37"/>
      <c r="J9" s="38"/>
      <c r="L9" s="51"/>
      <c r="M9" s="44">
        <v>1</v>
      </c>
      <c r="N9" s="44">
        <v>2</v>
      </c>
      <c r="O9" s="44">
        <v>3</v>
      </c>
    </row>
    <row r="10" spans="1:19" x14ac:dyDescent="0.2">
      <c r="A10" s="2"/>
      <c r="B10" s="37"/>
      <c r="C10" s="22">
        <v>2015</v>
      </c>
      <c r="D10" s="7">
        <v>613</v>
      </c>
      <c r="E10" s="7"/>
      <c r="F10" s="7"/>
      <c r="G10" s="7"/>
      <c r="H10" s="37"/>
      <c r="I10" s="37"/>
      <c r="J10" s="38"/>
      <c r="L10" s="53" t="s">
        <v>76</v>
      </c>
      <c r="M10" s="40">
        <f>SUM(E7:E9)/SUM(D7:D9)</f>
        <v>1.7777777777777777</v>
      </c>
      <c r="N10" s="40">
        <f>SUM(F7:F8)/SUM(E7:E8)</f>
        <v>1.3599628425452857</v>
      </c>
      <c r="O10" s="40">
        <f>SUM(G7:G7)/SUM(F7:F7)</f>
        <v>1.0582719356999331</v>
      </c>
    </row>
    <row r="11" spans="1:19" x14ac:dyDescent="0.2">
      <c r="A11" s="2"/>
      <c r="B11" s="37"/>
      <c r="C11" s="37"/>
      <c r="D11" s="37"/>
      <c r="E11" s="37"/>
      <c r="F11" s="37"/>
      <c r="G11" s="37"/>
      <c r="H11" s="37"/>
      <c r="I11" s="37"/>
      <c r="J11" s="38"/>
      <c r="M11" s="40"/>
      <c r="N11" s="40"/>
      <c r="O11" s="40"/>
    </row>
    <row r="12" spans="1:19" x14ac:dyDescent="0.2">
      <c r="A12" s="2"/>
      <c r="B12" s="37"/>
      <c r="C12" s="37"/>
      <c r="D12" s="37"/>
      <c r="E12" s="37"/>
      <c r="F12" s="37"/>
      <c r="G12" s="37"/>
      <c r="H12" s="37"/>
      <c r="I12" s="37"/>
      <c r="J12" s="38"/>
      <c r="M12" s="40"/>
      <c r="N12" s="40"/>
      <c r="O12" s="40"/>
    </row>
    <row r="13" spans="1:19" x14ac:dyDescent="0.2">
      <c r="A13" s="2"/>
      <c r="B13" s="37"/>
      <c r="C13" s="81"/>
      <c r="D13" s="82" t="s">
        <v>8</v>
      </c>
      <c r="E13" s="82" t="s">
        <v>9</v>
      </c>
      <c r="F13" s="82" t="s">
        <v>70</v>
      </c>
      <c r="G13" s="37"/>
      <c r="H13" s="37"/>
      <c r="I13" s="37"/>
      <c r="J13" s="38"/>
      <c r="L13" s="15" t="s">
        <v>77</v>
      </c>
    </row>
    <row r="14" spans="1:19" x14ac:dyDescent="0.2">
      <c r="A14" s="2"/>
      <c r="B14" s="37"/>
      <c r="C14" s="83" t="s">
        <v>81</v>
      </c>
      <c r="D14" s="84">
        <v>18.52</v>
      </c>
      <c r="E14" s="84">
        <v>7.54</v>
      </c>
      <c r="F14" s="84" t="s">
        <v>158</v>
      </c>
      <c r="G14" s="37"/>
      <c r="H14" s="37"/>
      <c r="I14" s="37"/>
      <c r="J14" s="38"/>
    </row>
    <row r="15" spans="1:19" x14ac:dyDescent="0.2">
      <c r="A15" s="2"/>
      <c r="B15" s="37"/>
      <c r="C15" s="37"/>
      <c r="D15" s="37"/>
      <c r="E15" s="37"/>
      <c r="F15" s="37"/>
      <c r="G15" s="37"/>
      <c r="H15" s="37"/>
      <c r="I15" s="37"/>
      <c r="J15" s="38"/>
      <c r="L15" s="51" t="s">
        <v>19</v>
      </c>
      <c r="M15" s="44">
        <v>1</v>
      </c>
      <c r="N15" s="44">
        <v>2</v>
      </c>
      <c r="O15" s="44">
        <v>3</v>
      </c>
      <c r="P15" s="44">
        <v>4</v>
      </c>
      <c r="R15" s="52"/>
      <c r="S15" s="52"/>
    </row>
    <row r="16" spans="1:19" x14ac:dyDescent="0.2">
      <c r="A16" s="2"/>
      <c r="B16" s="37"/>
      <c r="C16" s="37"/>
      <c r="D16" s="37"/>
      <c r="E16" s="37"/>
      <c r="F16" s="37"/>
      <c r="G16" s="37"/>
      <c r="H16" s="37"/>
      <c r="I16" s="37"/>
      <c r="J16" s="38"/>
      <c r="L16" s="53">
        <v>1</v>
      </c>
      <c r="M16" s="54"/>
      <c r="N16" s="54"/>
      <c r="O16" s="54"/>
      <c r="P16" s="55">
        <f>G7</f>
        <v>1580</v>
      </c>
      <c r="R16" s="54"/>
      <c r="S16" s="54"/>
    </row>
    <row r="17" spans="1:19" x14ac:dyDescent="0.2">
      <c r="A17" s="2"/>
      <c r="B17" s="409" t="s">
        <v>232</v>
      </c>
      <c r="C17" s="409"/>
      <c r="D17" s="409"/>
      <c r="E17" s="409"/>
      <c r="F17" s="409"/>
      <c r="G17" s="409"/>
      <c r="H17" s="409"/>
      <c r="I17" s="409"/>
      <c r="J17" s="38"/>
      <c r="L17" s="53">
        <v>2</v>
      </c>
      <c r="M17" s="54"/>
      <c r="N17" s="54"/>
      <c r="O17" s="55">
        <f>F8</f>
        <v>1435</v>
      </c>
      <c r="P17" s="54">
        <f>O17*O$10</f>
        <v>1518.620227729404</v>
      </c>
      <c r="Q17" s="54"/>
      <c r="R17" s="54"/>
      <c r="S17" s="54"/>
    </row>
    <row r="18" spans="1:19" x14ac:dyDescent="0.2">
      <c r="A18" s="2"/>
      <c r="B18" s="409"/>
      <c r="C18" s="409"/>
      <c r="D18" s="409"/>
      <c r="E18" s="409"/>
      <c r="F18" s="409"/>
      <c r="G18" s="409"/>
      <c r="H18" s="409"/>
      <c r="I18" s="409"/>
      <c r="J18" s="38"/>
      <c r="L18" s="53">
        <v>3</v>
      </c>
      <c r="M18" s="54"/>
      <c r="N18" s="55">
        <f>E9</f>
        <v>1159</v>
      </c>
      <c r="O18" s="54">
        <f>N18*N$10</f>
        <v>1576.196934509986</v>
      </c>
      <c r="P18" s="54">
        <f>O18*O$10</f>
        <v>1668.0449809281836</v>
      </c>
      <c r="Q18" s="54"/>
      <c r="R18" s="54"/>
      <c r="S18" s="54"/>
    </row>
    <row r="19" spans="1:19" ht="17" thickBot="1" x14ac:dyDescent="0.25">
      <c r="A19" s="2"/>
      <c r="B19" s="37"/>
      <c r="C19" s="37"/>
      <c r="D19" s="37"/>
      <c r="E19" s="37"/>
      <c r="F19" s="37"/>
      <c r="G19" s="37"/>
      <c r="H19" s="37"/>
      <c r="I19" s="37"/>
      <c r="J19" s="38"/>
      <c r="L19" s="53">
        <v>4</v>
      </c>
      <c r="M19" s="55">
        <f>D10</f>
        <v>613</v>
      </c>
      <c r="N19" s="54">
        <f>M19*M$10</f>
        <v>1089.7777777777778</v>
      </c>
      <c r="O19" s="54">
        <f>N19*N$10</f>
        <v>1482.0572844093513</v>
      </c>
      <c r="P19" s="54">
        <f>O19*O$10</f>
        <v>1568.4196311900703</v>
      </c>
      <c r="Q19" s="54"/>
      <c r="R19" s="54"/>
      <c r="S19" s="54"/>
    </row>
    <row r="20" spans="1:19" ht="17" thickBot="1" x14ac:dyDescent="0.25">
      <c r="A20" s="394" t="s">
        <v>205</v>
      </c>
      <c r="B20" s="395"/>
      <c r="C20" s="395"/>
      <c r="D20" s="395"/>
      <c r="E20" s="395"/>
      <c r="F20" s="395"/>
      <c r="G20" s="395"/>
      <c r="H20" s="395"/>
      <c r="I20" s="395"/>
      <c r="J20" s="396"/>
      <c r="M20" s="56"/>
      <c r="N20" s="54"/>
      <c r="O20" s="54"/>
      <c r="P20" s="54"/>
      <c r="Q20" s="54"/>
      <c r="R20" s="54"/>
      <c r="S20" s="54"/>
    </row>
    <row r="22" spans="1:19" ht="19" x14ac:dyDescent="0.25">
      <c r="A22" s="3"/>
      <c r="L22" s="15" t="s">
        <v>159</v>
      </c>
      <c r="M22" s="15"/>
      <c r="N22" s="15"/>
    </row>
    <row r="23" spans="1:19" x14ac:dyDescent="0.2">
      <c r="A23" s="4"/>
    </row>
    <row r="24" spans="1:19" x14ac:dyDescent="0.2">
      <c r="L24" s="51" t="s">
        <v>80</v>
      </c>
      <c r="M24" s="85">
        <v>1</v>
      </c>
      <c r="N24" s="85">
        <v>2</v>
      </c>
      <c r="O24" s="85">
        <v>3</v>
      </c>
    </row>
    <row r="25" spans="1:19" x14ac:dyDescent="0.2">
      <c r="L25" s="53" t="s">
        <v>81</v>
      </c>
      <c r="M25" s="47">
        <f>D14</f>
        <v>18.52</v>
      </c>
      <c r="N25" s="47">
        <f>E14</f>
        <v>7.54</v>
      </c>
      <c r="O25" s="23">
        <f>N25^2/M25</f>
        <v>3.0697408207343413</v>
      </c>
      <c r="Q25" s="39" t="s">
        <v>96</v>
      </c>
    </row>
    <row r="26" spans="1:19" x14ac:dyDescent="0.2">
      <c r="M26" s="47"/>
      <c r="N26" s="47"/>
      <c r="O26" s="47"/>
    </row>
    <row r="27" spans="1:19" x14ac:dyDescent="0.2">
      <c r="M27" s="47"/>
      <c r="N27" s="47"/>
      <c r="O27" s="47"/>
    </row>
    <row r="28" spans="1:19" x14ac:dyDescent="0.2">
      <c r="L28" s="15" t="s">
        <v>82</v>
      </c>
    </row>
    <row r="29" spans="1:19" x14ac:dyDescent="0.2">
      <c r="M29" s="15"/>
    </row>
    <row r="30" spans="1:19" x14ac:dyDescent="0.2">
      <c r="L30" s="43" t="s">
        <v>19</v>
      </c>
      <c r="M30" s="44">
        <v>1</v>
      </c>
      <c r="N30" s="44">
        <v>2</v>
      </c>
      <c r="O30" s="44">
        <v>3</v>
      </c>
      <c r="P30" s="43"/>
      <c r="Q30" s="44" t="s">
        <v>83</v>
      </c>
      <c r="R30" s="59" t="s">
        <v>160</v>
      </c>
    </row>
    <row r="31" spans="1:19" x14ac:dyDescent="0.2">
      <c r="L31" s="60">
        <v>1</v>
      </c>
      <c r="M31" s="61"/>
      <c r="N31" s="61"/>
      <c r="O31" s="61"/>
      <c r="P31" s="62"/>
      <c r="Q31" s="54">
        <f>SUM(M31:P31)</f>
        <v>0</v>
      </c>
      <c r="R31" s="54"/>
    </row>
    <row r="32" spans="1:19" x14ac:dyDescent="0.2">
      <c r="L32" s="60">
        <v>2</v>
      </c>
      <c r="M32" s="54"/>
      <c r="N32" s="54"/>
      <c r="O32" s="54">
        <f>$P17^2*O$25/O$10^2*(1/O17+1/SUM(F$7:F$7))</f>
        <v>8639.0278711741921</v>
      </c>
      <c r="P32" s="64"/>
      <c r="Q32" s="54">
        <f>SUM(M32:P32)</f>
        <v>8639.0278711741921</v>
      </c>
      <c r="R32" s="54">
        <f>SQRT(Q32)</f>
        <v>92.946370941388523</v>
      </c>
    </row>
    <row r="33" spans="1:18" x14ac:dyDescent="0.2">
      <c r="A33" s="4"/>
      <c r="L33" s="60">
        <v>3</v>
      </c>
      <c r="M33" s="54"/>
      <c r="N33" s="54">
        <f>$P18^2*N$25/N$10^2*(1/N18+1/SUM(E$7:E$8))</f>
        <v>15055.515786333612</v>
      </c>
      <c r="O33" s="54">
        <f>$P18^2*O$25/O$10^2*(1/O18+1/SUM(F$7:F$7))</f>
        <v>9946.6568612604297</v>
      </c>
      <c r="P33" s="64"/>
      <c r="Q33" s="54">
        <f>SUM(M33:P33)</f>
        <v>25002.172647594041</v>
      </c>
      <c r="R33" s="54">
        <f t="shared" ref="R33:R34" si="0">SQRT(Q33)</f>
        <v>158.12075337410343</v>
      </c>
    </row>
    <row r="34" spans="1:18" x14ac:dyDescent="0.2">
      <c r="L34" s="60">
        <v>4</v>
      </c>
      <c r="M34" s="54">
        <f>$P19^2*M$25/M$10^2*(1/M19+1/SUM(D$7:D$9))</f>
        <v>31252.724668459123</v>
      </c>
      <c r="N34" s="54">
        <f>$P19^2*N$25/N$10^2*(1/N19+1/SUM(E$7:E$8))</f>
        <v>13860.439785008573</v>
      </c>
      <c r="O34" s="54">
        <f>$P19^2*O$25/O$10^2*(1/O19+1/SUM(F$7:F$7))</f>
        <v>9065.7183908088246</v>
      </c>
      <c r="P34" s="65"/>
      <c r="Q34" s="54">
        <f>SUM(M34:P34)</f>
        <v>54178.882844276523</v>
      </c>
      <c r="R34" s="54">
        <f t="shared" si="0"/>
        <v>232.76357714272334</v>
      </c>
    </row>
    <row r="35" spans="1:18" x14ac:dyDescent="0.2">
      <c r="M35" s="68"/>
      <c r="N35" s="68"/>
      <c r="O35" s="68"/>
      <c r="P35" s="68"/>
    </row>
    <row r="36" spans="1:18" ht="17" thickBot="1" x14ac:dyDescent="0.25">
      <c r="M36" s="68"/>
      <c r="N36" s="68"/>
      <c r="O36" s="68"/>
      <c r="P36" s="68"/>
    </row>
    <row r="37" spans="1:18" ht="17" thickBot="1" x14ac:dyDescent="0.25">
      <c r="L37" s="118" t="s">
        <v>235</v>
      </c>
      <c r="M37" s="119"/>
      <c r="N37" s="120">
        <f>R34</f>
        <v>232.76357714272334</v>
      </c>
      <c r="O37" s="54"/>
      <c r="P37" s="54"/>
      <c r="Q37" s="54"/>
    </row>
    <row r="40" spans="1:18" ht="19" x14ac:dyDescent="0.25">
      <c r="L40" s="3" t="s">
        <v>236</v>
      </c>
    </row>
    <row r="41" spans="1:18" x14ac:dyDescent="0.2">
      <c r="L41" s="104" t="s">
        <v>240</v>
      </c>
    </row>
    <row r="45" spans="1:18" x14ac:dyDescent="0.2">
      <c r="L45" s="5"/>
      <c r="M45" s="5"/>
      <c r="N45" s="5"/>
    </row>
    <row r="46" spans="1:18" x14ac:dyDescent="0.2">
      <c r="L46" s="5"/>
      <c r="M46" s="5"/>
      <c r="N46" s="5"/>
    </row>
    <row r="47" spans="1:18" x14ac:dyDescent="0.2">
      <c r="L47" s="5"/>
      <c r="M47" s="5"/>
      <c r="N47" s="5"/>
    </row>
    <row r="48" spans="1:18" x14ac:dyDescent="0.2">
      <c r="L48" s="5"/>
      <c r="M48" s="5"/>
      <c r="N48" s="5"/>
    </row>
    <row r="49" spans="1:65" x14ac:dyDescent="0.2">
      <c r="L49" s="5"/>
      <c r="M49" s="5"/>
      <c r="N49" s="5"/>
    </row>
    <row r="50" spans="1:65" x14ac:dyDescent="0.2">
      <c r="L50" s="5"/>
      <c r="M50" s="5"/>
      <c r="N50" s="5"/>
    </row>
    <row r="51" spans="1:65" x14ac:dyDescent="0.2">
      <c r="M51" s="40"/>
    </row>
    <row r="52" spans="1:65" x14ac:dyDescent="0.2">
      <c r="L52" s="5"/>
      <c r="M52" s="5"/>
      <c r="N52" s="5"/>
    </row>
    <row r="53" spans="1:65" x14ac:dyDescent="0.2">
      <c r="L53" s="5"/>
      <c r="M53" s="5"/>
      <c r="N53" s="5"/>
    </row>
    <row r="54" spans="1:65" x14ac:dyDescent="0.2">
      <c r="L54" s="5"/>
      <c r="M54" s="5"/>
      <c r="N54" s="5"/>
    </row>
    <row r="55" spans="1:65" x14ac:dyDescent="0.2">
      <c r="L55" s="5"/>
      <c r="M55" s="5"/>
      <c r="N55" s="5"/>
    </row>
    <row r="56" spans="1:65" x14ac:dyDescent="0.2">
      <c r="J56" s="5"/>
      <c r="L56" s="5"/>
      <c r="M56" s="5"/>
      <c r="N56" s="5"/>
    </row>
    <row r="57" spans="1:65" x14ac:dyDescent="0.2">
      <c r="K57" s="5"/>
      <c r="L57" s="5"/>
    </row>
    <row r="58" spans="1:65" x14ac:dyDescent="0.2">
      <c r="L58" s="5"/>
      <c r="M58" s="5"/>
      <c r="N58" s="5"/>
    </row>
    <row r="59" spans="1:65" x14ac:dyDescent="0.2">
      <c r="C59" s="54"/>
      <c r="D59" s="54"/>
      <c r="E59" s="54"/>
      <c r="F59" s="54"/>
      <c r="G59" s="54"/>
      <c r="L59" s="5"/>
      <c r="M59" s="5"/>
      <c r="N59" s="5"/>
    </row>
    <row r="60" spans="1:65" x14ac:dyDescent="0.2">
      <c r="G60" s="69"/>
      <c r="L60" s="5"/>
      <c r="M60" s="5"/>
      <c r="N60" s="5"/>
    </row>
    <row r="61" spans="1:65" ht="19" x14ac:dyDescent="0.25">
      <c r="B61" s="3"/>
      <c r="F61" s="68"/>
      <c r="G61" s="69"/>
      <c r="L61" s="5"/>
      <c r="M61" s="5"/>
      <c r="N61" s="5"/>
    </row>
    <row r="62" spans="1:65" x14ac:dyDescent="0.2">
      <c r="A62" s="5"/>
      <c r="B62" s="5"/>
      <c r="C62" s="5"/>
      <c r="D62" s="5"/>
      <c r="E62" s="5"/>
      <c r="F62" s="5"/>
      <c r="G62" s="5"/>
      <c r="H62" s="5"/>
      <c r="I62" s="5"/>
      <c r="J62" s="5"/>
      <c r="M62" s="40"/>
    </row>
    <row r="63" spans="1:65"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row>
    <row r="64" spans="1:65"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row>
    <row r="65" spans="1:65"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row>
    <row r="66" spans="1:65"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row>
    <row r="67" spans="1:65"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row>
    <row r="68" spans="1:65"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row>
    <row r="69" spans="1:65"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row>
    <row r="70" spans="1:65"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row>
    <row r="71" spans="1:65"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row>
    <row r="72" spans="1:65"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row>
    <row r="73" spans="1:65"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row>
    <row r="74" spans="1:65"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sheetData>
  <mergeCells count="3">
    <mergeCell ref="C5:G5"/>
    <mergeCell ref="A20:J20"/>
    <mergeCell ref="B17:I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0A99-4027-5E44-8A01-22908ADDB831}">
  <dimension ref="A1:BM201"/>
  <sheetViews>
    <sheetView zoomScaleNormal="100" workbookViewId="0"/>
  </sheetViews>
  <sheetFormatPr baseColWidth="10" defaultColWidth="10.83203125" defaultRowHeight="16" outlineLevelCol="1" x14ac:dyDescent="0.2"/>
  <cols>
    <col min="1" max="1" width="4.6640625" style="39" customWidth="1"/>
    <col min="2" max="2" width="10.83203125" style="39"/>
    <col min="3" max="3" width="10.83203125" style="39" customWidth="1"/>
    <col min="4" max="5" width="10.83203125" style="39"/>
    <col min="6" max="6" width="11.6640625" style="39" customWidth="1"/>
    <col min="7" max="10" width="10.83203125" style="39"/>
    <col min="11" max="11" width="11.5" style="39" bestFit="1" customWidth="1"/>
    <col min="12" max="12" width="10.83203125" style="39" hidden="1" customWidth="1" outlineLevel="1"/>
    <col min="13" max="13" width="12.33203125" style="39" hidden="1" customWidth="1" outlineLevel="1"/>
    <col min="14" max="20" width="10.83203125" style="39" hidden="1" customWidth="1" outlineLevel="1"/>
    <col min="21" max="21" width="10.83203125" style="39" collapsed="1"/>
    <col min="22" max="16384" width="10.83203125" style="39"/>
  </cols>
  <sheetData>
    <row r="1" spans="1:14" ht="19" x14ac:dyDescent="0.25">
      <c r="A1" s="1" t="s">
        <v>233</v>
      </c>
      <c r="B1" s="28"/>
      <c r="C1" s="36"/>
      <c r="D1" s="36"/>
      <c r="E1" s="36"/>
      <c r="F1" s="37"/>
      <c r="G1" s="37"/>
      <c r="H1" s="37"/>
      <c r="I1" s="37"/>
      <c r="J1" s="38"/>
      <c r="K1" s="3" t="s">
        <v>206</v>
      </c>
    </row>
    <row r="2" spans="1:14" x14ac:dyDescent="0.2">
      <c r="A2" s="2"/>
      <c r="B2" s="37"/>
      <c r="C2" s="37"/>
      <c r="D2" s="37"/>
      <c r="E2" s="37"/>
      <c r="F2" s="37"/>
      <c r="G2" s="37"/>
      <c r="H2" s="37"/>
      <c r="I2" s="37"/>
      <c r="J2" s="38"/>
      <c r="L2" s="15" t="s">
        <v>3</v>
      </c>
      <c r="N2" s="40"/>
    </row>
    <row r="3" spans="1:14" x14ac:dyDescent="0.2">
      <c r="A3" s="2"/>
      <c r="B3" s="37" t="s">
        <v>161</v>
      </c>
      <c r="C3" s="37"/>
      <c r="D3" s="37"/>
      <c r="E3" s="37"/>
      <c r="F3" s="37"/>
      <c r="G3" s="37"/>
      <c r="H3" s="37"/>
      <c r="I3" s="37"/>
      <c r="J3" s="38"/>
      <c r="M3" s="39" t="s">
        <v>168</v>
      </c>
    </row>
    <row r="4" spans="1:14" x14ac:dyDescent="0.2">
      <c r="A4" s="2"/>
      <c r="B4" s="37"/>
      <c r="C4" s="37"/>
      <c r="D4" s="37"/>
      <c r="E4" s="37"/>
      <c r="F4" s="37"/>
      <c r="G4" s="37"/>
      <c r="H4" s="37"/>
      <c r="I4" s="37"/>
      <c r="J4" s="38"/>
    </row>
    <row r="5" spans="1:14" ht="34" x14ac:dyDescent="0.2">
      <c r="A5" s="2"/>
      <c r="B5" s="37"/>
      <c r="C5" s="21" t="s">
        <v>7</v>
      </c>
      <c r="D5" s="30" t="s">
        <v>48</v>
      </c>
      <c r="E5" s="30" t="s">
        <v>49</v>
      </c>
      <c r="F5" s="30" t="s">
        <v>50</v>
      </c>
      <c r="G5" s="37"/>
      <c r="H5" s="37"/>
      <c r="I5" s="37"/>
      <c r="J5" s="38"/>
      <c r="M5" s="39" t="s">
        <v>59</v>
      </c>
      <c r="N5" s="40">
        <f>LN(1+(F10/E10)^2)</f>
        <v>0.24075689778642836</v>
      </c>
    </row>
    <row r="6" spans="1:14" ht="18" thickBot="1" x14ac:dyDescent="0.25">
      <c r="A6" s="2"/>
      <c r="B6" s="37"/>
      <c r="C6" s="22">
        <v>2013</v>
      </c>
      <c r="D6" s="6">
        <v>2706</v>
      </c>
      <c r="E6" s="7" t="s">
        <v>162</v>
      </c>
      <c r="F6" s="7" t="s">
        <v>162</v>
      </c>
      <c r="G6" s="37"/>
      <c r="H6" s="37"/>
      <c r="I6" s="37"/>
      <c r="J6" s="38"/>
    </row>
    <row r="7" spans="1:14" x14ac:dyDescent="0.2">
      <c r="A7" s="2"/>
      <c r="B7" s="37"/>
      <c r="C7" s="22">
        <v>2014</v>
      </c>
      <c r="D7" s="6">
        <v>2716</v>
      </c>
      <c r="E7" s="7">
        <v>98</v>
      </c>
      <c r="F7" s="7">
        <v>88</v>
      </c>
      <c r="G7" s="37"/>
      <c r="H7" s="37"/>
      <c r="I7" s="37"/>
      <c r="J7" s="38"/>
      <c r="M7" s="109" t="s">
        <v>61</v>
      </c>
      <c r="N7" s="110">
        <f>$E$10*EXP(1.645*SQRT($N$5)-$N$5/2)</f>
        <v>2011.1405896465903</v>
      </c>
    </row>
    <row r="8" spans="1:14" ht="17" thickBot="1" x14ac:dyDescent="0.25">
      <c r="A8" s="2"/>
      <c r="B8" s="37"/>
      <c r="C8" s="22">
        <v>2015</v>
      </c>
      <c r="D8" s="6">
        <v>1741</v>
      </c>
      <c r="E8" s="7">
        <v>156</v>
      </c>
      <c r="F8" s="7">
        <v>186</v>
      </c>
      <c r="G8" s="37"/>
      <c r="H8" s="37"/>
      <c r="I8" s="37"/>
      <c r="J8" s="38"/>
      <c r="M8" s="111" t="s">
        <v>169</v>
      </c>
      <c r="N8" s="112">
        <f>$E$10*EXP(-1.645*SQRT($N$5)-$N$5/2)</f>
        <v>400.27567781612441</v>
      </c>
    </row>
    <row r="9" spans="1:14" x14ac:dyDescent="0.2">
      <c r="A9" s="2"/>
      <c r="B9" s="37"/>
      <c r="C9" s="21">
        <v>2016</v>
      </c>
      <c r="D9" s="31">
        <v>1708</v>
      </c>
      <c r="E9" s="20">
        <v>758</v>
      </c>
      <c r="F9" s="20">
        <v>457</v>
      </c>
      <c r="G9" s="37"/>
      <c r="H9" s="37"/>
      <c r="I9" s="37"/>
      <c r="J9" s="38"/>
    </row>
    <row r="10" spans="1:14" ht="17" x14ac:dyDescent="0.2">
      <c r="A10" s="2"/>
      <c r="B10" s="37"/>
      <c r="C10" s="22" t="s">
        <v>52</v>
      </c>
      <c r="D10" s="6">
        <v>8871</v>
      </c>
      <c r="E10" s="6">
        <v>1012</v>
      </c>
      <c r="F10" s="7">
        <v>528</v>
      </c>
      <c r="G10" s="37"/>
      <c r="H10" s="37"/>
      <c r="I10" s="37"/>
      <c r="J10" s="38"/>
      <c r="M10" s="39" t="s">
        <v>170</v>
      </c>
    </row>
    <row r="11" spans="1:14" x14ac:dyDescent="0.2">
      <c r="A11" s="2"/>
      <c r="B11" s="37"/>
      <c r="C11" s="37"/>
      <c r="D11" s="37"/>
      <c r="E11" s="37"/>
      <c r="F11" s="37"/>
      <c r="G11" s="37"/>
      <c r="H11" s="37"/>
      <c r="I11" s="37"/>
      <c r="J11" s="38"/>
    </row>
    <row r="12" spans="1:14" x14ac:dyDescent="0.2">
      <c r="A12" s="2"/>
      <c r="B12" s="67" t="s">
        <v>219</v>
      </c>
      <c r="C12" s="37"/>
      <c r="D12" s="37"/>
      <c r="E12" s="37"/>
      <c r="F12" s="37"/>
      <c r="G12" s="37"/>
      <c r="H12" s="37"/>
      <c r="I12" s="37"/>
      <c r="J12" s="38"/>
    </row>
    <row r="13" spans="1:14" x14ac:dyDescent="0.2">
      <c r="A13" s="2"/>
      <c r="B13" s="37"/>
      <c r="C13" s="37"/>
      <c r="D13" s="37"/>
      <c r="E13" s="37"/>
      <c r="F13" s="37"/>
      <c r="G13" s="37"/>
      <c r="H13" s="37"/>
      <c r="I13" s="37"/>
      <c r="J13" s="38"/>
      <c r="L13" s="15" t="s">
        <v>4</v>
      </c>
      <c r="N13" s="40"/>
    </row>
    <row r="14" spans="1:14" x14ac:dyDescent="0.2">
      <c r="A14" s="2"/>
      <c r="B14" s="37"/>
      <c r="C14" s="37"/>
      <c r="D14" s="37"/>
      <c r="E14" s="37"/>
      <c r="F14" s="37"/>
      <c r="G14" s="37"/>
      <c r="H14" s="37"/>
      <c r="I14" s="37"/>
      <c r="J14" s="38"/>
      <c r="M14" s="39" t="s">
        <v>171</v>
      </c>
    </row>
    <row r="15" spans="1:14" x14ac:dyDescent="0.2">
      <c r="A15" s="37" t="s">
        <v>0</v>
      </c>
      <c r="B15" s="37" t="s">
        <v>54</v>
      </c>
      <c r="C15" s="37"/>
      <c r="D15" s="37"/>
      <c r="E15" s="37"/>
      <c r="F15" s="37"/>
      <c r="G15" s="37"/>
      <c r="H15" s="37"/>
      <c r="I15" s="37"/>
      <c r="J15" s="38"/>
    </row>
    <row r="16" spans="1:14" ht="17" x14ac:dyDescent="0.2">
      <c r="A16" s="2"/>
      <c r="B16" s="37"/>
      <c r="C16" s="37"/>
      <c r="D16" s="37"/>
      <c r="E16" s="37"/>
      <c r="F16" s="37"/>
      <c r="G16" s="37"/>
      <c r="H16" s="37"/>
      <c r="I16" s="37"/>
      <c r="J16" s="38"/>
      <c r="M16" s="10" t="s">
        <v>19</v>
      </c>
      <c r="N16" s="11" t="s">
        <v>172</v>
      </c>
    </row>
    <row r="17" spans="1:16" x14ac:dyDescent="0.2">
      <c r="A17" s="37" t="s">
        <v>1</v>
      </c>
      <c r="B17" s="37" t="s">
        <v>163</v>
      </c>
      <c r="C17" s="37"/>
      <c r="D17" s="37"/>
      <c r="E17" s="37"/>
      <c r="F17" s="37"/>
      <c r="G17" s="37"/>
      <c r="H17" s="37"/>
      <c r="I17" s="37"/>
      <c r="J17" s="38"/>
      <c r="M17" s="9">
        <v>2014</v>
      </c>
      <c r="N17" s="40">
        <f>LN(1+(F7/E7)^2)</f>
        <v>0.59129754761411313</v>
      </c>
    </row>
    <row r="18" spans="1:16" x14ac:dyDescent="0.2">
      <c r="A18" s="2"/>
      <c r="B18" s="37" t="s">
        <v>164</v>
      </c>
      <c r="C18" s="37"/>
      <c r="D18" s="37"/>
      <c r="E18" s="37"/>
      <c r="F18" s="37"/>
      <c r="G18" s="37"/>
      <c r="H18" s="37"/>
      <c r="I18" s="37"/>
      <c r="J18" s="38"/>
      <c r="M18" s="9">
        <v>2015</v>
      </c>
      <c r="N18" s="40">
        <f>LN(1+(F8/E8)^2)</f>
        <v>0.88442750132817094</v>
      </c>
    </row>
    <row r="19" spans="1:16" x14ac:dyDescent="0.2">
      <c r="A19" s="2"/>
      <c r="B19" s="37" t="s">
        <v>165</v>
      </c>
      <c r="C19" s="37"/>
      <c r="D19" s="37"/>
      <c r="E19" s="37"/>
      <c r="F19" s="37"/>
      <c r="G19" s="37"/>
      <c r="H19" s="37"/>
      <c r="I19" s="37"/>
      <c r="J19" s="38"/>
      <c r="M19" s="9">
        <v>2016</v>
      </c>
      <c r="N19" s="40">
        <f>LN(1+(F9/E9)^2)</f>
        <v>0.31004852312383757</v>
      </c>
    </row>
    <row r="20" spans="1:16" x14ac:dyDescent="0.2">
      <c r="A20" s="2"/>
      <c r="B20" s="37"/>
      <c r="C20" s="37"/>
      <c r="D20" s="37"/>
      <c r="E20" s="37"/>
      <c r="F20" s="37"/>
      <c r="G20" s="37"/>
      <c r="H20" s="37"/>
      <c r="I20" s="37"/>
      <c r="J20" s="38"/>
    </row>
    <row r="21" spans="1:16" ht="17" x14ac:dyDescent="0.2">
      <c r="A21" s="2"/>
      <c r="B21" s="37"/>
      <c r="C21" s="21" t="s">
        <v>166</v>
      </c>
      <c r="D21" s="20" t="s">
        <v>167</v>
      </c>
      <c r="E21" s="37"/>
      <c r="F21" s="37"/>
      <c r="G21" s="37"/>
      <c r="H21" s="37"/>
      <c r="I21" s="37"/>
      <c r="J21" s="38"/>
      <c r="M21" s="39" t="s">
        <v>177</v>
      </c>
    </row>
    <row r="22" spans="1:16" ht="17" thickBot="1" x14ac:dyDescent="0.25">
      <c r="A22" s="2"/>
      <c r="B22" s="37"/>
      <c r="C22" s="22">
        <v>1</v>
      </c>
      <c r="D22" s="7">
        <v>1.6</v>
      </c>
      <c r="E22" s="37"/>
      <c r="F22" s="37"/>
      <c r="G22" s="37"/>
      <c r="H22" s="37"/>
      <c r="I22" s="37"/>
      <c r="J22" s="38"/>
    </row>
    <row r="23" spans="1:16" ht="19" x14ac:dyDescent="0.2">
      <c r="A23" s="2"/>
      <c r="B23" s="37"/>
      <c r="C23" s="22">
        <v>2</v>
      </c>
      <c r="D23" s="7">
        <v>1.5</v>
      </c>
      <c r="E23" s="37"/>
      <c r="F23" s="37"/>
      <c r="G23" s="37"/>
      <c r="H23" s="37"/>
      <c r="I23" s="37"/>
      <c r="J23" s="38"/>
      <c r="N23" s="24" t="s">
        <v>174</v>
      </c>
      <c r="O23" s="24" t="s">
        <v>175</v>
      </c>
      <c r="P23" s="113" t="s">
        <v>176</v>
      </c>
    </row>
    <row r="24" spans="1:16" ht="17" x14ac:dyDescent="0.2">
      <c r="A24" s="2"/>
      <c r="B24" s="37"/>
      <c r="C24" s="22">
        <v>3</v>
      </c>
      <c r="D24" s="7">
        <v>1.4</v>
      </c>
      <c r="E24" s="37"/>
      <c r="F24" s="37"/>
      <c r="G24" s="37"/>
      <c r="H24" s="37"/>
      <c r="I24" s="37"/>
      <c r="J24" s="38"/>
      <c r="M24" s="10" t="s">
        <v>19</v>
      </c>
      <c r="N24" s="11">
        <v>1.6</v>
      </c>
      <c r="O24" s="11">
        <v>1.5</v>
      </c>
      <c r="P24" s="114">
        <v>1.4</v>
      </c>
    </row>
    <row r="25" spans="1:16" x14ac:dyDescent="0.2">
      <c r="A25" s="2"/>
      <c r="B25" s="37"/>
      <c r="C25" s="37"/>
      <c r="D25" s="37"/>
      <c r="E25" s="37"/>
      <c r="F25" s="37"/>
      <c r="G25" s="37"/>
      <c r="H25" s="37"/>
      <c r="I25" s="37"/>
      <c r="J25" s="38"/>
      <c r="M25" s="9">
        <v>2014</v>
      </c>
      <c r="N25" s="26">
        <f t="shared" ref="N25:P27" si="0">$E7*EXP(N$24*SQRT($N17)-$N17/2)</f>
        <v>249.54835220001027</v>
      </c>
      <c r="O25" s="26">
        <f t="shared" si="0"/>
        <v>231.07834724057003</v>
      </c>
      <c r="P25" s="115">
        <f t="shared" si="0"/>
        <v>213.9753762855392</v>
      </c>
    </row>
    <row r="26" spans="1:16" ht="17" thickBot="1" x14ac:dyDescent="0.25">
      <c r="A26" s="2"/>
      <c r="B26" s="37"/>
      <c r="C26" s="7"/>
      <c r="D26" s="7"/>
      <c r="E26" s="37"/>
      <c r="F26" s="37"/>
      <c r="G26" s="37"/>
      <c r="H26" s="37"/>
      <c r="I26" s="37"/>
      <c r="J26" s="38"/>
      <c r="L26" s="15"/>
      <c r="M26" s="9">
        <v>2015</v>
      </c>
      <c r="N26" s="26">
        <f t="shared" si="0"/>
        <v>451.39660721933046</v>
      </c>
      <c r="O26" s="26">
        <f t="shared" si="0"/>
        <v>410.8804689939106</v>
      </c>
      <c r="P26" s="115">
        <f t="shared" si="0"/>
        <v>374.00094972053284</v>
      </c>
    </row>
    <row r="27" spans="1:16" ht="17" thickBot="1" x14ac:dyDescent="0.25">
      <c r="A27" s="394" t="s">
        <v>205</v>
      </c>
      <c r="B27" s="395"/>
      <c r="C27" s="395"/>
      <c r="D27" s="395"/>
      <c r="E27" s="395"/>
      <c r="F27" s="395"/>
      <c r="G27" s="395"/>
      <c r="H27" s="395"/>
      <c r="I27" s="395"/>
      <c r="J27" s="396"/>
      <c r="M27" s="10">
        <v>2016</v>
      </c>
      <c r="N27" s="34">
        <f t="shared" si="0"/>
        <v>1582.1993305719798</v>
      </c>
      <c r="O27" s="34">
        <f t="shared" si="0"/>
        <v>1496.5072000260154</v>
      </c>
      <c r="P27" s="116">
        <f t="shared" si="0"/>
        <v>1415.4561669041361</v>
      </c>
    </row>
    <row r="28" spans="1:16" ht="18" thickBot="1" x14ac:dyDescent="0.25">
      <c r="M28" s="9" t="s">
        <v>89</v>
      </c>
      <c r="N28" s="8">
        <f>SUM(N25:N27)</f>
        <v>2283.1442899913204</v>
      </c>
      <c r="O28" s="8">
        <f>SUM(O25:O27)</f>
        <v>2138.466016260496</v>
      </c>
      <c r="P28" s="117">
        <f>SUM(P25:P27)</f>
        <v>2003.4324929102081</v>
      </c>
    </row>
    <row r="29" spans="1:16" ht="19" x14ac:dyDescent="0.25">
      <c r="A29" s="3"/>
      <c r="M29" s="410" t="s">
        <v>173</v>
      </c>
      <c r="N29" s="25">
        <f>N28-$N$7</f>
        <v>272.00370034473008</v>
      </c>
      <c r="O29" s="25">
        <f>O28-$N$7</f>
        <v>127.32542661390562</v>
      </c>
      <c r="P29" s="25">
        <f>P28-$N$7</f>
        <v>-7.708096736382231</v>
      </c>
    </row>
    <row r="30" spans="1:16" x14ac:dyDescent="0.2">
      <c r="M30" s="410"/>
    </row>
    <row r="32" spans="1:16" x14ac:dyDescent="0.2">
      <c r="M32" s="39" t="s">
        <v>179</v>
      </c>
    </row>
    <row r="33" spans="12:13" x14ac:dyDescent="0.2">
      <c r="M33" s="27" t="s">
        <v>178</v>
      </c>
    </row>
    <row r="36" spans="12:13" ht="19" x14ac:dyDescent="0.25">
      <c r="L36" s="3" t="s">
        <v>236</v>
      </c>
    </row>
    <row r="37" spans="12:13" x14ac:dyDescent="0.2">
      <c r="L37" s="104" t="s">
        <v>239</v>
      </c>
    </row>
    <row r="38" spans="12:13" x14ac:dyDescent="0.2">
      <c r="L38" s="5"/>
    </row>
    <row r="39" spans="12:13" x14ac:dyDescent="0.2">
      <c r="L39" s="5"/>
    </row>
    <row r="40" spans="12:13" x14ac:dyDescent="0.2">
      <c r="L40" s="5"/>
    </row>
    <row r="41" spans="12:13" x14ac:dyDescent="0.2">
      <c r="L41" s="5"/>
    </row>
    <row r="42" spans="12:13" x14ac:dyDescent="0.2">
      <c r="L42" s="5"/>
    </row>
    <row r="43" spans="12:13" x14ac:dyDescent="0.2">
      <c r="L43" s="5"/>
    </row>
    <row r="44" spans="12:13" x14ac:dyDescent="0.2">
      <c r="L44" s="5"/>
    </row>
    <row r="59" spans="12:14" x14ac:dyDescent="0.2">
      <c r="M59" s="40"/>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M69" s="40"/>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40"/>
    </row>
    <row r="80" spans="12: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M89" s="40"/>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A97" s="5"/>
      <c r="B97" s="5"/>
      <c r="C97" s="5"/>
      <c r="D97" s="5"/>
      <c r="E97" s="5"/>
      <c r="F97" s="5"/>
      <c r="G97" s="5"/>
      <c r="H97" s="5"/>
      <c r="I97" s="5"/>
      <c r="J97" s="5"/>
      <c r="L97" s="5"/>
      <c r="M97" s="5"/>
      <c r="N97" s="5"/>
    </row>
    <row r="98" spans="1:65" x14ac:dyDescent="0.2">
      <c r="A98" s="5"/>
      <c r="B98" s="5"/>
      <c r="C98" s="5"/>
      <c r="D98" s="5"/>
      <c r="E98" s="5"/>
      <c r="F98" s="5"/>
      <c r="G98" s="5"/>
      <c r="H98" s="5"/>
      <c r="I98" s="5"/>
      <c r="J98" s="5"/>
      <c r="L98" s="5"/>
      <c r="M98" s="5"/>
      <c r="N98" s="5"/>
    </row>
    <row r="99" spans="1:65" x14ac:dyDescent="0.2">
      <c r="A99" s="5"/>
      <c r="B99" s="5"/>
      <c r="C99" s="5"/>
      <c r="D99" s="5"/>
      <c r="E99" s="5"/>
      <c r="F99" s="5"/>
      <c r="G99" s="5"/>
      <c r="H99" s="5"/>
      <c r="I99" s="5"/>
      <c r="J99" s="5"/>
      <c r="M99" s="40"/>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sheetData>
  <mergeCells count="2">
    <mergeCell ref="A27:J27"/>
    <mergeCell ref="M29:M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9FA8-7CF1-D34F-B7B8-F2C1772080D8}">
  <dimension ref="A1:BM198"/>
  <sheetViews>
    <sheetView zoomScaleNormal="100" workbookViewId="0"/>
  </sheetViews>
  <sheetFormatPr baseColWidth="10" defaultColWidth="10.83203125" defaultRowHeight="16" outlineLevelCol="1" x14ac:dyDescent="0.2"/>
  <cols>
    <col min="1" max="1" width="4.6640625" style="39" customWidth="1"/>
    <col min="2" max="2" width="10.83203125" style="39"/>
    <col min="3" max="3" width="10.83203125" style="39" customWidth="1"/>
    <col min="4" max="10" width="10.83203125" style="39"/>
    <col min="11" max="11" width="11.5" style="39" bestFit="1" customWidth="1"/>
    <col min="12" max="13" width="10.83203125" style="104" hidden="1" customWidth="1" outlineLevel="1"/>
    <col min="14" max="14" width="13.5" style="104" hidden="1" customWidth="1" outlineLevel="1"/>
    <col min="15" max="20" width="10.83203125" style="104" hidden="1" customWidth="1" outlineLevel="1"/>
    <col min="21" max="21" width="10.83203125" style="104" collapsed="1"/>
    <col min="22" max="23" width="10.83203125" style="104"/>
    <col min="24" max="16384" width="10.83203125" style="39"/>
  </cols>
  <sheetData>
    <row r="1" spans="1:20" s="39" customFormat="1" ht="19" x14ac:dyDescent="0.25">
      <c r="A1" s="1" t="s">
        <v>234</v>
      </c>
      <c r="B1" s="28"/>
      <c r="C1" s="36"/>
      <c r="D1" s="36"/>
      <c r="E1" s="36"/>
      <c r="F1" s="49"/>
      <c r="G1" s="49"/>
      <c r="H1" s="49"/>
      <c r="I1" s="49"/>
      <c r="J1" s="50"/>
      <c r="K1" s="3" t="s">
        <v>206</v>
      </c>
    </row>
    <row r="2" spans="1:20" s="39" customFormat="1" x14ac:dyDescent="0.2">
      <c r="A2" s="2"/>
      <c r="B2" s="37"/>
      <c r="C2" s="37"/>
      <c r="D2" s="37"/>
      <c r="E2" s="37"/>
      <c r="F2" s="37"/>
      <c r="G2" s="37"/>
      <c r="H2" s="37"/>
      <c r="I2" s="37"/>
      <c r="J2" s="38"/>
      <c r="L2" s="15" t="s">
        <v>3</v>
      </c>
    </row>
    <row r="3" spans="1:20" s="39" customFormat="1" x14ac:dyDescent="0.2">
      <c r="A3" s="2"/>
      <c r="B3" s="37" t="s">
        <v>180</v>
      </c>
      <c r="C3" s="37"/>
      <c r="D3" s="37"/>
      <c r="E3" s="37"/>
      <c r="F3" s="37"/>
      <c r="G3" s="37"/>
      <c r="H3" s="37"/>
      <c r="I3" s="37"/>
      <c r="J3" s="38"/>
    </row>
    <row r="4" spans="1:20" s="39" customFormat="1" x14ac:dyDescent="0.2">
      <c r="A4" s="2"/>
      <c r="B4" s="37" t="s">
        <v>181</v>
      </c>
      <c r="C4" s="37"/>
      <c r="D4" s="37"/>
      <c r="E4" s="37"/>
      <c r="F4" s="37"/>
      <c r="G4" s="37"/>
      <c r="H4" s="37"/>
      <c r="I4" s="37"/>
      <c r="J4" s="38"/>
      <c r="M4" s="15" t="s">
        <v>77</v>
      </c>
    </row>
    <row r="5" spans="1:20" s="39" customFormat="1" x14ac:dyDescent="0.2">
      <c r="A5" s="2"/>
      <c r="B5" s="37"/>
      <c r="C5" s="37"/>
      <c r="D5" s="37"/>
      <c r="E5" s="37"/>
      <c r="F5" s="37"/>
      <c r="G5" s="37"/>
      <c r="H5" s="37"/>
      <c r="I5" s="37"/>
      <c r="J5" s="38"/>
    </row>
    <row r="6" spans="1:20" s="39" customFormat="1" x14ac:dyDescent="0.2">
      <c r="A6" s="2"/>
      <c r="B6" s="37"/>
      <c r="C6" s="393" t="s">
        <v>191</v>
      </c>
      <c r="D6" s="393"/>
      <c r="E6" s="393"/>
      <c r="F6" s="393"/>
      <c r="G6" s="393"/>
      <c r="H6" s="37"/>
      <c r="I6" s="37"/>
      <c r="J6" s="38"/>
      <c r="M6" s="51" t="s">
        <v>19</v>
      </c>
      <c r="N6" s="44">
        <v>1</v>
      </c>
      <c r="O6" s="44">
        <v>2</v>
      </c>
      <c r="P6" s="44">
        <v>3</v>
      </c>
      <c r="Q6" s="44" t="s">
        <v>192</v>
      </c>
      <c r="S6" s="52"/>
      <c r="T6" s="52"/>
    </row>
    <row r="7" spans="1:20" s="39" customFormat="1" ht="34" x14ac:dyDescent="0.2">
      <c r="A7" s="2"/>
      <c r="B7" s="37"/>
      <c r="C7" s="33" t="s">
        <v>7</v>
      </c>
      <c r="D7" s="30" t="s">
        <v>8</v>
      </c>
      <c r="E7" s="30" t="s">
        <v>9</v>
      </c>
      <c r="F7" s="30" t="s">
        <v>70</v>
      </c>
      <c r="G7" s="30" t="s">
        <v>71</v>
      </c>
      <c r="H7" s="37"/>
      <c r="I7" s="37"/>
      <c r="J7" s="38"/>
      <c r="M7" s="53">
        <v>1</v>
      </c>
      <c r="N7" s="54"/>
      <c r="O7" s="54"/>
      <c r="P7" s="54"/>
      <c r="Q7" s="55">
        <f>G8</f>
        <v>11020</v>
      </c>
      <c r="S7" s="54"/>
      <c r="T7" s="54"/>
    </row>
    <row r="8" spans="1:20" s="39" customFormat="1" x14ac:dyDescent="0.2">
      <c r="A8" s="2"/>
      <c r="B8" s="37"/>
      <c r="C8" s="22">
        <v>2016</v>
      </c>
      <c r="D8" s="6">
        <v>4750</v>
      </c>
      <c r="E8" s="6">
        <v>8350</v>
      </c>
      <c r="F8" s="6">
        <v>10760</v>
      </c>
      <c r="G8" s="6">
        <v>11020</v>
      </c>
      <c r="H8" s="37"/>
      <c r="I8" s="37"/>
      <c r="J8" s="38"/>
      <c r="M8" s="53">
        <v>2</v>
      </c>
      <c r="N8" s="54"/>
      <c r="O8" s="54"/>
      <c r="P8" s="55">
        <f>F9</f>
        <v>11230</v>
      </c>
      <c r="Q8" s="54">
        <f>P8*F$16</f>
        <v>11499.52</v>
      </c>
      <c r="R8" s="54"/>
      <c r="S8" s="54"/>
      <c r="T8" s="54"/>
    </row>
    <row r="9" spans="1:20" s="39" customFormat="1" x14ac:dyDescent="0.2">
      <c r="A9" s="2"/>
      <c r="B9" s="37"/>
      <c r="C9" s="22">
        <v>2017</v>
      </c>
      <c r="D9" s="6">
        <v>5440</v>
      </c>
      <c r="E9" s="6">
        <v>9230</v>
      </c>
      <c r="F9" s="6">
        <v>11230</v>
      </c>
      <c r="G9" s="7"/>
      <c r="H9" s="37"/>
      <c r="I9" s="37"/>
      <c r="J9" s="38"/>
      <c r="M9" s="53">
        <v>3</v>
      </c>
      <c r="N9" s="54"/>
      <c r="O9" s="55">
        <f>E10</f>
        <v>10540</v>
      </c>
      <c r="P9" s="54">
        <f>O9*E$16</f>
        <v>13122.300000000001</v>
      </c>
      <c r="Q9" s="54">
        <f>P9*F$16</f>
        <v>13437.235200000001</v>
      </c>
      <c r="R9" s="54"/>
      <c r="S9" s="54"/>
      <c r="T9" s="54"/>
    </row>
    <row r="10" spans="1:20" s="39" customFormat="1" x14ac:dyDescent="0.2">
      <c r="A10" s="2"/>
      <c r="B10" s="37"/>
      <c r="C10" s="22">
        <v>2018</v>
      </c>
      <c r="D10" s="6">
        <v>5640</v>
      </c>
      <c r="E10" s="6">
        <v>10540</v>
      </c>
      <c r="F10" s="7"/>
      <c r="G10" s="7"/>
      <c r="H10" s="37"/>
      <c r="I10" s="37"/>
      <c r="J10" s="38"/>
      <c r="M10" s="53">
        <v>4</v>
      </c>
      <c r="N10" s="55">
        <f>D11</f>
        <v>5940</v>
      </c>
      <c r="O10" s="54">
        <f>N10*D$16</f>
        <v>10549.44</v>
      </c>
      <c r="P10" s="54">
        <f>O10*E$16</f>
        <v>13134.052800000001</v>
      </c>
      <c r="Q10" s="54">
        <f>P10*F$16</f>
        <v>13449.270067200001</v>
      </c>
      <c r="R10" s="54"/>
      <c r="S10" s="54"/>
      <c r="T10" s="54"/>
    </row>
    <row r="11" spans="1:20" s="39" customFormat="1" x14ac:dyDescent="0.2">
      <c r="A11" s="2"/>
      <c r="B11" s="37"/>
      <c r="C11" s="22">
        <v>2019</v>
      </c>
      <c r="D11" s="6">
        <v>5940</v>
      </c>
      <c r="E11" s="7"/>
      <c r="F11" s="7"/>
      <c r="G11" s="7"/>
      <c r="H11" s="37"/>
      <c r="I11" s="37"/>
      <c r="J11" s="38"/>
      <c r="N11" s="56"/>
      <c r="O11" s="54"/>
      <c r="P11" s="54"/>
      <c r="Q11" s="54"/>
      <c r="R11" s="54"/>
      <c r="S11" s="54"/>
      <c r="T11" s="54"/>
    </row>
    <row r="12" spans="1:20" s="39" customFormat="1" x14ac:dyDescent="0.2">
      <c r="A12" s="2"/>
      <c r="B12" s="37"/>
      <c r="C12" s="37"/>
      <c r="D12" s="37"/>
      <c r="E12" s="37"/>
      <c r="F12" s="37"/>
      <c r="G12" s="37"/>
      <c r="H12" s="37"/>
      <c r="I12" s="37"/>
      <c r="J12" s="38"/>
    </row>
    <row r="13" spans="1:20" s="39" customFormat="1" x14ac:dyDescent="0.2">
      <c r="A13" s="2"/>
      <c r="B13" s="37"/>
      <c r="C13" s="397" t="s">
        <v>80</v>
      </c>
      <c r="D13" s="7">
        <v>1</v>
      </c>
      <c r="E13" s="7">
        <v>2</v>
      </c>
      <c r="F13" s="7">
        <v>3</v>
      </c>
      <c r="G13" s="37"/>
      <c r="H13" s="37"/>
      <c r="I13" s="37"/>
      <c r="J13" s="38"/>
      <c r="N13" s="47"/>
      <c r="O13" s="47"/>
      <c r="P13" s="47"/>
    </row>
    <row r="14" spans="1:20" s="39" customFormat="1" ht="17" x14ac:dyDescent="0.2">
      <c r="A14" s="2"/>
      <c r="B14" s="37"/>
      <c r="C14" s="398"/>
      <c r="D14" s="20" t="s">
        <v>182</v>
      </c>
      <c r="E14" s="20" t="s">
        <v>183</v>
      </c>
      <c r="F14" s="20" t="s">
        <v>184</v>
      </c>
      <c r="G14" s="37"/>
      <c r="H14" s="37"/>
      <c r="I14" s="37"/>
      <c r="J14" s="38"/>
      <c r="M14" s="15" t="s">
        <v>82</v>
      </c>
    </row>
    <row r="15" spans="1:20" s="39" customFormat="1" ht="17" x14ac:dyDescent="0.2">
      <c r="A15" s="2"/>
      <c r="B15" s="37"/>
      <c r="C15" s="22" t="s">
        <v>81</v>
      </c>
      <c r="D15" s="57">
        <v>42.2</v>
      </c>
      <c r="E15" s="57">
        <v>23.3</v>
      </c>
      <c r="F15" s="57">
        <v>12.9</v>
      </c>
      <c r="G15" s="37"/>
      <c r="H15" s="37"/>
      <c r="I15" s="37"/>
      <c r="J15" s="38"/>
      <c r="N15" s="15"/>
    </row>
    <row r="16" spans="1:20" s="39" customFormat="1" ht="34" x14ac:dyDescent="0.2">
      <c r="A16" s="2"/>
      <c r="B16" s="37"/>
      <c r="C16" s="22" t="s">
        <v>76</v>
      </c>
      <c r="D16" s="58">
        <v>1.776</v>
      </c>
      <c r="E16" s="58">
        <v>1.2450000000000001</v>
      </c>
      <c r="F16" s="58">
        <v>1.024</v>
      </c>
      <c r="G16" s="37"/>
      <c r="H16" s="37"/>
      <c r="I16" s="37"/>
      <c r="J16" s="38"/>
      <c r="M16" s="43" t="s">
        <v>19</v>
      </c>
      <c r="N16" s="44">
        <v>1</v>
      </c>
      <c r="O16" s="44">
        <v>2</v>
      </c>
      <c r="P16" s="44">
        <v>3</v>
      </c>
      <c r="Q16" s="43"/>
      <c r="R16" s="59" t="s">
        <v>83</v>
      </c>
    </row>
    <row r="17" spans="1:21" s="39" customFormat="1" x14ac:dyDescent="0.2">
      <c r="A17" s="2"/>
      <c r="B17" s="37"/>
      <c r="C17" s="37"/>
      <c r="D17" s="37"/>
      <c r="E17" s="37"/>
      <c r="F17" s="37"/>
      <c r="G17" s="37"/>
      <c r="H17" s="37"/>
      <c r="I17" s="37"/>
      <c r="J17" s="38"/>
      <c r="M17" s="60">
        <v>1</v>
      </c>
      <c r="N17" s="61"/>
      <c r="O17" s="61"/>
      <c r="P17" s="61"/>
      <c r="Q17" s="62"/>
      <c r="R17" s="54">
        <f>SUM(N17:Q17)</f>
        <v>0</v>
      </c>
      <c r="S17" s="63"/>
    </row>
    <row r="18" spans="1:21" s="39" customFormat="1" x14ac:dyDescent="0.2">
      <c r="A18" s="2"/>
      <c r="B18" s="37"/>
      <c r="C18" s="37"/>
      <c r="D18" s="37"/>
      <c r="E18" s="37"/>
      <c r="F18" s="37"/>
      <c r="G18" s="37"/>
      <c r="H18" s="37"/>
      <c r="I18" s="37"/>
      <c r="J18" s="38"/>
      <c r="M18" s="60">
        <v>2</v>
      </c>
      <c r="N18" s="54"/>
      <c r="O18" s="54"/>
      <c r="P18" s="54">
        <f>$O27^2*F$15/F$16^2*(1/P8+1/SUM(F$8:F$8))</f>
        <v>296061.83364312275</v>
      </c>
      <c r="Q18" s="64"/>
      <c r="R18" s="54">
        <f>SUM(N18:Q18)</f>
        <v>296061.83364312275</v>
      </c>
      <c r="S18" s="63"/>
    </row>
    <row r="19" spans="1:21" s="39" customFormat="1" x14ac:dyDescent="0.2">
      <c r="A19" s="2"/>
      <c r="B19" s="37" t="s">
        <v>185</v>
      </c>
      <c r="C19" s="37"/>
      <c r="D19" s="37"/>
      <c r="E19" s="37"/>
      <c r="F19" s="37"/>
      <c r="G19" s="37"/>
      <c r="H19" s="37"/>
      <c r="I19" s="37"/>
      <c r="J19" s="38"/>
      <c r="M19" s="60">
        <v>3</v>
      </c>
      <c r="N19" s="54"/>
      <c r="O19" s="54">
        <f>$O28^2*E$15/E$16^2*(1/O9+1/SUM(E$8:E$9))</f>
        <v>411901.04217541753</v>
      </c>
      <c r="P19" s="54">
        <f>$O28^2*F$15/F$16^2*(1/P9+1/SUM(F$8:F$8))</f>
        <v>375719.33998522308</v>
      </c>
      <c r="Q19" s="64"/>
      <c r="R19" s="54">
        <f>SUM(N19:Q19)</f>
        <v>787620.38216064055</v>
      </c>
      <c r="S19" s="63"/>
    </row>
    <row r="20" spans="1:21" s="39" customFormat="1" ht="19" x14ac:dyDescent="0.35">
      <c r="A20" s="2"/>
      <c r="B20" s="37"/>
      <c r="C20" s="37"/>
      <c r="D20" s="37"/>
      <c r="E20" s="37"/>
      <c r="F20" s="37"/>
      <c r="G20" s="37"/>
      <c r="H20" s="37"/>
      <c r="I20" s="37"/>
      <c r="J20" s="38"/>
      <c r="M20" s="60">
        <v>4</v>
      </c>
      <c r="N20" s="54">
        <f>$O29^2*D$15/D$16^2*(1/N10+1/SUM(D$8:D$10))</f>
        <v>560292.78017019911</v>
      </c>
      <c r="O20" s="54">
        <f>$O29^2*E$15/E$16^2*(1/O10+1/SUM(E$8:E$9))</f>
        <v>412408.35616752185</v>
      </c>
      <c r="P20" s="54">
        <f>$O29^2*F$15/F$16^2*(1/P10+1/SUM(F$8:F$8))</f>
        <v>376240.90975346876</v>
      </c>
      <c r="Q20" s="65"/>
      <c r="R20" s="66">
        <f>SUM(N20:Q20)</f>
        <v>1348942.0460911898</v>
      </c>
      <c r="S20" s="63"/>
    </row>
    <row r="21" spans="1:21" s="39" customFormat="1" x14ac:dyDescent="0.2">
      <c r="A21" s="2"/>
      <c r="B21" s="67" t="s">
        <v>219</v>
      </c>
      <c r="C21" s="37"/>
      <c r="D21" s="37"/>
      <c r="E21" s="37"/>
      <c r="F21" s="37"/>
      <c r="G21" s="37"/>
      <c r="H21" s="37"/>
      <c r="I21" s="37"/>
      <c r="J21" s="38"/>
      <c r="N21" s="68"/>
      <c r="O21" s="68"/>
      <c r="P21" s="68"/>
      <c r="Q21" s="68"/>
      <c r="R21" s="69">
        <f>SUM(R17:R20)</f>
        <v>2432624.2618949534</v>
      </c>
      <c r="S21" s="39" t="s">
        <v>193</v>
      </c>
    </row>
    <row r="22" spans="1:21" s="39" customFormat="1" x14ac:dyDescent="0.2">
      <c r="A22" s="2"/>
      <c r="B22" s="67" t="s">
        <v>220</v>
      </c>
      <c r="C22" s="37"/>
      <c r="D22" s="37"/>
      <c r="E22" s="37"/>
      <c r="F22" s="37"/>
      <c r="G22" s="37"/>
      <c r="H22" s="37"/>
      <c r="I22" s="37"/>
      <c r="J22" s="38"/>
      <c r="N22" s="68"/>
      <c r="O22" s="68"/>
      <c r="P22" s="68"/>
      <c r="Q22" s="68"/>
    </row>
    <row r="23" spans="1:21" s="39" customFormat="1" x14ac:dyDescent="0.2">
      <c r="A23" s="2"/>
      <c r="B23" s="37"/>
      <c r="C23" s="37"/>
      <c r="D23" s="37"/>
      <c r="E23" s="37"/>
      <c r="F23" s="37"/>
      <c r="G23" s="37"/>
      <c r="H23" s="37"/>
      <c r="I23" s="37"/>
      <c r="J23" s="38"/>
      <c r="M23" s="39" t="s">
        <v>197</v>
      </c>
    </row>
    <row r="24" spans="1:21" s="39" customFormat="1" x14ac:dyDescent="0.2">
      <c r="A24" s="2"/>
      <c r="B24" s="37"/>
      <c r="C24" s="37"/>
      <c r="D24" s="37"/>
      <c r="E24" s="37"/>
      <c r="F24" s="37"/>
      <c r="G24" s="37"/>
      <c r="H24" s="37"/>
      <c r="I24" s="37"/>
      <c r="J24" s="38"/>
      <c r="T24" s="5"/>
      <c r="U24" s="5"/>
    </row>
    <row r="25" spans="1:21" s="39" customFormat="1" x14ac:dyDescent="0.2">
      <c r="A25" s="70" t="s">
        <v>0</v>
      </c>
      <c r="B25" s="37" t="s">
        <v>186</v>
      </c>
      <c r="C25" s="37"/>
      <c r="D25" s="37"/>
      <c r="E25" s="37"/>
      <c r="F25" s="37"/>
      <c r="G25" s="37"/>
      <c r="H25" s="37"/>
      <c r="I25" s="37"/>
      <c r="J25" s="38"/>
      <c r="M25" s="43" t="s">
        <v>19</v>
      </c>
      <c r="N25" s="44" t="s">
        <v>84</v>
      </c>
      <c r="O25" s="44" t="s">
        <v>48</v>
      </c>
      <c r="P25" s="44" t="s">
        <v>85</v>
      </c>
      <c r="T25" s="5"/>
      <c r="U25" s="5"/>
    </row>
    <row r="26" spans="1:21" s="39" customFormat="1" x14ac:dyDescent="0.2">
      <c r="A26" s="2"/>
      <c r="B26" s="37" t="s">
        <v>187</v>
      </c>
      <c r="C26" s="37"/>
      <c r="D26" s="37"/>
      <c r="E26" s="37"/>
      <c r="F26" s="37"/>
      <c r="G26" s="37"/>
      <c r="H26" s="37"/>
      <c r="I26" s="37"/>
      <c r="J26" s="38"/>
      <c r="M26" s="60">
        <f>C8</f>
        <v>2016</v>
      </c>
      <c r="N26" s="69">
        <f>G8</f>
        <v>11020</v>
      </c>
      <c r="O26" s="54">
        <f>Q7</f>
        <v>11020</v>
      </c>
      <c r="P26" s="54">
        <f>O26-N26</f>
        <v>0</v>
      </c>
      <c r="U26" s="40"/>
    </row>
    <row r="27" spans="1:21" s="39" customFormat="1" x14ac:dyDescent="0.2">
      <c r="A27" s="2"/>
      <c r="B27" s="37"/>
      <c r="C27" s="37"/>
      <c r="D27" s="37"/>
      <c r="E27" s="37"/>
      <c r="F27" s="37"/>
      <c r="G27" s="37"/>
      <c r="H27" s="37"/>
      <c r="I27" s="37"/>
      <c r="J27" s="38"/>
      <c r="M27" s="60">
        <f>C9</f>
        <v>2017</v>
      </c>
      <c r="N27" s="69">
        <f>F9</f>
        <v>11230</v>
      </c>
      <c r="O27" s="54">
        <f t="shared" ref="O27:O29" si="0">Q8</f>
        <v>11499.52</v>
      </c>
      <c r="P27" s="54">
        <f t="shared" ref="P27:P29" si="1">O27-N27</f>
        <v>269.52000000000044</v>
      </c>
      <c r="T27" s="5"/>
      <c r="U27" s="5"/>
    </row>
    <row r="28" spans="1:21" s="39" customFormat="1" x14ac:dyDescent="0.2">
      <c r="A28" s="70" t="s">
        <v>1</v>
      </c>
      <c r="B28" s="37" t="s">
        <v>188</v>
      </c>
      <c r="C28" s="37"/>
      <c r="D28" s="37"/>
      <c r="E28" s="37"/>
      <c r="F28" s="37"/>
      <c r="G28" s="37"/>
      <c r="H28" s="37"/>
      <c r="I28" s="37"/>
      <c r="J28" s="38"/>
      <c r="M28" s="60">
        <f>C10</f>
        <v>2018</v>
      </c>
      <c r="N28" s="69">
        <f>E10</f>
        <v>10540</v>
      </c>
      <c r="O28" s="54">
        <f t="shared" si="0"/>
        <v>13437.235200000001</v>
      </c>
      <c r="P28" s="54">
        <f t="shared" si="1"/>
        <v>2897.235200000001</v>
      </c>
      <c r="T28" s="5"/>
      <c r="U28" s="5"/>
    </row>
    <row r="29" spans="1:21" s="39" customFormat="1" x14ac:dyDescent="0.2">
      <c r="A29" s="2"/>
      <c r="B29" s="37"/>
      <c r="C29" s="37"/>
      <c r="D29" s="37"/>
      <c r="E29" s="37"/>
      <c r="F29" s="37"/>
      <c r="G29" s="37"/>
      <c r="H29" s="37"/>
      <c r="I29" s="37"/>
      <c r="J29" s="38"/>
      <c r="M29" s="43">
        <f>C11</f>
        <v>2019</v>
      </c>
      <c r="N29" s="71">
        <f>D11</f>
        <v>5940</v>
      </c>
      <c r="O29" s="72">
        <f t="shared" si="0"/>
        <v>13449.270067200001</v>
      </c>
      <c r="P29" s="72">
        <f t="shared" si="1"/>
        <v>7509.270067200001</v>
      </c>
      <c r="T29" s="5"/>
      <c r="U29" s="5"/>
    </row>
    <row r="30" spans="1:21" s="39" customFormat="1" x14ac:dyDescent="0.2">
      <c r="A30" s="70" t="s">
        <v>2</v>
      </c>
      <c r="B30" s="37" t="s">
        <v>189</v>
      </c>
      <c r="C30" s="37"/>
      <c r="D30" s="37"/>
      <c r="E30" s="37"/>
      <c r="F30" s="37"/>
      <c r="G30" s="37"/>
      <c r="H30" s="37"/>
      <c r="I30" s="37"/>
      <c r="J30" s="38"/>
      <c r="M30" s="60" t="s">
        <v>89</v>
      </c>
      <c r="N30" s="54">
        <f>SUM(N26:N29)</f>
        <v>38730</v>
      </c>
      <c r="O30" s="54">
        <f>SUM(O26:O29)</f>
        <v>49406.025267199999</v>
      </c>
      <c r="P30" s="54">
        <f>SUM(P26:P29)</f>
        <v>10676.025267200002</v>
      </c>
      <c r="T30" s="5"/>
      <c r="U30" s="5"/>
    </row>
    <row r="31" spans="1:21" s="39" customFormat="1" x14ac:dyDescent="0.2">
      <c r="A31" s="2"/>
      <c r="B31" s="37" t="s">
        <v>190</v>
      </c>
      <c r="C31" s="37"/>
      <c r="D31" s="37"/>
      <c r="E31" s="37"/>
      <c r="F31" s="37"/>
      <c r="G31" s="37"/>
      <c r="H31" s="37"/>
      <c r="I31" s="37"/>
      <c r="J31" s="38"/>
      <c r="N31" s="54"/>
      <c r="O31" s="54"/>
      <c r="P31" s="54"/>
      <c r="Q31" s="54"/>
      <c r="R31" s="54"/>
    </row>
    <row r="32" spans="1:21" s="39" customFormat="1" x14ac:dyDescent="0.2">
      <c r="A32" s="70"/>
      <c r="B32" s="37"/>
      <c r="C32" s="37"/>
      <c r="D32" s="37"/>
      <c r="E32" s="37"/>
      <c r="F32" s="37"/>
      <c r="G32" s="37"/>
      <c r="H32" s="37"/>
      <c r="I32" s="37"/>
      <c r="J32" s="38"/>
      <c r="M32" s="392" t="s">
        <v>194</v>
      </c>
      <c r="N32" s="392"/>
      <c r="O32" s="392"/>
      <c r="P32" s="392"/>
      <c r="Q32" s="392"/>
      <c r="R32" s="392"/>
      <c r="S32" s="392"/>
      <c r="T32" s="392"/>
    </row>
    <row r="33" spans="1:20" s="39" customFormat="1" ht="17" thickBot="1" x14ac:dyDescent="0.25">
      <c r="A33" s="2"/>
      <c r="B33" s="37"/>
      <c r="C33" s="37"/>
      <c r="D33" s="37"/>
      <c r="E33" s="37"/>
      <c r="F33" s="37"/>
      <c r="G33" s="37"/>
      <c r="H33" s="37"/>
      <c r="I33" s="37"/>
      <c r="J33" s="38"/>
      <c r="M33" s="392"/>
      <c r="N33" s="392"/>
      <c r="O33" s="392"/>
      <c r="P33" s="392"/>
      <c r="Q33" s="392"/>
      <c r="R33" s="392"/>
      <c r="S33" s="392"/>
      <c r="T33" s="392"/>
    </row>
    <row r="34" spans="1:20" s="39" customFormat="1" ht="17" thickBot="1" x14ac:dyDescent="0.25">
      <c r="A34" s="394" t="s">
        <v>205</v>
      </c>
      <c r="B34" s="395"/>
      <c r="C34" s="395"/>
      <c r="D34" s="395"/>
      <c r="E34" s="395"/>
      <c r="F34" s="395"/>
      <c r="G34" s="395"/>
      <c r="H34" s="395"/>
      <c r="I34" s="395"/>
      <c r="J34" s="396"/>
      <c r="M34" s="39" t="s">
        <v>195</v>
      </c>
      <c r="N34" s="54">
        <f>SQRT(R21)</f>
        <v>1559.6872320740954</v>
      </c>
      <c r="O34" s="54"/>
      <c r="P34" s="54"/>
      <c r="Q34" s="54"/>
      <c r="R34" s="54"/>
    </row>
    <row r="35" spans="1:20" s="39" customFormat="1" x14ac:dyDescent="0.2">
      <c r="N35" s="54"/>
      <c r="O35" s="54"/>
      <c r="P35" s="54"/>
      <c r="Q35" s="54"/>
      <c r="R35" s="54"/>
    </row>
    <row r="36" spans="1:20" s="39" customFormat="1" ht="19" x14ac:dyDescent="0.25">
      <c r="A36" s="3"/>
      <c r="M36" s="39" t="s">
        <v>196</v>
      </c>
      <c r="N36" s="54"/>
      <c r="O36" s="54"/>
      <c r="P36" s="54"/>
      <c r="Q36" s="54"/>
      <c r="R36" s="54"/>
    </row>
    <row r="37" spans="1:20" s="39" customFormat="1" ht="17" thickBot="1" x14ac:dyDescent="0.25">
      <c r="N37" s="54"/>
      <c r="O37" s="54"/>
      <c r="P37" s="54"/>
      <c r="Q37" s="54"/>
      <c r="R37" s="54"/>
    </row>
    <row r="38" spans="1:20" s="39" customFormat="1" x14ac:dyDescent="0.2">
      <c r="M38" s="105" t="s">
        <v>61</v>
      </c>
      <c r="N38" s="106">
        <f>$P$30+1.645*$N$34</f>
        <v>13241.71076396189</v>
      </c>
      <c r="O38" s="54"/>
      <c r="P38" s="54"/>
      <c r="Q38" s="54"/>
      <c r="R38" s="54"/>
    </row>
    <row r="39" spans="1:20" s="39" customFormat="1" ht="17" thickBot="1" x14ac:dyDescent="0.25">
      <c r="M39" s="107" t="s">
        <v>169</v>
      </c>
      <c r="N39" s="108">
        <f>$P$30-1.645*$N$34</f>
        <v>8110.339770438115</v>
      </c>
      <c r="O39" s="54"/>
      <c r="P39" s="54"/>
      <c r="Q39" s="54"/>
      <c r="R39" s="54"/>
    </row>
    <row r="40" spans="1:20" s="39" customFormat="1" x14ac:dyDescent="0.2">
      <c r="N40" s="54"/>
      <c r="O40" s="54"/>
      <c r="P40" s="54"/>
      <c r="Q40" s="54"/>
      <c r="R40" s="54"/>
    </row>
    <row r="41" spans="1:20" s="39" customFormat="1" x14ac:dyDescent="0.2">
      <c r="N41" s="54"/>
      <c r="O41" s="54"/>
      <c r="P41" s="54"/>
      <c r="Q41" s="54"/>
      <c r="R41" s="54"/>
    </row>
    <row r="42" spans="1:20" s="39" customFormat="1" x14ac:dyDescent="0.2">
      <c r="L42" s="15" t="s">
        <v>4</v>
      </c>
      <c r="N42" s="54"/>
      <c r="O42" s="54"/>
      <c r="P42" s="54"/>
      <c r="Q42" s="54"/>
      <c r="R42" s="54"/>
    </row>
    <row r="43" spans="1:20" s="39" customFormat="1" x14ac:dyDescent="0.2">
      <c r="L43" s="401" t="s">
        <v>198</v>
      </c>
      <c r="M43" s="392"/>
      <c r="N43" s="392"/>
      <c r="O43" s="392"/>
      <c r="P43" s="392"/>
      <c r="Q43" s="392"/>
      <c r="R43" s="392"/>
      <c r="S43" s="392"/>
      <c r="T43" s="48"/>
    </row>
    <row r="44" spans="1:20" s="39" customFormat="1" ht="16" customHeight="1" x14ac:dyDescent="0.2">
      <c r="L44" s="392"/>
      <c r="M44" s="392"/>
      <c r="N44" s="392"/>
      <c r="O44" s="392"/>
      <c r="P44" s="392"/>
      <c r="Q44" s="392"/>
      <c r="R44" s="392"/>
      <c r="S44" s="392"/>
      <c r="T44" s="48"/>
    </row>
    <row r="45" spans="1:20" s="39" customFormat="1" x14ac:dyDescent="0.2">
      <c r="L45" s="392"/>
      <c r="M45" s="392"/>
      <c r="N45" s="392"/>
      <c r="O45" s="392"/>
      <c r="P45" s="392"/>
      <c r="Q45" s="392"/>
      <c r="R45" s="392"/>
      <c r="S45" s="392"/>
      <c r="T45" s="48"/>
    </row>
    <row r="46" spans="1:20" s="39" customFormat="1" x14ac:dyDescent="0.2">
      <c r="L46" s="392"/>
      <c r="M46" s="392"/>
      <c r="N46" s="392"/>
      <c r="O46" s="392"/>
      <c r="P46" s="392"/>
      <c r="Q46" s="392"/>
      <c r="R46" s="392"/>
      <c r="S46" s="392"/>
      <c r="T46" s="48"/>
    </row>
    <row r="47" spans="1:20" s="39" customFormat="1" x14ac:dyDescent="0.2">
      <c r="L47" s="392"/>
      <c r="M47" s="392"/>
      <c r="N47" s="392"/>
      <c r="O47" s="392"/>
      <c r="P47" s="392"/>
      <c r="Q47" s="392"/>
      <c r="R47" s="392"/>
      <c r="S47" s="392"/>
      <c r="T47" s="48"/>
    </row>
    <row r="48" spans="1:20" s="39" customFormat="1" x14ac:dyDescent="0.2">
      <c r="L48" s="392"/>
      <c r="M48" s="392"/>
      <c r="N48" s="392"/>
      <c r="O48" s="392"/>
      <c r="P48" s="392"/>
      <c r="Q48" s="392"/>
      <c r="R48" s="392"/>
      <c r="S48" s="392"/>
      <c r="T48" s="48"/>
    </row>
    <row r="49" spans="12:21" s="39" customFormat="1" x14ac:dyDescent="0.2">
      <c r="M49" s="48"/>
      <c r="N49" s="48"/>
      <c r="O49" s="48"/>
      <c r="P49" s="48"/>
      <c r="Q49" s="48"/>
      <c r="R49" s="48"/>
      <c r="S49" s="48"/>
      <c r="T49" s="48"/>
      <c r="U49" s="48"/>
    </row>
    <row r="50" spans="12:21" s="39" customFormat="1" x14ac:dyDescent="0.2">
      <c r="L50" s="15" t="s">
        <v>5</v>
      </c>
      <c r="N50" s="54"/>
      <c r="O50" s="54"/>
      <c r="P50" s="54"/>
      <c r="Q50" s="54"/>
      <c r="R50" s="54"/>
    </row>
    <row r="51" spans="12:21" s="39" customFormat="1" x14ac:dyDescent="0.2">
      <c r="N51" s="54"/>
      <c r="O51" s="54"/>
      <c r="P51" s="54"/>
      <c r="Q51" s="54"/>
      <c r="R51" s="54"/>
    </row>
    <row r="52" spans="12:21" s="39" customFormat="1" x14ac:dyDescent="0.2">
      <c r="M52" s="39" t="s">
        <v>199</v>
      </c>
      <c r="R52" s="69"/>
    </row>
    <row r="53" spans="12:21" s="39" customFormat="1" x14ac:dyDescent="0.2"/>
    <row r="54" spans="12:21" s="39" customFormat="1" x14ac:dyDescent="0.2">
      <c r="M54" s="43" t="s">
        <v>80</v>
      </c>
      <c r="N54" s="44">
        <v>1</v>
      </c>
      <c r="O54" s="44">
        <v>2</v>
      </c>
      <c r="P54" s="44">
        <v>3</v>
      </c>
    </row>
    <row r="55" spans="12:21" s="39" customFormat="1" x14ac:dyDescent="0.2">
      <c r="M55" s="53" t="s">
        <v>91</v>
      </c>
      <c r="N55" s="73">
        <f>2*D15/D16^2/SUM(D8:D10)</f>
        <v>1.6903459946945633E-3</v>
      </c>
      <c r="O55" s="73">
        <f>2*E15/E16^2/SUM(E8:E9)</f>
        <v>1.7101269183903761E-3</v>
      </c>
      <c r="P55" s="73">
        <f>2*F15/F16^2/SUM(F8:F8)</f>
        <v>2.2866912047659156E-3</v>
      </c>
      <c r="Q55" s="68"/>
      <c r="S55" s="68"/>
      <c r="T55" s="68"/>
    </row>
    <row r="56" spans="12:21" s="39" customFormat="1" x14ac:dyDescent="0.2">
      <c r="M56" s="53" t="s">
        <v>92</v>
      </c>
      <c r="N56" s="73">
        <f>SUM(N55:$P$55)</f>
        <v>5.6871641178508547E-3</v>
      </c>
      <c r="O56" s="73">
        <f>SUM(O55:$P$55)</f>
        <v>3.9968181231562917E-3</v>
      </c>
      <c r="P56" s="73">
        <f>SUM(P55:$P$55)</f>
        <v>2.2866912047659156E-3</v>
      </c>
      <c r="Q56" s="68"/>
      <c r="R56" s="68"/>
      <c r="S56" s="68"/>
      <c r="T56" s="68"/>
    </row>
    <row r="57" spans="12:21" s="39" customFormat="1" x14ac:dyDescent="0.2"/>
    <row r="58" spans="12:21" s="39" customFormat="1" x14ac:dyDescent="0.2">
      <c r="P58" s="399" t="s">
        <v>94</v>
      </c>
    </row>
    <row r="59" spans="12:21" s="39" customFormat="1" x14ac:dyDescent="0.2">
      <c r="M59" s="43" t="s">
        <v>19</v>
      </c>
      <c r="N59" s="44" t="s">
        <v>93</v>
      </c>
      <c r="O59" s="44"/>
      <c r="P59" s="400"/>
    </row>
    <row r="60" spans="12:21" s="39" customFormat="1" x14ac:dyDescent="0.2">
      <c r="M60" s="60">
        <v>2</v>
      </c>
      <c r="N60" s="69">
        <f>O27*SUM(O28:$O$29)</f>
        <v>309181905.05027175</v>
      </c>
      <c r="O60" s="73">
        <f>P56</f>
        <v>2.2866912047659156E-3</v>
      </c>
      <c r="P60" s="69">
        <f>O60*N60+R18</f>
        <v>1003065.3765943495</v>
      </c>
    </row>
    <row r="61" spans="12:21" s="39" customFormat="1" x14ac:dyDescent="0.2">
      <c r="M61" s="60">
        <v>3</v>
      </c>
      <c r="N61" s="69">
        <f>O28*SUM(O29:$O$29)</f>
        <v>180721005.16128623</v>
      </c>
      <c r="O61" s="73">
        <f>O56</f>
        <v>3.9968181231562917E-3</v>
      </c>
      <c r="P61" s="69">
        <f>O61*N61+R19</f>
        <v>1509929.3708242911</v>
      </c>
    </row>
    <row r="62" spans="12:21" s="39" customFormat="1" x14ac:dyDescent="0.2">
      <c r="M62" s="43">
        <v>4</v>
      </c>
      <c r="N62" s="74">
        <v>0</v>
      </c>
      <c r="O62" s="75">
        <f>N56</f>
        <v>5.6871641178508547E-3</v>
      </c>
      <c r="P62" s="71">
        <f>O62*N62+R20</f>
        <v>1348942.0460911898</v>
      </c>
    </row>
    <row r="63" spans="12:21" s="39" customFormat="1" x14ac:dyDescent="0.2">
      <c r="L63" s="5"/>
      <c r="M63" s="60" t="s">
        <v>89</v>
      </c>
      <c r="N63" s="76"/>
      <c r="O63" s="68"/>
      <c r="P63" s="77">
        <f>SUM(P60:P62)</f>
        <v>3861936.7935098307</v>
      </c>
      <c r="U63" s="5"/>
    </row>
    <row r="64" spans="12:21" s="39" customFormat="1" x14ac:dyDescent="0.2">
      <c r="L64" s="5"/>
      <c r="U64" s="5"/>
    </row>
    <row r="65" spans="11:23" x14ac:dyDescent="0.2">
      <c r="L65" s="5"/>
      <c r="M65" s="39" t="s">
        <v>195</v>
      </c>
      <c r="N65" s="54">
        <f>SQRT(P63)</f>
        <v>1965.1811095952023</v>
      </c>
      <c r="O65" s="5"/>
      <c r="P65" s="5"/>
      <c r="Q65" s="5"/>
      <c r="R65" s="5"/>
      <c r="S65" s="5"/>
      <c r="T65" s="5"/>
      <c r="U65" s="5"/>
      <c r="V65" s="39"/>
      <c r="W65" s="39"/>
    </row>
    <row r="66" spans="11:23" x14ac:dyDescent="0.2">
      <c r="L66" s="5"/>
      <c r="M66" s="39"/>
      <c r="N66" s="54"/>
      <c r="O66" s="5"/>
      <c r="P66" s="5"/>
      <c r="Q66" s="5"/>
      <c r="R66" s="5"/>
      <c r="S66" s="5"/>
      <c r="T66" s="5"/>
      <c r="U66" s="5"/>
      <c r="V66" s="39"/>
      <c r="W66" s="39"/>
    </row>
    <row r="67" spans="11:23" x14ac:dyDescent="0.2">
      <c r="L67" s="5"/>
      <c r="M67" s="39" t="s">
        <v>196</v>
      </c>
      <c r="N67" s="54"/>
      <c r="O67" s="5"/>
      <c r="P67" s="5"/>
      <c r="Q67" s="5"/>
      <c r="R67" s="5"/>
      <c r="S67" s="5"/>
      <c r="T67" s="5"/>
      <c r="U67" s="5"/>
      <c r="V67" s="39"/>
      <c r="W67" s="39"/>
    </row>
    <row r="68" spans="11:23" ht="17" thickBot="1" x14ac:dyDescent="0.25">
      <c r="L68" s="5"/>
      <c r="M68" s="39"/>
      <c r="N68" s="54"/>
      <c r="O68" s="5"/>
      <c r="P68" s="5"/>
      <c r="Q68" s="5"/>
      <c r="R68" s="5"/>
      <c r="S68" s="5"/>
      <c r="T68" s="5"/>
      <c r="U68" s="5"/>
      <c r="V68" s="39"/>
      <c r="W68" s="39"/>
    </row>
    <row r="69" spans="11:23" x14ac:dyDescent="0.2">
      <c r="K69" s="5"/>
      <c r="L69" s="5"/>
      <c r="M69" s="105" t="s">
        <v>61</v>
      </c>
      <c r="N69" s="106">
        <f>$P$30+1.645*$N$65</f>
        <v>13908.74819248411</v>
      </c>
      <c r="O69" s="5"/>
      <c r="P69" s="5"/>
      <c r="Q69" s="5"/>
      <c r="R69" s="5"/>
      <c r="S69" s="5"/>
      <c r="T69" s="5"/>
      <c r="U69" s="5"/>
      <c r="V69" s="39"/>
      <c r="W69" s="39"/>
    </row>
    <row r="70" spans="11:23" ht="17" thickBot="1" x14ac:dyDescent="0.25">
      <c r="K70" s="5"/>
      <c r="L70" s="5"/>
      <c r="M70" s="107" t="s">
        <v>169</v>
      </c>
      <c r="N70" s="108">
        <f>$P$30-1.645*$N$65</f>
        <v>7443.3023419158944</v>
      </c>
      <c r="O70" s="5"/>
      <c r="P70" s="5"/>
      <c r="Q70" s="5"/>
      <c r="R70" s="5"/>
      <c r="S70" s="5"/>
      <c r="T70" s="5"/>
      <c r="U70" s="5"/>
      <c r="V70" s="39"/>
      <c r="W70" s="39"/>
    </row>
    <row r="71" spans="11:23" x14ac:dyDescent="0.2">
      <c r="L71" s="5"/>
      <c r="M71" s="5"/>
      <c r="N71" s="5"/>
      <c r="O71" s="5"/>
      <c r="P71" s="5"/>
      <c r="Q71" s="5"/>
      <c r="R71" s="5"/>
      <c r="S71" s="5"/>
      <c r="T71" s="5"/>
      <c r="U71" s="5"/>
      <c r="V71" s="39"/>
      <c r="W71" s="39"/>
    </row>
    <row r="72" spans="11:23" ht="19" x14ac:dyDescent="0.25">
      <c r="K72" s="5"/>
      <c r="L72" s="3" t="s">
        <v>200</v>
      </c>
      <c r="M72" s="5"/>
      <c r="N72" s="5"/>
      <c r="O72" s="5"/>
      <c r="P72" s="5"/>
      <c r="Q72" s="5"/>
      <c r="R72" s="5"/>
      <c r="S72" s="5"/>
      <c r="T72" s="5"/>
      <c r="U72" s="5"/>
      <c r="V72" s="39"/>
      <c r="W72" s="39"/>
    </row>
    <row r="73" spans="11:23" ht="15.5" customHeight="1" x14ac:dyDescent="0.2">
      <c r="K73" s="5"/>
      <c r="L73" s="411" t="s">
        <v>246</v>
      </c>
      <c r="M73" s="402"/>
      <c r="N73" s="402"/>
      <c r="O73" s="402"/>
      <c r="P73" s="402"/>
      <c r="Q73" s="402"/>
      <c r="R73" s="402"/>
      <c r="S73" s="402"/>
      <c r="T73" s="5"/>
      <c r="U73" s="39"/>
      <c r="V73" s="39"/>
      <c r="W73" s="39"/>
    </row>
    <row r="74" spans="11:23" x14ac:dyDescent="0.2">
      <c r="K74" s="5"/>
      <c r="L74" s="402"/>
      <c r="M74" s="402"/>
      <c r="N74" s="402"/>
      <c r="O74" s="402"/>
      <c r="P74" s="402"/>
      <c r="Q74" s="402"/>
      <c r="R74" s="402"/>
      <c r="S74" s="402"/>
      <c r="T74" s="48"/>
      <c r="U74" s="39"/>
      <c r="V74" s="39"/>
      <c r="W74" s="39"/>
    </row>
    <row r="75" spans="11:23" ht="16" customHeight="1" x14ac:dyDescent="0.2">
      <c r="K75" s="5"/>
      <c r="L75" s="402"/>
      <c r="M75" s="402"/>
      <c r="N75" s="402"/>
      <c r="O75" s="402"/>
      <c r="P75" s="402"/>
      <c r="Q75" s="402"/>
      <c r="R75" s="402"/>
      <c r="S75" s="402"/>
      <c r="T75" s="39"/>
      <c r="U75" s="39"/>
      <c r="V75" s="39"/>
      <c r="W75" s="39"/>
    </row>
    <row r="76" spans="11:23" ht="15.5" customHeight="1" x14ac:dyDescent="0.2">
      <c r="L76" s="402"/>
      <c r="M76" s="402"/>
      <c r="N76" s="402"/>
      <c r="O76" s="402"/>
      <c r="P76" s="402"/>
      <c r="Q76" s="402"/>
      <c r="R76" s="402"/>
      <c r="S76" s="402"/>
      <c r="T76" s="39"/>
      <c r="U76" s="39"/>
      <c r="V76" s="39"/>
      <c r="W76" s="39"/>
    </row>
    <row r="77" spans="11:23" ht="15.5" customHeight="1" x14ac:dyDescent="0.2">
      <c r="L77" s="402"/>
      <c r="M77" s="402"/>
      <c r="N77" s="402"/>
      <c r="O77" s="402"/>
      <c r="P77" s="402"/>
      <c r="Q77" s="402"/>
      <c r="R77" s="402"/>
      <c r="S77" s="402"/>
      <c r="T77" s="39"/>
      <c r="U77" s="39"/>
      <c r="V77" s="39"/>
      <c r="W77" s="39"/>
    </row>
    <row r="78" spans="11:23" ht="15.5" customHeight="1" x14ac:dyDescent="0.2">
      <c r="L78" s="402"/>
      <c r="M78" s="402"/>
      <c r="N78" s="402"/>
      <c r="O78" s="402"/>
      <c r="P78" s="402"/>
      <c r="Q78" s="402"/>
      <c r="R78" s="402"/>
      <c r="S78" s="402"/>
      <c r="T78" s="39"/>
      <c r="U78" s="39"/>
      <c r="V78" s="39"/>
      <c r="W78" s="39"/>
    </row>
    <row r="79" spans="11:23" ht="15.5" customHeight="1" x14ac:dyDescent="0.2">
      <c r="L79" s="402"/>
      <c r="M79" s="402"/>
      <c r="N79" s="402"/>
      <c r="O79" s="402"/>
      <c r="P79" s="402"/>
      <c r="Q79" s="402"/>
      <c r="R79" s="402"/>
      <c r="S79" s="402"/>
      <c r="T79" s="39"/>
      <c r="U79" s="39"/>
      <c r="V79" s="39"/>
      <c r="W79" s="39"/>
    </row>
    <row r="80" spans="11:23" ht="15.5" customHeight="1" x14ac:dyDescent="0.2">
      <c r="L80" s="402"/>
      <c r="M80" s="402"/>
      <c r="N80" s="402"/>
      <c r="O80" s="402"/>
      <c r="P80" s="402"/>
      <c r="Q80" s="402"/>
      <c r="R80" s="402"/>
      <c r="S80" s="402"/>
      <c r="T80" s="39"/>
      <c r="U80" s="39"/>
      <c r="V80" s="39"/>
      <c r="W80" s="39"/>
    </row>
    <row r="81" spans="12:23" ht="15.5" customHeight="1" x14ac:dyDescent="0.2">
      <c r="L81" s="5"/>
      <c r="M81" s="78"/>
      <c r="N81" s="78"/>
      <c r="O81" s="78"/>
      <c r="P81" s="78"/>
      <c r="Q81" s="78"/>
      <c r="R81" s="78"/>
      <c r="S81" s="78"/>
      <c r="T81" s="78"/>
      <c r="U81" s="39"/>
      <c r="V81" s="39"/>
      <c r="W81" s="39"/>
    </row>
    <row r="82" spans="12:23" ht="19" x14ac:dyDescent="0.25">
      <c r="L82" s="3" t="s">
        <v>236</v>
      </c>
      <c r="M82" s="5"/>
      <c r="N82" s="5"/>
      <c r="O82" s="39"/>
      <c r="P82" s="39"/>
      <c r="Q82" s="39"/>
      <c r="R82" s="39"/>
      <c r="S82" s="39"/>
      <c r="T82" s="39"/>
      <c r="U82" s="39"/>
      <c r="V82" s="39"/>
      <c r="W82" s="39"/>
    </row>
    <row r="83" spans="12:23" x14ac:dyDescent="0.2">
      <c r="L83" s="104" t="s">
        <v>240</v>
      </c>
      <c r="M83" s="5"/>
      <c r="N83" s="5"/>
      <c r="O83" s="39"/>
      <c r="P83" s="39"/>
      <c r="Q83" s="39"/>
      <c r="R83" s="39"/>
      <c r="S83" s="39"/>
      <c r="T83" s="39"/>
      <c r="U83" s="39"/>
      <c r="V83" s="39"/>
      <c r="W83" s="39"/>
    </row>
    <row r="84" spans="12:23" x14ac:dyDescent="0.2">
      <c r="L84" s="104" t="s">
        <v>241</v>
      </c>
      <c r="M84" s="5"/>
      <c r="N84" s="5"/>
      <c r="O84" s="39"/>
      <c r="P84" s="39"/>
      <c r="Q84" s="39"/>
      <c r="R84" s="39"/>
      <c r="S84" s="39"/>
      <c r="T84" s="39"/>
      <c r="U84" s="39"/>
      <c r="V84" s="39"/>
      <c r="W84" s="39"/>
    </row>
    <row r="93" spans="12:23" x14ac:dyDescent="0.2">
      <c r="M93" s="121"/>
    </row>
    <row r="97" spans="1:65" x14ac:dyDescent="0.2">
      <c r="K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K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K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K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K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K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K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K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K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K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K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ht="159" customHeight="1" x14ac:dyDescent="0.2">
      <c r="A111" s="5"/>
      <c r="B111" s="5"/>
      <c r="C111" s="5"/>
      <c r="D111" s="5"/>
      <c r="E111" s="5"/>
      <c r="F111" s="5"/>
      <c r="G111" s="5"/>
      <c r="H111" s="5"/>
      <c r="I111" s="5"/>
      <c r="J111" s="5"/>
      <c r="K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K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K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K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K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sheetData>
  <mergeCells count="7">
    <mergeCell ref="L73:S80"/>
    <mergeCell ref="C13:C14"/>
    <mergeCell ref="C6:G6"/>
    <mergeCell ref="A34:J34"/>
    <mergeCell ref="M32:T33"/>
    <mergeCell ref="L43:S48"/>
    <mergeCell ref="P58:P5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4EAE-9490-CD4F-B443-A2A3D5BC1A93}">
  <dimension ref="A1:T103"/>
  <sheetViews>
    <sheetView workbookViewId="0"/>
  </sheetViews>
  <sheetFormatPr baseColWidth="10" defaultColWidth="11" defaultRowHeight="16" outlineLevelCol="1" x14ac:dyDescent="0.2"/>
  <cols>
    <col min="1" max="1" width="4.5" customWidth="1"/>
    <col min="3" max="10" width="10.83203125" customWidth="1"/>
    <col min="12" max="12" width="11.1640625" bestFit="1" customWidth="1"/>
    <col min="13" max="13" width="17.5" hidden="1" customWidth="1" outlineLevel="1"/>
    <col min="14" max="17" width="10.83203125" hidden="1" customWidth="1" outlineLevel="1"/>
    <col min="18" max="18" width="12" hidden="1" customWidth="1" outlineLevel="1"/>
    <col min="19" max="19" width="11" hidden="1" customWidth="1" outlineLevel="1"/>
    <col min="20" max="20" width="11" collapsed="1"/>
  </cols>
  <sheetData>
    <row r="1" spans="1:17" ht="19" x14ac:dyDescent="0.25">
      <c r="A1" s="230" t="s">
        <v>306</v>
      </c>
      <c r="B1" s="229"/>
      <c r="C1" s="228"/>
      <c r="D1" s="228"/>
      <c r="E1" s="228"/>
      <c r="F1" s="227"/>
      <c r="G1" s="227"/>
      <c r="H1" s="227"/>
      <c r="I1" s="227"/>
      <c r="J1" s="226"/>
      <c r="L1" s="156" t="s">
        <v>206</v>
      </c>
    </row>
    <row r="2" spans="1:17" x14ac:dyDescent="0.2">
      <c r="A2" s="199"/>
      <c r="B2" s="197"/>
      <c r="C2" s="197"/>
      <c r="D2" s="197"/>
      <c r="E2" s="197"/>
      <c r="F2" s="197"/>
      <c r="G2" s="197"/>
      <c r="H2" s="197"/>
      <c r="I2" s="197"/>
      <c r="J2" s="196"/>
    </row>
    <row r="3" spans="1:17" x14ac:dyDescent="0.2">
      <c r="A3" s="199"/>
      <c r="B3" s="197" t="s">
        <v>305</v>
      </c>
      <c r="C3" s="204"/>
      <c r="D3" s="197"/>
      <c r="E3" s="197"/>
      <c r="F3" s="197"/>
      <c r="G3" s="197"/>
      <c r="H3" s="197"/>
      <c r="I3" s="197"/>
      <c r="J3" s="196"/>
      <c r="M3" s="166" t="s">
        <v>304</v>
      </c>
    </row>
    <row r="4" spans="1:17" x14ac:dyDescent="0.2">
      <c r="A4" s="199"/>
      <c r="B4" s="197"/>
      <c r="C4" s="204"/>
      <c r="D4" s="197"/>
      <c r="E4" s="197"/>
      <c r="F4" s="197"/>
      <c r="G4" s="197"/>
      <c r="H4" s="197"/>
      <c r="I4" s="197"/>
      <c r="J4" s="196"/>
      <c r="N4" s="225"/>
    </row>
    <row r="5" spans="1:17" x14ac:dyDescent="0.2">
      <c r="A5" s="199"/>
      <c r="B5" s="416" t="s">
        <v>19</v>
      </c>
      <c r="C5" s="412" t="s">
        <v>303</v>
      </c>
      <c r="D5" s="413"/>
      <c r="E5" s="413"/>
      <c r="F5" s="413"/>
      <c r="G5" s="414"/>
      <c r="H5" s="197"/>
      <c r="I5" s="197"/>
      <c r="J5" s="196"/>
      <c r="M5" s="170" t="s">
        <v>302</v>
      </c>
      <c r="N5" s="171"/>
    </row>
    <row r="6" spans="1:17" x14ac:dyDescent="0.2">
      <c r="A6" s="199"/>
      <c r="B6" s="417"/>
      <c r="C6" s="224" t="s">
        <v>301</v>
      </c>
      <c r="D6" s="223" t="s">
        <v>300</v>
      </c>
      <c r="E6" s="223" t="s">
        <v>299</v>
      </c>
      <c r="F6" s="223" t="s">
        <v>298</v>
      </c>
      <c r="G6" s="222" t="s">
        <v>297</v>
      </c>
      <c r="H6" s="197"/>
      <c r="I6" s="197"/>
      <c r="J6" s="196"/>
      <c r="N6" s="171"/>
    </row>
    <row r="7" spans="1:17" x14ac:dyDescent="0.2">
      <c r="A7" s="199"/>
      <c r="B7" s="221">
        <v>2008</v>
      </c>
      <c r="C7" s="218">
        <v>300</v>
      </c>
      <c r="D7" s="211">
        <v>500</v>
      </c>
      <c r="E7" s="211">
        <v>620</v>
      </c>
      <c r="F7" s="204">
        <v>700</v>
      </c>
      <c r="G7" s="217">
        <v>735</v>
      </c>
      <c r="H7" s="197"/>
      <c r="I7" s="197"/>
      <c r="J7" s="196"/>
      <c r="M7" s="192" t="s">
        <v>19</v>
      </c>
      <c r="N7" s="220" t="s">
        <v>265</v>
      </c>
      <c r="O7" s="164" t="s">
        <v>264</v>
      </c>
      <c r="P7" s="164" t="s">
        <v>263</v>
      </c>
      <c r="Q7" s="164" t="s">
        <v>262</v>
      </c>
    </row>
    <row r="8" spans="1:17" x14ac:dyDescent="0.2">
      <c r="A8" s="199"/>
      <c r="B8" s="219">
        <v>2009</v>
      </c>
      <c r="C8" s="218">
        <v>600</v>
      </c>
      <c r="D8" s="211">
        <v>1000</v>
      </c>
      <c r="E8" s="211">
        <v>1200</v>
      </c>
      <c r="F8" s="204">
        <v>1300</v>
      </c>
      <c r="G8" s="217"/>
      <c r="H8" s="197"/>
      <c r="I8" s="197"/>
      <c r="J8" s="196"/>
      <c r="M8" s="191">
        <v>2008</v>
      </c>
      <c r="N8" s="162">
        <f>D7/C7</f>
        <v>1.6666666666666667</v>
      </c>
      <c r="O8" s="162">
        <f>E7/D7</f>
        <v>1.24</v>
      </c>
      <c r="P8" s="162">
        <f>F7/E7</f>
        <v>1.1290322580645162</v>
      </c>
      <c r="Q8" s="162">
        <f>G7/F7</f>
        <v>1.05</v>
      </c>
    </row>
    <row r="9" spans="1:17" x14ac:dyDescent="0.2">
      <c r="A9" s="199"/>
      <c r="B9" s="219">
        <v>2010</v>
      </c>
      <c r="C9" s="218">
        <v>800</v>
      </c>
      <c r="D9" s="211">
        <v>1400</v>
      </c>
      <c r="E9" s="211">
        <v>1700</v>
      </c>
      <c r="F9" s="204"/>
      <c r="G9" s="217"/>
      <c r="H9" s="197"/>
      <c r="I9" s="197"/>
      <c r="J9" s="196"/>
      <c r="M9" s="191">
        <v>2009</v>
      </c>
      <c r="N9" s="162">
        <f>D8/C8</f>
        <v>1.6666666666666667</v>
      </c>
      <c r="O9" s="162">
        <f>E8/D8</f>
        <v>1.2</v>
      </c>
      <c r="P9" s="162">
        <f>F8/E8</f>
        <v>1.0833333333333333</v>
      </c>
      <c r="Q9" s="162"/>
    </row>
    <row r="10" spans="1:17" x14ac:dyDescent="0.2">
      <c r="A10" s="199"/>
      <c r="B10" s="219">
        <v>2011</v>
      </c>
      <c r="C10" s="218">
        <v>1000</v>
      </c>
      <c r="D10" s="211">
        <v>1500</v>
      </c>
      <c r="E10" s="211"/>
      <c r="F10" s="204"/>
      <c r="G10" s="217"/>
      <c r="H10" s="197"/>
      <c r="I10" s="197"/>
      <c r="J10" s="196"/>
      <c r="M10" s="191">
        <v>2010</v>
      </c>
      <c r="N10" s="162">
        <f>D9/C9</f>
        <v>1.75</v>
      </c>
      <c r="O10" s="162">
        <f>E9/D9</f>
        <v>1.2142857142857142</v>
      </c>
      <c r="P10" s="162"/>
      <c r="Q10" s="162"/>
    </row>
    <row r="11" spans="1:17" x14ac:dyDescent="0.2">
      <c r="A11" s="199"/>
      <c r="B11" s="216">
        <v>2012</v>
      </c>
      <c r="C11" s="215">
        <v>1400</v>
      </c>
      <c r="D11" s="214"/>
      <c r="E11" s="214"/>
      <c r="F11" s="213"/>
      <c r="G11" s="212"/>
      <c r="H11" s="197"/>
      <c r="I11" s="197"/>
      <c r="J11" s="196"/>
      <c r="M11" s="191">
        <v>2011</v>
      </c>
      <c r="N11" s="162">
        <f>D10/C10</f>
        <v>1.5</v>
      </c>
      <c r="O11" s="162"/>
      <c r="P11" s="162"/>
      <c r="Q11" s="162"/>
    </row>
    <row r="12" spans="1:17" x14ac:dyDescent="0.2">
      <c r="A12" s="199"/>
      <c r="B12" s="204"/>
      <c r="C12" s="211"/>
      <c r="D12" s="211"/>
      <c r="E12" s="211"/>
      <c r="F12" s="211"/>
      <c r="G12" s="197"/>
      <c r="H12" s="197"/>
      <c r="I12" s="197"/>
      <c r="J12" s="196"/>
    </row>
    <row r="13" spans="1:17" x14ac:dyDescent="0.2">
      <c r="A13" s="199"/>
      <c r="B13" s="209" t="s">
        <v>296</v>
      </c>
      <c r="C13" s="204"/>
      <c r="D13" s="197"/>
      <c r="E13" s="197"/>
      <c r="F13" s="210"/>
      <c r="G13" s="197"/>
      <c r="H13" s="197"/>
      <c r="I13" s="197"/>
      <c r="J13" s="196"/>
      <c r="M13" s="172" t="s">
        <v>295</v>
      </c>
      <c r="N13" s="162">
        <f>SUM(D7:D10)/SUM(C7:C10)</f>
        <v>1.6296296296296295</v>
      </c>
      <c r="O13" s="162">
        <f>SUM(E7:E9)/SUM(D7:D9)</f>
        <v>1.2137931034482758</v>
      </c>
      <c r="P13" s="162">
        <f>SUM(F7:F8)/SUM(E7:E8)</f>
        <v>1.098901098901099</v>
      </c>
      <c r="Q13" s="162">
        <f>G7/F7</f>
        <v>1.05</v>
      </c>
    </row>
    <row r="14" spans="1:17" x14ac:dyDescent="0.2">
      <c r="A14" s="199"/>
      <c r="B14" s="209" t="s">
        <v>294</v>
      </c>
      <c r="C14" s="197"/>
      <c r="D14" s="197"/>
      <c r="E14" s="197"/>
      <c r="F14" s="200"/>
      <c r="G14" s="197"/>
      <c r="H14" s="197"/>
      <c r="I14" s="197"/>
      <c r="J14" s="196"/>
    </row>
    <row r="15" spans="1:17" ht="19" x14ac:dyDescent="0.2">
      <c r="A15" s="199"/>
      <c r="B15" s="209" t="s">
        <v>293</v>
      </c>
      <c r="C15" s="197"/>
      <c r="D15" s="197"/>
      <c r="E15" s="197"/>
      <c r="F15" s="200"/>
      <c r="G15" s="204">
        <v>1.28</v>
      </c>
      <c r="H15" s="197"/>
      <c r="I15" s="197"/>
      <c r="J15" s="196"/>
      <c r="M15" s="170" t="s">
        <v>292</v>
      </c>
    </row>
    <row r="16" spans="1:17" x14ac:dyDescent="0.2">
      <c r="A16" s="199"/>
      <c r="B16" s="209"/>
      <c r="C16" s="197"/>
      <c r="D16" s="197"/>
      <c r="E16" s="197"/>
      <c r="F16" s="200"/>
      <c r="G16" s="204"/>
      <c r="H16" s="197"/>
      <c r="I16" s="197"/>
      <c r="J16" s="196"/>
    </row>
    <row r="17" spans="1:17" x14ac:dyDescent="0.2">
      <c r="A17" s="199"/>
      <c r="B17" s="205" t="s">
        <v>0</v>
      </c>
      <c r="C17" s="197"/>
      <c r="D17" s="197"/>
      <c r="E17" s="197"/>
      <c r="F17" s="200"/>
      <c r="G17" s="204"/>
      <c r="H17" s="197"/>
      <c r="I17" s="197"/>
      <c r="J17" s="196"/>
    </row>
    <row r="18" spans="1:17" x14ac:dyDescent="0.2">
      <c r="A18" s="199"/>
      <c r="B18" s="197" t="s">
        <v>291</v>
      </c>
      <c r="C18" s="197"/>
      <c r="D18" s="197"/>
      <c r="E18" s="197"/>
      <c r="F18" s="200"/>
      <c r="G18" s="204"/>
      <c r="H18" s="197"/>
      <c r="I18" s="197"/>
      <c r="J18" s="196"/>
    </row>
    <row r="19" spans="1:17" x14ac:dyDescent="0.2">
      <c r="A19" s="199"/>
      <c r="B19" s="206"/>
      <c r="C19" s="197"/>
      <c r="D19" s="197"/>
      <c r="E19" s="197"/>
      <c r="F19" s="200"/>
      <c r="G19" s="204"/>
      <c r="H19" s="197"/>
      <c r="I19" s="197"/>
      <c r="J19" s="196"/>
      <c r="M19" s="188" t="s">
        <v>19</v>
      </c>
      <c r="N19" s="189">
        <v>1</v>
      </c>
      <c r="O19" s="189">
        <v>2</v>
      </c>
      <c r="P19" s="189">
        <v>3</v>
      </c>
    </row>
    <row r="20" spans="1:17" x14ac:dyDescent="0.2">
      <c r="A20" s="199"/>
      <c r="B20" s="205" t="s">
        <v>1</v>
      </c>
      <c r="C20" s="197"/>
      <c r="D20" s="197"/>
      <c r="E20" s="197"/>
      <c r="F20" s="200"/>
      <c r="G20" s="204"/>
      <c r="H20" s="197"/>
      <c r="I20" s="197"/>
      <c r="J20" s="196"/>
      <c r="M20" s="180">
        <f>M8</f>
        <v>2008</v>
      </c>
      <c r="N20" s="207">
        <f>C7*(N8-N$13)^2</f>
        <v>0.41152263374485964</v>
      </c>
      <c r="O20" s="207">
        <f>D7*(O8-O$13)^2</f>
        <v>0.34340071343638551</v>
      </c>
      <c r="P20" s="207">
        <f>E7*(P8-P$13)^2</f>
        <v>0.56288978656933342</v>
      </c>
      <c r="Q20" s="207">
        <f>F7*(Q8-Q$13)^2</f>
        <v>0</v>
      </c>
    </row>
    <row r="21" spans="1:17" ht="18" x14ac:dyDescent="0.25">
      <c r="A21" s="199"/>
      <c r="B21" s="197" t="s">
        <v>290</v>
      </c>
      <c r="C21" s="197"/>
      <c r="D21" s="197"/>
      <c r="E21" s="197"/>
      <c r="F21" s="200"/>
      <c r="G21" s="204"/>
      <c r="H21" s="197"/>
      <c r="I21" s="197"/>
      <c r="J21" s="196"/>
      <c r="M21" s="180">
        <f>M9</f>
        <v>2009</v>
      </c>
      <c r="N21" s="207">
        <f>C8*(N9-N$13)^2</f>
        <v>0.82304526748971929</v>
      </c>
      <c r="O21" s="207">
        <f>D8*(O9-O$13)^2</f>
        <v>0.19024970273484024</v>
      </c>
      <c r="P21" s="207">
        <f>E8*(P9-P$13)^2</f>
        <v>0.29082638972749486</v>
      </c>
    </row>
    <row r="22" spans="1:17" x14ac:dyDescent="0.2">
      <c r="A22" s="199"/>
      <c r="B22" s="206"/>
      <c r="C22" s="197"/>
      <c r="D22" s="197"/>
      <c r="E22" s="197"/>
      <c r="F22" s="200"/>
      <c r="G22" s="204"/>
      <c r="H22" s="197"/>
      <c r="I22" s="197"/>
      <c r="J22" s="196"/>
      <c r="M22" s="180">
        <f>M10</f>
        <v>2010</v>
      </c>
      <c r="N22" s="207">
        <f>C9*(N10-N$13)^2</f>
        <v>11.591220850480127</v>
      </c>
      <c r="O22" s="207">
        <f>D9*(O10-O$13)^2</f>
        <v>3.3973161202639106E-4</v>
      </c>
      <c r="P22" s="208"/>
    </row>
    <row r="23" spans="1:17" x14ac:dyDescent="0.2">
      <c r="A23" s="199"/>
      <c r="B23" s="205" t="s">
        <v>2</v>
      </c>
      <c r="C23" s="197"/>
      <c r="D23" s="197"/>
      <c r="E23" s="197"/>
      <c r="F23" s="200"/>
      <c r="G23" s="204"/>
      <c r="H23" s="197"/>
      <c r="I23" s="197"/>
      <c r="J23" s="196"/>
      <c r="M23" s="180">
        <f>M11</f>
        <v>2011</v>
      </c>
      <c r="N23" s="207">
        <f>C10*(N11-N$13)^2</f>
        <v>16.803840877914929</v>
      </c>
    </row>
    <row r="24" spans="1:17" ht="18" x14ac:dyDescent="0.25">
      <c r="A24" s="199"/>
      <c r="B24" s="197" t="s">
        <v>289</v>
      </c>
      <c r="C24" s="197"/>
      <c r="D24" s="197"/>
      <c r="E24" s="197"/>
      <c r="F24" s="200"/>
      <c r="G24" s="204"/>
      <c r="H24" s="197"/>
      <c r="I24" s="197"/>
      <c r="J24" s="196"/>
      <c r="M24" s="173"/>
      <c r="N24" s="207"/>
    </row>
    <row r="25" spans="1:17" x14ac:dyDescent="0.2">
      <c r="A25" s="199"/>
      <c r="B25" s="206"/>
      <c r="C25" s="197"/>
      <c r="D25" s="197"/>
      <c r="E25" s="197"/>
      <c r="F25" s="200"/>
      <c r="G25" s="204"/>
      <c r="H25" s="197"/>
      <c r="I25" s="197"/>
      <c r="J25" s="196"/>
    </row>
    <row r="26" spans="1:17" x14ac:dyDescent="0.2">
      <c r="A26" s="199"/>
      <c r="B26" s="205" t="s">
        <v>53</v>
      </c>
      <c r="C26" s="197"/>
      <c r="D26" s="197"/>
      <c r="E26" s="197"/>
      <c r="F26" s="200"/>
      <c r="G26" s="204"/>
      <c r="H26" s="197"/>
      <c r="I26" s="197"/>
      <c r="J26" s="196"/>
    </row>
    <row r="27" spans="1:17" x14ac:dyDescent="0.2">
      <c r="A27" s="199"/>
      <c r="B27" s="197" t="s">
        <v>288</v>
      </c>
      <c r="C27" s="197"/>
      <c r="D27" s="197"/>
      <c r="E27" s="197"/>
      <c r="F27" s="200"/>
      <c r="G27" s="204"/>
      <c r="H27" s="197"/>
      <c r="I27" s="197"/>
      <c r="J27" s="196"/>
    </row>
    <row r="28" spans="1:17" ht="17" thickBot="1" x14ac:dyDescent="0.25">
      <c r="A28" s="199"/>
      <c r="B28" s="206"/>
      <c r="C28" s="197"/>
      <c r="D28" s="197"/>
      <c r="E28" s="197"/>
      <c r="F28" s="200"/>
      <c r="G28" s="204"/>
      <c r="H28" s="197"/>
      <c r="I28" s="197"/>
      <c r="J28" s="196"/>
      <c r="M28" s="192" t="s">
        <v>80</v>
      </c>
      <c r="N28" s="172">
        <v>1</v>
      </c>
      <c r="O28" s="172">
        <v>2</v>
      </c>
      <c r="P28" s="172">
        <v>3</v>
      </c>
      <c r="Q28" s="172">
        <v>4</v>
      </c>
    </row>
    <row r="29" spans="1:17" ht="20" thickBot="1" x14ac:dyDescent="0.25">
      <c r="A29" s="199"/>
      <c r="B29" s="205" t="s">
        <v>287</v>
      </c>
      <c r="C29" s="197"/>
      <c r="D29" s="197"/>
      <c r="E29" s="197"/>
      <c r="F29" s="200"/>
      <c r="G29" s="204"/>
      <c r="H29" s="197"/>
      <c r="I29" s="197"/>
      <c r="J29" s="196"/>
      <c r="M29" s="172" t="s">
        <v>286</v>
      </c>
      <c r="N29" s="203">
        <f>SUM(N20:N23)/(5-N28-1)</f>
        <v>9.8765432098765444</v>
      </c>
      <c r="O29" s="202">
        <f>SUM(O20:O23)/(5-O28-1)</f>
        <v>0.26699507389162608</v>
      </c>
      <c r="P29" s="202">
        <f>SUM(P20:P23)/(5-P28-1)</f>
        <v>0.85371617629682828</v>
      </c>
      <c r="Q29" s="201">
        <f>MIN(P29^2/O29,MIN(O29,P29))</f>
        <v>0.26699507389162608</v>
      </c>
    </row>
    <row r="30" spans="1:17" x14ac:dyDescent="0.2">
      <c r="A30" s="199"/>
      <c r="B30" s="197" t="s">
        <v>285</v>
      </c>
      <c r="C30" s="197"/>
      <c r="D30" s="197"/>
      <c r="E30" s="197"/>
      <c r="F30" s="200"/>
      <c r="G30" s="197"/>
      <c r="H30" s="197"/>
      <c r="I30" s="197"/>
      <c r="J30" s="196"/>
    </row>
    <row r="31" spans="1:17" ht="17" thickBot="1" x14ac:dyDescent="0.25">
      <c r="A31" s="199"/>
      <c r="B31" s="198"/>
      <c r="C31" s="197"/>
      <c r="D31" s="197"/>
      <c r="E31" s="197"/>
      <c r="F31" s="197"/>
      <c r="G31" s="197"/>
      <c r="H31" s="197"/>
      <c r="I31" s="197"/>
      <c r="J31" s="196"/>
    </row>
    <row r="32" spans="1:17" ht="17" thickBot="1" x14ac:dyDescent="0.25">
      <c r="A32" s="195" t="s">
        <v>205</v>
      </c>
      <c r="B32" s="194"/>
      <c r="C32" s="194"/>
      <c r="D32" s="194"/>
      <c r="E32" s="194"/>
      <c r="F32" s="194"/>
      <c r="G32" s="194"/>
      <c r="H32" s="194"/>
      <c r="I32" s="194"/>
      <c r="J32" s="193"/>
      <c r="M32" t="s">
        <v>284</v>
      </c>
    </row>
    <row r="34" spans="13:18" x14ac:dyDescent="0.2">
      <c r="M34" s="166" t="s">
        <v>283</v>
      </c>
    </row>
    <row r="36" spans="13:18" x14ac:dyDescent="0.2">
      <c r="M36" s="170" t="s">
        <v>282</v>
      </c>
    </row>
    <row r="38" spans="13:18" x14ac:dyDescent="0.2">
      <c r="M38" s="192" t="s">
        <v>19</v>
      </c>
      <c r="N38" s="164" t="s">
        <v>265</v>
      </c>
      <c r="O38" s="164" t="s">
        <v>264</v>
      </c>
      <c r="P38" s="164" t="s">
        <v>281</v>
      </c>
      <c r="Q38" s="164" t="s">
        <v>262</v>
      </c>
      <c r="R38" s="164" t="s">
        <v>280</v>
      </c>
    </row>
    <row r="39" spans="13:18" x14ac:dyDescent="0.2">
      <c r="M39" s="191">
        <v>2008</v>
      </c>
      <c r="N39" s="169">
        <f>C7</f>
        <v>300</v>
      </c>
      <c r="O39" s="169">
        <f>D7</f>
        <v>500</v>
      </c>
      <c r="P39" s="169">
        <f>E7</f>
        <v>620</v>
      </c>
      <c r="Q39" s="169">
        <f>F7</f>
        <v>700</v>
      </c>
      <c r="R39" s="190">
        <f>G7</f>
        <v>735</v>
      </c>
    </row>
    <row r="40" spans="13:18" x14ac:dyDescent="0.2">
      <c r="M40" s="191">
        <v>2009</v>
      </c>
      <c r="N40" s="169">
        <f>C8</f>
        <v>600</v>
      </c>
      <c r="O40" s="169">
        <f>D8</f>
        <v>1000</v>
      </c>
      <c r="P40" s="169">
        <f>E8</f>
        <v>1200</v>
      </c>
      <c r="Q40" s="190">
        <f>F8</f>
        <v>1300</v>
      </c>
      <c r="R40" s="169">
        <f>Q40*Q13</f>
        <v>1365</v>
      </c>
    </row>
    <row r="41" spans="13:18" x14ac:dyDescent="0.2">
      <c r="M41" s="191">
        <v>2010</v>
      </c>
      <c r="N41" s="169">
        <f>C9</f>
        <v>800</v>
      </c>
      <c r="O41" s="169">
        <f>D9</f>
        <v>1400</v>
      </c>
      <c r="P41" s="190">
        <f>E9</f>
        <v>1700</v>
      </c>
      <c r="Q41" s="169">
        <f>P41*P13</f>
        <v>1868.1318681318683</v>
      </c>
      <c r="R41" s="169">
        <f>Q41*Q13</f>
        <v>1961.5384615384617</v>
      </c>
    </row>
    <row r="42" spans="13:18" x14ac:dyDescent="0.2">
      <c r="M42" s="191">
        <v>2011</v>
      </c>
      <c r="N42" s="169">
        <f>C10</f>
        <v>1000</v>
      </c>
      <c r="O42" s="190">
        <f>D10</f>
        <v>1500</v>
      </c>
      <c r="P42" s="169">
        <f>O42*O13</f>
        <v>1820.6896551724137</v>
      </c>
      <c r="Q42" s="169">
        <f>P42*P13</f>
        <v>2000.7578628268284</v>
      </c>
      <c r="R42" s="169">
        <f>Q42*Q13</f>
        <v>2100.7957559681699</v>
      </c>
    </row>
    <row r="43" spans="13:18" x14ac:dyDescent="0.2">
      <c r="M43" s="191">
        <v>2012</v>
      </c>
      <c r="N43" s="190">
        <f>C11</f>
        <v>1400</v>
      </c>
      <c r="O43" s="169">
        <f>N43*N13</f>
        <v>2281.4814814814813</v>
      </c>
      <c r="P43" s="169">
        <f>O43*O13</f>
        <v>2769.2464878671772</v>
      </c>
      <c r="Q43" s="169">
        <f>P43*P13</f>
        <v>3043.1280086452498</v>
      </c>
      <c r="R43" s="169">
        <f>Q43*Q13</f>
        <v>3195.2844090775125</v>
      </c>
    </row>
    <row r="50" spans="13:19" x14ac:dyDescent="0.2">
      <c r="M50" s="415" t="s">
        <v>279</v>
      </c>
      <c r="N50" s="415"/>
      <c r="O50" s="415"/>
      <c r="P50" s="415"/>
      <c r="Q50" s="415"/>
      <c r="R50" s="415"/>
    </row>
    <row r="51" spans="13:19" x14ac:dyDescent="0.2">
      <c r="M51" s="188" t="s">
        <v>19</v>
      </c>
      <c r="N51" s="189">
        <v>1</v>
      </c>
      <c r="O51" s="189">
        <v>2</v>
      </c>
      <c r="P51" s="189">
        <v>3</v>
      </c>
      <c r="Q51" s="189">
        <v>4</v>
      </c>
      <c r="R51" s="188"/>
      <c r="S51" s="59" t="s">
        <v>83</v>
      </c>
    </row>
    <row r="52" spans="13:19" x14ac:dyDescent="0.2">
      <c r="M52" s="180">
        <f>B7</f>
        <v>2008</v>
      </c>
      <c r="N52" s="187"/>
      <c r="O52" s="187"/>
      <c r="P52" s="187"/>
      <c r="Q52" s="187"/>
      <c r="R52" s="186"/>
      <c r="S52" s="56"/>
    </row>
    <row r="53" spans="13:19" x14ac:dyDescent="0.2">
      <c r="M53" s="180">
        <f>B8</f>
        <v>2009</v>
      </c>
      <c r="N53" s="179"/>
      <c r="O53" s="179"/>
      <c r="P53" s="179"/>
      <c r="Q53" s="179">
        <f>$R40^2*Q$29/Q$13^2*(1/Q40+1/SUM(Q$39))</f>
        <v>991.69598874032545</v>
      </c>
      <c r="R53" s="185"/>
      <c r="S53" s="56">
        <f>SUM(N53:R53)</f>
        <v>991.69598874032545</v>
      </c>
    </row>
    <row r="54" spans="13:19" x14ac:dyDescent="0.2">
      <c r="M54" s="180">
        <f>B9</f>
        <v>2010</v>
      </c>
      <c r="N54" s="179"/>
      <c r="O54" s="179"/>
      <c r="P54" s="179">
        <f>$R41^2*P$29/P$13^2*(1/P41+1/SUM(P$39:P$40))</f>
        <v>3094.6554686009022</v>
      </c>
      <c r="Q54" s="179">
        <f>$R41^2*Q$29/Q$13^2*(1/Q41+1/SUM(Q$39))</f>
        <v>1829.9113789984669</v>
      </c>
      <c r="R54" s="185"/>
      <c r="S54" s="56">
        <f>SUM(N54:R54)</f>
        <v>4924.5668475993689</v>
      </c>
    </row>
    <row r="55" spans="13:19" x14ac:dyDescent="0.2">
      <c r="M55" s="184">
        <f>B10</f>
        <v>2011</v>
      </c>
      <c r="N55" s="183"/>
      <c r="O55" s="183">
        <f>$R42^2*O$29/O$13^2*(1/O42+1/SUM(O$39:O$41))</f>
        <v>808.99343956144605</v>
      </c>
      <c r="P55" s="183">
        <f>$R42^2*P$29/P$13^2*(1/P42+1/SUM(P$39:P$40))</f>
        <v>3427.995989104882</v>
      </c>
      <c r="Q55" s="183">
        <f>$R42^2*Q$29/Q$13^2*(1/Q42+1/SUM(Q$39))</f>
        <v>2061.0351098283281</v>
      </c>
      <c r="R55" s="182"/>
      <c r="S55" s="181">
        <f>SUM(N55:R55)</f>
        <v>6298.0245384946566</v>
      </c>
    </row>
    <row r="56" spans="13:19" x14ac:dyDescent="0.2">
      <c r="M56" s="180">
        <f>B11</f>
        <v>2012</v>
      </c>
      <c r="N56" s="179">
        <f>$R43^2*N$29/N$13^2*(1/N43+1/SUM(N$39:N$42))</f>
        <v>41184.921354845239</v>
      </c>
      <c r="O56" s="179">
        <f>$R43^2*O$29/O$13^2*(1/O43+1/SUM(O$39:O$41))</f>
        <v>1449.0119348194314</v>
      </c>
      <c r="P56" s="179">
        <f>$R43^2*P$29/P$13^2*(1/P43+1/SUM(P$39:P$40))</f>
        <v>6572.3959372762056</v>
      </c>
      <c r="Q56" s="179">
        <f>$R43^2*Q$29/Q$13^2*(1/Q43+1/SUM(Q$39))</f>
        <v>4344.70315567535</v>
      </c>
      <c r="R56" s="178"/>
      <c r="S56" s="56">
        <f>SUM(N56:R56)</f>
        <v>53551.032382616228</v>
      </c>
    </row>
    <row r="59" spans="13:19" x14ac:dyDescent="0.2">
      <c r="M59" s="170" t="s">
        <v>278</v>
      </c>
    </row>
    <row r="61" spans="13:19" ht="17" thickBot="1" x14ac:dyDescent="0.25">
      <c r="M61" s="172" t="s">
        <v>277</v>
      </c>
      <c r="N61" s="169">
        <f>S55</f>
        <v>6298.0245384946566</v>
      </c>
    </row>
    <row r="62" spans="13:19" ht="17" thickBot="1" x14ac:dyDescent="0.25">
      <c r="M62" s="177" t="s">
        <v>276</v>
      </c>
      <c r="N62" s="176">
        <f>SQRT(N61)</f>
        <v>79.360094118484113</v>
      </c>
    </row>
    <row r="64" spans="13:19" x14ac:dyDescent="0.2">
      <c r="M64" s="166" t="s">
        <v>275</v>
      </c>
      <c r="N64" s="175"/>
    </row>
    <row r="66" spans="13:19" x14ac:dyDescent="0.2">
      <c r="M66" t="s">
        <v>274</v>
      </c>
      <c r="N66" s="174">
        <f>R42-O42</f>
        <v>600.79575596816994</v>
      </c>
    </row>
    <row r="68" spans="13:19" ht="19" x14ac:dyDescent="0.2">
      <c r="M68" s="173" t="s">
        <v>273</v>
      </c>
      <c r="N68" s="171">
        <f>LN(1+N61/N66^2)</f>
        <v>1.7297728162011864E-2</v>
      </c>
    </row>
    <row r="69" spans="13:19" x14ac:dyDescent="0.2">
      <c r="M69" s="172" t="s">
        <v>272</v>
      </c>
      <c r="N69" s="171">
        <f>LN(N66)-N68/2</f>
        <v>6.3896061723762099</v>
      </c>
    </row>
    <row r="70" spans="13:19" ht="17" thickBot="1" x14ac:dyDescent="0.25"/>
    <row r="71" spans="13:19" x14ac:dyDescent="0.2">
      <c r="M71" s="161" t="s">
        <v>268</v>
      </c>
      <c r="N71" s="168">
        <f>$N$66*EXP(-$G$15*SQRT($N$68)-$N$68/2)</f>
        <v>503.33679203521172</v>
      </c>
    </row>
    <row r="72" spans="13:19" ht="17" thickBot="1" x14ac:dyDescent="0.25">
      <c r="M72" s="159" t="s">
        <v>267</v>
      </c>
      <c r="N72" s="167">
        <f>$N$66*EXP($G$15*SQRT($N$68)-$N$68/2)</f>
        <v>704.82731675901982</v>
      </c>
    </row>
    <row r="74" spans="13:19" x14ac:dyDescent="0.2">
      <c r="M74" s="170" t="s">
        <v>271</v>
      </c>
    </row>
    <row r="75" spans="13:19" x14ac:dyDescent="0.2">
      <c r="M75" t="s">
        <v>268</v>
      </c>
      <c r="N75" s="169">
        <f>EXP(N69-SQRT(N68)*G15)</f>
        <v>503.33679203521217</v>
      </c>
    </row>
    <row r="76" spans="13:19" x14ac:dyDescent="0.2">
      <c r="M76" t="s">
        <v>267</v>
      </c>
      <c r="N76" s="169">
        <f>EXP(N69+SQRT(N68)*G15)</f>
        <v>704.82731675901994</v>
      </c>
    </row>
    <row r="78" spans="13:19" x14ac:dyDescent="0.2">
      <c r="M78" s="166" t="s">
        <v>270</v>
      </c>
    </row>
    <row r="79" spans="13:19" x14ac:dyDescent="0.2">
      <c r="M79" s="418" t="s">
        <v>269</v>
      </c>
      <c r="N79" s="418"/>
      <c r="O79" s="418"/>
      <c r="P79" s="418"/>
      <c r="Q79" s="418"/>
      <c r="R79" s="418"/>
      <c r="S79" s="418"/>
    </row>
    <row r="80" spans="13:19" x14ac:dyDescent="0.2">
      <c r="M80" s="418"/>
      <c r="N80" s="418"/>
      <c r="O80" s="418"/>
      <c r="P80" s="418"/>
      <c r="Q80" s="418"/>
      <c r="R80" s="418"/>
      <c r="S80" s="418"/>
    </row>
    <row r="81" spans="13:19" ht="17" thickBot="1" x14ac:dyDescent="0.25"/>
    <row r="82" spans="13:19" x14ac:dyDescent="0.2">
      <c r="M82" s="161" t="s">
        <v>268</v>
      </c>
      <c r="N82" s="168">
        <f>N71+O42</f>
        <v>2003.3367920352116</v>
      </c>
    </row>
    <row r="83" spans="13:19" ht="17" thickBot="1" x14ac:dyDescent="0.25">
      <c r="M83" s="159" t="s">
        <v>267</v>
      </c>
      <c r="N83" s="167">
        <f>N72+O42</f>
        <v>2204.8273167590196</v>
      </c>
    </row>
    <row r="85" spans="13:19" x14ac:dyDescent="0.2">
      <c r="M85" s="166" t="s">
        <v>266</v>
      </c>
    </row>
    <row r="87" spans="13:19" x14ac:dyDescent="0.2">
      <c r="M87" s="165"/>
      <c r="N87" s="164" t="s">
        <v>265</v>
      </c>
      <c r="O87" s="164" t="s">
        <v>264</v>
      </c>
      <c r="P87" s="164" t="s">
        <v>263</v>
      </c>
      <c r="Q87" s="164" t="s">
        <v>262</v>
      </c>
    </row>
    <row r="88" spans="13:19" x14ac:dyDescent="0.2">
      <c r="M88" s="163" t="s">
        <v>261</v>
      </c>
      <c r="N88" s="162">
        <f>MIN(N8:N11)</f>
        <v>1.5</v>
      </c>
      <c r="O88" s="162">
        <f>MIN(O8:O11)</f>
        <v>1.2</v>
      </c>
      <c r="P88" s="162">
        <f>MIN(P8:P11)</f>
        <v>1.0833333333333333</v>
      </c>
      <c r="Q88" s="162">
        <f>MIN(Q8:Q11)</f>
        <v>1.05</v>
      </c>
    </row>
    <row r="89" spans="13:19" x14ac:dyDescent="0.2">
      <c r="M89" s="163" t="s">
        <v>260</v>
      </c>
      <c r="N89" s="162">
        <f>MAX(N8:N11)</f>
        <v>1.75</v>
      </c>
      <c r="O89" s="162">
        <f>MAX(O8:O11)</f>
        <v>1.24</v>
      </c>
      <c r="P89" s="162">
        <f>MAX(P8:P11)</f>
        <v>1.1290322580645162</v>
      </c>
      <c r="Q89" s="162">
        <f>MAX(Q8:Q11)</f>
        <v>1.05</v>
      </c>
    </row>
    <row r="90" spans="13:19" ht="17" thickBot="1" x14ac:dyDescent="0.25"/>
    <row r="91" spans="13:19" x14ac:dyDescent="0.2">
      <c r="M91" s="161" t="s">
        <v>259</v>
      </c>
      <c r="N91" s="160">
        <f>O42*PRODUCT(O88:Q88)</f>
        <v>2047.4999999999995</v>
      </c>
    </row>
    <row r="92" spans="13:19" ht="17" thickBot="1" x14ac:dyDescent="0.25">
      <c r="M92" s="159" t="s">
        <v>258</v>
      </c>
      <c r="N92" s="158">
        <f>O42*PRODUCT(O89:Q89)</f>
        <v>2205.0000000000005</v>
      </c>
    </row>
    <row r="95" spans="13:19" ht="19" x14ac:dyDescent="0.25">
      <c r="M95" s="156" t="s">
        <v>200</v>
      </c>
    </row>
    <row r="96" spans="13:19" x14ac:dyDescent="0.2">
      <c r="M96" s="418" t="s">
        <v>257</v>
      </c>
      <c r="N96" s="418"/>
      <c r="O96" s="418"/>
      <c r="P96" s="418"/>
      <c r="Q96" s="418"/>
      <c r="R96" s="418"/>
      <c r="S96" s="418"/>
    </row>
    <row r="97" spans="13:19" x14ac:dyDescent="0.2">
      <c r="M97" s="418"/>
      <c r="N97" s="418"/>
      <c r="O97" s="418"/>
      <c r="P97" s="418"/>
      <c r="Q97" s="418"/>
      <c r="R97" s="418"/>
      <c r="S97" s="418"/>
    </row>
    <row r="98" spans="13:19" x14ac:dyDescent="0.2">
      <c r="M98" s="418"/>
      <c r="N98" s="418"/>
      <c r="O98" s="418"/>
      <c r="P98" s="418"/>
      <c r="Q98" s="418"/>
      <c r="R98" s="418"/>
      <c r="S98" s="418"/>
    </row>
    <row r="101" spans="13:19" ht="19" x14ac:dyDescent="0.25">
      <c r="M101" s="156" t="s">
        <v>236</v>
      </c>
    </row>
    <row r="102" spans="13:19" x14ac:dyDescent="0.2">
      <c r="M102" t="s">
        <v>240</v>
      </c>
    </row>
    <row r="103" spans="13:19" x14ac:dyDescent="0.2">
      <c r="M103" t="s">
        <v>239</v>
      </c>
    </row>
  </sheetData>
  <mergeCells count="5">
    <mergeCell ref="C5:G5"/>
    <mergeCell ref="M50:R50"/>
    <mergeCell ref="B5:B6"/>
    <mergeCell ref="M79:S80"/>
    <mergeCell ref="M96:S9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2CD79-A300-F246-B03E-2D18353A04EC}">
  <dimension ref="A1:T49"/>
  <sheetViews>
    <sheetView workbookViewId="0"/>
  </sheetViews>
  <sheetFormatPr baseColWidth="10" defaultColWidth="11" defaultRowHeight="16" outlineLevelCol="1" x14ac:dyDescent="0.2"/>
  <cols>
    <col min="1" max="1" width="4.5" customWidth="1"/>
    <col min="3" max="9" width="10.83203125" customWidth="1"/>
    <col min="10" max="11" width="10.5" customWidth="1"/>
    <col min="12" max="12" width="11.1640625" bestFit="1" customWidth="1"/>
    <col min="13" max="18" width="10.83203125" hidden="1" customWidth="1" outlineLevel="1"/>
    <col min="19" max="19" width="12" hidden="1" customWidth="1" outlineLevel="1"/>
    <col min="20" max="20" width="11" collapsed="1"/>
  </cols>
  <sheetData>
    <row r="1" spans="1:19" ht="19" x14ac:dyDescent="0.25">
      <c r="A1" s="230" t="s">
        <v>313</v>
      </c>
      <c r="B1" s="229"/>
      <c r="C1" s="228"/>
      <c r="D1" s="228"/>
      <c r="E1" s="228"/>
      <c r="F1" s="227"/>
      <c r="G1" s="227"/>
      <c r="H1" s="227"/>
      <c r="I1" s="227"/>
      <c r="J1" s="226"/>
      <c r="L1" s="156" t="s">
        <v>206</v>
      </c>
      <c r="N1" s="174"/>
    </row>
    <row r="2" spans="1:19" x14ac:dyDescent="0.2">
      <c r="A2" s="199"/>
      <c r="B2" s="197"/>
      <c r="C2" s="197"/>
      <c r="D2" s="197"/>
      <c r="E2" s="197"/>
      <c r="F2" s="197"/>
      <c r="G2" s="197"/>
      <c r="H2" s="197"/>
      <c r="I2" s="197"/>
      <c r="J2" s="196"/>
      <c r="N2" s="225"/>
    </row>
    <row r="3" spans="1:19" x14ac:dyDescent="0.2">
      <c r="A3" s="199"/>
      <c r="B3" s="197" t="s">
        <v>312</v>
      </c>
      <c r="C3" s="204"/>
      <c r="D3" s="197"/>
      <c r="E3" s="197"/>
      <c r="F3" s="197"/>
      <c r="G3" s="197"/>
      <c r="H3" s="197"/>
      <c r="I3" s="197"/>
      <c r="J3" s="196"/>
      <c r="M3" s="419" t="s">
        <v>311</v>
      </c>
      <c r="N3" s="419"/>
      <c r="O3" s="419"/>
      <c r="P3" s="419"/>
      <c r="Q3" s="419"/>
      <c r="R3" s="419"/>
      <c r="S3" s="419"/>
    </row>
    <row r="4" spans="1:19" x14ac:dyDescent="0.2">
      <c r="A4" s="199"/>
      <c r="B4" s="197"/>
      <c r="C4" s="204"/>
      <c r="D4" s="197"/>
      <c r="E4" s="197"/>
      <c r="F4" s="197"/>
      <c r="G4" s="197"/>
      <c r="H4" s="197"/>
      <c r="I4" s="197"/>
      <c r="J4" s="196"/>
      <c r="M4" s="419"/>
      <c r="N4" s="419"/>
      <c r="O4" s="419"/>
      <c r="P4" s="419"/>
      <c r="Q4" s="419"/>
      <c r="R4" s="419"/>
      <c r="S4" s="419"/>
    </row>
    <row r="5" spans="1:19" x14ac:dyDescent="0.2">
      <c r="A5" s="199"/>
      <c r="B5" s="197"/>
      <c r="C5" s="204"/>
      <c r="D5" s="197"/>
      <c r="E5" s="197"/>
      <c r="F5" s="197"/>
      <c r="G5" s="197"/>
      <c r="H5" s="197"/>
      <c r="I5" s="197"/>
      <c r="J5" s="196"/>
      <c r="M5" s="170"/>
    </row>
    <row r="6" spans="1:19" x14ac:dyDescent="0.2">
      <c r="A6" s="199"/>
      <c r="B6" s="209"/>
      <c r="C6" s="197"/>
      <c r="D6" s="197"/>
      <c r="E6" s="197"/>
      <c r="F6" s="200"/>
      <c r="G6" s="197"/>
      <c r="H6" s="197"/>
      <c r="I6" s="197"/>
      <c r="J6" s="196"/>
      <c r="M6" s="419" t="s">
        <v>310</v>
      </c>
      <c r="N6" s="419"/>
      <c r="O6" s="419"/>
      <c r="P6" s="419"/>
      <c r="Q6" s="419"/>
      <c r="R6" s="419"/>
      <c r="S6" s="419"/>
    </row>
    <row r="7" spans="1:19" x14ac:dyDescent="0.2">
      <c r="A7" s="199"/>
      <c r="B7" s="197"/>
      <c r="C7" s="197"/>
      <c r="D7" s="197"/>
      <c r="E7" s="197"/>
      <c r="F7" s="197"/>
      <c r="G7" s="197"/>
      <c r="H7" s="197"/>
      <c r="I7" s="197"/>
      <c r="J7" s="196"/>
      <c r="M7" s="419"/>
      <c r="N7" s="419"/>
      <c r="O7" s="419"/>
      <c r="P7" s="419"/>
      <c r="Q7" s="419"/>
      <c r="R7" s="419"/>
      <c r="S7" s="419"/>
    </row>
    <row r="8" spans="1:19" x14ac:dyDescent="0.2">
      <c r="A8" s="199"/>
      <c r="B8" s="197"/>
      <c r="C8" s="197"/>
      <c r="D8" s="197"/>
      <c r="E8" s="197"/>
      <c r="F8" s="197"/>
      <c r="G8" s="197"/>
      <c r="H8" s="197"/>
      <c r="I8" s="197"/>
      <c r="J8" s="196"/>
      <c r="N8" s="231"/>
    </row>
    <row r="9" spans="1:19" x14ac:dyDescent="0.2">
      <c r="A9" s="199"/>
      <c r="B9" s="197"/>
      <c r="C9" s="197"/>
      <c r="D9" s="197"/>
      <c r="E9" s="197"/>
      <c r="F9" s="197"/>
      <c r="G9" s="197"/>
      <c r="H9" s="197"/>
      <c r="I9" s="197"/>
      <c r="J9" s="196"/>
      <c r="N9" s="233"/>
    </row>
    <row r="10" spans="1:19" ht="19" x14ac:dyDescent="0.25">
      <c r="A10" s="199"/>
      <c r="B10" s="197"/>
      <c r="C10" s="197"/>
      <c r="D10" s="197"/>
      <c r="E10" s="197"/>
      <c r="F10" s="197"/>
      <c r="G10" s="197"/>
      <c r="H10" s="197"/>
      <c r="I10" s="197"/>
      <c r="J10" s="196"/>
      <c r="M10" s="156" t="s">
        <v>200</v>
      </c>
    </row>
    <row r="11" spans="1:19" x14ac:dyDescent="0.2">
      <c r="A11" s="199"/>
      <c r="B11" s="197"/>
      <c r="C11" s="197"/>
      <c r="D11" s="197"/>
      <c r="E11" s="197"/>
      <c r="F11" s="197"/>
      <c r="G11" s="197"/>
      <c r="H11" s="197"/>
      <c r="I11" s="197"/>
      <c r="J11" s="196"/>
      <c r="M11" t="s">
        <v>309</v>
      </c>
    </row>
    <row r="12" spans="1:19" x14ac:dyDescent="0.2">
      <c r="A12" s="199"/>
      <c r="B12" s="197"/>
      <c r="C12" s="197"/>
      <c r="D12" s="197"/>
      <c r="E12" s="197"/>
      <c r="F12" s="197"/>
      <c r="G12" s="197"/>
      <c r="H12" s="197"/>
      <c r="I12" s="197"/>
      <c r="J12" s="196"/>
    </row>
    <row r="13" spans="1:19" x14ac:dyDescent="0.2">
      <c r="A13" s="199"/>
      <c r="B13" s="197"/>
      <c r="C13" s="197"/>
      <c r="D13" s="197"/>
      <c r="E13" s="197"/>
      <c r="F13" s="197"/>
      <c r="G13" s="197"/>
      <c r="H13" s="197"/>
      <c r="I13" s="197"/>
      <c r="J13" s="196"/>
    </row>
    <row r="14" spans="1:19" x14ac:dyDescent="0.2">
      <c r="A14" s="199"/>
      <c r="B14" s="197"/>
      <c r="C14" s="197"/>
      <c r="D14" s="197"/>
      <c r="E14" s="197"/>
      <c r="F14" s="197"/>
      <c r="G14" s="197"/>
      <c r="H14" s="197"/>
      <c r="I14" s="197"/>
      <c r="J14" s="196"/>
      <c r="N14" s="231"/>
    </row>
    <row r="15" spans="1:19" x14ac:dyDescent="0.2">
      <c r="A15" s="199"/>
      <c r="B15" s="197"/>
      <c r="C15" s="197"/>
      <c r="D15" s="197"/>
      <c r="E15" s="197"/>
      <c r="F15" s="197"/>
      <c r="G15" s="197"/>
      <c r="H15" s="197"/>
      <c r="I15" s="197"/>
      <c r="J15" s="196"/>
      <c r="N15" s="233"/>
    </row>
    <row r="16" spans="1:19" x14ac:dyDescent="0.2">
      <c r="A16" s="199"/>
      <c r="B16" s="197"/>
      <c r="C16" s="197"/>
      <c r="D16" s="197"/>
      <c r="E16" s="197"/>
      <c r="F16" s="197"/>
      <c r="G16" s="197"/>
      <c r="H16" s="197"/>
      <c r="I16" s="197"/>
      <c r="J16" s="196"/>
    </row>
    <row r="17" spans="1:19" x14ac:dyDescent="0.2">
      <c r="A17" s="199"/>
      <c r="B17" s="197"/>
      <c r="C17" s="197"/>
      <c r="D17" s="197"/>
      <c r="E17" s="197"/>
      <c r="F17" s="197"/>
      <c r="G17" s="197"/>
      <c r="H17" s="197"/>
      <c r="I17" s="197"/>
      <c r="J17" s="196"/>
      <c r="M17" s="170"/>
    </row>
    <row r="18" spans="1:19" x14ac:dyDescent="0.2">
      <c r="A18" s="199"/>
      <c r="B18" s="197"/>
      <c r="C18" s="197"/>
      <c r="D18" s="197"/>
      <c r="E18" s="197"/>
      <c r="F18" s="197"/>
      <c r="G18" s="197"/>
      <c r="H18" s="197"/>
      <c r="I18" s="197"/>
      <c r="J18" s="196"/>
    </row>
    <row r="19" spans="1:19" x14ac:dyDescent="0.2">
      <c r="A19" s="199"/>
      <c r="B19" s="197"/>
      <c r="C19" s="197"/>
      <c r="D19" s="197"/>
      <c r="E19" s="197"/>
      <c r="F19" s="197"/>
      <c r="G19" s="197"/>
      <c r="H19" s="197"/>
      <c r="I19" s="197"/>
      <c r="J19" s="196"/>
      <c r="M19" s="172"/>
      <c r="N19" s="172"/>
      <c r="O19" s="172"/>
      <c r="P19" s="172"/>
      <c r="Q19" s="172"/>
      <c r="R19" s="172"/>
      <c r="S19" s="172"/>
    </row>
    <row r="20" spans="1:19" x14ac:dyDescent="0.2">
      <c r="A20" s="199"/>
      <c r="B20" s="197"/>
      <c r="C20" s="197"/>
      <c r="D20" s="197"/>
      <c r="E20" s="197"/>
      <c r="F20" s="197"/>
      <c r="G20" s="197"/>
      <c r="H20" s="197"/>
      <c r="I20" s="197"/>
      <c r="J20" s="196"/>
      <c r="M20" s="172"/>
      <c r="N20" s="237"/>
      <c r="O20" s="237"/>
      <c r="P20" s="237"/>
      <c r="Q20" s="237"/>
      <c r="R20" s="237"/>
      <c r="S20" s="237"/>
    </row>
    <row r="21" spans="1:19" x14ac:dyDescent="0.2">
      <c r="A21" s="199"/>
      <c r="B21" s="197"/>
      <c r="C21" s="197"/>
      <c r="D21" s="197"/>
      <c r="E21" s="197"/>
      <c r="F21" s="197"/>
      <c r="G21" s="197"/>
      <c r="H21" s="197"/>
      <c r="I21" s="197"/>
      <c r="J21" s="196"/>
      <c r="M21" s="172"/>
      <c r="N21" s="237"/>
      <c r="O21" s="237"/>
      <c r="P21" s="237"/>
      <c r="Q21" s="237"/>
      <c r="R21" s="237"/>
      <c r="S21" s="237"/>
    </row>
    <row r="22" spans="1:19" x14ac:dyDescent="0.2">
      <c r="A22" s="199"/>
      <c r="B22" s="197"/>
      <c r="C22" s="197"/>
      <c r="D22" s="197"/>
      <c r="E22" s="197"/>
      <c r="F22" s="197"/>
      <c r="G22" s="197"/>
      <c r="H22" s="197"/>
      <c r="I22" s="197"/>
      <c r="J22" s="196"/>
      <c r="M22" s="172"/>
      <c r="N22" s="237"/>
      <c r="O22" s="237"/>
      <c r="P22" s="237"/>
      <c r="Q22" s="237"/>
      <c r="R22" s="237"/>
      <c r="S22" s="237"/>
    </row>
    <row r="23" spans="1:19" x14ac:dyDescent="0.2">
      <c r="A23" s="199"/>
      <c r="B23" s="197"/>
      <c r="C23" s="197"/>
      <c r="D23" s="197"/>
      <c r="E23" s="197"/>
      <c r="F23" s="197"/>
      <c r="G23" s="197"/>
      <c r="H23" s="197"/>
      <c r="I23" s="197"/>
      <c r="J23" s="196"/>
      <c r="M23" s="172"/>
      <c r="N23" s="237"/>
      <c r="O23" s="237"/>
      <c r="P23" s="237"/>
      <c r="Q23" s="237"/>
      <c r="R23" s="237"/>
      <c r="S23" s="237"/>
    </row>
    <row r="24" spans="1:19" x14ac:dyDescent="0.2">
      <c r="A24" s="199"/>
      <c r="B24" s="197"/>
      <c r="C24" s="197"/>
      <c r="D24" s="197"/>
      <c r="E24" s="197"/>
      <c r="F24" s="197"/>
      <c r="G24" s="197"/>
      <c r="H24" s="197"/>
      <c r="I24" s="197"/>
      <c r="J24" s="196"/>
      <c r="M24" s="172"/>
      <c r="N24" s="237"/>
      <c r="O24" s="237"/>
      <c r="P24" s="237"/>
      <c r="Q24" s="237"/>
      <c r="R24" s="237"/>
      <c r="S24" s="237"/>
    </row>
    <row r="25" spans="1:19" x14ac:dyDescent="0.2">
      <c r="A25" s="199"/>
      <c r="B25" s="197"/>
      <c r="C25" s="197"/>
      <c r="D25" s="197"/>
      <c r="E25" s="197"/>
      <c r="F25" s="197"/>
      <c r="G25" s="197"/>
      <c r="H25" s="197"/>
      <c r="I25" s="197"/>
      <c r="J25" s="196"/>
    </row>
    <row r="26" spans="1:19" x14ac:dyDescent="0.2">
      <c r="A26" s="199"/>
      <c r="B26" s="197"/>
      <c r="C26" s="197"/>
      <c r="D26" s="197"/>
      <c r="E26" s="197"/>
      <c r="F26" s="197"/>
      <c r="G26" s="197"/>
      <c r="H26" s="197"/>
      <c r="I26" s="197"/>
      <c r="J26" s="196"/>
      <c r="M26" s="170"/>
    </row>
    <row r="27" spans="1:19" x14ac:dyDescent="0.2">
      <c r="A27" s="199"/>
      <c r="B27" s="197"/>
      <c r="C27" s="197"/>
      <c r="D27" s="197"/>
      <c r="E27" s="197"/>
      <c r="F27" s="197"/>
      <c r="G27" s="197"/>
      <c r="H27" s="197"/>
      <c r="I27" s="197"/>
      <c r="J27" s="196"/>
    </row>
    <row r="28" spans="1:19" x14ac:dyDescent="0.2">
      <c r="A28" s="199"/>
      <c r="B28" s="197"/>
      <c r="C28" s="197"/>
      <c r="D28" s="197"/>
      <c r="E28" s="197"/>
      <c r="F28" s="197"/>
      <c r="G28" s="197"/>
      <c r="H28" s="197"/>
      <c r="I28" s="197"/>
      <c r="J28" s="196"/>
      <c r="N28" s="236"/>
    </row>
    <row r="29" spans="1:19" x14ac:dyDescent="0.2">
      <c r="A29" s="199"/>
      <c r="B29" s="197"/>
      <c r="C29" s="197"/>
      <c r="D29" s="197"/>
      <c r="E29" s="197"/>
      <c r="F29" s="197"/>
      <c r="G29" s="197"/>
      <c r="H29" s="197"/>
      <c r="I29" s="197"/>
      <c r="J29" s="196"/>
      <c r="N29" s="231"/>
    </row>
    <row r="30" spans="1:19" x14ac:dyDescent="0.2">
      <c r="A30" s="199"/>
      <c r="B30" s="197"/>
      <c r="C30" s="197"/>
      <c r="D30" s="197"/>
      <c r="E30" s="197"/>
      <c r="F30" s="197"/>
      <c r="G30" s="197"/>
      <c r="H30" s="197"/>
      <c r="I30" s="197"/>
      <c r="J30" s="196"/>
      <c r="N30" s="233"/>
    </row>
    <row r="31" spans="1:19" x14ac:dyDescent="0.2">
      <c r="A31" s="199"/>
      <c r="B31" s="197"/>
      <c r="C31" s="197"/>
      <c r="D31" s="197"/>
      <c r="E31" s="197"/>
      <c r="F31" s="197"/>
      <c r="G31" s="197"/>
      <c r="H31" s="197"/>
      <c r="I31" s="197"/>
      <c r="J31" s="196"/>
    </row>
    <row r="32" spans="1:19" x14ac:dyDescent="0.2">
      <c r="A32" s="199"/>
      <c r="B32" s="197"/>
      <c r="C32" s="197"/>
      <c r="D32" s="197"/>
      <c r="E32" s="197"/>
      <c r="F32" s="197"/>
      <c r="G32" s="197"/>
      <c r="H32" s="197"/>
      <c r="I32" s="197"/>
      <c r="J32" s="196"/>
    </row>
    <row r="33" spans="1:14" x14ac:dyDescent="0.2">
      <c r="A33" s="199"/>
      <c r="B33" s="197"/>
      <c r="C33" s="197"/>
      <c r="D33" s="197"/>
      <c r="E33" s="197"/>
      <c r="F33" s="197"/>
      <c r="G33" s="197"/>
      <c r="H33" s="197"/>
      <c r="I33" s="197"/>
      <c r="J33" s="196"/>
    </row>
    <row r="34" spans="1:14" x14ac:dyDescent="0.2">
      <c r="A34" s="199"/>
      <c r="B34" s="197"/>
      <c r="C34" s="197"/>
      <c r="D34" s="197"/>
      <c r="E34" s="197"/>
      <c r="F34" s="197"/>
      <c r="G34" s="197"/>
      <c r="H34" s="197"/>
      <c r="I34" s="197"/>
      <c r="J34" s="196"/>
    </row>
    <row r="35" spans="1:14" x14ac:dyDescent="0.2">
      <c r="A35" s="199"/>
      <c r="B35" s="197"/>
      <c r="C35" s="197"/>
      <c r="D35" s="197"/>
      <c r="E35" s="197"/>
      <c r="F35" s="197"/>
      <c r="G35" s="197"/>
      <c r="H35" s="197"/>
      <c r="I35" s="197"/>
      <c r="J35" s="196"/>
    </row>
    <row r="36" spans="1:14" x14ac:dyDescent="0.2">
      <c r="A36" s="199"/>
      <c r="B36" s="197"/>
      <c r="C36" s="197"/>
      <c r="D36" s="197"/>
      <c r="E36" s="197"/>
      <c r="F36" s="197"/>
      <c r="G36" s="197"/>
      <c r="H36" s="197"/>
      <c r="I36" s="197"/>
      <c r="J36" s="196"/>
    </row>
    <row r="37" spans="1:14" x14ac:dyDescent="0.2">
      <c r="A37" s="199"/>
      <c r="B37" s="197"/>
      <c r="C37" s="197"/>
      <c r="D37" s="197"/>
      <c r="E37" s="197"/>
      <c r="F37" s="197"/>
      <c r="G37" s="197"/>
      <c r="H37" s="197"/>
      <c r="I37" s="197"/>
      <c r="J37" s="196"/>
      <c r="N37" s="235"/>
    </row>
    <row r="38" spans="1:14" ht="16" customHeight="1" x14ac:dyDescent="0.2">
      <c r="A38" s="199"/>
      <c r="B38" s="234" t="s">
        <v>308</v>
      </c>
      <c r="C38" s="234"/>
      <c r="D38" s="234"/>
      <c r="E38" s="234"/>
      <c r="F38" s="234"/>
      <c r="G38" s="234"/>
      <c r="H38" s="234"/>
      <c r="I38" s="234"/>
      <c r="J38" s="196"/>
      <c r="N38" s="231"/>
    </row>
    <row r="39" spans="1:14" x14ac:dyDescent="0.2">
      <c r="A39" s="199"/>
      <c r="B39" s="197"/>
      <c r="C39" s="197"/>
      <c r="D39" s="197"/>
      <c r="E39" s="197"/>
      <c r="F39" s="197"/>
      <c r="G39" s="197"/>
      <c r="H39" s="197"/>
      <c r="I39" s="197"/>
      <c r="J39" s="196"/>
      <c r="N39" s="233"/>
    </row>
    <row r="40" spans="1:14" x14ac:dyDescent="0.2">
      <c r="A40" s="199"/>
      <c r="B40" s="197" t="s">
        <v>307</v>
      </c>
      <c r="C40" s="197"/>
      <c r="D40" s="197"/>
      <c r="E40" s="197"/>
      <c r="F40" s="197"/>
      <c r="G40" s="197"/>
      <c r="H40" s="197"/>
      <c r="I40" s="197"/>
      <c r="J40" s="196"/>
    </row>
    <row r="41" spans="1:14" ht="16" customHeight="1" thickBot="1" x14ac:dyDescent="0.25">
      <c r="A41" s="199"/>
      <c r="B41" s="197"/>
      <c r="C41" s="197"/>
      <c r="D41" s="197"/>
      <c r="E41" s="197"/>
      <c r="F41" s="197"/>
      <c r="G41" s="197"/>
      <c r="H41" s="197"/>
      <c r="I41" s="197"/>
      <c r="J41" s="196"/>
    </row>
    <row r="42" spans="1:14" ht="17" thickBot="1" x14ac:dyDescent="0.25">
      <c r="A42" s="195" t="s">
        <v>205</v>
      </c>
      <c r="B42" s="232"/>
      <c r="C42" s="194"/>
      <c r="D42" s="194"/>
      <c r="E42" s="194"/>
      <c r="F42" s="194"/>
      <c r="G42" s="194"/>
      <c r="H42" s="194"/>
      <c r="I42" s="194"/>
      <c r="J42" s="193"/>
    </row>
    <row r="44" spans="1:14" x14ac:dyDescent="0.2">
      <c r="N44" s="231"/>
    </row>
    <row r="45" spans="1:14" x14ac:dyDescent="0.2">
      <c r="N45" s="231"/>
    </row>
    <row r="49" spans="14:14" x14ac:dyDescent="0.2">
      <c r="N49" s="231"/>
    </row>
  </sheetData>
  <mergeCells count="2">
    <mergeCell ref="M3:S4"/>
    <mergeCell ref="M6:S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10458-0684-754C-9F77-51DB4896AAC4}">
  <dimension ref="A1:U89"/>
  <sheetViews>
    <sheetView workbookViewId="0"/>
  </sheetViews>
  <sheetFormatPr baseColWidth="10" defaultColWidth="11" defaultRowHeight="16" outlineLevelCol="1" x14ac:dyDescent="0.2"/>
  <cols>
    <col min="1" max="1" width="4.5" customWidth="1"/>
    <col min="3" max="3" width="13.83203125" bestFit="1" customWidth="1"/>
    <col min="8" max="11" width="10.5" customWidth="1"/>
    <col min="13" max="17" width="10.83203125" hidden="1" customWidth="1" outlineLevel="1"/>
    <col min="18" max="18" width="12" hidden="1" customWidth="1" outlineLevel="1"/>
    <col min="19" max="20" width="10.83203125" hidden="1" customWidth="1" outlineLevel="1"/>
    <col min="21" max="21" width="11" collapsed="1"/>
  </cols>
  <sheetData>
    <row r="1" spans="1:18" ht="19" x14ac:dyDescent="0.25">
      <c r="A1" s="230" t="s">
        <v>361</v>
      </c>
      <c r="B1" s="229"/>
      <c r="C1" s="228"/>
      <c r="D1" s="228"/>
      <c r="E1" s="228"/>
      <c r="F1" s="227"/>
      <c r="G1" s="227"/>
      <c r="H1" s="227"/>
      <c r="I1" s="227"/>
      <c r="J1" s="226"/>
      <c r="L1" s="156" t="s">
        <v>206</v>
      </c>
    </row>
    <row r="2" spans="1:18" x14ac:dyDescent="0.2">
      <c r="A2" s="199"/>
      <c r="B2" s="197"/>
      <c r="C2" s="197"/>
      <c r="D2" s="197"/>
      <c r="E2" s="197"/>
      <c r="F2" s="197"/>
      <c r="G2" s="197"/>
      <c r="H2" s="197"/>
      <c r="I2" s="197"/>
      <c r="J2" s="196"/>
    </row>
    <row r="3" spans="1:18" x14ac:dyDescent="0.2">
      <c r="A3" s="199"/>
      <c r="B3" s="197" t="s">
        <v>360</v>
      </c>
      <c r="C3" s="197"/>
      <c r="D3" s="197"/>
      <c r="E3" s="197"/>
      <c r="F3" s="197"/>
      <c r="G3" s="197"/>
      <c r="H3" s="197"/>
      <c r="I3" s="197"/>
      <c r="J3" s="196"/>
      <c r="M3" s="166" t="s">
        <v>304</v>
      </c>
      <c r="N3" s="225"/>
    </row>
    <row r="4" spans="1:18" x14ac:dyDescent="0.2">
      <c r="A4" s="199"/>
      <c r="B4" s="197"/>
      <c r="C4" s="197"/>
      <c r="D4" s="197"/>
      <c r="E4" s="197"/>
      <c r="F4" s="197"/>
      <c r="G4" s="197"/>
      <c r="H4" s="197"/>
      <c r="I4" s="197"/>
      <c r="J4" s="196"/>
      <c r="N4" s="249"/>
    </row>
    <row r="5" spans="1:18" x14ac:dyDescent="0.2">
      <c r="A5" s="199"/>
      <c r="B5" s="416" t="s">
        <v>331</v>
      </c>
      <c r="C5" s="420" t="s">
        <v>99</v>
      </c>
      <c r="D5" s="421"/>
      <c r="E5" s="421"/>
      <c r="F5" s="422"/>
      <c r="G5" s="197"/>
      <c r="H5" s="197"/>
      <c r="I5" s="197"/>
      <c r="J5" s="196"/>
      <c r="M5" s="170" t="s">
        <v>359</v>
      </c>
      <c r="N5" s="174"/>
    </row>
    <row r="6" spans="1:18" x14ac:dyDescent="0.2">
      <c r="A6" s="199"/>
      <c r="B6" s="417"/>
      <c r="C6" s="223" t="s">
        <v>358</v>
      </c>
      <c r="D6" s="223" t="s">
        <v>357</v>
      </c>
      <c r="E6" s="223" t="s">
        <v>356</v>
      </c>
      <c r="F6" s="222" t="s">
        <v>355</v>
      </c>
      <c r="G6" s="197"/>
      <c r="H6" s="197"/>
      <c r="I6" s="197"/>
      <c r="J6" s="196"/>
      <c r="N6" s="174"/>
    </row>
    <row r="7" spans="1:18" x14ac:dyDescent="0.2">
      <c r="A7" s="199"/>
      <c r="B7" s="219">
        <v>1</v>
      </c>
      <c r="C7" s="210">
        <v>1.65</v>
      </c>
      <c r="D7" s="210">
        <v>1.25</v>
      </c>
      <c r="E7" s="210">
        <v>1.1499999999999999</v>
      </c>
      <c r="F7" s="244">
        <v>1.05</v>
      </c>
      <c r="G7" s="197"/>
      <c r="H7" s="197"/>
      <c r="I7" s="197"/>
      <c r="J7" s="196"/>
      <c r="M7" s="192" t="s">
        <v>331</v>
      </c>
      <c r="N7" s="245" t="s">
        <v>354</v>
      </c>
      <c r="O7" s="164" t="s">
        <v>353</v>
      </c>
      <c r="P7" s="164" t="s">
        <v>352</v>
      </c>
      <c r="Q7" s="164" t="s">
        <v>351</v>
      </c>
      <c r="R7" s="164" t="s">
        <v>350</v>
      </c>
    </row>
    <row r="8" spans="1:18" x14ac:dyDescent="0.2">
      <c r="A8" s="199"/>
      <c r="B8" s="219">
        <v>2</v>
      </c>
      <c r="C8" s="210">
        <v>1.7</v>
      </c>
      <c r="D8" s="210">
        <v>1.3</v>
      </c>
      <c r="E8" s="210">
        <v>1.1000000000000001</v>
      </c>
      <c r="F8" s="244"/>
      <c r="G8" s="197"/>
      <c r="H8" s="197"/>
      <c r="I8" s="197"/>
      <c r="J8" s="196"/>
      <c r="M8" s="191">
        <v>1</v>
      </c>
      <c r="N8" s="169">
        <v>2</v>
      </c>
      <c r="O8" s="172">
        <v>1</v>
      </c>
      <c r="P8" s="172">
        <v>2</v>
      </c>
      <c r="Q8" s="172">
        <v>1</v>
      </c>
      <c r="R8" s="172">
        <v>2</v>
      </c>
    </row>
    <row r="9" spans="1:18" x14ac:dyDescent="0.2">
      <c r="A9" s="199"/>
      <c r="B9" s="219">
        <v>3</v>
      </c>
      <c r="C9" s="210">
        <v>1.75</v>
      </c>
      <c r="D9" s="210">
        <v>1.2</v>
      </c>
      <c r="E9" s="210"/>
      <c r="F9" s="244"/>
      <c r="G9" s="197"/>
      <c r="H9" s="197"/>
      <c r="I9" s="197"/>
      <c r="J9" s="196"/>
      <c r="M9" s="191">
        <v>2</v>
      </c>
      <c r="N9" s="169">
        <v>3</v>
      </c>
      <c r="O9" s="172">
        <v>2</v>
      </c>
      <c r="P9" s="172">
        <v>3</v>
      </c>
      <c r="Q9" s="172">
        <v>2</v>
      </c>
      <c r="R9" s="172">
        <v>1</v>
      </c>
    </row>
    <row r="10" spans="1:18" x14ac:dyDescent="0.2">
      <c r="A10" s="199"/>
      <c r="B10" s="216">
        <v>4</v>
      </c>
      <c r="C10" s="243">
        <v>1.5</v>
      </c>
      <c r="D10" s="243"/>
      <c r="E10" s="243"/>
      <c r="F10" s="242"/>
      <c r="G10" s="197"/>
      <c r="H10" s="197"/>
      <c r="I10" s="197"/>
      <c r="J10" s="196"/>
      <c r="M10" s="191">
        <v>3</v>
      </c>
      <c r="N10" s="169">
        <v>4</v>
      </c>
      <c r="O10" s="172">
        <v>3</v>
      </c>
      <c r="P10" s="172">
        <v>1</v>
      </c>
      <c r="Q10" s="172"/>
      <c r="R10" s="172"/>
    </row>
    <row r="11" spans="1:18" x14ac:dyDescent="0.2">
      <c r="A11" s="199"/>
      <c r="B11" s="197"/>
      <c r="C11" s="197"/>
      <c r="D11" s="197"/>
      <c r="E11" s="197"/>
      <c r="F11" s="197"/>
      <c r="G11" s="197"/>
      <c r="H11" s="197"/>
      <c r="I11" s="197"/>
      <c r="J11" s="196"/>
      <c r="M11" s="191">
        <v>4</v>
      </c>
      <c r="N11" s="169">
        <v>1</v>
      </c>
      <c r="O11" s="172"/>
      <c r="P11" s="172"/>
      <c r="Q11" s="172"/>
      <c r="R11" s="172"/>
    </row>
    <row r="12" spans="1:18" x14ac:dyDescent="0.2">
      <c r="A12" s="199"/>
      <c r="B12" s="209" t="s">
        <v>349</v>
      </c>
      <c r="C12" s="197"/>
      <c r="D12" s="197"/>
      <c r="E12" s="197"/>
      <c r="F12" s="197"/>
      <c r="G12" s="204">
        <v>0.67</v>
      </c>
      <c r="H12" s="197"/>
      <c r="I12" s="197"/>
      <c r="J12" s="196"/>
    </row>
    <row r="13" spans="1:18" x14ac:dyDescent="0.2">
      <c r="A13" s="199"/>
      <c r="B13" s="209" t="s">
        <v>348</v>
      </c>
      <c r="C13" s="197"/>
      <c r="D13" s="197"/>
      <c r="E13" s="197"/>
      <c r="F13" s="197"/>
      <c r="G13" s="204">
        <v>1.96</v>
      </c>
      <c r="H13" s="197"/>
      <c r="I13" s="197"/>
      <c r="J13" s="196"/>
      <c r="M13" s="170" t="s">
        <v>347</v>
      </c>
      <c r="N13" s="174"/>
    </row>
    <row r="14" spans="1:18" x14ac:dyDescent="0.2">
      <c r="A14" s="199"/>
      <c r="B14" s="197"/>
      <c r="C14" s="197"/>
      <c r="D14" s="197"/>
      <c r="E14" s="197"/>
      <c r="F14" s="197"/>
      <c r="G14" s="197"/>
      <c r="H14" s="197"/>
      <c r="I14" s="197"/>
      <c r="J14" s="196"/>
      <c r="N14" s="174"/>
    </row>
    <row r="15" spans="1:18" x14ac:dyDescent="0.2">
      <c r="A15" s="199"/>
      <c r="B15" s="241" t="s">
        <v>0</v>
      </c>
      <c r="C15" s="197"/>
      <c r="D15" s="197"/>
      <c r="E15" s="197"/>
      <c r="F15" s="197"/>
      <c r="G15" s="197"/>
      <c r="H15" s="197"/>
      <c r="I15" s="197"/>
      <c r="J15" s="196"/>
      <c r="N15" s="174"/>
    </row>
    <row r="16" spans="1:18" x14ac:dyDescent="0.2">
      <c r="A16" s="199"/>
      <c r="B16" s="423" t="s">
        <v>346</v>
      </c>
      <c r="C16" s="423"/>
      <c r="D16" s="423"/>
      <c r="E16" s="423"/>
      <c r="F16" s="423"/>
      <c r="G16" s="423"/>
      <c r="H16" s="423"/>
      <c r="I16" s="197"/>
      <c r="J16" s="196"/>
      <c r="N16" s="174"/>
    </row>
    <row r="17" spans="1:18" x14ac:dyDescent="0.2">
      <c r="A17" s="199"/>
      <c r="B17" s="423"/>
      <c r="C17" s="423"/>
      <c r="D17" s="423"/>
      <c r="E17" s="423"/>
      <c r="F17" s="423"/>
      <c r="G17" s="423"/>
      <c r="H17" s="423"/>
      <c r="I17" s="197"/>
      <c r="J17" s="196"/>
      <c r="N17" s="174"/>
    </row>
    <row r="18" spans="1:18" x14ac:dyDescent="0.2">
      <c r="A18" s="199"/>
      <c r="B18" s="204"/>
      <c r="C18" s="197"/>
      <c r="D18" s="197"/>
      <c r="E18" s="197"/>
      <c r="F18" s="197"/>
      <c r="G18" s="197"/>
      <c r="H18" s="197"/>
      <c r="I18" s="197"/>
      <c r="J18" s="196"/>
      <c r="N18" s="174"/>
    </row>
    <row r="19" spans="1:18" x14ac:dyDescent="0.2">
      <c r="A19" s="199"/>
      <c r="B19" s="205" t="s">
        <v>1</v>
      </c>
      <c r="C19" s="197"/>
      <c r="D19" s="197"/>
      <c r="E19" s="197"/>
      <c r="F19" s="197"/>
      <c r="G19" s="197"/>
      <c r="H19" s="197"/>
      <c r="I19" s="197"/>
      <c r="J19" s="196"/>
      <c r="N19" s="174"/>
    </row>
    <row r="20" spans="1:18" ht="18" x14ac:dyDescent="0.25">
      <c r="A20" s="199"/>
      <c r="B20" s="197" t="s">
        <v>345</v>
      </c>
      <c r="C20" s="197"/>
      <c r="D20" s="197"/>
      <c r="E20" s="197"/>
      <c r="F20" s="197"/>
      <c r="G20" s="197"/>
      <c r="H20" s="197"/>
      <c r="I20" s="197"/>
      <c r="J20" s="196"/>
      <c r="M20" s="188" t="s">
        <v>80</v>
      </c>
      <c r="N20" s="189" t="s">
        <v>113</v>
      </c>
      <c r="O20" s="188" t="s">
        <v>344</v>
      </c>
      <c r="P20" s="189" t="s">
        <v>343</v>
      </c>
      <c r="Q20" s="189" t="s">
        <v>114</v>
      </c>
    </row>
    <row r="21" spans="1:18" ht="17" thickBot="1" x14ac:dyDescent="0.25">
      <c r="A21" s="199"/>
      <c r="B21" s="197"/>
      <c r="C21" s="197"/>
      <c r="D21" s="197"/>
      <c r="E21" s="197"/>
      <c r="F21" s="197"/>
      <c r="G21" s="197"/>
      <c r="H21" s="197"/>
      <c r="I21" s="197"/>
      <c r="J21" s="196"/>
      <c r="M21" s="180">
        <v>2</v>
      </c>
      <c r="N21" s="173">
        <v>3</v>
      </c>
      <c r="O21" s="180">
        <f>((P8-O8)^2+(P9-O9)^2+(P10-O10)^2)</f>
        <v>6</v>
      </c>
      <c r="P21" s="173">
        <f>1-O21/(N21*(N21^2-1)/6)</f>
        <v>-0.5</v>
      </c>
      <c r="Q21" s="173">
        <f>5-M21-1</f>
        <v>2</v>
      </c>
      <c r="R21" t="s">
        <v>342</v>
      </c>
    </row>
    <row r="22" spans="1:18" ht="17" thickBot="1" x14ac:dyDescent="0.25">
      <c r="A22" s="195" t="s">
        <v>205</v>
      </c>
      <c r="B22" s="232"/>
      <c r="C22" s="194"/>
      <c r="D22" s="194"/>
      <c r="E22" s="194"/>
      <c r="F22" s="194"/>
      <c r="G22" s="194"/>
      <c r="H22" s="194"/>
      <c r="I22" s="194"/>
      <c r="J22" s="193"/>
      <c r="M22" s="180">
        <v>3</v>
      </c>
      <c r="N22" s="173">
        <v>2</v>
      </c>
      <c r="O22" s="180">
        <f>((R8-Q8)^2+(R9-Q9)^2)</f>
        <v>2</v>
      </c>
      <c r="P22" s="173">
        <f>1-O22/(N22*(N22^2-1)/6)</f>
        <v>-1</v>
      </c>
      <c r="Q22" s="173">
        <f>5-M22-1</f>
        <v>1</v>
      </c>
    </row>
    <row r="24" spans="1:18" x14ac:dyDescent="0.2">
      <c r="M24" t="s">
        <v>341</v>
      </c>
      <c r="N24" s="239">
        <f>SUMPRODUCT(P21:P22,Q21:Q22)/SUM(Q21:Q22)</f>
        <v>-0.66666666666666663</v>
      </c>
    </row>
    <row r="27" spans="1:18" x14ac:dyDescent="0.2">
      <c r="M27" s="170" t="s">
        <v>340</v>
      </c>
    </row>
    <row r="29" spans="1:18" x14ac:dyDescent="0.2">
      <c r="M29" t="s">
        <v>339</v>
      </c>
      <c r="N29" s="238">
        <f>1/((5-2)*(5-3)/2)</f>
        <v>0.33333333333333331</v>
      </c>
    </row>
    <row r="30" spans="1:18" x14ac:dyDescent="0.2">
      <c r="M30" t="s">
        <v>338</v>
      </c>
      <c r="N30" s="238">
        <f>SQRT(N29)</f>
        <v>0.57735026918962573</v>
      </c>
    </row>
    <row r="31" spans="1:18" x14ac:dyDescent="0.2">
      <c r="M31" t="s">
        <v>337</v>
      </c>
      <c r="N31">
        <v>0</v>
      </c>
    </row>
    <row r="33" spans="13:18" x14ac:dyDescent="0.2">
      <c r="M33" t="s">
        <v>336</v>
      </c>
      <c r="O33" s="171">
        <f>N31-N30*G12</f>
        <v>-0.38682468035704926</v>
      </c>
    </row>
    <row r="34" spans="13:18" x14ac:dyDescent="0.2">
      <c r="M34" t="s">
        <v>335</v>
      </c>
      <c r="O34" s="171">
        <f>N31+N30*G12</f>
        <v>0.38682468035704926</v>
      </c>
    </row>
    <row r="35" spans="13:18" ht="17" thickBot="1" x14ac:dyDescent="0.25"/>
    <row r="36" spans="13:18" x14ac:dyDescent="0.2">
      <c r="M36" s="424" t="s">
        <v>334</v>
      </c>
      <c r="N36" s="425"/>
      <c r="O36" s="425"/>
      <c r="P36" s="425"/>
      <c r="Q36" s="425"/>
      <c r="R36" s="426"/>
    </row>
    <row r="37" spans="13:18" ht="17" thickBot="1" x14ac:dyDescent="0.25">
      <c r="M37" s="427"/>
      <c r="N37" s="428"/>
      <c r="O37" s="428"/>
      <c r="P37" s="428"/>
      <c r="Q37" s="428"/>
      <c r="R37" s="429"/>
    </row>
    <row r="39" spans="13:18" x14ac:dyDescent="0.2">
      <c r="M39" s="166" t="s">
        <v>283</v>
      </c>
    </row>
    <row r="41" spans="13:18" x14ac:dyDescent="0.2">
      <c r="M41" s="170" t="s">
        <v>333</v>
      </c>
    </row>
    <row r="43" spans="13:18" x14ac:dyDescent="0.2">
      <c r="M43" s="192" t="s">
        <v>331</v>
      </c>
      <c r="N43" s="164" t="s">
        <v>265</v>
      </c>
      <c r="O43" s="164" t="s">
        <v>264</v>
      </c>
      <c r="P43" s="164" t="s">
        <v>263</v>
      </c>
      <c r="Q43" s="164" t="s">
        <v>262</v>
      </c>
    </row>
    <row r="44" spans="13:18" x14ac:dyDescent="0.2">
      <c r="M44" s="191">
        <v>1</v>
      </c>
      <c r="N44" s="172">
        <v>2</v>
      </c>
      <c r="O44" s="172">
        <v>2</v>
      </c>
      <c r="P44" s="172">
        <v>2</v>
      </c>
      <c r="Q44" s="172">
        <v>1</v>
      </c>
    </row>
    <row r="45" spans="13:18" x14ac:dyDescent="0.2">
      <c r="M45" s="191">
        <v>2</v>
      </c>
      <c r="N45" s="172">
        <v>3</v>
      </c>
      <c r="O45" s="172">
        <v>3</v>
      </c>
      <c r="P45" s="172">
        <v>1</v>
      </c>
      <c r="Q45" s="172"/>
    </row>
    <row r="46" spans="13:18" x14ac:dyDescent="0.2">
      <c r="M46" s="191">
        <v>3</v>
      </c>
      <c r="N46" s="172">
        <v>4</v>
      </c>
      <c r="O46" s="172">
        <v>1</v>
      </c>
      <c r="P46" s="172"/>
      <c r="Q46" s="172"/>
    </row>
    <row r="47" spans="13:18" x14ac:dyDescent="0.2">
      <c r="M47" s="191">
        <v>4</v>
      </c>
      <c r="N47" s="172">
        <v>1</v>
      </c>
      <c r="O47" s="172"/>
      <c r="P47" s="172"/>
      <c r="Q47" s="172"/>
    </row>
    <row r="49" spans="13:17" x14ac:dyDescent="0.2">
      <c r="M49" s="170" t="s">
        <v>332</v>
      </c>
    </row>
    <row r="51" spans="13:17" x14ac:dyDescent="0.2">
      <c r="M51" s="192" t="s">
        <v>331</v>
      </c>
      <c r="N51" s="164" t="s">
        <v>265</v>
      </c>
      <c r="O51" s="164" t="s">
        <v>264</v>
      </c>
      <c r="P51" s="164" t="s">
        <v>263</v>
      </c>
      <c r="Q51" s="164" t="s">
        <v>262</v>
      </c>
    </row>
    <row r="52" spans="13:17" x14ac:dyDescent="0.2">
      <c r="M52" s="191">
        <v>1</v>
      </c>
      <c r="N52" s="172" t="s">
        <v>32</v>
      </c>
      <c r="O52" s="172" t="s">
        <v>33</v>
      </c>
      <c r="P52" s="172" t="s">
        <v>31</v>
      </c>
      <c r="Q52" s="172" t="s">
        <v>33</v>
      </c>
    </row>
    <row r="53" spans="13:17" x14ac:dyDescent="0.2">
      <c r="M53" s="191">
        <v>2</v>
      </c>
      <c r="N53" s="172" t="s">
        <v>31</v>
      </c>
      <c r="O53" s="172" t="s">
        <v>31</v>
      </c>
      <c r="P53" s="172" t="s">
        <v>32</v>
      </c>
      <c r="Q53" s="172"/>
    </row>
    <row r="54" spans="13:17" x14ac:dyDescent="0.2">
      <c r="M54" s="191">
        <v>3</v>
      </c>
      <c r="N54" s="172" t="s">
        <v>31</v>
      </c>
      <c r="O54" s="172" t="s">
        <v>32</v>
      </c>
      <c r="P54" s="172"/>
      <c r="Q54" s="172"/>
    </row>
    <row r="55" spans="13:17" x14ac:dyDescent="0.2">
      <c r="M55" s="191">
        <v>4</v>
      </c>
      <c r="N55" s="172" t="s">
        <v>32</v>
      </c>
      <c r="O55" s="172"/>
      <c r="P55" s="172"/>
      <c r="Q55" s="172"/>
    </row>
    <row r="57" spans="13:17" x14ac:dyDescent="0.2">
      <c r="M57" s="170" t="s">
        <v>330</v>
      </c>
    </row>
    <row r="59" spans="13:17" x14ac:dyDescent="0.2">
      <c r="M59" s="192" t="s">
        <v>328</v>
      </c>
      <c r="N59" s="164" t="s">
        <v>327</v>
      </c>
      <c r="O59" s="164" t="s">
        <v>326</v>
      </c>
    </row>
    <row r="60" spans="13:17" x14ac:dyDescent="0.2">
      <c r="M60" s="191">
        <v>2</v>
      </c>
      <c r="N60" s="172">
        <v>0</v>
      </c>
      <c r="O60" s="172">
        <v>1</v>
      </c>
    </row>
    <row r="61" spans="13:17" x14ac:dyDescent="0.2">
      <c r="M61" s="191">
        <v>3</v>
      </c>
      <c r="N61" s="172">
        <v>0</v>
      </c>
      <c r="O61" s="172">
        <v>3</v>
      </c>
    </row>
    <row r="62" spans="13:17" x14ac:dyDescent="0.2">
      <c r="M62" s="191">
        <v>4</v>
      </c>
      <c r="N62" s="172">
        <v>3</v>
      </c>
      <c r="O62" s="172">
        <v>0</v>
      </c>
    </row>
    <row r="64" spans="13:17" x14ac:dyDescent="0.2">
      <c r="M64" s="170" t="s">
        <v>329</v>
      </c>
    </row>
    <row r="66" spans="13:20" x14ac:dyDescent="0.2">
      <c r="M66" s="192" t="s">
        <v>328</v>
      </c>
      <c r="N66" s="164" t="s">
        <v>327</v>
      </c>
      <c r="O66" s="192" t="s">
        <v>326</v>
      </c>
      <c r="P66" s="164" t="s">
        <v>325</v>
      </c>
      <c r="Q66" s="164" t="s">
        <v>113</v>
      </c>
      <c r="R66" s="192" t="s">
        <v>324</v>
      </c>
      <c r="S66" s="164" t="s">
        <v>323</v>
      </c>
      <c r="T66" s="164" t="s">
        <v>322</v>
      </c>
    </row>
    <row r="67" spans="13:20" x14ac:dyDescent="0.2">
      <c r="M67" s="191">
        <v>2</v>
      </c>
      <c r="N67" s="172">
        <f t="shared" ref="N67:O69" si="0">N60</f>
        <v>0</v>
      </c>
      <c r="O67" s="191">
        <f t="shared" si="0"/>
        <v>1</v>
      </c>
      <c r="P67" s="172">
        <f>MIN(N67,O67)</f>
        <v>0</v>
      </c>
      <c r="Q67" s="172">
        <f>N67+O67</f>
        <v>1</v>
      </c>
      <c r="R67" s="191">
        <f>FLOOR((Q67-1)/2,1)</f>
        <v>0</v>
      </c>
      <c r="S67" s="172">
        <f>Q67/2-COMBIN(Q67-1,R67)*Q67/2^Q67</f>
        <v>0</v>
      </c>
      <c r="T67" s="172">
        <f>Q67*(Q67-1)/4-COMBIN(Q67-1,R67)*Q67*(Q67-1)/2^Q67+S67-S67^2</f>
        <v>0</v>
      </c>
    </row>
    <row r="68" spans="13:20" x14ac:dyDescent="0.2">
      <c r="M68" s="191">
        <v>3</v>
      </c>
      <c r="N68" s="172">
        <f t="shared" si="0"/>
        <v>0</v>
      </c>
      <c r="O68" s="191">
        <f t="shared" si="0"/>
        <v>3</v>
      </c>
      <c r="P68" s="172">
        <f>MIN(N68,O68)</f>
        <v>0</v>
      </c>
      <c r="Q68" s="172">
        <f>N68+O68</f>
        <v>3</v>
      </c>
      <c r="R68" s="191">
        <f>FLOOR((Q68-1)/2,1)</f>
        <v>1</v>
      </c>
      <c r="S68" s="172">
        <f>Q68/2-COMBIN(Q68-1,R68)*Q68/2^Q68</f>
        <v>0.75</v>
      </c>
      <c r="T68" s="172">
        <f>Q68*(Q68-1)/4-COMBIN(Q68-1,R68)*Q68*(Q68-1)/2^Q68+S68-S68^2</f>
        <v>0.1875</v>
      </c>
    </row>
    <row r="69" spans="13:20" x14ac:dyDescent="0.2">
      <c r="M69" s="192">
        <v>4</v>
      </c>
      <c r="N69" s="164">
        <f t="shared" si="0"/>
        <v>3</v>
      </c>
      <c r="O69" s="192">
        <f t="shared" si="0"/>
        <v>0</v>
      </c>
      <c r="P69" s="164">
        <f>MIN(N69,O69)</f>
        <v>0</v>
      </c>
      <c r="Q69" s="164">
        <f>N69+O69</f>
        <v>3</v>
      </c>
      <c r="R69" s="192">
        <f>FLOOR((Q69-1)/2,1)</f>
        <v>1</v>
      </c>
      <c r="S69" s="164">
        <f>Q69/2-COMBIN(Q69-1,R69)*Q69/2^Q69</f>
        <v>0.75</v>
      </c>
      <c r="T69" s="164">
        <f>Q69*(Q69-1)/4-COMBIN(Q69-1,R69)*Q69*(Q69-1)/2^Q69+S69-S69^2</f>
        <v>0.1875</v>
      </c>
    </row>
    <row r="70" spans="13:20" x14ac:dyDescent="0.2">
      <c r="M70" s="163" t="s">
        <v>89</v>
      </c>
      <c r="O70" s="163"/>
      <c r="P70" s="172">
        <f>SUM(P67:P69)</f>
        <v>0</v>
      </c>
      <c r="Q70" s="172"/>
      <c r="R70" s="191"/>
      <c r="S70" s="172">
        <f>SUM(S67:S69)</f>
        <v>1.5</v>
      </c>
      <c r="T70" s="172">
        <f>SUM(T67:T69)</f>
        <v>0.375</v>
      </c>
    </row>
    <row r="73" spans="13:20" x14ac:dyDescent="0.2">
      <c r="M73" s="170" t="s">
        <v>321</v>
      </c>
    </row>
    <row r="75" spans="13:20" x14ac:dyDescent="0.2">
      <c r="M75" t="s">
        <v>320</v>
      </c>
      <c r="N75">
        <f>S70</f>
        <v>1.5</v>
      </c>
    </row>
    <row r="76" spans="13:20" x14ac:dyDescent="0.2">
      <c r="M76" t="s">
        <v>319</v>
      </c>
      <c r="N76">
        <f>T70</f>
        <v>0.375</v>
      </c>
    </row>
    <row r="77" spans="13:20" x14ac:dyDescent="0.2">
      <c r="M77" t="s">
        <v>318</v>
      </c>
      <c r="N77" s="171">
        <f>SQRT(N76)</f>
        <v>0.61237243569579447</v>
      </c>
    </row>
    <row r="78" spans="13:20" x14ac:dyDescent="0.2">
      <c r="M78" t="s">
        <v>317</v>
      </c>
      <c r="N78">
        <f>P70</f>
        <v>0</v>
      </c>
    </row>
    <row r="80" spans="13:20" x14ac:dyDescent="0.2">
      <c r="M80" t="s">
        <v>316</v>
      </c>
      <c r="O80" s="171">
        <f>N75-N77*G13</f>
        <v>0.2997500260362429</v>
      </c>
    </row>
    <row r="81" spans="13:18" x14ac:dyDescent="0.2">
      <c r="M81" t="s">
        <v>315</v>
      </c>
      <c r="O81" s="171">
        <f>N75+N77*G13</f>
        <v>2.7002499739637571</v>
      </c>
    </row>
    <row r="82" spans="13:18" ht="17" thickBot="1" x14ac:dyDescent="0.25"/>
    <row r="83" spans="13:18" x14ac:dyDescent="0.2">
      <c r="M83" s="424" t="s">
        <v>314</v>
      </c>
      <c r="N83" s="425"/>
      <c r="O83" s="425"/>
      <c r="P83" s="425"/>
      <c r="Q83" s="425"/>
      <c r="R83" s="426"/>
    </row>
    <row r="84" spans="13:18" ht="17" thickBot="1" x14ac:dyDescent="0.25">
      <c r="M84" s="427"/>
      <c r="N84" s="428"/>
      <c r="O84" s="428"/>
      <c r="P84" s="428"/>
      <c r="Q84" s="428"/>
      <c r="R84" s="429"/>
    </row>
    <row r="87" spans="13:18" ht="19" x14ac:dyDescent="0.25">
      <c r="M87" s="156" t="s">
        <v>236</v>
      </c>
    </row>
    <row r="88" spans="13:18" x14ac:dyDescent="0.2">
      <c r="M88" t="s">
        <v>242</v>
      </c>
    </row>
    <row r="89" spans="13:18" x14ac:dyDescent="0.2">
      <c r="M89" t="s">
        <v>238</v>
      </c>
    </row>
  </sheetData>
  <mergeCells count="5">
    <mergeCell ref="C5:F5"/>
    <mergeCell ref="B16:H17"/>
    <mergeCell ref="M36:R37"/>
    <mergeCell ref="M83:R84"/>
    <mergeCell ref="B5:B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475F-6AAC-D54A-912A-9DE84909AD6B}">
  <dimension ref="A1:T41"/>
  <sheetViews>
    <sheetView zoomScaleNormal="100" workbookViewId="0">
      <selection activeCell="B1" sqref="B1"/>
    </sheetView>
  </sheetViews>
  <sheetFormatPr baseColWidth="10" defaultColWidth="11" defaultRowHeight="16" outlineLevelCol="1" x14ac:dyDescent="0.2"/>
  <cols>
    <col min="1" max="1" width="4" style="250" customWidth="1"/>
    <col min="2" max="2" width="11.5" customWidth="1"/>
    <col min="12" max="19" width="10.83203125" hidden="1" customWidth="1" outlineLevel="1"/>
    <col min="20" max="20" width="11" collapsed="1"/>
  </cols>
  <sheetData>
    <row r="1" spans="1:17" x14ac:dyDescent="0.2">
      <c r="A1" s="292"/>
      <c r="B1" s="229" t="s">
        <v>438</v>
      </c>
      <c r="C1" s="228" t="s">
        <v>477</v>
      </c>
      <c r="D1" s="228" t="s">
        <v>436</v>
      </c>
      <c r="E1" s="228" t="s">
        <v>435</v>
      </c>
      <c r="F1" s="227"/>
      <c r="G1" s="227"/>
      <c r="H1" s="227"/>
      <c r="I1" s="227"/>
      <c r="J1" s="226"/>
      <c r="K1" s="166" t="s">
        <v>206</v>
      </c>
      <c r="L1" s="166"/>
    </row>
    <row r="2" spans="1:17" x14ac:dyDescent="0.2">
      <c r="A2" s="260"/>
      <c r="B2" s="291" t="s">
        <v>434</v>
      </c>
      <c r="C2" s="290">
        <v>4</v>
      </c>
      <c r="D2" s="197"/>
      <c r="E2" s="197"/>
      <c r="F2" s="197"/>
      <c r="G2" s="197"/>
      <c r="H2" s="197"/>
      <c r="I2" s="197"/>
      <c r="J2" s="196"/>
    </row>
    <row r="3" spans="1:17" x14ac:dyDescent="0.2">
      <c r="A3" s="260"/>
      <c r="B3" s="197"/>
      <c r="C3" s="197"/>
      <c r="D3" s="197"/>
      <c r="E3" s="197"/>
      <c r="F3" s="197"/>
      <c r="G3" s="197"/>
      <c r="H3" s="197"/>
      <c r="I3" s="197"/>
      <c r="J3" s="196"/>
      <c r="L3" s="166" t="s">
        <v>433</v>
      </c>
    </row>
    <row r="4" spans="1:17" x14ac:dyDescent="0.2">
      <c r="A4" s="260"/>
      <c r="B4" s="197"/>
      <c r="C4" s="197" t="s">
        <v>476</v>
      </c>
      <c r="D4" s="197"/>
      <c r="E4" s="197"/>
      <c r="F4" s="197"/>
      <c r="G4" s="197"/>
      <c r="H4" s="197"/>
      <c r="I4" s="197"/>
      <c r="J4" s="196"/>
      <c r="L4" s="166"/>
    </row>
    <row r="5" spans="1:17" x14ac:dyDescent="0.2">
      <c r="A5" s="260"/>
      <c r="B5" s="197"/>
      <c r="C5" s="197" t="s">
        <v>475</v>
      </c>
      <c r="D5" s="197"/>
      <c r="E5" s="197"/>
      <c r="F5" s="197"/>
      <c r="G5" s="197"/>
      <c r="H5" s="197"/>
      <c r="I5" s="197"/>
      <c r="J5" s="196"/>
      <c r="L5" t="s">
        <v>474</v>
      </c>
      <c r="M5" s="317"/>
    </row>
    <row r="6" spans="1:17" x14ac:dyDescent="0.2">
      <c r="A6" s="260"/>
      <c r="B6" s="197"/>
      <c r="C6" s="197" t="s">
        <v>473</v>
      </c>
      <c r="D6" s="197"/>
      <c r="E6" s="197"/>
      <c r="F6" s="197"/>
      <c r="G6" s="197"/>
      <c r="H6" s="197"/>
      <c r="I6" s="197"/>
      <c r="J6" s="196"/>
    </row>
    <row r="7" spans="1:17" x14ac:dyDescent="0.2">
      <c r="A7" s="260"/>
      <c r="B7" s="197"/>
      <c r="C7" s="197"/>
      <c r="D7" s="197"/>
      <c r="E7" s="197"/>
      <c r="F7" s="197"/>
      <c r="G7" s="197"/>
      <c r="H7" s="197"/>
      <c r="I7" s="197"/>
      <c r="J7" s="196"/>
      <c r="L7" s="192" t="s">
        <v>19</v>
      </c>
      <c r="M7" s="316" t="s">
        <v>466</v>
      </c>
      <c r="N7" s="316" t="s">
        <v>472</v>
      </c>
      <c r="O7" s="316" t="s">
        <v>471</v>
      </c>
      <c r="P7" s="316" t="s">
        <v>463</v>
      </c>
    </row>
    <row r="8" spans="1:17" x14ac:dyDescent="0.2">
      <c r="A8" s="260"/>
      <c r="B8" s="197"/>
      <c r="C8" s="412" t="s">
        <v>470</v>
      </c>
      <c r="D8" s="413"/>
      <c r="E8" s="413"/>
      <c r="F8" s="413"/>
      <c r="G8" s="413"/>
      <c r="H8" s="414"/>
      <c r="I8" s="197"/>
      <c r="J8" s="196"/>
      <c r="L8" s="191">
        <f>C19</f>
        <v>2006</v>
      </c>
      <c r="M8" s="172">
        <f>RANK(D19,D$19:D$22,1)</f>
        <v>4</v>
      </c>
      <c r="N8" s="172">
        <f>RANK(E19,E$19:E$22,1)</f>
        <v>2</v>
      </c>
      <c r="O8" s="172">
        <f>RANK(F19,F$19:F$22,1)</f>
        <v>2</v>
      </c>
      <c r="P8" s="172">
        <f>RANK(G19,G$19:G$22,1)</f>
        <v>1</v>
      </c>
      <c r="Q8" s="172"/>
    </row>
    <row r="9" spans="1:17" x14ac:dyDescent="0.2">
      <c r="A9" s="260"/>
      <c r="B9" s="197"/>
      <c r="C9" s="248" t="s">
        <v>469</v>
      </c>
      <c r="D9" s="248">
        <v>12</v>
      </c>
      <c r="E9" s="247">
        <v>24</v>
      </c>
      <c r="F9" s="247">
        <v>36</v>
      </c>
      <c r="G9" s="247">
        <v>48</v>
      </c>
      <c r="H9" s="246">
        <v>60</v>
      </c>
      <c r="I9" s="197"/>
      <c r="J9" s="196"/>
      <c r="L9" s="191">
        <f>C20</f>
        <v>2007</v>
      </c>
      <c r="M9" s="172">
        <f>RANK(D20,D$19:D$22,1)</f>
        <v>1</v>
      </c>
      <c r="N9" s="172">
        <f>RANK(E20,E$19:E$22,1)</f>
        <v>3</v>
      </c>
      <c r="O9" s="172">
        <f>RANK(F20,F$19:F$22,1)</f>
        <v>1</v>
      </c>
      <c r="P9" s="172"/>
      <c r="Q9" s="172"/>
    </row>
    <row r="10" spans="1:17" x14ac:dyDescent="0.2">
      <c r="A10" s="260"/>
      <c r="B10" s="197"/>
      <c r="C10" s="287" t="s">
        <v>468</v>
      </c>
      <c r="D10" s="287" t="s">
        <v>467</v>
      </c>
      <c r="E10" s="213" t="s">
        <v>467</v>
      </c>
      <c r="F10" s="213" t="s">
        <v>467</v>
      </c>
      <c r="G10" s="213" t="s">
        <v>467</v>
      </c>
      <c r="H10" s="212" t="s">
        <v>467</v>
      </c>
      <c r="I10" s="197"/>
      <c r="J10" s="196"/>
      <c r="L10" s="191">
        <f>C21</f>
        <v>2008</v>
      </c>
      <c r="M10" s="172">
        <f>RANK(D21,D$19:D$22,1)</f>
        <v>3</v>
      </c>
      <c r="N10" s="172">
        <f>RANK(E21,E$19:E$22,1)</f>
        <v>1</v>
      </c>
      <c r="O10" s="172"/>
      <c r="P10" s="172"/>
      <c r="Q10" s="172"/>
    </row>
    <row r="11" spans="1:17" x14ac:dyDescent="0.2">
      <c r="A11" s="260"/>
      <c r="B11" s="197"/>
      <c r="C11" s="219">
        <v>2006</v>
      </c>
      <c r="D11" s="211">
        <v>3100</v>
      </c>
      <c r="E11" s="211">
        <v>4185</v>
      </c>
      <c r="F11" s="211">
        <v>4813</v>
      </c>
      <c r="G11" s="211">
        <v>5053</v>
      </c>
      <c r="H11" s="314">
        <v>5104</v>
      </c>
      <c r="I11" s="197"/>
      <c r="J11" s="196"/>
      <c r="L11" s="191">
        <f>C22</f>
        <v>2009</v>
      </c>
      <c r="M11" s="172">
        <f>RANK(D22,D$19:D$22,1)</f>
        <v>2</v>
      </c>
      <c r="N11" s="172"/>
      <c r="O11" s="172"/>
      <c r="P11" s="172"/>
      <c r="Q11" s="172"/>
    </row>
    <row r="12" spans="1:17" x14ac:dyDescent="0.2">
      <c r="A12" s="260"/>
      <c r="B12" s="197"/>
      <c r="C12" s="219">
        <v>2007</v>
      </c>
      <c r="D12" s="211">
        <v>3050</v>
      </c>
      <c r="E12" s="211">
        <v>3660</v>
      </c>
      <c r="F12" s="211">
        <v>4282</v>
      </c>
      <c r="G12" s="211">
        <v>4368</v>
      </c>
      <c r="H12" s="314"/>
      <c r="I12" s="197"/>
      <c r="J12" s="196"/>
      <c r="L12" s="172"/>
      <c r="M12" s="172"/>
      <c r="N12" s="172"/>
      <c r="O12" s="172"/>
      <c r="P12" s="172"/>
      <c r="Q12" s="172"/>
    </row>
    <row r="13" spans="1:17" x14ac:dyDescent="0.2">
      <c r="A13" s="260"/>
      <c r="B13" s="204"/>
      <c r="C13" s="219">
        <v>2008</v>
      </c>
      <c r="D13" s="211">
        <v>2800</v>
      </c>
      <c r="E13" s="211">
        <v>3640</v>
      </c>
      <c r="F13" s="211">
        <v>4077</v>
      </c>
      <c r="G13" s="211"/>
      <c r="H13" s="314"/>
      <c r="I13" s="197"/>
      <c r="J13" s="196"/>
      <c r="L13" s="192" t="s">
        <v>19</v>
      </c>
      <c r="M13" s="315"/>
      <c r="N13" s="315"/>
      <c r="O13" s="315"/>
      <c r="P13" s="315"/>
    </row>
    <row r="14" spans="1:17" x14ac:dyDescent="0.2">
      <c r="A14" s="260"/>
      <c r="B14" s="204"/>
      <c r="C14" s="219">
        <v>2009</v>
      </c>
      <c r="D14" s="211">
        <v>2500</v>
      </c>
      <c r="E14" s="211">
        <v>3125</v>
      </c>
      <c r="F14" s="211"/>
      <c r="G14" s="211"/>
      <c r="H14" s="314"/>
      <c r="I14" s="197"/>
      <c r="J14" s="196"/>
      <c r="L14" s="306">
        <v>2006</v>
      </c>
      <c r="M14" s="301" t="s">
        <v>31</v>
      </c>
      <c r="N14" s="172" t="s">
        <v>33</v>
      </c>
      <c r="O14" s="301" t="s">
        <v>31</v>
      </c>
      <c r="P14" s="172" t="s">
        <v>33</v>
      </c>
    </row>
    <row r="15" spans="1:17" x14ac:dyDescent="0.2">
      <c r="A15" s="260"/>
      <c r="B15" s="204"/>
      <c r="C15" s="216">
        <v>2010</v>
      </c>
      <c r="D15" s="214">
        <v>2357</v>
      </c>
      <c r="E15" s="214"/>
      <c r="F15" s="214"/>
      <c r="G15" s="214"/>
      <c r="H15" s="313"/>
      <c r="I15" s="197"/>
      <c r="J15" s="196"/>
      <c r="L15" s="306">
        <v>2007</v>
      </c>
      <c r="M15" s="301" t="s">
        <v>32</v>
      </c>
      <c r="N15" s="301" t="s">
        <v>31</v>
      </c>
      <c r="O15" s="301" t="s">
        <v>32</v>
      </c>
      <c r="P15" s="301"/>
    </row>
    <row r="16" spans="1:17" x14ac:dyDescent="0.2">
      <c r="A16" s="260"/>
      <c r="B16" s="204"/>
      <c r="C16" s="197"/>
      <c r="D16" s="197"/>
      <c r="E16" s="197"/>
      <c r="F16" s="197"/>
      <c r="G16" s="197"/>
      <c r="H16" s="197"/>
      <c r="I16" s="197"/>
      <c r="J16" s="196"/>
      <c r="L16" s="306">
        <v>2008</v>
      </c>
      <c r="M16" s="301" t="s">
        <v>31</v>
      </c>
      <c r="N16" s="301" t="s">
        <v>32</v>
      </c>
      <c r="O16" s="301"/>
      <c r="P16" s="301"/>
    </row>
    <row r="17" spans="1:19" x14ac:dyDescent="0.2">
      <c r="A17" s="260"/>
      <c r="B17" s="204"/>
      <c r="C17" s="430" t="s">
        <v>27</v>
      </c>
      <c r="D17" s="430"/>
      <c r="E17" s="430"/>
      <c r="F17" s="430"/>
      <c r="G17" s="430"/>
      <c r="H17" s="197"/>
      <c r="I17" s="197"/>
      <c r="J17" s="196"/>
      <c r="L17" s="306">
        <v>2009</v>
      </c>
      <c r="M17" s="301" t="s">
        <v>32</v>
      </c>
      <c r="N17" s="301"/>
      <c r="O17" s="301"/>
      <c r="P17" s="301"/>
    </row>
    <row r="18" spans="1:19" x14ac:dyDescent="0.2">
      <c r="A18" s="260"/>
      <c r="B18" s="204"/>
      <c r="C18" s="283" t="s">
        <v>19</v>
      </c>
      <c r="D18" s="312" t="s">
        <v>466</v>
      </c>
      <c r="E18" s="312" t="s">
        <v>465</v>
      </c>
      <c r="F18" s="312" t="s">
        <v>464</v>
      </c>
      <c r="G18" s="311" t="s">
        <v>463</v>
      </c>
      <c r="H18" s="197"/>
      <c r="I18" s="197"/>
      <c r="J18" s="196"/>
    </row>
    <row r="19" spans="1:19" x14ac:dyDescent="0.2">
      <c r="A19" s="260"/>
      <c r="B19" s="204"/>
      <c r="C19" s="219">
        <v>2006</v>
      </c>
      <c r="D19" s="310">
        <v>1.35</v>
      </c>
      <c r="E19" s="310">
        <v>1.1499999999999999</v>
      </c>
      <c r="F19" s="310">
        <v>1.05</v>
      </c>
      <c r="G19" s="309">
        <v>1.01</v>
      </c>
      <c r="H19" s="197"/>
      <c r="I19" s="197"/>
      <c r="J19" s="196"/>
    </row>
    <row r="20" spans="1:19" ht="18" x14ac:dyDescent="0.2">
      <c r="A20" s="260"/>
      <c r="B20" s="204"/>
      <c r="C20" s="219">
        <v>2007</v>
      </c>
      <c r="D20" s="310">
        <v>1.2</v>
      </c>
      <c r="E20" s="310">
        <v>1.17</v>
      </c>
      <c r="F20" s="310">
        <v>1.02</v>
      </c>
      <c r="G20" s="309"/>
      <c r="H20" s="197"/>
      <c r="I20" s="197"/>
      <c r="J20" s="196"/>
      <c r="L20" s="305" t="s">
        <v>462</v>
      </c>
      <c r="M20" s="303" t="s">
        <v>461</v>
      </c>
      <c r="N20" s="303" t="s">
        <v>460</v>
      </c>
      <c r="O20" s="303" t="s">
        <v>459</v>
      </c>
      <c r="P20" s="303" t="s">
        <v>458</v>
      </c>
      <c r="Q20" s="303" t="s">
        <v>457</v>
      </c>
      <c r="R20" s="303" t="s">
        <v>456</v>
      </c>
      <c r="S20" s="303" t="s">
        <v>455</v>
      </c>
    </row>
    <row r="21" spans="1:19" x14ac:dyDescent="0.2">
      <c r="A21" s="260"/>
      <c r="B21" s="204"/>
      <c r="C21" s="219">
        <v>2008</v>
      </c>
      <c r="D21" s="310">
        <v>1.3</v>
      </c>
      <c r="E21" s="310">
        <v>1.1200000000000001</v>
      </c>
      <c r="F21" s="310"/>
      <c r="G21" s="309"/>
      <c r="H21" s="197"/>
      <c r="I21" s="197"/>
      <c r="J21" s="196"/>
      <c r="L21" s="306">
        <v>2</v>
      </c>
      <c r="M21" s="302">
        <v>1</v>
      </c>
      <c r="N21" s="301">
        <v>0</v>
      </c>
      <c r="O21" s="302">
        <f>MIN(M21,N21)</f>
        <v>0</v>
      </c>
      <c r="P21" s="301">
        <f>M21+N21</f>
        <v>1</v>
      </c>
      <c r="Q21" s="301">
        <f>ROUNDDOWN((P21-1)/2,0)</f>
        <v>0</v>
      </c>
      <c r="R21" s="301">
        <f>P21/2-COMBIN((P21-1),Q21)*P21/2^P21</f>
        <v>0</v>
      </c>
      <c r="S21" s="301">
        <f>P21*(P21-1)/4-COMBIN((P21-1),Q21)*P21*(P21-1)/2^P21+R21-R21^2</f>
        <v>0</v>
      </c>
    </row>
    <row r="22" spans="1:19" x14ac:dyDescent="0.2">
      <c r="A22" s="260"/>
      <c r="B22" s="204"/>
      <c r="C22" s="216">
        <v>2009</v>
      </c>
      <c r="D22" s="308">
        <v>1.25</v>
      </c>
      <c r="E22" s="308"/>
      <c r="F22" s="308"/>
      <c r="G22" s="307"/>
      <c r="H22" s="197"/>
      <c r="I22" s="197"/>
      <c r="J22" s="196"/>
      <c r="L22" s="306">
        <v>3</v>
      </c>
      <c r="M22" s="301">
        <v>0</v>
      </c>
      <c r="N22" s="301">
        <v>3</v>
      </c>
      <c r="O22" s="302">
        <f>MIN(M22:N22)</f>
        <v>0</v>
      </c>
      <c r="P22" s="301">
        <f>M22+N22</f>
        <v>3</v>
      </c>
      <c r="Q22" s="301">
        <f>ROUNDDOWN((P22-1)/2,0)</f>
        <v>1</v>
      </c>
      <c r="R22" s="301">
        <f>P22/2-COMBIN((P22-1),Q22)*P22/2^P22</f>
        <v>0.75</v>
      </c>
      <c r="S22" s="301">
        <f>P22*(P22-1)/4-COMBIN((P22-1),Q22)*P22*(P22-1)/2^P22+R22-R22^2</f>
        <v>0.1875</v>
      </c>
    </row>
    <row r="23" spans="1:19" ht="15.75" customHeight="1" x14ac:dyDescent="0.2">
      <c r="A23" s="260"/>
      <c r="B23" s="204"/>
      <c r="C23" s="197"/>
      <c r="D23" s="197"/>
      <c r="E23" s="197"/>
      <c r="F23" s="197"/>
      <c r="G23" s="197"/>
      <c r="H23" s="197"/>
      <c r="I23" s="197"/>
      <c r="J23" s="196"/>
      <c r="L23" s="305">
        <v>4</v>
      </c>
      <c r="M23" s="303">
        <v>3</v>
      </c>
      <c r="N23" s="303">
        <v>0</v>
      </c>
      <c r="O23" s="304">
        <f>MIN(M23:N23)</f>
        <v>0</v>
      </c>
      <c r="P23" s="303">
        <f>M23+N23</f>
        <v>3</v>
      </c>
      <c r="Q23" s="303">
        <f>ROUNDDOWN((P23-1)/2,0)</f>
        <v>1</v>
      </c>
      <c r="R23" s="303">
        <f>P23/2-COMBIN((P23-1),Q23)*P23/2^P23</f>
        <v>0.75</v>
      </c>
      <c r="S23" s="303">
        <f>P23*(P23-1)/4-COMBIN((P23-1),Q23)*P23*(P23-1)/2^P23+R23-R23^2</f>
        <v>0.1875</v>
      </c>
    </row>
    <row r="24" spans="1:19" ht="15.75" customHeight="1" x14ac:dyDescent="0.2">
      <c r="A24" s="260" t="s">
        <v>0</v>
      </c>
      <c r="B24" s="241" t="s">
        <v>454</v>
      </c>
      <c r="C24" s="197" t="s">
        <v>453</v>
      </c>
      <c r="D24" s="197"/>
      <c r="E24" s="197"/>
      <c r="F24" s="197"/>
      <c r="G24" s="197"/>
      <c r="H24" s="197"/>
      <c r="I24" s="197"/>
      <c r="J24" s="196"/>
      <c r="L24" s="191" t="s">
        <v>89</v>
      </c>
      <c r="M24" s="172"/>
      <c r="N24" s="172"/>
      <c r="O24" s="302">
        <f>SUM(O21:O23)</f>
        <v>0</v>
      </c>
      <c r="R24" s="301">
        <f>SUM(R21:R23)</f>
        <v>1.5</v>
      </c>
      <c r="S24" s="301">
        <f>SUM(S21:S23)</f>
        <v>0.375</v>
      </c>
    </row>
    <row r="25" spans="1:19" ht="17" thickBot="1" x14ac:dyDescent="0.25">
      <c r="A25" s="260"/>
      <c r="B25" s="241"/>
      <c r="C25" s="197" t="s">
        <v>452</v>
      </c>
      <c r="D25" s="197"/>
      <c r="E25" s="197"/>
      <c r="F25" s="197"/>
      <c r="G25" s="197"/>
      <c r="H25" s="197"/>
      <c r="I25" s="197"/>
      <c r="J25" s="196"/>
    </row>
    <row r="26" spans="1:19" x14ac:dyDescent="0.2">
      <c r="A26" s="260"/>
      <c r="B26" s="241"/>
      <c r="C26" s="197"/>
      <c r="D26" s="197"/>
      <c r="E26" s="197"/>
      <c r="F26" s="197"/>
      <c r="G26" s="197"/>
      <c r="H26" s="197"/>
      <c r="I26" s="197"/>
      <c r="J26" s="196"/>
      <c r="L26" s="161"/>
      <c r="M26" s="300" t="s">
        <v>451</v>
      </c>
      <c r="N26" s="299" t="s">
        <v>450</v>
      </c>
    </row>
    <row r="27" spans="1:19" ht="17" thickBot="1" x14ac:dyDescent="0.25">
      <c r="A27" s="260" t="s">
        <v>1</v>
      </c>
      <c r="B27" s="241" t="s">
        <v>449</v>
      </c>
      <c r="C27" s="197" t="s">
        <v>448</v>
      </c>
      <c r="D27" s="197"/>
      <c r="E27" s="197"/>
      <c r="F27" s="197"/>
      <c r="G27" s="197"/>
      <c r="H27" s="197"/>
      <c r="I27" s="197"/>
      <c r="J27" s="196"/>
      <c r="L27" s="298" t="s">
        <v>447</v>
      </c>
      <c r="M27" s="297">
        <f>$R$24-(Q27*SQRT($S$24))</f>
        <v>0.29977208091117302</v>
      </c>
      <c r="N27" s="296">
        <f>$R$24+(Q27*SQRT($S$24))</f>
        <v>2.7002279190888272</v>
      </c>
      <c r="P27" t="s">
        <v>446</v>
      </c>
      <c r="Q27" s="295">
        <f>_xlfn.NORM.S.INV(0.975)</f>
        <v>1.9599639845400536</v>
      </c>
      <c r="R27" t="s">
        <v>445</v>
      </c>
    </row>
    <row r="28" spans="1:19" x14ac:dyDescent="0.2">
      <c r="A28" s="260"/>
      <c r="B28" s="241"/>
      <c r="C28" s="197" t="s">
        <v>444</v>
      </c>
      <c r="D28" s="197"/>
      <c r="E28" s="197"/>
      <c r="F28" s="197"/>
      <c r="G28" s="197"/>
      <c r="H28" s="197"/>
      <c r="I28" s="197"/>
      <c r="J28" s="196"/>
    </row>
    <row r="29" spans="1:19" ht="17" thickBot="1" x14ac:dyDescent="0.25">
      <c r="A29" s="260"/>
      <c r="B29" s="197"/>
      <c r="C29" s="197"/>
      <c r="D29" s="197"/>
      <c r="E29" s="197"/>
      <c r="F29" s="197"/>
      <c r="G29" s="197"/>
      <c r="H29" s="197"/>
      <c r="I29" s="197"/>
      <c r="J29" s="196"/>
      <c r="L29" s="431" t="s">
        <v>443</v>
      </c>
      <c r="M29" s="431"/>
      <c r="N29" s="431"/>
      <c r="O29" s="431"/>
      <c r="P29" s="431"/>
      <c r="Q29" s="431"/>
      <c r="R29" s="431"/>
      <c r="S29" s="250"/>
    </row>
    <row r="30" spans="1:19" ht="17" thickBot="1" x14ac:dyDescent="0.25">
      <c r="A30" s="280" t="s">
        <v>205</v>
      </c>
      <c r="B30" s="194"/>
      <c r="C30" s="279"/>
      <c r="D30" s="194"/>
      <c r="E30" s="194"/>
      <c r="F30" s="194"/>
      <c r="G30" s="194"/>
      <c r="H30" s="194"/>
      <c r="I30" s="194"/>
      <c r="J30" s="193"/>
      <c r="L30" s="431"/>
      <c r="M30" s="431"/>
      <c r="N30" s="431"/>
      <c r="O30" s="431"/>
      <c r="P30" s="431"/>
      <c r="Q30" s="431"/>
      <c r="R30" s="431"/>
    </row>
    <row r="32" spans="1:19" x14ac:dyDescent="0.2">
      <c r="L32" s="166" t="s">
        <v>409</v>
      </c>
      <c r="M32" s="271"/>
      <c r="N32" s="271"/>
      <c r="O32" s="271"/>
      <c r="P32" s="271"/>
      <c r="Q32" s="271"/>
      <c r="R32" s="271"/>
    </row>
    <row r="33" spans="12:18" ht="18.75" customHeight="1" x14ac:dyDescent="0.2">
      <c r="L33" s="294" t="s">
        <v>442</v>
      </c>
      <c r="M33" s="294"/>
      <c r="N33" s="294"/>
      <c r="O33" s="294"/>
      <c r="P33" s="294"/>
      <c r="Q33" s="294"/>
      <c r="R33" s="294"/>
    </row>
    <row r="34" spans="12:18" ht="14.25" customHeight="1" x14ac:dyDescent="0.2">
      <c r="L34" s="418" t="s">
        <v>441</v>
      </c>
      <c r="M34" s="418"/>
      <c r="N34" s="418"/>
      <c r="O34" s="418"/>
      <c r="P34" s="418"/>
      <c r="Q34" s="418"/>
      <c r="R34" s="418"/>
    </row>
    <row r="35" spans="12:18" x14ac:dyDescent="0.2">
      <c r="L35" s="418"/>
      <c r="M35" s="418"/>
      <c r="N35" s="418"/>
      <c r="O35" s="418"/>
      <c r="P35" s="418"/>
      <c r="Q35" s="418"/>
      <c r="R35" s="418"/>
    </row>
    <row r="36" spans="12:18" x14ac:dyDescent="0.2">
      <c r="L36" s="157"/>
      <c r="M36" s="157"/>
      <c r="N36" s="157"/>
      <c r="O36" s="157"/>
      <c r="P36" s="157"/>
      <c r="Q36" s="157"/>
      <c r="R36" s="157"/>
    </row>
    <row r="37" spans="12:18" ht="16" customHeight="1" x14ac:dyDescent="0.2">
      <c r="L37" s="293" t="s">
        <v>440</v>
      </c>
    </row>
    <row r="38" spans="12:18" ht="16" customHeight="1" x14ac:dyDescent="0.2">
      <c r="L38" t="s">
        <v>439</v>
      </c>
    </row>
    <row r="39" spans="12:18" x14ac:dyDescent="0.2">
      <c r="L39" s="157"/>
      <c r="M39" s="157"/>
      <c r="N39" s="157"/>
      <c r="O39" s="157"/>
      <c r="P39" s="157"/>
      <c r="Q39" s="157"/>
      <c r="R39" s="157"/>
    </row>
    <row r="40" spans="12:18" x14ac:dyDescent="0.2">
      <c r="L40" s="157"/>
      <c r="M40" s="157"/>
      <c r="N40" s="157"/>
      <c r="O40" s="157"/>
      <c r="P40" s="157"/>
      <c r="Q40" s="157"/>
      <c r="R40" s="157"/>
    </row>
    <row r="41" spans="12:18" ht="16" customHeight="1" x14ac:dyDescent="0.2"/>
  </sheetData>
  <mergeCells count="4">
    <mergeCell ref="C8:H8"/>
    <mergeCell ref="C17:G17"/>
    <mergeCell ref="L34:R35"/>
    <mergeCell ref="L29:R3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1131-95F7-D64E-9789-7EDA965B5D07}">
  <dimension ref="A1:S41"/>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1" max="11" width="12.6640625" customWidth="1"/>
    <col min="12" max="18" width="11" hidden="1" customWidth="1" outlineLevel="1"/>
    <col min="19" max="19" width="11" collapsed="1"/>
  </cols>
  <sheetData>
    <row r="1" spans="1:14" x14ac:dyDescent="0.2">
      <c r="A1" s="292"/>
      <c r="B1" s="229" t="s">
        <v>438</v>
      </c>
      <c r="C1" s="228" t="s">
        <v>494</v>
      </c>
      <c r="D1" s="228" t="s">
        <v>436</v>
      </c>
      <c r="E1" s="228" t="s">
        <v>435</v>
      </c>
      <c r="F1" s="227"/>
      <c r="G1" s="227"/>
      <c r="H1" s="227"/>
      <c r="I1" s="227"/>
      <c r="J1" s="226"/>
      <c r="K1" s="166" t="s">
        <v>206</v>
      </c>
    </row>
    <row r="2" spans="1:14" x14ac:dyDescent="0.2">
      <c r="A2" s="260"/>
      <c r="B2" s="291" t="s">
        <v>434</v>
      </c>
      <c r="C2" s="290">
        <v>2.5</v>
      </c>
      <c r="D2" s="197"/>
      <c r="E2" s="197"/>
      <c r="F2" s="197"/>
      <c r="G2" s="197"/>
      <c r="H2" s="197"/>
      <c r="I2" s="197"/>
      <c r="J2" s="196"/>
      <c r="L2" s="166" t="s">
        <v>433</v>
      </c>
    </row>
    <row r="3" spans="1:14" x14ac:dyDescent="0.2">
      <c r="A3" s="260"/>
      <c r="B3" s="197"/>
      <c r="C3" s="197"/>
      <c r="D3" s="197"/>
      <c r="E3" s="197"/>
      <c r="F3" s="197"/>
      <c r="G3" s="197"/>
      <c r="H3" s="197"/>
      <c r="I3" s="197"/>
      <c r="J3" s="196"/>
    </row>
    <row r="4" spans="1:14" ht="18" x14ac:dyDescent="0.2">
      <c r="A4" s="260"/>
      <c r="B4" s="197"/>
      <c r="C4" s="197" t="s">
        <v>493</v>
      </c>
      <c r="D4" s="197"/>
      <c r="E4" s="197"/>
      <c r="F4" s="197"/>
      <c r="G4" s="197"/>
      <c r="H4" s="197"/>
      <c r="I4" s="197"/>
      <c r="J4" s="196"/>
      <c r="L4" s="301" t="s">
        <v>492</v>
      </c>
      <c r="M4" s="324">
        <f>SUM(F9:F14)/SUM(E9:E14)</f>
        <v>1.6127946127946129</v>
      </c>
    </row>
    <row r="5" spans="1:14" x14ac:dyDescent="0.2">
      <c r="A5" s="260"/>
      <c r="B5" s="197"/>
      <c r="C5" s="197"/>
      <c r="D5" s="197"/>
      <c r="E5" s="197"/>
      <c r="F5" s="197"/>
      <c r="G5" s="197"/>
      <c r="H5" s="197"/>
      <c r="I5" s="197"/>
      <c r="J5" s="196"/>
    </row>
    <row r="6" spans="1:14" ht="18" x14ac:dyDescent="0.25">
      <c r="A6" s="260"/>
      <c r="B6" s="197"/>
      <c r="C6" s="197"/>
      <c r="D6" s="420" t="s">
        <v>491</v>
      </c>
      <c r="E6" s="421"/>
      <c r="F6" s="422"/>
      <c r="G6" s="197"/>
      <c r="H6" s="197"/>
      <c r="I6" s="197"/>
      <c r="J6" s="196"/>
      <c r="L6" s="192" t="s">
        <v>19</v>
      </c>
      <c r="M6" s="164" t="s">
        <v>490</v>
      </c>
      <c r="N6" s="189" t="s">
        <v>489</v>
      </c>
    </row>
    <row r="7" spans="1:14" x14ac:dyDescent="0.2">
      <c r="A7" s="260"/>
      <c r="B7" s="197"/>
      <c r="C7" s="197"/>
      <c r="D7" s="221" t="s">
        <v>469</v>
      </c>
      <c r="E7" s="248" t="s">
        <v>488</v>
      </c>
      <c r="F7" s="246" t="s">
        <v>488</v>
      </c>
      <c r="G7" s="197"/>
      <c r="H7" s="197"/>
      <c r="I7" s="197"/>
      <c r="J7" s="196"/>
      <c r="L7" s="306">
        <v>2004</v>
      </c>
      <c r="M7" s="321">
        <f t="shared" ref="M7:M12" si="0">E9</f>
        <v>2000</v>
      </c>
      <c r="N7" s="320">
        <f t="shared" ref="N7:N12" si="1">(F9-(E9*$M$4))/SQRT(E9)</f>
        <v>-13.988600344089599</v>
      </c>
    </row>
    <row r="8" spans="1:14" x14ac:dyDescent="0.2">
      <c r="A8" s="260"/>
      <c r="B8" s="197"/>
      <c r="C8" s="197"/>
      <c r="D8" s="216" t="s">
        <v>422</v>
      </c>
      <c r="E8" s="287" t="s">
        <v>487</v>
      </c>
      <c r="F8" s="212" t="s">
        <v>70</v>
      </c>
      <c r="G8" s="197"/>
      <c r="H8" s="197"/>
      <c r="I8" s="197"/>
      <c r="J8" s="196"/>
      <c r="L8" s="306">
        <v>2005</v>
      </c>
      <c r="M8" s="321">
        <f t="shared" si="0"/>
        <v>4000</v>
      </c>
      <c r="N8" s="320">
        <f t="shared" si="1"/>
        <v>-7.1337576845549382</v>
      </c>
    </row>
    <row r="9" spans="1:14" x14ac:dyDescent="0.2">
      <c r="A9" s="260"/>
      <c r="B9" s="197"/>
      <c r="C9" s="197"/>
      <c r="D9" s="221">
        <v>2004</v>
      </c>
      <c r="E9" s="323">
        <v>2000</v>
      </c>
      <c r="F9" s="322">
        <v>2600</v>
      </c>
      <c r="G9" s="197"/>
      <c r="H9" s="197"/>
      <c r="I9" s="197"/>
      <c r="J9" s="196"/>
      <c r="L9" s="306">
        <v>2006</v>
      </c>
      <c r="M9" s="321">
        <f t="shared" si="0"/>
        <v>6500</v>
      </c>
      <c r="N9" s="320">
        <f t="shared" si="1"/>
        <v>15.092980835198636</v>
      </c>
    </row>
    <row r="10" spans="1:14" x14ac:dyDescent="0.2">
      <c r="A10" s="260"/>
      <c r="B10" s="197"/>
      <c r="C10" s="197"/>
      <c r="D10" s="219">
        <v>2005</v>
      </c>
      <c r="E10" s="218">
        <v>4000</v>
      </c>
      <c r="F10" s="314">
        <v>6000</v>
      </c>
      <c r="G10" s="197"/>
      <c r="H10" s="197"/>
      <c r="I10" s="197"/>
      <c r="J10" s="196"/>
      <c r="L10" s="306">
        <v>2007</v>
      </c>
      <c r="M10" s="321">
        <f t="shared" si="0"/>
        <v>6000</v>
      </c>
      <c r="N10" s="320">
        <f t="shared" si="1"/>
        <v>4.1729113494490697</v>
      </c>
    </row>
    <row r="11" spans="1:14" x14ac:dyDescent="0.2">
      <c r="A11" s="260"/>
      <c r="B11" s="197"/>
      <c r="C11" s="197"/>
      <c r="D11" s="219">
        <v>2006</v>
      </c>
      <c r="E11" s="218">
        <v>6500</v>
      </c>
      <c r="F11" s="314">
        <v>11700</v>
      </c>
      <c r="G11" s="197"/>
      <c r="H11" s="197"/>
      <c r="I11" s="197"/>
      <c r="J11" s="196"/>
      <c r="L11" s="306">
        <v>2008</v>
      </c>
      <c r="M11" s="321">
        <f t="shared" si="0"/>
        <v>3600</v>
      </c>
      <c r="N11" s="320">
        <f t="shared" si="1"/>
        <v>13.232323232323234</v>
      </c>
    </row>
    <row r="12" spans="1:14" x14ac:dyDescent="0.2">
      <c r="A12" s="260"/>
      <c r="B12" s="197"/>
      <c r="C12" s="197"/>
      <c r="D12" s="219">
        <v>2007</v>
      </c>
      <c r="E12" s="218">
        <v>6000</v>
      </c>
      <c r="F12" s="314">
        <v>10000</v>
      </c>
      <c r="G12" s="197"/>
      <c r="H12" s="197"/>
      <c r="I12" s="197"/>
      <c r="J12" s="196"/>
      <c r="L12" s="306">
        <v>2009</v>
      </c>
      <c r="M12" s="321">
        <f t="shared" si="0"/>
        <v>7600</v>
      </c>
      <c r="N12" s="320">
        <f t="shared" si="1"/>
        <v>-14.421521048361582</v>
      </c>
    </row>
    <row r="13" spans="1:14" x14ac:dyDescent="0.2">
      <c r="A13" s="260"/>
      <c r="B13" s="204"/>
      <c r="C13" s="197"/>
      <c r="D13" s="219">
        <v>2008</v>
      </c>
      <c r="E13" s="218">
        <v>3600</v>
      </c>
      <c r="F13" s="314">
        <v>6600</v>
      </c>
      <c r="G13" s="197"/>
      <c r="H13" s="197"/>
      <c r="I13" s="197"/>
      <c r="J13" s="196"/>
    </row>
    <row r="14" spans="1:14" x14ac:dyDescent="0.2">
      <c r="A14" s="260"/>
      <c r="B14" s="204"/>
      <c r="C14" s="197"/>
      <c r="D14" s="219">
        <v>2009</v>
      </c>
      <c r="E14" s="218">
        <v>7600</v>
      </c>
      <c r="F14" s="314">
        <v>11000</v>
      </c>
      <c r="G14" s="197"/>
      <c r="H14" s="197"/>
      <c r="I14" s="197"/>
      <c r="J14" s="196"/>
    </row>
    <row r="15" spans="1:14" x14ac:dyDescent="0.2">
      <c r="A15" s="260"/>
      <c r="B15" s="204"/>
      <c r="C15" s="197"/>
      <c r="D15" s="216">
        <v>2010</v>
      </c>
      <c r="E15" s="215">
        <v>5000</v>
      </c>
      <c r="F15" s="313"/>
      <c r="G15" s="197"/>
      <c r="H15" s="197"/>
      <c r="I15" s="197"/>
      <c r="J15" s="196"/>
    </row>
    <row r="16" spans="1:14" x14ac:dyDescent="0.2">
      <c r="A16" s="260"/>
      <c r="B16" s="204"/>
      <c r="C16" s="197"/>
      <c r="D16" s="197"/>
      <c r="E16" s="197"/>
      <c r="F16" s="197"/>
      <c r="G16" s="197"/>
      <c r="H16" s="197"/>
      <c r="I16" s="197"/>
      <c r="J16" s="196"/>
    </row>
    <row r="17" spans="1:18" x14ac:dyDescent="0.2">
      <c r="A17" s="260" t="s">
        <v>0</v>
      </c>
      <c r="B17" s="241" t="s">
        <v>486</v>
      </c>
      <c r="C17" s="197" t="s">
        <v>485</v>
      </c>
      <c r="D17" s="197"/>
      <c r="E17" s="197"/>
      <c r="F17" s="197"/>
      <c r="G17" s="197"/>
      <c r="H17" s="197"/>
      <c r="I17" s="197"/>
      <c r="J17" s="196"/>
    </row>
    <row r="18" spans="1:18" x14ac:dyDescent="0.2">
      <c r="A18" s="260"/>
      <c r="B18" s="204"/>
      <c r="C18" s="197" t="s">
        <v>484</v>
      </c>
      <c r="D18" s="197"/>
      <c r="E18" s="197"/>
      <c r="F18" s="197"/>
      <c r="G18" s="197"/>
      <c r="H18" s="197"/>
      <c r="I18" s="197"/>
      <c r="J18" s="196"/>
    </row>
    <row r="19" spans="1:18" x14ac:dyDescent="0.2">
      <c r="A19" s="260"/>
      <c r="B19" s="204"/>
      <c r="C19" s="197"/>
      <c r="D19" s="197"/>
      <c r="E19" s="197"/>
      <c r="F19" s="197"/>
      <c r="G19" s="197"/>
      <c r="H19" s="197"/>
      <c r="I19" s="197"/>
      <c r="J19" s="196"/>
    </row>
    <row r="20" spans="1:18" x14ac:dyDescent="0.2">
      <c r="A20" s="260" t="s">
        <v>1</v>
      </c>
      <c r="B20" s="241" t="s">
        <v>483</v>
      </c>
      <c r="C20" s="197" t="s">
        <v>482</v>
      </c>
      <c r="D20" s="197"/>
      <c r="E20" s="197"/>
      <c r="F20" s="197"/>
      <c r="G20" s="197"/>
      <c r="H20" s="197"/>
      <c r="I20" s="197"/>
      <c r="J20" s="196"/>
    </row>
    <row r="21" spans="1:18" x14ac:dyDescent="0.2">
      <c r="A21" s="260"/>
      <c r="B21" s="204"/>
      <c r="C21" s="197" t="s">
        <v>481</v>
      </c>
      <c r="D21" s="197"/>
      <c r="E21" s="197"/>
      <c r="F21" s="197"/>
      <c r="G21" s="197"/>
      <c r="H21" s="197"/>
      <c r="I21" s="197"/>
      <c r="J21" s="196"/>
    </row>
    <row r="22" spans="1:18" ht="17" thickBot="1" x14ac:dyDescent="0.25">
      <c r="A22" s="260"/>
      <c r="B22" s="204"/>
      <c r="C22" s="197"/>
      <c r="D22" s="197"/>
      <c r="E22" s="197"/>
      <c r="F22" s="197"/>
      <c r="G22" s="197"/>
      <c r="H22" s="197"/>
      <c r="I22" s="197"/>
      <c r="J22" s="196"/>
    </row>
    <row r="23" spans="1:18" ht="17" thickBot="1" x14ac:dyDescent="0.25">
      <c r="A23" s="280" t="s">
        <v>205</v>
      </c>
      <c r="B23" s="194"/>
      <c r="C23" s="279"/>
      <c r="D23" s="194"/>
      <c r="E23" s="194"/>
      <c r="F23" s="194"/>
      <c r="G23" s="194"/>
      <c r="H23" s="194"/>
      <c r="I23" s="194"/>
      <c r="J23" s="193"/>
    </row>
    <row r="26" spans="1:18" x14ac:dyDescent="0.2">
      <c r="L26" s="170" t="s">
        <v>411</v>
      </c>
    </row>
    <row r="27" spans="1:18" x14ac:dyDescent="0.2">
      <c r="L27" s="433" t="s">
        <v>410</v>
      </c>
      <c r="M27" s="433"/>
      <c r="N27" s="433"/>
      <c r="O27" s="433"/>
      <c r="P27" s="433"/>
      <c r="Q27" s="433"/>
      <c r="R27" s="433"/>
    </row>
    <row r="28" spans="1:18" x14ac:dyDescent="0.2">
      <c r="L28" s="433"/>
      <c r="M28" s="433"/>
      <c r="N28" s="433"/>
      <c r="O28" s="433"/>
      <c r="P28" s="433"/>
      <c r="Q28" s="433"/>
      <c r="R28" s="433"/>
    </row>
    <row r="30" spans="1:18" x14ac:dyDescent="0.2">
      <c r="L30" s="166" t="s">
        <v>409</v>
      </c>
    </row>
    <row r="31" spans="1:18" x14ac:dyDescent="0.2">
      <c r="L31" s="432" t="s">
        <v>480</v>
      </c>
      <c r="M31" s="432"/>
      <c r="N31" s="432"/>
      <c r="O31" s="432"/>
      <c r="P31" s="432"/>
      <c r="Q31" s="432"/>
      <c r="R31" s="432"/>
    </row>
    <row r="32" spans="1:18" x14ac:dyDescent="0.2">
      <c r="L32" s="432"/>
      <c r="M32" s="432"/>
      <c r="N32" s="432"/>
      <c r="O32" s="432"/>
      <c r="P32" s="432"/>
      <c r="Q32" s="432"/>
      <c r="R32" s="432"/>
    </row>
    <row r="33" spans="12:18" x14ac:dyDescent="0.2">
      <c r="L33" s="432"/>
      <c r="M33" s="432"/>
      <c r="N33" s="432"/>
      <c r="O33" s="432"/>
      <c r="P33" s="432"/>
      <c r="Q33" s="432"/>
      <c r="R33" s="432"/>
    </row>
    <row r="35" spans="12:18" ht="19" x14ac:dyDescent="0.2">
      <c r="L35" s="319" t="s">
        <v>200</v>
      </c>
    </row>
    <row r="36" spans="12:18" x14ac:dyDescent="0.2">
      <c r="L36" s="432" t="s">
        <v>479</v>
      </c>
      <c r="M36" s="432"/>
      <c r="N36" s="432"/>
      <c r="O36" s="432"/>
      <c r="P36" s="432"/>
      <c r="Q36" s="432"/>
      <c r="R36" s="432"/>
    </row>
    <row r="37" spans="12:18" x14ac:dyDescent="0.2">
      <c r="L37" s="432"/>
      <c r="M37" s="432"/>
      <c r="N37" s="432"/>
      <c r="O37" s="432"/>
      <c r="P37" s="432"/>
      <c r="Q37" s="432"/>
      <c r="R37" s="432"/>
    </row>
    <row r="38" spans="12:18" x14ac:dyDescent="0.2">
      <c r="L38" s="432"/>
      <c r="M38" s="432"/>
      <c r="N38" s="432"/>
      <c r="O38" s="432"/>
      <c r="P38" s="432"/>
      <c r="Q38" s="432"/>
      <c r="R38" s="432"/>
    </row>
    <row r="40" spans="12:18" ht="19" x14ac:dyDescent="0.25">
      <c r="L40" s="156" t="s">
        <v>236</v>
      </c>
    </row>
    <row r="41" spans="12:18" ht="16" customHeight="1" x14ac:dyDescent="0.2">
      <c r="L41" s="318" t="s">
        <v>478</v>
      </c>
      <c r="M41" s="318"/>
      <c r="N41" s="318"/>
      <c r="O41" s="318"/>
      <c r="P41" s="318"/>
      <c r="Q41" s="318"/>
      <c r="R41" s="318"/>
    </row>
  </sheetData>
  <mergeCells count="4">
    <mergeCell ref="D6:F6"/>
    <mergeCell ref="L31:R33"/>
    <mergeCell ref="L36:R38"/>
    <mergeCell ref="L27:R2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D2C0-9FF4-B74F-B34D-76C52DE9E7D2}">
  <dimension ref="A1:S25"/>
  <sheetViews>
    <sheetView zoomScaleNormal="100" workbookViewId="0">
      <selection activeCell="B1" sqref="B1"/>
    </sheetView>
  </sheetViews>
  <sheetFormatPr baseColWidth="10" defaultColWidth="11" defaultRowHeight="16" outlineLevelCol="1" x14ac:dyDescent="0.2"/>
  <cols>
    <col min="1" max="1" width="4" style="250" customWidth="1"/>
    <col min="2" max="2" width="11.5" customWidth="1"/>
    <col min="12" max="12" width="10.83203125" hidden="1" customWidth="1" outlineLevel="1"/>
    <col min="13" max="15" width="11" hidden="1" customWidth="1" outlineLevel="1"/>
    <col min="16" max="18" width="10.83203125" hidden="1" customWidth="1" outlineLevel="1"/>
    <col min="19" max="19" width="11" collapsed="1"/>
  </cols>
  <sheetData>
    <row r="1" spans="1:18" x14ac:dyDescent="0.2">
      <c r="A1" s="292"/>
      <c r="B1" s="229" t="s">
        <v>438</v>
      </c>
      <c r="C1" s="228" t="s">
        <v>494</v>
      </c>
      <c r="D1" s="228" t="s">
        <v>436</v>
      </c>
      <c r="E1" s="228" t="s">
        <v>509</v>
      </c>
      <c r="F1" s="227"/>
      <c r="G1" s="227"/>
      <c r="H1" s="227"/>
      <c r="I1" s="227"/>
      <c r="J1" s="226"/>
      <c r="K1" s="166" t="s">
        <v>206</v>
      </c>
      <c r="L1" s="166"/>
    </row>
    <row r="2" spans="1:18" x14ac:dyDescent="0.2">
      <c r="A2" s="260"/>
      <c r="B2" s="291" t="s">
        <v>434</v>
      </c>
      <c r="C2" s="290">
        <v>2.25</v>
      </c>
      <c r="D2" s="197"/>
      <c r="E2" s="197"/>
      <c r="F2" s="197"/>
      <c r="G2" s="197"/>
      <c r="H2" s="197"/>
      <c r="I2" s="197"/>
      <c r="J2" s="196"/>
    </row>
    <row r="3" spans="1:18" x14ac:dyDescent="0.2">
      <c r="A3" s="260"/>
      <c r="B3" s="197"/>
      <c r="C3" s="197"/>
      <c r="D3" s="197"/>
      <c r="E3" s="197"/>
      <c r="F3" s="197"/>
      <c r="G3" s="197"/>
      <c r="H3" s="197"/>
      <c r="I3" s="197"/>
      <c r="J3" s="196"/>
      <c r="L3" s="166" t="s">
        <v>433</v>
      </c>
    </row>
    <row r="4" spans="1:18" x14ac:dyDescent="0.2">
      <c r="A4" s="260"/>
      <c r="B4" s="197"/>
      <c r="C4" s="197" t="s">
        <v>508</v>
      </c>
      <c r="D4" s="197"/>
      <c r="E4" s="197"/>
      <c r="F4" s="197"/>
      <c r="G4" s="197"/>
      <c r="H4" s="197"/>
      <c r="I4" s="197"/>
      <c r="J4" s="196"/>
      <c r="L4" s="418" t="s">
        <v>507</v>
      </c>
      <c r="M4" s="418"/>
      <c r="N4" s="418"/>
      <c r="O4" s="418"/>
      <c r="P4" s="418"/>
      <c r="Q4" s="418"/>
      <c r="R4" s="418"/>
    </row>
    <row r="5" spans="1:18" ht="16" customHeight="1" x14ac:dyDescent="0.2">
      <c r="A5" s="260"/>
      <c r="B5" s="197"/>
      <c r="C5" s="197" t="s">
        <v>506</v>
      </c>
      <c r="D5" s="197"/>
      <c r="E5" s="197"/>
      <c r="F5" s="197"/>
      <c r="G5" s="197"/>
      <c r="H5" s="197"/>
      <c r="I5" s="197"/>
      <c r="J5" s="196"/>
      <c r="L5" s="418"/>
      <c r="M5" s="418"/>
      <c r="N5" s="418"/>
      <c r="O5" s="418"/>
      <c r="P5" s="418"/>
      <c r="Q5" s="418"/>
      <c r="R5" s="418"/>
    </row>
    <row r="6" spans="1:18" x14ac:dyDescent="0.2">
      <c r="A6" s="260"/>
      <c r="B6" s="197"/>
      <c r="C6" s="197"/>
      <c r="D6" s="197"/>
      <c r="E6" s="197"/>
      <c r="F6" s="197"/>
      <c r="G6" s="197"/>
      <c r="H6" s="197"/>
      <c r="I6" s="197"/>
      <c r="J6" s="196"/>
      <c r="L6" s="418"/>
      <c r="M6" s="418"/>
      <c r="N6" s="418"/>
      <c r="O6" s="418"/>
      <c r="P6" s="418"/>
      <c r="Q6" s="418"/>
      <c r="R6" s="418"/>
    </row>
    <row r="7" spans="1:18" x14ac:dyDescent="0.2">
      <c r="A7" s="260" t="s">
        <v>0</v>
      </c>
      <c r="B7" s="197" t="s">
        <v>415</v>
      </c>
      <c r="C7" s="197" t="s">
        <v>505</v>
      </c>
      <c r="D7" s="197"/>
      <c r="E7" s="197"/>
      <c r="F7" s="197"/>
      <c r="G7" s="197"/>
      <c r="H7" s="197"/>
      <c r="I7" s="197"/>
      <c r="J7" s="196"/>
      <c r="L7" s="418"/>
      <c r="M7" s="418"/>
      <c r="N7" s="418"/>
      <c r="O7" s="418"/>
      <c r="P7" s="418"/>
      <c r="Q7" s="418"/>
      <c r="R7" s="418"/>
    </row>
    <row r="8" spans="1:18" x14ac:dyDescent="0.2">
      <c r="A8" s="260"/>
      <c r="B8" s="197"/>
      <c r="C8" s="197"/>
      <c r="D8" s="197"/>
      <c r="E8" s="197"/>
      <c r="F8" s="197"/>
      <c r="G8" s="197"/>
      <c r="H8" s="197"/>
      <c r="I8" s="197"/>
      <c r="J8" s="196"/>
      <c r="L8" s="418"/>
      <c r="M8" s="418"/>
      <c r="N8" s="418"/>
      <c r="O8" s="418"/>
      <c r="P8" s="418"/>
      <c r="Q8" s="418"/>
      <c r="R8" s="418"/>
    </row>
    <row r="9" spans="1:18" x14ac:dyDescent="0.2">
      <c r="A9" s="260" t="s">
        <v>1</v>
      </c>
      <c r="B9" s="197" t="s">
        <v>419</v>
      </c>
      <c r="C9" s="197" t="s">
        <v>504</v>
      </c>
      <c r="D9" s="197"/>
      <c r="E9" s="197"/>
      <c r="F9" s="197"/>
      <c r="G9" s="197"/>
      <c r="H9" s="197"/>
      <c r="I9" s="197"/>
      <c r="J9" s="196"/>
      <c r="L9" s="418"/>
      <c r="M9" s="418"/>
      <c r="N9" s="418"/>
      <c r="O9" s="418"/>
      <c r="P9" s="418"/>
      <c r="Q9" s="418"/>
      <c r="R9" s="418"/>
    </row>
    <row r="10" spans="1:18" x14ac:dyDescent="0.2">
      <c r="A10" s="260"/>
      <c r="B10" s="197"/>
      <c r="C10" s="197" t="s">
        <v>503</v>
      </c>
      <c r="D10" s="197"/>
      <c r="E10" s="197"/>
      <c r="F10" s="197"/>
      <c r="G10" s="197"/>
      <c r="H10" s="197"/>
      <c r="I10" s="197"/>
      <c r="J10" s="196"/>
      <c r="L10" s="325"/>
      <c r="M10" s="325"/>
      <c r="N10" s="325"/>
      <c r="O10" s="325"/>
      <c r="P10" s="325"/>
      <c r="Q10" s="325"/>
      <c r="R10" s="325"/>
    </row>
    <row r="11" spans="1:18" x14ac:dyDescent="0.2">
      <c r="A11" s="260"/>
      <c r="B11" s="197"/>
      <c r="C11" s="197"/>
      <c r="D11" s="197"/>
      <c r="E11" s="197"/>
      <c r="F11" s="197"/>
      <c r="G11" s="197"/>
      <c r="H11" s="197"/>
      <c r="I11" s="197"/>
      <c r="J11" s="196"/>
      <c r="L11" s="325"/>
      <c r="M11" s="325"/>
      <c r="N11" s="325"/>
      <c r="O11" s="325"/>
      <c r="P11" s="325"/>
      <c r="Q11" s="325"/>
      <c r="R11" s="325"/>
    </row>
    <row r="12" spans="1:18" x14ac:dyDescent="0.2">
      <c r="A12" s="260"/>
      <c r="B12" s="197"/>
      <c r="C12" s="197" t="s">
        <v>502</v>
      </c>
      <c r="D12" s="197"/>
      <c r="E12" s="197"/>
      <c r="F12" s="197"/>
      <c r="G12" s="197"/>
      <c r="H12" s="197"/>
      <c r="I12" s="197"/>
      <c r="J12" s="196"/>
      <c r="L12" s="166" t="s">
        <v>409</v>
      </c>
    </row>
    <row r="13" spans="1:18" x14ac:dyDescent="0.2">
      <c r="A13" s="260"/>
      <c r="B13" s="197"/>
      <c r="C13" s="197" t="s">
        <v>501</v>
      </c>
      <c r="D13" s="197"/>
      <c r="E13" s="197"/>
      <c r="F13" s="197"/>
      <c r="G13" s="197"/>
      <c r="H13" s="197"/>
      <c r="I13" s="197"/>
      <c r="J13" s="196"/>
      <c r="L13" s="418" t="s">
        <v>500</v>
      </c>
      <c r="M13" s="418"/>
      <c r="N13" s="418"/>
      <c r="O13" s="418"/>
      <c r="P13" s="418"/>
      <c r="Q13" s="418"/>
      <c r="R13" s="418"/>
    </row>
    <row r="14" spans="1:18" x14ac:dyDescent="0.2">
      <c r="A14" s="260"/>
      <c r="B14" s="197"/>
      <c r="C14" s="197"/>
      <c r="D14" s="197"/>
      <c r="E14" s="197"/>
      <c r="F14" s="197"/>
      <c r="G14" s="197"/>
      <c r="H14" s="197"/>
      <c r="I14" s="197"/>
      <c r="J14" s="196"/>
      <c r="L14" s="418"/>
      <c r="M14" s="418"/>
      <c r="N14" s="418"/>
      <c r="O14" s="418"/>
      <c r="P14" s="418"/>
      <c r="Q14" s="418"/>
      <c r="R14" s="418"/>
    </row>
    <row r="15" spans="1:18" ht="15.75" customHeight="1" x14ac:dyDescent="0.2">
      <c r="A15" s="260"/>
      <c r="B15" s="204"/>
      <c r="C15" s="197" t="s">
        <v>499</v>
      </c>
      <c r="D15" s="197"/>
      <c r="E15" s="197"/>
      <c r="F15" s="197"/>
      <c r="G15" s="197"/>
      <c r="H15" s="197"/>
      <c r="I15" s="197"/>
      <c r="J15" s="196"/>
      <c r="L15" s="418"/>
      <c r="M15" s="418"/>
      <c r="N15" s="418"/>
      <c r="O15" s="418"/>
      <c r="P15" s="418"/>
      <c r="Q15" s="418"/>
      <c r="R15" s="418"/>
    </row>
    <row r="16" spans="1:18" x14ac:dyDescent="0.2">
      <c r="A16" s="260"/>
      <c r="B16" s="204"/>
      <c r="C16" s="197" t="s">
        <v>498</v>
      </c>
      <c r="D16" s="197"/>
      <c r="E16" s="197"/>
      <c r="F16" s="197"/>
      <c r="G16" s="197"/>
      <c r="H16" s="197"/>
      <c r="I16" s="197"/>
      <c r="J16" s="196"/>
      <c r="L16" s="418"/>
      <c r="M16" s="418"/>
      <c r="N16" s="418"/>
      <c r="O16" s="418"/>
      <c r="P16" s="418"/>
      <c r="Q16" s="418"/>
      <c r="R16" s="418"/>
    </row>
    <row r="17" spans="1:18" x14ac:dyDescent="0.2">
      <c r="A17" s="260"/>
      <c r="B17" s="204"/>
      <c r="C17" s="197"/>
      <c r="D17" s="197"/>
      <c r="E17" s="197"/>
      <c r="F17" s="197"/>
      <c r="G17" s="197"/>
      <c r="H17" s="197"/>
      <c r="I17" s="197"/>
      <c r="J17" s="196"/>
      <c r="L17" s="418"/>
      <c r="M17" s="418"/>
      <c r="N17" s="418"/>
      <c r="O17" s="418"/>
      <c r="P17" s="418"/>
      <c r="Q17" s="418"/>
      <c r="R17" s="418"/>
    </row>
    <row r="18" spans="1:18" x14ac:dyDescent="0.2">
      <c r="A18" s="260"/>
      <c r="B18" s="204"/>
      <c r="C18" s="197" t="s">
        <v>497</v>
      </c>
      <c r="D18" s="197"/>
      <c r="E18" s="197"/>
      <c r="F18" s="197"/>
      <c r="G18" s="197"/>
      <c r="H18" s="197"/>
      <c r="I18" s="197"/>
      <c r="J18" s="196"/>
      <c r="L18" s="418"/>
      <c r="M18" s="418"/>
      <c r="N18" s="418"/>
      <c r="O18" s="418"/>
      <c r="P18" s="418"/>
      <c r="Q18" s="418"/>
      <c r="R18" s="418"/>
    </row>
    <row r="19" spans="1:18" x14ac:dyDescent="0.2">
      <c r="A19" s="260"/>
      <c r="B19" s="204"/>
      <c r="C19" s="197" t="s">
        <v>496</v>
      </c>
      <c r="D19" s="197"/>
      <c r="E19" s="197"/>
      <c r="F19" s="197"/>
      <c r="G19" s="197"/>
      <c r="H19" s="197"/>
      <c r="I19" s="197"/>
      <c r="J19" s="196"/>
      <c r="L19" s="418"/>
      <c r="M19" s="418"/>
      <c r="N19" s="418"/>
      <c r="O19" s="418"/>
      <c r="P19" s="418"/>
      <c r="Q19" s="418"/>
      <c r="R19" s="418"/>
    </row>
    <row r="20" spans="1:18" ht="17" thickBot="1" x14ac:dyDescent="0.25">
      <c r="A20" s="260"/>
      <c r="B20" s="204"/>
      <c r="C20" s="197"/>
      <c r="D20" s="197"/>
      <c r="E20" s="197"/>
      <c r="F20" s="197"/>
      <c r="G20" s="197"/>
      <c r="H20" s="197"/>
      <c r="I20" s="197"/>
      <c r="J20" s="196"/>
      <c r="L20" s="418"/>
      <c r="M20" s="418"/>
      <c r="N20" s="418"/>
      <c r="O20" s="418"/>
      <c r="P20" s="418"/>
      <c r="Q20" s="418"/>
      <c r="R20" s="418"/>
    </row>
    <row r="21" spans="1:18" ht="17" thickBot="1" x14ac:dyDescent="0.25">
      <c r="A21" s="280" t="s">
        <v>205</v>
      </c>
      <c r="B21" s="194"/>
      <c r="C21" s="279"/>
      <c r="D21" s="194"/>
      <c r="E21" s="194"/>
      <c r="F21" s="194"/>
      <c r="G21" s="194"/>
      <c r="H21" s="194"/>
      <c r="I21" s="194"/>
      <c r="J21" s="193"/>
      <c r="L21" s="418"/>
      <c r="M21" s="418"/>
      <c r="N21" s="418"/>
      <c r="O21" s="418"/>
      <c r="P21" s="418"/>
      <c r="Q21" s="418"/>
      <c r="R21" s="418"/>
    </row>
    <row r="23" spans="1:18" ht="19" x14ac:dyDescent="0.2">
      <c r="L23" s="319" t="s">
        <v>200</v>
      </c>
    </row>
    <row r="24" spans="1:18" x14ac:dyDescent="0.2">
      <c r="L24" s="432" t="s">
        <v>495</v>
      </c>
      <c r="M24" s="432"/>
      <c r="N24" s="432"/>
      <c r="O24" s="432"/>
      <c r="P24" s="432"/>
      <c r="Q24" s="432"/>
      <c r="R24" s="432"/>
    </row>
    <row r="25" spans="1:18" x14ac:dyDescent="0.2">
      <c r="L25" s="432"/>
      <c r="M25" s="432"/>
      <c r="N25" s="432"/>
      <c r="O25" s="432"/>
      <c r="P25" s="432"/>
      <c r="Q25" s="432"/>
      <c r="R25" s="432"/>
    </row>
  </sheetData>
  <mergeCells count="3">
    <mergeCell ref="L24:R25"/>
    <mergeCell ref="L13:R21"/>
    <mergeCell ref="L4:R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7152-65AC-BD4C-94E2-09016776D8A6}">
  <dimension ref="A1:T46"/>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2" max="19" width="10.83203125" hidden="1" customWidth="1" outlineLevel="1"/>
    <col min="20" max="20" width="11" collapsed="1"/>
  </cols>
  <sheetData>
    <row r="1" spans="1:17" x14ac:dyDescent="0.2">
      <c r="A1" s="292"/>
      <c r="B1" s="229" t="s">
        <v>438</v>
      </c>
      <c r="C1" s="228" t="s">
        <v>524</v>
      </c>
      <c r="D1" s="228" t="s">
        <v>436</v>
      </c>
      <c r="E1" s="228" t="s">
        <v>523</v>
      </c>
      <c r="F1" s="227"/>
      <c r="G1" s="227"/>
      <c r="H1" s="227"/>
      <c r="I1" s="227"/>
      <c r="J1" s="226"/>
      <c r="K1" s="166" t="s">
        <v>206</v>
      </c>
      <c r="L1" s="166"/>
    </row>
    <row r="2" spans="1:17" x14ac:dyDescent="0.2">
      <c r="A2" s="260"/>
      <c r="B2" s="291" t="s">
        <v>434</v>
      </c>
      <c r="C2" s="290">
        <v>3</v>
      </c>
      <c r="D2" s="197"/>
      <c r="E2" s="197"/>
      <c r="F2" s="197"/>
      <c r="G2" s="197"/>
      <c r="H2" s="197"/>
      <c r="I2" s="197"/>
      <c r="J2" s="196"/>
    </row>
    <row r="3" spans="1:17" x14ac:dyDescent="0.2">
      <c r="A3" s="260"/>
      <c r="B3" s="197"/>
      <c r="C3" s="197"/>
      <c r="D3" s="197"/>
      <c r="E3" s="197"/>
      <c r="F3" s="197"/>
      <c r="G3" s="197"/>
      <c r="H3" s="197"/>
      <c r="I3" s="197"/>
      <c r="J3" s="196"/>
      <c r="L3" s="166" t="s">
        <v>433</v>
      </c>
    </row>
    <row r="4" spans="1:17" x14ac:dyDescent="0.2">
      <c r="A4" s="260"/>
      <c r="B4" s="197"/>
      <c r="C4" s="197" t="s">
        <v>21</v>
      </c>
      <c r="D4" s="197"/>
      <c r="E4" s="197"/>
      <c r="F4" s="197"/>
      <c r="G4" s="197"/>
      <c r="H4" s="197"/>
      <c r="I4" s="197"/>
      <c r="J4" s="196"/>
      <c r="L4" s="166"/>
    </row>
    <row r="5" spans="1:17" x14ac:dyDescent="0.2">
      <c r="A5" s="260"/>
      <c r="B5" s="197"/>
      <c r="C5" s="197"/>
      <c r="D5" s="197"/>
      <c r="E5" s="197"/>
      <c r="F5" s="197"/>
      <c r="G5" s="197"/>
      <c r="H5" s="197"/>
      <c r="I5" s="197"/>
      <c r="J5" s="196"/>
      <c r="L5" t="s">
        <v>474</v>
      </c>
      <c r="M5" s="317"/>
    </row>
    <row r="6" spans="1:17" x14ac:dyDescent="0.2">
      <c r="A6" s="260"/>
      <c r="B6" s="197"/>
      <c r="C6" s="430" t="s">
        <v>27</v>
      </c>
      <c r="D6" s="430"/>
      <c r="E6" s="430"/>
      <c r="F6" s="430"/>
      <c r="G6" s="430"/>
      <c r="H6" s="430"/>
      <c r="I6" s="197"/>
      <c r="J6" s="196"/>
    </row>
    <row r="7" spans="1:17" x14ac:dyDescent="0.2">
      <c r="A7" s="260"/>
      <c r="B7" s="197"/>
      <c r="C7" s="283"/>
      <c r="D7" s="312" t="s">
        <v>466</v>
      </c>
      <c r="E7" s="312" t="s">
        <v>465</v>
      </c>
      <c r="F7" s="312" t="s">
        <v>464</v>
      </c>
      <c r="G7" s="312" t="s">
        <v>522</v>
      </c>
      <c r="H7" s="311" t="s">
        <v>520</v>
      </c>
      <c r="I7" s="197"/>
      <c r="J7" s="196"/>
      <c r="L7" s="192" t="s">
        <v>19</v>
      </c>
      <c r="M7" s="316" t="s">
        <v>466</v>
      </c>
      <c r="N7" s="316" t="s">
        <v>472</v>
      </c>
      <c r="O7" s="316" t="s">
        <v>471</v>
      </c>
      <c r="P7" s="316" t="s">
        <v>463</v>
      </c>
      <c r="Q7" s="316" t="s">
        <v>520</v>
      </c>
    </row>
    <row r="8" spans="1:17" x14ac:dyDescent="0.2">
      <c r="A8" s="260"/>
      <c r="B8" s="197"/>
      <c r="C8" s="219">
        <v>2007</v>
      </c>
      <c r="D8" s="310">
        <v>2.4500000000000002</v>
      </c>
      <c r="E8" s="310">
        <v>1.73</v>
      </c>
      <c r="F8" s="310">
        <v>1.19</v>
      </c>
      <c r="G8" s="310">
        <v>1.05</v>
      </c>
      <c r="H8" s="309">
        <v>1.05</v>
      </c>
      <c r="I8" s="197"/>
      <c r="J8" s="196"/>
      <c r="L8" s="191">
        <f>C8</f>
        <v>2007</v>
      </c>
      <c r="M8" s="172">
        <f>RANK(D8,D$8:D$12,1)</f>
        <v>2</v>
      </c>
      <c r="N8" s="172">
        <f>RANK(E8,E$8:E$12,1)</f>
        <v>4</v>
      </c>
      <c r="O8" s="172">
        <f>RANK(F8,F$8:F$12,1)</f>
        <v>2</v>
      </c>
      <c r="P8" s="172">
        <f>RANK(G8,G$8:G$12,1)</f>
        <v>1</v>
      </c>
      <c r="Q8" s="172">
        <f>RANK(H8,H$8:H$12,1)</f>
        <v>1</v>
      </c>
    </row>
    <row r="9" spans="1:17" x14ac:dyDescent="0.2">
      <c r="A9" s="260"/>
      <c r="B9" s="197"/>
      <c r="C9" s="219">
        <v>2008</v>
      </c>
      <c r="D9" s="310">
        <v>5.42</v>
      </c>
      <c r="E9" s="310">
        <v>1.26</v>
      </c>
      <c r="F9" s="310">
        <v>1.23</v>
      </c>
      <c r="G9" s="310">
        <v>1.0900000000000001</v>
      </c>
      <c r="H9" s="309"/>
      <c r="I9" s="197"/>
      <c r="J9" s="196"/>
      <c r="L9" s="191">
        <f>C9</f>
        <v>2008</v>
      </c>
      <c r="M9" s="172">
        <f>RANK(D9,D$8:D$12,1)</f>
        <v>4</v>
      </c>
      <c r="N9" s="172">
        <f>RANK(E9,E$8:E$12,1)</f>
        <v>1</v>
      </c>
      <c r="O9" s="172">
        <f>RANK(F9,F$8:F$12,1)</f>
        <v>3</v>
      </c>
      <c r="P9" s="172">
        <f>RANK(G9,G$8:G$12,1)</f>
        <v>2</v>
      </c>
      <c r="Q9" s="172"/>
    </row>
    <row r="10" spans="1:17" x14ac:dyDescent="0.2">
      <c r="A10" s="260"/>
      <c r="B10" s="197"/>
      <c r="C10" s="219">
        <v>2009</v>
      </c>
      <c r="D10" s="310">
        <v>2.64</v>
      </c>
      <c r="E10" s="310">
        <v>1.35</v>
      </c>
      <c r="F10" s="310">
        <v>1.1599999999999999</v>
      </c>
      <c r="G10" s="310"/>
      <c r="H10" s="309"/>
      <c r="I10" s="197"/>
      <c r="J10" s="196"/>
      <c r="L10" s="191">
        <f>C10</f>
        <v>2009</v>
      </c>
      <c r="M10" s="172">
        <f>RANK(D10,D$8:D$12,1)</f>
        <v>3</v>
      </c>
      <c r="N10" s="172">
        <f>RANK(E10,E$8:E$12,1)</f>
        <v>2</v>
      </c>
      <c r="O10" s="172">
        <f>RANK(F10,F$8:F$12,1)</f>
        <v>1</v>
      </c>
      <c r="P10" s="172"/>
      <c r="Q10" s="172"/>
    </row>
    <row r="11" spans="1:17" x14ac:dyDescent="0.2">
      <c r="A11" s="260"/>
      <c r="B11" s="197"/>
      <c r="C11" s="219">
        <v>2010</v>
      </c>
      <c r="D11" s="310">
        <v>2.04</v>
      </c>
      <c r="E11" s="310">
        <v>1.55</v>
      </c>
      <c r="F11" s="310"/>
      <c r="G11" s="310"/>
      <c r="H11" s="309"/>
      <c r="I11" s="197"/>
      <c r="J11" s="196"/>
      <c r="L11" s="191">
        <f>C11</f>
        <v>2010</v>
      </c>
      <c r="M11" s="172">
        <f>RANK(D11,D$8:D$12,1)</f>
        <v>1</v>
      </c>
      <c r="N11" s="172">
        <f>RANK(E11,E$8:E$12,1)</f>
        <v>3</v>
      </c>
      <c r="O11" s="172"/>
      <c r="P11" s="172"/>
      <c r="Q11" s="172"/>
    </row>
    <row r="12" spans="1:17" x14ac:dyDescent="0.2">
      <c r="A12" s="260"/>
      <c r="B12" s="197"/>
      <c r="C12" s="216">
        <v>2011</v>
      </c>
      <c r="D12" s="308">
        <v>6.23</v>
      </c>
      <c r="E12" s="308"/>
      <c r="F12" s="308"/>
      <c r="G12" s="308"/>
      <c r="H12" s="307"/>
      <c r="I12" s="197"/>
      <c r="J12" s="196"/>
      <c r="L12" s="191">
        <f>C12</f>
        <v>2011</v>
      </c>
      <c r="M12" s="172">
        <f>RANK(D12,D$8:D$12,1)</f>
        <v>5</v>
      </c>
      <c r="N12" s="172"/>
      <c r="O12" s="172"/>
      <c r="P12" s="172"/>
      <c r="Q12" s="172"/>
    </row>
    <row r="13" spans="1:17" x14ac:dyDescent="0.2">
      <c r="A13" s="260"/>
      <c r="B13" s="204"/>
      <c r="C13" s="197"/>
      <c r="D13" s="197"/>
      <c r="E13" s="197"/>
      <c r="F13" s="197"/>
      <c r="G13" s="197"/>
      <c r="H13" s="197"/>
      <c r="I13" s="197"/>
      <c r="J13" s="196"/>
      <c r="L13" s="172"/>
      <c r="M13" s="172"/>
      <c r="N13" s="172"/>
      <c r="O13" s="172"/>
      <c r="P13" s="172"/>
      <c r="Q13" s="172"/>
    </row>
    <row r="14" spans="1:17" ht="19" x14ac:dyDescent="0.2">
      <c r="A14" s="260"/>
      <c r="B14" s="204"/>
      <c r="C14" s="241" t="s">
        <v>521</v>
      </c>
      <c r="D14" s="197"/>
      <c r="E14" s="197"/>
      <c r="F14" s="197"/>
      <c r="G14" s="197">
        <v>1.645</v>
      </c>
      <c r="H14" s="197"/>
      <c r="I14" s="197"/>
      <c r="J14" s="196"/>
      <c r="L14" s="192" t="s">
        <v>19</v>
      </c>
      <c r="M14" s="316" t="s">
        <v>466</v>
      </c>
      <c r="N14" s="316" t="s">
        <v>472</v>
      </c>
      <c r="O14" s="316" t="s">
        <v>471</v>
      </c>
      <c r="P14" s="316" t="s">
        <v>463</v>
      </c>
      <c r="Q14" s="316" t="s">
        <v>520</v>
      </c>
    </row>
    <row r="15" spans="1:17" x14ac:dyDescent="0.2">
      <c r="A15" s="260"/>
      <c r="B15" s="204"/>
      <c r="C15" s="197"/>
      <c r="D15" s="197"/>
      <c r="E15" s="197"/>
      <c r="F15" s="197"/>
      <c r="G15" s="197"/>
      <c r="H15" s="197"/>
      <c r="I15" s="197"/>
      <c r="J15" s="196"/>
      <c r="L15" s="306">
        <f>C8</f>
        <v>2007</v>
      </c>
      <c r="M15" s="301" t="s">
        <v>32</v>
      </c>
      <c r="N15" s="172" t="s">
        <v>31</v>
      </c>
      <c r="O15" s="301" t="s">
        <v>33</v>
      </c>
      <c r="P15" s="172" t="s">
        <v>32</v>
      </c>
      <c r="Q15" s="301" t="s">
        <v>33</v>
      </c>
    </row>
    <row r="16" spans="1:17" x14ac:dyDescent="0.2">
      <c r="A16" s="260" t="s">
        <v>0</v>
      </c>
      <c r="B16" s="241" t="s">
        <v>519</v>
      </c>
      <c r="C16" s="197" t="s">
        <v>518</v>
      </c>
      <c r="D16" s="197"/>
      <c r="E16" s="197"/>
      <c r="F16" s="197"/>
      <c r="G16" s="197"/>
      <c r="H16" s="197"/>
      <c r="I16" s="197"/>
      <c r="J16" s="196"/>
      <c r="L16" s="306">
        <f>C9</f>
        <v>2008</v>
      </c>
      <c r="M16" s="301" t="s">
        <v>31</v>
      </c>
      <c r="N16" s="301" t="s">
        <v>32</v>
      </c>
      <c r="O16" s="301" t="s">
        <v>31</v>
      </c>
      <c r="P16" s="301" t="s">
        <v>31</v>
      </c>
    </row>
    <row r="17" spans="1:19" x14ac:dyDescent="0.2">
      <c r="A17" s="260"/>
      <c r="B17" s="204"/>
      <c r="C17" s="197" t="s">
        <v>517</v>
      </c>
      <c r="D17" s="197"/>
      <c r="E17" s="197"/>
      <c r="F17" s="197"/>
      <c r="G17" s="197"/>
      <c r="H17" s="197"/>
      <c r="I17" s="197"/>
      <c r="J17" s="196"/>
      <c r="L17" s="306">
        <f>C10</f>
        <v>2009</v>
      </c>
      <c r="M17" s="301" t="s">
        <v>33</v>
      </c>
      <c r="N17" s="301" t="s">
        <v>32</v>
      </c>
      <c r="O17" s="301" t="s">
        <v>32</v>
      </c>
      <c r="P17" s="301"/>
    </row>
    <row r="18" spans="1:19" x14ac:dyDescent="0.2">
      <c r="A18" s="260"/>
      <c r="B18" s="204"/>
      <c r="C18" s="197" t="s">
        <v>516</v>
      </c>
      <c r="D18" s="197"/>
      <c r="E18" s="197"/>
      <c r="F18" s="197"/>
      <c r="G18" s="197"/>
      <c r="H18" s="197"/>
      <c r="I18" s="197"/>
      <c r="J18" s="196"/>
      <c r="L18" s="306">
        <f>C11</f>
        <v>2010</v>
      </c>
      <c r="M18" s="301" t="s">
        <v>32</v>
      </c>
      <c r="N18" s="301" t="s">
        <v>31</v>
      </c>
      <c r="O18" s="301"/>
      <c r="P18" s="301"/>
    </row>
    <row r="19" spans="1:19" x14ac:dyDescent="0.2">
      <c r="A19" s="260"/>
      <c r="B19" s="204"/>
      <c r="C19" s="197"/>
      <c r="D19" s="197"/>
      <c r="E19" s="197"/>
      <c r="F19" s="197"/>
      <c r="G19" s="197"/>
      <c r="H19" s="197"/>
      <c r="I19" s="197"/>
      <c r="J19" s="196"/>
      <c r="L19" s="306">
        <f>C12</f>
        <v>2011</v>
      </c>
      <c r="M19" s="172" t="s">
        <v>31</v>
      </c>
    </row>
    <row r="20" spans="1:19" x14ac:dyDescent="0.2">
      <c r="A20" s="260" t="s">
        <v>1</v>
      </c>
      <c r="B20" s="241" t="s">
        <v>483</v>
      </c>
      <c r="C20" s="197" t="s">
        <v>515</v>
      </c>
      <c r="D20" s="197"/>
      <c r="E20" s="197"/>
      <c r="F20" s="197"/>
      <c r="G20" s="197"/>
      <c r="H20" s="197"/>
      <c r="I20" s="197"/>
      <c r="J20" s="196"/>
    </row>
    <row r="21" spans="1:19" ht="19" thickBot="1" x14ac:dyDescent="0.25">
      <c r="A21" s="260"/>
      <c r="B21" s="204"/>
      <c r="C21" s="197"/>
      <c r="D21" s="197"/>
      <c r="E21" s="197"/>
      <c r="F21" s="197"/>
      <c r="G21" s="197"/>
      <c r="H21" s="197"/>
      <c r="I21" s="197"/>
      <c r="J21" s="196"/>
      <c r="L21" s="305" t="s">
        <v>462</v>
      </c>
      <c r="M21" s="303" t="s">
        <v>461</v>
      </c>
      <c r="N21" s="303" t="s">
        <v>460</v>
      </c>
      <c r="O21" s="303" t="s">
        <v>459</v>
      </c>
      <c r="P21" s="303" t="s">
        <v>458</v>
      </c>
      <c r="Q21" s="303" t="s">
        <v>457</v>
      </c>
      <c r="R21" s="303" t="s">
        <v>456</v>
      </c>
      <c r="S21" s="303" t="s">
        <v>455</v>
      </c>
    </row>
    <row r="22" spans="1:19" ht="17" thickBot="1" x14ac:dyDescent="0.25">
      <c r="A22" s="280" t="s">
        <v>205</v>
      </c>
      <c r="B22" s="194"/>
      <c r="C22" s="279"/>
      <c r="D22" s="194"/>
      <c r="E22" s="194"/>
      <c r="F22" s="194"/>
      <c r="G22" s="194"/>
      <c r="H22" s="194"/>
      <c r="I22" s="194"/>
      <c r="J22" s="193"/>
      <c r="L22" s="306">
        <v>2</v>
      </c>
      <c r="M22" s="302">
        <v>0</v>
      </c>
      <c r="N22" s="301">
        <v>2</v>
      </c>
      <c r="O22" s="302">
        <f>MIN(M22,N22)</f>
        <v>0</v>
      </c>
      <c r="P22" s="302">
        <f>M22+N22</f>
        <v>2</v>
      </c>
      <c r="Q22" s="301">
        <f>ROUNDDOWN((P22-1)/2,0)</f>
        <v>0</v>
      </c>
      <c r="R22" s="301">
        <f>P22/2-COMBIN((P22-1),Q22)*P22/2^P22</f>
        <v>0.5</v>
      </c>
      <c r="S22" s="301">
        <f>P22*(P22-1)/4-COMBIN((P22-1),Q22)*P22*(P22-1)/2^P22+R22-R22^2</f>
        <v>0.25</v>
      </c>
    </row>
    <row r="23" spans="1:19" x14ac:dyDescent="0.2">
      <c r="L23" s="306">
        <v>4</v>
      </c>
      <c r="M23" s="301">
        <v>3</v>
      </c>
      <c r="N23" s="301">
        <v>1</v>
      </c>
      <c r="O23" s="302">
        <f>MIN(M23:N23)</f>
        <v>1</v>
      </c>
      <c r="P23" s="301">
        <f>M23+N23</f>
        <v>4</v>
      </c>
      <c r="Q23" s="301">
        <f>ROUNDDOWN((P23-1)/2,0)</f>
        <v>1</v>
      </c>
      <c r="R23" s="301">
        <f>P23/2-COMBIN((P23-1),Q23)*P23/2^P23</f>
        <v>1.25</v>
      </c>
      <c r="S23" s="301">
        <f>P23*(P23-1)/4-COMBIN((P23-1),Q23)*P23*(P23-1)/2^P23+R23-R23^2</f>
        <v>0.4375</v>
      </c>
    </row>
    <row r="24" spans="1:19" x14ac:dyDescent="0.2">
      <c r="L24" s="305">
        <v>5</v>
      </c>
      <c r="M24" s="303">
        <v>1</v>
      </c>
      <c r="N24" s="303">
        <v>3</v>
      </c>
      <c r="O24" s="304">
        <f>MIN(M24:N24)</f>
        <v>1</v>
      </c>
      <c r="P24" s="303">
        <f>M24+N24</f>
        <v>4</v>
      </c>
      <c r="Q24" s="303">
        <f>ROUNDDOWN((P24-1)/2,0)</f>
        <v>1</v>
      </c>
      <c r="R24" s="303">
        <f>P24/2-COMBIN((P24-1),Q24)*P24/2^P24</f>
        <v>1.25</v>
      </c>
      <c r="S24" s="303">
        <f>P24*(P24-1)/4-COMBIN((P24-1),Q24)*P24*(P24-1)/2^P24+R24-R24^2</f>
        <v>0.4375</v>
      </c>
    </row>
    <row r="25" spans="1:19" x14ac:dyDescent="0.2">
      <c r="L25" s="191" t="s">
        <v>89</v>
      </c>
      <c r="M25" s="172"/>
      <c r="N25" s="172"/>
      <c r="O25" s="302">
        <f>SUM(O22:O24)</f>
        <v>2</v>
      </c>
      <c r="R25" s="301">
        <f>SUM(R22:R24)</f>
        <v>3</v>
      </c>
      <c r="S25" s="301">
        <f>SUM(S22:S24)</f>
        <v>1.125</v>
      </c>
    </row>
    <row r="27" spans="1:19" x14ac:dyDescent="0.2">
      <c r="L27" s="315"/>
      <c r="M27" s="328" t="s">
        <v>451</v>
      </c>
      <c r="N27" s="327" t="s">
        <v>450</v>
      </c>
    </row>
    <row r="28" spans="1:19" ht="15.75" customHeight="1" x14ac:dyDescent="0.2">
      <c r="L28" s="301" t="s">
        <v>447</v>
      </c>
      <c r="M28" s="162">
        <f>$R$25-(G14*SQRT($S$25))</f>
        <v>1.2552140174221942</v>
      </c>
      <c r="N28" s="162">
        <f>$R$25+(G14*SQRT($S$25))</f>
        <v>4.744785982577806</v>
      </c>
    </row>
    <row r="29" spans="1:19" ht="15.75" customHeight="1" x14ac:dyDescent="0.2"/>
    <row r="30" spans="1:19" ht="16" customHeight="1" x14ac:dyDescent="0.2">
      <c r="L30" s="166" t="s">
        <v>514</v>
      </c>
      <c r="M30" s="318"/>
      <c r="N30" s="318"/>
      <c r="O30" s="318"/>
      <c r="P30" s="318"/>
      <c r="Q30" s="318"/>
      <c r="R30" s="318"/>
      <c r="S30" s="318"/>
    </row>
    <row r="31" spans="1:19" x14ac:dyDescent="0.2">
      <c r="L31" s="166" t="s">
        <v>513</v>
      </c>
    </row>
    <row r="32" spans="1:19" x14ac:dyDescent="0.2">
      <c r="L32" s="166"/>
    </row>
    <row r="33" spans="12:19" x14ac:dyDescent="0.2">
      <c r="L33" s="166" t="s">
        <v>409</v>
      </c>
    </row>
    <row r="34" spans="12:19" x14ac:dyDescent="0.2">
      <c r="L34" s="326" t="s">
        <v>512</v>
      </c>
    </row>
    <row r="35" spans="12:19" x14ac:dyDescent="0.2">
      <c r="L35" s="432" t="s">
        <v>511</v>
      </c>
      <c r="M35" s="432"/>
      <c r="N35" s="432"/>
      <c r="O35" s="432"/>
      <c r="P35" s="432"/>
      <c r="Q35" s="432"/>
      <c r="R35" s="432"/>
      <c r="S35" s="432"/>
    </row>
    <row r="36" spans="12:19" x14ac:dyDescent="0.2">
      <c r="L36" s="432"/>
      <c r="M36" s="432"/>
      <c r="N36" s="432"/>
      <c r="O36" s="432"/>
      <c r="P36" s="432"/>
      <c r="Q36" s="432"/>
      <c r="R36" s="432"/>
      <c r="S36" s="432"/>
    </row>
    <row r="37" spans="12:19" x14ac:dyDescent="0.2">
      <c r="L37" s="432"/>
      <c r="M37" s="432"/>
      <c r="N37" s="432"/>
      <c r="O37" s="432"/>
      <c r="P37" s="432"/>
      <c r="Q37" s="432"/>
      <c r="R37" s="432"/>
      <c r="S37" s="432"/>
    </row>
    <row r="38" spans="12:19" x14ac:dyDescent="0.2">
      <c r="L38" s="432"/>
      <c r="M38" s="432"/>
      <c r="N38" s="432"/>
      <c r="O38" s="432"/>
      <c r="P38" s="432"/>
      <c r="Q38" s="432"/>
      <c r="R38" s="432"/>
      <c r="S38" s="432"/>
    </row>
    <row r="40" spans="12:19" ht="19" x14ac:dyDescent="0.2">
      <c r="L40" s="319" t="s">
        <v>200</v>
      </c>
    </row>
    <row r="41" spans="12:19" x14ac:dyDescent="0.2">
      <c r="L41" s="418" t="s">
        <v>510</v>
      </c>
      <c r="M41" s="418"/>
      <c r="N41" s="418"/>
      <c r="O41" s="418"/>
      <c r="P41" s="418"/>
      <c r="Q41" s="418"/>
      <c r="R41" s="418"/>
      <c r="S41" s="418"/>
    </row>
    <row r="42" spans="12:19" x14ac:dyDescent="0.2">
      <c r="L42" s="418"/>
      <c r="M42" s="418"/>
      <c r="N42" s="418"/>
      <c r="O42" s="418"/>
      <c r="P42" s="418"/>
      <c r="Q42" s="418"/>
      <c r="R42" s="418"/>
      <c r="S42" s="418"/>
    </row>
    <row r="43" spans="12:19" x14ac:dyDescent="0.2">
      <c r="L43" s="418"/>
      <c r="M43" s="418"/>
      <c r="N43" s="418"/>
      <c r="O43" s="418"/>
      <c r="P43" s="418"/>
      <c r="Q43" s="418"/>
      <c r="R43" s="418"/>
      <c r="S43" s="418"/>
    </row>
    <row r="45" spans="12:19" ht="19" x14ac:dyDescent="0.2">
      <c r="L45" s="319" t="s">
        <v>236</v>
      </c>
      <c r="M45" s="318"/>
      <c r="N45" s="318"/>
      <c r="O45" s="318"/>
      <c r="P45" s="318"/>
      <c r="Q45" s="318"/>
      <c r="R45" s="318"/>
      <c r="S45" s="318"/>
    </row>
    <row r="46" spans="12:19" x14ac:dyDescent="0.2">
      <c r="L46" s="318" t="s">
        <v>439</v>
      </c>
    </row>
  </sheetData>
  <mergeCells count="3">
    <mergeCell ref="L41:S43"/>
    <mergeCell ref="C6:H6"/>
    <mergeCell ref="L35:S38"/>
  </mergeCells>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9A97-CA39-884B-A50A-05F18CF531CF}">
  <dimension ref="A1:S50"/>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2" max="18" width="10.83203125" hidden="1" customWidth="1" outlineLevel="1"/>
    <col min="19" max="19" width="11" collapsed="1"/>
  </cols>
  <sheetData>
    <row r="1" spans="1:19" x14ac:dyDescent="0.2">
      <c r="A1" s="292"/>
      <c r="B1" s="229" t="s">
        <v>438</v>
      </c>
      <c r="C1" s="228" t="s">
        <v>534</v>
      </c>
      <c r="D1" s="228" t="s">
        <v>436</v>
      </c>
      <c r="E1" s="228" t="s">
        <v>533</v>
      </c>
      <c r="F1" s="227"/>
      <c r="G1" s="227"/>
      <c r="H1" s="227"/>
      <c r="I1" s="227"/>
      <c r="J1" s="226"/>
      <c r="K1" s="166" t="s">
        <v>206</v>
      </c>
      <c r="L1" s="166"/>
    </row>
    <row r="2" spans="1:19" ht="19" x14ac:dyDescent="0.2">
      <c r="A2" s="260"/>
      <c r="B2" s="291" t="s">
        <v>434</v>
      </c>
      <c r="C2" s="290">
        <v>1</v>
      </c>
      <c r="D2" s="197"/>
      <c r="E2" s="197"/>
      <c r="F2" s="197"/>
      <c r="G2" s="197"/>
      <c r="H2" s="197"/>
      <c r="I2" s="197"/>
      <c r="J2" s="196"/>
      <c r="S2" s="319"/>
    </row>
    <row r="3" spans="1:19" ht="16" customHeight="1" x14ac:dyDescent="0.2">
      <c r="A3" s="260"/>
      <c r="B3" s="197"/>
      <c r="C3" s="197"/>
      <c r="D3" s="197"/>
      <c r="E3" s="197"/>
      <c r="F3" s="197"/>
      <c r="G3" s="197"/>
      <c r="H3" s="197"/>
      <c r="I3" s="197"/>
      <c r="J3" s="196"/>
      <c r="L3" s="418" t="s">
        <v>532</v>
      </c>
      <c r="M3" s="418"/>
      <c r="N3" s="418"/>
      <c r="O3" s="418"/>
      <c r="P3" s="418"/>
      <c r="Q3" s="418"/>
      <c r="R3" s="418"/>
    </row>
    <row r="4" spans="1:19" x14ac:dyDescent="0.2">
      <c r="A4" s="260"/>
      <c r="B4" s="197"/>
      <c r="C4" s="197" t="s">
        <v>531</v>
      </c>
      <c r="D4" s="197"/>
      <c r="E4" s="197"/>
      <c r="F4" s="197"/>
      <c r="G4" s="197"/>
      <c r="H4" s="197"/>
      <c r="I4" s="197"/>
      <c r="J4" s="196"/>
      <c r="L4" s="418"/>
      <c r="M4" s="418"/>
      <c r="N4" s="418"/>
      <c r="O4" s="418"/>
      <c r="P4" s="418"/>
      <c r="Q4" s="418"/>
      <c r="R4" s="418"/>
    </row>
    <row r="5" spans="1:19" x14ac:dyDescent="0.2">
      <c r="A5" s="260"/>
      <c r="B5" s="197"/>
      <c r="C5" s="197"/>
      <c r="D5" s="197"/>
      <c r="E5" s="197"/>
      <c r="F5" s="197"/>
      <c r="G5" s="197"/>
      <c r="H5" s="197"/>
      <c r="I5" s="197"/>
      <c r="J5" s="196"/>
      <c r="L5" s="418"/>
      <c r="M5" s="418"/>
      <c r="N5" s="418"/>
      <c r="O5" s="418"/>
      <c r="P5" s="418"/>
      <c r="Q5" s="418"/>
      <c r="R5" s="418"/>
    </row>
    <row r="6" spans="1:19" x14ac:dyDescent="0.2">
      <c r="A6" s="260"/>
      <c r="B6" s="197"/>
      <c r="C6" s="197"/>
      <c r="D6" s="197"/>
      <c r="E6" s="197"/>
      <c r="F6" s="197"/>
      <c r="G6" s="197"/>
      <c r="H6" s="197"/>
      <c r="I6" s="197"/>
      <c r="J6" s="196"/>
      <c r="L6" s="418"/>
      <c r="M6" s="418"/>
      <c r="N6" s="418"/>
      <c r="O6" s="418"/>
      <c r="P6" s="418"/>
      <c r="Q6" s="418"/>
      <c r="R6" s="418"/>
    </row>
    <row r="7" spans="1:19" x14ac:dyDescent="0.2">
      <c r="A7" s="260"/>
      <c r="B7" s="197"/>
      <c r="C7" s="197"/>
      <c r="D7" s="197"/>
      <c r="E7" s="197"/>
      <c r="F7" s="197"/>
      <c r="G7" s="197"/>
      <c r="H7" s="197"/>
      <c r="I7" s="197"/>
      <c r="J7" s="196"/>
      <c r="L7" s="418"/>
      <c r="M7" s="418"/>
      <c r="N7" s="418"/>
      <c r="O7" s="418"/>
      <c r="P7" s="418"/>
      <c r="Q7" s="418"/>
      <c r="R7" s="418"/>
    </row>
    <row r="8" spans="1:19" x14ac:dyDescent="0.2">
      <c r="A8" s="260"/>
      <c r="B8" s="197"/>
      <c r="C8" s="197"/>
      <c r="D8" s="197"/>
      <c r="E8" s="197"/>
      <c r="F8" s="197"/>
      <c r="G8" s="197"/>
      <c r="H8" s="197"/>
      <c r="I8" s="197"/>
      <c r="J8" s="196"/>
      <c r="L8" s="418"/>
      <c r="M8" s="418"/>
      <c r="N8" s="418"/>
      <c r="O8" s="418"/>
      <c r="P8" s="418"/>
      <c r="Q8" s="418"/>
      <c r="R8" s="418"/>
    </row>
    <row r="9" spans="1:19" x14ac:dyDescent="0.2">
      <c r="A9" s="260"/>
      <c r="B9" s="197"/>
      <c r="C9" s="197"/>
      <c r="D9" s="197"/>
      <c r="E9" s="197"/>
      <c r="F9" s="197"/>
      <c r="G9" s="197"/>
      <c r="H9" s="197"/>
      <c r="I9" s="197"/>
      <c r="J9" s="196"/>
      <c r="L9" s="418"/>
      <c r="M9" s="418"/>
      <c r="N9" s="418"/>
      <c r="O9" s="418"/>
      <c r="P9" s="418"/>
      <c r="Q9" s="418"/>
      <c r="R9" s="418"/>
    </row>
    <row r="10" spans="1:19" x14ac:dyDescent="0.2">
      <c r="A10" s="260"/>
      <c r="B10" s="197"/>
      <c r="C10" s="197"/>
      <c r="D10" s="197"/>
      <c r="E10" s="197"/>
      <c r="F10" s="197"/>
      <c r="G10" s="197"/>
      <c r="H10" s="197"/>
      <c r="I10" s="197"/>
      <c r="J10" s="196"/>
      <c r="L10" s="418"/>
      <c r="M10" s="418"/>
      <c r="N10" s="418"/>
      <c r="O10" s="418"/>
      <c r="P10" s="418"/>
      <c r="Q10" s="418"/>
      <c r="R10" s="418"/>
    </row>
    <row r="11" spans="1:19" x14ac:dyDescent="0.2">
      <c r="A11" s="260"/>
      <c r="B11" s="197"/>
      <c r="C11" s="197"/>
      <c r="D11" s="197"/>
      <c r="E11" s="197"/>
      <c r="F11" s="197"/>
      <c r="G11" s="197"/>
      <c r="H11" s="197"/>
      <c r="I11" s="197"/>
      <c r="J11" s="196"/>
      <c r="L11" s="418"/>
      <c r="M11" s="418"/>
      <c r="N11" s="418"/>
      <c r="O11" s="418"/>
      <c r="P11" s="418"/>
      <c r="Q11" s="418"/>
      <c r="R11" s="418"/>
    </row>
    <row r="12" spans="1:19" x14ac:dyDescent="0.2">
      <c r="A12" s="260"/>
      <c r="B12" s="197"/>
      <c r="C12" s="197"/>
      <c r="D12" s="197"/>
      <c r="E12" s="197"/>
      <c r="F12" s="197"/>
      <c r="G12" s="197"/>
      <c r="H12" s="197"/>
      <c r="I12" s="197"/>
      <c r="J12" s="196"/>
    </row>
    <row r="13" spans="1:19" x14ac:dyDescent="0.2">
      <c r="A13" s="260"/>
      <c r="B13" s="197"/>
      <c r="C13" s="197"/>
      <c r="D13" s="197"/>
      <c r="E13" s="197"/>
      <c r="F13" s="197"/>
      <c r="G13" s="197"/>
      <c r="H13" s="197"/>
      <c r="I13" s="197"/>
      <c r="J13" s="196"/>
    </row>
    <row r="14" spans="1:19" ht="19" x14ac:dyDescent="0.25">
      <c r="A14" s="260"/>
      <c r="B14" s="197"/>
      <c r="C14" s="197"/>
      <c r="D14" s="197"/>
      <c r="E14" s="197"/>
      <c r="F14" s="197"/>
      <c r="G14" s="197"/>
      <c r="H14" s="197"/>
      <c r="I14" s="197"/>
      <c r="J14" s="196"/>
      <c r="L14" s="156" t="s">
        <v>200</v>
      </c>
    </row>
    <row r="15" spans="1:19" x14ac:dyDescent="0.2">
      <c r="A15" s="260"/>
      <c r="B15" s="197"/>
      <c r="C15" s="197"/>
      <c r="D15" s="197"/>
      <c r="E15" s="197"/>
      <c r="F15" s="197"/>
      <c r="G15" s="197"/>
      <c r="H15" s="197"/>
      <c r="I15" s="197"/>
      <c r="J15" s="196"/>
      <c r="L15" s="432" t="s">
        <v>530</v>
      </c>
      <c r="M15" s="432"/>
      <c r="N15" s="432"/>
      <c r="O15" s="432"/>
      <c r="P15" s="432"/>
      <c r="Q15" s="432"/>
      <c r="R15" s="432"/>
    </row>
    <row r="16" spans="1:19" x14ac:dyDescent="0.2">
      <c r="A16" s="260"/>
      <c r="B16" s="197"/>
      <c r="C16" s="197"/>
      <c r="D16" s="197"/>
      <c r="E16" s="197"/>
      <c r="F16" s="197"/>
      <c r="G16" s="197"/>
      <c r="H16" s="197"/>
      <c r="I16" s="197"/>
      <c r="J16" s="196"/>
      <c r="L16" s="432"/>
      <c r="M16" s="432"/>
      <c r="N16" s="432"/>
      <c r="O16" s="432"/>
      <c r="P16" s="432"/>
      <c r="Q16" s="432"/>
      <c r="R16" s="432"/>
    </row>
    <row r="17" spans="1:18" x14ac:dyDescent="0.2">
      <c r="A17" s="260"/>
      <c r="B17" s="197"/>
      <c r="C17" s="197"/>
      <c r="D17" s="197"/>
      <c r="E17" s="197"/>
      <c r="F17" s="197"/>
      <c r="G17" s="197"/>
      <c r="H17" s="197"/>
      <c r="I17" s="197"/>
      <c r="J17" s="196"/>
      <c r="L17" s="432"/>
      <c r="M17" s="432"/>
      <c r="N17" s="432"/>
      <c r="O17" s="432"/>
      <c r="P17" s="432"/>
      <c r="Q17" s="432"/>
      <c r="R17" s="432"/>
    </row>
    <row r="18" spans="1:18" x14ac:dyDescent="0.2">
      <c r="A18" s="260"/>
      <c r="B18" s="197"/>
      <c r="C18" s="197"/>
      <c r="D18" s="197"/>
      <c r="E18" s="197"/>
      <c r="F18" s="197"/>
      <c r="G18" s="197"/>
      <c r="H18" s="197"/>
      <c r="I18" s="197"/>
      <c r="J18" s="196"/>
      <c r="L18" s="432"/>
      <c r="M18" s="432"/>
      <c r="N18" s="432"/>
      <c r="O18" s="432"/>
      <c r="P18" s="432"/>
      <c r="Q18" s="432"/>
      <c r="R18" s="432"/>
    </row>
    <row r="19" spans="1:18" x14ac:dyDescent="0.2">
      <c r="A19" s="260"/>
      <c r="B19" s="197"/>
      <c r="C19" s="197"/>
      <c r="D19" s="197"/>
      <c r="E19" s="197"/>
      <c r="F19" s="197"/>
      <c r="G19" s="197"/>
      <c r="H19" s="197"/>
      <c r="I19" s="197"/>
      <c r="J19" s="196"/>
      <c r="L19" s="432"/>
      <c r="M19" s="432"/>
      <c r="N19" s="432"/>
      <c r="O19" s="432"/>
      <c r="P19" s="432"/>
      <c r="Q19" s="432"/>
      <c r="R19" s="432"/>
    </row>
    <row r="20" spans="1:18" x14ac:dyDescent="0.2">
      <c r="A20" s="260"/>
      <c r="B20" s="197"/>
      <c r="C20" s="197"/>
      <c r="D20" s="197"/>
      <c r="E20" s="197"/>
      <c r="F20" s="197"/>
      <c r="G20" s="197"/>
      <c r="H20" s="197"/>
      <c r="I20" s="197"/>
      <c r="J20" s="196"/>
      <c r="L20" s="432"/>
      <c r="M20" s="432"/>
      <c r="N20" s="432"/>
      <c r="O20" s="432"/>
      <c r="P20" s="432"/>
      <c r="Q20" s="432"/>
      <c r="R20" s="432"/>
    </row>
    <row r="21" spans="1:18" x14ac:dyDescent="0.2">
      <c r="A21" s="260"/>
      <c r="B21" s="197"/>
      <c r="C21" s="197"/>
      <c r="D21" s="197"/>
      <c r="E21" s="197"/>
      <c r="F21" s="197"/>
      <c r="G21" s="197"/>
      <c r="H21" s="197"/>
      <c r="I21" s="197"/>
      <c r="J21" s="196"/>
      <c r="L21" s="432"/>
      <c r="M21" s="432"/>
      <c r="N21" s="432"/>
      <c r="O21" s="432"/>
      <c r="P21" s="432"/>
      <c r="Q21" s="432"/>
      <c r="R21" s="432"/>
    </row>
    <row r="22" spans="1:18" x14ac:dyDescent="0.2">
      <c r="A22" s="260"/>
      <c r="B22" s="197"/>
      <c r="C22" s="197"/>
      <c r="D22" s="197"/>
      <c r="E22" s="197"/>
      <c r="F22" s="197"/>
      <c r="G22" s="197"/>
      <c r="H22" s="197"/>
      <c r="I22" s="197"/>
      <c r="J22" s="196"/>
    </row>
    <row r="23" spans="1:18" ht="19" x14ac:dyDescent="0.2">
      <c r="A23" s="260"/>
      <c r="B23" s="197"/>
      <c r="C23" s="197"/>
      <c r="D23" s="197"/>
      <c r="E23" s="197"/>
      <c r="F23" s="197"/>
      <c r="G23" s="197"/>
      <c r="H23" s="197"/>
      <c r="I23" s="197"/>
      <c r="J23" s="196"/>
      <c r="L23" s="319" t="s">
        <v>236</v>
      </c>
    </row>
    <row r="24" spans="1:18" ht="16" customHeight="1" x14ac:dyDescent="0.2">
      <c r="A24" s="260"/>
      <c r="B24" s="197"/>
      <c r="C24" s="197"/>
      <c r="D24" s="197"/>
      <c r="E24" s="197"/>
      <c r="F24" s="197"/>
      <c r="G24" s="197"/>
      <c r="H24" s="197"/>
      <c r="I24" s="197"/>
      <c r="J24" s="196"/>
      <c r="L24" s="318" t="s">
        <v>529</v>
      </c>
      <c r="M24" s="318"/>
      <c r="N24" s="318"/>
      <c r="O24" s="318"/>
      <c r="P24" s="318"/>
      <c r="Q24" s="318"/>
      <c r="R24" s="318"/>
    </row>
    <row r="25" spans="1:18" x14ac:dyDescent="0.2">
      <c r="A25" s="260"/>
      <c r="B25" s="197"/>
      <c r="C25" s="197"/>
      <c r="D25" s="197"/>
      <c r="E25" s="197"/>
      <c r="F25" s="197"/>
      <c r="G25" s="197"/>
      <c r="H25" s="197"/>
      <c r="I25" s="197"/>
      <c r="J25" s="196"/>
      <c r="L25" s="166"/>
    </row>
    <row r="26" spans="1:18" x14ac:dyDescent="0.2">
      <c r="A26" s="260"/>
      <c r="B26" s="197"/>
      <c r="C26" s="197"/>
      <c r="D26" s="197"/>
      <c r="E26" s="197"/>
      <c r="F26" s="197"/>
      <c r="G26" s="197"/>
      <c r="H26" s="197"/>
      <c r="I26" s="197"/>
      <c r="J26" s="196"/>
      <c r="L26" s="166"/>
    </row>
    <row r="27" spans="1:18" x14ac:dyDescent="0.2">
      <c r="A27" s="260"/>
      <c r="B27" s="197"/>
      <c r="C27" s="197"/>
      <c r="D27" s="197"/>
      <c r="E27" s="197"/>
      <c r="F27" s="197"/>
      <c r="G27" s="197"/>
      <c r="H27" s="197"/>
      <c r="I27" s="197"/>
      <c r="J27" s="196"/>
      <c r="L27" s="166"/>
    </row>
    <row r="28" spans="1:18" x14ac:dyDescent="0.2">
      <c r="A28" s="260"/>
      <c r="B28" s="197"/>
      <c r="C28" s="197"/>
      <c r="D28" s="197"/>
      <c r="E28" s="197"/>
      <c r="F28" s="197"/>
      <c r="G28" s="197"/>
      <c r="H28" s="197"/>
      <c r="I28" s="197"/>
      <c r="J28" s="196"/>
      <c r="L28" s="166"/>
    </row>
    <row r="29" spans="1:18" x14ac:dyDescent="0.2">
      <c r="A29" s="260"/>
      <c r="B29" s="197"/>
      <c r="C29" s="197"/>
      <c r="D29" s="197"/>
      <c r="E29" s="197"/>
      <c r="F29" s="197"/>
      <c r="G29" s="197"/>
      <c r="H29" s="197"/>
      <c r="I29" s="197"/>
      <c r="J29" s="196"/>
      <c r="L29" s="166"/>
    </row>
    <row r="30" spans="1:18" x14ac:dyDescent="0.2">
      <c r="A30" s="260"/>
      <c r="B30" s="197"/>
      <c r="C30" s="197"/>
      <c r="D30" s="197"/>
      <c r="E30" s="197"/>
      <c r="F30" s="197"/>
      <c r="G30" s="197"/>
      <c r="H30" s="197"/>
      <c r="I30" s="197"/>
      <c r="J30" s="196"/>
      <c r="L30" s="166"/>
    </row>
    <row r="31" spans="1:18" x14ac:dyDescent="0.2">
      <c r="A31" s="260"/>
      <c r="B31" s="197"/>
      <c r="C31" s="197"/>
      <c r="D31" s="197"/>
      <c r="E31" s="197"/>
      <c r="F31" s="197"/>
      <c r="G31" s="197"/>
      <c r="H31" s="197"/>
      <c r="I31" s="197"/>
      <c r="J31" s="196"/>
      <c r="L31" s="166"/>
    </row>
    <row r="32" spans="1:18" x14ac:dyDescent="0.2">
      <c r="A32" s="260"/>
      <c r="B32" s="197"/>
      <c r="C32" s="197"/>
      <c r="D32" s="197"/>
      <c r="E32" s="197"/>
      <c r="F32" s="197"/>
      <c r="G32" s="197"/>
      <c r="H32" s="197"/>
      <c r="I32" s="197"/>
      <c r="J32" s="196"/>
      <c r="L32" s="166"/>
    </row>
    <row r="33" spans="1:12" x14ac:dyDescent="0.2">
      <c r="A33" s="260"/>
      <c r="B33" s="197"/>
      <c r="C33" s="197"/>
      <c r="D33" s="197"/>
      <c r="E33" s="197"/>
      <c r="F33" s="197"/>
      <c r="G33" s="197"/>
      <c r="H33" s="197"/>
      <c r="I33" s="197"/>
      <c r="J33" s="196"/>
      <c r="L33" s="166"/>
    </row>
    <row r="34" spans="1:12" x14ac:dyDescent="0.2">
      <c r="A34" s="260"/>
      <c r="B34" s="197"/>
      <c r="C34" s="197"/>
      <c r="D34" s="197"/>
      <c r="E34" s="197"/>
      <c r="F34" s="197"/>
      <c r="G34" s="197"/>
      <c r="H34" s="197"/>
      <c r="I34" s="197"/>
      <c r="J34" s="196"/>
      <c r="L34" s="166"/>
    </row>
    <row r="35" spans="1:12" x14ac:dyDescent="0.2">
      <c r="A35" s="260"/>
      <c r="B35" s="197"/>
      <c r="C35" s="197"/>
      <c r="D35" s="197"/>
      <c r="E35" s="197"/>
      <c r="F35" s="197"/>
      <c r="G35" s="197"/>
      <c r="H35" s="197"/>
      <c r="I35" s="197"/>
      <c r="J35" s="196"/>
      <c r="L35" s="166"/>
    </row>
    <row r="36" spans="1:12" x14ac:dyDescent="0.2">
      <c r="A36" s="260"/>
      <c r="B36" s="197"/>
      <c r="C36" s="197"/>
      <c r="D36" s="197"/>
      <c r="E36" s="197"/>
      <c r="F36" s="197"/>
      <c r="G36" s="197"/>
      <c r="H36" s="197"/>
      <c r="I36" s="197"/>
      <c r="J36" s="196"/>
      <c r="L36" s="166"/>
    </row>
    <row r="37" spans="1:12" x14ac:dyDescent="0.2">
      <c r="A37" s="260"/>
      <c r="B37" s="197"/>
      <c r="C37" s="197"/>
      <c r="D37" s="197"/>
      <c r="E37" s="197"/>
      <c r="F37" s="197"/>
      <c r="G37" s="197"/>
      <c r="H37" s="197"/>
      <c r="I37" s="197"/>
      <c r="J37" s="196"/>
      <c r="L37" s="166"/>
    </row>
    <row r="38" spans="1:12" x14ac:dyDescent="0.2">
      <c r="A38" s="260"/>
      <c r="B38" s="197"/>
      <c r="C38" s="197"/>
      <c r="D38" s="197"/>
      <c r="E38" s="197"/>
      <c r="F38" s="197"/>
      <c r="G38" s="197"/>
      <c r="H38" s="197"/>
      <c r="I38" s="197"/>
      <c r="J38" s="196"/>
      <c r="L38" s="166"/>
    </row>
    <row r="39" spans="1:12" x14ac:dyDescent="0.2">
      <c r="A39" s="260"/>
      <c r="B39" s="197"/>
      <c r="C39" s="197"/>
      <c r="D39" s="197"/>
      <c r="E39" s="197"/>
      <c r="F39" s="197"/>
      <c r="G39" s="197"/>
      <c r="H39" s="197"/>
      <c r="I39" s="197"/>
      <c r="J39" s="196"/>
      <c r="L39" s="166"/>
    </row>
    <row r="40" spans="1:12" x14ac:dyDescent="0.2">
      <c r="A40" s="260"/>
      <c r="B40" s="197"/>
      <c r="C40" s="197"/>
      <c r="D40" s="197"/>
      <c r="E40" s="197"/>
      <c r="F40" s="197"/>
      <c r="G40" s="197"/>
      <c r="H40" s="197"/>
      <c r="I40" s="197"/>
      <c r="J40" s="196"/>
      <c r="L40" s="166"/>
    </row>
    <row r="41" spans="1:12" ht="18" x14ac:dyDescent="0.25">
      <c r="A41" s="260"/>
      <c r="B41" s="204"/>
      <c r="C41" s="197" t="s">
        <v>528</v>
      </c>
      <c r="D41" s="197"/>
      <c r="E41" s="197"/>
      <c r="F41" s="197"/>
      <c r="G41" s="197"/>
      <c r="H41" s="197"/>
      <c r="I41" s="197"/>
      <c r="J41" s="196"/>
      <c r="L41" s="166"/>
    </row>
    <row r="42" spans="1:12" ht="18" x14ac:dyDescent="0.25">
      <c r="A42" s="260"/>
      <c r="B42" s="204"/>
      <c r="C42" s="197" t="s">
        <v>527</v>
      </c>
      <c r="D42" s="197"/>
      <c r="E42" s="197"/>
      <c r="F42" s="197"/>
      <c r="G42" s="197"/>
      <c r="H42" s="197"/>
      <c r="I42" s="197"/>
      <c r="J42" s="196"/>
      <c r="L42" s="166"/>
    </row>
    <row r="43" spans="1:12" x14ac:dyDescent="0.2">
      <c r="A43" s="260"/>
      <c r="B43" s="204"/>
      <c r="C43" s="197"/>
      <c r="D43" s="197"/>
      <c r="E43" s="197"/>
      <c r="F43" s="197"/>
      <c r="G43" s="197"/>
      <c r="H43" s="197"/>
      <c r="I43" s="197"/>
      <c r="J43" s="196"/>
    </row>
    <row r="44" spans="1:12" x14ac:dyDescent="0.2">
      <c r="A44" s="260"/>
      <c r="B44" s="204"/>
      <c r="C44" s="197" t="s">
        <v>526</v>
      </c>
      <c r="D44" s="197"/>
      <c r="E44" s="197"/>
      <c r="F44" s="197"/>
      <c r="G44" s="197"/>
      <c r="H44" s="197"/>
      <c r="I44" s="197"/>
      <c r="J44" s="196"/>
    </row>
    <row r="45" spans="1:12" x14ac:dyDescent="0.2">
      <c r="A45" s="260"/>
      <c r="B45" s="204"/>
      <c r="C45" s="197" t="s">
        <v>525</v>
      </c>
      <c r="D45" s="197"/>
      <c r="E45" s="197"/>
      <c r="F45" s="197"/>
      <c r="G45" s="197"/>
      <c r="H45" s="197"/>
      <c r="I45" s="197"/>
      <c r="J45" s="196"/>
    </row>
    <row r="46" spans="1:12" ht="17" thickBot="1" x14ac:dyDescent="0.25">
      <c r="A46" s="260"/>
      <c r="B46" s="204"/>
      <c r="C46" s="197"/>
      <c r="D46" s="197"/>
      <c r="E46" s="197"/>
      <c r="F46" s="197"/>
      <c r="G46" s="197"/>
      <c r="H46" s="197"/>
      <c r="I46" s="197"/>
      <c r="J46" s="196"/>
    </row>
    <row r="47" spans="1:12" ht="17" thickBot="1" x14ac:dyDescent="0.25">
      <c r="A47" s="280" t="s">
        <v>205</v>
      </c>
      <c r="B47" s="194"/>
      <c r="C47" s="279"/>
      <c r="D47" s="194"/>
      <c r="E47" s="194"/>
      <c r="F47" s="194"/>
      <c r="G47" s="194"/>
      <c r="H47" s="194"/>
      <c r="I47" s="194"/>
      <c r="J47" s="193"/>
      <c r="L47" s="166"/>
    </row>
    <row r="50" spans="12:14" x14ac:dyDescent="0.2">
      <c r="L50" s="166"/>
      <c r="M50" s="329"/>
      <c r="N50" s="329"/>
    </row>
  </sheetData>
  <mergeCells count="2">
    <mergeCell ref="L15:R21"/>
    <mergeCell ref="L3:R1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6563-9D1C-C14E-9464-6F117D5CCF86}">
  <dimension ref="A1:S54"/>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2" max="18" width="10.83203125" hidden="1" customWidth="1" outlineLevel="1"/>
    <col min="19" max="19" width="11" collapsed="1"/>
  </cols>
  <sheetData>
    <row r="1" spans="1:17" x14ac:dyDescent="0.2">
      <c r="A1" s="292"/>
      <c r="B1" s="229" t="s">
        <v>438</v>
      </c>
      <c r="C1" s="228" t="s">
        <v>437</v>
      </c>
      <c r="D1" s="228" t="s">
        <v>436</v>
      </c>
      <c r="E1" s="228" t="s">
        <v>435</v>
      </c>
      <c r="F1" s="227"/>
      <c r="G1" s="227"/>
      <c r="H1" s="227"/>
      <c r="I1" s="227"/>
      <c r="J1" s="226"/>
      <c r="K1" s="166" t="s">
        <v>206</v>
      </c>
      <c r="L1" s="174"/>
      <c r="M1" s="174"/>
      <c r="N1" s="174"/>
      <c r="O1" s="174"/>
      <c r="P1" s="174"/>
      <c r="Q1" s="174"/>
    </row>
    <row r="2" spans="1:17" x14ac:dyDescent="0.2">
      <c r="A2" s="260"/>
      <c r="B2" s="291" t="s">
        <v>434</v>
      </c>
      <c r="C2" s="290">
        <v>2.25</v>
      </c>
      <c r="D2" s="197"/>
      <c r="E2" s="197"/>
      <c r="F2" s="197"/>
      <c r="G2" s="197"/>
      <c r="H2" s="197"/>
      <c r="I2" s="197"/>
      <c r="J2" s="196"/>
      <c r="L2" s="174"/>
      <c r="M2" s="174"/>
      <c r="N2" s="174"/>
      <c r="O2" s="174"/>
      <c r="P2" s="174"/>
      <c r="Q2" s="174"/>
    </row>
    <row r="3" spans="1:17" x14ac:dyDescent="0.2">
      <c r="A3" s="260"/>
      <c r="B3" s="197"/>
      <c r="C3" s="197"/>
      <c r="D3" s="197"/>
      <c r="E3" s="197"/>
      <c r="F3" s="197"/>
      <c r="G3" s="197"/>
      <c r="H3" s="197"/>
      <c r="I3" s="197"/>
      <c r="J3" s="196"/>
      <c r="L3" s="278" t="s">
        <v>433</v>
      </c>
      <c r="M3" s="281"/>
      <c r="N3" s="174"/>
      <c r="O3" s="174"/>
      <c r="P3" s="174"/>
      <c r="Q3" s="174"/>
    </row>
    <row r="4" spans="1:17" x14ac:dyDescent="0.2">
      <c r="A4" s="260"/>
      <c r="B4" s="197"/>
      <c r="C4" s="197" t="s">
        <v>21</v>
      </c>
      <c r="D4" s="197"/>
      <c r="E4" s="197"/>
      <c r="F4" s="197"/>
      <c r="G4" s="197"/>
      <c r="H4" s="197"/>
      <c r="I4" s="197"/>
      <c r="J4" s="196"/>
      <c r="L4" s="174"/>
      <c r="M4" s="281"/>
      <c r="N4" s="174"/>
      <c r="O4" s="174"/>
      <c r="P4" s="174"/>
      <c r="Q4" s="174"/>
    </row>
    <row r="5" spans="1:17" ht="18" x14ac:dyDescent="0.25">
      <c r="A5" s="260"/>
      <c r="B5" s="197"/>
      <c r="C5" s="197"/>
      <c r="D5" s="197"/>
      <c r="E5" s="197"/>
      <c r="F5" s="197"/>
      <c r="G5" s="197"/>
      <c r="H5" s="197"/>
      <c r="I5" s="197"/>
      <c r="J5" s="196"/>
      <c r="L5" t="s">
        <v>432</v>
      </c>
      <c r="M5">
        <f>SUM(F9:F14)/SUM(E9:E14)</f>
        <v>1.8</v>
      </c>
      <c r="O5" s="174"/>
      <c r="P5" s="174"/>
      <c r="Q5" s="174"/>
    </row>
    <row r="6" spans="1:17" ht="17" thickBot="1" x14ac:dyDescent="0.25">
      <c r="A6" s="260"/>
      <c r="B6" s="197"/>
      <c r="C6" s="197"/>
      <c r="D6" s="420" t="s">
        <v>431</v>
      </c>
      <c r="E6" s="421"/>
      <c r="F6" s="422"/>
      <c r="G6" s="197"/>
      <c r="H6" s="197"/>
      <c r="I6" s="197"/>
      <c r="J6" s="196"/>
      <c r="N6" s="435" t="s">
        <v>430</v>
      </c>
      <c r="O6" s="435"/>
      <c r="P6" s="174"/>
      <c r="Q6" s="174"/>
    </row>
    <row r="7" spans="1:17" ht="18" x14ac:dyDescent="0.25">
      <c r="A7" s="260"/>
      <c r="B7" s="197"/>
      <c r="C7" s="197"/>
      <c r="D7" s="248" t="s">
        <v>429</v>
      </c>
      <c r="E7" s="221" t="s">
        <v>428</v>
      </c>
      <c r="F7" s="246" t="s">
        <v>427</v>
      </c>
      <c r="G7" s="197"/>
      <c r="H7" s="197"/>
      <c r="I7" s="197"/>
      <c r="J7" s="196"/>
      <c r="L7" s="190" t="s">
        <v>19</v>
      </c>
      <c r="M7" s="289" t="s">
        <v>426</v>
      </c>
      <c r="N7" s="289" t="s">
        <v>425</v>
      </c>
      <c r="O7" s="289" t="s">
        <v>424</v>
      </c>
      <c r="P7" s="288" t="s">
        <v>423</v>
      </c>
    </row>
    <row r="8" spans="1:17" x14ac:dyDescent="0.2">
      <c r="A8" s="260"/>
      <c r="B8" s="197"/>
      <c r="C8" s="197"/>
      <c r="D8" s="287" t="s">
        <v>422</v>
      </c>
      <c r="E8" s="216" t="s">
        <v>421</v>
      </c>
      <c r="F8" s="212" t="s">
        <v>9</v>
      </c>
      <c r="G8" s="197"/>
      <c r="H8" s="197"/>
      <c r="I8" s="197"/>
      <c r="J8" s="196"/>
      <c r="L8" s="191">
        <v>2008</v>
      </c>
      <c r="M8" s="169">
        <f t="shared" ref="M8:N13" si="0">E9</f>
        <v>1700</v>
      </c>
      <c r="N8" s="169">
        <f t="shared" si="0"/>
        <v>3600</v>
      </c>
      <c r="O8" s="169">
        <f t="shared" ref="O8:O13" si="1">M8*$M$5</f>
        <v>3060</v>
      </c>
      <c r="P8" s="285">
        <f t="shared" ref="P8:P13" si="2">(N8-O8)/SQRT(M8)</f>
        <v>13.096923751961979</v>
      </c>
      <c r="Q8" s="174" t="s">
        <v>420</v>
      </c>
    </row>
    <row r="9" spans="1:17" x14ac:dyDescent="0.2">
      <c r="A9" s="260"/>
      <c r="B9" s="197"/>
      <c r="C9" s="197"/>
      <c r="D9" s="216">
        <v>2008</v>
      </c>
      <c r="E9" s="282">
        <v>1700</v>
      </c>
      <c r="F9" s="282">
        <v>3600</v>
      </c>
      <c r="G9" s="197"/>
      <c r="H9" s="197"/>
      <c r="I9" s="197"/>
      <c r="J9" s="196"/>
      <c r="L9" s="191">
        <v>2009</v>
      </c>
      <c r="M9" s="286">
        <f t="shared" si="0"/>
        <v>2300</v>
      </c>
      <c r="N9" s="286">
        <f t="shared" si="0"/>
        <v>3200</v>
      </c>
      <c r="O9" s="169">
        <f t="shared" si="1"/>
        <v>4140</v>
      </c>
      <c r="P9" s="285">
        <f t="shared" si="2"/>
        <v>-19.600354921365028</v>
      </c>
      <c r="Q9" s="174"/>
    </row>
    <row r="10" spans="1:17" x14ac:dyDescent="0.2">
      <c r="A10" s="260"/>
      <c r="B10" s="197"/>
      <c r="C10" s="197"/>
      <c r="D10" s="283">
        <v>2009</v>
      </c>
      <c r="E10" s="282">
        <v>2300</v>
      </c>
      <c r="F10" s="282">
        <v>3200</v>
      </c>
      <c r="G10" s="197"/>
      <c r="H10" s="197"/>
      <c r="I10" s="197"/>
      <c r="J10" s="196"/>
      <c r="L10" s="191">
        <v>2010</v>
      </c>
      <c r="M10" s="169">
        <f t="shared" si="0"/>
        <v>1200</v>
      </c>
      <c r="N10" s="169">
        <f t="shared" si="0"/>
        <v>1700</v>
      </c>
      <c r="O10" s="169">
        <f t="shared" si="1"/>
        <v>2160</v>
      </c>
      <c r="P10" s="285">
        <f t="shared" si="2"/>
        <v>-13.279056191361391</v>
      </c>
      <c r="Q10" s="174"/>
    </row>
    <row r="11" spans="1:17" x14ac:dyDescent="0.2">
      <c r="A11" s="260"/>
      <c r="B11" s="197"/>
      <c r="C11" s="197"/>
      <c r="D11" s="283">
        <v>2010</v>
      </c>
      <c r="E11" s="282">
        <v>1200</v>
      </c>
      <c r="F11" s="282">
        <v>1700</v>
      </c>
      <c r="G11" s="197"/>
      <c r="H11" s="197"/>
      <c r="I11" s="197"/>
      <c r="J11" s="196"/>
      <c r="L11" s="191">
        <v>2011</v>
      </c>
      <c r="M11" s="169">
        <f t="shared" si="0"/>
        <v>500</v>
      </c>
      <c r="N11" s="169">
        <f t="shared" si="0"/>
        <v>2600</v>
      </c>
      <c r="O11" s="169">
        <f t="shared" si="1"/>
        <v>900</v>
      </c>
      <c r="P11" s="285">
        <f t="shared" si="2"/>
        <v>76.026311234992846</v>
      </c>
      <c r="Q11" s="174"/>
    </row>
    <row r="12" spans="1:17" x14ac:dyDescent="0.2">
      <c r="A12" s="260"/>
      <c r="B12" s="197"/>
      <c r="C12" s="197"/>
      <c r="D12" s="283">
        <v>2011</v>
      </c>
      <c r="E12" s="282">
        <v>500</v>
      </c>
      <c r="F12" s="282">
        <v>2600</v>
      </c>
      <c r="G12" s="197"/>
      <c r="H12" s="197"/>
      <c r="I12" s="197"/>
      <c r="J12" s="196"/>
      <c r="L12" s="191">
        <v>2012</v>
      </c>
      <c r="M12" s="169">
        <f t="shared" si="0"/>
        <v>2600</v>
      </c>
      <c r="N12" s="169">
        <f t="shared" si="0"/>
        <v>3000</v>
      </c>
      <c r="O12" s="169">
        <f t="shared" si="1"/>
        <v>4680</v>
      </c>
      <c r="P12" s="285">
        <f t="shared" si="2"/>
        <v>-32.947510703214917</v>
      </c>
      <c r="Q12" s="174"/>
    </row>
    <row r="13" spans="1:17" ht="17" thickBot="1" x14ac:dyDescent="0.25">
      <c r="A13" s="260"/>
      <c r="B13" s="204"/>
      <c r="C13" s="197"/>
      <c r="D13" s="283">
        <v>2012</v>
      </c>
      <c r="E13" s="282">
        <v>2600</v>
      </c>
      <c r="F13" s="282">
        <v>3000</v>
      </c>
      <c r="G13" s="197"/>
      <c r="H13" s="197"/>
      <c r="I13" s="197"/>
      <c r="J13" s="196"/>
      <c r="L13" s="191">
        <v>2013</v>
      </c>
      <c r="M13" s="169">
        <f t="shared" si="0"/>
        <v>700</v>
      </c>
      <c r="N13" s="169">
        <f t="shared" si="0"/>
        <v>2100</v>
      </c>
      <c r="O13" s="169">
        <f t="shared" si="1"/>
        <v>1260</v>
      </c>
      <c r="P13" s="284">
        <f t="shared" si="2"/>
        <v>31.749015732775089</v>
      </c>
      <c r="Q13" s="174"/>
    </row>
    <row r="14" spans="1:17" x14ac:dyDescent="0.2">
      <c r="A14" s="260"/>
      <c r="B14" s="204"/>
      <c r="C14" s="197"/>
      <c r="D14" s="283">
        <v>2013</v>
      </c>
      <c r="E14" s="282">
        <v>700</v>
      </c>
      <c r="F14" s="282">
        <v>2100</v>
      </c>
      <c r="G14" s="197"/>
      <c r="H14" s="197"/>
      <c r="I14" s="197"/>
      <c r="J14" s="196"/>
      <c r="L14" s="174"/>
      <c r="M14" s="174"/>
      <c r="N14" s="174"/>
      <c r="O14" s="174"/>
      <c r="P14" s="174"/>
      <c r="Q14" s="174"/>
    </row>
    <row r="15" spans="1:17" x14ac:dyDescent="0.2">
      <c r="A15" s="260"/>
      <c r="B15" s="204"/>
      <c r="C15" s="197"/>
      <c r="D15" s="197"/>
      <c r="E15" s="197"/>
      <c r="F15" s="197"/>
      <c r="G15" s="197"/>
      <c r="H15" s="197"/>
      <c r="I15" s="197"/>
      <c r="J15" s="196"/>
      <c r="L15" s="174"/>
      <c r="M15" s="174"/>
      <c r="N15" s="174"/>
      <c r="O15" s="174"/>
      <c r="P15" s="174"/>
      <c r="Q15" s="174"/>
    </row>
    <row r="16" spans="1:17" x14ac:dyDescent="0.2">
      <c r="A16" s="260" t="s">
        <v>0</v>
      </c>
      <c r="B16" s="241" t="s">
        <v>419</v>
      </c>
      <c r="C16" s="197" t="s">
        <v>418</v>
      </c>
      <c r="D16" s="197"/>
      <c r="E16" s="197"/>
      <c r="F16" s="197"/>
      <c r="G16" s="197"/>
      <c r="H16" s="197"/>
      <c r="I16" s="197"/>
      <c r="J16" s="196"/>
      <c r="L16" s="174"/>
      <c r="M16" s="174"/>
      <c r="N16" s="174"/>
      <c r="O16" s="174"/>
      <c r="P16" s="174"/>
      <c r="Q16" s="174"/>
    </row>
    <row r="17" spans="1:18" x14ac:dyDescent="0.2">
      <c r="A17" s="260"/>
      <c r="B17" s="204"/>
      <c r="C17" s="197" t="s">
        <v>417</v>
      </c>
      <c r="D17" s="197"/>
      <c r="E17" s="197"/>
      <c r="F17" s="197"/>
      <c r="G17" s="197"/>
      <c r="H17" s="197"/>
      <c r="I17" s="197"/>
      <c r="J17" s="196"/>
      <c r="L17" s="174"/>
      <c r="M17" s="174"/>
      <c r="N17" s="174"/>
      <c r="O17" s="174"/>
      <c r="P17" s="174"/>
      <c r="Q17" s="174"/>
    </row>
    <row r="18" spans="1:18" x14ac:dyDescent="0.2">
      <c r="A18" s="260"/>
      <c r="B18" s="204"/>
      <c r="C18" s="197" t="s">
        <v>416</v>
      </c>
      <c r="D18" s="197"/>
      <c r="E18" s="197"/>
      <c r="F18" s="197"/>
      <c r="G18" s="197"/>
      <c r="H18" s="197"/>
      <c r="I18" s="197"/>
      <c r="J18" s="196"/>
      <c r="L18" s="174"/>
      <c r="M18" s="281"/>
      <c r="N18" s="174"/>
      <c r="O18" s="174"/>
      <c r="P18" s="174"/>
      <c r="Q18" s="174"/>
    </row>
    <row r="19" spans="1:18" x14ac:dyDescent="0.2">
      <c r="A19" s="260"/>
      <c r="B19" s="204"/>
      <c r="C19" s="197"/>
      <c r="D19" s="197"/>
      <c r="E19" s="197"/>
      <c r="F19" s="197"/>
      <c r="G19" s="197"/>
      <c r="H19" s="197"/>
      <c r="I19" s="197"/>
      <c r="J19" s="196"/>
      <c r="L19" s="174"/>
      <c r="M19" s="281"/>
      <c r="N19" s="174"/>
      <c r="O19" s="174"/>
      <c r="P19" s="174"/>
      <c r="Q19" s="174"/>
    </row>
    <row r="20" spans="1:18" x14ac:dyDescent="0.2">
      <c r="A20" s="260" t="s">
        <v>1</v>
      </c>
      <c r="B20" s="241" t="s">
        <v>415</v>
      </c>
      <c r="C20" s="197" t="s">
        <v>414</v>
      </c>
      <c r="D20" s="197"/>
      <c r="E20" s="197"/>
      <c r="F20" s="197"/>
      <c r="G20" s="197"/>
      <c r="H20" s="197"/>
      <c r="I20" s="197"/>
      <c r="J20" s="196"/>
      <c r="L20" s="174"/>
      <c r="M20" s="281"/>
      <c r="N20" s="174"/>
      <c r="O20" s="174"/>
      <c r="P20" s="174"/>
      <c r="Q20" s="174"/>
    </row>
    <row r="21" spans="1:18" x14ac:dyDescent="0.2">
      <c r="A21" s="260"/>
      <c r="B21" s="204"/>
      <c r="C21" s="197" t="s">
        <v>413</v>
      </c>
      <c r="D21" s="197"/>
      <c r="E21" s="197"/>
      <c r="F21" s="197"/>
      <c r="G21" s="197"/>
      <c r="H21" s="197"/>
      <c r="I21" s="197"/>
      <c r="J21" s="196"/>
      <c r="L21" s="174"/>
      <c r="M21" s="281"/>
      <c r="N21" s="174"/>
      <c r="O21" s="174"/>
      <c r="P21" s="174"/>
      <c r="Q21" s="174"/>
    </row>
    <row r="22" spans="1:18" x14ac:dyDescent="0.2">
      <c r="A22" s="260"/>
      <c r="B22" s="197"/>
      <c r="C22" s="197" t="s">
        <v>412</v>
      </c>
      <c r="D22" s="197"/>
      <c r="E22" s="197"/>
      <c r="F22" s="197"/>
      <c r="G22" s="197"/>
      <c r="H22" s="197"/>
      <c r="I22" s="197"/>
      <c r="J22" s="196"/>
      <c r="L22" s="174"/>
      <c r="M22" s="174"/>
      <c r="N22" s="174"/>
      <c r="O22" s="174"/>
      <c r="P22" s="174"/>
      <c r="Q22" s="174"/>
    </row>
    <row r="23" spans="1:18" ht="17" thickBot="1" x14ac:dyDescent="0.25">
      <c r="A23" s="260"/>
      <c r="B23" s="197"/>
      <c r="C23" s="209"/>
      <c r="D23" s="197"/>
      <c r="E23" s="197"/>
      <c r="F23" s="197"/>
      <c r="G23" s="197"/>
      <c r="H23" s="197"/>
      <c r="I23" s="197"/>
      <c r="J23" s="196"/>
      <c r="L23" s="174"/>
      <c r="M23" s="174"/>
      <c r="N23" s="174"/>
      <c r="O23" s="174"/>
      <c r="P23" s="174"/>
      <c r="Q23" s="174"/>
    </row>
    <row r="24" spans="1:18" ht="17" thickBot="1" x14ac:dyDescent="0.25">
      <c r="A24" s="280" t="s">
        <v>205</v>
      </c>
      <c r="B24" s="194"/>
      <c r="C24" s="279"/>
      <c r="D24" s="194"/>
      <c r="E24" s="194"/>
      <c r="F24" s="194"/>
      <c r="G24" s="194"/>
      <c r="H24" s="194"/>
      <c r="I24" s="194"/>
      <c r="J24" s="193"/>
      <c r="L24" s="174"/>
      <c r="M24" s="174"/>
      <c r="N24" s="174"/>
      <c r="O24" s="174"/>
      <c r="P24" s="174"/>
      <c r="Q24" s="174"/>
    </row>
    <row r="25" spans="1:18" x14ac:dyDescent="0.2">
      <c r="L25" s="174"/>
      <c r="M25" s="174"/>
      <c r="N25" s="174"/>
      <c r="O25" s="174"/>
      <c r="P25" s="174"/>
      <c r="Q25" s="174"/>
    </row>
    <row r="26" spans="1:18" x14ac:dyDescent="0.2">
      <c r="L26" s="174"/>
      <c r="M26" s="174"/>
      <c r="N26" s="174"/>
      <c r="O26" s="174"/>
      <c r="P26" s="174"/>
      <c r="Q26" s="174"/>
    </row>
    <row r="27" spans="1:18" x14ac:dyDescent="0.2">
      <c r="L27" s="174"/>
      <c r="M27" s="174"/>
      <c r="N27" s="174"/>
      <c r="O27" s="174"/>
      <c r="P27" s="174"/>
      <c r="Q27" s="174"/>
    </row>
    <row r="28" spans="1:18" ht="16" customHeight="1" x14ac:dyDescent="0.2">
      <c r="L28" s="174"/>
      <c r="M28" s="174"/>
      <c r="N28" s="174"/>
      <c r="O28" s="174"/>
      <c r="P28" s="174"/>
      <c r="Q28" s="174"/>
    </row>
    <row r="29" spans="1:18" x14ac:dyDescent="0.2">
      <c r="L29" s="174"/>
      <c r="M29" s="174"/>
      <c r="N29" s="174"/>
      <c r="O29" s="174"/>
      <c r="P29" s="174"/>
      <c r="Q29" s="174"/>
    </row>
    <row r="30" spans="1:18" x14ac:dyDescent="0.2">
      <c r="L30" s="174"/>
      <c r="M30" s="174"/>
      <c r="N30" s="174"/>
      <c r="O30" s="174"/>
      <c r="P30" s="174"/>
      <c r="Q30" s="174"/>
    </row>
    <row r="31" spans="1:18" x14ac:dyDescent="0.2">
      <c r="L31" s="170" t="s">
        <v>411</v>
      </c>
    </row>
    <row r="32" spans="1:18" x14ac:dyDescent="0.2">
      <c r="L32" s="433" t="s">
        <v>410</v>
      </c>
      <c r="M32" s="433"/>
      <c r="N32" s="433"/>
      <c r="O32" s="433"/>
      <c r="P32" s="433"/>
      <c r="Q32" s="433"/>
      <c r="R32" s="433"/>
    </row>
    <row r="33" spans="12:18" x14ac:dyDescent="0.2">
      <c r="L33" s="433"/>
      <c r="M33" s="433"/>
      <c r="N33" s="433"/>
      <c r="O33" s="433"/>
      <c r="P33" s="433"/>
      <c r="Q33" s="433"/>
      <c r="R33" s="433"/>
    </row>
    <row r="34" spans="12:18" x14ac:dyDescent="0.2">
      <c r="L34" s="174"/>
      <c r="M34" s="174"/>
      <c r="N34" s="174"/>
      <c r="O34" s="174"/>
      <c r="P34" s="174"/>
      <c r="Q34" s="174"/>
    </row>
    <row r="35" spans="12:18" x14ac:dyDescent="0.2">
      <c r="L35" s="278" t="s">
        <v>409</v>
      </c>
      <c r="M35" s="174"/>
      <c r="N35" s="174"/>
      <c r="O35" s="174"/>
      <c r="P35" s="174"/>
      <c r="Q35" s="174"/>
    </row>
    <row r="36" spans="12:18" x14ac:dyDescent="0.2">
      <c r="L36" s="434" t="s">
        <v>408</v>
      </c>
      <c r="M36" s="434"/>
      <c r="N36" s="434"/>
      <c r="O36" s="434"/>
      <c r="P36" s="434"/>
      <c r="Q36" s="434"/>
      <c r="R36" s="434"/>
    </row>
    <row r="37" spans="12:18" x14ac:dyDescent="0.2">
      <c r="L37" s="434"/>
      <c r="M37" s="434"/>
      <c r="N37" s="434"/>
      <c r="O37" s="434"/>
      <c r="P37" s="434"/>
      <c r="Q37" s="434"/>
      <c r="R37" s="434"/>
    </row>
    <row r="38" spans="12:18" x14ac:dyDescent="0.2">
      <c r="L38" s="434"/>
      <c r="M38" s="434"/>
      <c r="N38" s="434"/>
      <c r="O38" s="434"/>
      <c r="P38" s="434"/>
      <c r="Q38" s="434"/>
      <c r="R38" s="434"/>
    </row>
    <row r="39" spans="12:18" x14ac:dyDescent="0.2">
      <c r="L39" s="434"/>
      <c r="M39" s="434"/>
      <c r="N39" s="434"/>
      <c r="O39" s="434"/>
      <c r="P39" s="434"/>
      <c r="Q39" s="434"/>
      <c r="R39" s="434"/>
    </row>
    <row r="40" spans="12:18" x14ac:dyDescent="0.2">
      <c r="L40" s="174"/>
      <c r="M40" s="174"/>
      <c r="N40" s="174"/>
      <c r="O40" s="174"/>
      <c r="P40" s="174"/>
      <c r="Q40" s="174"/>
    </row>
    <row r="41" spans="12:18" x14ac:dyDescent="0.2">
      <c r="L41" s="174"/>
      <c r="M41" s="174"/>
      <c r="N41" s="174"/>
      <c r="O41" s="174"/>
      <c r="P41" s="174"/>
      <c r="Q41" s="174"/>
    </row>
    <row r="42" spans="12:18" ht="19" x14ac:dyDescent="0.25">
      <c r="L42" s="156" t="s">
        <v>200</v>
      </c>
      <c r="M42" s="238"/>
    </row>
    <row r="43" spans="12:18" x14ac:dyDescent="0.2">
      <c r="L43" s="418" t="s">
        <v>407</v>
      </c>
      <c r="M43" s="418"/>
      <c r="N43" s="418"/>
      <c r="O43" s="418"/>
      <c r="P43" s="418"/>
      <c r="Q43" s="418"/>
      <c r="R43" s="418"/>
    </row>
    <row r="44" spans="12:18" x14ac:dyDescent="0.2">
      <c r="L44" s="418"/>
      <c r="M44" s="418"/>
      <c r="N44" s="418"/>
      <c r="O44" s="418"/>
      <c r="P44" s="418"/>
      <c r="Q44" s="418"/>
      <c r="R44" s="418"/>
    </row>
    <row r="45" spans="12:18" x14ac:dyDescent="0.2">
      <c r="L45" s="418"/>
      <c r="M45" s="418"/>
      <c r="N45" s="418"/>
      <c r="O45" s="418"/>
      <c r="P45" s="418"/>
      <c r="Q45" s="418"/>
      <c r="R45" s="418"/>
    </row>
    <row r="46" spans="12:18" x14ac:dyDescent="0.2">
      <c r="L46" s="418"/>
      <c r="M46" s="418"/>
      <c r="N46" s="418"/>
      <c r="O46" s="418"/>
      <c r="P46" s="418"/>
      <c r="Q46" s="418"/>
      <c r="R46" s="418"/>
    </row>
    <row r="47" spans="12:18" x14ac:dyDescent="0.2">
      <c r="L47" s="418"/>
      <c r="M47" s="418"/>
      <c r="N47" s="418"/>
      <c r="O47" s="418"/>
      <c r="P47" s="418"/>
      <c r="Q47" s="418"/>
      <c r="R47" s="418"/>
    </row>
    <row r="48" spans="12:18" x14ac:dyDescent="0.2">
      <c r="L48" s="418"/>
      <c r="M48" s="418"/>
      <c r="N48" s="418"/>
      <c r="O48" s="418"/>
      <c r="P48" s="418"/>
      <c r="Q48" s="418"/>
      <c r="R48" s="418"/>
    </row>
    <row r="49" spans="12:18" x14ac:dyDescent="0.2">
      <c r="L49" s="418"/>
      <c r="M49" s="418"/>
      <c r="N49" s="418"/>
      <c r="O49" s="418"/>
      <c r="P49" s="418"/>
      <c r="Q49" s="418"/>
      <c r="R49" s="418"/>
    </row>
    <row r="50" spans="12:18" x14ac:dyDescent="0.2">
      <c r="L50" s="418"/>
      <c r="M50" s="418"/>
      <c r="N50" s="418"/>
      <c r="O50" s="418"/>
      <c r="P50" s="418"/>
      <c r="Q50" s="418"/>
      <c r="R50" s="418"/>
    </row>
    <row r="51" spans="12:18" x14ac:dyDescent="0.2">
      <c r="L51" s="418"/>
      <c r="M51" s="418"/>
      <c r="N51" s="418"/>
      <c r="O51" s="418"/>
      <c r="P51" s="418"/>
      <c r="Q51" s="418"/>
      <c r="R51" s="418"/>
    </row>
    <row r="53" spans="12:18" ht="19" x14ac:dyDescent="0.25">
      <c r="L53" s="156" t="s">
        <v>236</v>
      </c>
    </row>
    <row r="54" spans="12:18" x14ac:dyDescent="0.2">
      <c r="L54" t="s">
        <v>406</v>
      </c>
    </row>
  </sheetData>
  <mergeCells count="5">
    <mergeCell ref="L32:R33"/>
    <mergeCell ref="D6:F6"/>
    <mergeCell ref="L36:R39"/>
    <mergeCell ref="L43:R51"/>
    <mergeCell ref="N6:O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4F10-6890-394C-95EB-76503379CCEC}">
  <dimension ref="A1:T52"/>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5" max="5" width="12.5" customWidth="1"/>
    <col min="12" max="18" width="10.83203125" hidden="1" customWidth="1" outlineLevel="1"/>
    <col min="19" max="19" width="11" hidden="1" customWidth="1" outlineLevel="1"/>
    <col min="20" max="20" width="11" collapsed="1"/>
  </cols>
  <sheetData>
    <row r="1" spans="1:18" x14ac:dyDescent="0.2">
      <c r="A1" s="292"/>
      <c r="B1" s="229" t="s">
        <v>438</v>
      </c>
      <c r="C1" s="228" t="s">
        <v>437</v>
      </c>
      <c r="D1" s="228" t="s">
        <v>436</v>
      </c>
      <c r="E1" s="228" t="s">
        <v>551</v>
      </c>
      <c r="F1" s="227"/>
      <c r="G1" s="227"/>
      <c r="H1" s="227"/>
      <c r="I1" s="227"/>
      <c r="J1" s="226"/>
      <c r="K1" s="166" t="s">
        <v>206</v>
      </c>
      <c r="L1" s="166"/>
    </row>
    <row r="2" spans="1:18" x14ac:dyDescent="0.2">
      <c r="A2" s="260"/>
      <c r="B2" s="291" t="s">
        <v>434</v>
      </c>
      <c r="C2" s="290">
        <v>3.5</v>
      </c>
      <c r="D2" s="197"/>
      <c r="E2" s="197"/>
      <c r="F2" s="197"/>
      <c r="G2" s="197"/>
      <c r="H2" s="197"/>
      <c r="I2" s="197"/>
      <c r="J2" s="196"/>
    </row>
    <row r="3" spans="1:18" x14ac:dyDescent="0.2">
      <c r="A3" s="260"/>
      <c r="B3" s="197"/>
      <c r="C3" s="197"/>
      <c r="D3" s="197"/>
      <c r="E3" s="197"/>
      <c r="F3" s="197"/>
      <c r="G3" s="197"/>
      <c r="H3" s="197"/>
      <c r="I3" s="197"/>
      <c r="J3" s="196"/>
      <c r="L3" s="166" t="s">
        <v>433</v>
      </c>
      <c r="M3" s="317"/>
    </row>
    <row r="4" spans="1:18" x14ac:dyDescent="0.2">
      <c r="A4" s="260"/>
      <c r="B4" s="197"/>
      <c r="C4" s="197" t="s">
        <v>21</v>
      </c>
      <c r="D4" s="197"/>
      <c r="E4" s="197"/>
      <c r="F4" s="197"/>
      <c r="G4" s="197"/>
      <c r="H4" s="197"/>
      <c r="I4" s="197"/>
      <c r="J4" s="196"/>
      <c r="M4" s="317"/>
    </row>
    <row r="5" spans="1:18" x14ac:dyDescent="0.2">
      <c r="A5" s="260"/>
      <c r="B5" s="197"/>
      <c r="C5" s="197"/>
      <c r="D5" s="197"/>
      <c r="E5" s="197"/>
      <c r="F5" s="197"/>
      <c r="G5" s="197"/>
      <c r="H5" s="197"/>
      <c r="I5" s="197"/>
      <c r="J5" s="196"/>
      <c r="L5" t="s">
        <v>474</v>
      </c>
      <c r="M5" s="317"/>
    </row>
    <row r="6" spans="1:18" x14ac:dyDescent="0.2">
      <c r="A6" s="260"/>
      <c r="B6" s="197"/>
      <c r="C6" s="430" t="s">
        <v>550</v>
      </c>
      <c r="D6" s="430"/>
      <c r="E6" s="430"/>
      <c r="F6" s="430"/>
      <c r="G6" s="430"/>
      <c r="H6" s="430"/>
      <c r="I6" s="430"/>
      <c r="J6" s="196"/>
      <c r="M6" s="317"/>
    </row>
    <row r="7" spans="1:18" x14ac:dyDescent="0.2">
      <c r="A7" s="260"/>
      <c r="B7" s="197"/>
      <c r="C7" s="248" t="s">
        <v>469</v>
      </c>
      <c r="D7" s="341" t="s">
        <v>549</v>
      </c>
      <c r="E7" s="247" t="s">
        <v>465</v>
      </c>
      <c r="F7" s="247" t="s">
        <v>464</v>
      </c>
      <c r="G7" s="247" t="s">
        <v>463</v>
      </c>
      <c r="H7" s="247" t="s">
        <v>520</v>
      </c>
      <c r="I7" s="246" t="s">
        <v>548</v>
      </c>
      <c r="J7" s="196"/>
      <c r="L7" s="192" t="s">
        <v>19</v>
      </c>
      <c r="M7" s="316" t="s">
        <v>466</v>
      </c>
      <c r="N7" s="316" t="s">
        <v>472</v>
      </c>
      <c r="O7" s="316" t="s">
        <v>471</v>
      </c>
      <c r="P7" s="316" t="s">
        <v>463</v>
      </c>
      <c r="Q7" s="316" t="s">
        <v>520</v>
      </c>
      <c r="R7" s="316" t="s">
        <v>548</v>
      </c>
    </row>
    <row r="8" spans="1:18" x14ac:dyDescent="0.2">
      <c r="A8" s="260"/>
      <c r="B8" s="197"/>
      <c r="C8" s="287" t="s">
        <v>422</v>
      </c>
      <c r="D8" s="287" t="s">
        <v>547</v>
      </c>
      <c r="E8" s="213" t="s">
        <v>547</v>
      </c>
      <c r="F8" s="213" t="s">
        <v>547</v>
      </c>
      <c r="G8" s="213" t="s">
        <v>547</v>
      </c>
      <c r="H8" s="213" t="s">
        <v>547</v>
      </c>
      <c r="I8" s="212" t="s">
        <v>547</v>
      </c>
      <c r="J8" s="196"/>
      <c r="L8" s="191">
        <f t="shared" ref="L8:L13" si="0">C9</f>
        <v>2008</v>
      </c>
      <c r="M8" s="172">
        <f t="shared" ref="M8:R8" si="1">RANK(D9,D$9:D$14,1)</f>
        <v>4</v>
      </c>
      <c r="N8" s="172">
        <f t="shared" si="1"/>
        <v>3</v>
      </c>
      <c r="O8" s="172">
        <f t="shared" si="1"/>
        <v>3</v>
      </c>
      <c r="P8" s="172">
        <f t="shared" si="1"/>
        <v>2</v>
      </c>
      <c r="Q8" s="172">
        <f t="shared" si="1"/>
        <v>2</v>
      </c>
      <c r="R8" s="172">
        <f t="shared" si="1"/>
        <v>1</v>
      </c>
    </row>
    <row r="9" spans="1:18" x14ac:dyDescent="0.2">
      <c r="A9" s="260"/>
      <c r="B9" s="197"/>
      <c r="C9" s="219">
        <v>2008</v>
      </c>
      <c r="D9" s="310">
        <v>7</v>
      </c>
      <c r="E9" s="310">
        <v>2.5499999999999998</v>
      </c>
      <c r="F9" s="310">
        <v>1.6</v>
      </c>
      <c r="G9" s="310">
        <v>1.3</v>
      </c>
      <c r="H9" s="310">
        <v>1.2</v>
      </c>
      <c r="I9" s="309">
        <v>1.05</v>
      </c>
      <c r="J9" s="196"/>
      <c r="L9" s="191">
        <f t="shared" si="0"/>
        <v>2009</v>
      </c>
      <c r="M9" s="172">
        <f>RANK(D10,D$9:D$14,1)</f>
        <v>3</v>
      </c>
      <c r="N9" s="172">
        <f>RANK(E10,E$9:E$14,1)</f>
        <v>4</v>
      </c>
      <c r="O9" s="172">
        <f>RANK(F10,F$9:F$14,1)</f>
        <v>1</v>
      </c>
      <c r="P9" s="172">
        <f>RANK(G10,G$9:G$14,1)</f>
        <v>3</v>
      </c>
      <c r="Q9" s="172">
        <f>RANK(H10,H$9:H$14,1)</f>
        <v>1</v>
      </c>
    </row>
    <row r="10" spans="1:18" x14ac:dyDescent="0.2">
      <c r="A10" s="260"/>
      <c r="B10" s="197"/>
      <c r="C10" s="219">
        <v>2009</v>
      </c>
      <c r="D10" s="310">
        <v>6</v>
      </c>
      <c r="E10" s="310">
        <v>2.6</v>
      </c>
      <c r="F10" s="310">
        <v>1.4</v>
      </c>
      <c r="G10" s="310">
        <v>1.5</v>
      </c>
      <c r="H10" s="310">
        <v>1.1000000000000001</v>
      </c>
      <c r="I10" s="309"/>
      <c r="J10" s="196"/>
      <c r="L10" s="191">
        <f t="shared" si="0"/>
        <v>2010</v>
      </c>
      <c r="M10" s="172">
        <f>RANK(D11,D$9:D$14,1)</f>
        <v>1</v>
      </c>
      <c r="N10" s="172">
        <f>RANK(E11,E$9:E$14,1)</f>
        <v>2</v>
      </c>
      <c r="O10" s="172">
        <f>RANK(F11,F$9:F$14,1)</f>
        <v>4</v>
      </c>
      <c r="P10" s="172">
        <f>RANK(G11,G$9:G$14,1)</f>
        <v>1</v>
      </c>
      <c r="Q10" s="172"/>
    </row>
    <row r="11" spans="1:18" x14ac:dyDescent="0.2">
      <c r="A11" s="260"/>
      <c r="B11" s="197"/>
      <c r="C11" s="219">
        <v>2010</v>
      </c>
      <c r="D11" s="310">
        <v>5</v>
      </c>
      <c r="E11" s="310">
        <v>2.5</v>
      </c>
      <c r="F11" s="310">
        <v>1.8</v>
      </c>
      <c r="G11" s="310">
        <v>1.2</v>
      </c>
      <c r="H11" s="310"/>
      <c r="I11" s="309"/>
      <c r="J11" s="196"/>
      <c r="L11" s="191">
        <f t="shared" si="0"/>
        <v>2011</v>
      </c>
      <c r="M11" s="172">
        <f>RANK(D12,D$9:D$14,1)</f>
        <v>2</v>
      </c>
      <c r="N11" s="172">
        <f>RANK(E12,E$9:E$14,1)</f>
        <v>5</v>
      </c>
      <c r="O11" s="172">
        <f>RANK(F12,F$9:F$14,1)</f>
        <v>2</v>
      </c>
      <c r="P11" s="172"/>
      <c r="Q11" s="172"/>
    </row>
    <row r="12" spans="1:18" x14ac:dyDescent="0.2">
      <c r="A12" s="260"/>
      <c r="B12" s="197"/>
      <c r="C12" s="219">
        <v>2011</v>
      </c>
      <c r="D12" s="310">
        <v>5.5</v>
      </c>
      <c r="E12" s="310">
        <v>2.8</v>
      </c>
      <c r="F12" s="310">
        <v>1.5</v>
      </c>
      <c r="G12" s="310"/>
      <c r="H12" s="310"/>
      <c r="I12" s="309"/>
      <c r="J12" s="196"/>
      <c r="L12" s="191">
        <f t="shared" si="0"/>
        <v>2012</v>
      </c>
      <c r="M12" s="172">
        <f>RANK(D13,D$9:D$14,1)</f>
        <v>6</v>
      </c>
      <c r="N12" s="172">
        <f>RANK(E13,E$9:E$14,1)</f>
        <v>1</v>
      </c>
      <c r="O12" s="172"/>
      <c r="P12" s="172"/>
      <c r="Q12" s="172"/>
    </row>
    <row r="13" spans="1:18" x14ac:dyDescent="0.2">
      <c r="A13" s="260"/>
      <c r="B13" s="204"/>
      <c r="C13" s="219">
        <v>2012</v>
      </c>
      <c r="D13" s="310">
        <v>8</v>
      </c>
      <c r="E13" s="310">
        <v>2.4</v>
      </c>
      <c r="F13" s="310"/>
      <c r="G13" s="310"/>
      <c r="H13" s="310"/>
      <c r="I13" s="309"/>
      <c r="J13" s="196"/>
      <c r="L13" s="191">
        <f t="shared" si="0"/>
        <v>2013</v>
      </c>
      <c r="M13" s="172">
        <f>RANK(D14,D$9:D$14,1)</f>
        <v>4</v>
      </c>
      <c r="N13" s="172"/>
      <c r="O13" s="172"/>
      <c r="P13" s="172"/>
      <c r="Q13" s="172"/>
    </row>
    <row r="14" spans="1:18" x14ac:dyDescent="0.2">
      <c r="A14" s="260"/>
      <c r="B14" s="204"/>
      <c r="C14" s="216">
        <v>2013</v>
      </c>
      <c r="D14" s="308">
        <v>7</v>
      </c>
      <c r="E14" s="308"/>
      <c r="F14" s="308"/>
      <c r="G14" s="308"/>
      <c r="H14" s="308"/>
      <c r="I14" s="307"/>
      <c r="J14" s="196"/>
      <c r="M14" s="317"/>
    </row>
    <row r="15" spans="1:18" x14ac:dyDescent="0.2">
      <c r="A15" s="260"/>
      <c r="B15" s="204"/>
      <c r="C15" s="197"/>
      <c r="D15" s="197"/>
      <c r="E15" s="197"/>
      <c r="F15" s="197"/>
      <c r="G15" s="197"/>
      <c r="H15" s="197"/>
      <c r="I15" s="197"/>
      <c r="J15" s="196"/>
      <c r="M15" s="317"/>
    </row>
    <row r="16" spans="1:18" x14ac:dyDescent="0.2">
      <c r="A16" s="260"/>
      <c r="B16" s="204"/>
      <c r="C16" s="197" t="s">
        <v>546</v>
      </c>
      <c r="D16" s="197"/>
      <c r="E16" s="197"/>
      <c r="F16" s="241">
        <v>1.96</v>
      </c>
      <c r="G16" s="197"/>
      <c r="H16" s="197"/>
      <c r="I16" s="197"/>
      <c r="J16" s="196"/>
      <c r="L16" s="192" t="s">
        <v>19</v>
      </c>
      <c r="M16" s="340"/>
      <c r="N16" s="164"/>
      <c r="O16" s="164"/>
      <c r="P16" s="164"/>
      <c r="Q16" s="164"/>
      <c r="R16" s="164"/>
    </row>
    <row r="17" spans="1:19" x14ac:dyDescent="0.2">
      <c r="A17" s="260"/>
      <c r="B17" s="204"/>
      <c r="C17" s="197"/>
      <c r="D17" s="197"/>
      <c r="E17" s="197"/>
      <c r="F17" s="197"/>
      <c r="G17" s="197"/>
      <c r="H17" s="197"/>
      <c r="I17" s="197"/>
      <c r="J17" s="196"/>
      <c r="L17" s="191">
        <f t="shared" ref="L17:L22" si="2">C9</f>
        <v>2008</v>
      </c>
      <c r="M17" s="172" t="s">
        <v>31</v>
      </c>
      <c r="N17" s="172" t="s">
        <v>33</v>
      </c>
      <c r="O17" s="172" t="s">
        <v>31</v>
      </c>
      <c r="P17" s="172" t="s">
        <v>33</v>
      </c>
      <c r="Q17" s="172" t="s">
        <v>31</v>
      </c>
      <c r="R17" s="172" t="s">
        <v>33</v>
      </c>
    </row>
    <row r="18" spans="1:19" x14ac:dyDescent="0.2">
      <c r="A18" s="260" t="s">
        <v>0</v>
      </c>
      <c r="B18" s="241" t="s">
        <v>454</v>
      </c>
      <c r="C18" s="197" t="s">
        <v>545</v>
      </c>
      <c r="D18" s="197"/>
      <c r="E18" s="197"/>
      <c r="F18" s="197"/>
      <c r="G18" s="197"/>
      <c r="H18" s="197"/>
      <c r="I18" s="197"/>
      <c r="J18" s="196"/>
      <c r="L18" s="191">
        <f t="shared" si="2"/>
        <v>2009</v>
      </c>
      <c r="M18" s="339" t="s">
        <v>32</v>
      </c>
      <c r="N18" s="172" t="s">
        <v>31</v>
      </c>
      <c r="O18" s="172" t="s">
        <v>32</v>
      </c>
      <c r="P18" s="172" t="s">
        <v>31</v>
      </c>
      <c r="Q18" s="172" t="s">
        <v>32</v>
      </c>
      <c r="R18" s="172"/>
    </row>
    <row r="19" spans="1:19" x14ac:dyDescent="0.2">
      <c r="A19" s="260"/>
      <c r="B19" s="204"/>
      <c r="C19" s="197" t="s">
        <v>544</v>
      </c>
      <c r="D19" s="197"/>
      <c r="E19" s="197"/>
      <c r="F19" s="197"/>
      <c r="G19" s="197"/>
      <c r="H19" s="197"/>
      <c r="I19" s="197"/>
      <c r="J19" s="196"/>
      <c r="L19" s="191">
        <f t="shared" si="2"/>
        <v>2010</v>
      </c>
      <c r="M19" s="338" t="s">
        <v>32</v>
      </c>
      <c r="N19" s="172" t="s">
        <v>32</v>
      </c>
      <c r="O19" s="172" t="s">
        <v>31</v>
      </c>
      <c r="P19" s="172" t="s">
        <v>32</v>
      </c>
      <c r="Q19" s="172"/>
      <c r="R19" s="172"/>
    </row>
    <row r="20" spans="1:19" x14ac:dyDescent="0.2">
      <c r="A20" s="260"/>
      <c r="B20" s="204"/>
      <c r="C20" s="197"/>
      <c r="D20" s="197"/>
      <c r="E20" s="197"/>
      <c r="F20" s="197"/>
      <c r="G20" s="197"/>
      <c r="H20" s="197"/>
      <c r="I20" s="197"/>
      <c r="J20" s="196"/>
      <c r="L20" s="191">
        <f t="shared" si="2"/>
        <v>2011</v>
      </c>
      <c r="M20" s="172" t="s">
        <v>32</v>
      </c>
      <c r="N20" s="172" t="s">
        <v>31</v>
      </c>
      <c r="O20" s="172" t="s">
        <v>32</v>
      </c>
      <c r="P20" s="172"/>
      <c r="Q20" s="172"/>
      <c r="R20" s="172"/>
    </row>
    <row r="21" spans="1:19" x14ac:dyDescent="0.2">
      <c r="A21" s="260" t="s">
        <v>1</v>
      </c>
      <c r="B21" s="241" t="s">
        <v>483</v>
      </c>
      <c r="C21" s="197" t="s">
        <v>543</v>
      </c>
      <c r="D21" s="197"/>
      <c r="E21" s="197"/>
      <c r="F21" s="197"/>
      <c r="G21" s="197"/>
      <c r="H21" s="197"/>
      <c r="I21" s="197"/>
      <c r="J21" s="196"/>
      <c r="L21" s="191">
        <f t="shared" si="2"/>
        <v>2012</v>
      </c>
      <c r="M21" s="338" t="s">
        <v>31</v>
      </c>
      <c r="N21" s="172" t="s">
        <v>32</v>
      </c>
      <c r="O21" s="172"/>
      <c r="P21" s="172"/>
      <c r="Q21" s="172"/>
      <c r="R21" s="172"/>
    </row>
    <row r="22" spans="1:19" x14ac:dyDescent="0.2">
      <c r="A22" s="260"/>
      <c r="B22" s="204"/>
      <c r="C22" s="197" t="s">
        <v>542</v>
      </c>
      <c r="D22" s="197"/>
      <c r="E22" s="197"/>
      <c r="F22" s="197"/>
      <c r="G22" s="197"/>
      <c r="H22" s="197"/>
      <c r="I22" s="197"/>
      <c r="J22" s="196"/>
      <c r="L22" s="191">
        <f t="shared" si="2"/>
        <v>2013</v>
      </c>
      <c r="M22" s="172" t="s">
        <v>31</v>
      </c>
      <c r="N22" s="172"/>
      <c r="O22" s="172"/>
      <c r="P22" s="172"/>
      <c r="Q22" s="172"/>
      <c r="R22" s="172"/>
    </row>
    <row r="23" spans="1:19" ht="17" thickBot="1" x14ac:dyDescent="0.25">
      <c r="A23" s="260"/>
      <c r="B23" s="197"/>
      <c r="C23" s="197"/>
      <c r="D23" s="197"/>
      <c r="E23" s="197"/>
      <c r="F23" s="197"/>
      <c r="G23" s="197"/>
      <c r="H23" s="197"/>
      <c r="I23" s="197"/>
      <c r="J23" s="196"/>
      <c r="L23" s="191" t="s">
        <v>541</v>
      </c>
      <c r="M23" s="295">
        <f t="shared" ref="M23:R23" si="3">MEDIAN(D9:D14)</f>
        <v>6.5</v>
      </c>
      <c r="N23" s="295">
        <f t="shared" si="3"/>
        <v>2.5499999999999998</v>
      </c>
      <c r="O23" s="295">
        <f t="shared" si="3"/>
        <v>1.55</v>
      </c>
      <c r="P23" s="295">
        <f t="shared" si="3"/>
        <v>1.3</v>
      </c>
      <c r="Q23" s="295">
        <f t="shared" si="3"/>
        <v>1.1499999999999999</v>
      </c>
      <c r="R23" s="295">
        <f t="shared" si="3"/>
        <v>1.05</v>
      </c>
      <c r="S23" s="172"/>
    </row>
    <row r="24" spans="1:19" ht="17" thickBot="1" x14ac:dyDescent="0.25">
      <c r="A24" s="280" t="s">
        <v>205</v>
      </c>
      <c r="B24" s="194"/>
      <c r="C24" s="279"/>
      <c r="D24" s="194"/>
      <c r="E24" s="194"/>
      <c r="F24" s="194"/>
      <c r="G24" s="194"/>
      <c r="H24" s="194"/>
      <c r="I24" s="194"/>
      <c r="J24" s="193"/>
      <c r="L24" s="172"/>
      <c r="M24" s="172"/>
      <c r="N24" s="172"/>
      <c r="O24" s="172"/>
      <c r="P24" s="172"/>
      <c r="Q24" s="172"/>
      <c r="R24" s="172"/>
      <c r="S24" s="172"/>
    </row>
    <row r="26" spans="1:19" ht="18" x14ac:dyDescent="0.25">
      <c r="L26" s="192" t="s">
        <v>540</v>
      </c>
      <c r="M26" s="164" t="s">
        <v>461</v>
      </c>
      <c r="N26" s="164" t="s">
        <v>460</v>
      </c>
      <c r="O26" s="164" t="s">
        <v>459</v>
      </c>
      <c r="P26" s="164" t="s">
        <v>458</v>
      </c>
      <c r="Q26" s="192" t="s">
        <v>457</v>
      </c>
      <c r="R26" s="164" t="s">
        <v>456</v>
      </c>
      <c r="S26" s="164" t="s">
        <v>455</v>
      </c>
    </row>
    <row r="27" spans="1:19" x14ac:dyDescent="0.2">
      <c r="L27" s="191">
        <v>3</v>
      </c>
      <c r="M27" s="172">
        <v>1</v>
      </c>
      <c r="N27" s="172">
        <v>2</v>
      </c>
      <c r="O27" s="172">
        <f>MIN(M27,N27)</f>
        <v>1</v>
      </c>
      <c r="P27" s="172">
        <f>M27+N27</f>
        <v>3</v>
      </c>
      <c r="Q27" s="180">
        <f>ROUNDDOWN((P27-1)/2,0)</f>
        <v>1</v>
      </c>
      <c r="R27" s="173">
        <f>P27/2-COMBIN((P27-1),Q27)*P27/2^P27</f>
        <v>0.75</v>
      </c>
      <c r="S27" s="336">
        <f>P27*(P27-1)/4-COMBIN((P27-1),Q27)*P27*(P27-1)/2^P27+R27-R27^2</f>
        <v>0.1875</v>
      </c>
    </row>
    <row r="28" spans="1:19" x14ac:dyDescent="0.2">
      <c r="L28" s="337">
        <v>4</v>
      </c>
      <c r="M28" s="172">
        <v>3</v>
      </c>
      <c r="N28" s="172">
        <v>0</v>
      </c>
      <c r="O28" s="172">
        <f>MIN(M28,N28)</f>
        <v>0</v>
      </c>
      <c r="P28" s="172">
        <f>M28+N28</f>
        <v>3</v>
      </c>
      <c r="Q28" s="180">
        <f>ROUNDDOWN((P28-1)/2,0)</f>
        <v>1</v>
      </c>
      <c r="R28" s="173">
        <f>P28/2-COMBIN((P28-1),Q28)*P28/2^P28</f>
        <v>0.75</v>
      </c>
      <c r="S28" s="336">
        <f>P28*(P28-1)/4-COMBIN((P28-1),Q28)*P28*(P28-1)/2^P28+R28-R28^2</f>
        <v>0.1875</v>
      </c>
    </row>
    <row r="29" spans="1:19" x14ac:dyDescent="0.2">
      <c r="L29" s="191">
        <v>5</v>
      </c>
      <c r="M29" s="172">
        <v>0</v>
      </c>
      <c r="N29" s="172">
        <v>5</v>
      </c>
      <c r="O29" s="172">
        <f>MIN(M29,N29)</f>
        <v>0</v>
      </c>
      <c r="P29" s="172">
        <f>M29+N29</f>
        <v>5</v>
      </c>
      <c r="Q29" s="180">
        <f>ROUNDDOWN((P29-1)/2,0)</f>
        <v>2</v>
      </c>
      <c r="R29" s="173">
        <f>P29/2-COMBIN((P29-1),Q29)*P29/2^P29</f>
        <v>1.5625</v>
      </c>
      <c r="S29" s="336">
        <f>P29*(P29-1)/4-COMBIN((P29-1),Q29)*P29*(P29-1)/2^P29+R29-R29^2</f>
        <v>0.37109375</v>
      </c>
    </row>
    <row r="30" spans="1:19" x14ac:dyDescent="0.2">
      <c r="L30" s="192">
        <v>6</v>
      </c>
      <c r="M30" s="164">
        <v>4</v>
      </c>
      <c r="N30" s="164">
        <v>1</v>
      </c>
      <c r="O30" s="164">
        <f>MIN(M30,N30)</f>
        <v>1</v>
      </c>
      <c r="P30" s="164">
        <f>M30+N30</f>
        <v>5</v>
      </c>
      <c r="Q30" s="188">
        <f>ROUNDDOWN((P30-1)/2,0)</f>
        <v>2</v>
      </c>
      <c r="R30" s="189">
        <f>P30/2-COMBIN((P30-1),Q30)*P30/2^P30</f>
        <v>1.5625</v>
      </c>
      <c r="S30" s="335">
        <f>P30*(P30-1)/4-COMBIN((P30-1),Q30)*P30*(P30-1)/2^P30+R30-R30^2</f>
        <v>0.37109375</v>
      </c>
    </row>
    <row r="31" spans="1:19" x14ac:dyDescent="0.2">
      <c r="L31" s="191" t="s">
        <v>89</v>
      </c>
      <c r="M31" s="334"/>
      <c r="N31" s="172"/>
      <c r="O31" s="172">
        <f>SUM(O27:O30)</f>
        <v>2</v>
      </c>
      <c r="P31" s="172"/>
      <c r="Q31" s="191"/>
      <c r="R31" s="172">
        <f>SUM(R27:R30)</f>
        <v>4.625</v>
      </c>
      <c r="S31" s="162">
        <f>SUM(S27:S30)</f>
        <v>1.1171875</v>
      </c>
    </row>
    <row r="32" spans="1:19" x14ac:dyDescent="0.2">
      <c r="M32" s="330"/>
    </row>
    <row r="33" spans="12:18" x14ac:dyDescent="0.2">
      <c r="L33" s="315"/>
      <c r="M33" s="333" t="s">
        <v>539</v>
      </c>
      <c r="N33" s="332" t="s">
        <v>538</v>
      </c>
    </row>
    <row r="34" spans="12:18" x14ac:dyDescent="0.2">
      <c r="L34" t="s">
        <v>447</v>
      </c>
      <c r="M34" s="331">
        <f>R31-F16*SQRT(S31)</f>
        <v>2.5533370206522492</v>
      </c>
      <c r="N34" s="331">
        <f>R31+F16*SQRT(S31)</f>
        <v>6.6966629793477512</v>
      </c>
    </row>
    <row r="35" spans="12:18" x14ac:dyDescent="0.2">
      <c r="M35" s="330"/>
    </row>
    <row r="36" spans="12:18" x14ac:dyDescent="0.2">
      <c r="L36" s="166" t="s">
        <v>537</v>
      </c>
      <c r="M36" s="330"/>
    </row>
    <row r="37" spans="12:18" x14ac:dyDescent="0.2">
      <c r="M37" s="330"/>
    </row>
    <row r="38" spans="12:18" x14ac:dyDescent="0.2">
      <c r="M38" s="330"/>
    </row>
    <row r="39" spans="12:18" x14ac:dyDescent="0.2">
      <c r="L39" s="278" t="s">
        <v>409</v>
      </c>
      <c r="M39" s="174"/>
      <c r="N39" s="174"/>
      <c r="O39" s="174"/>
      <c r="P39" s="174"/>
      <c r="Q39" s="174"/>
    </row>
    <row r="40" spans="12:18" x14ac:dyDescent="0.2">
      <c r="L40" s="434" t="s">
        <v>536</v>
      </c>
      <c r="M40" s="434"/>
      <c r="N40" s="434"/>
      <c r="O40" s="434"/>
      <c r="P40" s="434"/>
      <c r="Q40" s="434"/>
      <c r="R40" s="434"/>
    </row>
    <row r="41" spans="12:18" x14ac:dyDescent="0.2">
      <c r="L41" s="434"/>
      <c r="M41" s="434"/>
      <c r="N41" s="434"/>
      <c r="O41" s="434"/>
      <c r="P41" s="434"/>
      <c r="Q41" s="434"/>
      <c r="R41" s="434"/>
    </row>
    <row r="42" spans="12:18" x14ac:dyDescent="0.2">
      <c r="L42" s="434"/>
      <c r="M42" s="434"/>
      <c r="N42" s="434"/>
      <c r="O42" s="434"/>
      <c r="P42" s="434"/>
      <c r="Q42" s="434"/>
      <c r="R42" s="434"/>
    </row>
    <row r="43" spans="12:18" x14ac:dyDescent="0.2">
      <c r="L43" s="434"/>
      <c r="M43" s="434"/>
      <c r="N43" s="434"/>
      <c r="O43" s="434"/>
      <c r="P43" s="434"/>
      <c r="Q43" s="434"/>
      <c r="R43" s="434"/>
    </row>
    <row r="45" spans="12:18" ht="19" x14ac:dyDescent="0.25">
      <c r="L45" s="156" t="s">
        <v>200</v>
      </c>
      <c r="M45" s="238"/>
    </row>
    <row r="46" spans="12:18" x14ac:dyDescent="0.2">
      <c r="L46" s="418" t="s">
        <v>535</v>
      </c>
      <c r="M46" s="418"/>
      <c r="N46" s="418"/>
      <c r="O46" s="418"/>
      <c r="P46" s="418"/>
      <c r="Q46" s="418"/>
      <c r="R46" s="418"/>
    </row>
    <row r="47" spans="12:18" x14ac:dyDescent="0.2">
      <c r="L47" s="418"/>
      <c r="M47" s="418"/>
      <c r="N47" s="418"/>
      <c r="O47" s="418"/>
      <c r="P47" s="418"/>
      <c r="Q47" s="418"/>
      <c r="R47" s="418"/>
    </row>
    <row r="48" spans="12:18" x14ac:dyDescent="0.2">
      <c r="L48" s="418"/>
      <c r="M48" s="418"/>
      <c r="N48" s="418"/>
      <c r="O48" s="418"/>
      <c r="P48" s="418"/>
      <c r="Q48" s="418"/>
      <c r="R48" s="418"/>
    </row>
    <row r="49" spans="12:18" x14ac:dyDescent="0.2">
      <c r="L49" s="418"/>
      <c r="M49" s="418"/>
      <c r="N49" s="418"/>
      <c r="O49" s="418"/>
      <c r="P49" s="418"/>
      <c r="Q49" s="418"/>
      <c r="R49" s="418"/>
    </row>
    <row r="51" spans="12:18" ht="19" x14ac:dyDescent="0.25">
      <c r="L51" s="156" t="s">
        <v>236</v>
      </c>
    </row>
    <row r="52" spans="12:18" x14ac:dyDescent="0.2">
      <c r="L52" t="s">
        <v>406</v>
      </c>
    </row>
  </sheetData>
  <mergeCells count="3">
    <mergeCell ref="L46:R49"/>
    <mergeCell ref="L40:R43"/>
    <mergeCell ref="C6:I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FB57-13A6-404C-8389-97F6D99C5C8C}">
  <dimension ref="A1:S49"/>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2" max="18" width="10.83203125" hidden="1" customWidth="1" outlineLevel="1"/>
    <col min="19" max="19" width="11" collapsed="1"/>
  </cols>
  <sheetData>
    <row r="1" spans="1:17" x14ac:dyDescent="0.2">
      <c r="A1" s="292"/>
      <c r="B1" s="229" t="s">
        <v>438</v>
      </c>
      <c r="C1" s="228" t="s">
        <v>575</v>
      </c>
      <c r="D1" s="228" t="s">
        <v>436</v>
      </c>
      <c r="E1" s="228" t="s">
        <v>509</v>
      </c>
      <c r="F1" s="227"/>
      <c r="G1" s="227"/>
      <c r="H1" s="227"/>
      <c r="I1" s="227"/>
      <c r="J1" s="226"/>
      <c r="K1" s="166" t="s">
        <v>206</v>
      </c>
      <c r="L1" s="166"/>
    </row>
    <row r="2" spans="1:17" x14ac:dyDescent="0.2">
      <c r="A2" s="260"/>
      <c r="B2" s="291" t="s">
        <v>434</v>
      </c>
      <c r="C2" s="290">
        <v>2.25</v>
      </c>
      <c r="D2" s="197"/>
      <c r="E2" s="197"/>
      <c r="F2" s="197"/>
      <c r="G2" s="197"/>
      <c r="H2" s="197"/>
      <c r="I2" s="197"/>
      <c r="J2" s="196"/>
    </row>
    <row r="3" spans="1:17" x14ac:dyDescent="0.2">
      <c r="A3" s="260"/>
      <c r="B3" s="197"/>
      <c r="C3" s="197"/>
      <c r="D3" s="197"/>
      <c r="E3" s="197"/>
      <c r="F3" s="197"/>
      <c r="G3" s="197"/>
      <c r="H3" s="197"/>
      <c r="I3" s="197"/>
      <c r="J3" s="196"/>
      <c r="L3" s="166" t="s">
        <v>433</v>
      </c>
      <c r="M3" s="317"/>
    </row>
    <row r="4" spans="1:17" x14ac:dyDescent="0.2">
      <c r="A4" s="260"/>
      <c r="B4" s="197"/>
      <c r="C4" s="197" t="s">
        <v>21</v>
      </c>
      <c r="D4" s="197"/>
      <c r="E4" s="197"/>
      <c r="F4" s="197"/>
      <c r="G4" s="197"/>
      <c r="H4" s="197"/>
      <c r="I4" s="197"/>
      <c r="J4" s="196"/>
      <c r="M4" s="317"/>
    </row>
    <row r="5" spans="1:17" x14ac:dyDescent="0.2">
      <c r="A5" s="260"/>
      <c r="B5" s="197"/>
      <c r="C5" s="197"/>
      <c r="D5" s="197"/>
      <c r="E5" s="197"/>
      <c r="F5" s="197"/>
      <c r="G5" s="197"/>
      <c r="H5" s="197"/>
      <c r="I5" s="197"/>
      <c r="J5" s="196"/>
      <c r="L5" t="s">
        <v>474</v>
      </c>
      <c r="M5" s="317"/>
    </row>
    <row r="6" spans="1:17" x14ac:dyDescent="0.2">
      <c r="A6" s="260"/>
      <c r="B6" s="197"/>
      <c r="C6" s="420" t="s">
        <v>574</v>
      </c>
      <c r="D6" s="421"/>
      <c r="E6" s="421"/>
      <c r="F6" s="421"/>
      <c r="G6" s="421"/>
      <c r="H6" s="422"/>
      <c r="I6" s="197"/>
      <c r="J6" s="196"/>
    </row>
    <row r="7" spans="1:17" x14ac:dyDescent="0.2">
      <c r="A7" s="260"/>
      <c r="B7" s="197"/>
      <c r="C7" s="221" t="s">
        <v>469</v>
      </c>
      <c r="D7" s="353" t="s">
        <v>573</v>
      </c>
      <c r="E7" s="247" t="s">
        <v>572</v>
      </c>
      <c r="F7" s="247" t="s">
        <v>464</v>
      </c>
      <c r="G7" s="247" t="s">
        <v>522</v>
      </c>
      <c r="H7" s="246" t="s">
        <v>520</v>
      </c>
      <c r="I7" s="197"/>
      <c r="J7" s="196"/>
      <c r="L7" s="192" t="s">
        <v>19</v>
      </c>
      <c r="M7" s="316" t="s">
        <v>466</v>
      </c>
      <c r="N7" s="316" t="s">
        <v>472</v>
      </c>
      <c r="O7" s="316" t="s">
        <v>471</v>
      </c>
      <c r="P7" s="316" t="s">
        <v>463</v>
      </c>
      <c r="Q7" s="316" t="s">
        <v>520</v>
      </c>
    </row>
    <row r="8" spans="1:17" x14ac:dyDescent="0.2">
      <c r="A8" s="260"/>
      <c r="B8" s="197"/>
      <c r="C8" s="216" t="s">
        <v>571</v>
      </c>
      <c r="D8" s="287" t="s">
        <v>570</v>
      </c>
      <c r="E8" s="213" t="s">
        <v>570</v>
      </c>
      <c r="F8" s="213" t="s">
        <v>570</v>
      </c>
      <c r="G8" s="213" t="s">
        <v>570</v>
      </c>
      <c r="H8" s="212" t="s">
        <v>570</v>
      </c>
      <c r="I8" s="197"/>
      <c r="J8" s="196"/>
      <c r="L8" s="191">
        <v>2008</v>
      </c>
      <c r="M8" s="172">
        <f>RANK(D9,D$9:D$13,1)</f>
        <v>2</v>
      </c>
      <c r="N8" s="172">
        <f>RANK(E9,E$9:E$13,1)</f>
        <v>1</v>
      </c>
      <c r="O8" s="172">
        <f>RANK(F9,F$9:F$13,1)</f>
        <v>2</v>
      </c>
      <c r="P8" s="172">
        <f>RANK(G9,G$9:G$13,1)</f>
        <v>1</v>
      </c>
      <c r="Q8" s="172">
        <f>RANK(H9,H$9:H$13,1)</f>
        <v>1</v>
      </c>
    </row>
    <row r="9" spans="1:17" x14ac:dyDescent="0.2">
      <c r="A9" s="260"/>
      <c r="B9" s="197"/>
      <c r="C9" s="221">
        <v>2008</v>
      </c>
      <c r="D9" s="352">
        <v>1.3240000000000001</v>
      </c>
      <c r="E9" s="351">
        <v>1.127</v>
      </c>
      <c r="F9" s="351">
        <v>1.0649999999999999</v>
      </c>
      <c r="G9" s="351">
        <v>1.0249999999999999</v>
      </c>
      <c r="H9" s="350">
        <v>1.012</v>
      </c>
      <c r="I9" s="197"/>
      <c r="J9" s="196"/>
      <c r="L9" s="191">
        <v>2009</v>
      </c>
      <c r="M9" s="172">
        <f>RANK(D10,$D$9:$D$13,1)</f>
        <v>1</v>
      </c>
      <c r="N9" s="172">
        <f>RANK(E10,E$9:E$13,1)</f>
        <v>1</v>
      </c>
      <c r="O9" s="172">
        <f>RANK(F10,F$9:F$13,1)</f>
        <v>1</v>
      </c>
      <c r="P9" s="172">
        <f>RANK(G10,G$9:G$13,1)</f>
        <v>2</v>
      </c>
      <c r="Q9" s="172"/>
    </row>
    <row r="10" spans="1:17" x14ac:dyDescent="0.2">
      <c r="A10" s="260"/>
      <c r="B10" s="197"/>
      <c r="C10" s="219">
        <v>2009</v>
      </c>
      <c r="D10" s="349">
        <v>1.3129999999999999</v>
      </c>
      <c r="E10" s="348">
        <v>1.127</v>
      </c>
      <c r="F10" s="348">
        <v>1.0580000000000001</v>
      </c>
      <c r="G10" s="348">
        <v>1.0269999999999999</v>
      </c>
      <c r="H10" s="347"/>
      <c r="I10" s="197"/>
      <c r="J10" s="196"/>
      <c r="L10" s="191">
        <v>2010</v>
      </c>
      <c r="M10" s="169">
        <f>RANK(D11,$D$9:$D$13,1)</f>
        <v>4</v>
      </c>
      <c r="N10" s="172">
        <f>RANK(E11,E$9:E$13,1)</f>
        <v>4</v>
      </c>
      <c r="O10" s="172">
        <f>RANK(F11,F$9:F$13,1)</f>
        <v>3</v>
      </c>
      <c r="P10" s="172"/>
      <c r="Q10" s="172"/>
    </row>
    <row r="11" spans="1:17" x14ac:dyDescent="0.2">
      <c r="A11" s="260"/>
      <c r="B11" s="197"/>
      <c r="C11" s="219">
        <v>2010</v>
      </c>
      <c r="D11" s="349">
        <v>1.3440000000000001</v>
      </c>
      <c r="E11" s="348">
        <v>1.135</v>
      </c>
      <c r="F11" s="348">
        <v>1.07</v>
      </c>
      <c r="G11" s="348"/>
      <c r="H11" s="347"/>
      <c r="I11" s="197"/>
      <c r="J11" s="196"/>
      <c r="L11" s="191">
        <v>2011</v>
      </c>
      <c r="M11" s="172">
        <f>RANK(D12,$D$9:$D$13,1)</f>
        <v>3</v>
      </c>
      <c r="N11" s="172">
        <f>RANK(E12,E$9:E$13,1)</f>
        <v>3</v>
      </c>
      <c r="O11" s="172"/>
      <c r="P11" s="172"/>
      <c r="Q11" s="172"/>
    </row>
    <row r="12" spans="1:17" x14ac:dyDescent="0.2">
      <c r="A12" s="260"/>
      <c r="B12" s="197"/>
      <c r="C12" s="219">
        <v>2011</v>
      </c>
      <c r="D12" s="349">
        <v>1.34</v>
      </c>
      <c r="E12" s="348">
        <v>1.1339999999999999</v>
      </c>
      <c r="F12" s="348"/>
      <c r="G12" s="348"/>
      <c r="H12" s="347"/>
      <c r="I12" s="197"/>
      <c r="J12" s="196"/>
      <c r="L12" s="191">
        <v>2012</v>
      </c>
      <c r="M12" s="172">
        <f>RANK(D13,$D$9:$D$13,1)</f>
        <v>4</v>
      </c>
      <c r="N12" s="172"/>
      <c r="O12" s="172"/>
      <c r="P12" s="172"/>
      <c r="Q12" s="172"/>
    </row>
    <row r="13" spans="1:17" x14ac:dyDescent="0.2">
      <c r="A13" s="260"/>
      <c r="B13" s="204"/>
      <c r="C13" s="216">
        <v>2012</v>
      </c>
      <c r="D13" s="346">
        <v>1.3440000000000001</v>
      </c>
      <c r="E13" s="345"/>
      <c r="F13" s="345"/>
      <c r="G13" s="345"/>
      <c r="H13" s="344"/>
      <c r="I13" s="197"/>
      <c r="J13" s="196"/>
    </row>
    <row r="14" spans="1:17" x14ac:dyDescent="0.2">
      <c r="A14" s="260"/>
      <c r="B14" s="204"/>
      <c r="C14" s="197"/>
      <c r="D14" s="197"/>
      <c r="E14" s="197"/>
      <c r="F14" s="197"/>
      <c r="G14" s="197"/>
      <c r="H14" s="197"/>
      <c r="I14" s="197"/>
      <c r="J14" s="196"/>
      <c r="L14" t="s">
        <v>569</v>
      </c>
    </row>
    <row r="15" spans="1:17" x14ac:dyDescent="0.2">
      <c r="A15" s="260"/>
      <c r="B15" s="204"/>
      <c r="C15" s="197" t="s">
        <v>568</v>
      </c>
      <c r="D15" s="204">
        <v>1.125</v>
      </c>
      <c r="E15" s="197" t="s">
        <v>567</v>
      </c>
      <c r="F15" s="197"/>
      <c r="G15" s="197"/>
      <c r="H15" s="197"/>
      <c r="I15" s="197"/>
      <c r="J15" s="196"/>
    </row>
    <row r="16" spans="1:17" x14ac:dyDescent="0.2">
      <c r="A16" s="260"/>
      <c r="B16" s="204"/>
      <c r="C16" s="197" t="s">
        <v>566</v>
      </c>
      <c r="D16" s="197"/>
      <c r="E16" s="197"/>
      <c r="F16" s="197"/>
      <c r="G16" s="197"/>
      <c r="H16" s="241">
        <v>1.645</v>
      </c>
      <c r="I16" s="197"/>
      <c r="J16" s="196"/>
      <c r="L16" s="192" t="s">
        <v>19</v>
      </c>
      <c r="M16" s="316" t="s">
        <v>466</v>
      </c>
      <c r="N16" s="316" t="s">
        <v>472</v>
      </c>
      <c r="O16" s="316" t="s">
        <v>471</v>
      </c>
      <c r="P16" s="316" t="s">
        <v>463</v>
      </c>
      <c r="Q16" s="316" t="s">
        <v>520</v>
      </c>
    </row>
    <row r="17" spans="1:18" x14ac:dyDescent="0.2">
      <c r="A17" s="260"/>
      <c r="B17" s="204"/>
      <c r="C17" s="197"/>
      <c r="D17" s="197"/>
      <c r="E17" s="197"/>
      <c r="F17" s="197"/>
      <c r="G17" s="197"/>
      <c r="H17" s="197"/>
      <c r="I17" s="197"/>
      <c r="J17" s="196"/>
      <c r="L17" s="191">
        <v>2008</v>
      </c>
      <c r="M17" s="172" t="s">
        <v>32</v>
      </c>
      <c r="N17" s="172" t="s">
        <v>32</v>
      </c>
      <c r="O17" s="172" t="s">
        <v>33</v>
      </c>
      <c r="P17" s="172" t="s">
        <v>32</v>
      </c>
      <c r="Q17" s="172" t="s">
        <v>33</v>
      </c>
    </row>
    <row r="18" spans="1:18" x14ac:dyDescent="0.2">
      <c r="A18" s="260" t="s">
        <v>0</v>
      </c>
      <c r="B18" s="241" t="s">
        <v>486</v>
      </c>
      <c r="C18" s="197" t="s">
        <v>565</v>
      </c>
      <c r="D18" s="197"/>
      <c r="E18" s="197"/>
      <c r="F18" s="197"/>
      <c r="G18" s="197"/>
      <c r="H18" s="197"/>
      <c r="I18" s="197"/>
      <c r="J18" s="196"/>
      <c r="L18" s="191">
        <v>2009</v>
      </c>
      <c r="M18" s="172" t="s">
        <v>32</v>
      </c>
      <c r="N18" s="172" t="s">
        <v>32</v>
      </c>
      <c r="O18" s="172" t="s">
        <v>32</v>
      </c>
      <c r="P18" s="172" t="s">
        <v>31</v>
      </c>
      <c r="Q18" s="172"/>
    </row>
    <row r="19" spans="1:18" x14ac:dyDescent="0.2">
      <c r="A19" s="260"/>
      <c r="B19" s="204"/>
      <c r="C19" s="197" t="s">
        <v>564</v>
      </c>
      <c r="D19" s="197"/>
      <c r="E19" s="197"/>
      <c r="F19" s="197"/>
      <c r="G19" s="197"/>
      <c r="H19" s="197"/>
      <c r="I19" s="197"/>
      <c r="J19" s="196"/>
      <c r="L19" s="191">
        <v>2010</v>
      </c>
      <c r="M19" s="169" t="s">
        <v>31</v>
      </c>
      <c r="N19" s="169" t="s">
        <v>31</v>
      </c>
      <c r="O19" s="169" t="s">
        <v>31</v>
      </c>
      <c r="P19" s="172"/>
      <c r="Q19" s="172"/>
    </row>
    <row r="20" spans="1:18" x14ac:dyDescent="0.2">
      <c r="A20" s="260"/>
      <c r="B20" s="204"/>
      <c r="C20" s="197"/>
      <c r="D20" s="197"/>
      <c r="E20" s="197"/>
      <c r="F20" s="197"/>
      <c r="G20" s="197"/>
      <c r="H20" s="197"/>
      <c r="I20" s="197"/>
      <c r="J20" s="196"/>
      <c r="L20" s="191">
        <v>2011</v>
      </c>
      <c r="M20" s="172" t="s">
        <v>33</v>
      </c>
      <c r="N20" s="172" t="s">
        <v>31</v>
      </c>
      <c r="O20" s="172"/>
      <c r="P20" s="172"/>
      <c r="Q20" s="172"/>
    </row>
    <row r="21" spans="1:18" x14ac:dyDescent="0.2">
      <c r="A21" s="260" t="s">
        <v>1</v>
      </c>
      <c r="B21" s="241" t="s">
        <v>563</v>
      </c>
      <c r="C21" s="197" t="s">
        <v>562</v>
      </c>
      <c r="D21" s="197"/>
      <c r="E21" s="197"/>
      <c r="F21" s="197"/>
      <c r="G21" s="197"/>
      <c r="H21" s="197"/>
      <c r="I21" s="197"/>
      <c r="J21" s="196"/>
      <c r="L21" s="191">
        <v>2012</v>
      </c>
      <c r="M21" s="172" t="s">
        <v>31</v>
      </c>
      <c r="N21" s="172"/>
      <c r="O21" s="172"/>
      <c r="P21" s="172"/>
      <c r="Q21" s="172"/>
    </row>
    <row r="22" spans="1:18" x14ac:dyDescent="0.2">
      <c r="A22" s="260"/>
      <c r="B22" s="204"/>
      <c r="C22" s="197" t="s">
        <v>561</v>
      </c>
      <c r="D22" s="197"/>
      <c r="E22" s="197"/>
      <c r="F22" s="197"/>
      <c r="G22" s="197"/>
      <c r="H22" s="197"/>
      <c r="I22" s="197"/>
      <c r="J22" s="196"/>
      <c r="M22" s="330"/>
    </row>
    <row r="23" spans="1:18" ht="17" thickBot="1" x14ac:dyDescent="0.25">
      <c r="A23" s="260"/>
      <c r="B23" s="197"/>
      <c r="C23" s="197"/>
      <c r="D23" s="197"/>
      <c r="E23" s="197"/>
      <c r="F23" s="197"/>
      <c r="G23" s="197"/>
      <c r="H23" s="197"/>
      <c r="I23" s="197"/>
      <c r="J23" s="196"/>
      <c r="L23" t="s">
        <v>329</v>
      </c>
    </row>
    <row r="24" spans="1:18" ht="17" thickBot="1" x14ac:dyDescent="0.25">
      <c r="A24" s="280" t="s">
        <v>205</v>
      </c>
      <c r="B24" s="194"/>
      <c r="C24" s="279"/>
      <c r="D24" s="194"/>
      <c r="E24" s="194"/>
      <c r="F24" s="194"/>
      <c r="G24" s="194"/>
      <c r="H24" s="194"/>
      <c r="I24" s="194"/>
      <c r="J24" s="193"/>
    </row>
    <row r="25" spans="1:18" ht="18" x14ac:dyDescent="0.25">
      <c r="L25" s="192" t="s">
        <v>560</v>
      </c>
      <c r="M25" s="164" t="s">
        <v>461</v>
      </c>
      <c r="N25" s="164" t="s">
        <v>460</v>
      </c>
      <c r="O25" s="164" t="s">
        <v>459</v>
      </c>
      <c r="P25" s="164" t="s">
        <v>113</v>
      </c>
      <c r="Q25" s="192" t="s">
        <v>324</v>
      </c>
      <c r="R25" s="164" t="s">
        <v>559</v>
      </c>
    </row>
    <row r="26" spans="1:18" x14ac:dyDescent="0.2">
      <c r="L26" s="191">
        <v>2</v>
      </c>
      <c r="M26" s="172">
        <v>2</v>
      </c>
      <c r="N26" s="172">
        <v>0</v>
      </c>
      <c r="O26" s="172">
        <f>MIN(M26,N26)</f>
        <v>0</v>
      </c>
      <c r="P26" s="172">
        <f>M26+N26</f>
        <v>2</v>
      </c>
      <c r="Q26" s="191">
        <f>ROUNDDOWN((P26-1)/2,0)</f>
        <v>0</v>
      </c>
      <c r="R26" s="295">
        <f>P26/2-COMBIN((P26-1),Q26)*P26/2^P26</f>
        <v>0.5</v>
      </c>
    </row>
    <row r="27" spans="1:18" x14ac:dyDescent="0.2">
      <c r="L27" s="191">
        <v>3</v>
      </c>
      <c r="M27" s="172">
        <v>1</v>
      </c>
      <c r="N27" s="172">
        <v>1</v>
      </c>
      <c r="O27" s="172">
        <f>MIN(M27,N27)</f>
        <v>1</v>
      </c>
      <c r="P27" s="172">
        <f>M27+N27</f>
        <v>2</v>
      </c>
      <c r="Q27" s="191">
        <f>ROUNDDOWN((P27-1)/2,0)</f>
        <v>0</v>
      </c>
      <c r="R27" s="295">
        <f>P27/2-COMBIN((P27-1),Q27)*P27/2^P27</f>
        <v>0.5</v>
      </c>
    </row>
    <row r="28" spans="1:18" x14ac:dyDescent="0.2">
      <c r="L28" s="191">
        <v>4</v>
      </c>
      <c r="M28" s="172">
        <v>2</v>
      </c>
      <c r="N28" s="172">
        <v>1</v>
      </c>
      <c r="O28" s="172">
        <f>MIN(M28,N28)</f>
        <v>1</v>
      </c>
      <c r="P28" s="172">
        <f>M28+N28</f>
        <v>3</v>
      </c>
      <c r="Q28" s="191">
        <f>ROUNDDOWN((P28-1)/2,0)</f>
        <v>1</v>
      </c>
      <c r="R28" s="295">
        <f>P28/2-COMBIN((P28-1),Q28)*P28/2^P28</f>
        <v>0.75</v>
      </c>
    </row>
    <row r="29" spans="1:18" x14ac:dyDescent="0.2">
      <c r="L29" s="191">
        <v>5</v>
      </c>
      <c r="M29" s="172">
        <v>0</v>
      </c>
      <c r="N29" s="172">
        <v>4</v>
      </c>
      <c r="O29" s="172">
        <f>MIN(M29,N29)</f>
        <v>0</v>
      </c>
      <c r="P29" s="172">
        <f>M29+N29</f>
        <v>4</v>
      </c>
      <c r="Q29" s="191">
        <f>ROUNDDOWN((P29-1)/2,0)</f>
        <v>1</v>
      </c>
      <c r="R29" s="295">
        <f>P29/2-COMBIN((P29-1),Q29)*P29/2^P29</f>
        <v>1.25</v>
      </c>
    </row>
    <row r="30" spans="1:18" x14ac:dyDescent="0.2">
      <c r="L30" s="343" t="s">
        <v>89</v>
      </c>
      <c r="M30" s="342"/>
      <c r="N30" s="342"/>
      <c r="O30" s="342">
        <f>SUM(O26:O29)</f>
        <v>2</v>
      </c>
      <c r="P30" s="342"/>
      <c r="Q30" s="343"/>
      <c r="R30" s="342">
        <f>SUM(R26:R29)</f>
        <v>3</v>
      </c>
    </row>
    <row r="32" spans="1:18" x14ac:dyDescent="0.2">
      <c r="L32" t="s">
        <v>558</v>
      </c>
    </row>
    <row r="34" spans="12:18" x14ac:dyDescent="0.2">
      <c r="L34" t="s">
        <v>557</v>
      </c>
      <c r="N34" s="171">
        <f>R30-SQRT(D15)*H16</f>
        <v>1.2552140174221942</v>
      </c>
    </row>
    <row r="35" spans="12:18" x14ac:dyDescent="0.2">
      <c r="L35" t="s">
        <v>556</v>
      </c>
      <c r="N35" s="171">
        <f>R30+SQRT(D15)*H16</f>
        <v>4.744785982577806</v>
      </c>
    </row>
    <row r="37" spans="12:18" x14ac:dyDescent="0.2">
      <c r="L37" s="431" t="s">
        <v>555</v>
      </c>
      <c r="M37" s="431"/>
      <c r="N37" s="431"/>
      <c r="O37" s="431"/>
      <c r="P37" s="431"/>
      <c r="Q37" s="431"/>
      <c r="R37" s="431"/>
    </row>
    <row r="38" spans="12:18" x14ac:dyDescent="0.2">
      <c r="L38" s="431"/>
      <c r="M38" s="431"/>
      <c r="N38" s="431"/>
      <c r="O38" s="431"/>
      <c r="P38" s="431"/>
      <c r="Q38" s="431"/>
      <c r="R38" s="431"/>
    </row>
    <row r="40" spans="12:18" x14ac:dyDescent="0.2">
      <c r="L40" s="166" t="s">
        <v>409</v>
      </c>
    </row>
    <row r="41" spans="12:18" x14ac:dyDescent="0.2">
      <c r="L41" t="s">
        <v>554</v>
      </c>
    </row>
    <row r="44" spans="12:18" ht="19" x14ac:dyDescent="0.25">
      <c r="L44" s="156" t="s">
        <v>200</v>
      </c>
      <c r="M44" s="238"/>
    </row>
    <row r="45" spans="12:18" x14ac:dyDescent="0.2">
      <c r="L45" s="418" t="s">
        <v>553</v>
      </c>
      <c r="M45" s="418"/>
      <c r="N45" s="418"/>
      <c r="O45" s="418"/>
      <c r="P45" s="418"/>
      <c r="Q45" s="418"/>
      <c r="R45" s="418"/>
    </row>
    <row r="46" spans="12:18" x14ac:dyDescent="0.2">
      <c r="L46" s="418"/>
      <c r="M46" s="418"/>
      <c r="N46" s="418"/>
      <c r="O46" s="418"/>
      <c r="P46" s="418"/>
      <c r="Q46" s="418"/>
      <c r="R46" s="418"/>
    </row>
    <row r="48" spans="12:18" ht="19" x14ac:dyDescent="0.25">
      <c r="L48" s="156" t="s">
        <v>236</v>
      </c>
    </row>
    <row r="49" spans="12:12" x14ac:dyDescent="0.2">
      <c r="L49" t="s">
        <v>552</v>
      </c>
    </row>
  </sheetData>
  <mergeCells count="3">
    <mergeCell ref="C6:H6"/>
    <mergeCell ref="L37:R38"/>
    <mergeCell ref="L45:R4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C81C3-020E-FB42-8C76-E7AAB51B3273}">
  <dimension ref="A1:S48"/>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2" max="15" width="10.83203125" style="172" hidden="1" customWidth="1" outlineLevel="1"/>
    <col min="16" max="18" width="10.83203125" hidden="1" customWidth="1" outlineLevel="1"/>
    <col min="19" max="19" width="11" collapsed="1"/>
  </cols>
  <sheetData>
    <row r="1" spans="1:16" x14ac:dyDescent="0.2">
      <c r="A1" s="292"/>
      <c r="B1" s="229" t="s">
        <v>438</v>
      </c>
      <c r="C1" s="228" t="s">
        <v>575</v>
      </c>
      <c r="D1" s="228" t="s">
        <v>436</v>
      </c>
      <c r="E1" s="228" t="s">
        <v>594</v>
      </c>
      <c r="F1" s="227"/>
      <c r="G1" s="227"/>
      <c r="H1" s="227"/>
      <c r="I1" s="227"/>
      <c r="J1" s="226"/>
      <c r="K1" s="166" t="s">
        <v>206</v>
      </c>
      <c r="L1" s="358"/>
    </row>
    <row r="2" spans="1:16" x14ac:dyDescent="0.2">
      <c r="A2" s="260"/>
      <c r="B2" s="291" t="s">
        <v>434</v>
      </c>
      <c r="C2" s="290">
        <v>1.75</v>
      </c>
      <c r="D2" s="197"/>
      <c r="E2" s="197"/>
      <c r="F2" s="197"/>
      <c r="G2" s="197"/>
      <c r="H2" s="197"/>
      <c r="I2" s="197"/>
      <c r="J2" s="196"/>
    </row>
    <row r="3" spans="1:16" x14ac:dyDescent="0.2">
      <c r="A3" s="260"/>
      <c r="B3" s="197"/>
      <c r="C3" s="197"/>
      <c r="D3" s="197"/>
      <c r="E3" s="197"/>
      <c r="F3" s="197"/>
      <c r="G3" s="197"/>
      <c r="H3" s="197"/>
      <c r="I3" s="197"/>
      <c r="J3" s="196"/>
      <c r="L3" s="354" t="s">
        <v>433</v>
      </c>
      <c r="M3" s="357"/>
    </row>
    <row r="4" spans="1:16" x14ac:dyDescent="0.2">
      <c r="A4" s="260"/>
      <c r="B4" s="197"/>
      <c r="C4" s="197" t="s">
        <v>21</v>
      </c>
      <c r="D4" s="197"/>
      <c r="E4" s="197"/>
      <c r="F4" s="197"/>
      <c r="G4" s="197"/>
      <c r="H4" s="197"/>
      <c r="I4" s="197"/>
      <c r="J4" s="196"/>
      <c r="M4" s="357"/>
    </row>
    <row r="5" spans="1:16" x14ac:dyDescent="0.2">
      <c r="A5" s="260"/>
      <c r="B5" s="197"/>
      <c r="C5" s="197"/>
      <c r="D5" s="197"/>
      <c r="E5" s="197"/>
      <c r="F5" s="197"/>
      <c r="G5" s="197"/>
      <c r="H5" s="197"/>
      <c r="I5" s="197"/>
      <c r="J5" s="196"/>
      <c r="L5" s="172" t="s">
        <v>593</v>
      </c>
      <c r="M5" s="172">
        <f>SUM(F9:F13)/SUM(E9:E13)</f>
        <v>2</v>
      </c>
    </row>
    <row r="6" spans="1:16" x14ac:dyDescent="0.2">
      <c r="A6" s="260"/>
      <c r="B6" s="197"/>
      <c r="C6" s="197"/>
      <c r="D6" s="416" t="s">
        <v>10</v>
      </c>
      <c r="E6" s="416"/>
      <c r="F6" s="416"/>
      <c r="G6" s="197"/>
      <c r="H6" s="197"/>
      <c r="I6" s="197"/>
      <c r="J6" s="196"/>
      <c r="N6" s="191"/>
      <c r="P6" s="436" t="s">
        <v>592</v>
      </c>
    </row>
    <row r="7" spans="1:16" x14ac:dyDescent="0.2">
      <c r="A7" s="260"/>
      <c r="B7" s="197"/>
      <c r="C7" s="197"/>
      <c r="D7" s="248" t="s">
        <v>429</v>
      </c>
      <c r="E7" s="248" t="s">
        <v>591</v>
      </c>
      <c r="F7" s="246" t="s">
        <v>590</v>
      </c>
      <c r="G7" s="197"/>
      <c r="H7" s="197"/>
      <c r="I7" s="197"/>
      <c r="J7" s="196"/>
      <c r="L7" s="192" t="s">
        <v>19</v>
      </c>
      <c r="M7" s="164" t="s">
        <v>589</v>
      </c>
      <c r="N7" s="192" t="s">
        <v>588</v>
      </c>
      <c r="O7" s="164" t="s">
        <v>587</v>
      </c>
      <c r="P7" s="437"/>
    </row>
    <row r="8" spans="1:16" x14ac:dyDescent="0.2">
      <c r="A8" s="260"/>
      <c r="B8" s="197"/>
      <c r="C8" s="197"/>
      <c r="D8" s="287" t="s">
        <v>422</v>
      </c>
      <c r="E8" s="287" t="s">
        <v>586</v>
      </c>
      <c r="F8" s="212" t="s">
        <v>467</v>
      </c>
      <c r="G8" s="197"/>
      <c r="H8" s="197"/>
      <c r="I8" s="197"/>
      <c r="J8" s="196"/>
      <c r="L8" s="191">
        <v>2009</v>
      </c>
      <c r="M8" s="169">
        <f>F9</f>
        <v>5000</v>
      </c>
      <c r="N8" s="356">
        <f>E9*$M$5</f>
        <v>6000</v>
      </c>
      <c r="O8" s="169">
        <f>E9</f>
        <v>3000</v>
      </c>
      <c r="P8" s="355">
        <f>(M8-N8)/SQRT(E9)</f>
        <v>-18.257418583505537</v>
      </c>
    </row>
    <row r="9" spans="1:16" x14ac:dyDescent="0.2">
      <c r="A9" s="260"/>
      <c r="B9" s="197"/>
      <c r="C9" s="197"/>
      <c r="D9" s="219">
        <v>2009</v>
      </c>
      <c r="E9" s="211">
        <v>3000</v>
      </c>
      <c r="F9" s="314">
        <v>5000</v>
      </c>
      <c r="G9" s="197"/>
      <c r="H9" s="197"/>
      <c r="I9" s="197"/>
      <c r="J9" s="196"/>
      <c r="L9" s="191">
        <v>2010</v>
      </c>
      <c r="M9" s="169">
        <f>F10</f>
        <v>8000</v>
      </c>
      <c r="N9" s="356">
        <f>E10*$M$5</f>
        <v>10000</v>
      </c>
      <c r="O9" s="169">
        <f>E10</f>
        <v>5000</v>
      </c>
      <c r="P9" s="355">
        <f>(M9-N9)/SQRT(E10)</f>
        <v>-28.284271247461898</v>
      </c>
    </row>
    <row r="10" spans="1:16" x14ac:dyDescent="0.2">
      <c r="A10" s="260"/>
      <c r="B10" s="197"/>
      <c r="C10" s="197"/>
      <c r="D10" s="219">
        <v>2010</v>
      </c>
      <c r="E10" s="211">
        <v>5000</v>
      </c>
      <c r="F10" s="314">
        <v>8000</v>
      </c>
      <c r="G10" s="197"/>
      <c r="H10" s="197"/>
      <c r="I10" s="197"/>
      <c r="J10" s="196"/>
      <c r="L10" s="191">
        <v>2011</v>
      </c>
      <c r="M10" s="169">
        <f>F11</f>
        <v>9000</v>
      </c>
      <c r="N10" s="356">
        <f>E11*$M$5</f>
        <v>5000</v>
      </c>
      <c r="O10" s="169">
        <f>E11</f>
        <v>2500</v>
      </c>
      <c r="P10" s="355">
        <f>(M10-N10)/SQRT(E11)</f>
        <v>80</v>
      </c>
    </row>
    <row r="11" spans="1:16" x14ac:dyDescent="0.2">
      <c r="A11" s="260"/>
      <c r="B11" s="197"/>
      <c r="C11" s="197"/>
      <c r="D11" s="219">
        <v>2011</v>
      </c>
      <c r="E11" s="211">
        <v>2500</v>
      </c>
      <c r="F11" s="314">
        <v>9000</v>
      </c>
      <c r="G11" s="197"/>
      <c r="H11" s="197"/>
      <c r="I11" s="197"/>
      <c r="J11" s="196"/>
      <c r="L11" s="191">
        <v>2012</v>
      </c>
      <c r="M11" s="169">
        <f>F12</f>
        <v>6000</v>
      </c>
      <c r="N11" s="356">
        <f>E12*$M$5</f>
        <v>6400</v>
      </c>
      <c r="O11" s="169">
        <f>E12</f>
        <v>3200</v>
      </c>
      <c r="P11" s="355">
        <f>(M11-N11)/SQRT(E12)</f>
        <v>-7.0710678118654746</v>
      </c>
    </row>
    <row r="12" spans="1:16" x14ac:dyDescent="0.2">
      <c r="A12" s="260"/>
      <c r="B12" s="197"/>
      <c r="C12" s="197"/>
      <c r="D12" s="219">
        <v>2012</v>
      </c>
      <c r="E12" s="211">
        <v>3200</v>
      </c>
      <c r="F12" s="314">
        <v>6000</v>
      </c>
      <c r="G12" s="197"/>
      <c r="H12" s="197"/>
      <c r="I12" s="197"/>
      <c r="J12" s="196"/>
      <c r="L12" s="191">
        <v>2013</v>
      </c>
      <c r="M12" s="169">
        <f>F13</f>
        <v>7000</v>
      </c>
      <c r="N12" s="356">
        <f>E13*$M$5</f>
        <v>7600</v>
      </c>
      <c r="O12" s="169">
        <f>E13</f>
        <v>3800</v>
      </c>
      <c r="P12" s="355">
        <f>(M12-N12)/SQRT(E13)</f>
        <v>-9.7332852678457513</v>
      </c>
    </row>
    <row r="13" spans="1:16" x14ac:dyDescent="0.2">
      <c r="A13" s="260"/>
      <c r="B13" s="204"/>
      <c r="C13" s="197"/>
      <c r="D13" s="219">
        <v>2013</v>
      </c>
      <c r="E13" s="211">
        <v>3800</v>
      </c>
      <c r="F13" s="314">
        <v>7000</v>
      </c>
      <c r="G13" s="197"/>
      <c r="H13" s="197"/>
      <c r="I13" s="197"/>
      <c r="J13" s="196"/>
    </row>
    <row r="14" spans="1:16" x14ac:dyDescent="0.2">
      <c r="A14" s="260"/>
      <c r="B14" s="204"/>
      <c r="C14" s="197"/>
      <c r="D14" s="216">
        <v>2014</v>
      </c>
      <c r="E14" s="214">
        <v>2500</v>
      </c>
      <c r="F14" s="212"/>
      <c r="G14" s="197"/>
      <c r="H14" s="197"/>
      <c r="I14" s="197"/>
      <c r="J14" s="196"/>
      <c r="O14" s="250" t="s">
        <v>585</v>
      </c>
    </row>
    <row r="15" spans="1:16" x14ac:dyDescent="0.2">
      <c r="A15" s="260"/>
      <c r="B15" s="204"/>
      <c r="C15" s="197"/>
      <c r="D15" s="197"/>
      <c r="E15" s="197"/>
      <c r="F15" s="197"/>
      <c r="G15" s="197"/>
      <c r="H15" s="197"/>
      <c r="I15" s="197"/>
      <c r="J15" s="196"/>
    </row>
    <row r="16" spans="1:16" x14ac:dyDescent="0.2">
      <c r="A16" s="260" t="s">
        <v>0</v>
      </c>
      <c r="B16" s="241" t="s">
        <v>584</v>
      </c>
      <c r="C16" s="197" t="s">
        <v>583</v>
      </c>
      <c r="D16" s="197"/>
      <c r="E16" s="197"/>
      <c r="F16" s="197"/>
      <c r="G16" s="197"/>
      <c r="H16" s="197"/>
      <c r="I16" s="197"/>
      <c r="J16" s="196"/>
    </row>
    <row r="17" spans="1:18" x14ac:dyDescent="0.2">
      <c r="A17" s="260"/>
      <c r="B17" s="204"/>
      <c r="C17" s="197" t="s">
        <v>582</v>
      </c>
      <c r="D17" s="197"/>
      <c r="E17" s="197"/>
      <c r="F17" s="197"/>
      <c r="G17" s="197"/>
      <c r="H17" s="197"/>
      <c r="I17" s="197"/>
      <c r="J17" s="196"/>
    </row>
    <row r="18" spans="1:18" x14ac:dyDescent="0.2">
      <c r="A18" s="260"/>
      <c r="B18" s="204"/>
      <c r="C18" s="197"/>
      <c r="D18" s="197"/>
      <c r="E18" s="197"/>
      <c r="F18" s="197"/>
      <c r="G18" s="197"/>
      <c r="H18" s="197"/>
      <c r="I18" s="197"/>
      <c r="J18" s="196"/>
    </row>
    <row r="19" spans="1:18" x14ac:dyDescent="0.2">
      <c r="A19" s="260" t="s">
        <v>1</v>
      </c>
      <c r="B19" s="241" t="s">
        <v>483</v>
      </c>
      <c r="C19" s="197" t="s">
        <v>581</v>
      </c>
      <c r="D19" s="197"/>
      <c r="E19" s="197"/>
      <c r="F19" s="197"/>
      <c r="G19" s="197"/>
      <c r="H19" s="197"/>
      <c r="I19" s="197"/>
      <c r="J19" s="196"/>
    </row>
    <row r="20" spans="1:18" x14ac:dyDescent="0.2">
      <c r="A20" s="260"/>
      <c r="B20" s="204"/>
      <c r="C20" s="197" t="s">
        <v>580</v>
      </c>
      <c r="D20" s="197"/>
      <c r="E20" s="197"/>
      <c r="F20" s="197"/>
      <c r="G20" s="197"/>
      <c r="H20" s="197"/>
      <c r="I20" s="197"/>
      <c r="J20" s="196"/>
    </row>
    <row r="21" spans="1:18" x14ac:dyDescent="0.2">
      <c r="A21" s="260"/>
      <c r="B21" s="204"/>
      <c r="C21" s="197" t="s">
        <v>579</v>
      </c>
      <c r="D21" s="197"/>
      <c r="E21" s="197"/>
      <c r="F21" s="197"/>
      <c r="G21" s="197"/>
      <c r="H21" s="197"/>
      <c r="I21" s="197"/>
      <c r="J21" s="196"/>
    </row>
    <row r="22" spans="1:18" ht="17" thickBot="1" x14ac:dyDescent="0.25">
      <c r="A22" s="260"/>
      <c r="B22" s="204"/>
      <c r="C22" s="197"/>
      <c r="D22" s="197"/>
      <c r="E22" s="197"/>
      <c r="F22" s="197"/>
      <c r="G22" s="197"/>
      <c r="H22" s="197"/>
      <c r="I22" s="197"/>
      <c r="J22" s="196"/>
    </row>
    <row r="23" spans="1:18" ht="17" thickBot="1" x14ac:dyDescent="0.25">
      <c r="A23" s="280" t="s">
        <v>205</v>
      </c>
      <c r="B23" s="194"/>
      <c r="C23" s="279"/>
      <c r="D23" s="194"/>
      <c r="E23" s="194"/>
      <c r="F23" s="194"/>
      <c r="G23" s="194"/>
      <c r="H23" s="194"/>
      <c r="I23" s="194"/>
      <c r="J23" s="193"/>
    </row>
    <row r="29" spans="1:18" x14ac:dyDescent="0.2">
      <c r="L29" s="251" t="s">
        <v>411</v>
      </c>
    </row>
    <row r="30" spans="1:18" x14ac:dyDescent="0.2">
      <c r="L30" s="438" t="s">
        <v>578</v>
      </c>
      <c r="M30" s="438"/>
      <c r="N30" s="438"/>
      <c r="O30" s="438"/>
      <c r="P30" s="438"/>
      <c r="Q30" s="438"/>
      <c r="R30" s="438"/>
    </row>
    <row r="31" spans="1:18" x14ac:dyDescent="0.2">
      <c r="L31" s="438"/>
      <c r="M31" s="438"/>
      <c r="N31" s="438"/>
      <c r="O31" s="438"/>
      <c r="P31" s="438"/>
      <c r="Q31" s="438"/>
      <c r="R31" s="438"/>
    </row>
    <row r="33" spans="12:18" x14ac:dyDescent="0.2">
      <c r="L33" s="354" t="s">
        <v>409</v>
      </c>
    </row>
    <row r="34" spans="12:18" x14ac:dyDescent="0.2">
      <c r="L34" s="419" t="s">
        <v>577</v>
      </c>
      <c r="M34" s="419"/>
      <c r="N34" s="419"/>
      <c r="O34" s="419"/>
      <c r="P34" s="419"/>
      <c r="Q34" s="419"/>
      <c r="R34" s="419"/>
    </row>
    <row r="35" spans="12:18" x14ac:dyDescent="0.2">
      <c r="L35" s="419"/>
      <c r="M35" s="419"/>
      <c r="N35" s="419"/>
      <c r="O35" s="419"/>
      <c r="P35" s="419"/>
      <c r="Q35" s="419"/>
      <c r="R35" s="419"/>
    </row>
    <row r="36" spans="12:18" x14ac:dyDescent="0.2">
      <c r="L36" s="419"/>
      <c r="M36" s="419"/>
      <c r="N36" s="419"/>
      <c r="O36" s="419"/>
      <c r="P36" s="419"/>
      <c r="Q36" s="419"/>
      <c r="R36" s="419"/>
    </row>
    <row r="37" spans="12:18" x14ac:dyDescent="0.2">
      <c r="L37" s="419"/>
      <c r="M37" s="419"/>
      <c r="N37" s="419"/>
      <c r="O37" s="419"/>
      <c r="P37" s="419"/>
      <c r="Q37" s="419"/>
      <c r="R37" s="419"/>
    </row>
    <row r="38" spans="12:18" x14ac:dyDescent="0.2">
      <c r="L38" s="419"/>
      <c r="M38" s="419"/>
      <c r="N38" s="419"/>
      <c r="O38" s="419"/>
      <c r="P38" s="419"/>
      <c r="Q38" s="419"/>
      <c r="R38" s="419"/>
    </row>
    <row r="39" spans="12:18" x14ac:dyDescent="0.2">
      <c r="L39" s="419"/>
      <c r="M39" s="419"/>
      <c r="N39" s="419"/>
      <c r="O39" s="419"/>
      <c r="P39" s="419"/>
      <c r="Q39" s="419"/>
      <c r="R39" s="419"/>
    </row>
    <row r="40" spans="12:18" x14ac:dyDescent="0.2">
      <c r="L40" s="419"/>
      <c r="M40" s="419"/>
      <c r="N40" s="419"/>
      <c r="O40" s="419"/>
      <c r="P40" s="419"/>
      <c r="Q40" s="419"/>
      <c r="R40" s="419"/>
    </row>
    <row r="41" spans="12:18" x14ac:dyDescent="0.2">
      <c r="M41" s="334"/>
    </row>
    <row r="42" spans="12:18" x14ac:dyDescent="0.2">
      <c r="M42" s="334"/>
    </row>
    <row r="43" spans="12:18" ht="19" x14ac:dyDescent="0.25">
      <c r="L43" s="156" t="s">
        <v>200</v>
      </c>
      <c r="M43" s="238"/>
      <c r="N43"/>
      <c r="O43"/>
    </row>
    <row r="44" spans="12:18" x14ac:dyDescent="0.2">
      <c r="L44" s="418" t="s">
        <v>576</v>
      </c>
      <c r="M44" s="418"/>
      <c r="N44" s="418"/>
      <c r="O44" s="418"/>
      <c r="P44" s="418"/>
      <c r="Q44" s="418"/>
      <c r="R44" s="418"/>
    </row>
    <row r="45" spans="12:18" x14ac:dyDescent="0.2">
      <c r="L45" s="418"/>
      <c r="M45" s="418"/>
      <c r="N45" s="418"/>
      <c r="O45" s="418"/>
      <c r="P45" s="418"/>
      <c r="Q45" s="418"/>
      <c r="R45" s="418"/>
    </row>
    <row r="46" spans="12:18" x14ac:dyDescent="0.2">
      <c r="L46"/>
      <c r="M46"/>
      <c r="N46"/>
      <c r="O46"/>
    </row>
    <row r="47" spans="12:18" ht="19" x14ac:dyDescent="0.25">
      <c r="L47" s="156" t="s">
        <v>236</v>
      </c>
      <c r="M47"/>
      <c r="N47"/>
      <c r="O47"/>
    </row>
    <row r="48" spans="12:18" x14ac:dyDescent="0.2">
      <c r="L48" s="250" t="s">
        <v>406</v>
      </c>
    </row>
  </sheetData>
  <mergeCells count="5">
    <mergeCell ref="D6:F6"/>
    <mergeCell ref="L34:R40"/>
    <mergeCell ref="L44:R45"/>
    <mergeCell ref="P6:P7"/>
    <mergeCell ref="L30:R3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10AB4-9DC0-C94E-94E2-1EDA1B745FC7}">
  <dimension ref="A1:V54"/>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2" max="14" width="10.83203125" hidden="1" customWidth="1" outlineLevel="1"/>
    <col min="15" max="15" width="11.5" hidden="1" customWidth="1" outlineLevel="1"/>
    <col min="16" max="18" width="10.83203125" hidden="1" customWidth="1" outlineLevel="1"/>
    <col min="19" max="19" width="11" collapsed="1"/>
  </cols>
  <sheetData>
    <row r="1" spans="1:16" x14ac:dyDescent="0.2">
      <c r="A1" s="292"/>
      <c r="B1" s="229" t="s">
        <v>438</v>
      </c>
      <c r="C1" s="228" t="s">
        <v>613</v>
      </c>
      <c r="D1" s="228" t="s">
        <v>436</v>
      </c>
      <c r="E1" s="228" t="s">
        <v>435</v>
      </c>
      <c r="F1" s="227"/>
      <c r="G1" s="227"/>
      <c r="H1" s="227"/>
      <c r="I1" s="227"/>
      <c r="J1" s="226"/>
      <c r="K1" s="166" t="s">
        <v>206</v>
      </c>
      <c r="L1" s="166"/>
    </row>
    <row r="2" spans="1:16" x14ac:dyDescent="0.2">
      <c r="A2" s="260"/>
      <c r="B2" s="291" t="s">
        <v>434</v>
      </c>
      <c r="C2" s="290">
        <v>2</v>
      </c>
      <c r="D2" s="197"/>
      <c r="E2" s="197"/>
      <c r="F2" s="197"/>
      <c r="G2" s="197"/>
      <c r="H2" s="197"/>
      <c r="I2" s="197"/>
      <c r="J2" s="196"/>
    </row>
    <row r="3" spans="1:16" x14ac:dyDescent="0.2">
      <c r="A3" s="260"/>
      <c r="B3" s="197"/>
      <c r="C3" s="197"/>
      <c r="D3" s="197"/>
      <c r="E3" s="197"/>
      <c r="F3" s="197"/>
      <c r="G3" s="197"/>
      <c r="H3" s="197"/>
      <c r="I3" s="197"/>
      <c r="J3" s="196"/>
      <c r="L3" s="166" t="s">
        <v>433</v>
      </c>
      <c r="M3" s="317"/>
    </row>
    <row r="4" spans="1:16" ht="20" x14ac:dyDescent="0.25">
      <c r="A4" s="260"/>
      <c r="B4" s="197"/>
      <c r="C4" s="197" t="s">
        <v>21</v>
      </c>
      <c r="D4" s="197"/>
      <c r="E4" s="197"/>
      <c r="F4" s="197"/>
      <c r="G4" s="197"/>
      <c r="H4" s="197"/>
      <c r="I4" s="197"/>
      <c r="J4" s="196"/>
      <c r="L4" t="s">
        <v>612</v>
      </c>
      <c r="M4" s="317"/>
    </row>
    <row r="5" spans="1:16" ht="17" thickBot="1" x14ac:dyDescent="0.25">
      <c r="A5" s="260"/>
      <c r="B5" s="197"/>
      <c r="C5" s="197"/>
      <c r="D5" s="197"/>
      <c r="E5" s="197"/>
      <c r="F5" s="197"/>
      <c r="G5" s="197"/>
      <c r="H5" s="197"/>
      <c r="I5" s="197"/>
      <c r="J5" s="196"/>
    </row>
    <row r="6" spans="1:16" ht="17" thickBot="1" x14ac:dyDescent="0.25">
      <c r="A6" s="260"/>
      <c r="B6" s="197"/>
      <c r="C6" s="197"/>
      <c r="D6" s="416" t="s">
        <v>611</v>
      </c>
      <c r="E6" s="416"/>
      <c r="F6" s="416"/>
      <c r="G6" s="197"/>
      <c r="H6" s="197"/>
      <c r="I6" s="197"/>
      <c r="J6" s="196"/>
      <c r="L6" s="177" t="s">
        <v>610</v>
      </c>
      <c r="M6" s="362">
        <f>SUMPRODUCT(E9:E13,F9:F13)/SUMPRODUCT(E9:E13,E9:E13)</f>
        <v>2.0603520536462701</v>
      </c>
    </row>
    <row r="7" spans="1:16" x14ac:dyDescent="0.2">
      <c r="A7" s="260"/>
      <c r="B7" s="197"/>
      <c r="C7" s="197"/>
      <c r="D7" s="248" t="s">
        <v>469</v>
      </c>
      <c r="E7" s="248">
        <v>12</v>
      </c>
      <c r="F7" s="246">
        <v>24</v>
      </c>
      <c r="G7" s="197"/>
      <c r="H7" s="197"/>
      <c r="I7" s="197"/>
      <c r="J7" s="196"/>
      <c r="M7" s="233"/>
    </row>
    <row r="8" spans="1:16" x14ac:dyDescent="0.2">
      <c r="A8" s="260"/>
      <c r="B8" s="197"/>
      <c r="C8" s="197"/>
      <c r="D8" s="287" t="s">
        <v>571</v>
      </c>
      <c r="E8" s="287" t="s">
        <v>467</v>
      </c>
      <c r="F8" s="212" t="s">
        <v>467</v>
      </c>
      <c r="G8" s="197"/>
      <c r="H8" s="197"/>
      <c r="I8" s="197"/>
      <c r="J8" s="196"/>
      <c r="L8" s="166" t="s">
        <v>409</v>
      </c>
      <c r="M8" s="166"/>
    </row>
    <row r="9" spans="1:16" x14ac:dyDescent="0.2">
      <c r="A9" s="260"/>
      <c r="B9" s="197"/>
      <c r="C9" s="197"/>
      <c r="D9" s="219">
        <v>2011</v>
      </c>
      <c r="E9" s="218">
        <v>1000</v>
      </c>
      <c r="F9" s="314">
        <v>1950</v>
      </c>
      <c r="G9" s="197"/>
      <c r="H9" s="197"/>
      <c r="I9" s="197"/>
      <c r="J9" s="196"/>
      <c r="L9" s="166"/>
      <c r="M9" s="166"/>
      <c r="N9" s="329"/>
      <c r="O9" s="163"/>
      <c r="P9" s="439" t="s">
        <v>609</v>
      </c>
    </row>
    <row r="10" spans="1:16" x14ac:dyDescent="0.2">
      <c r="A10" s="260"/>
      <c r="B10" s="197"/>
      <c r="C10" s="197"/>
      <c r="D10" s="219">
        <v>2012</v>
      </c>
      <c r="E10" s="211">
        <v>1200</v>
      </c>
      <c r="F10" s="314">
        <v>2650</v>
      </c>
      <c r="G10" s="197"/>
      <c r="H10" s="197"/>
      <c r="I10" s="197"/>
      <c r="J10" s="196"/>
      <c r="L10" s="305" t="s">
        <v>19</v>
      </c>
      <c r="M10" s="305" t="s">
        <v>608</v>
      </c>
      <c r="N10" s="303" t="s">
        <v>607</v>
      </c>
      <c r="O10" s="305" t="s">
        <v>606</v>
      </c>
      <c r="P10" s="440"/>
    </row>
    <row r="11" spans="1:16" x14ac:dyDescent="0.2">
      <c r="A11" s="260"/>
      <c r="B11" s="197"/>
      <c r="C11" s="197"/>
      <c r="D11" s="219">
        <v>2013</v>
      </c>
      <c r="E11" s="211">
        <v>1800</v>
      </c>
      <c r="F11" s="314">
        <v>3500</v>
      </c>
      <c r="G11" s="197"/>
      <c r="H11" s="197"/>
      <c r="I11" s="197"/>
      <c r="J11" s="196"/>
      <c r="L11" s="306">
        <v>2011</v>
      </c>
      <c r="M11" s="361">
        <f t="shared" ref="M11:N15" si="0">E9</f>
        <v>1000</v>
      </c>
      <c r="N11" s="321">
        <f t="shared" si="0"/>
        <v>1950</v>
      </c>
      <c r="O11" s="361">
        <f>E9*$M$6</f>
        <v>2060.3520536462702</v>
      </c>
      <c r="P11" s="321">
        <f>N11-O11</f>
        <v>-110.35205364627018</v>
      </c>
    </row>
    <row r="12" spans="1:16" x14ac:dyDescent="0.2">
      <c r="A12" s="260"/>
      <c r="B12" s="197"/>
      <c r="C12" s="197"/>
      <c r="D12" s="219">
        <v>2014</v>
      </c>
      <c r="E12" s="211">
        <v>1500</v>
      </c>
      <c r="F12" s="314">
        <v>3300</v>
      </c>
      <c r="G12" s="197"/>
      <c r="H12" s="197"/>
      <c r="I12" s="197"/>
      <c r="J12" s="196"/>
      <c r="L12" s="306">
        <v>2012</v>
      </c>
      <c r="M12" s="361">
        <f t="shared" si="0"/>
        <v>1200</v>
      </c>
      <c r="N12" s="321">
        <f t="shared" si="0"/>
        <v>2650</v>
      </c>
      <c r="O12" s="361">
        <f>E10*$M$6</f>
        <v>2472.4224643755242</v>
      </c>
      <c r="P12" s="321">
        <f>N12-O12</f>
        <v>177.57753562447579</v>
      </c>
    </row>
    <row r="13" spans="1:16" x14ac:dyDescent="0.2">
      <c r="A13" s="260"/>
      <c r="B13" s="204"/>
      <c r="C13" s="197"/>
      <c r="D13" s="219">
        <v>2015</v>
      </c>
      <c r="E13" s="211">
        <v>2000</v>
      </c>
      <c r="F13" s="314">
        <v>4100</v>
      </c>
      <c r="G13" s="197"/>
      <c r="H13" s="197"/>
      <c r="I13" s="197"/>
      <c r="J13" s="196"/>
      <c r="L13" s="306">
        <v>2013</v>
      </c>
      <c r="M13" s="361">
        <f t="shared" si="0"/>
        <v>1800</v>
      </c>
      <c r="N13" s="321">
        <f t="shared" si="0"/>
        <v>3500</v>
      </c>
      <c r="O13" s="361">
        <f>E11*$M$6</f>
        <v>3708.6336965632863</v>
      </c>
      <c r="P13" s="321">
        <f>N13-O13</f>
        <v>-208.63369656328632</v>
      </c>
    </row>
    <row r="14" spans="1:16" x14ac:dyDescent="0.2">
      <c r="A14" s="260"/>
      <c r="B14" s="204"/>
      <c r="C14" s="197"/>
      <c r="D14" s="216">
        <v>2016</v>
      </c>
      <c r="E14" s="214">
        <v>2400</v>
      </c>
      <c r="F14" s="212"/>
      <c r="G14" s="197"/>
      <c r="H14" s="197"/>
      <c r="I14" s="197"/>
      <c r="J14" s="196"/>
      <c r="L14" s="306">
        <v>2014</v>
      </c>
      <c r="M14" s="361">
        <f t="shared" si="0"/>
        <v>1500</v>
      </c>
      <c r="N14" s="321">
        <f t="shared" si="0"/>
        <v>3300</v>
      </c>
      <c r="O14" s="361">
        <f>E12*$M$6</f>
        <v>3090.5280804694053</v>
      </c>
      <c r="P14" s="321">
        <f>N14-O14</f>
        <v>209.47191953059473</v>
      </c>
    </row>
    <row r="15" spans="1:16" x14ac:dyDescent="0.2">
      <c r="A15" s="260"/>
      <c r="B15" s="204"/>
      <c r="C15" s="197"/>
      <c r="D15" s="197"/>
      <c r="E15" s="197"/>
      <c r="F15" s="197"/>
      <c r="G15" s="197"/>
      <c r="H15" s="197"/>
      <c r="I15" s="197"/>
      <c r="J15" s="196"/>
      <c r="L15" s="306">
        <v>2015</v>
      </c>
      <c r="M15" s="361">
        <f t="shared" si="0"/>
        <v>2000</v>
      </c>
      <c r="N15" s="321">
        <f t="shared" si="0"/>
        <v>4100</v>
      </c>
      <c r="O15" s="361">
        <f>E13*$M$6</f>
        <v>4120.7041072925404</v>
      </c>
      <c r="P15" s="321">
        <f>N15-O15</f>
        <v>-20.704107292540357</v>
      </c>
    </row>
    <row r="16" spans="1:16" ht="18.75" customHeight="1" x14ac:dyDescent="0.25">
      <c r="A16" s="260"/>
      <c r="B16" s="204"/>
      <c r="C16" s="197" t="s">
        <v>605</v>
      </c>
      <c r="D16" s="197"/>
      <c r="E16" s="197" t="s">
        <v>604</v>
      </c>
      <c r="F16" s="197"/>
      <c r="G16" s="197"/>
      <c r="H16" s="197"/>
      <c r="I16" s="197"/>
      <c r="J16" s="196"/>
      <c r="L16" s="166"/>
    </row>
    <row r="17" spans="1:13" ht="16" customHeight="1" x14ac:dyDescent="0.2">
      <c r="A17" s="260"/>
      <c r="B17" s="204"/>
      <c r="C17" s="197" t="s">
        <v>603</v>
      </c>
      <c r="D17" s="197"/>
      <c r="E17" s="197"/>
      <c r="F17" s="197"/>
      <c r="G17" s="197"/>
      <c r="H17" s="197"/>
      <c r="I17" s="197"/>
      <c r="J17" s="196"/>
    </row>
    <row r="18" spans="1:13" ht="15.5" customHeight="1" x14ac:dyDescent="0.2">
      <c r="A18" s="260"/>
      <c r="B18" s="204"/>
      <c r="C18" s="197"/>
      <c r="D18" s="197"/>
      <c r="E18" s="197"/>
      <c r="F18" s="197"/>
      <c r="G18" s="197"/>
      <c r="H18" s="197"/>
      <c r="I18" s="197"/>
      <c r="J18" s="196"/>
    </row>
    <row r="19" spans="1:13" x14ac:dyDescent="0.2">
      <c r="A19" s="260" t="s">
        <v>0</v>
      </c>
      <c r="B19" s="241" t="s">
        <v>449</v>
      </c>
      <c r="C19" s="197" t="s">
        <v>602</v>
      </c>
      <c r="D19" s="197"/>
      <c r="E19" s="197"/>
      <c r="F19" s="197"/>
      <c r="G19" s="197"/>
      <c r="H19" s="197"/>
      <c r="I19" s="197"/>
      <c r="J19" s="196"/>
    </row>
    <row r="20" spans="1:13" x14ac:dyDescent="0.2">
      <c r="A20" s="260"/>
      <c r="B20" s="204"/>
      <c r="C20" s="197" t="s">
        <v>601</v>
      </c>
      <c r="D20" s="197"/>
      <c r="E20" s="197"/>
      <c r="F20" s="197"/>
      <c r="G20" s="197"/>
      <c r="H20" s="197"/>
      <c r="I20" s="197"/>
      <c r="J20" s="196"/>
      <c r="M20" s="330"/>
    </row>
    <row r="21" spans="1:13" x14ac:dyDescent="0.2">
      <c r="A21" s="260"/>
      <c r="B21" s="204"/>
      <c r="C21" s="197"/>
      <c r="D21" s="197"/>
      <c r="E21" s="197"/>
      <c r="F21" s="197"/>
      <c r="G21" s="197"/>
      <c r="H21" s="197"/>
      <c r="I21" s="197"/>
      <c r="J21" s="196"/>
      <c r="M21" s="330"/>
    </row>
    <row r="22" spans="1:13" x14ac:dyDescent="0.2">
      <c r="A22" s="260" t="s">
        <v>1</v>
      </c>
      <c r="B22" s="241" t="s">
        <v>449</v>
      </c>
      <c r="C22" s="197" t="s">
        <v>600</v>
      </c>
      <c r="D22" s="197"/>
      <c r="E22" s="197"/>
      <c r="F22" s="197"/>
      <c r="G22" s="197"/>
      <c r="H22" s="197"/>
      <c r="I22" s="197"/>
      <c r="J22" s="196"/>
    </row>
    <row r="23" spans="1:13" x14ac:dyDescent="0.2">
      <c r="A23" s="260"/>
      <c r="B23" s="197"/>
      <c r="C23" s="197" t="s">
        <v>599</v>
      </c>
      <c r="D23" s="197"/>
      <c r="E23" s="197"/>
      <c r="F23" s="197"/>
      <c r="G23" s="197"/>
      <c r="H23" s="197"/>
      <c r="I23" s="197"/>
      <c r="J23" s="196"/>
      <c r="M23" s="238"/>
    </row>
    <row r="24" spans="1:13" ht="17" thickBot="1" x14ac:dyDescent="0.25">
      <c r="A24" s="260"/>
      <c r="B24" s="197"/>
      <c r="C24" s="209"/>
      <c r="D24" s="197"/>
      <c r="E24" s="197"/>
      <c r="F24" s="197"/>
      <c r="G24" s="197"/>
      <c r="H24" s="197"/>
      <c r="I24" s="197"/>
      <c r="J24" s="196"/>
    </row>
    <row r="25" spans="1:13" ht="17" thickBot="1" x14ac:dyDescent="0.25">
      <c r="A25" s="280" t="s">
        <v>205</v>
      </c>
      <c r="B25" s="194"/>
      <c r="C25" s="279"/>
      <c r="D25" s="194"/>
      <c r="E25" s="194"/>
      <c r="F25" s="194"/>
      <c r="G25" s="194"/>
      <c r="H25" s="194"/>
      <c r="I25" s="194"/>
      <c r="J25" s="193"/>
      <c r="L25" s="166"/>
      <c r="M25" s="329"/>
    </row>
    <row r="32" spans="1:13" x14ac:dyDescent="0.2">
      <c r="L32" s="170" t="s">
        <v>598</v>
      </c>
    </row>
    <row r="33" spans="12:22" x14ac:dyDescent="0.2">
      <c r="L33" t="s">
        <v>597</v>
      </c>
    </row>
    <row r="35" spans="12:22" x14ac:dyDescent="0.2">
      <c r="L35" s="251" t="s">
        <v>411</v>
      </c>
      <c r="M35" s="172"/>
      <c r="N35" s="172"/>
      <c r="O35" s="172"/>
    </row>
    <row r="36" spans="12:22" x14ac:dyDescent="0.2">
      <c r="L36" s="438" t="s">
        <v>578</v>
      </c>
      <c r="M36" s="438"/>
      <c r="N36" s="438"/>
      <c r="O36" s="438"/>
      <c r="P36" s="438"/>
      <c r="Q36" s="438"/>
      <c r="R36" s="438"/>
    </row>
    <row r="37" spans="12:22" x14ac:dyDescent="0.2">
      <c r="L37" s="438"/>
      <c r="M37" s="438"/>
      <c r="N37" s="438"/>
      <c r="O37" s="438"/>
      <c r="P37" s="438"/>
      <c r="Q37" s="438"/>
      <c r="R37" s="438"/>
    </row>
    <row r="39" spans="12:22" x14ac:dyDescent="0.2">
      <c r="L39" s="4"/>
      <c r="M39" s="15"/>
      <c r="N39" s="360"/>
      <c r="O39" s="360"/>
      <c r="P39" s="360"/>
      <c r="Q39" s="360"/>
      <c r="U39" s="359"/>
      <c r="V39" s="359"/>
    </row>
    <row r="40" spans="12:22" ht="19" x14ac:dyDescent="0.25">
      <c r="L40" s="156" t="s">
        <v>200</v>
      </c>
      <c r="U40" s="359"/>
      <c r="V40" s="359"/>
    </row>
    <row r="41" spans="12:22" x14ac:dyDescent="0.2">
      <c r="L41" s="419" t="s">
        <v>596</v>
      </c>
      <c r="M41" s="419"/>
      <c r="N41" s="419"/>
      <c r="O41" s="419"/>
      <c r="P41" s="419"/>
      <c r="Q41" s="419"/>
      <c r="R41" s="419"/>
      <c r="U41" s="359"/>
      <c r="V41" s="359"/>
    </row>
    <row r="42" spans="12:22" x14ac:dyDescent="0.2">
      <c r="L42" s="419"/>
      <c r="M42" s="419"/>
      <c r="N42" s="419"/>
      <c r="O42" s="419"/>
      <c r="P42" s="419"/>
      <c r="Q42" s="419"/>
      <c r="R42" s="419"/>
      <c r="U42" s="359"/>
      <c r="V42" s="359"/>
    </row>
    <row r="43" spans="12:22" x14ac:dyDescent="0.2">
      <c r="L43" s="419"/>
      <c r="M43" s="419"/>
      <c r="N43" s="419"/>
      <c r="O43" s="419"/>
      <c r="P43" s="419"/>
      <c r="Q43" s="419"/>
      <c r="R43" s="419"/>
      <c r="U43" s="359"/>
      <c r="V43" s="359"/>
    </row>
    <row r="44" spans="12:22" x14ac:dyDescent="0.2">
      <c r="U44" s="359"/>
      <c r="V44" s="359"/>
    </row>
    <row r="45" spans="12:22" ht="19" x14ac:dyDescent="0.25">
      <c r="L45" s="156" t="s">
        <v>236</v>
      </c>
      <c r="U45" s="359"/>
      <c r="V45" s="359"/>
    </row>
    <row r="46" spans="12:22" x14ac:dyDescent="0.2">
      <c r="L46" t="s">
        <v>595</v>
      </c>
      <c r="U46" s="359"/>
      <c r="V46" s="359"/>
    </row>
    <row r="47" spans="12:22" x14ac:dyDescent="0.2">
      <c r="L47" s="360"/>
      <c r="M47" s="360"/>
      <c r="N47" s="360"/>
      <c r="O47" s="360"/>
      <c r="P47" s="360"/>
      <c r="Q47" s="360"/>
      <c r="U47" s="359"/>
      <c r="V47" s="359"/>
    </row>
    <row r="48" spans="12:22" x14ac:dyDescent="0.2">
      <c r="L48" s="360"/>
      <c r="M48" s="360"/>
      <c r="N48" s="360"/>
      <c r="O48" s="360"/>
      <c r="P48" s="360"/>
      <c r="Q48" s="360"/>
      <c r="U48" s="359"/>
      <c r="V48" s="359"/>
    </row>
    <row r="49" spans="12:22" x14ac:dyDescent="0.2">
      <c r="L49" s="360"/>
      <c r="M49" s="360"/>
      <c r="N49" s="360"/>
      <c r="O49" s="360"/>
      <c r="P49" s="360"/>
      <c r="Q49" s="360"/>
      <c r="U49" s="359"/>
      <c r="V49" s="359"/>
    </row>
    <row r="50" spans="12:22" x14ac:dyDescent="0.2">
      <c r="L50" s="360"/>
      <c r="M50" s="360"/>
      <c r="N50" s="360"/>
      <c r="O50" s="360"/>
      <c r="P50" s="360"/>
      <c r="Q50" s="360"/>
      <c r="R50" s="360"/>
      <c r="S50" s="360"/>
      <c r="T50" s="360"/>
      <c r="U50" s="359"/>
      <c r="V50" s="359"/>
    </row>
    <row r="51" spans="12:22" x14ac:dyDescent="0.2">
      <c r="L51" s="360"/>
      <c r="M51" s="360"/>
      <c r="N51" s="360"/>
      <c r="O51" s="360"/>
      <c r="P51" s="360"/>
      <c r="Q51" s="360"/>
      <c r="R51" s="359"/>
      <c r="S51" s="360"/>
      <c r="T51" s="360"/>
      <c r="U51" s="359"/>
      <c r="V51" s="359"/>
    </row>
    <row r="52" spans="12:22" x14ac:dyDescent="0.2">
      <c r="L52" s="360"/>
      <c r="M52" s="360"/>
      <c r="N52" s="360"/>
      <c r="O52" s="360"/>
      <c r="P52" s="360"/>
      <c r="Q52" s="360"/>
      <c r="R52" s="360"/>
      <c r="S52" s="360"/>
      <c r="T52" s="360"/>
      <c r="U52" s="359"/>
      <c r="V52" s="359"/>
    </row>
    <row r="53" spans="12:22" x14ac:dyDescent="0.2">
      <c r="L53" s="360"/>
      <c r="M53" s="360"/>
      <c r="N53" s="360"/>
      <c r="O53" s="360"/>
      <c r="P53" s="360"/>
      <c r="Q53" s="360"/>
      <c r="R53" s="360"/>
      <c r="S53" s="360"/>
      <c r="T53" s="360"/>
      <c r="U53" s="359"/>
      <c r="V53" s="359"/>
    </row>
    <row r="54" spans="12:22" x14ac:dyDescent="0.2">
      <c r="L54" s="360"/>
      <c r="M54" s="360"/>
      <c r="N54" s="360"/>
      <c r="O54" s="360"/>
      <c r="P54" s="360"/>
      <c r="Q54" s="360"/>
      <c r="R54" s="360"/>
      <c r="S54" s="360"/>
      <c r="T54" s="360"/>
      <c r="U54" s="359"/>
      <c r="V54" s="359"/>
    </row>
  </sheetData>
  <mergeCells count="4">
    <mergeCell ref="D6:F6"/>
    <mergeCell ref="P9:P10"/>
    <mergeCell ref="L41:R43"/>
    <mergeCell ref="L36:R3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80C21-61DD-C243-AD1C-F2DB9774CDAA}">
  <dimension ref="A1:S36"/>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3" max="10" width="10.83203125" customWidth="1"/>
    <col min="11" max="11" width="11" customWidth="1"/>
    <col min="12" max="12" width="13" hidden="1" customWidth="1" outlineLevel="1"/>
    <col min="13" max="13" width="12.33203125" hidden="1" customWidth="1" outlineLevel="1"/>
    <col min="14" max="18" width="10.83203125" hidden="1" customWidth="1" outlineLevel="1"/>
    <col min="19" max="19" width="11" collapsed="1"/>
  </cols>
  <sheetData>
    <row r="1" spans="1:18" x14ac:dyDescent="0.2">
      <c r="A1" s="292"/>
      <c r="B1" s="229" t="s">
        <v>438</v>
      </c>
      <c r="C1" s="228" t="s">
        <v>613</v>
      </c>
      <c r="D1" s="228" t="s">
        <v>436</v>
      </c>
      <c r="E1" s="228" t="s">
        <v>636</v>
      </c>
      <c r="F1" s="227"/>
      <c r="G1" s="227"/>
      <c r="H1" s="227"/>
      <c r="I1" s="227"/>
      <c r="J1" s="226"/>
      <c r="K1" s="166" t="s">
        <v>206</v>
      </c>
      <c r="L1" s="166"/>
    </row>
    <row r="2" spans="1:18" x14ac:dyDescent="0.2">
      <c r="A2" s="260"/>
      <c r="B2" s="291" t="s">
        <v>434</v>
      </c>
      <c r="C2" s="290">
        <v>2.75</v>
      </c>
      <c r="D2" s="197"/>
      <c r="E2" s="197"/>
      <c r="F2" s="197"/>
      <c r="G2" s="197"/>
      <c r="H2" s="197"/>
      <c r="I2" s="197"/>
      <c r="J2" s="196"/>
    </row>
    <row r="3" spans="1:18" x14ac:dyDescent="0.2">
      <c r="A3" s="260"/>
      <c r="B3" s="197"/>
      <c r="C3" s="197"/>
      <c r="D3" s="197"/>
      <c r="E3" s="197"/>
      <c r="F3" s="197"/>
      <c r="G3" s="197"/>
      <c r="H3" s="197"/>
      <c r="I3" s="197"/>
      <c r="J3" s="196"/>
      <c r="L3" s="166" t="s">
        <v>433</v>
      </c>
      <c r="M3" s="317"/>
    </row>
    <row r="4" spans="1:18" x14ac:dyDescent="0.2">
      <c r="A4" s="260"/>
      <c r="B4" s="197"/>
      <c r="C4" s="197" t="s">
        <v>21</v>
      </c>
      <c r="D4" s="197"/>
      <c r="E4" s="197"/>
      <c r="F4" s="197"/>
      <c r="G4" s="197"/>
      <c r="H4" s="197"/>
      <c r="I4" s="197"/>
      <c r="J4" s="196"/>
      <c r="L4" s="418" t="s">
        <v>635</v>
      </c>
      <c r="M4" s="418"/>
      <c r="N4" s="418"/>
      <c r="O4" s="418"/>
      <c r="P4" s="418"/>
      <c r="Q4" s="418"/>
      <c r="R4" s="418"/>
    </row>
    <row r="5" spans="1:18" x14ac:dyDescent="0.2">
      <c r="A5" s="260"/>
      <c r="B5" s="197"/>
      <c r="C5" s="197"/>
      <c r="D5" s="197"/>
      <c r="E5" s="197"/>
      <c r="F5" s="197"/>
      <c r="G5" s="197"/>
      <c r="H5" s="197"/>
      <c r="I5" s="197"/>
      <c r="J5" s="196"/>
      <c r="L5" s="418"/>
      <c r="M5" s="418"/>
      <c r="N5" s="418"/>
      <c r="O5" s="418"/>
      <c r="P5" s="418"/>
      <c r="Q5" s="418"/>
      <c r="R5" s="418"/>
    </row>
    <row r="6" spans="1:18" x14ac:dyDescent="0.2">
      <c r="A6" s="260"/>
      <c r="B6" s="197"/>
      <c r="C6" s="416" t="s">
        <v>634</v>
      </c>
      <c r="D6" s="416"/>
      <c r="E6" s="416"/>
      <c r="F6" s="416"/>
      <c r="G6" s="416"/>
      <c r="H6" s="416"/>
      <c r="I6" s="197"/>
      <c r="J6" s="196"/>
    </row>
    <row r="7" spans="1:18" x14ac:dyDescent="0.2">
      <c r="A7" s="260"/>
      <c r="B7" s="197"/>
      <c r="C7" s="441" t="s">
        <v>633</v>
      </c>
      <c r="D7" s="248">
        <v>12</v>
      </c>
      <c r="E7" s="247">
        <v>24</v>
      </c>
      <c r="F7" s="247">
        <v>36</v>
      </c>
      <c r="G7" s="247">
        <v>48</v>
      </c>
      <c r="H7" s="246">
        <v>60</v>
      </c>
      <c r="I7" s="197"/>
      <c r="J7" s="196"/>
      <c r="L7" s="165"/>
      <c r="M7" s="315" t="s">
        <v>471</v>
      </c>
      <c r="N7" s="315" t="s">
        <v>463</v>
      </c>
    </row>
    <row r="8" spans="1:18" x14ac:dyDescent="0.2">
      <c r="A8" s="260"/>
      <c r="B8" s="197"/>
      <c r="C8" s="442"/>
      <c r="D8" s="287" t="s">
        <v>467</v>
      </c>
      <c r="E8" s="213" t="s">
        <v>467</v>
      </c>
      <c r="F8" s="213" t="s">
        <v>467</v>
      </c>
      <c r="G8" s="213" t="s">
        <v>467</v>
      </c>
      <c r="H8" s="212" t="s">
        <v>467</v>
      </c>
      <c r="I8" s="197"/>
      <c r="J8" s="196"/>
      <c r="L8" s="163" t="s">
        <v>632</v>
      </c>
      <c r="M8" s="171">
        <f>SUM(G9:G10)/SUM(F9:F10)</f>
        <v>1.0892857142857142</v>
      </c>
      <c r="N8" s="171">
        <f>H9/G9</f>
        <v>1.0476190476190477</v>
      </c>
    </row>
    <row r="9" spans="1:18" x14ac:dyDescent="0.2">
      <c r="A9" s="260"/>
      <c r="B9" s="197"/>
      <c r="C9" s="221">
        <v>2012</v>
      </c>
      <c r="D9" s="248">
        <v>500</v>
      </c>
      <c r="E9" s="247">
        <v>750</v>
      </c>
      <c r="F9" s="247">
        <v>950</v>
      </c>
      <c r="G9" s="372">
        <v>1050</v>
      </c>
      <c r="H9" s="322">
        <v>1100</v>
      </c>
      <c r="I9" s="197"/>
      <c r="J9" s="196"/>
      <c r="N9" s="371"/>
    </row>
    <row r="10" spans="1:18" x14ac:dyDescent="0.2">
      <c r="A10" s="260"/>
      <c r="B10" s="197"/>
      <c r="C10" s="219">
        <v>2013</v>
      </c>
      <c r="D10" s="370">
        <v>800</v>
      </c>
      <c r="E10" s="211">
        <v>1500</v>
      </c>
      <c r="F10" s="211">
        <v>1850</v>
      </c>
      <c r="G10" s="211">
        <v>2000</v>
      </c>
      <c r="H10" s="217"/>
      <c r="I10" s="197"/>
      <c r="J10" s="196"/>
      <c r="L10" t="s">
        <v>631</v>
      </c>
      <c r="M10" s="369">
        <f>(F11*M8*N8-F11)</f>
        <v>388.18027210884384</v>
      </c>
      <c r="N10" s="172"/>
    </row>
    <row r="11" spans="1:18" x14ac:dyDescent="0.2">
      <c r="A11" s="260"/>
      <c r="B11" s="197"/>
      <c r="C11" s="219">
        <v>2014</v>
      </c>
      <c r="D11" s="218">
        <v>1100</v>
      </c>
      <c r="E11" s="211">
        <v>2100</v>
      </c>
      <c r="F11" s="211">
        <v>2750</v>
      </c>
      <c r="G11" s="204"/>
      <c r="H11" s="217"/>
      <c r="I11" s="197"/>
      <c r="J11" s="196"/>
      <c r="N11" s="172"/>
    </row>
    <row r="12" spans="1:18" x14ac:dyDescent="0.2">
      <c r="A12" s="260"/>
      <c r="B12" s="197"/>
      <c r="C12" s="219">
        <v>2015</v>
      </c>
      <c r="D12" s="218">
        <v>1400</v>
      </c>
      <c r="E12" s="211">
        <v>2300</v>
      </c>
      <c r="F12" s="204"/>
      <c r="G12" s="204"/>
      <c r="H12" s="217"/>
      <c r="I12" s="197"/>
      <c r="J12" s="196"/>
      <c r="L12" t="s">
        <v>630</v>
      </c>
      <c r="M12" s="171">
        <f>LN(1+(I19/M10)^2)</f>
        <v>1.8010170358168865E-2</v>
      </c>
      <c r="N12" s="368" t="s">
        <v>629</v>
      </c>
    </row>
    <row r="13" spans="1:18" x14ac:dyDescent="0.2">
      <c r="A13" s="260"/>
      <c r="B13" s="204"/>
      <c r="C13" s="216">
        <v>2016</v>
      </c>
      <c r="D13" s="215">
        <v>2000</v>
      </c>
      <c r="E13" s="213"/>
      <c r="F13" s="213"/>
      <c r="G13" s="213"/>
      <c r="H13" s="212"/>
      <c r="I13" s="197"/>
      <c r="J13" s="196"/>
    </row>
    <row r="14" spans="1:18" x14ac:dyDescent="0.2">
      <c r="A14" s="260"/>
      <c r="B14" s="204"/>
      <c r="C14" s="197"/>
      <c r="D14" s="197"/>
      <c r="E14" s="197"/>
      <c r="F14" s="197"/>
      <c r="G14" s="197"/>
      <c r="H14" s="197"/>
      <c r="I14" s="197"/>
      <c r="J14" s="196"/>
      <c r="L14" t="s">
        <v>628</v>
      </c>
    </row>
    <row r="15" spans="1:18" ht="17" thickBot="1" x14ac:dyDescent="0.25">
      <c r="A15" s="260"/>
      <c r="B15" s="204"/>
      <c r="C15" s="197" t="s">
        <v>627</v>
      </c>
      <c r="D15" s="197"/>
      <c r="E15" s="197"/>
      <c r="F15" s="197"/>
      <c r="G15" s="197"/>
      <c r="H15" s="197"/>
      <c r="I15" s="197"/>
      <c r="J15" s="196"/>
    </row>
    <row r="16" spans="1:18" x14ac:dyDescent="0.2">
      <c r="A16" s="260"/>
      <c r="B16" s="204"/>
      <c r="C16" s="197" t="s">
        <v>626</v>
      </c>
      <c r="D16" s="197"/>
      <c r="E16" s="197"/>
      <c r="F16" s="197"/>
      <c r="G16" s="197"/>
      <c r="H16" s="197"/>
      <c r="I16" s="197"/>
      <c r="J16" s="196"/>
      <c r="L16" s="367" t="s">
        <v>617</v>
      </c>
      <c r="M16" s="366">
        <f>M10*EXP(-H18*SQRT(M12)-M12/2)</f>
        <v>323.9814419174204</v>
      </c>
      <c r="N16" s="365" t="s">
        <v>616</v>
      </c>
    </row>
    <row r="17" spans="1:18" ht="17" thickBot="1" x14ac:dyDescent="0.25">
      <c r="A17" s="260"/>
      <c r="B17" s="204"/>
      <c r="C17" s="197" t="s">
        <v>625</v>
      </c>
      <c r="D17" s="197"/>
      <c r="E17" s="197"/>
      <c r="F17" s="197"/>
      <c r="G17" s="197"/>
      <c r="H17" s="197"/>
      <c r="I17" s="197"/>
      <c r="J17" s="196"/>
      <c r="L17" s="364" t="s">
        <v>615</v>
      </c>
      <c r="M17" s="363">
        <f>M10*EXP(H18*SQRT(M12)-M12/2)</f>
        <v>456.7989202621938</v>
      </c>
    </row>
    <row r="18" spans="1:18" x14ac:dyDescent="0.2">
      <c r="A18" s="260"/>
      <c r="B18" s="204"/>
      <c r="C18" s="197" t="s">
        <v>624</v>
      </c>
      <c r="D18" s="197"/>
      <c r="E18" s="197"/>
      <c r="F18" s="197"/>
      <c r="G18" s="197"/>
      <c r="H18" s="241">
        <v>1.28</v>
      </c>
      <c r="I18" s="197"/>
      <c r="J18" s="196"/>
    </row>
    <row r="19" spans="1:18" ht="18" x14ac:dyDescent="0.25">
      <c r="A19" s="260"/>
      <c r="B19" s="204"/>
      <c r="C19" s="197" t="s">
        <v>623</v>
      </c>
      <c r="D19" s="197"/>
      <c r="E19" s="197"/>
      <c r="F19" s="197"/>
      <c r="G19" s="197"/>
      <c r="H19" s="197"/>
      <c r="I19" s="241">
        <v>52.33</v>
      </c>
      <c r="J19" s="196"/>
    </row>
    <row r="20" spans="1:18" x14ac:dyDescent="0.2">
      <c r="A20" s="260"/>
      <c r="B20" s="204"/>
      <c r="C20" s="197"/>
      <c r="D20" s="197"/>
      <c r="E20" s="197"/>
      <c r="F20" s="197"/>
      <c r="G20" s="197"/>
      <c r="H20" s="197"/>
      <c r="I20" s="197"/>
      <c r="J20" s="196"/>
      <c r="L20" s="166" t="s">
        <v>409</v>
      </c>
      <c r="M20" s="330"/>
    </row>
    <row r="21" spans="1:18" ht="18" x14ac:dyDescent="0.25">
      <c r="A21" s="260" t="s">
        <v>0</v>
      </c>
      <c r="B21" s="241" t="s">
        <v>486</v>
      </c>
      <c r="C21" s="197" t="s">
        <v>622</v>
      </c>
      <c r="D21" s="197"/>
      <c r="E21" s="197"/>
      <c r="F21" s="197"/>
      <c r="G21" s="197"/>
      <c r="H21" s="197"/>
      <c r="I21" s="197"/>
      <c r="J21" s="196"/>
      <c r="L21" s="418" t="s">
        <v>621</v>
      </c>
      <c r="M21" s="418"/>
      <c r="N21" s="418"/>
      <c r="O21" s="418"/>
      <c r="P21" s="418"/>
      <c r="Q21" s="418"/>
      <c r="R21" s="418"/>
    </row>
    <row r="22" spans="1:18" x14ac:dyDescent="0.2">
      <c r="A22" s="260"/>
      <c r="B22" s="204"/>
      <c r="C22" s="197"/>
      <c r="D22" s="197"/>
      <c r="E22" s="197"/>
      <c r="F22" s="197"/>
      <c r="G22" s="197"/>
      <c r="H22" s="197"/>
      <c r="I22" s="197"/>
      <c r="J22" s="196"/>
      <c r="L22" s="418"/>
      <c r="M22" s="418"/>
      <c r="N22" s="418"/>
      <c r="O22" s="418"/>
      <c r="P22" s="418"/>
      <c r="Q22" s="418"/>
      <c r="R22" s="418"/>
    </row>
    <row r="23" spans="1:18" x14ac:dyDescent="0.2">
      <c r="A23" s="260" t="s">
        <v>1</v>
      </c>
      <c r="B23" s="197" t="s">
        <v>415</v>
      </c>
      <c r="C23" s="197" t="s">
        <v>620</v>
      </c>
      <c r="D23" s="197"/>
      <c r="E23" s="197"/>
      <c r="F23" s="197"/>
      <c r="G23" s="197"/>
      <c r="H23" s="197"/>
      <c r="I23" s="197"/>
      <c r="J23" s="196"/>
    </row>
    <row r="24" spans="1:18" x14ac:dyDescent="0.2">
      <c r="A24" s="260"/>
      <c r="B24" s="197"/>
      <c r="C24" s="209" t="s">
        <v>619</v>
      </c>
      <c r="D24" s="197"/>
      <c r="E24" s="197"/>
      <c r="F24" s="197"/>
      <c r="G24" s="197"/>
      <c r="H24" s="197"/>
      <c r="I24" s="197"/>
      <c r="J24" s="196"/>
      <c r="L24" s="165"/>
      <c r="M24" s="315" t="s">
        <v>471</v>
      </c>
      <c r="N24" s="315" t="s">
        <v>463</v>
      </c>
    </row>
    <row r="25" spans="1:18" ht="17" thickBot="1" x14ac:dyDescent="0.25">
      <c r="A25" s="260"/>
      <c r="B25" s="197"/>
      <c r="C25" s="209"/>
      <c r="D25" s="197"/>
      <c r="E25" s="197"/>
      <c r="F25" s="197"/>
      <c r="G25" s="197"/>
      <c r="H25" s="197"/>
      <c r="I25" s="197"/>
      <c r="J25" s="196"/>
      <c r="L25" s="163">
        <v>2012</v>
      </c>
      <c r="M25" s="171">
        <f>G9/F9</f>
        <v>1.1052631578947369</v>
      </c>
      <c r="N25" s="171">
        <f>H9/G9</f>
        <v>1.0476190476190477</v>
      </c>
    </row>
    <row r="26" spans="1:18" ht="17" thickBot="1" x14ac:dyDescent="0.25">
      <c r="A26" s="280" t="s">
        <v>205</v>
      </c>
      <c r="B26" s="194"/>
      <c r="C26" s="279"/>
      <c r="D26" s="194"/>
      <c r="E26" s="194"/>
      <c r="F26" s="194"/>
      <c r="G26" s="194"/>
      <c r="H26" s="194"/>
      <c r="I26" s="194"/>
      <c r="J26" s="193"/>
      <c r="L26" s="163">
        <v>2013</v>
      </c>
      <c r="M26" s="171">
        <f>G10/F10</f>
        <v>1.0810810810810811</v>
      </c>
      <c r="N26" s="171"/>
    </row>
    <row r="28" spans="1:18" x14ac:dyDescent="0.2">
      <c r="L28" t="s">
        <v>618</v>
      </c>
    </row>
    <row r="29" spans="1:18" ht="17" thickBot="1" x14ac:dyDescent="0.25"/>
    <row r="30" spans="1:18" x14ac:dyDescent="0.2">
      <c r="L30" s="367" t="s">
        <v>617</v>
      </c>
      <c r="M30" s="366">
        <f>F11*MIN(M25:M26)*N25</f>
        <v>3114.5431145431148</v>
      </c>
      <c r="N30" s="365" t="s">
        <v>616</v>
      </c>
    </row>
    <row r="31" spans="1:18" ht="17" thickBot="1" x14ac:dyDescent="0.25">
      <c r="L31" s="364" t="s">
        <v>615</v>
      </c>
      <c r="M31" s="363">
        <f>F11*MAX(M25:M26)*N25</f>
        <v>3184.21052631579</v>
      </c>
    </row>
    <row r="35" spans="12:12" ht="19" x14ac:dyDescent="0.25">
      <c r="L35" s="156" t="s">
        <v>236</v>
      </c>
    </row>
    <row r="36" spans="12:12" x14ac:dyDescent="0.2">
      <c r="L36" t="s">
        <v>614</v>
      </c>
    </row>
  </sheetData>
  <mergeCells count="4">
    <mergeCell ref="C6:H6"/>
    <mergeCell ref="C7:C8"/>
    <mergeCell ref="L4:R5"/>
    <mergeCell ref="L21:R2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0A012-54D9-D747-AD3C-12A3500F6CF1}">
  <dimension ref="A1:S41"/>
  <sheetViews>
    <sheetView workbookViewId="0">
      <selection activeCell="B1" sqref="B1"/>
    </sheetView>
  </sheetViews>
  <sheetFormatPr baseColWidth="10" defaultColWidth="11" defaultRowHeight="16" outlineLevelCol="1" x14ac:dyDescent="0.2"/>
  <cols>
    <col min="1" max="1" width="4" style="250" customWidth="1"/>
    <col min="2" max="10" width="10.83203125" customWidth="1"/>
    <col min="12" max="15" width="10.83203125" hidden="1" customWidth="1" outlineLevel="1"/>
    <col min="16" max="16" width="11.33203125" hidden="1" customWidth="1" outlineLevel="1"/>
    <col min="17" max="18" width="10.83203125" hidden="1" customWidth="1" outlineLevel="1"/>
    <col min="19" max="19" width="11" collapsed="1"/>
  </cols>
  <sheetData>
    <row r="1" spans="1:15" x14ac:dyDescent="0.2">
      <c r="A1" s="292"/>
      <c r="B1" s="229" t="s">
        <v>438</v>
      </c>
      <c r="C1" s="228" t="s">
        <v>665</v>
      </c>
      <c r="D1" s="228" t="s">
        <v>436</v>
      </c>
      <c r="E1" s="228" t="s">
        <v>594</v>
      </c>
      <c r="F1" s="227"/>
      <c r="G1" s="227"/>
      <c r="H1" s="227"/>
      <c r="I1" s="227"/>
      <c r="J1" s="226"/>
      <c r="K1" s="166" t="s">
        <v>206</v>
      </c>
      <c r="L1" s="166"/>
    </row>
    <row r="2" spans="1:15" x14ac:dyDescent="0.2">
      <c r="A2" s="260"/>
      <c r="B2" s="291" t="s">
        <v>434</v>
      </c>
      <c r="C2" s="290">
        <v>2.5</v>
      </c>
      <c r="D2" s="197"/>
      <c r="E2" s="197"/>
      <c r="F2" s="197"/>
      <c r="G2" s="197"/>
      <c r="H2" s="197"/>
      <c r="I2" s="197"/>
      <c r="J2" s="196"/>
    </row>
    <row r="3" spans="1:15" x14ac:dyDescent="0.2">
      <c r="A3" s="260"/>
      <c r="B3" s="197"/>
      <c r="C3" s="197"/>
      <c r="D3" s="197"/>
      <c r="E3" s="197"/>
      <c r="F3" s="197"/>
      <c r="G3" s="197"/>
      <c r="H3" s="197"/>
      <c r="I3" s="197"/>
      <c r="J3" s="196"/>
      <c r="L3" t="s">
        <v>664</v>
      </c>
      <c r="M3" s="317"/>
    </row>
    <row r="4" spans="1:15" x14ac:dyDescent="0.2">
      <c r="A4" s="260"/>
      <c r="B4" s="197"/>
      <c r="C4" s="197" t="s">
        <v>21</v>
      </c>
      <c r="D4" s="197"/>
      <c r="E4" s="197"/>
      <c r="F4" s="197"/>
      <c r="G4" s="197"/>
      <c r="H4" s="197"/>
      <c r="I4" s="197"/>
      <c r="J4" s="196"/>
      <c r="M4" s="317"/>
    </row>
    <row r="5" spans="1:15" x14ac:dyDescent="0.2">
      <c r="A5" s="260"/>
      <c r="B5" s="197"/>
      <c r="C5" s="197"/>
      <c r="D5" s="197"/>
      <c r="E5" s="197"/>
      <c r="F5" s="197"/>
      <c r="G5" s="197"/>
      <c r="H5" s="197"/>
      <c r="I5" s="197"/>
      <c r="J5" s="196"/>
      <c r="L5" s="166" t="s">
        <v>433</v>
      </c>
      <c r="M5" s="317"/>
    </row>
    <row r="6" spans="1:15" ht="18" x14ac:dyDescent="0.25">
      <c r="A6" s="260"/>
      <c r="B6" s="197"/>
      <c r="C6" s="221" t="s">
        <v>469</v>
      </c>
      <c r="D6" s="412" t="s">
        <v>663</v>
      </c>
      <c r="E6" s="413"/>
      <c r="F6" s="413"/>
      <c r="G6" s="413"/>
      <c r="H6" s="414"/>
      <c r="I6" s="197"/>
      <c r="J6" s="196"/>
      <c r="L6" s="172" t="s">
        <v>652</v>
      </c>
      <c r="M6" s="380">
        <f>(F8^2*F16+F9^2*F17)/SUMSQ(F8:F9)</f>
        <v>1.1209191444275213</v>
      </c>
      <c r="O6" t="s">
        <v>662</v>
      </c>
    </row>
    <row r="7" spans="1:15" ht="20" x14ac:dyDescent="0.25">
      <c r="A7" s="260"/>
      <c r="B7" s="197"/>
      <c r="C7" s="216" t="s">
        <v>422</v>
      </c>
      <c r="D7" s="223">
        <v>12</v>
      </c>
      <c r="E7" s="223">
        <v>24</v>
      </c>
      <c r="F7" s="223">
        <v>36</v>
      </c>
      <c r="G7" s="223">
        <v>48</v>
      </c>
      <c r="H7" s="222">
        <v>60</v>
      </c>
      <c r="I7" s="197"/>
      <c r="J7" s="196"/>
      <c r="L7" s="172" t="s">
        <v>651</v>
      </c>
      <c r="M7" s="162">
        <f>(G8^2*G16)/G8^2</f>
        <v>1.0273972602739727</v>
      </c>
      <c r="O7" s="250" t="s">
        <v>661</v>
      </c>
    </row>
    <row r="8" spans="1:15" ht="17" thickBot="1" x14ac:dyDescent="0.25">
      <c r="A8" s="260"/>
      <c r="B8" s="197"/>
      <c r="C8" s="219">
        <v>2012</v>
      </c>
      <c r="D8" s="211">
        <v>1300</v>
      </c>
      <c r="E8" s="211">
        <v>2350</v>
      </c>
      <c r="F8" s="211">
        <v>3500</v>
      </c>
      <c r="G8" s="211">
        <v>3650</v>
      </c>
      <c r="H8" s="314">
        <v>3750</v>
      </c>
      <c r="I8" s="197"/>
      <c r="J8" s="196"/>
      <c r="L8" s="172"/>
      <c r="M8" s="172"/>
    </row>
    <row r="9" spans="1:15" ht="17" thickBot="1" x14ac:dyDescent="0.25">
      <c r="A9" s="260"/>
      <c r="B9" s="197"/>
      <c r="C9" s="219">
        <v>2013</v>
      </c>
      <c r="D9" s="211">
        <v>1450</v>
      </c>
      <c r="E9" s="211">
        <v>3000</v>
      </c>
      <c r="F9" s="211">
        <v>5050</v>
      </c>
      <c r="G9" s="211">
        <v>5850</v>
      </c>
      <c r="H9" s="314"/>
      <c r="I9" s="197"/>
      <c r="J9" s="196"/>
      <c r="L9" s="177" t="s">
        <v>649</v>
      </c>
      <c r="M9" s="373">
        <f>F10*M6*M7</f>
        <v>4261.028254501879</v>
      </c>
    </row>
    <row r="10" spans="1:15" x14ac:dyDescent="0.2">
      <c r="A10" s="260"/>
      <c r="B10" s="197"/>
      <c r="C10" s="219">
        <v>2014</v>
      </c>
      <c r="D10" s="211">
        <v>1600</v>
      </c>
      <c r="E10" s="211">
        <v>2500</v>
      </c>
      <c r="F10" s="211">
        <v>3700</v>
      </c>
      <c r="G10" s="211"/>
      <c r="H10" s="314"/>
      <c r="I10" s="197"/>
      <c r="J10" s="196"/>
      <c r="L10" s="166"/>
      <c r="M10" s="329"/>
    </row>
    <row r="11" spans="1:15" x14ac:dyDescent="0.2">
      <c r="A11" s="260"/>
      <c r="B11" s="197"/>
      <c r="C11" s="219">
        <v>2015</v>
      </c>
      <c r="D11" s="211">
        <v>1750</v>
      </c>
      <c r="E11" s="211">
        <v>3050</v>
      </c>
      <c r="F11" s="211"/>
      <c r="G11" s="211"/>
      <c r="H11" s="314"/>
      <c r="I11" s="197"/>
      <c r="J11" s="196"/>
      <c r="L11" s="354" t="s">
        <v>409</v>
      </c>
    </row>
    <row r="12" spans="1:15" ht="18" x14ac:dyDescent="0.25">
      <c r="A12" s="260"/>
      <c r="B12" s="197"/>
      <c r="C12" s="216">
        <v>2016</v>
      </c>
      <c r="D12" s="214">
        <v>1950</v>
      </c>
      <c r="E12" s="214"/>
      <c r="F12" s="214"/>
      <c r="G12" s="214"/>
      <c r="H12" s="313"/>
      <c r="I12" s="197"/>
      <c r="J12" s="196"/>
      <c r="L12" t="s">
        <v>660</v>
      </c>
      <c r="O12" t="s">
        <v>659</v>
      </c>
    </row>
    <row r="13" spans="1:15" ht="18" x14ac:dyDescent="0.25">
      <c r="A13" s="260"/>
      <c r="B13" s="197"/>
      <c r="C13" s="197"/>
      <c r="D13" s="197"/>
      <c r="E13" s="197"/>
      <c r="F13" s="197"/>
      <c r="G13" s="197"/>
      <c r="H13" s="197"/>
      <c r="I13" s="197"/>
      <c r="J13" s="196"/>
      <c r="O13" s="250" t="s">
        <v>658</v>
      </c>
    </row>
    <row r="14" spans="1:15" x14ac:dyDescent="0.2">
      <c r="A14" s="260"/>
      <c r="B14" s="204"/>
      <c r="C14" s="221" t="s">
        <v>469</v>
      </c>
      <c r="D14" s="412" t="s">
        <v>657</v>
      </c>
      <c r="E14" s="413"/>
      <c r="F14" s="413"/>
      <c r="G14" s="414"/>
      <c r="H14" s="197"/>
      <c r="I14" s="197"/>
      <c r="J14" s="196"/>
      <c r="L14" s="172" t="s">
        <v>652</v>
      </c>
      <c r="M14" s="380">
        <f>SUM(G8:G9)/SUM(F8:F9)</f>
        <v>1.1111111111111112</v>
      </c>
    </row>
    <row r="15" spans="1:15" x14ac:dyDescent="0.2">
      <c r="A15" s="260"/>
      <c r="B15" s="204"/>
      <c r="C15" s="216" t="s">
        <v>422</v>
      </c>
      <c r="D15" s="312" t="s">
        <v>466</v>
      </c>
      <c r="E15" s="312" t="s">
        <v>472</v>
      </c>
      <c r="F15" s="312" t="s">
        <v>471</v>
      </c>
      <c r="G15" s="311" t="s">
        <v>463</v>
      </c>
      <c r="H15" s="197"/>
      <c r="I15" s="197"/>
      <c r="J15" s="196"/>
      <c r="L15" s="172" t="s">
        <v>651</v>
      </c>
      <c r="M15" s="162">
        <f>G16</f>
        <v>1.0273972602739727</v>
      </c>
    </row>
    <row r="16" spans="1:15" ht="17" thickBot="1" x14ac:dyDescent="0.25">
      <c r="A16" s="260"/>
      <c r="B16" s="204"/>
      <c r="C16" s="219">
        <v>2012</v>
      </c>
      <c r="D16" s="379">
        <f>E8/D8</f>
        <v>1.8076923076923077</v>
      </c>
      <c r="E16" s="379">
        <f>F8/E8</f>
        <v>1.4893617021276595</v>
      </c>
      <c r="F16" s="379">
        <f>G8/F8</f>
        <v>1.0428571428571429</v>
      </c>
      <c r="G16" s="378">
        <f>H8/G8</f>
        <v>1.0273972602739727</v>
      </c>
      <c r="H16" s="197"/>
      <c r="I16" s="197"/>
      <c r="J16" s="196"/>
      <c r="L16" s="172"/>
      <c r="M16" s="172"/>
    </row>
    <row r="17" spans="1:15" ht="17" thickBot="1" x14ac:dyDescent="0.25">
      <c r="A17" s="260"/>
      <c r="B17" s="204"/>
      <c r="C17" s="219">
        <v>2013</v>
      </c>
      <c r="D17" s="379">
        <f>E9/D9</f>
        <v>2.0689655172413794</v>
      </c>
      <c r="E17" s="379">
        <f>F9/E9</f>
        <v>1.6833333333333333</v>
      </c>
      <c r="F17" s="379">
        <f>G9/F9</f>
        <v>1.1584158415841583</v>
      </c>
      <c r="G17" s="378"/>
      <c r="H17" s="197"/>
      <c r="I17" s="197"/>
      <c r="J17" s="196"/>
      <c r="L17" s="177" t="s">
        <v>649</v>
      </c>
      <c r="M17" s="373">
        <f>F10*M14*M15</f>
        <v>4223.7442922374439</v>
      </c>
    </row>
    <row r="18" spans="1:15" x14ac:dyDescent="0.2">
      <c r="A18" s="260"/>
      <c r="B18" s="204"/>
      <c r="C18" s="219">
        <v>2014</v>
      </c>
      <c r="D18" s="379">
        <f>E10/D10</f>
        <v>1.5625</v>
      </c>
      <c r="E18" s="379">
        <f>F10/E10</f>
        <v>1.48</v>
      </c>
      <c r="F18" s="379"/>
      <c r="G18" s="378"/>
      <c r="H18" s="197"/>
      <c r="I18" s="197"/>
      <c r="J18" s="196"/>
      <c r="M18" s="330"/>
    </row>
    <row r="19" spans="1:15" x14ac:dyDescent="0.2">
      <c r="A19" s="260"/>
      <c r="B19" s="204"/>
      <c r="C19" s="216">
        <v>2015</v>
      </c>
      <c r="D19" s="377">
        <f>E11/D11</f>
        <v>1.7428571428571429</v>
      </c>
      <c r="E19" s="377"/>
      <c r="F19" s="377"/>
      <c r="G19" s="376"/>
      <c r="H19" s="197"/>
      <c r="I19" s="197"/>
      <c r="J19" s="196"/>
      <c r="L19" s="354" t="s">
        <v>656</v>
      </c>
      <c r="M19" s="330"/>
    </row>
    <row r="20" spans="1:15" ht="20" x14ac:dyDescent="0.25">
      <c r="A20" s="260"/>
      <c r="B20" s="204"/>
      <c r="C20" s="197"/>
      <c r="D20" s="197"/>
      <c r="E20" s="197"/>
      <c r="F20" s="197"/>
      <c r="G20" s="197"/>
      <c r="H20" s="197"/>
      <c r="I20" s="197"/>
      <c r="J20" s="196"/>
      <c r="L20" t="s">
        <v>655</v>
      </c>
      <c r="M20" s="330"/>
      <c r="O20" t="s">
        <v>654</v>
      </c>
    </row>
    <row r="21" spans="1:15" x14ac:dyDescent="0.2">
      <c r="A21" s="260"/>
      <c r="B21" s="204"/>
      <c r="C21" s="197" t="s">
        <v>626</v>
      </c>
      <c r="D21" s="197"/>
      <c r="E21" s="197"/>
      <c r="F21" s="197"/>
      <c r="G21" s="197"/>
      <c r="H21" s="197"/>
      <c r="I21" s="197"/>
      <c r="J21" s="196"/>
      <c r="M21" s="330"/>
      <c r="O21" s="250" t="s">
        <v>653</v>
      </c>
    </row>
    <row r="22" spans="1:15" x14ac:dyDescent="0.2">
      <c r="A22" s="260"/>
      <c r="B22" s="204"/>
      <c r="C22" s="197"/>
      <c r="D22" s="197"/>
      <c r="E22" s="197"/>
      <c r="F22" s="197"/>
      <c r="G22" s="197"/>
      <c r="H22" s="197"/>
      <c r="I22" s="197"/>
      <c r="J22" s="196"/>
      <c r="L22" s="172" t="s">
        <v>652</v>
      </c>
      <c r="M22" s="375">
        <f>AVERAGE(F16:F17)</f>
        <v>1.1006364922206506</v>
      </c>
    </row>
    <row r="23" spans="1:15" x14ac:dyDescent="0.2">
      <c r="A23" s="260" t="s">
        <v>0</v>
      </c>
      <c r="B23" s="241" t="s">
        <v>483</v>
      </c>
      <c r="C23" s="197" t="s">
        <v>645</v>
      </c>
      <c r="D23" s="197"/>
      <c r="E23" s="197"/>
      <c r="F23" s="197"/>
      <c r="G23" s="197"/>
      <c r="H23" s="197"/>
      <c r="I23" s="197"/>
      <c r="J23" s="196"/>
      <c r="L23" s="172" t="s">
        <v>651</v>
      </c>
      <c r="M23" s="374">
        <f>G16</f>
        <v>1.0273972602739727</v>
      </c>
    </row>
    <row r="24" spans="1:15" ht="17" thickBot="1" x14ac:dyDescent="0.25">
      <c r="A24" s="260"/>
      <c r="B24" s="241"/>
      <c r="C24" s="197" t="s">
        <v>650</v>
      </c>
      <c r="D24" s="197"/>
      <c r="E24" s="197"/>
      <c r="F24" s="197"/>
      <c r="G24" s="197"/>
      <c r="H24" s="197"/>
      <c r="I24" s="197"/>
      <c r="J24" s="196"/>
      <c r="L24" s="172"/>
      <c r="M24" s="172"/>
    </row>
    <row r="25" spans="1:15" ht="17" thickBot="1" x14ac:dyDescent="0.25">
      <c r="A25" s="260"/>
      <c r="B25" s="241"/>
      <c r="C25" s="197"/>
      <c r="D25" s="197"/>
      <c r="E25" s="197"/>
      <c r="F25" s="197"/>
      <c r="G25" s="197"/>
      <c r="H25" s="197"/>
      <c r="I25" s="197"/>
      <c r="J25" s="196"/>
      <c r="L25" s="177" t="s">
        <v>649</v>
      </c>
      <c r="M25" s="373">
        <f>F10*M22*M23</f>
        <v>4183.9263916606933</v>
      </c>
    </row>
    <row r="26" spans="1:15" x14ac:dyDescent="0.2">
      <c r="A26" s="260" t="s">
        <v>1</v>
      </c>
      <c r="B26" s="241" t="s">
        <v>483</v>
      </c>
      <c r="C26" s="197" t="s">
        <v>645</v>
      </c>
      <c r="D26" s="197"/>
      <c r="E26" s="197"/>
      <c r="F26" s="197"/>
      <c r="G26" s="197"/>
      <c r="H26" s="197"/>
      <c r="I26" s="197"/>
      <c r="J26" s="196"/>
      <c r="M26" s="238"/>
    </row>
    <row r="27" spans="1:15" x14ac:dyDescent="0.2">
      <c r="A27" s="260"/>
      <c r="B27" s="204"/>
      <c r="C27" s="197" t="s">
        <v>648</v>
      </c>
      <c r="D27" s="197"/>
      <c r="E27" s="197"/>
      <c r="F27" s="197"/>
      <c r="G27" s="197"/>
      <c r="H27" s="197"/>
      <c r="I27" s="197"/>
      <c r="J27" s="196"/>
      <c r="L27" s="354" t="s">
        <v>647</v>
      </c>
    </row>
    <row r="28" spans="1:15" x14ac:dyDescent="0.2">
      <c r="A28" s="260"/>
      <c r="B28" s="197"/>
      <c r="C28" s="197"/>
      <c r="D28" s="197"/>
      <c r="E28" s="197"/>
      <c r="F28" s="197"/>
      <c r="G28" s="197"/>
      <c r="H28" s="197"/>
      <c r="I28" s="197"/>
      <c r="J28" s="196"/>
      <c r="L28" t="s">
        <v>646</v>
      </c>
    </row>
    <row r="29" spans="1:15" x14ac:dyDescent="0.2">
      <c r="A29" s="260" t="s">
        <v>2</v>
      </c>
      <c r="B29" s="197" t="s">
        <v>483</v>
      </c>
      <c r="C29" s="209" t="s">
        <v>645</v>
      </c>
      <c r="D29" s="197"/>
      <c r="E29" s="197"/>
      <c r="F29" s="197"/>
      <c r="G29" s="197"/>
      <c r="H29" s="197"/>
      <c r="I29" s="197"/>
      <c r="J29" s="196"/>
    </row>
    <row r="30" spans="1:15" x14ac:dyDescent="0.2">
      <c r="A30" s="260"/>
      <c r="B30" s="197"/>
      <c r="C30" s="209" t="s">
        <v>644</v>
      </c>
      <c r="D30" s="197"/>
      <c r="E30" s="197"/>
      <c r="F30" s="197"/>
      <c r="G30" s="197"/>
      <c r="H30" s="197"/>
      <c r="I30" s="197"/>
      <c r="J30" s="196"/>
      <c r="L30" s="365" t="s">
        <v>643</v>
      </c>
    </row>
    <row r="31" spans="1:15" x14ac:dyDescent="0.2">
      <c r="A31" s="260"/>
      <c r="B31" s="197"/>
      <c r="C31" s="209"/>
      <c r="D31" s="197"/>
      <c r="E31" s="197"/>
      <c r="F31" s="197"/>
      <c r="G31" s="197"/>
      <c r="H31" s="197"/>
      <c r="I31" s="197"/>
      <c r="J31" s="196"/>
      <c r="L31" s="365" t="s">
        <v>642</v>
      </c>
    </row>
    <row r="32" spans="1:15" x14ac:dyDescent="0.2">
      <c r="A32" s="260" t="s">
        <v>53</v>
      </c>
      <c r="B32" s="197" t="s">
        <v>449</v>
      </c>
      <c r="C32" s="209" t="s">
        <v>641</v>
      </c>
      <c r="D32" s="197"/>
      <c r="E32" s="197"/>
      <c r="F32" s="197"/>
      <c r="G32" s="197"/>
      <c r="H32" s="197"/>
      <c r="I32" s="197"/>
      <c r="J32" s="196"/>
      <c r="L32" s="365" t="s">
        <v>640</v>
      </c>
    </row>
    <row r="33" spans="1:18" x14ac:dyDescent="0.2">
      <c r="A33" s="260"/>
      <c r="B33" s="197"/>
      <c r="C33" s="209" t="s">
        <v>639</v>
      </c>
      <c r="D33" s="197"/>
      <c r="E33" s="197"/>
      <c r="F33" s="197"/>
      <c r="G33" s="197"/>
      <c r="H33" s="197"/>
      <c r="I33" s="197"/>
      <c r="J33" s="196"/>
      <c r="L33" s="166"/>
      <c r="M33" s="329"/>
    </row>
    <row r="34" spans="1:18" x14ac:dyDescent="0.2">
      <c r="A34" s="260"/>
      <c r="B34" s="197"/>
      <c r="C34" s="209" t="s">
        <v>638</v>
      </c>
      <c r="D34" s="197"/>
      <c r="E34" s="197"/>
      <c r="F34" s="197"/>
      <c r="G34" s="197"/>
      <c r="H34" s="197"/>
      <c r="I34" s="197"/>
      <c r="J34" s="196"/>
      <c r="L34" s="419" t="s">
        <v>637</v>
      </c>
      <c r="M34" s="419"/>
      <c r="N34" s="419"/>
      <c r="O34" s="419"/>
      <c r="P34" s="419"/>
      <c r="Q34" s="419"/>
      <c r="R34" s="419"/>
    </row>
    <row r="35" spans="1:18" ht="17" thickBot="1" x14ac:dyDescent="0.25">
      <c r="A35" s="260"/>
      <c r="B35" s="197"/>
      <c r="C35" s="197"/>
      <c r="D35" s="197"/>
      <c r="E35" s="197"/>
      <c r="F35" s="197"/>
      <c r="G35" s="197"/>
      <c r="H35" s="197"/>
      <c r="I35" s="197"/>
      <c r="J35" s="196"/>
      <c r="L35" s="419"/>
      <c r="M35" s="419"/>
      <c r="N35" s="419"/>
      <c r="O35" s="419"/>
      <c r="P35" s="419"/>
      <c r="Q35" s="419"/>
      <c r="R35" s="419"/>
    </row>
    <row r="36" spans="1:18" ht="17" thickBot="1" x14ac:dyDescent="0.25">
      <c r="A36" s="280" t="s">
        <v>205</v>
      </c>
      <c r="B36" s="194"/>
      <c r="C36" s="279"/>
      <c r="D36" s="194"/>
      <c r="E36" s="194"/>
      <c r="F36" s="194"/>
      <c r="G36" s="194"/>
      <c r="H36" s="194"/>
      <c r="I36" s="194"/>
      <c r="J36" s="193"/>
      <c r="L36" s="419"/>
      <c r="M36" s="419"/>
      <c r="N36" s="419"/>
      <c r="O36" s="419"/>
      <c r="P36" s="419"/>
      <c r="Q36" s="419"/>
      <c r="R36" s="419"/>
    </row>
    <row r="37" spans="1:18" x14ac:dyDescent="0.2">
      <c r="L37" s="419"/>
      <c r="M37" s="419"/>
      <c r="N37" s="419"/>
      <c r="O37" s="419"/>
      <c r="P37" s="419"/>
      <c r="Q37" s="419"/>
      <c r="R37" s="419"/>
    </row>
    <row r="40" spans="1:18" ht="19" x14ac:dyDescent="0.25">
      <c r="L40" s="156" t="s">
        <v>236</v>
      </c>
    </row>
    <row r="41" spans="1:18" x14ac:dyDescent="0.2">
      <c r="L41" t="s">
        <v>595</v>
      </c>
    </row>
  </sheetData>
  <mergeCells count="3">
    <mergeCell ref="L34:R37"/>
    <mergeCell ref="D6:H6"/>
    <mergeCell ref="D14:G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9E5B-3AEA-C74D-8B40-B1D9177FE1C4}">
  <dimension ref="A1:S49"/>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12" max="18" width="10.83203125" hidden="1" customWidth="1" outlineLevel="1"/>
    <col min="19" max="19" width="11" collapsed="1"/>
  </cols>
  <sheetData>
    <row r="1" spans="1:18" x14ac:dyDescent="0.2">
      <c r="A1" s="292"/>
      <c r="B1" s="229" t="s">
        <v>438</v>
      </c>
      <c r="C1" s="228" t="s">
        <v>665</v>
      </c>
      <c r="D1" s="228" t="s">
        <v>436</v>
      </c>
      <c r="E1" s="228" t="s">
        <v>688</v>
      </c>
      <c r="F1" s="227"/>
      <c r="G1" s="227"/>
      <c r="H1" s="227"/>
      <c r="I1" s="227"/>
      <c r="J1" s="226"/>
      <c r="K1" s="166" t="s">
        <v>206</v>
      </c>
      <c r="L1" s="166"/>
    </row>
    <row r="2" spans="1:18" x14ac:dyDescent="0.2">
      <c r="A2" s="260"/>
      <c r="B2" s="291" t="s">
        <v>434</v>
      </c>
      <c r="C2" s="290">
        <v>2.75</v>
      </c>
      <c r="D2" s="197"/>
      <c r="E2" s="197"/>
      <c r="F2" s="197"/>
      <c r="G2" s="197"/>
      <c r="H2" s="197"/>
      <c r="I2" s="197"/>
      <c r="J2" s="196"/>
    </row>
    <row r="3" spans="1:18" x14ac:dyDescent="0.2">
      <c r="A3" s="260"/>
      <c r="B3" s="197"/>
      <c r="C3" s="197"/>
      <c r="D3" s="197"/>
      <c r="E3" s="197"/>
      <c r="F3" s="197"/>
      <c r="G3" s="197"/>
      <c r="H3" s="197"/>
      <c r="I3" s="197"/>
      <c r="J3" s="196"/>
      <c r="L3" s="166" t="s">
        <v>433</v>
      </c>
      <c r="M3" s="317"/>
    </row>
    <row r="4" spans="1:18" x14ac:dyDescent="0.2">
      <c r="A4" s="260"/>
      <c r="B4" s="197"/>
      <c r="C4" s="197" t="s">
        <v>21</v>
      </c>
      <c r="D4" s="197"/>
      <c r="E4" s="197"/>
      <c r="F4" s="197"/>
      <c r="G4" s="197"/>
      <c r="H4" s="197"/>
      <c r="I4" s="197"/>
      <c r="J4" s="196"/>
      <c r="L4" s="166"/>
      <c r="M4" s="317"/>
    </row>
    <row r="5" spans="1:18" x14ac:dyDescent="0.2">
      <c r="A5" s="260"/>
      <c r="B5" s="197"/>
      <c r="C5" s="197"/>
      <c r="D5" s="197"/>
      <c r="E5" s="197"/>
      <c r="F5" s="197"/>
      <c r="G5" s="197"/>
      <c r="H5" s="197"/>
      <c r="I5" s="197"/>
      <c r="J5" s="196"/>
      <c r="L5" s="360" t="s">
        <v>687</v>
      </c>
      <c r="M5" s="360"/>
      <c r="N5" s="360"/>
      <c r="O5" s="360"/>
      <c r="P5" s="360" t="s">
        <v>686</v>
      </c>
      <c r="Q5" s="360"/>
      <c r="R5" s="360"/>
    </row>
    <row r="6" spans="1:18" x14ac:dyDescent="0.2">
      <c r="A6" s="260"/>
      <c r="B6" s="197"/>
      <c r="C6" s="197"/>
      <c r="D6" s="430" t="s">
        <v>685</v>
      </c>
      <c r="E6" s="430"/>
      <c r="F6" s="430"/>
      <c r="G6" s="430"/>
      <c r="H6" s="430"/>
      <c r="I6" s="197"/>
      <c r="J6" s="196"/>
      <c r="L6" s="360"/>
      <c r="M6" s="360"/>
      <c r="N6" s="360"/>
      <c r="O6" s="360"/>
      <c r="P6" s="360"/>
      <c r="Q6" s="360"/>
      <c r="R6" s="360"/>
    </row>
    <row r="7" spans="1:18" ht="20" x14ac:dyDescent="0.2">
      <c r="A7" s="260"/>
      <c r="B7" s="197"/>
      <c r="C7" s="197"/>
      <c r="D7" s="283" t="s">
        <v>19</v>
      </c>
      <c r="E7" s="312" t="s">
        <v>684</v>
      </c>
      <c r="F7" s="312" t="s">
        <v>683</v>
      </c>
      <c r="G7" s="312" t="s">
        <v>682</v>
      </c>
      <c r="H7" s="311" t="s">
        <v>681</v>
      </c>
      <c r="I7" s="197"/>
      <c r="J7" s="196"/>
      <c r="L7" s="11" t="s">
        <v>106</v>
      </c>
      <c r="M7" s="10" t="s">
        <v>107</v>
      </c>
      <c r="N7" s="11" t="s">
        <v>108</v>
      </c>
      <c r="O7" s="360"/>
      <c r="P7" s="11" t="s">
        <v>106</v>
      </c>
      <c r="Q7" s="10" t="s">
        <v>109</v>
      </c>
      <c r="R7" s="11" t="s">
        <v>108</v>
      </c>
    </row>
    <row r="8" spans="1:18" x14ac:dyDescent="0.2">
      <c r="A8" s="260"/>
      <c r="B8" s="197"/>
      <c r="C8" s="197"/>
      <c r="D8" s="219">
        <v>1</v>
      </c>
      <c r="E8" s="379">
        <v>1.7</v>
      </c>
      <c r="F8" s="379">
        <v>1.35</v>
      </c>
      <c r="G8" s="379">
        <v>1.1000000000000001</v>
      </c>
      <c r="H8" s="378">
        <v>1.05</v>
      </c>
      <c r="I8" s="197"/>
      <c r="J8" s="196"/>
      <c r="L8" s="14">
        <f t="shared" ref="L8:M10" si="0">RANK(E8,E$8:E$10,1)</f>
        <v>1</v>
      </c>
      <c r="M8" s="9">
        <f t="shared" si="0"/>
        <v>1</v>
      </c>
      <c r="N8" s="14">
        <f>(L8-M8)^2</f>
        <v>0</v>
      </c>
      <c r="O8" s="360"/>
      <c r="P8" s="14">
        <f>RANK(F8,F$8:F$9,1)</f>
        <v>1</v>
      </c>
      <c r="Q8" s="9">
        <f>RANK(G8,G$8:G$9,1)</f>
        <v>2</v>
      </c>
      <c r="R8" s="14">
        <f>(P8-Q8)^2</f>
        <v>1</v>
      </c>
    </row>
    <row r="9" spans="1:18" x14ac:dyDescent="0.2">
      <c r="A9" s="260"/>
      <c r="B9" s="197"/>
      <c r="C9" s="197"/>
      <c r="D9" s="219">
        <v>2</v>
      </c>
      <c r="E9" s="379">
        <v>2.5</v>
      </c>
      <c r="F9" s="379">
        <v>1.55</v>
      </c>
      <c r="G9" s="379">
        <v>1.08</v>
      </c>
      <c r="H9" s="378"/>
      <c r="I9" s="197"/>
      <c r="J9" s="196"/>
      <c r="L9" s="14">
        <f t="shared" si="0"/>
        <v>3</v>
      </c>
      <c r="M9" s="9">
        <f t="shared" si="0"/>
        <v>3</v>
      </c>
      <c r="N9" s="14">
        <f>(L9-M9)^2</f>
        <v>0</v>
      </c>
      <c r="O9" s="360"/>
      <c r="P9" s="11">
        <f>RANK(F9,F$8:F$9,1)</f>
        <v>2</v>
      </c>
      <c r="Q9" s="10">
        <f>RANK(G9,G$8:G$9,1)</f>
        <v>1</v>
      </c>
      <c r="R9" s="11">
        <f>(P9-Q9)^2</f>
        <v>1</v>
      </c>
    </row>
    <row r="10" spans="1:18" x14ac:dyDescent="0.2">
      <c r="A10" s="260"/>
      <c r="B10" s="197"/>
      <c r="C10" s="197"/>
      <c r="D10" s="219">
        <v>3</v>
      </c>
      <c r="E10" s="379">
        <v>2</v>
      </c>
      <c r="F10" s="379">
        <v>1.4</v>
      </c>
      <c r="G10" s="379"/>
      <c r="H10" s="378"/>
      <c r="I10" s="197"/>
      <c r="J10" s="196"/>
      <c r="L10" s="11">
        <f t="shared" si="0"/>
        <v>2</v>
      </c>
      <c r="M10" s="10">
        <f t="shared" si="0"/>
        <v>2</v>
      </c>
      <c r="N10" s="11">
        <f>(L10-M10)^2</f>
        <v>0</v>
      </c>
      <c r="O10" s="360"/>
      <c r="P10" s="14"/>
      <c r="Q10" s="383"/>
      <c r="R10" s="14">
        <f>SUM(R8:R9)</f>
        <v>2</v>
      </c>
    </row>
    <row r="11" spans="1:18" x14ac:dyDescent="0.2">
      <c r="A11" s="260"/>
      <c r="B11" s="197"/>
      <c r="C11" s="197"/>
      <c r="D11" s="216">
        <v>4</v>
      </c>
      <c r="E11" s="377">
        <v>1.8</v>
      </c>
      <c r="F11" s="377"/>
      <c r="G11" s="377"/>
      <c r="H11" s="376"/>
      <c r="I11" s="197"/>
      <c r="J11" s="196"/>
      <c r="L11" s="14"/>
      <c r="M11" s="383"/>
      <c r="N11" s="14">
        <f>SUM(N8:N10)</f>
        <v>0</v>
      </c>
      <c r="O11" s="360"/>
      <c r="P11" s="359"/>
      <c r="Q11" s="359"/>
      <c r="R11" s="359"/>
    </row>
    <row r="12" spans="1:18" x14ac:dyDescent="0.2">
      <c r="A12" s="260"/>
      <c r="B12" s="204"/>
      <c r="C12" s="197"/>
      <c r="D12" s="197"/>
      <c r="E12" s="197"/>
      <c r="F12" s="197"/>
      <c r="G12" s="197"/>
      <c r="H12" s="197"/>
      <c r="I12" s="197"/>
      <c r="J12" s="196"/>
      <c r="L12" s="359"/>
      <c r="M12" s="359"/>
      <c r="N12" s="359"/>
      <c r="O12" s="360"/>
      <c r="P12" s="360"/>
      <c r="Q12" s="360"/>
      <c r="R12" s="360"/>
    </row>
    <row r="13" spans="1:18" x14ac:dyDescent="0.2">
      <c r="A13" s="260"/>
      <c r="B13" s="204"/>
      <c r="C13" s="197" t="s">
        <v>680</v>
      </c>
      <c r="D13" s="197"/>
      <c r="E13" s="197"/>
      <c r="F13" s="197"/>
      <c r="G13" s="197"/>
      <c r="H13" s="197"/>
      <c r="I13" s="197"/>
      <c r="J13" s="196"/>
      <c r="L13" s="15" t="s">
        <v>111</v>
      </c>
      <c r="M13" s="360"/>
      <c r="N13" s="360"/>
      <c r="O13" s="360"/>
      <c r="P13" s="360"/>
      <c r="Q13" s="360"/>
      <c r="R13" s="360"/>
    </row>
    <row r="14" spans="1:18" x14ac:dyDescent="0.2">
      <c r="A14" s="260"/>
      <c r="B14" s="204"/>
      <c r="C14" s="197" t="s">
        <v>679</v>
      </c>
      <c r="D14" s="197"/>
      <c r="E14" s="197"/>
      <c r="F14" s="197"/>
      <c r="G14" s="197"/>
      <c r="H14" s="197"/>
      <c r="I14" s="382"/>
      <c r="J14" s="196"/>
      <c r="L14" s="360"/>
      <c r="M14" s="360"/>
      <c r="N14" s="360"/>
      <c r="O14" s="360"/>
      <c r="P14" s="360"/>
      <c r="Q14" s="360"/>
      <c r="R14" s="360"/>
    </row>
    <row r="15" spans="1:18" x14ac:dyDescent="0.2">
      <c r="A15" s="260"/>
      <c r="B15" s="204"/>
      <c r="C15" s="197"/>
      <c r="D15" s="197"/>
      <c r="E15" s="197"/>
      <c r="F15" s="197"/>
      <c r="G15" s="197"/>
      <c r="H15" s="197"/>
      <c r="I15" s="197"/>
      <c r="J15" s="196"/>
      <c r="L15" s="360" t="s">
        <v>116</v>
      </c>
      <c r="M15" s="381"/>
      <c r="N15" s="360"/>
      <c r="O15" s="360"/>
      <c r="P15" s="360"/>
      <c r="Q15" s="360"/>
      <c r="R15" s="360"/>
    </row>
    <row r="16" spans="1:18" x14ac:dyDescent="0.2">
      <c r="A16" s="260" t="s">
        <v>0</v>
      </c>
      <c r="B16" s="241" t="s">
        <v>486</v>
      </c>
      <c r="C16" s="197" t="s">
        <v>678</v>
      </c>
      <c r="D16" s="197"/>
      <c r="E16" s="197"/>
      <c r="F16" s="197"/>
      <c r="G16" s="197"/>
      <c r="H16" s="197"/>
      <c r="I16" s="197"/>
      <c r="J16" s="196"/>
      <c r="L16" s="360"/>
      <c r="M16" s="360"/>
      <c r="N16" s="360"/>
      <c r="O16" s="360"/>
      <c r="P16" s="360"/>
      <c r="Q16" s="360"/>
      <c r="R16" s="360"/>
    </row>
    <row r="17" spans="1:18" ht="18" x14ac:dyDescent="0.25">
      <c r="A17" s="260"/>
      <c r="B17" s="204"/>
      <c r="C17" s="197" t="s">
        <v>677</v>
      </c>
      <c r="D17" s="197"/>
      <c r="E17" s="197"/>
      <c r="F17" s="197"/>
      <c r="G17" s="197"/>
      <c r="H17" s="197"/>
      <c r="I17" s="197"/>
      <c r="J17" s="196"/>
      <c r="L17" s="188" t="s">
        <v>80</v>
      </c>
      <c r="M17" s="189" t="s">
        <v>113</v>
      </c>
      <c r="N17" s="189" t="s">
        <v>344</v>
      </c>
      <c r="O17" s="189" t="s">
        <v>343</v>
      </c>
      <c r="P17" s="189" t="s">
        <v>114</v>
      </c>
      <c r="Q17" s="360"/>
      <c r="R17" s="360"/>
    </row>
    <row r="18" spans="1:18" x14ac:dyDescent="0.2">
      <c r="A18" s="260"/>
      <c r="B18" s="204"/>
      <c r="C18" s="197"/>
      <c r="D18" s="197"/>
      <c r="E18" s="197"/>
      <c r="F18" s="197"/>
      <c r="G18" s="197"/>
      <c r="H18" s="197"/>
      <c r="I18" s="197"/>
      <c r="J18" s="196"/>
      <c r="L18" s="180">
        <v>2</v>
      </c>
      <c r="M18" s="173">
        <v>3</v>
      </c>
      <c r="N18" s="173">
        <f>N11</f>
        <v>0</v>
      </c>
      <c r="O18" s="173">
        <f>1-N18/(M18*(M18^2-1)/6)</f>
        <v>1</v>
      </c>
      <c r="P18" s="173">
        <v>2</v>
      </c>
      <c r="Q18" s="360"/>
      <c r="R18" s="360"/>
    </row>
    <row r="19" spans="1:18" x14ac:dyDescent="0.2">
      <c r="A19" s="260" t="s">
        <v>1</v>
      </c>
      <c r="B19" s="241" t="s">
        <v>483</v>
      </c>
      <c r="C19" s="197" t="s">
        <v>676</v>
      </c>
      <c r="D19" s="197"/>
      <c r="E19" s="197"/>
      <c r="F19" s="197"/>
      <c r="G19" s="197"/>
      <c r="H19" s="197"/>
      <c r="I19" s="197"/>
      <c r="J19" s="196"/>
      <c r="L19" s="180">
        <v>3</v>
      </c>
      <c r="M19" s="173">
        <v>2</v>
      </c>
      <c r="N19" s="173">
        <f>R10</f>
        <v>2</v>
      </c>
      <c r="O19" s="173">
        <f>1-N19/(M19*(M19^2-1)/6)</f>
        <v>-1</v>
      </c>
      <c r="P19" s="173">
        <v>1</v>
      </c>
      <c r="Q19" s="360"/>
      <c r="R19" s="360"/>
    </row>
    <row r="20" spans="1:18" x14ac:dyDescent="0.2">
      <c r="A20" s="260"/>
      <c r="B20" s="204"/>
      <c r="C20" s="197" t="s">
        <v>675</v>
      </c>
      <c r="D20" s="197"/>
      <c r="E20" s="197"/>
      <c r="F20" s="197"/>
      <c r="G20" s="197"/>
      <c r="H20" s="197"/>
      <c r="I20" s="197"/>
      <c r="J20" s="196"/>
      <c r="L20" s="360"/>
      <c r="M20" s="360"/>
      <c r="N20" s="360"/>
      <c r="O20" s="360"/>
      <c r="P20" s="360"/>
      <c r="Q20" s="360"/>
      <c r="R20" s="360"/>
    </row>
    <row r="21" spans="1:18" x14ac:dyDescent="0.2">
      <c r="A21" s="260"/>
      <c r="B21" s="204"/>
      <c r="C21" s="197"/>
      <c r="D21" s="197"/>
      <c r="E21" s="197"/>
      <c r="F21" s="197"/>
      <c r="G21" s="197"/>
      <c r="H21" s="197"/>
      <c r="I21" s="197"/>
      <c r="J21" s="196"/>
      <c r="P21" s="360"/>
      <c r="Q21" s="360"/>
      <c r="R21" s="360"/>
    </row>
    <row r="22" spans="1:18" x14ac:dyDescent="0.2">
      <c r="A22" s="260" t="s">
        <v>2</v>
      </c>
      <c r="B22" s="197" t="s">
        <v>563</v>
      </c>
      <c r="C22" s="197" t="s">
        <v>674</v>
      </c>
      <c r="D22" s="197"/>
      <c r="E22" s="197"/>
      <c r="F22" s="197"/>
      <c r="G22" s="197"/>
      <c r="H22" s="197"/>
      <c r="I22" s="197"/>
      <c r="J22" s="196"/>
      <c r="L22" s="138" t="s">
        <v>115</v>
      </c>
      <c r="M22" s="139">
        <f>SUMPRODUCT(O18:O19,P18:P19)/SUM(P18:P19)</f>
        <v>0.33333333333333331</v>
      </c>
    </row>
    <row r="23" spans="1:18" x14ac:dyDescent="0.2">
      <c r="A23" s="260"/>
      <c r="B23" s="197"/>
      <c r="C23" s="209" t="s">
        <v>673</v>
      </c>
      <c r="D23" s="197"/>
      <c r="E23" s="197"/>
      <c r="F23" s="197"/>
      <c r="G23" s="197"/>
      <c r="H23" s="197"/>
      <c r="I23" s="197"/>
      <c r="J23" s="196"/>
      <c r="L23" s="166"/>
      <c r="M23" s="317"/>
    </row>
    <row r="24" spans="1:18" ht="17" thickBot="1" x14ac:dyDescent="0.25">
      <c r="A24" s="260"/>
      <c r="B24" s="197"/>
      <c r="C24" s="209"/>
      <c r="D24" s="197"/>
      <c r="E24" s="197"/>
      <c r="F24" s="197"/>
      <c r="G24" s="197"/>
      <c r="H24" s="197"/>
      <c r="I24" s="197"/>
      <c r="J24" s="196"/>
      <c r="L24" s="166"/>
      <c r="M24" s="317"/>
    </row>
    <row r="25" spans="1:18" ht="17" thickBot="1" x14ac:dyDescent="0.25">
      <c r="A25" s="280" t="s">
        <v>205</v>
      </c>
      <c r="B25" s="194"/>
      <c r="C25" s="279"/>
      <c r="D25" s="194"/>
      <c r="E25" s="194"/>
      <c r="F25" s="194"/>
      <c r="G25" s="194"/>
      <c r="H25" s="194"/>
      <c r="I25" s="194"/>
      <c r="J25" s="193"/>
      <c r="L25" t="s">
        <v>339</v>
      </c>
      <c r="M25" s="162">
        <f>1/((5-2)*(5-3)/2)</f>
        <v>0.33333333333333331</v>
      </c>
      <c r="N25" t="s">
        <v>672</v>
      </c>
    </row>
    <row r="26" spans="1:18" x14ac:dyDescent="0.2">
      <c r="L26" t="s">
        <v>337</v>
      </c>
      <c r="M26" s="172">
        <v>0</v>
      </c>
    </row>
    <row r="28" spans="1:18" x14ac:dyDescent="0.2">
      <c r="L28" t="s">
        <v>336</v>
      </c>
      <c r="N28" s="162">
        <f>M26-SQRT(M25)*0.67</f>
        <v>-0.38682468035704926</v>
      </c>
    </row>
    <row r="29" spans="1:18" x14ac:dyDescent="0.2">
      <c r="L29" t="s">
        <v>335</v>
      </c>
      <c r="N29" s="162">
        <f>M26+SQRT(M25)*0.67</f>
        <v>0.38682468035704926</v>
      </c>
    </row>
    <row r="31" spans="1:18" x14ac:dyDescent="0.2">
      <c r="L31" s="419" t="s">
        <v>671</v>
      </c>
      <c r="M31" s="419"/>
      <c r="N31" s="419"/>
      <c r="O31" s="419"/>
      <c r="P31" s="419"/>
      <c r="Q31" s="419"/>
      <c r="R31" s="419"/>
    </row>
    <row r="32" spans="1:18" x14ac:dyDescent="0.2">
      <c r="L32" s="419"/>
      <c r="M32" s="419"/>
      <c r="N32" s="419"/>
      <c r="O32" s="419"/>
      <c r="P32" s="419"/>
      <c r="Q32" s="419"/>
      <c r="R32" s="419"/>
    </row>
    <row r="34" spans="12:18" x14ac:dyDescent="0.2">
      <c r="L34" s="166" t="s">
        <v>409</v>
      </c>
    </row>
    <row r="35" spans="12:18" x14ac:dyDescent="0.2">
      <c r="L35" t="s">
        <v>670</v>
      </c>
    </row>
    <row r="37" spans="12:18" x14ac:dyDescent="0.2">
      <c r="L37" s="419" t="s">
        <v>669</v>
      </c>
      <c r="M37" s="419"/>
      <c r="N37" s="419"/>
      <c r="O37" s="419"/>
      <c r="P37" s="419"/>
      <c r="Q37" s="419"/>
      <c r="R37" s="419"/>
    </row>
    <row r="38" spans="12:18" x14ac:dyDescent="0.2">
      <c r="L38" s="419"/>
      <c r="M38" s="419"/>
      <c r="N38" s="419"/>
      <c r="O38" s="419"/>
      <c r="P38" s="419"/>
      <c r="Q38" s="419"/>
      <c r="R38" s="419"/>
    </row>
    <row r="40" spans="12:18" x14ac:dyDescent="0.2">
      <c r="L40" s="166" t="s">
        <v>656</v>
      </c>
    </row>
    <row r="41" spans="12:18" x14ac:dyDescent="0.2">
      <c r="L41" s="419" t="s">
        <v>668</v>
      </c>
      <c r="M41" s="419"/>
      <c r="N41" s="419"/>
      <c r="O41" s="419"/>
      <c r="P41" s="419"/>
      <c r="Q41" s="419"/>
      <c r="R41" s="419"/>
    </row>
    <row r="42" spans="12:18" x14ac:dyDescent="0.2">
      <c r="L42" s="419"/>
      <c r="M42" s="419"/>
      <c r="N42" s="419"/>
      <c r="O42" s="419"/>
      <c r="P42" s="419"/>
      <c r="Q42" s="419"/>
      <c r="R42" s="419"/>
    </row>
    <row r="44" spans="12:18" x14ac:dyDescent="0.2">
      <c r="L44" s="443" t="s">
        <v>667</v>
      </c>
      <c r="M44" s="443"/>
      <c r="N44" s="443"/>
      <c r="O44" s="443"/>
      <c r="P44" s="443"/>
      <c r="Q44" s="443"/>
      <c r="R44" s="443"/>
    </row>
    <row r="45" spans="12:18" x14ac:dyDescent="0.2">
      <c r="L45" s="443"/>
      <c r="M45" s="443"/>
      <c r="N45" s="443"/>
      <c r="O45" s="443"/>
      <c r="P45" s="443"/>
      <c r="Q45" s="443"/>
      <c r="R45" s="443"/>
    </row>
    <row r="48" spans="12:18" ht="19" x14ac:dyDescent="0.25">
      <c r="L48" s="156" t="s">
        <v>236</v>
      </c>
    </row>
    <row r="49" spans="12:12" x14ac:dyDescent="0.2">
      <c r="L49" t="s">
        <v>666</v>
      </c>
    </row>
  </sheetData>
  <mergeCells count="5">
    <mergeCell ref="L41:R42"/>
    <mergeCell ref="L44:R45"/>
    <mergeCell ref="D6:H6"/>
    <mergeCell ref="L31:R32"/>
    <mergeCell ref="L37:R3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22AE-346F-E248-817B-03A24B27E7B6}">
  <dimension ref="A1:S61"/>
  <sheetViews>
    <sheetView workbookViewId="0">
      <selection activeCell="B1" sqref="B1"/>
    </sheetView>
  </sheetViews>
  <sheetFormatPr baseColWidth="10" defaultColWidth="11" defaultRowHeight="16" outlineLevelCol="1" x14ac:dyDescent="0.2"/>
  <cols>
    <col min="1" max="1" width="4" style="250" customWidth="1"/>
    <col min="2" max="2" width="11.5" customWidth="1"/>
    <col min="3" max="3" width="12" customWidth="1"/>
    <col min="12" max="14" width="10.83203125" hidden="1" customWidth="1" outlineLevel="1"/>
    <col min="15" max="15" width="10.6640625" hidden="1" customWidth="1" outlineLevel="1"/>
    <col min="16" max="18" width="10.83203125" hidden="1" customWidth="1" outlineLevel="1"/>
    <col min="19" max="19" width="11" collapsed="1"/>
  </cols>
  <sheetData>
    <row r="1" spans="1:17" x14ac:dyDescent="0.2">
      <c r="A1" s="292"/>
      <c r="B1" s="229" t="s">
        <v>438</v>
      </c>
      <c r="C1" s="228" t="s">
        <v>711</v>
      </c>
      <c r="D1" s="228" t="s">
        <v>436</v>
      </c>
      <c r="E1" s="228" t="s">
        <v>594</v>
      </c>
      <c r="F1" s="227"/>
      <c r="G1" s="227"/>
      <c r="H1" s="227"/>
      <c r="I1" s="227"/>
      <c r="J1" s="226"/>
      <c r="K1" s="166" t="s">
        <v>206</v>
      </c>
      <c r="L1" s="166"/>
    </row>
    <row r="2" spans="1:17" x14ac:dyDescent="0.2">
      <c r="A2" s="260"/>
      <c r="B2" s="291" t="s">
        <v>434</v>
      </c>
      <c r="C2" s="290">
        <v>3.25</v>
      </c>
      <c r="D2" s="197"/>
      <c r="E2" s="197"/>
      <c r="F2" s="197"/>
      <c r="G2" s="197"/>
      <c r="H2" s="197"/>
      <c r="I2" s="197"/>
      <c r="J2" s="196"/>
    </row>
    <row r="3" spans="1:17" x14ac:dyDescent="0.2">
      <c r="A3" s="260"/>
      <c r="B3" s="197"/>
      <c r="C3" s="197"/>
      <c r="D3" s="197"/>
      <c r="E3" s="197"/>
      <c r="F3" s="197"/>
      <c r="G3" s="197"/>
      <c r="H3" s="197"/>
      <c r="I3" s="197"/>
      <c r="J3" s="196"/>
      <c r="L3" s="166" t="s">
        <v>433</v>
      </c>
      <c r="M3" s="317"/>
    </row>
    <row r="4" spans="1:17" x14ac:dyDescent="0.2">
      <c r="A4" s="260"/>
      <c r="B4" s="197"/>
      <c r="C4" s="197" t="s">
        <v>710</v>
      </c>
      <c r="D4" s="197"/>
      <c r="E4" s="197"/>
      <c r="F4" s="197"/>
      <c r="G4" s="197"/>
      <c r="H4" s="197"/>
      <c r="I4" s="197"/>
      <c r="J4" s="196"/>
      <c r="M4" s="317"/>
    </row>
    <row r="5" spans="1:17" x14ac:dyDescent="0.2">
      <c r="A5" s="260"/>
      <c r="B5" s="197"/>
      <c r="C5" s="197"/>
      <c r="D5" s="197"/>
      <c r="E5" s="197"/>
      <c r="F5" s="197"/>
      <c r="G5" s="197"/>
      <c r="H5" s="197"/>
      <c r="I5" s="197"/>
      <c r="J5" s="196"/>
      <c r="L5" t="s">
        <v>474</v>
      </c>
    </row>
    <row r="6" spans="1:17" x14ac:dyDescent="0.2">
      <c r="A6" s="260"/>
      <c r="B6" s="197"/>
      <c r="C6" s="412" t="s">
        <v>709</v>
      </c>
      <c r="D6" s="413"/>
      <c r="E6" s="413"/>
      <c r="F6" s="413"/>
      <c r="G6" s="413"/>
      <c r="H6" s="413"/>
      <c r="I6" s="414"/>
      <c r="J6" s="196"/>
    </row>
    <row r="7" spans="1:17" x14ac:dyDescent="0.2">
      <c r="A7" s="260"/>
      <c r="B7" s="197"/>
      <c r="C7" s="283" t="s">
        <v>7</v>
      </c>
      <c r="D7" s="223">
        <v>12</v>
      </c>
      <c r="E7" s="223">
        <v>24</v>
      </c>
      <c r="F7" s="223">
        <v>36</v>
      </c>
      <c r="G7" s="223">
        <v>48</v>
      </c>
      <c r="H7" s="223">
        <v>60</v>
      </c>
      <c r="I7" s="222">
        <v>72</v>
      </c>
      <c r="J7" s="196"/>
      <c r="L7" s="192" t="s">
        <v>19</v>
      </c>
      <c r="M7" s="316" t="s">
        <v>466</v>
      </c>
      <c r="N7" s="316" t="s">
        <v>472</v>
      </c>
      <c r="O7" s="316" t="s">
        <v>471</v>
      </c>
      <c r="P7" s="316" t="s">
        <v>463</v>
      </c>
      <c r="Q7" s="316" t="s">
        <v>520</v>
      </c>
    </row>
    <row r="8" spans="1:17" x14ac:dyDescent="0.2">
      <c r="A8" s="260"/>
      <c r="B8" s="197"/>
      <c r="C8" s="219">
        <v>2013</v>
      </c>
      <c r="D8" s="211">
        <v>3384</v>
      </c>
      <c r="E8" s="211">
        <v>4282</v>
      </c>
      <c r="F8" s="211">
        <v>4813</v>
      </c>
      <c r="G8" s="211">
        <v>5408</v>
      </c>
      <c r="H8" s="211">
        <v>5394</v>
      </c>
      <c r="I8" s="314">
        <v>5362</v>
      </c>
      <c r="J8" s="196"/>
      <c r="L8" s="191">
        <v>2013</v>
      </c>
      <c r="M8" s="172">
        <f>RANK(D17,D$17:D$21,1)</f>
        <v>3</v>
      </c>
      <c r="N8" s="172">
        <f>RANK(E17,E$17:E$21,1)</f>
        <v>3</v>
      </c>
      <c r="O8" s="172">
        <f>RANK(F17,F$17:F$21,1)</f>
        <v>3</v>
      </c>
      <c r="P8" s="172">
        <f>RANK(G17,G$17:G$21,1)</f>
        <v>2</v>
      </c>
      <c r="Q8" s="172">
        <f>RANK(H17,H$17:H$21,1)</f>
        <v>1</v>
      </c>
    </row>
    <row r="9" spans="1:17" x14ac:dyDescent="0.2">
      <c r="A9" s="260"/>
      <c r="B9" s="197"/>
      <c r="C9" s="219">
        <v>2014</v>
      </c>
      <c r="D9" s="211">
        <v>3499</v>
      </c>
      <c r="E9" s="211">
        <v>4438</v>
      </c>
      <c r="F9" s="211">
        <v>5646</v>
      </c>
      <c r="G9" s="211">
        <v>5532</v>
      </c>
      <c r="H9" s="211">
        <v>5512</v>
      </c>
      <c r="I9" s="314"/>
      <c r="J9" s="196"/>
      <c r="L9" s="191">
        <v>2014</v>
      </c>
      <c r="M9" s="172">
        <f>RANK(D18,D$17:D$21,1)</f>
        <v>4</v>
      </c>
      <c r="N9" s="172">
        <f>RANK(E18,E$17:E$21,1)</f>
        <v>4</v>
      </c>
      <c r="O9" s="172">
        <f>RANK(F18,F$17:F$21,1)</f>
        <v>2</v>
      </c>
      <c r="P9" s="172">
        <f>RANK(G18,G$17:G$21,1)</f>
        <v>1</v>
      </c>
      <c r="Q9" s="172"/>
    </row>
    <row r="10" spans="1:17" x14ac:dyDescent="0.2">
      <c r="A10" s="260"/>
      <c r="B10" s="197"/>
      <c r="C10" s="219">
        <v>2015</v>
      </c>
      <c r="D10" s="211">
        <v>3483</v>
      </c>
      <c r="E10" s="211">
        <v>5566</v>
      </c>
      <c r="F10" s="211">
        <v>5539</v>
      </c>
      <c r="G10" s="211">
        <v>5398</v>
      </c>
      <c r="H10" s="211"/>
      <c r="I10" s="314"/>
      <c r="J10" s="196"/>
      <c r="L10" s="191">
        <v>2015</v>
      </c>
      <c r="M10" s="169">
        <f>RANK(D19,D$17:D$21,1)</f>
        <v>5</v>
      </c>
      <c r="N10" s="169">
        <f>RANK(E19,E$17:E$21,1)</f>
        <v>1</v>
      </c>
      <c r="O10" s="169">
        <f>RANK(F19,F$17:F$21,1)</f>
        <v>1</v>
      </c>
      <c r="P10" s="172"/>
      <c r="Q10" s="172"/>
    </row>
    <row r="11" spans="1:17" x14ac:dyDescent="0.2">
      <c r="A11" s="260"/>
      <c r="B11" s="197"/>
      <c r="C11" s="219">
        <v>2016</v>
      </c>
      <c r="D11" s="211">
        <v>6502</v>
      </c>
      <c r="E11" s="211">
        <v>6197</v>
      </c>
      <c r="F11" s="211">
        <v>6222</v>
      </c>
      <c r="G11" s="211"/>
      <c r="H11" s="211"/>
      <c r="I11" s="314"/>
      <c r="J11" s="196"/>
      <c r="L11" s="191">
        <v>2016</v>
      </c>
      <c r="M11" s="172">
        <f>RANK(D20,D$17:D$21,1)</f>
        <v>1</v>
      </c>
      <c r="N11" s="172">
        <f>RANK(E20,E$17:E$21,1)</f>
        <v>2</v>
      </c>
      <c r="O11" s="172"/>
      <c r="P11" s="172"/>
      <c r="Q11" s="172"/>
    </row>
    <row r="12" spans="1:17" x14ac:dyDescent="0.2">
      <c r="A12" s="260"/>
      <c r="B12" s="197"/>
      <c r="C12" s="219">
        <v>2017</v>
      </c>
      <c r="D12" s="211">
        <v>6656</v>
      </c>
      <c r="E12" s="211">
        <v>6658</v>
      </c>
      <c r="F12" s="211"/>
      <c r="G12" s="211"/>
      <c r="H12" s="211"/>
      <c r="I12" s="314"/>
      <c r="J12" s="196"/>
      <c r="L12" s="191">
        <v>2017</v>
      </c>
      <c r="M12" s="172">
        <f>RANK(D21,D$17:D$21,1)</f>
        <v>2</v>
      </c>
      <c r="N12" s="172"/>
      <c r="O12" s="172"/>
      <c r="P12" s="172"/>
      <c r="Q12" s="172"/>
    </row>
    <row r="13" spans="1:17" x14ac:dyDescent="0.2">
      <c r="A13" s="260"/>
      <c r="B13" s="204"/>
      <c r="C13" s="216">
        <v>2018</v>
      </c>
      <c r="D13" s="214">
        <v>6595</v>
      </c>
      <c r="E13" s="214"/>
      <c r="F13" s="214"/>
      <c r="G13" s="214"/>
      <c r="H13" s="214"/>
      <c r="I13" s="313"/>
      <c r="J13" s="196"/>
    </row>
    <row r="14" spans="1:17" x14ac:dyDescent="0.2">
      <c r="A14" s="260"/>
      <c r="B14" s="204"/>
      <c r="C14" s="197"/>
      <c r="D14" s="197"/>
      <c r="E14" s="197"/>
      <c r="F14" s="197"/>
      <c r="G14" s="197"/>
      <c r="H14" s="197"/>
      <c r="I14" s="197"/>
      <c r="J14" s="196"/>
      <c r="L14" t="s">
        <v>569</v>
      </c>
    </row>
    <row r="15" spans="1:17" x14ac:dyDescent="0.2">
      <c r="A15" s="260"/>
      <c r="B15" s="204"/>
      <c r="C15" s="412" t="s">
        <v>708</v>
      </c>
      <c r="D15" s="413"/>
      <c r="E15" s="413"/>
      <c r="F15" s="413"/>
      <c r="G15" s="413"/>
      <c r="H15" s="414"/>
      <c r="I15" s="197"/>
      <c r="J15" s="196"/>
    </row>
    <row r="16" spans="1:17" x14ac:dyDescent="0.2">
      <c r="A16" s="260"/>
      <c r="B16" s="204"/>
      <c r="C16" s="283" t="s">
        <v>7</v>
      </c>
      <c r="D16" s="312" t="s">
        <v>466</v>
      </c>
      <c r="E16" s="312" t="s">
        <v>472</v>
      </c>
      <c r="F16" s="312" t="s">
        <v>471</v>
      </c>
      <c r="G16" s="312" t="s">
        <v>463</v>
      </c>
      <c r="H16" s="311" t="s">
        <v>520</v>
      </c>
      <c r="I16" s="197"/>
      <c r="J16" s="196"/>
      <c r="L16" s="192" t="s">
        <v>19</v>
      </c>
      <c r="M16" s="316" t="s">
        <v>466</v>
      </c>
      <c r="N16" s="316" t="s">
        <v>472</v>
      </c>
      <c r="O16" s="316" t="s">
        <v>471</v>
      </c>
      <c r="P16" s="316" t="s">
        <v>463</v>
      </c>
      <c r="Q16" s="316" t="s">
        <v>520</v>
      </c>
    </row>
    <row r="17" spans="1:17" x14ac:dyDescent="0.2">
      <c r="A17" s="260"/>
      <c r="B17" s="204"/>
      <c r="C17" s="219">
        <v>2013</v>
      </c>
      <c r="D17" s="379">
        <f>E8/D8</f>
        <v>1.2653664302600474</v>
      </c>
      <c r="E17" s="379">
        <f>F8/E8</f>
        <v>1.1240074731433909</v>
      </c>
      <c r="F17" s="379">
        <f>G8/F8</f>
        <v>1.1236235196343236</v>
      </c>
      <c r="G17" s="379">
        <f>H8/G8</f>
        <v>0.9974112426035503</v>
      </c>
      <c r="H17" s="378">
        <f>I8/H8</f>
        <v>0.99406748238783837</v>
      </c>
      <c r="I17" s="197"/>
      <c r="J17" s="196"/>
      <c r="L17" s="191">
        <v>2013</v>
      </c>
      <c r="M17" s="172" t="s">
        <v>33</v>
      </c>
      <c r="N17" s="172" t="s">
        <v>31</v>
      </c>
      <c r="O17" s="172" t="s">
        <v>31</v>
      </c>
      <c r="P17" s="172" t="s">
        <v>31</v>
      </c>
      <c r="Q17" s="172" t="s">
        <v>33</v>
      </c>
    </row>
    <row r="18" spans="1:17" x14ac:dyDescent="0.2">
      <c r="A18" s="260"/>
      <c r="B18" s="204"/>
      <c r="C18" s="219">
        <v>2014</v>
      </c>
      <c r="D18" s="379">
        <f>E9/D9</f>
        <v>1.2683623892540725</v>
      </c>
      <c r="E18" s="379">
        <f>F9/E9</f>
        <v>1.2721946822893195</v>
      </c>
      <c r="F18" s="379">
        <f>G9/F9</f>
        <v>0.97980871413390014</v>
      </c>
      <c r="G18" s="379">
        <f>H9/G9</f>
        <v>0.99638467100506145</v>
      </c>
      <c r="H18" s="378"/>
      <c r="I18" s="197"/>
      <c r="J18" s="196"/>
      <c r="L18" s="191">
        <v>2014</v>
      </c>
      <c r="M18" s="172" t="s">
        <v>31</v>
      </c>
      <c r="N18" s="172" t="s">
        <v>31</v>
      </c>
      <c r="O18" s="172" t="s">
        <v>33</v>
      </c>
      <c r="P18" s="172" t="s">
        <v>32</v>
      </c>
      <c r="Q18" s="172"/>
    </row>
    <row r="19" spans="1:17" x14ac:dyDescent="0.2">
      <c r="A19" s="260"/>
      <c r="B19" s="204"/>
      <c r="C19" s="219">
        <v>2015</v>
      </c>
      <c r="D19" s="379">
        <f>E10/D10</f>
        <v>1.5980476600631639</v>
      </c>
      <c r="E19" s="379">
        <f>F10/E10</f>
        <v>0.99514911965504849</v>
      </c>
      <c r="F19" s="379">
        <f>G10/F10</f>
        <v>0.97454414154179458</v>
      </c>
      <c r="G19" s="379"/>
      <c r="H19" s="378"/>
      <c r="I19" s="197"/>
      <c r="J19" s="196"/>
      <c r="L19" s="191">
        <v>2015</v>
      </c>
      <c r="M19" s="169" t="s">
        <v>31</v>
      </c>
      <c r="N19" s="169" t="s">
        <v>32</v>
      </c>
      <c r="O19" s="169" t="s">
        <v>32</v>
      </c>
      <c r="P19" s="172"/>
      <c r="Q19" s="172"/>
    </row>
    <row r="20" spans="1:17" x14ac:dyDescent="0.2">
      <c r="A20" s="260"/>
      <c r="B20" s="204"/>
      <c r="C20" s="219">
        <v>2016</v>
      </c>
      <c r="D20" s="379">
        <f>E11/D11</f>
        <v>0.95309135650569055</v>
      </c>
      <c r="E20" s="379">
        <f>F11/E11</f>
        <v>1.0040342101016622</v>
      </c>
      <c r="F20" s="379"/>
      <c r="G20" s="379"/>
      <c r="H20" s="378"/>
      <c r="I20" s="197"/>
      <c r="J20" s="196"/>
      <c r="L20" s="191">
        <v>2016</v>
      </c>
      <c r="M20" s="172" t="s">
        <v>32</v>
      </c>
      <c r="N20" s="172" t="s">
        <v>32</v>
      </c>
      <c r="O20" s="172"/>
      <c r="P20" s="172"/>
      <c r="Q20" s="172"/>
    </row>
    <row r="21" spans="1:17" x14ac:dyDescent="0.2">
      <c r="A21" s="260"/>
      <c r="B21" s="204"/>
      <c r="C21" s="216">
        <v>2017</v>
      </c>
      <c r="D21" s="377">
        <f>E12/D12</f>
        <v>1.0003004807692308</v>
      </c>
      <c r="E21" s="377"/>
      <c r="F21" s="377"/>
      <c r="G21" s="377"/>
      <c r="H21" s="376"/>
      <c r="I21" s="197"/>
      <c r="J21" s="196"/>
      <c r="L21" s="191">
        <v>2017</v>
      </c>
      <c r="M21" s="172" t="s">
        <v>32</v>
      </c>
      <c r="N21" s="172"/>
      <c r="O21" s="172"/>
      <c r="P21" s="172"/>
      <c r="Q21" s="172"/>
    </row>
    <row r="22" spans="1:17" x14ac:dyDescent="0.2">
      <c r="A22" s="260"/>
      <c r="B22" s="204"/>
      <c r="C22" s="204"/>
      <c r="D22" s="211"/>
      <c r="E22" s="211"/>
      <c r="F22" s="211"/>
      <c r="G22" s="211"/>
      <c r="H22" s="211"/>
      <c r="I22" s="211"/>
      <c r="J22" s="196"/>
    </row>
    <row r="23" spans="1:17" x14ac:dyDescent="0.2">
      <c r="A23" s="260" t="s">
        <v>0</v>
      </c>
      <c r="B23" s="241" t="s">
        <v>707</v>
      </c>
      <c r="C23" s="241" t="s">
        <v>706</v>
      </c>
      <c r="D23" s="211"/>
      <c r="E23" s="211"/>
      <c r="F23" s="211"/>
      <c r="G23" s="211"/>
      <c r="H23" s="211"/>
      <c r="I23" s="211"/>
      <c r="J23" s="196"/>
      <c r="L23" t="s">
        <v>329</v>
      </c>
    </row>
    <row r="24" spans="1:17" x14ac:dyDescent="0.2">
      <c r="A24" s="260"/>
      <c r="B24" s="204"/>
      <c r="C24" s="241" t="s">
        <v>705</v>
      </c>
      <c r="D24" s="211"/>
      <c r="E24" s="211"/>
      <c r="F24" s="211"/>
      <c r="G24" s="211"/>
      <c r="H24" s="211"/>
      <c r="I24" s="211"/>
      <c r="J24" s="196"/>
    </row>
    <row r="25" spans="1:17" ht="18" x14ac:dyDescent="0.25">
      <c r="A25" s="260"/>
      <c r="B25" s="204"/>
      <c r="C25" s="241"/>
      <c r="D25" s="211"/>
      <c r="E25" s="211"/>
      <c r="F25" s="211"/>
      <c r="G25" s="211"/>
      <c r="H25" s="211"/>
      <c r="I25" s="211"/>
      <c r="J25" s="196"/>
      <c r="L25" s="192" t="s">
        <v>560</v>
      </c>
      <c r="M25" s="164" t="s">
        <v>461</v>
      </c>
      <c r="N25" s="164" t="s">
        <v>460</v>
      </c>
      <c r="O25" s="164" t="s">
        <v>459</v>
      </c>
    </row>
    <row r="26" spans="1:17" x14ac:dyDescent="0.2">
      <c r="A26" s="260"/>
      <c r="B26" s="204"/>
      <c r="C26" s="241" t="s">
        <v>704</v>
      </c>
      <c r="D26" s="387">
        <v>3.25</v>
      </c>
      <c r="E26" s="211"/>
      <c r="F26" s="211"/>
      <c r="G26" s="211"/>
      <c r="H26" s="211"/>
      <c r="I26" s="211"/>
      <c r="J26" s="196"/>
      <c r="L26" s="191">
        <v>2</v>
      </c>
      <c r="M26" s="172">
        <v>0</v>
      </c>
      <c r="N26" s="172">
        <v>2</v>
      </c>
      <c r="O26" s="172">
        <f>MIN(M26,N26)</f>
        <v>0</v>
      </c>
    </row>
    <row r="27" spans="1:17" x14ac:dyDescent="0.2">
      <c r="A27" s="260"/>
      <c r="B27" s="204"/>
      <c r="C27" s="241" t="s">
        <v>703</v>
      </c>
      <c r="D27" s="387">
        <v>1.06</v>
      </c>
      <c r="E27" s="211"/>
      <c r="F27" s="211"/>
      <c r="G27" s="211"/>
      <c r="H27" s="211"/>
      <c r="I27" s="211"/>
      <c r="J27" s="196"/>
      <c r="L27" s="191">
        <v>3</v>
      </c>
      <c r="M27" s="172">
        <v>0</v>
      </c>
      <c r="N27" s="172">
        <v>3</v>
      </c>
      <c r="O27" s="172">
        <f>MIN(M27,N27)</f>
        <v>0</v>
      </c>
    </row>
    <row r="28" spans="1:17" ht="19" x14ac:dyDescent="0.2">
      <c r="A28" s="260"/>
      <c r="B28" s="197"/>
      <c r="C28" s="241" t="s">
        <v>702</v>
      </c>
      <c r="D28" s="197"/>
      <c r="E28" s="197"/>
      <c r="F28" s="197"/>
      <c r="G28" s="197"/>
      <c r="H28" s="241">
        <v>1.96</v>
      </c>
      <c r="I28" s="197"/>
      <c r="J28" s="196"/>
      <c r="L28" s="191">
        <v>4</v>
      </c>
      <c r="M28" s="172">
        <v>2</v>
      </c>
      <c r="N28" s="172">
        <v>1</v>
      </c>
      <c r="O28" s="172">
        <f>MIN(M28,N28)</f>
        <v>1</v>
      </c>
    </row>
    <row r="29" spans="1:17" x14ac:dyDescent="0.2">
      <c r="A29" s="260"/>
      <c r="B29" s="197"/>
      <c r="C29" s="209"/>
      <c r="D29" s="197"/>
      <c r="E29" s="197"/>
      <c r="F29" s="197"/>
      <c r="G29" s="197"/>
      <c r="H29" s="197"/>
      <c r="I29" s="197"/>
      <c r="J29" s="196"/>
      <c r="L29" s="191">
        <v>5</v>
      </c>
      <c r="M29" s="172">
        <v>4</v>
      </c>
      <c r="N29" s="172">
        <v>0</v>
      </c>
      <c r="O29" s="172">
        <f>MIN(M29,N29)</f>
        <v>0</v>
      </c>
    </row>
    <row r="30" spans="1:17" x14ac:dyDescent="0.2">
      <c r="A30" s="260" t="s">
        <v>1</v>
      </c>
      <c r="B30" s="197" t="s">
        <v>419</v>
      </c>
      <c r="C30" s="209" t="s">
        <v>701</v>
      </c>
      <c r="D30" s="197"/>
      <c r="E30" s="197"/>
      <c r="F30" s="197"/>
      <c r="G30" s="197"/>
      <c r="H30" s="197"/>
      <c r="I30" s="197"/>
      <c r="J30" s="196"/>
      <c r="L30" s="343" t="s">
        <v>89</v>
      </c>
      <c r="M30" s="342"/>
      <c r="N30" s="342"/>
      <c r="O30" s="342">
        <f>SUM(O26:O29)</f>
        <v>1</v>
      </c>
    </row>
    <row r="31" spans="1:17" x14ac:dyDescent="0.2">
      <c r="A31" s="260"/>
      <c r="B31" s="197"/>
      <c r="C31" s="209" t="s">
        <v>700</v>
      </c>
      <c r="D31" s="197"/>
      <c r="E31" s="197"/>
      <c r="F31" s="197"/>
      <c r="G31" s="197"/>
      <c r="H31" s="197"/>
      <c r="I31" s="197"/>
      <c r="J31" s="196"/>
    </row>
    <row r="32" spans="1:17" x14ac:dyDescent="0.2">
      <c r="A32" s="260"/>
      <c r="B32" s="197"/>
      <c r="C32" s="209"/>
      <c r="D32" s="197"/>
      <c r="E32" s="197"/>
      <c r="F32" s="197"/>
      <c r="G32" s="197"/>
      <c r="H32" s="197"/>
      <c r="I32" s="197"/>
      <c r="J32" s="196"/>
      <c r="L32" t="s">
        <v>699</v>
      </c>
      <c r="N32" s="171">
        <f>D26-SQRT(D27)*H28</f>
        <v>1.232056492366548</v>
      </c>
    </row>
    <row r="33" spans="1:18" x14ac:dyDescent="0.2">
      <c r="A33" s="260"/>
      <c r="B33" s="197"/>
      <c r="C33" s="209"/>
      <c r="D33" s="197"/>
      <c r="E33" s="197"/>
      <c r="F33" s="197"/>
      <c r="G33" s="197"/>
      <c r="H33" s="197"/>
      <c r="I33" s="197"/>
      <c r="J33" s="196"/>
      <c r="L33" t="s">
        <v>698</v>
      </c>
      <c r="N33" s="171">
        <f>D26+SQRT(D27)*H28</f>
        <v>5.2679435076334524</v>
      </c>
    </row>
    <row r="34" spans="1:18" x14ac:dyDescent="0.2">
      <c r="A34" s="260"/>
      <c r="B34" s="197"/>
      <c r="C34" s="209"/>
      <c r="D34" s="197"/>
      <c r="E34" s="197"/>
      <c r="F34" s="197"/>
      <c r="G34" s="197"/>
      <c r="H34" s="197"/>
      <c r="I34" s="197"/>
      <c r="J34" s="196"/>
      <c r="M34" s="238"/>
    </row>
    <row r="35" spans="1:18" x14ac:dyDescent="0.2">
      <c r="A35" s="260"/>
      <c r="B35" s="197"/>
      <c r="C35" s="209"/>
      <c r="D35" s="197"/>
      <c r="E35" s="197"/>
      <c r="F35" s="197"/>
      <c r="G35" s="197"/>
      <c r="H35" s="197"/>
      <c r="I35" s="197"/>
      <c r="J35" s="196"/>
      <c r="L35" s="431" t="s">
        <v>697</v>
      </c>
      <c r="M35" s="431"/>
      <c r="N35" s="431"/>
      <c r="O35" s="431"/>
      <c r="P35" s="431"/>
      <c r="Q35" s="431"/>
      <c r="R35" s="431"/>
    </row>
    <row r="36" spans="1:18" x14ac:dyDescent="0.2">
      <c r="A36" s="260"/>
      <c r="B36" s="197"/>
      <c r="C36" s="209"/>
      <c r="D36" s="197"/>
      <c r="E36" s="197"/>
      <c r="F36" s="197"/>
      <c r="G36" s="197"/>
      <c r="H36" s="197"/>
      <c r="I36" s="197"/>
      <c r="J36" s="196"/>
      <c r="L36" s="431"/>
      <c r="M36" s="431"/>
      <c r="N36" s="431"/>
      <c r="O36" s="431"/>
      <c r="P36" s="431"/>
      <c r="Q36" s="431"/>
      <c r="R36" s="431"/>
    </row>
    <row r="37" spans="1:18" ht="15.5" customHeight="1" x14ac:dyDescent="0.2">
      <c r="A37" s="260"/>
      <c r="B37" s="197"/>
      <c r="C37" s="209"/>
      <c r="D37" s="197"/>
      <c r="E37" s="197"/>
      <c r="F37" s="197"/>
      <c r="G37" s="197"/>
      <c r="H37" s="197"/>
      <c r="I37" s="197"/>
      <c r="J37" s="196"/>
      <c r="M37" s="238"/>
    </row>
    <row r="38" spans="1:18" x14ac:dyDescent="0.2">
      <c r="A38" s="260"/>
      <c r="B38" s="197"/>
      <c r="C38" s="209"/>
      <c r="D38" s="197"/>
      <c r="E38" s="197"/>
      <c r="F38" s="197"/>
      <c r="G38" s="197"/>
      <c r="H38" s="197"/>
      <c r="I38" s="197"/>
      <c r="J38" s="196"/>
      <c r="L38" s="166" t="s">
        <v>409</v>
      </c>
      <c r="M38" s="238"/>
    </row>
    <row r="39" spans="1:18" x14ac:dyDescent="0.2">
      <c r="A39" s="260"/>
      <c r="B39" s="197"/>
      <c r="C39" s="209"/>
      <c r="D39" s="197"/>
      <c r="E39" s="197"/>
      <c r="F39" s="197"/>
      <c r="G39" s="197"/>
      <c r="H39" s="197"/>
      <c r="I39" s="197"/>
      <c r="J39" s="196"/>
      <c r="L39" s="419" t="s">
        <v>696</v>
      </c>
      <c r="M39" s="419"/>
      <c r="N39" s="419"/>
      <c r="O39" s="419"/>
      <c r="P39" s="419"/>
      <c r="Q39" s="419"/>
      <c r="R39" s="419"/>
    </row>
    <row r="40" spans="1:18" ht="15.5" customHeight="1" x14ac:dyDescent="0.2">
      <c r="A40" s="260"/>
      <c r="B40" s="197"/>
      <c r="C40" s="209"/>
      <c r="D40" s="197"/>
      <c r="E40" s="197"/>
      <c r="F40" s="197"/>
      <c r="G40" s="197"/>
      <c r="H40" s="197"/>
      <c r="I40" s="197"/>
      <c r="J40" s="196"/>
      <c r="L40" s="419"/>
      <c r="M40" s="419"/>
      <c r="N40" s="419"/>
      <c r="O40" s="419"/>
      <c r="P40" s="419"/>
      <c r="Q40" s="419"/>
      <c r="R40" s="419"/>
    </row>
    <row r="41" spans="1:18" x14ac:dyDescent="0.2">
      <c r="A41" s="260"/>
      <c r="B41" s="197"/>
      <c r="C41" s="209"/>
      <c r="D41" s="197"/>
      <c r="E41" s="197"/>
      <c r="F41" s="197"/>
      <c r="G41" s="197"/>
      <c r="H41" s="197"/>
      <c r="I41" s="197"/>
      <c r="J41" s="196"/>
      <c r="L41" s="419"/>
      <c r="M41" s="419"/>
      <c r="N41" s="419"/>
      <c r="O41" s="419"/>
      <c r="P41" s="419"/>
      <c r="Q41" s="419"/>
      <c r="R41" s="419"/>
    </row>
    <row r="42" spans="1:18" x14ac:dyDescent="0.2">
      <c r="A42" s="260"/>
      <c r="B42" s="197"/>
      <c r="C42" s="209"/>
      <c r="D42" s="197"/>
      <c r="E42" s="197"/>
      <c r="F42" s="197"/>
      <c r="G42" s="197"/>
      <c r="H42" s="197"/>
      <c r="I42" s="197"/>
      <c r="J42" s="196"/>
      <c r="M42" s="238"/>
    </row>
    <row r="43" spans="1:18" x14ac:dyDescent="0.2">
      <c r="A43" s="260"/>
      <c r="B43" s="197"/>
      <c r="C43" s="209"/>
      <c r="D43" s="197"/>
      <c r="E43" s="197"/>
      <c r="F43" s="197"/>
      <c r="G43" s="197"/>
      <c r="H43" s="197"/>
      <c r="I43" s="197"/>
      <c r="J43" s="196"/>
      <c r="L43" s="419" t="s">
        <v>695</v>
      </c>
      <c r="M43" s="419"/>
      <c r="N43" s="419"/>
      <c r="O43" s="419"/>
      <c r="P43" s="419"/>
      <c r="Q43" s="419"/>
      <c r="R43" s="419"/>
    </row>
    <row r="44" spans="1:18" x14ac:dyDescent="0.2">
      <c r="A44" s="260"/>
      <c r="B44" s="197"/>
      <c r="C44" s="209"/>
      <c r="D44" s="197"/>
      <c r="E44" s="197"/>
      <c r="F44" s="197"/>
      <c r="G44" s="197"/>
      <c r="H44" s="197"/>
      <c r="I44" s="197"/>
      <c r="J44" s="196"/>
      <c r="L44" s="419"/>
      <c r="M44" s="419"/>
      <c r="N44" s="419"/>
      <c r="O44" s="419"/>
      <c r="P44" s="419"/>
      <c r="Q44" s="419"/>
      <c r="R44" s="419"/>
    </row>
    <row r="45" spans="1:18" x14ac:dyDescent="0.2">
      <c r="A45" s="260"/>
      <c r="B45" s="197"/>
      <c r="C45" s="209"/>
      <c r="D45" s="197"/>
      <c r="E45" s="197"/>
      <c r="F45" s="197"/>
      <c r="G45" s="197"/>
      <c r="H45" s="197"/>
      <c r="I45" s="197"/>
      <c r="J45" s="196"/>
      <c r="M45" s="238"/>
    </row>
    <row r="46" spans="1:18" x14ac:dyDescent="0.2">
      <c r="A46" s="260"/>
      <c r="B46" s="197"/>
      <c r="C46" s="209"/>
      <c r="D46" s="197"/>
      <c r="E46" s="197"/>
      <c r="F46" s="197"/>
      <c r="G46" s="197"/>
      <c r="H46" s="197"/>
      <c r="I46" s="197"/>
      <c r="J46" s="196"/>
      <c r="L46" s="419" t="s">
        <v>694</v>
      </c>
      <c r="M46" s="419"/>
      <c r="N46" s="419"/>
      <c r="O46" s="419"/>
      <c r="P46" s="419"/>
      <c r="Q46" s="419"/>
      <c r="R46" s="419"/>
    </row>
    <row r="47" spans="1:18" x14ac:dyDescent="0.2">
      <c r="A47" s="260"/>
      <c r="B47" s="197"/>
      <c r="C47" s="209"/>
      <c r="D47" s="197"/>
      <c r="E47" s="197"/>
      <c r="F47" s="197"/>
      <c r="G47" s="197"/>
      <c r="H47" s="197"/>
      <c r="I47" s="197"/>
      <c r="J47" s="196"/>
      <c r="L47" s="419"/>
      <c r="M47" s="419"/>
      <c r="N47" s="419"/>
      <c r="O47" s="419"/>
      <c r="P47" s="419"/>
      <c r="Q47" s="419"/>
      <c r="R47" s="419"/>
    </row>
    <row r="48" spans="1:18" x14ac:dyDescent="0.2">
      <c r="A48" s="260"/>
      <c r="B48" s="197"/>
      <c r="C48" s="209"/>
      <c r="D48" s="197"/>
      <c r="E48" s="197"/>
      <c r="F48" s="197"/>
      <c r="G48" s="197"/>
      <c r="H48" s="197"/>
      <c r="I48" s="197"/>
      <c r="J48" s="196"/>
      <c r="M48" s="238"/>
    </row>
    <row r="49" spans="1:13" x14ac:dyDescent="0.2">
      <c r="A49" s="260"/>
      <c r="B49" s="197"/>
      <c r="C49" s="209"/>
      <c r="D49" s="197"/>
      <c r="E49" s="197"/>
      <c r="F49" s="197"/>
      <c r="G49" s="197"/>
      <c r="H49" s="197"/>
      <c r="I49" s="197"/>
      <c r="J49" s="196"/>
      <c r="M49" s="238"/>
    </row>
    <row r="50" spans="1:13" ht="19" x14ac:dyDescent="0.25">
      <c r="A50" s="260"/>
      <c r="B50" s="197"/>
      <c r="C50" s="209"/>
      <c r="D50" s="197"/>
      <c r="E50" s="197"/>
      <c r="F50" s="197"/>
      <c r="G50" s="197"/>
      <c r="H50" s="197"/>
      <c r="I50" s="197"/>
      <c r="J50" s="196"/>
      <c r="L50" s="156" t="s">
        <v>236</v>
      </c>
      <c r="M50" s="238"/>
    </row>
    <row r="51" spans="1:13" x14ac:dyDescent="0.2">
      <c r="A51" s="260"/>
      <c r="B51" s="197"/>
      <c r="C51" s="209" t="s">
        <v>693</v>
      </c>
      <c r="D51" s="197"/>
      <c r="E51" s="197"/>
      <c r="F51" s="197"/>
      <c r="G51" s="197"/>
      <c r="H51" s="197"/>
      <c r="I51" s="197"/>
      <c r="J51" s="196"/>
      <c r="L51" t="s">
        <v>692</v>
      </c>
      <c r="M51" s="238"/>
    </row>
    <row r="52" spans="1:13" x14ac:dyDescent="0.2">
      <c r="A52" s="260"/>
      <c r="B52" s="197"/>
      <c r="C52" s="209"/>
      <c r="D52" s="197"/>
      <c r="E52" s="197"/>
      <c r="F52" s="197"/>
      <c r="G52" s="197"/>
      <c r="H52" s="197"/>
      <c r="I52" s="197"/>
      <c r="J52" s="196"/>
      <c r="M52" s="238"/>
    </row>
    <row r="53" spans="1:13" x14ac:dyDescent="0.2">
      <c r="A53" s="260"/>
      <c r="B53" s="197"/>
      <c r="C53" s="209" t="s">
        <v>691</v>
      </c>
      <c r="D53" s="197"/>
      <c r="E53" s="197"/>
      <c r="F53" s="197"/>
      <c r="G53" s="197"/>
      <c r="H53" s="197"/>
      <c r="I53" s="197"/>
      <c r="J53" s="196"/>
      <c r="M53" s="238"/>
    </row>
    <row r="54" spans="1:13" x14ac:dyDescent="0.2">
      <c r="A54" s="260"/>
      <c r="B54" s="197"/>
      <c r="C54" s="209" t="s">
        <v>690</v>
      </c>
      <c r="D54" s="197"/>
      <c r="E54" s="197"/>
      <c r="F54" s="197"/>
      <c r="G54" s="197"/>
      <c r="H54" s="197"/>
      <c r="I54" s="197"/>
      <c r="J54" s="196"/>
      <c r="M54" s="238"/>
    </row>
    <row r="55" spans="1:13" x14ac:dyDescent="0.2">
      <c r="A55" s="260"/>
      <c r="B55" s="197"/>
      <c r="C55" s="209" t="s">
        <v>689</v>
      </c>
      <c r="D55" s="197"/>
      <c r="E55" s="197"/>
      <c r="F55" s="197"/>
      <c r="G55" s="197"/>
      <c r="H55" s="197"/>
      <c r="I55" s="197"/>
      <c r="J55" s="196"/>
      <c r="M55" s="238"/>
    </row>
    <row r="56" spans="1:13" ht="17" thickBot="1" x14ac:dyDescent="0.25">
      <c r="A56" s="257"/>
      <c r="B56" s="385"/>
      <c r="C56" s="386"/>
      <c r="D56" s="385"/>
      <c r="E56" s="385"/>
      <c r="F56" s="385"/>
      <c r="G56" s="385"/>
      <c r="H56" s="385"/>
      <c r="I56" s="385"/>
      <c r="J56" s="384"/>
      <c r="M56" s="238"/>
    </row>
    <row r="57" spans="1:13" ht="17" thickBot="1" x14ac:dyDescent="0.25">
      <c r="A57" s="280" t="s">
        <v>205</v>
      </c>
      <c r="B57" s="194"/>
      <c r="C57" s="279"/>
      <c r="D57" s="194"/>
      <c r="E57" s="194"/>
      <c r="F57" s="194"/>
      <c r="G57" s="194"/>
      <c r="H57" s="194"/>
      <c r="I57" s="194"/>
      <c r="J57" s="193"/>
    </row>
    <row r="61" spans="1:13" x14ac:dyDescent="0.2">
      <c r="L61" s="166"/>
      <c r="M61" s="329"/>
    </row>
  </sheetData>
  <mergeCells count="6">
    <mergeCell ref="L43:R44"/>
    <mergeCell ref="L46:R47"/>
    <mergeCell ref="C6:I6"/>
    <mergeCell ref="C15:H15"/>
    <mergeCell ref="L35:R36"/>
    <mergeCell ref="L39:R4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2C1E0-8B73-DB4A-9E7C-D28B862CC6ED}">
  <dimension ref="A1:T89"/>
  <sheetViews>
    <sheetView workbookViewId="0">
      <selection activeCell="A2" sqref="A2"/>
    </sheetView>
  </sheetViews>
  <sheetFormatPr baseColWidth="10" defaultColWidth="10.83203125" defaultRowHeight="16" outlineLevelCol="1" x14ac:dyDescent="0.2"/>
  <cols>
    <col min="1" max="1" width="4.5" style="250" customWidth="1"/>
    <col min="2" max="2" width="10.83203125" style="250"/>
    <col min="3" max="3" width="13.83203125" style="250" bestFit="1" customWidth="1"/>
    <col min="4" max="7" width="10.83203125" style="250"/>
    <col min="8" max="10" width="11.5" style="250" customWidth="1"/>
    <col min="11" max="11" width="10.83203125" style="250"/>
    <col min="12" max="12" width="12" style="250" bestFit="1" customWidth="1"/>
    <col min="13" max="19" width="10.83203125" style="250" hidden="1" customWidth="1" outlineLevel="1"/>
    <col min="20" max="20" width="10.83203125" style="250" collapsed="1"/>
    <col min="21" max="16384" width="10.83203125" style="250"/>
  </cols>
  <sheetData>
    <row r="1" spans="1:19" ht="19" x14ac:dyDescent="0.25">
      <c r="A1" s="230" t="s">
        <v>405</v>
      </c>
      <c r="B1" s="229"/>
      <c r="C1" s="228"/>
      <c r="D1" s="228"/>
      <c r="E1" s="228"/>
      <c r="F1" s="277"/>
      <c r="G1" s="277"/>
      <c r="H1" s="277"/>
      <c r="I1" s="277"/>
      <c r="J1" s="276"/>
      <c r="L1" s="156" t="s">
        <v>404</v>
      </c>
    </row>
    <row r="2" spans="1:19" x14ac:dyDescent="0.2">
      <c r="A2" s="260"/>
      <c r="B2" s="241"/>
      <c r="C2" s="241"/>
      <c r="D2" s="241"/>
      <c r="E2" s="241"/>
      <c r="F2" s="241"/>
      <c r="G2" s="241"/>
      <c r="H2" s="241"/>
      <c r="I2" s="241"/>
      <c r="J2" s="261"/>
    </row>
    <row r="3" spans="1:19" x14ac:dyDescent="0.2">
      <c r="A3" s="260"/>
      <c r="B3" s="267" t="s">
        <v>403</v>
      </c>
      <c r="C3" s="241"/>
      <c r="D3" s="241"/>
      <c r="E3" s="241"/>
      <c r="F3" s="241"/>
      <c r="G3" s="241"/>
      <c r="H3" s="241"/>
      <c r="I3" s="241"/>
      <c r="J3" s="261"/>
      <c r="M3" s="252" t="s">
        <v>403</v>
      </c>
    </row>
    <row r="4" spans="1:19" x14ac:dyDescent="0.2">
      <c r="A4" s="260"/>
      <c r="B4" s="241"/>
      <c r="C4" s="241"/>
      <c r="D4" s="241"/>
      <c r="E4" s="241"/>
      <c r="F4" s="241"/>
      <c r="G4" s="241"/>
      <c r="H4" s="241"/>
      <c r="I4" s="241"/>
      <c r="J4" s="261"/>
      <c r="M4" s="253"/>
    </row>
    <row r="5" spans="1:19" x14ac:dyDescent="0.2">
      <c r="A5" s="260"/>
      <c r="B5" s="272" t="s">
        <v>402</v>
      </c>
      <c r="C5" s="241"/>
      <c r="D5" s="241"/>
      <c r="E5" s="241"/>
      <c r="F5" s="241"/>
      <c r="G5" s="241"/>
      <c r="H5" s="241"/>
      <c r="I5" s="241"/>
      <c r="J5" s="261"/>
      <c r="M5" s="253" t="s">
        <v>401</v>
      </c>
    </row>
    <row r="6" spans="1:19" x14ac:dyDescent="0.2">
      <c r="A6" s="260"/>
      <c r="B6" s="241"/>
      <c r="C6" s="241"/>
      <c r="D6" s="241"/>
      <c r="E6" s="241"/>
      <c r="F6" s="241"/>
      <c r="G6" s="241"/>
      <c r="H6" s="241"/>
      <c r="I6" s="241"/>
      <c r="J6" s="261"/>
      <c r="M6" s="253"/>
    </row>
    <row r="7" spans="1:19" x14ac:dyDescent="0.2">
      <c r="A7" s="260"/>
      <c r="B7" s="267" t="s">
        <v>392</v>
      </c>
      <c r="C7" s="241"/>
      <c r="D7" s="241"/>
      <c r="E7" s="274"/>
      <c r="F7" s="275"/>
      <c r="G7" s="241"/>
      <c r="H7" s="241"/>
      <c r="I7" s="241"/>
      <c r="J7" s="261"/>
      <c r="M7" s="445" t="s">
        <v>400</v>
      </c>
      <c r="N7" s="445"/>
      <c r="O7" s="445"/>
      <c r="P7" s="445"/>
      <c r="Q7" s="445"/>
      <c r="R7" s="445"/>
      <c r="S7" s="445"/>
    </row>
    <row r="8" spans="1:19" x14ac:dyDescent="0.2">
      <c r="A8" s="260"/>
      <c r="B8" s="241"/>
      <c r="C8" s="241"/>
      <c r="D8" s="241"/>
      <c r="E8" s="274"/>
      <c r="F8" s="275"/>
      <c r="G8" s="241"/>
      <c r="H8" s="241"/>
      <c r="I8" s="241"/>
      <c r="J8" s="261"/>
      <c r="M8" s="445"/>
      <c r="N8" s="445"/>
      <c r="O8" s="445"/>
      <c r="P8" s="445"/>
      <c r="Q8" s="445"/>
      <c r="R8" s="445"/>
      <c r="S8" s="445"/>
    </row>
    <row r="9" spans="1:19" x14ac:dyDescent="0.2">
      <c r="A9" s="260"/>
      <c r="B9" s="272" t="s">
        <v>0</v>
      </c>
      <c r="C9" s="241"/>
      <c r="D9" s="241"/>
      <c r="E9" s="241"/>
      <c r="F9" s="274"/>
      <c r="G9" s="241"/>
      <c r="H9" s="241"/>
      <c r="I9" s="241"/>
      <c r="J9" s="261"/>
    </row>
    <row r="10" spans="1:19" x14ac:dyDescent="0.2">
      <c r="A10" s="260"/>
      <c r="B10" s="423" t="s">
        <v>399</v>
      </c>
      <c r="C10" s="423"/>
      <c r="D10" s="423"/>
      <c r="E10" s="423"/>
      <c r="F10" s="423"/>
      <c r="G10" s="423"/>
      <c r="H10" s="423"/>
      <c r="I10" s="240"/>
      <c r="J10" s="265"/>
      <c r="M10" s="273" t="s">
        <v>398</v>
      </c>
    </row>
    <row r="11" spans="1:19" x14ac:dyDescent="0.2">
      <c r="A11" s="260"/>
      <c r="B11" s="423"/>
      <c r="C11" s="423"/>
      <c r="D11" s="423"/>
      <c r="E11" s="423"/>
      <c r="F11" s="423"/>
      <c r="G11" s="423"/>
      <c r="H11" s="423"/>
      <c r="I11" s="240"/>
      <c r="J11" s="265"/>
    </row>
    <row r="12" spans="1:19" x14ac:dyDescent="0.2">
      <c r="A12" s="260"/>
      <c r="B12" s="204"/>
      <c r="C12" s="241"/>
      <c r="D12" s="241"/>
      <c r="E12" s="241"/>
      <c r="F12" s="241"/>
      <c r="G12" s="241"/>
      <c r="H12" s="241"/>
      <c r="I12" s="241"/>
      <c r="J12" s="261"/>
      <c r="M12" s="250" t="s">
        <v>397</v>
      </c>
    </row>
    <row r="13" spans="1:19" x14ac:dyDescent="0.2">
      <c r="A13" s="260"/>
      <c r="B13" s="241" t="s">
        <v>1</v>
      </c>
      <c r="C13" s="241"/>
      <c r="D13" s="241"/>
      <c r="E13" s="241"/>
      <c r="F13" s="241"/>
      <c r="G13" s="241"/>
      <c r="H13" s="241"/>
      <c r="I13" s="241"/>
      <c r="J13" s="261"/>
      <c r="M13" s="253"/>
    </row>
    <row r="14" spans="1:19" x14ac:dyDescent="0.2">
      <c r="A14" s="260"/>
      <c r="B14" s="241" t="s">
        <v>396</v>
      </c>
      <c r="C14" s="241"/>
      <c r="D14" s="241"/>
      <c r="E14" s="241"/>
      <c r="F14" s="241"/>
      <c r="G14" s="241"/>
      <c r="H14" s="241"/>
      <c r="I14" s="241"/>
      <c r="J14" s="261"/>
      <c r="M14" s="250" t="s">
        <v>395</v>
      </c>
    </row>
    <row r="15" spans="1:19" x14ac:dyDescent="0.2">
      <c r="A15" s="260"/>
      <c r="B15" s="241"/>
      <c r="C15" s="241"/>
      <c r="D15" s="241"/>
      <c r="E15" s="241"/>
      <c r="F15" s="241"/>
      <c r="G15" s="241"/>
      <c r="H15" s="241"/>
      <c r="I15" s="241"/>
      <c r="J15" s="261"/>
    </row>
    <row r="16" spans="1:19" ht="15.75" customHeight="1" x14ac:dyDescent="0.2">
      <c r="A16" s="260"/>
      <c r="B16" s="267" t="s">
        <v>386</v>
      </c>
      <c r="C16" s="241"/>
      <c r="D16" s="241"/>
      <c r="E16" s="241"/>
      <c r="F16" s="241"/>
      <c r="G16" s="241"/>
      <c r="H16" s="241"/>
      <c r="I16" s="241"/>
      <c r="J16" s="261"/>
      <c r="M16" s="419" t="s">
        <v>394</v>
      </c>
      <c r="N16" s="419"/>
      <c r="O16" s="419"/>
      <c r="P16" s="419"/>
      <c r="Q16" s="419"/>
      <c r="R16" s="419"/>
      <c r="S16" s="419"/>
    </row>
    <row r="17" spans="1:19" x14ac:dyDescent="0.2">
      <c r="A17" s="260"/>
      <c r="B17" s="241"/>
      <c r="C17" s="241"/>
      <c r="D17" s="241"/>
      <c r="E17" s="241"/>
      <c r="F17" s="241"/>
      <c r="G17" s="241"/>
      <c r="H17" s="241"/>
      <c r="I17" s="241"/>
      <c r="J17" s="261"/>
      <c r="M17" s="419"/>
      <c r="N17" s="419"/>
      <c r="O17" s="419"/>
      <c r="P17" s="419"/>
      <c r="Q17" s="419"/>
      <c r="R17" s="419"/>
      <c r="S17" s="419"/>
    </row>
    <row r="18" spans="1:19" x14ac:dyDescent="0.2">
      <c r="A18" s="260"/>
      <c r="B18" s="272" t="s">
        <v>0</v>
      </c>
      <c r="C18" s="241"/>
      <c r="D18" s="241"/>
      <c r="E18" s="241"/>
      <c r="F18" s="241"/>
      <c r="G18" s="241"/>
      <c r="H18" s="241"/>
      <c r="I18" s="241"/>
      <c r="J18" s="261"/>
      <c r="M18" s="271"/>
      <c r="N18" s="271"/>
      <c r="O18" s="271"/>
      <c r="P18" s="271"/>
      <c r="Q18" s="271"/>
      <c r="R18" s="271"/>
      <c r="S18" s="271"/>
    </row>
    <row r="19" spans="1:19" x14ac:dyDescent="0.2">
      <c r="A19" s="260"/>
      <c r="B19" s="241" t="s">
        <v>393</v>
      </c>
      <c r="C19" s="241"/>
      <c r="D19" s="241"/>
      <c r="E19" s="241"/>
      <c r="F19" s="241"/>
      <c r="G19" s="241"/>
      <c r="H19" s="241"/>
      <c r="I19" s="241"/>
      <c r="J19" s="261"/>
      <c r="M19" s="252" t="s">
        <v>392</v>
      </c>
    </row>
    <row r="20" spans="1:19" x14ac:dyDescent="0.2">
      <c r="A20" s="260"/>
      <c r="B20" s="204"/>
      <c r="C20" s="241"/>
      <c r="D20" s="241"/>
      <c r="E20" s="241"/>
      <c r="F20" s="241"/>
      <c r="G20" s="241"/>
      <c r="H20" s="241"/>
      <c r="I20" s="241"/>
      <c r="J20" s="261"/>
    </row>
    <row r="21" spans="1:19" x14ac:dyDescent="0.2">
      <c r="A21" s="260"/>
      <c r="B21" s="241" t="s">
        <v>1</v>
      </c>
      <c r="C21" s="241"/>
      <c r="D21" s="241"/>
      <c r="E21" s="241"/>
      <c r="F21" s="241"/>
      <c r="G21" s="241"/>
      <c r="H21" s="241"/>
      <c r="I21" s="241"/>
      <c r="J21" s="261"/>
      <c r="M21" s="251" t="s">
        <v>304</v>
      </c>
    </row>
    <row r="22" spans="1:19" x14ac:dyDescent="0.2">
      <c r="A22" s="260"/>
      <c r="B22" s="423" t="s">
        <v>391</v>
      </c>
      <c r="C22" s="423"/>
      <c r="D22" s="423"/>
      <c r="E22" s="423"/>
      <c r="F22" s="423"/>
      <c r="G22" s="423"/>
      <c r="H22" s="423"/>
      <c r="I22" s="240"/>
      <c r="J22" s="265"/>
    </row>
    <row r="23" spans="1:19" x14ac:dyDescent="0.2">
      <c r="A23" s="260"/>
      <c r="B23" s="423"/>
      <c r="C23" s="423"/>
      <c r="D23" s="423"/>
      <c r="E23" s="423"/>
      <c r="F23" s="423"/>
      <c r="G23" s="423"/>
      <c r="H23" s="423"/>
      <c r="I23" s="240"/>
      <c r="J23" s="265"/>
      <c r="M23" s="253" t="s">
        <v>390</v>
      </c>
    </row>
    <row r="24" spans="1:19" x14ac:dyDescent="0.2">
      <c r="A24" s="260"/>
      <c r="B24" s="204"/>
      <c r="C24" s="241"/>
      <c r="D24" s="241"/>
      <c r="E24" s="241"/>
      <c r="F24" s="241"/>
      <c r="G24" s="241"/>
      <c r="H24" s="241"/>
      <c r="I24" s="241"/>
      <c r="J24" s="261"/>
      <c r="M24" s="445" t="s">
        <v>389</v>
      </c>
      <c r="N24" s="445"/>
      <c r="O24" s="445"/>
      <c r="P24" s="445"/>
      <c r="Q24" s="445"/>
      <c r="R24" s="445"/>
      <c r="S24" s="445"/>
    </row>
    <row r="25" spans="1:19" x14ac:dyDescent="0.2">
      <c r="A25" s="260"/>
      <c r="B25" s="241" t="s">
        <v>2</v>
      </c>
      <c r="C25" s="241"/>
      <c r="D25" s="241"/>
      <c r="E25" s="241"/>
      <c r="F25" s="241"/>
      <c r="G25" s="241"/>
      <c r="H25" s="241"/>
      <c r="I25" s="241"/>
      <c r="J25" s="261"/>
      <c r="M25" s="445"/>
      <c r="N25" s="445"/>
      <c r="O25" s="445"/>
      <c r="P25" s="445"/>
      <c r="Q25" s="445"/>
      <c r="R25" s="445"/>
      <c r="S25" s="445"/>
    </row>
    <row r="26" spans="1:19" x14ac:dyDescent="0.2">
      <c r="A26" s="260"/>
      <c r="B26" s="423" t="s">
        <v>388</v>
      </c>
      <c r="C26" s="423"/>
      <c r="D26" s="423"/>
      <c r="E26" s="423"/>
      <c r="F26" s="423"/>
      <c r="G26" s="423"/>
      <c r="H26" s="423"/>
      <c r="I26" s="240"/>
      <c r="J26" s="265"/>
      <c r="M26" s="254"/>
    </row>
    <row r="27" spans="1:19" x14ac:dyDescent="0.2">
      <c r="A27" s="260"/>
      <c r="B27" s="423"/>
      <c r="C27" s="423"/>
      <c r="D27" s="423"/>
      <c r="E27" s="423"/>
      <c r="F27" s="423"/>
      <c r="G27" s="423"/>
      <c r="H27" s="423"/>
      <c r="I27" s="240"/>
      <c r="J27" s="265"/>
      <c r="M27" s="251" t="s">
        <v>283</v>
      </c>
    </row>
    <row r="28" spans="1:19" x14ac:dyDescent="0.2">
      <c r="A28" s="260"/>
      <c r="B28" s="266"/>
      <c r="C28" s="241"/>
      <c r="D28" s="241"/>
      <c r="E28" s="241"/>
      <c r="F28" s="241"/>
      <c r="G28" s="241"/>
      <c r="H28" s="241"/>
      <c r="I28" s="241"/>
      <c r="J28" s="261"/>
      <c r="M28" s="251"/>
    </row>
    <row r="29" spans="1:19" x14ac:dyDescent="0.2">
      <c r="A29" s="260"/>
      <c r="B29" s="267" t="s">
        <v>370</v>
      </c>
      <c r="C29" s="241"/>
      <c r="D29" s="241"/>
      <c r="E29" s="241"/>
      <c r="F29" s="241"/>
      <c r="G29" s="241"/>
      <c r="H29" s="241"/>
      <c r="I29" s="241"/>
      <c r="J29" s="261"/>
      <c r="M29" s="250" t="s">
        <v>387</v>
      </c>
    </row>
    <row r="30" spans="1:19" x14ac:dyDescent="0.2">
      <c r="A30" s="260"/>
      <c r="B30" s="270"/>
      <c r="C30" s="241"/>
      <c r="D30" s="241"/>
      <c r="E30" s="241"/>
      <c r="F30" s="241"/>
      <c r="G30" s="241"/>
      <c r="H30" s="241"/>
      <c r="I30" s="241"/>
      <c r="J30" s="261"/>
      <c r="M30" s="253"/>
    </row>
    <row r="31" spans="1:19" x14ac:dyDescent="0.2">
      <c r="A31" s="260"/>
      <c r="B31" s="262" t="s">
        <v>0</v>
      </c>
      <c r="C31" s="241"/>
      <c r="D31" s="241"/>
      <c r="E31" s="241"/>
      <c r="F31" s="241"/>
      <c r="G31" s="241"/>
      <c r="H31" s="241"/>
      <c r="I31" s="241"/>
      <c r="J31" s="261"/>
      <c r="M31" s="252" t="s">
        <v>386</v>
      </c>
    </row>
    <row r="32" spans="1:19" ht="15.75" customHeight="1" x14ac:dyDescent="0.2">
      <c r="A32" s="260"/>
      <c r="B32" s="444" t="s">
        <v>385</v>
      </c>
      <c r="C32" s="444"/>
      <c r="D32" s="444"/>
      <c r="E32" s="444"/>
      <c r="F32" s="444"/>
      <c r="G32" s="444"/>
      <c r="H32" s="444"/>
      <c r="I32" s="259"/>
      <c r="J32" s="258"/>
      <c r="M32" s="253"/>
    </row>
    <row r="33" spans="1:14" x14ac:dyDescent="0.2">
      <c r="A33" s="260"/>
      <c r="B33" s="444"/>
      <c r="C33" s="444"/>
      <c r="D33" s="444"/>
      <c r="E33" s="444"/>
      <c r="F33" s="444"/>
      <c r="G33" s="444"/>
      <c r="H33" s="444"/>
      <c r="I33" s="259"/>
      <c r="J33" s="258"/>
      <c r="M33" s="251" t="s">
        <v>304</v>
      </c>
    </row>
    <row r="34" spans="1:14" x14ac:dyDescent="0.2">
      <c r="A34" s="260"/>
      <c r="B34" s="444"/>
      <c r="C34" s="444"/>
      <c r="D34" s="444"/>
      <c r="E34" s="444"/>
      <c r="F34" s="444"/>
      <c r="G34" s="444"/>
      <c r="H34" s="444"/>
      <c r="I34" s="259"/>
      <c r="J34" s="258"/>
    </row>
    <row r="35" spans="1:14" x14ac:dyDescent="0.2">
      <c r="A35" s="260"/>
      <c r="B35" s="269"/>
      <c r="C35" s="269"/>
      <c r="D35" s="269"/>
      <c r="E35" s="269"/>
      <c r="F35" s="269"/>
      <c r="G35" s="269"/>
      <c r="H35" s="269"/>
      <c r="I35" s="269"/>
      <c r="J35" s="268"/>
      <c r="M35" s="250" t="s">
        <v>384</v>
      </c>
    </row>
    <row r="36" spans="1:14" x14ac:dyDescent="0.2">
      <c r="A36" s="260"/>
      <c r="B36" s="241" t="s">
        <v>1</v>
      </c>
      <c r="C36" s="266"/>
      <c r="D36" s="241"/>
      <c r="E36" s="241"/>
      <c r="F36" s="241"/>
      <c r="G36" s="241"/>
      <c r="H36" s="241"/>
      <c r="I36" s="241"/>
      <c r="J36" s="261"/>
      <c r="M36" s="250" t="s">
        <v>383</v>
      </c>
    </row>
    <row r="37" spans="1:14" x14ac:dyDescent="0.2">
      <c r="A37" s="260"/>
      <c r="B37" s="423" t="s">
        <v>382</v>
      </c>
      <c r="C37" s="423"/>
      <c r="D37" s="423"/>
      <c r="E37" s="423"/>
      <c r="F37" s="423"/>
      <c r="G37" s="423"/>
      <c r="H37" s="423"/>
      <c r="I37" s="240"/>
      <c r="J37" s="265"/>
      <c r="M37" s="250" t="s">
        <v>381</v>
      </c>
    </row>
    <row r="38" spans="1:14" x14ac:dyDescent="0.2">
      <c r="A38" s="260"/>
      <c r="B38" s="423"/>
      <c r="C38" s="423"/>
      <c r="D38" s="423"/>
      <c r="E38" s="423"/>
      <c r="F38" s="423"/>
      <c r="G38" s="423"/>
      <c r="H38" s="423"/>
      <c r="I38" s="240"/>
      <c r="J38" s="265"/>
      <c r="M38" s="254"/>
    </row>
    <row r="39" spans="1:14" x14ac:dyDescent="0.2">
      <c r="A39" s="260"/>
      <c r="B39" s="423"/>
      <c r="C39" s="423"/>
      <c r="D39" s="423"/>
      <c r="E39" s="423"/>
      <c r="F39" s="423"/>
      <c r="G39" s="423"/>
      <c r="H39" s="423"/>
      <c r="I39" s="240"/>
      <c r="J39" s="265"/>
      <c r="M39" s="251" t="s">
        <v>283</v>
      </c>
    </row>
    <row r="40" spans="1:14" x14ac:dyDescent="0.2">
      <c r="A40" s="260"/>
      <c r="B40" s="267"/>
      <c r="C40" s="241"/>
      <c r="D40" s="241"/>
      <c r="E40" s="241"/>
      <c r="F40" s="241"/>
      <c r="G40" s="241"/>
      <c r="H40" s="241"/>
      <c r="I40" s="241"/>
      <c r="J40" s="261"/>
    </row>
    <row r="41" spans="1:14" x14ac:dyDescent="0.2">
      <c r="A41" s="260"/>
      <c r="B41" s="267" t="s">
        <v>365</v>
      </c>
      <c r="C41" s="241"/>
      <c r="D41" s="241"/>
      <c r="E41" s="241"/>
      <c r="F41" s="241"/>
      <c r="G41" s="241"/>
      <c r="H41" s="241"/>
      <c r="I41" s="241"/>
      <c r="J41" s="261"/>
      <c r="M41" s="250" t="s">
        <v>380</v>
      </c>
    </row>
    <row r="42" spans="1:14" x14ac:dyDescent="0.2">
      <c r="A42" s="260"/>
      <c r="B42" s="266"/>
      <c r="C42" s="241"/>
      <c r="D42" s="241"/>
      <c r="E42" s="241"/>
      <c r="F42" s="241"/>
      <c r="G42" s="241"/>
      <c r="H42" s="241"/>
      <c r="I42" s="241"/>
      <c r="J42" s="261"/>
      <c r="M42" s="250" t="s">
        <v>379</v>
      </c>
    </row>
    <row r="43" spans="1:14" x14ac:dyDescent="0.2">
      <c r="A43" s="260"/>
      <c r="B43" s="241" t="s">
        <v>0</v>
      </c>
      <c r="C43" s="241"/>
      <c r="D43" s="241"/>
      <c r="E43" s="241"/>
      <c r="F43" s="241"/>
      <c r="G43" s="241"/>
      <c r="H43" s="241"/>
      <c r="I43" s="241"/>
      <c r="J43" s="261"/>
      <c r="M43" s="250" t="s">
        <v>378</v>
      </c>
    </row>
    <row r="44" spans="1:14" x14ac:dyDescent="0.2">
      <c r="A44" s="260"/>
      <c r="B44" s="423" t="s">
        <v>377</v>
      </c>
      <c r="C44" s="423"/>
      <c r="D44" s="423"/>
      <c r="E44" s="423"/>
      <c r="F44" s="423"/>
      <c r="G44" s="423"/>
      <c r="H44" s="423"/>
      <c r="I44" s="240"/>
      <c r="J44" s="265"/>
    </row>
    <row r="45" spans="1:14" x14ac:dyDescent="0.2">
      <c r="A45" s="260"/>
      <c r="B45" s="423"/>
      <c r="C45" s="423"/>
      <c r="D45" s="423"/>
      <c r="E45" s="423"/>
      <c r="F45" s="423"/>
      <c r="G45" s="423"/>
      <c r="H45" s="423"/>
      <c r="I45" s="240"/>
      <c r="J45" s="265"/>
      <c r="M45" s="264" t="s">
        <v>275</v>
      </c>
    </row>
    <row r="46" spans="1:14" x14ac:dyDescent="0.2">
      <c r="A46" s="260"/>
      <c r="B46" s="263"/>
      <c r="C46" s="241"/>
      <c r="D46" s="241"/>
      <c r="E46" s="241"/>
      <c r="F46" s="241"/>
      <c r="G46" s="241"/>
      <c r="H46" s="241"/>
      <c r="I46" s="241"/>
      <c r="J46" s="261"/>
    </row>
    <row r="47" spans="1:14" x14ac:dyDescent="0.2">
      <c r="A47" s="260"/>
      <c r="B47" s="262" t="s">
        <v>1</v>
      </c>
      <c r="C47" s="241"/>
      <c r="D47" s="241"/>
      <c r="E47" s="241"/>
      <c r="F47" s="241"/>
      <c r="G47" s="241"/>
      <c r="H47" s="241"/>
      <c r="I47" s="241"/>
      <c r="J47" s="261"/>
      <c r="M47" s="250" t="s">
        <v>376</v>
      </c>
      <c r="N47" s="254"/>
    </row>
    <row r="48" spans="1:14" ht="15.75" customHeight="1" x14ac:dyDescent="0.2">
      <c r="A48" s="260"/>
      <c r="B48" s="444" t="s">
        <v>375</v>
      </c>
      <c r="C48" s="444"/>
      <c r="D48" s="444"/>
      <c r="E48" s="444"/>
      <c r="F48" s="444"/>
      <c r="G48" s="444"/>
      <c r="H48" s="444"/>
      <c r="I48" s="259"/>
      <c r="J48" s="258"/>
    </row>
    <row r="49" spans="1:19" x14ac:dyDescent="0.2">
      <c r="A49" s="260"/>
      <c r="B49" s="444"/>
      <c r="C49" s="444"/>
      <c r="D49" s="444"/>
      <c r="E49" s="444"/>
      <c r="F49" s="444"/>
      <c r="G49" s="444"/>
      <c r="H49" s="444"/>
      <c r="I49" s="259"/>
      <c r="J49" s="258"/>
      <c r="M49" s="250" t="s">
        <v>374</v>
      </c>
    </row>
    <row r="50" spans="1:19" ht="17" thickBot="1" x14ac:dyDescent="0.25">
      <c r="A50" s="257"/>
      <c r="B50" s="256"/>
      <c r="C50" s="256"/>
      <c r="D50" s="256"/>
      <c r="E50" s="256"/>
      <c r="F50" s="256"/>
      <c r="G50" s="256"/>
      <c r="H50" s="256"/>
      <c r="I50" s="256"/>
      <c r="J50" s="255"/>
      <c r="M50" s="250" t="s">
        <v>373</v>
      </c>
    </row>
    <row r="51" spans="1:19" x14ac:dyDescent="0.2">
      <c r="B51" s="172"/>
      <c r="M51" s="250" t="s">
        <v>372</v>
      </c>
    </row>
    <row r="52" spans="1:19" x14ac:dyDescent="0.2">
      <c r="B52" s="172"/>
      <c r="N52" s="254"/>
    </row>
    <row r="53" spans="1:19" x14ac:dyDescent="0.2">
      <c r="B53" s="172"/>
      <c r="C53" s="254"/>
      <c r="M53" s="419" t="s">
        <v>371</v>
      </c>
      <c r="N53" s="419"/>
      <c r="O53" s="419"/>
      <c r="P53" s="419"/>
      <c r="Q53" s="419"/>
      <c r="R53" s="419"/>
      <c r="S53" s="419"/>
    </row>
    <row r="54" spans="1:19" x14ac:dyDescent="0.2">
      <c r="M54" s="419"/>
      <c r="N54" s="419"/>
      <c r="O54" s="419"/>
      <c r="P54" s="419"/>
      <c r="Q54" s="419"/>
      <c r="R54" s="419"/>
      <c r="S54" s="419"/>
    </row>
    <row r="56" spans="1:19" x14ac:dyDescent="0.2">
      <c r="M56" s="252" t="s">
        <v>370</v>
      </c>
    </row>
    <row r="58" spans="1:19" x14ac:dyDescent="0.2">
      <c r="M58" s="251" t="s">
        <v>304</v>
      </c>
      <c r="N58" s="254"/>
    </row>
    <row r="60" spans="1:19" x14ac:dyDescent="0.2">
      <c r="M60" s="253" t="s">
        <v>369</v>
      </c>
    </row>
    <row r="61" spans="1:19" x14ac:dyDescent="0.2">
      <c r="M61" s="445" t="s">
        <v>368</v>
      </c>
      <c r="N61" s="445"/>
      <c r="O61" s="445"/>
      <c r="P61" s="445"/>
      <c r="Q61" s="445"/>
      <c r="R61" s="445"/>
      <c r="S61" s="445"/>
    </row>
    <row r="62" spans="1:19" x14ac:dyDescent="0.2">
      <c r="M62" s="445"/>
      <c r="N62" s="445"/>
      <c r="O62" s="445"/>
      <c r="P62" s="445"/>
      <c r="Q62" s="445"/>
      <c r="R62" s="445"/>
      <c r="S62" s="445"/>
    </row>
    <row r="63" spans="1:19" x14ac:dyDescent="0.2">
      <c r="M63" s="445"/>
      <c r="N63" s="445"/>
      <c r="O63" s="445"/>
      <c r="P63" s="445"/>
      <c r="Q63" s="445"/>
      <c r="R63" s="445"/>
      <c r="S63" s="445"/>
    </row>
    <row r="65" spans="13:19" x14ac:dyDescent="0.2">
      <c r="M65" s="251" t="s">
        <v>283</v>
      </c>
    </row>
    <row r="67" spans="13:19" x14ac:dyDescent="0.2">
      <c r="M67" s="253" t="s">
        <v>367</v>
      </c>
    </row>
    <row r="68" spans="13:19" ht="16" customHeight="1" x14ac:dyDescent="0.2">
      <c r="M68" s="445" t="s">
        <v>366</v>
      </c>
      <c r="N68" s="445"/>
      <c r="O68" s="445"/>
      <c r="P68" s="445"/>
      <c r="Q68" s="445"/>
      <c r="R68" s="445"/>
      <c r="S68" s="445"/>
    </row>
    <row r="69" spans="13:19" x14ac:dyDescent="0.2">
      <c r="M69" s="445"/>
      <c r="N69" s="445"/>
      <c r="O69" s="445"/>
      <c r="P69" s="445"/>
      <c r="Q69" s="445"/>
      <c r="R69" s="445"/>
      <c r="S69" s="445"/>
    </row>
    <row r="70" spans="13:19" x14ac:dyDescent="0.2">
      <c r="M70" s="445"/>
      <c r="N70" s="445"/>
      <c r="O70" s="445"/>
      <c r="P70" s="445"/>
      <c r="Q70" s="445"/>
      <c r="R70" s="445"/>
      <c r="S70" s="445"/>
    </row>
    <row r="72" spans="13:19" x14ac:dyDescent="0.2">
      <c r="M72" s="252" t="s">
        <v>365</v>
      </c>
    </row>
    <row r="74" spans="13:19" x14ac:dyDescent="0.2">
      <c r="M74" s="251" t="s">
        <v>304</v>
      </c>
    </row>
    <row r="76" spans="13:19" x14ac:dyDescent="0.2">
      <c r="M76" s="419" t="s">
        <v>364</v>
      </c>
      <c r="N76" s="419"/>
      <c r="O76" s="419"/>
      <c r="P76" s="419"/>
      <c r="Q76" s="419"/>
      <c r="R76" s="419"/>
      <c r="S76" s="419"/>
    </row>
    <row r="77" spans="13:19" x14ac:dyDescent="0.2">
      <c r="M77" s="419"/>
      <c r="N77" s="419"/>
      <c r="O77" s="419"/>
      <c r="P77" s="419"/>
      <c r="Q77" s="419"/>
      <c r="R77" s="419"/>
      <c r="S77" s="419"/>
    </row>
    <row r="79" spans="13:19" x14ac:dyDescent="0.2">
      <c r="M79" s="251" t="s">
        <v>283</v>
      </c>
    </row>
    <row r="81" spans="13:19" x14ac:dyDescent="0.2">
      <c r="M81" s="419" t="s">
        <v>363</v>
      </c>
      <c r="N81" s="419"/>
      <c r="O81" s="419"/>
      <c r="P81" s="419"/>
      <c r="Q81" s="419"/>
      <c r="R81" s="419"/>
      <c r="S81" s="419"/>
    </row>
    <row r="82" spans="13:19" x14ac:dyDescent="0.2">
      <c r="M82" s="419"/>
      <c r="N82" s="419"/>
      <c r="O82" s="419"/>
      <c r="P82" s="419"/>
      <c r="Q82" s="419"/>
      <c r="R82" s="419"/>
      <c r="S82" s="419"/>
    </row>
    <row r="83" spans="13:19" x14ac:dyDescent="0.2">
      <c r="M83" s="419"/>
      <c r="N83" s="419"/>
      <c r="O83" s="419"/>
      <c r="P83" s="419"/>
      <c r="Q83" s="419"/>
      <c r="R83" s="419"/>
      <c r="S83" s="419"/>
    </row>
    <row r="84" spans="13:19" x14ac:dyDescent="0.2">
      <c r="M84" s="419"/>
      <c r="N84" s="419"/>
      <c r="O84" s="419"/>
      <c r="P84" s="419"/>
      <c r="Q84" s="419"/>
      <c r="R84" s="419"/>
      <c r="S84" s="419"/>
    </row>
    <row r="87" spans="13:19" ht="19" x14ac:dyDescent="0.25">
      <c r="M87" s="156" t="s">
        <v>200</v>
      </c>
    </row>
    <row r="88" spans="13:19" x14ac:dyDescent="0.2">
      <c r="M88" s="418" t="s">
        <v>362</v>
      </c>
      <c r="N88" s="418"/>
      <c r="O88" s="418"/>
      <c r="P88" s="418"/>
      <c r="Q88" s="418"/>
      <c r="R88" s="418"/>
      <c r="S88" s="418"/>
    </row>
    <row r="89" spans="13:19" x14ac:dyDescent="0.2">
      <c r="M89" s="418"/>
      <c r="N89" s="418"/>
      <c r="O89" s="418"/>
      <c r="P89" s="418"/>
      <c r="Q89" s="418"/>
      <c r="R89" s="418"/>
      <c r="S89" s="418"/>
    </row>
  </sheetData>
  <mergeCells count="16">
    <mergeCell ref="M88:S89"/>
    <mergeCell ref="B44:H45"/>
    <mergeCell ref="B48:H49"/>
    <mergeCell ref="M7:S8"/>
    <mergeCell ref="M16:S17"/>
    <mergeCell ref="M24:S25"/>
    <mergeCell ref="B10:H11"/>
    <mergeCell ref="B22:H23"/>
    <mergeCell ref="B26:H27"/>
    <mergeCell ref="B32:H34"/>
    <mergeCell ref="B37:H39"/>
    <mergeCell ref="M61:S63"/>
    <mergeCell ref="M68:S70"/>
    <mergeCell ref="M76:S77"/>
    <mergeCell ref="M81:S84"/>
    <mergeCell ref="M53:S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2011 #3</vt:lpstr>
      <vt:lpstr>2012 #3</vt:lpstr>
      <vt:lpstr>2012 #5</vt:lpstr>
      <vt:lpstr>2013 #1</vt:lpstr>
      <vt:lpstr>2014 #2</vt:lpstr>
      <vt:lpstr>2015 #3</vt:lpstr>
      <vt:lpstr>2015 #4</vt:lpstr>
      <vt:lpstr>2016 #5</vt:lpstr>
      <vt:lpstr>2016 #7</vt:lpstr>
      <vt:lpstr>2017 #3</vt:lpstr>
      <vt:lpstr>2017 #6</vt:lpstr>
      <vt:lpstr>2018 #7</vt:lpstr>
      <vt:lpstr>2018 #8</vt:lpstr>
      <vt:lpstr>2019 #7</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2026-09-10T22:40:52Z</dcterms:modified>
</cp:coreProperties>
</file>