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379B6DFB-D926-024D-86E0-D647A4DF61F8}" xr6:coauthVersionLast="47" xr6:coauthVersionMax="47" xr10:uidLastSave="{00000000-0000-0000-0000-000000000000}"/>
  <bookViews>
    <workbookView xWindow="-38080" yWindow="1480" windowWidth="35100" windowHeight="19300" xr2:uid="{B2F629C4-F532-0048-94B5-6129BC4B4200}"/>
  </bookViews>
  <sheets>
    <sheet name="Overview" sheetId="6" r:id="rId1"/>
    <sheet name="Q #1" sheetId="1" r:id="rId2"/>
    <sheet name="Q #2" sheetId="2" r:id="rId3"/>
    <sheet name="Q #3" sheetId="3" r:id="rId4"/>
    <sheet name="Q #4" sheetId="5" r:id="rId5"/>
    <sheet name="Q #5" sheetId="7" r:id="rId6"/>
    <sheet name="Q #6" sheetId="8" r:id="rId7"/>
    <sheet name="2013 #5" sheetId="10" r:id="rId8"/>
    <sheet name="2016 #8" sheetId="11" r:id="rId9"/>
    <sheet name="2017 #7" sheetId="12" r:id="rId10"/>
    <sheet name="2019 #4" sheetId="13" r:id="rId11"/>
    <sheet name="Essay Problems" sheetId="9"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1" i="8" l="1"/>
  <c r="M5" i="8"/>
  <c r="M6" i="8" s="1"/>
  <c r="M26" i="12"/>
  <c r="N25" i="12"/>
  <c r="M25" i="12"/>
  <c r="M14" i="12"/>
  <c r="M15" i="12"/>
  <c r="P7" i="13"/>
  <c r="Q7" i="13"/>
  <c r="R7" i="13"/>
  <c r="S7" i="13"/>
  <c r="P8" i="13"/>
  <c r="Q8" i="13"/>
  <c r="R8" i="13"/>
  <c r="P19" i="13" s="1"/>
  <c r="P20" i="13" s="1"/>
  <c r="Q24" i="13" s="1"/>
  <c r="Q28" i="13" s="1"/>
  <c r="P9" i="13"/>
  <c r="Q9" i="13"/>
  <c r="P10" i="13"/>
  <c r="Q19" i="13"/>
  <c r="Q20" i="13"/>
  <c r="M5" i="12"/>
  <c r="N5" i="12"/>
  <c r="N6" i="12"/>
  <c r="M6" i="12" s="1"/>
  <c r="M8" i="12" s="1"/>
  <c r="N14" i="12"/>
  <c r="O14" i="12"/>
  <c r="N26" i="12" s="1"/>
  <c r="P14" i="12"/>
  <c r="N15" i="12"/>
  <c r="O15" i="12"/>
  <c r="M16" i="12"/>
  <c r="N16" i="12"/>
  <c r="M17" i="12"/>
  <c r="N7" i="10"/>
  <c r="N24" i="10" s="1"/>
  <c r="M8" i="10"/>
  <c r="N8" i="10"/>
  <c r="O8" i="10"/>
  <c r="O6" i="10" s="1"/>
  <c r="O23" i="10" s="1"/>
  <c r="P8" i="10"/>
  <c r="P5" i="10" s="1"/>
  <c r="P22" i="10" s="1"/>
  <c r="M16" i="10"/>
  <c r="M25" i="10" s="1"/>
  <c r="N16" i="10"/>
  <c r="O16" i="10"/>
  <c r="P16" i="10"/>
  <c r="N30" i="12" l="1"/>
  <c r="N11" i="8"/>
  <c r="N12" i="8"/>
  <c r="M12" i="8" s="1"/>
  <c r="M7" i="7"/>
  <c r="M10" i="7" s="1"/>
  <c r="M8" i="7"/>
  <c r="M17" i="7"/>
  <c r="N17" i="7"/>
  <c r="O17" i="7"/>
  <c r="P17" i="7"/>
  <c r="M18" i="7"/>
  <c r="N18" i="7"/>
  <c r="O18" i="7"/>
  <c r="M19" i="7"/>
  <c r="N19" i="7"/>
  <c r="M20" i="7"/>
  <c r="N27" i="7" l="1"/>
  <c r="N28" i="7" s="1"/>
  <c r="M27" i="7"/>
  <c r="M16" i="8"/>
  <c r="M21" i="8"/>
  <c r="M28" i="7" l="1"/>
  <c r="M40" i="7" s="1"/>
  <c r="M42" i="7" s="1"/>
  <c r="P56" i="5"/>
  <c r="P57" i="5"/>
  <c r="P59" i="5"/>
  <c r="O4" i="5"/>
  <c r="P4" i="5"/>
  <c r="O56" i="5" s="1"/>
  <c r="O5" i="5"/>
  <c r="P5" i="5"/>
  <c r="O57" i="5" s="1"/>
  <c r="O6" i="5"/>
  <c r="P6" i="5"/>
  <c r="N7" i="5"/>
  <c r="N6" i="5" s="1"/>
  <c r="O7" i="5"/>
  <c r="P7" i="5"/>
  <c r="O8" i="5"/>
  <c r="P8" i="5"/>
  <c r="O60" i="5" s="1"/>
  <c r="S20" i="5"/>
  <c r="S21" i="5"/>
  <c r="S22" i="5"/>
  <c r="O23" i="5"/>
  <c r="O22" i="5" s="1"/>
  <c r="S23" i="5"/>
  <c r="N24" i="5"/>
  <c r="N60" i="5" s="1"/>
  <c r="P24" i="5"/>
  <c r="Q24" i="5"/>
  <c r="S24" i="5"/>
  <c r="P58" i="5"/>
  <c r="P60" i="5"/>
  <c r="M32" i="7" l="1"/>
  <c r="M36" i="7" s="1"/>
  <c r="Q6" i="5"/>
  <c r="Q7" i="5"/>
  <c r="Q5" i="5"/>
  <c r="Q4" i="5"/>
  <c r="Q23" i="5"/>
  <c r="O59" i="5"/>
  <c r="O58" i="5"/>
  <c r="R24" i="5"/>
  <c r="T24" i="5" s="1"/>
  <c r="N23" i="5"/>
  <c r="N59" i="5" s="1"/>
  <c r="Q8" i="5"/>
  <c r="Q22" i="5"/>
  <c r="O21" i="5"/>
  <c r="P22" i="5"/>
  <c r="R22" i="5" s="1"/>
  <c r="N5" i="5"/>
  <c r="N22" i="5"/>
  <c r="N58" i="5" s="1"/>
  <c r="P23" i="5"/>
  <c r="P20" i="3"/>
  <c r="P30" i="3" s="1"/>
  <c r="O20" i="3"/>
  <c r="O30" i="3" s="1"/>
  <c r="N20" i="3"/>
  <c r="N30" i="3" s="1"/>
  <c r="N10" i="3"/>
  <c r="N11" i="3" s="1"/>
  <c r="O11" i="3" s="1"/>
  <c r="P11" i="3" s="1"/>
  <c r="O9" i="3"/>
  <c r="P9" i="3" s="1"/>
  <c r="Q60" i="5" l="1"/>
  <c r="R60" i="5" s="1"/>
  <c r="P21" i="5"/>
  <c r="Q21" i="5"/>
  <c r="R23" i="5"/>
  <c r="T23" i="5" s="1"/>
  <c r="Q59" i="5" s="1"/>
  <c r="R59" i="5" s="1"/>
  <c r="O61" i="5"/>
  <c r="T30" i="3"/>
  <c r="N4" i="5"/>
  <c r="N20" i="5" s="1"/>
  <c r="N56" i="5" s="1"/>
  <c r="N21" i="5"/>
  <c r="N57" i="5" s="1"/>
  <c r="O20" i="5"/>
  <c r="O18" i="3"/>
  <c r="P18" i="3"/>
  <c r="S30" i="3"/>
  <c r="N40" i="3" s="1"/>
  <c r="N19" i="3"/>
  <c r="N18" i="3"/>
  <c r="U30" i="3"/>
  <c r="O10" i="3"/>
  <c r="P10" i="3" s="1"/>
  <c r="P19" i="3" s="1"/>
  <c r="R21" i="5" l="1"/>
  <c r="T21" i="5"/>
  <c r="P20" i="5"/>
  <c r="Q20" i="5"/>
  <c r="T22" i="5"/>
  <c r="O28" i="3"/>
  <c r="O38" i="3" s="1"/>
  <c r="T28" i="3"/>
  <c r="N28" i="3"/>
  <c r="N38" i="3" s="1"/>
  <c r="S28" i="3"/>
  <c r="P28" i="3"/>
  <c r="U28" i="3"/>
  <c r="U29" i="3"/>
  <c r="P29" i="3"/>
  <c r="N29" i="3"/>
  <c r="N39" i="3" s="1"/>
  <c r="S29" i="3"/>
  <c r="O19" i="3"/>
  <c r="Q58" i="5" l="1"/>
  <c r="R58" i="5" s="1"/>
  <c r="Q57" i="5"/>
  <c r="R57" i="5" s="1"/>
  <c r="O29" i="3"/>
  <c r="O39" i="3" s="1"/>
  <c r="N42" i="3" s="1"/>
  <c r="T29" i="3"/>
  <c r="R20" i="5"/>
  <c r="P58" i="3"/>
  <c r="P38" i="3"/>
  <c r="O42" i="3" s="1"/>
  <c r="O43" i="3" s="1"/>
  <c r="O58" i="3" s="1"/>
  <c r="O25" i="2"/>
  <c r="N25" i="2"/>
  <c r="P10" i="2"/>
  <c r="O10" i="2"/>
  <c r="O20" i="2" s="1"/>
  <c r="N10" i="2"/>
  <c r="S20" i="2" s="1"/>
  <c r="N19" i="1"/>
  <c r="S29" i="1" s="1"/>
  <c r="P47" i="1"/>
  <c r="P19" i="1"/>
  <c r="P29" i="1" s="1"/>
  <c r="O19" i="1"/>
  <c r="O53" i="1" s="1"/>
  <c r="S9" i="1"/>
  <c r="S10" i="1" s="1"/>
  <c r="P9" i="1"/>
  <c r="P10" i="1" s="1"/>
  <c r="O9" i="1"/>
  <c r="O10" i="1" s="1"/>
  <c r="N9" i="1"/>
  <c r="N10" i="1" s="1"/>
  <c r="X8" i="1"/>
  <c r="T8" i="1"/>
  <c r="N43" i="3" l="1"/>
  <c r="O59" i="3"/>
  <c r="T20" i="5"/>
  <c r="P20" i="2"/>
  <c r="T20" i="2"/>
  <c r="N8" i="2"/>
  <c r="N20" i="2"/>
  <c r="U20" i="2"/>
  <c r="T29" i="1"/>
  <c r="U29" i="1"/>
  <c r="X9" i="1"/>
  <c r="P53" i="1"/>
  <c r="Y8" i="1"/>
  <c r="T9" i="1"/>
  <c r="U8" i="1"/>
  <c r="N29" i="1"/>
  <c r="N39" i="1" s="1"/>
  <c r="X10" i="1"/>
  <c r="N17" i="1" s="1"/>
  <c r="N27" i="1" s="1"/>
  <c r="N37" i="1" s="1"/>
  <c r="N53" i="1"/>
  <c r="O29" i="1"/>
  <c r="N35" i="2" l="1"/>
  <c r="Q56" i="5"/>
  <c r="R56" i="5" s="1"/>
  <c r="R61" i="5" s="1"/>
  <c r="N60" i="3"/>
  <c r="N59" i="3"/>
  <c r="N58" i="3"/>
  <c r="N9" i="2"/>
  <c r="N19" i="2" s="1"/>
  <c r="S18" i="2"/>
  <c r="N18" i="2"/>
  <c r="O8" i="2"/>
  <c r="N18" i="1"/>
  <c r="S28" i="1" s="1"/>
  <c r="S27" i="1"/>
  <c r="N51" i="1"/>
  <c r="T10" i="1"/>
  <c r="Y10" i="1" s="1"/>
  <c r="O17" i="1" s="1"/>
  <c r="Y9" i="1"/>
  <c r="U9" i="1"/>
  <c r="Z8" i="1"/>
  <c r="S19" i="2" l="1"/>
  <c r="O9" i="2"/>
  <c r="T19" i="2" s="1"/>
  <c r="N28" i="1"/>
  <c r="N38" i="1" s="1"/>
  <c r="N52" i="1"/>
  <c r="T18" i="2"/>
  <c r="O18" i="2"/>
  <c r="P8" i="2"/>
  <c r="O18" i="1"/>
  <c r="O52" i="1" s="1"/>
  <c r="T27" i="1"/>
  <c r="O51" i="1"/>
  <c r="O27" i="1"/>
  <c r="O37" i="1" s="1"/>
  <c r="U10" i="1"/>
  <c r="Z10" i="1" s="1"/>
  <c r="P17" i="1" s="1"/>
  <c r="Z9" i="1"/>
  <c r="T28" i="1" l="1"/>
  <c r="O19" i="2"/>
  <c r="O28" i="1"/>
  <c r="O38" i="1" s="1"/>
  <c r="N41" i="1" s="1"/>
  <c r="P18" i="1"/>
  <c r="P52" i="1" s="1"/>
  <c r="P18" i="2"/>
  <c r="P33" i="2" s="1"/>
  <c r="U18" i="2"/>
  <c r="P9" i="2"/>
  <c r="P51" i="1"/>
  <c r="P73" i="1" s="1"/>
  <c r="P27" i="1"/>
  <c r="U27" i="1"/>
  <c r="Z59" i="1" s="1"/>
  <c r="U28" i="1" l="1"/>
  <c r="P28" i="1"/>
  <c r="P19" i="2"/>
  <c r="O34" i="2" s="1"/>
  <c r="N41" i="2" s="1"/>
  <c r="O41" i="2" s="1"/>
  <c r="U19" i="2"/>
  <c r="P37" i="1"/>
  <c r="O41" i="1" s="1"/>
  <c r="O47" i="1" s="1"/>
  <c r="U59" i="1"/>
  <c r="P59" i="1"/>
  <c r="P66" i="1"/>
  <c r="N42" i="2" l="1"/>
  <c r="O42" i="2" s="1"/>
  <c r="O43" i="2" s="1"/>
  <c r="O73" i="1"/>
  <c r="O59" i="1"/>
  <c r="O74" i="1"/>
  <c r="T60" i="1"/>
  <c r="T59" i="1"/>
  <c r="O66" i="1"/>
  <c r="Y59" i="1"/>
  <c r="O67" i="1"/>
  <c r="Y60" i="1"/>
  <c r="O60" i="1"/>
  <c r="N47" i="1"/>
  <c r="N59" i="1" l="1"/>
  <c r="N67" i="1"/>
  <c r="N75" i="1"/>
  <c r="X61" i="1"/>
  <c r="X60" i="1"/>
  <c r="N60" i="1"/>
  <c r="N73" i="1"/>
  <c r="S61" i="1"/>
  <c r="N74" i="1"/>
  <c r="N68" i="1"/>
  <c r="N61" i="1"/>
  <c r="S60" i="1"/>
  <c r="S59" i="1"/>
  <c r="N66" i="1"/>
  <c r="X59" i="1"/>
</calcChain>
</file>

<file path=xl/sharedStrings.xml><?xml version="1.0" encoding="utf-8"?>
<sst xmlns="http://schemas.openxmlformats.org/spreadsheetml/2006/main" count="605" uniqueCount="343">
  <si>
    <t>a.</t>
  </si>
  <si>
    <t>b.</t>
  </si>
  <si>
    <t>Given the following information as of December 31, 2016:</t>
  </si>
  <si>
    <t>Accident Year</t>
  </si>
  <si>
    <t>12 Months</t>
  </si>
  <si>
    <t>24 Months</t>
  </si>
  <si>
    <t>36 Months</t>
  </si>
  <si>
    <t>Policy Limit</t>
  </si>
  <si>
    <t>Calendar Year ground-up, unlimited loss trend</t>
  </si>
  <si>
    <t>Selected Basic Limit</t>
  </si>
  <si>
    <t>Accident Year ground-up, unlimited loss trend</t>
  </si>
  <si>
    <t>The claims size model is based on the exponential distribution with the following unlimited claims size</t>
  </si>
  <si>
    <t>means at the accident year 2016 cost level:</t>
  </si>
  <si>
    <t>Claims Size Unlimited Means</t>
  </si>
  <si>
    <t>Calculate the volume-weighted loss development factors at the accident year 2016 cost level and basic limits.</t>
  </si>
  <si>
    <t>Calculate Trend Triangle</t>
  </si>
  <si>
    <t>Exposure Year Trend</t>
  </si>
  <si>
    <t>Calendar Year Trend</t>
  </si>
  <si>
    <t>Combined Trend</t>
  </si>
  <si>
    <t>AY</t>
  </si>
  <si>
    <t>Calculate Trended Unlimited Means</t>
  </si>
  <si>
    <t>Calculate Limited Expected Values (Exponential)</t>
  </si>
  <si>
    <t>LEVs at Policy Limits</t>
  </si>
  <si>
    <t>LEVs at Data Limits</t>
  </si>
  <si>
    <t>LEVs at Basic Limits</t>
  </si>
  <si>
    <t>Calculate Development Factors at Basic Limit &amp; Latest Exposure Year</t>
  </si>
  <si>
    <t>Losses at Exposure Year 2015 Cost level &amp; Basic Limit</t>
  </si>
  <si>
    <t>LDF</t>
  </si>
  <si>
    <t>CDF</t>
  </si>
  <si>
    <t>Calculate Development Factors by Layer</t>
  </si>
  <si>
    <t>CDFs at Policy Limit</t>
  </si>
  <si>
    <t>CDFs at Data Limit</t>
  </si>
  <si>
    <t>CDFs at Basic Limit</t>
  </si>
  <si>
    <t>CDFs at Basic Limit to Policy Limit</t>
  </si>
  <si>
    <t>CDFs at Policy Limit to Unlimited</t>
  </si>
  <si>
    <t>Data Loss Limit</t>
  </si>
  <si>
    <t>&lt;- Given</t>
  </si>
  <si>
    <t>Losses at Exposure Year 2016 Cost level &amp; Basic Limit</t>
  </si>
  <si>
    <t>Theta'_AY,k = Theta_k * trend_AY,k / trend_n,k</t>
  </si>
  <si>
    <t>LEV(x) = Theta * [1 - exp(-x / Theta)]</t>
  </si>
  <si>
    <t xml:space="preserve"> </t>
  </si>
  <si>
    <t>Adjusted Loss_AY,k = Loss_AY,k * LEV[ B | Theta_n,k ] / LEV[ L | Theta_AY,k ]</t>
  </si>
  <si>
    <t>Discussion</t>
  </si>
  <si>
    <t>If you're interested, below are additional calculations outside the problem for how to calculate adjusted CDFs to different limits and layers:</t>
  </si>
  <si>
    <t>Given the following trend indices and basic limit cumulative loss development factors at accident year 2016</t>
  </si>
  <si>
    <t>cost level:</t>
  </si>
  <si>
    <t>12-Ult</t>
  </si>
  <si>
    <t>24-Ult</t>
  </si>
  <si>
    <t>Accident</t>
  </si>
  <si>
    <t>Year</t>
  </si>
  <si>
    <t>Trend Indices</t>
  </si>
  <si>
    <t>The exponential claims size model is parameterized with the following unlimited means by development period:</t>
  </si>
  <si>
    <t>Basic Limit</t>
  </si>
  <si>
    <t>Assume no loss development after 36 months.</t>
  </si>
  <si>
    <t>Calculate the loss development factors to-ultimate for the loss layer below the policy limit that are</t>
  </si>
  <si>
    <t>appropriate for developing the latest diagonal of reported losses.</t>
  </si>
  <si>
    <t xml:space="preserve">Estimate the unreported losses for accident years 2014-2016 for the book of policies as of December 31, 2016. </t>
  </si>
  <si>
    <t>36-Ult</t>
  </si>
  <si>
    <t>Unreported</t>
  </si>
  <si>
    <t>Total</t>
  </si>
  <si>
    <t>Use the adjusted CDFs along the diagonal and the reported loss at the policy limit to calculate unreported:</t>
  </si>
  <si>
    <t>CDFs at Basic Limit and 2016 cost level:</t>
  </si>
  <si>
    <t>CDF(X)_AY,k = CDF(B)_n,k * ( LEV[ X | Theta_AY,ult ] / LEV[ B | Theta_n,ult ] ) /  ( LEV[ X | Theta_AY,k ] / LEV[ B | Theta_n,k ] )</t>
  </si>
  <si>
    <t>Given the following information:</t>
  </si>
  <si>
    <t>Policy Deductible</t>
  </si>
  <si>
    <t>means at the accident year 2015 cost level:</t>
  </si>
  <si>
    <t>Calculate the cumulative development factors-to-ultimate at basic limits and exposure year 2015 cost level.</t>
  </si>
  <si>
    <t>Discuss how the development factors at basic limits can be transformed in order to develop ultimate</t>
  </si>
  <si>
    <t>LEVs at Basic Limits (also the Deductible Limit)</t>
  </si>
  <si>
    <t>LEVs at Data Limits (also Policy Limit)</t>
  </si>
  <si>
    <t>CDFs at from Deductible to Policy Limit</t>
  </si>
  <si>
    <t>Calculate the LEV(X) for the policy limit as the difference between LEV(500k) and LEV(100k).</t>
  </si>
  <si>
    <t>( ( LEV[ X_top | Theta_AY,k ] - LEV[ X_bot | Theta_AY,k ] ) / LEV[ B | Theta_n,k ] )</t>
  </si>
  <si>
    <t>Below are the adjusted CDFs for the $100k to $500k layer:</t>
  </si>
  <si>
    <t>Use the transformed CDFs along the diagonal to develop the losses for the book of policies in the 100k to 500k layer.</t>
  </si>
  <si>
    <t>losses for the book of policies and calculate the appropriate development factors.</t>
  </si>
  <si>
    <t>Because this is in Excel, I adjusted part B to include the calculation of the CDFs for the layer.</t>
  </si>
  <si>
    <t>Loss Reserve</t>
  </si>
  <si>
    <t>CDF at Policy Lim</t>
  </si>
  <si>
    <t>Losses limited to $250k</t>
  </si>
  <si>
    <t>Maturity</t>
  </si>
  <si>
    <t>Selected Ratio (R_j)</t>
  </si>
  <si>
    <t>Decay Factor</t>
  </si>
  <si>
    <t>Ratio at Ultimate (U)</t>
  </si>
  <si>
    <t>LEV at $1M Limit at Ult</t>
  </si>
  <si>
    <t>LEV at Policy Limit at Ult</t>
  </si>
  <si>
    <t>Claim Size Model Parameter at Ult</t>
  </si>
  <si>
    <t>Observed Ratio</t>
  </si>
  <si>
    <t>Losses limited to $1M</t>
  </si>
  <si>
    <t>Calculate the estimated loss reserve for losses from ground up to the policy limit for accident years 2012-2016.</t>
  </si>
  <si>
    <t>limited at the basic limit for the most recent evaluation date using the method described by Sahasrabuddhe</t>
  </si>
  <si>
    <t>Plot the observed ratio, ratio at ultimate, and selected ratio of losses limited at the policy limit to losses</t>
  </si>
  <si>
    <t>60-Ult</t>
  </si>
  <si>
    <t>48-Ult</t>
  </si>
  <si>
    <t>Cumulative Loss Development Factors at Basic Limit - Unadjusted</t>
  </si>
  <si>
    <t>60 Months</t>
  </si>
  <si>
    <t>48 Months</t>
  </si>
  <si>
    <t>basic limit by age using the following decay factors:</t>
  </si>
  <si>
    <t>The actuary selects the ratio of the limited expected value at policy limit to the limited expected value at</t>
  </si>
  <si>
    <t>exponential distribution.</t>
  </si>
  <si>
    <t>claim size at ultimate and 2016 cost level is $156,000. The actuary assumes loss severity follows an</t>
  </si>
  <si>
    <t>The claim size distributions for earlier maturities are unknown, but the actuary knows that the average</t>
  </si>
  <si>
    <t>CDF at Basic Lim</t>
  </si>
  <si>
    <t>Because this is in Excel, I adjusted part B to include the calculation of the Loss reserve for all accident years.</t>
  </si>
  <si>
    <t>NOTE:</t>
  </si>
  <si>
    <t>For part b, we just apply the appropriate CDFs to the latest diagonal to get the unreported losses. The problem assumes losses are fully developed at 36 months, so we only need to calculate unreported losses for accident years 2015 and 2016.</t>
  </si>
  <si>
    <t>In part a, the data shows losses limited at 500k and at different accident years. By calculating the LEVs at both the limit of the data (500k) and the basic limit (100k) for the appropriate cells, we can use the ratios of LEVs to adjust the data triangle. The adjusted data triangle has losses at a 100k limit and at the most recent year (2015) exposure period cost level, by backing out the loss trend.
Then, we calculate cumulative development factors using the adjusted data triangle. These CDFs can then be transformed to create CDFs at any other cost level and layer using the following relationship:</t>
  </si>
  <si>
    <t>In part b, we use the relationship above to show how to create appropriate CDFs that can be used to develop losses in the 100k to 500k layer, for the book of policies. The twist here is that LEV[X] is calculated as the difference between the top and bottom of the layer:</t>
  </si>
  <si>
    <t xml:space="preserve">This problem is based off of Example 3 in the Sahasrabuddhe paper, using the simplified model formula. Like the example in the paper, the observed ratios based on the latest diagonal losses are volatile. To calculate the adjusted CDFs, we use the selected ratio at the prior ages and the ultimate ratios of the LEV at the policy limit($250k) to the LEV at the basic limit($1M). 
Remember, the key benefit of using this approach is that we don’t need to know the claim size distribution at earlier development periods. Instead, we use the use the claim size model at ultimate to calculate the ultimate ratio and then estimate some selected ratios for the earlier development periods. </t>
  </si>
  <si>
    <t>SHOW ALL WORK.</t>
  </si>
  <si>
    <t>Solution -&gt;</t>
  </si>
  <si>
    <t>Use the relationship between the LEV(X) and LEV(B), at basic limits, to transform the CDF to  layer X and the appropriate exposure year cost level:</t>
  </si>
  <si>
    <t>Part a</t>
  </si>
  <si>
    <t>In Pearson Vue, it looks like you can't create a graph. For an exam question, you might just be asked to calculate the Observed Ratio, Ratio at Ultimate and Selected Ratio by Maturity.</t>
  </si>
  <si>
    <t xml:space="preserve">Use the relationship between the LEV(X) and LEV(B) along with the selected LEV ratio R_j, to transform the CDF to  layer X and the appropriate exposure year cost level:  </t>
  </si>
  <si>
    <t>Part b</t>
  </si>
  <si>
    <t>RF Sahasrabuddhe - 1</t>
  </si>
  <si>
    <t>RF Sahasrabuddhe - 2</t>
  </si>
  <si>
    <t>RF Sahasrabuddhe - 3</t>
  </si>
  <si>
    <t>RF Sahasrabuddhe - 4</t>
  </si>
  <si>
    <r>
      <t xml:space="preserve">CDF(X)_AY,k = CDF(B)_n,k * </t>
    </r>
    <r>
      <rPr>
        <u/>
        <sz val="12"/>
        <color theme="1"/>
        <rFont val="Calibri"/>
        <family val="2"/>
      </rPr>
      <t>( (LEV[ X_top | Theta_AY,ult ] - LEV[ X_bot | Theta_AY,ult ] ) / LEV[ B | Theta_n,ult ] )</t>
    </r>
  </si>
  <si>
    <t>Recipe</t>
  </si>
  <si>
    <t>Sahasrabuddhe - Determine LDFs at Basic Limits</t>
  </si>
  <si>
    <t>Sahasrabuddhe - Calculate Layer LDFs from Basic Limit LDFs</t>
  </si>
  <si>
    <t>Sahasrabuddhe - Calculate Layer LDFs from Basic Limit LDFs: Simplified Model</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</si>
  <si>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</si>
  <si>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</si>
  <si>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</si>
  <si>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</si>
  <si>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</si>
  <si>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</si>
  <si>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</si>
  <si>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</si>
  <si>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</si>
  <si>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For part b, we use the Sahasrabuddhe method. First, adjusting the triangle to latest year cost levels and basic limit. Then, calculating the basic limit CDF. Finally, we can adjust them to CDFs appropriate for whatever cost level (along the diagonal) and layor that we need.</t>
  </si>
  <si>
    <t>Estimate the AY 2011 ultimate losses for policies with a $5,000 deductible and a $10,000 policy limit.</t>
  </si>
  <si>
    <t>c.</t>
  </si>
  <si>
    <t>Estimate the AY 2011 reserves for the layer L(0, 5000) using the method described in the paper.</t>
  </si>
  <si>
    <t>Ultimate Losses =</t>
  </si>
  <si>
    <t>Estimate the AY 2011 reserves for the layer L(0, 5000) using the unadjusted triangle.</t>
  </si>
  <si>
    <t>F_3,2^5K-10K =</t>
  </si>
  <si>
    <t>Part c:</t>
  </si>
  <si>
    <t>• Basic limit:</t>
  </si>
  <si>
    <t>Reserves =</t>
  </si>
  <si>
    <t>• Limit of the data in the triangle:</t>
  </si>
  <si>
    <t>Estimate the AY 2011 reserves:</t>
  </si>
  <si>
    <t>F_3,2^5000 =</t>
  </si>
  <si>
    <t>Calculate F_3,2^5000:</t>
  </si>
  <si>
    <t>48 mo.</t>
  </si>
  <si>
    <t>36 mo.</t>
  </si>
  <si>
    <t>24 mo.</t>
  </si>
  <si>
    <t>12 mo.</t>
  </si>
  <si>
    <t>The trend-adjusted limited expected values at 10,000 are:</t>
  </si>
  <si>
    <t>36-48 (ult)</t>
  </si>
  <si>
    <t>24-36</t>
  </si>
  <si>
    <t>Calculate the basic limit claims development pattern:</t>
  </si>
  <si>
    <t>Adj Data_i,j = Raw Data_i,j * (LEV(n,j) @ basic limit / LEV(i,j) @ 5000 limit)</t>
  </si>
  <si>
    <t>The trend-adjusted limited expected values at 5,000 are:</t>
  </si>
  <si>
    <t>Create the cumulative loss triangle adjusted to AY 2012 cost levels and the basic limit:</t>
  </si>
  <si>
    <t>Part b:</t>
  </si>
  <si>
    <t>The trend-adjusted limited expected values at 2,500 are:</t>
  </si>
  <si>
    <t>AY 2011 Reserves =</t>
  </si>
  <si>
    <t>36-48 LDF =</t>
  </si>
  <si>
    <t>24-36 LDF =</t>
  </si>
  <si>
    <t>Calculate the unadjusted chain-ladder factors:</t>
  </si>
  <si>
    <t>Cumulative Incurred Losses ($)</t>
  </si>
  <si>
    <t>Part a:</t>
  </si>
  <si>
    <t>Given the following for an insurer as of December 31, 2012:</t>
  </si>
  <si>
    <t>RF Sahasrabuddhe - 5</t>
  </si>
  <si>
    <t>Calculate the development factor to ultimate for accident year 2011 for the layer L(2500, 5000).</t>
  </si>
  <si>
    <t>Calculate the development factor to ultimate for accident year 2011 for the layer L(0, 2500).</t>
  </si>
  <si>
    <t>We use this simplified model when we don't have claim size models for each of the development periods, so we can't calculate R_j directly. Instead, we must decay factors to approximate them since we know that R_j should get smaller (i.e., decay) as j gets closer to ultimate. See the cookbook recipe and pages 7-8 and 12-13 of the source to better understand this method.</t>
  </si>
  <si>
    <t>j</t>
  </si>
  <si>
    <t>&lt;-F_4,2^5000*(1-U)/(1-R)</t>
  </si>
  <si>
    <t>F_3,2^2500-5000 =</t>
  </si>
  <si>
    <t>layer L(0, 5000).</t>
  </si>
  <si>
    <t xml:space="preserve">The following decay factors are used to select               , where A is the layer L(0, 2500) and B is the </t>
  </si>
  <si>
    <t>&lt;-F_4,2^5000*U/R</t>
  </si>
  <si>
    <t>F_3,2^2500 =</t>
  </si>
  <si>
    <t>Calculate F_3,2^2500:</t>
  </si>
  <si>
    <t>LEV(5000)</t>
  </si>
  <si>
    <t>LEV(2500)</t>
  </si>
  <si>
    <t>The ultimate limited expected values at 2,500 and 5,000 are as follows:</t>
  </si>
  <si>
    <t>Calculate F_4,2^5000:</t>
  </si>
  <si>
    <t>&lt;-Decay Model</t>
  </si>
  <si>
    <t>R_2(2500,5000) =</t>
  </si>
  <si>
    <t>&lt;-LEV(2500)/LEV(5000)</t>
  </si>
  <si>
    <t>U =</t>
  </si>
  <si>
    <t>RF Sahasrabuddhe - 6</t>
  </si>
  <si>
    <t>8) Use the new development factors to calculate reserves for various layers at appropriate exposure period cost levels</t>
  </si>
  <si>
    <t>7) Use F_i,j^X = F_n,j^B * [LEV(X_i,n)/LEV(B_n,n)][LEV(X_i,j)/LEV(B_n,j)] to calculate development factors for various layers at appropriate exposure period cost levels</t>
  </si>
  <si>
    <t>6) Calculate the cumulative development factors for the adjusted cumulative claims triangle. This gives the claims development pattern for the basic limit at the latest exposure period cost level</t>
  </si>
  <si>
    <t>5) Calculate the adjusted cumulative claims triangle by adjusting the cumulative claims to the basic limit at the latest exposure period cost level using the limited expected values calculated in the prior step.  We do this to place the data at a limit with sufficient credibility</t>
  </si>
  <si>
    <t>4) Calculate limited expected values for the basic limit and the limit in the data triangle being analyzed using the trended claim size model parameters</t>
  </si>
  <si>
    <t>3) Calculate claim size model parameters for each exposure period/development period combination by applying the trend indices to the claim size parameters for the latest exposure period</t>
  </si>
  <si>
    <t>2) Develop claim size model parameters at the latest exposure period cost level</t>
  </si>
  <si>
    <t>1) Calculate trend indices using specified exposure period and calendar period trends</t>
  </si>
  <si>
    <t>Question #6</t>
  </si>
  <si>
    <t>Trend indices are difficult to calculate for cumulative claims because trend typically occurs on an incremental basis.  In addition, trend indices are difficult to calculate for incurred claims (in particular, the timing of the effect of trend on case reserves.  We can avoid these issues if we assume no calendar year trend)</t>
  </si>
  <si>
    <t>5) The procedure requires a triangle of trend indices</t>
  </si>
  <si>
    <t>Claim size models prior to ultimate are generally not available.  However, since we only require the ratio of expected values to adjust development patterns from one layer to another, a robust claim size model is probably not required</t>
  </si>
  <si>
    <t>4) The procedure requires claim size models at maturities prior to ultimate</t>
  </si>
  <si>
    <t>Given claim size and trend information, this is fairly simple to implement</t>
  </si>
  <si>
    <t>3) The procedure requires that the data triangle be adjusted to a basic limit and common cost level</t>
  </si>
  <si>
    <t>Claim size models are typically available.  In addition, since the primary goal of the claim size model is to obtain reasonable ratios of limited expected values to unlimited means, 100% accuracy is not required and a simple claim size model may be sufficient</t>
  </si>
  <si>
    <t>2) The procedure requires the use of a claim size model</t>
  </si>
  <si>
    <t>This is not always an explicit assumption.  When analyzing a loss triangle, actuaries make an implicit assumption that the limit associated with the triangle is credible</t>
  </si>
  <si>
    <t>1) The procedure requires us to select a basic limit</t>
  </si>
  <si>
    <t>Question #5:</t>
  </si>
  <si>
    <t>An alternative calculation of R is U + (1-U)*Decay Factor. The decay factors are determined using a decay model. The model ensures that R is "high" at early maturities (close to 1) and "low" at later maturities (further from 1). At ultimate, the decay factor is 0 and R = U</t>
  </si>
  <si>
    <t>3) If B = ground-up unlimited loss and if all development in the unlimited layer occurs above X, then the maximum value of R is U*Unlimited Development Factor</t>
  </si>
  <si>
    <t>U is simply R at ultimate. Similar to the first property, R_a &gt;=U because there is more development associated with the denominator of R than the numerator of R</t>
  </si>
  <si>
    <t>2) R_a &gt;= U, where U = lim(R_a), as a goes to infinity</t>
  </si>
  <si>
    <t>Fully describe the steps underlying the reserving procedure (standard procedure, not the simplified version) described in the paper.</t>
  </si>
  <si>
    <t>At early maturities, there will be less development in the excess layer, resulting in an R ratio close to 1</t>
  </si>
  <si>
    <t>1) R_a &gt; R_b, where a &lt; b</t>
  </si>
  <si>
    <t>Discuss five assumptions that must be met in order to implement the reserving procedure (standard procedure, not the simplified version) described in the paper.</t>
  </si>
  <si>
    <t>Question #5</t>
  </si>
  <si>
    <t>R_j(X,B) is the ratio between the limited expected values for layers X and B at the end of development interval j</t>
  </si>
  <si>
    <r>
      <t xml:space="preserve">Fully describe an alternative calculation of </t>
    </r>
    <r>
      <rPr>
        <i/>
        <sz val="12"/>
        <color theme="1"/>
        <rFont val="Calibri"/>
        <family val="2"/>
        <scheme val="minor"/>
      </rPr>
      <t>R</t>
    </r>
    <r>
      <rPr>
        <sz val="12"/>
        <color theme="1"/>
        <rFont val="Calibri"/>
        <family val="2"/>
        <scheme val="minor"/>
      </rPr>
      <t>.</t>
    </r>
  </si>
  <si>
    <r>
      <t xml:space="preserve">Assuming that                         , briefly describe three properties of </t>
    </r>
    <r>
      <rPr>
        <i/>
        <sz val="12"/>
        <color theme="1"/>
        <rFont val="Calibri"/>
        <family val="2"/>
        <scheme val="minor"/>
      </rPr>
      <t>R</t>
    </r>
    <r>
      <rPr>
        <sz val="12"/>
        <color theme="1"/>
        <rFont val="Calibri"/>
        <family val="2"/>
        <scheme val="minor"/>
      </rPr>
      <t>.</t>
    </r>
  </si>
  <si>
    <t>Question  #4</t>
  </si>
  <si>
    <t xml:space="preserve">Define </t>
  </si>
  <si>
    <t>Development factors at different cost levels and different layers are related to each other based on claims size models and trend</t>
  </si>
  <si>
    <t>Question  #3</t>
  </si>
  <si>
    <t>• Limited expected values and unlimited means can be easily calculated</t>
  </si>
  <si>
    <t>State (in words) Sahasrabuddhe's key finding.</t>
  </si>
  <si>
    <t>• Claim size model parameters can be adjusted for the impact of inflation</t>
  </si>
  <si>
    <t>Question #2</t>
  </si>
  <si>
    <t>Identify two requirements of claim size models.</t>
  </si>
  <si>
    <t>• Tend not to vary by claims layer</t>
  </si>
  <si>
    <t>Question  #2</t>
  </si>
  <si>
    <t>• Trend that occurs in the development period or calendar period direction is often not considered</t>
  </si>
  <si>
    <t>• Tend not to vary between accident periods</t>
  </si>
  <si>
    <t>Briefly describe three problems with the current application of trend rates.</t>
  </si>
  <si>
    <t>Question #1</t>
  </si>
  <si>
    <t>Solutions -&gt;</t>
  </si>
  <si>
    <t>RF Sahasrabuddhe - Essay Problems</t>
  </si>
  <si>
    <t xml:space="preserve">Sahasrabuddhe – Determine LDFs at Basic Limits </t>
  </si>
  <si>
    <t xml:space="preserve">In Sahasrabuddhe, the full cumulative loss triangle is calculated at basic limits and at the latest exposure year in order to calculate LDFs at basic limits. This problem is a simplified version of what Sahasrabuddhe does.
For this problem, creating the trend table is unnecessary because there’s only a simple calendar year trend, so you simply need to trend the unlimited means backwards for the values along the diagonal. Since the data is given on an unlimited basis, the LEV[L] is the trended unlimited mean. </t>
  </si>
  <si>
    <t>of loss.</t>
  </si>
  <si>
    <t>cumulative reported loss triangle based on accident year 2012 cost levels for the basic limit</t>
  </si>
  <si>
    <t>Using the method described by Sahasrabuddhe, calculate the latest diagonal of the</t>
  </si>
  <si>
    <t xml:space="preserve">•  Limited mean of exponential distribution at limit k: </t>
  </si>
  <si>
    <r>
      <t xml:space="preserve">•  Variance of exponential distribution: </t>
    </r>
    <r>
      <rPr>
        <i/>
        <sz val="12"/>
        <color theme="1"/>
        <rFont val="Calibri"/>
        <family val="2"/>
        <scheme val="minor"/>
      </rPr>
      <t>Ɵ</t>
    </r>
    <r>
      <rPr>
        <i/>
        <vertAlign val="superscript"/>
        <sz val="12"/>
        <color theme="1"/>
        <rFont val="Calibri"/>
        <family val="2"/>
        <scheme val="minor"/>
      </rPr>
      <t>2</t>
    </r>
  </si>
  <si>
    <r>
      <t xml:space="preserve">•  Mean of exponential distribution: </t>
    </r>
    <r>
      <rPr>
        <i/>
        <sz val="12"/>
        <color theme="1"/>
        <rFont val="Calibri"/>
        <family val="2"/>
      </rPr>
      <t>Ɵ</t>
    </r>
  </si>
  <si>
    <t>Unlimited Claim Size Mean</t>
  </si>
  <si>
    <t>limit on the latest diagonal:</t>
  </si>
  <si>
    <t>Create the cumulative loss triangle adjusted to AY 2012 cost levels and the basic</t>
  </si>
  <si>
    <t xml:space="preserve">   following unlimited claim size means at the accident year 2012 level:</t>
  </si>
  <si>
    <t>•  An exponential distribution fit to the claim level data at each maturity produced the</t>
  </si>
  <si>
    <t>•  Calendar period ground-up unlimited loss trend: 5% per year</t>
  </si>
  <si>
    <t xml:space="preserve">•  Basic limit: </t>
  </si>
  <si>
    <t>•  Claim data in the triangle is on an unlimited basis</t>
  </si>
  <si>
    <t>Create trend-adjusted expected values at 50,000 on the latest row, LEV(B):</t>
  </si>
  <si>
    <t>Cumulative Reported Loss ($000)</t>
  </si>
  <si>
    <t>Given the following information as of December 31, 2012:</t>
  </si>
  <si>
    <t>Create trend-adjusted unlimited expected values for the needed cells:</t>
  </si>
  <si>
    <t>Points:</t>
  </si>
  <si>
    <t>Q #5</t>
  </si>
  <si>
    <t>Exam 7</t>
  </si>
  <si>
    <t>Spring 2013</t>
  </si>
  <si>
    <t>Source:</t>
  </si>
  <si>
    <t>differences in the actuaries' other assumptions.</t>
  </si>
  <si>
    <t>between the modeled factors and the unadjusted factors, assuming there had been</t>
  </si>
  <si>
    <t>Briefly describe two other modeling choices that could have created larger differences</t>
  </si>
  <si>
    <t>0.5 point</t>
  </si>
  <si>
    <t>on modeled development patterns that causes such a result.</t>
  </si>
  <si>
    <t>unadjusted development factors and explain the effect of different claim size parameters</t>
  </si>
  <si>
    <t>Identify which actuary's modeled development factors deviate further from the</t>
  </si>
  <si>
    <t>0.75 point</t>
  </si>
  <si>
    <t>available development periods.</t>
  </si>
  <si>
    <r>
      <t xml:space="preserve">This was a challenging question. 
</t>
    </r>
    <r>
      <rPr>
        <b/>
        <sz val="12"/>
        <color theme="1"/>
        <rFont val="Calibri"/>
        <family val="2"/>
        <scheme val="minor"/>
      </rPr>
      <t>Part a</t>
    </r>
    <r>
      <rPr>
        <sz val="12"/>
        <color theme="1"/>
        <rFont val="Calibri"/>
        <family val="2"/>
        <scheme val="minor"/>
      </rPr>
      <t xml:space="preserve"> comes from the difference between Example 1 and Example 2 in the Sahasrabuddhe paper. Example 1 is similar to Actuary B and Example 2 is similar to Actuary A. The deviation is much greater in Example 2. 
According to pg. 12, “the differences [in CDFs] will grow with the expectation of claims in the layer between the basic limit and layer under review.” 
</t>
    </r>
    <r>
      <rPr>
        <b/>
        <sz val="12"/>
        <color theme="1"/>
        <rFont val="Calibri"/>
        <family val="2"/>
        <scheme val="minor"/>
      </rPr>
      <t>For Part b</t>
    </r>
    <r>
      <rPr>
        <sz val="12"/>
        <color theme="1"/>
        <rFont val="Calibri"/>
        <family val="2"/>
        <scheme val="minor"/>
      </rPr>
      <t>, one of the key takeaways from Sahasrabuddhe is that the relationship between CDFs at different layers and cost levels is a function of the trend and claims size model used. So, differences in the trend and claim size models are two modeling choices that could create larger differences in the CDFs.
This was a confusing one, but it’s a 1.25 point problem. On the exam, if you see a problem like this and are really stumped, it’s best to move on and come back to it later. Don’t sink 20 minutes trying to figure out what’s being asked, just to run out of time later when there are problems left that you know how to solve.</t>
    </r>
  </si>
  <si>
    <t>cumulative development factors calculated using weighted-average link ratios that use all</t>
  </si>
  <si>
    <t>adjusted for trend and limit changes. They then compare these factors to the unadjusted</t>
  </si>
  <si>
    <t>Both actuaries use their claim size model to estimate cumulative development factors</t>
  </si>
  <si>
    <t>2. Different claim size model</t>
  </si>
  <si>
    <t>All other assumptions made by the actuaries are the same.</t>
  </si>
  <si>
    <t>1. Different AY (or CY) trend assumptions</t>
  </si>
  <si>
    <t>Part b.</t>
  </si>
  <si>
    <t>B</t>
  </si>
  <si>
    <t>A</t>
  </si>
  <si>
    <t>Actuary</t>
  </si>
  <si>
    <t>Development Interval</t>
  </si>
  <si>
    <t>modeling as follows:</t>
  </si>
  <si>
    <t>exposure year 5 and at the same basic limit via Sahasrabuddhe's approach to claim size</t>
  </si>
  <si>
    <t>Actuary A’s CDFs will deviate further from the unadjusted CDFs. 
This is because Actuary A has a larger theta for the claim size model.  Thus, a higher percentage of losses will be capped at the limit and there will be a larger difference in the LEVs between the basic limit and limit of the data in the triangle. This causes further deviation because the CDFs are adjusted using ratios of LEVs.</t>
  </si>
  <si>
    <t>Two actuaries estimate the exponential claim size model parameters at the cost level of</t>
  </si>
  <si>
    <t>Part a.</t>
  </si>
  <si>
    <t>Q #8</t>
  </si>
  <si>
    <t>Spring 2016</t>
  </si>
  <si>
    <t>Sahasrabuddhe.</t>
  </si>
  <si>
    <t>based on the reported loss triangle limited to $1,000,000 using the procedure outlined by</t>
  </si>
  <si>
    <r>
      <t xml:space="preserve">CDF(X)_AY,k = CDF(B)_n,k * </t>
    </r>
    <r>
      <rPr>
        <u/>
        <sz val="12"/>
        <color theme="1"/>
        <rFont val="Calibri (Body)"/>
      </rPr>
      <t>( LEV[ X | Theta_AY,ult ] / LEV[ B | Theta_n,ult ] )</t>
    </r>
    <r>
      <rPr>
        <sz val="12"/>
        <color theme="1"/>
        <rFont val="Calibri"/>
        <family val="2"/>
        <scheme val="minor"/>
      </rPr>
      <t xml:space="preserve">
                                                 ( LEV[ X | Theta_AY,k ] / LEV[ B | Theta_n,k ] )</t>
    </r>
  </si>
  <si>
    <t>Calculate the applicable 24 to ultimate volume weighted average development factor</t>
  </si>
  <si>
    <t>1.75 points</t>
  </si>
  <si>
    <t xml:space="preserve">CDF 24-Ult (1M lim) = </t>
  </si>
  <si>
    <t>based on the reported loss triangle limited to $1,000,000.</t>
  </si>
  <si>
    <t>Calculate the unadjusted 24 to ultimate volume weighted average development factor</t>
  </si>
  <si>
    <t>Calculate 24-Ult CDF for the 1M limit at AY 2015 cost levels by adjusting the basic limit CDF:</t>
  </si>
  <si>
    <t xml:space="preserve">•  Assume the 48 month to ultimate development factor is </t>
  </si>
  <si>
    <t>CDF to Ult</t>
  </si>
  <si>
    <t>36-48</t>
  </si>
  <si>
    <t>Calculate the basic limit claims development pattern at the latest exposure period using the standard chain-ladder method:</t>
  </si>
  <si>
    <t>Limited Expected Values at $500,000 Basic Limit ($000)</t>
  </si>
  <si>
    <t>Triangle above created using Adj Data_i,j = Raw Data_i,j * (LEV_n,j @ basic limit)/(LEV_i,j @ Raw Data)</t>
  </si>
  <si>
    <t>Limited Expected Values at $1,000,000 Limit ($000)</t>
  </si>
  <si>
    <t>Create the cumulative loss triangle adjusted to AY 2016 cost levels and the basic limit:</t>
  </si>
  <si>
    <t>24-Ult CDF =</t>
  </si>
  <si>
    <t>Cumulative Reported Loss at $1,000,000 Limit ($000,000)</t>
  </si>
  <si>
    <t>Q #7</t>
  </si>
  <si>
    <t>Spring 2017</t>
  </si>
  <si>
    <r>
      <t xml:space="preserve">See the discussion in the "Calculate Layer LDFs from Basic Limit LDFs" recipe in the cookbook for a better look at the adjustment to calculate the adjusted CDF for a layer that we did in cell Q24.
</t>
    </r>
    <r>
      <rPr>
        <b/>
        <sz val="12"/>
        <color theme="1"/>
        <rFont val="Calibri"/>
        <family val="2"/>
        <scheme val="minor"/>
      </rPr>
      <t>Part b</t>
    </r>
    <r>
      <rPr>
        <sz val="12"/>
        <color theme="1"/>
        <rFont val="Calibri"/>
        <family val="2"/>
        <scheme val="minor"/>
      </rPr>
      <t xml:space="preserve"> - In this problem, we're calculating the XSLDF. A smaller parameter (theta), means the LEVs at different limits will be closer together and closer to the unlimited amount. There is less capping at the limits.  This means the denominator of the XSLDF will get very small (smaller than the numerator because of less capping at earlier maturities) and leverage the XSLDF.
You can see some of this if you compare example 1 and 2 in the paper. On pg. 12, Sahasrabuddhe discusses the comparison of the two examples which have different claim size means.</t>
    </r>
  </si>
  <si>
    <t>An exponential claim size model was used to produce the limited expected values in the tables above. Explain how the estimate of the ultimate loss to the insurer would change if a smaller model parameter was used.</t>
  </si>
  <si>
    <t>1 point</t>
  </si>
  <si>
    <t>Calculate the expected ultimate loss to the insurer for accident year 2017 as of December 31, 2018 using the procedure outlined by Sahasrabuddhe.</t>
  </si>
  <si>
    <t>•  Accident year 2017 reported losses limited to the $2,000,000 deductible at 24 months are:</t>
  </si>
  <si>
    <t>•  Accident year 2017 reported losses excess of the $2,000,000 deductible at 24 months are:</t>
  </si>
  <si>
    <t>•  Assume there is no development after 48 months.</t>
  </si>
  <si>
    <r>
      <t xml:space="preserve">A smaller theta means a smaller percentage of losses will be capped at the limit and there will be a smaller difference in the limited expected values between the various limits.  When creating the age-ultimate factor for the 2M-unlimited layer, we consider the change in LEVs between the unlimited layer and the 2M layer at ultimate (in the numerator of the adjustment) and at 24 months (in the denominator).  A smaller theta will produce an even smaller denominator (that outpaces the reduction in the numerator on a percentage basis) creating a leveraged effect. </t>
    </r>
    <r>
      <rPr>
        <b/>
        <sz val="12"/>
        <color theme="1"/>
        <rFont val="Calibri"/>
        <family val="2"/>
        <scheme val="minor"/>
      </rPr>
      <t>This creates a larger LDF and larger ultimate losses for the insurer.</t>
    </r>
  </si>
  <si>
    <t>AY 2011 Ultimate XS Loss</t>
  </si>
  <si>
    <t>&lt;-F_4,2^500*[((LEV(Unlim_3,4)-LEV(2M_3,4))/ LEV(500_4,4)]/ [((LEV(Unlim_3,2)-LEV(2M_3,2))/ LEV(500_4,2)]</t>
  </si>
  <si>
    <t xml:space="preserve">CDF 24-Ult (Excess 2M) = </t>
  </si>
  <si>
    <t>Unlimited Expected Values ($000) 
as of (months)</t>
  </si>
  <si>
    <t>Limited Expected Values ($000) 
at $2,000,000 Limit as of (months)</t>
  </si>
  <si>
    <t>Accident 
Year</t>
  </si>
  <si>
    <t>Calculate 24-Ult CDF for the Excess of 2M layer at AY 2017 cost levels by adjusting the basic limit CDF:</t>
  </si>
  <si>
    <t>Limited Expected Values ($000) 
at $1,000,000 Limit as of (months)</t>
  </si>
  <si>
    <t>Limited Expected Values ($000) 
at $500,000 Basic Limit as of (months)</t>
  </si>
  <si>
    <t>Triangle above created using:
 Adj Loss_i,j = Raw Loss_i,j * (LEV_n,j @ Basic Limit)/(LEV_i,j @ Data Limit)</t>
  </si>
  <si>
    <t>Cumulative Reported Losses ($000) 
Limited to $1,000,000 as of (months)</t>
  </si>
  <si>
    <t>Given the following information as of December 31, 2018:</t>
  </si>
  <si>
    <t>Calculate the loss triangle adjusted to basic limits and the latest exposure year (2018) cost level:</t>
  </si>
  <si>
    <t>An insurer writes high deductible workers compensation policies with a per-occurrence deductible of $2,000,000.</t>
  </si>
  <si>
    <t>Q #4</t>
  </si>
  <si>
    <t>Spring 2019</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</si>
  <si>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</si>
  <si>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 AY 2011 reported losses in the layer L(5000, 10000):</t>
  </si>
  <si>
    <t>Cumulative Ground-Up Reported Losses ($000) – Limited to $500,000</t>
  </si>
  <si>
    <t>Cumulative Ground-Up Reported Losses ($000) – Limited to $750,000</t>
  </si>
  <si>
    <t>Claims Size Unlimited Means ($)</t>
  </si>
  <si>
    <t>Cumulative Reported Losses – Limited at $1,000,000</t>
  </si>
  <si>
    <t>Cumulative Reported Losses – Limited at $250,000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</si>
</sst>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43" formatCode="_(* #,##0.00_);_(* \(#,##0.00\);_(* &quot;-&quot;??_);_(@_)"/>
    <numFmt numFmtId="164" formatCode="0.000"/>
    <numFmt numFmtId="165" formatCode="_-* #,##0.000_-;\-* #,##0.000_-;_-* &quot;-&quot;??_-;_-@_-"/>
    <numFmt numFmtId="166" formatCode="_-* #,##0_-;\-* #,##0_-;_-* &quot;-&quot;??_-;_-@_-"/>
    <numFmt numFmtId="167" formatCode="_-* #,##0.000_-;\-* #,##0.000_-;_-* &quot;-&quot;???_-;_-@_-"/>
    <numFmt numFmtId="168" formatCode="0.0%"/>
    <numFmt numFmtId="169" formatCode="0.0"/>
    <numFmt numFmtId="170" formatCode="#,##0.000"/>
    <numFmt numFmtId="171" formatCode="_(* #,##0.000_);_(* \(#,##0.000\);_(* &quot;-&quot;??_);_(@_)"/>
    <numFmt numFmtId="172" formatCode="#,000"/>
    <numFmt numFmtId="173" formatCode="_(* #,##0_);_(* \(#,##0\);_(* &quot;-&quot;??_);_(@_)"/>
    <numFmt numFmtId="174" formatCode="[$$-409]#,##0"/>
  </numFmts>
  <fonts count="35"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sz val="11"/>
      <color theme="1"/>
      <name val="Calibri"/>
      <family val="2"/>
    </font>
    <font>
      <u/>
      <sz val="12"/>
      <color theme="1"/>
      <name val="Calibri"/>
      <family val="2"/>
    </font>
    <font>
      <sz val="12"/>
      <name val="Calibri"/>
      <family val="2"/>
    </font>
    <font>
      <b/>
      <sz val="14"/>
      <color rgb="FF000000"/>
      <name val="Calibri"/>
      <family val="2"/>
    </font>
    <font>
      <b/>
      <sz val="12"/>
      <name val="Calibri"/>
      <family val="2"/>
    </font>
    <font>
      <b/>
      <sz val="12"/>
      <color rgb="FF000000"/>
      <name val="Calibri"/>
      <family val="2"/>
    </font>
    <font>
      <sz val="12"/>
      <color rgb="FF000000"/>
      <name val="Calibri"/>
      <family val="2"/>
    </font>
    <font>
      <b/>
      <sz val="12"/>
      <color theme="1"/>
      <name val="Calibri"/>
      <family val="2"/>
    </font>
    <font>
      <u/>
      <sz val="12"/>
      <color rgb="FF000000"/>
      <name val="Calibri"/>
      <family val="2"/>
    </font>
    <font>
      <sz val="11"/>
      <color rgb="FF000000"/>
      <name val="Calibri"/>
      <family val="2"/>
    </font>
    <font>
      <b/>
      <sz val="14"/>
      <color rgb="FF000000"/>
      <name val="Calibri"/>
      <family val="2"/>
      <scheme val="minor"/>
    </font>
    <font>
      <sz val="11"/>
      <color theme="1"/>
      <name val="Calibri"/>
      <family val="2"/>
      <scheme val="minor"/>
    </font>
    <font>
      <u/>
      <sz val="12"/>
      <color theme="10"/>
      <name val="Calibri"/>
      <family val="2"/>
    </font>
    <font>
      <b/>
      <sz val="16"/>
      <color theme="1"/>
      <name val="Calibri"/>
      <family val="2"/>
    </font>
    <font>
      <u/>
      <sz val="14"/>
      <color theme="1"/>
      <name val="Calibri"/>
      <family val="2"/>
    </font>
    <font>
      <b/>
      <sz val="14"/>
      <color theme="1"/>
      <name val="Calibri"/>
      <family val="2"/>
      <scheme val="minor"/>
    </font>
    <font>
      <b/>
      <u/>
      <sz val="12"/>
      <color theme="1"/>
      <name val="Calibri (Body)"/>
    </font>
    <font>
      <b/>
      <sz val="12"/>
      <color theme="1"/>
      <name val="Calibri"/>
      <family val="2"/>
      <scheme val="minor"/>
    </font>
    <font>
      <u/>
      <sz val="12"/>
      <color theme="1"/>
      <name val="Calibri"/>
      <family val="2"/>
      <scheme val="minor"/>
    </font>
    <font>
      <sz val="12"/>
      <color theme="1"/>
      <name val="Calibri (Body)"/>
    </font>
    <font>
      <i/>
      <sz val="12"/>
      <color theme="1"/>
      <name val="Calibri"/>
      <family val="2"/>
      <scheme val="minor"/>
    </font>
    <font>
      <sz val="12"/>
      <color rgb="FF000000"/>
      <name val="Calibri"/>
      <family val="2"/>
      <scheme val="minor"/>
    </font>
    <font>
      <i/>
      <vertAlign val="superscript"/>
      <sz val="12"/>
      <color theme="1"/>
      <name val="Calibri"/>
      <family val="2"/>
      <scheme val="minor"/>
    </font>
    <font>
      <i/>
      <sz val="12"/>
      <color theme="1"/>
      <name val="Calibri"/>
      <family val="2"/>
    </font>
    <font>
      <u/>
      <sz val="12"/>
      <color theme="1"/>
      <name val="Calibri (Body)"/>
    </font>
  </fonts>
  <fills count="6">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0" tint="-4.9989318521683403E-2"/>
        <bgColor rgb="FF000000"/>
      </patternFill>
    </fill>
    <fill>
      <patternFill patternType="solid">
        <fgColor theme="8" tint="0.59999389629810485"/>
        <bgColor indexed="64"/>
      </patternFill>
    </fill>
  </fills>
  <borders count="37">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auto="1"/>
      </right>
      <top style="dashed">
        <color auto="1"/>
      </top>
      <bottom/>
      <diagonal/>
    </border>
    <border>
      <left/>
      <right/>
      <top style="dashed">
        <color auto="1"/>
      </top>
      <bottom/>
      <diagonal/>
    </border>
    <border>
      <left/>
      <right style="medium">
        <color rgb="FF000000"/>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dashed">
        <color indexed="64"/>
      </top>
      <bottom/>
      <diagonal/>
    </border>
    <border>
      <left/>
      <right/>
      <top/>
      <bottom style="dashed">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6">
    <xf numFmtId="0" fontId="0" fillId="0" borderId="0"/>
    <xf numFmtId="43" fontId="7" fillId="0" borderId="0" applyFont="0" applyFill="0" applyBorder="0" applyAlignment="0" applyProtection="0"/>
    <xf numFmtId="9" fontId="7" fillId="0" borderId="0" applyFont="0" applyFill="0" applyBorder="0" applyAlignment="0" applyProtection="0"/>
    <xf numFmtId="0" fontId="21" fillId="0" borderId="0"/>
    <xf numFmtId="0" fontId="3" fillId="0" borderId="0"/>
    <xf numFmtId="0" fontId="22" fillId="0" borderId="0" applyNumberFormat="0" applyFill="0" applyBorder="0" applyAlignment="0" applyProtection="0"/>
  </cellStyleXfs>
  <cellXfs count="329">
    <xf numFmtId="0" fontId="0" fillId="0" borderId="0" xfId="0"/>
    <xf numFmtId="0" fontId="8" fillId="2" borderId="1" xfId="0" applyFont="1" applyFill="1" applyBorder="1"/>
    <xf numFmtId="2" fontId="9" fillId="2" borderId="1" xfId="0" applyNumberFormat="1" applyFont="1" applyFill="1" applyBorder="1" applyAlignment="1">
      <alignment horizontal="left"/>
    </xf>
    <xf numFmtId="0" fontId="8" fillId="0" borderId="0" xfId="0" applyFont="1"/>
    <xf numFmtId="0" fontId="10" fillId="0" borderId="0" xfId="0" applyFont="1"/>
    <xf numFmtId="3" fontId="12" fillId="2" borderId="0" xfId="0" applyNumberFormat="1" applyFont="1" applyFill="1" applyAlignment="1">
      <alignment horizontal="center" vertical="center" wrapText="1"/>
    </xf>
    <xf numFmtId="0" fontId="12" fillId="2" borderId="0" xfId="0" applyFont="1" applyFill="1" applyAlignment="1">
      <alignment horizontal="center" vertical="center" wrapText="1"/>
    </xf>
    <xf numFmtId="0" fontId="12" fillId="2" borderId="3" xfId="0" applyFont="1" applyFill="1" applyBorder="1" applyAlignment="1">
      <alignment horizontal="center" wrapText="1"/>
    </xf>
    <xf numFmtId="0" fontId="12" fillId="2" borderId="5" xfId="0" applyFont="1" applyFill="1" applyBorder="1" applyAlignment="1">
      <alignment horizontal="center" wrapText="1"/>
    </xf>
    <xf numFmtId="0" fontId="12" fillId="2" borderId="4" xfId="0" applyFont="1" applyFill="1" applyBorder="1" applyAlignment="1">
      <alignment horizontal="center" vertical="center" wrapText="1"/>
    </xf>
    <xf numFmtId="0" fontId="13" fillId="0" borderId="0" xfId="0" applyFont="1"/>
    <xf numFmtId="165" fontId="12" fillId="0" borderId="0" xfId="1" applyNumberFormat="1" applyFont="1" applyFill="1" applyBorder="1" applyAlignment="1" applyProtection="1">
      <alignment horizontal="right"/>
    </xf>
    <xf numFmtId="166" fontId="12" fillId="0" borderId="0" xfId="1" applyNumberFormat="1" applyFont="1" applyFill="1" applyBorder="1" applyAlignment="1" applyProtection="1">
      <alignment horizontal="right"/>
    </xf>
    <xf numFmtId="165" fontId="14" fillId="0" borderId="0" xfId="1" applyNumberFormat="1" applyFont="1" applyFill="1" applyBorder="1" applyAlignment="1" applyProtection="1">
      <alignment horizontal="right"/>
    </xf>
    <xf numFmtId="0" fontId="15" fillId="0" borderId="0" xfId="0" applyFont="1"/>
    <xf numFmtId="0" fontId="16" fillId="2" borderId="0" xfId="0" applyFont="1" applyFill="1" applyAlignment="1">
      <alignment horizontal="center" vertical="center" wrapText="1"/>
    </xf>
    <xf numFmtId="165" fontId="12" fillId="2" borderId="0" xfId="1" applyNumberFormat="1" applyFont="1" applyFill="1" applyBorder="1" applyAlignment="1" applyProtection="1"/>
    <xf numFmtId="6" fontId="16" fillId="0" borderId="0" xfId="0" applyNumberFormat="1" applyFont="1" applyAlignment="1">
      <alignment horizontal="center" vertic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4" xfId="0" applyFont="1" applyBorder="1" applyAlignment="1">
      <alignment horizontal="center" vertical="center" wrapText="1"/>
    </xf>
    <xf numFmtId="165" fontId="16" fillId="0" borderId="0" xfId="0" applyNumberFormat="1" applyFont="1" applyAlignment="1">
      <alignment horizontal="center" vertical="center" wrapText="1"/>
    </xf>
    <xf numFmtId="165" fontId="16" fillId="0" borderId="3" xfId="0" applyNumberFormat="1" applyFont="1" applyBorder="1" applyAlignment="1">
      <alignment horizontal="center" vertical="center" wrapText="1"/>
    </xf>
    <xf numFmtId="6" fontId="16" fillId="0" borderId="3" xfId="0" applyNumberFormat="1" applyFont="1" applyBorder="1" applyAlignment="1">
      <alignment horizontal="center" vertical="center" wrapText="1"/>
    </xf>
    <xf numFmtId="0" fontId="15" fillId="0" borderId="4" xfId="0" applyFont="1" applyBorder="1" applyAlignment="1">
      <alignment horizontal="center" vertical="center" wrapText="1"/>
    </xf>
    <xf numFmtId="0" fontId="15" fillId="0" borderId="0" xfId="0" applyFont="1" applyAlignment="1">
      <alignment horizontal="center" vertical="center" wrapText="1"/>
    </xf>
    <xf numFmtId="6" fontId="15" fillId="0" borderId="0" xfId="0" applyNumberFormat="1" applyFont="1" applyAlignment="1">
      <alignment horizontal="center" vertical="center" wrapText="1"/>
    </xf>
    <xf numFmtId="6" fontId="12" fillId="0" borderId="0" xfId="1" applyNumberFormat="1" applyFont="1" applyFill="1" applyBorder="1" applyAlignment="1" applyProtection="1">
      <alignment horizontal="right"/>
    </xf>
    <xf numFmtId="3" fontId="16" fillId="0" borderId="3" xfId="0" applyNumberFormat="1" applyFont="1" applyBorder="1" applyAlignment="1">
      <alignment horizontal="center" vertical="center" wrapText="1"/>
    </xf>
    <xf numFmtId="0" fontId="12" fillId="0" borderId="5" xfId="0" applyFont="1" applyBorder="1" applyAlignment="1">
      <alignment horizontal="center" vertical="center" wrapText="1"/>
    </xf>
    <xf numFmtId="3" fontId="16" fillId="0" borderId="0" xfId="0" applyNumberFormat="1" applyFont="1" applyAlignment="1">
      <alignment horizontal="center" vertical="center" wrapText="1"/>
    </xf>
    <xf numFmtId="0" fontId="12" fillId="0" borderId="4" xfId="0" applyFont="1" applyBorder="1" applyAlignment="1">
      <alignment horizontal="center" vertical="center" wrapText="1"/>
    </xf>
    <xf numFmtId="168" fontId="16" fillId="0" borderId="0" xfId="0" applyNumberFormat="1" applyFont="1" applyAlignment="1">
      <alignment horizontal="center" vertical="center" wrapText="1"/>
    </xf>
    <xf numFmtId="0" fontId="16" fillId="0" borderId="0" xfId="0" applyFont="1" applyAlignment="1">
      <alignment horizontal="center" vertical="center" wrapText="1"/>
    </xf>
    <xf numFmtId="164" fontId="16" fillId="2" borderId="0" xfId="0" applyNumberFormat="1" applyFont="1" applyFill="1" applyAlignment="1">
      <alignment horizontal="center" vertical="center" wrapText="1"/>
    </xf>
    <xf numFmtId="169" fontId="16" fillId="2" borderId="0" xfId="0" applyNumberFormat="1" applyFont="1" applyFill="1" applyAlignment="1">
      <alignment horizontal="center" vertical="center" wrapText="1"/>
    </xf>
    <xf numFmtId="3" fontId="16" fillId="2" borderId="0" xfId="0" applyNumberFormat="1" applyFont="1" applyFill="1" applyAlignment="1">
      <alignment horizontal="center" vertical="center" wrapText="1"/>
    </xf>
    <xf numFmtId="0" fontId="17" fillId="2" borderId="17" xfId="0" applyFont="1" applyFill="1" applyBorder="1" applyAlignment="1">
      <alignment horizontal="center" vertical="center"/>
    </xf>
    <xf numFmtId="0" fontId="11" fillId="2" borderId="0" xfId="0" applyFont="1" applyFill="1" applyAlignment="1">
      <alignment horizontal="center"/>
    </xf>
    <xf numFmtId="0" fontId="17" fillId="0" borderId="0" xfId="0" applyFont="1"/>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3" xfId="0" applyFont="1" applyFill="1" applyBorder="1" applyAlignment="1">
      <alignment horizontal="center" wrapText="1"/>
    </xf>
    <xf numFmtId="0" fontId="16" fillId="2" borderId="3" xfId="0" applyFont="1" applyFill="1" applyBorder="1" applyAlignment="1">
      <alignment horizontal="center" vertical="center" wrapText="1"/>
    </xf>
    <xf numFmtId="0" fontId="16" fillId="2" borderId="4" xfId="0" applyFont="1" applyFill="1" applyBorder="1" applyAlignment="1">
      <alignment horizontal="right" vertical="center"/>
    </xf>
    <xf numFmtId="0" fontId="16" fillId="2" borderId="5" xfId="0" applyFont="1" applyFill="1" applyBorder="1" applyAlignment="1">
      <alignment horizontal="center" wrapText="1"/>
    </xf>
    <xf numFmtId="0" fontId="6" fillId="2" borderId="17" xfId="0" applyFont="1" applyFill="1" applyBorder="1" applyAlignment="1">
      <alignment horizontal="center" vertical="center"/>
    </xf>
    <xf numFmtId="0" fontId="6" fillId="2" borderId="0" xfId="0" applyFont="1" applyFill="1"/>
    <xf numFmtId="0" fontId="6" fillId="2" borderId="2" xfId="0" applyFont="1" applyFill="1" applyBorder="1"/>
    <xf numFmtId="0" fontId="6" fillId="0" borderId="0" xfId="0" applyFont="1"/>
    <xf numFmtId="6" fontId="6" fillId="0" borderId="0" xfId="0" applyNumberFormat="1" applyFont="1" applyAlignment="1">
      <alignment horizontal="center"/>
    </xf>
    <xf numFmtId="0" fontId="6" fillId="0" borderId="0" xfId="0" applyFont="1" applyAlignment="1">
      <alignment horizontal="centerContinuous"/>
    </xf>
    <xf numFmtId="0" fontId="6"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64" fontId="6" fillId="0" borderId="0" xfId="0" applyNumberFormat="1" applyFont="1"/>
    <xf numFmtId="6" fontId="6" fillId="2" borderId="0" xfId="0" applyNumberFormat="1" applyFont="1" applyFill="1" applyAlignment="1">
      <alignment horizontal="center"/>
    </xf>
    <xf numFmtId="9" fontId="6" fillId="2" borderId="0" xfId="0" applyNumberFormat="1" applyFont="1" applyFill="1" applyAlignment="1">
      <alignment horizontal="center"/>
    </xf>
    <xf numFmtId="166" fontId="6" fillId="0" borderId="0" xfId="1" applyNumberFormat="1" applyFont="1"/>
    <xf numFmtId="0" fontId="6" fillId="0" borderId="6" xfId="0" applyFont="1" applyBorder="1" applyAlignment="1">
      <alignment horizontal="center"/>
    </xf>
    <xf numFmtId="166" fontId="6" fillId="0" borderId="7" xfId="1" applyNumberFormat="1" applyFont="1" applyBorder="1"/>
    <xf numFmtId="0" fontId="6" fillId="2" borderId="3" xfId="0" applyFont="1" applyFill="1" applyBorder="1"/>
    <xf numFmtId="0" fontId="6" fillId="2" borderId="5"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right"/>
    </xf>
    <xf numFmtId="3" fontId="6" fillId="2" borderId="0" xfId="0" applyNumberFormat="1" applyFont="1" applyFill="1" applyAlignment="1">
      <alignment horizontal="center"/>
    </xf>
    <xf numFmtId="0" fontId="6" fillId="0" borderId="0" xfId="0" applyFont="1" applyAlignment="1">
      <alignment horizontal="center"/>
    </xf>
    <xf numFmtId="0" fontId="17" fillId="0" borderId="9" xfId="0" applyFont="1" applyBorder="1"/>
    <xf numFmtId="164" fontId="17" fillId="0" borderId="10" xfId="0" applyNumberFormat="1" applyFont="1" applyBorder="1"/>
    <xf numFmtId="165" fontId="17" fillId="0" borderId="11" xfId="1" applyNumberFormat="1" applyFont="1" applyBorder="1"/>
    <xf numFmtId="164" fontId="17" fillId="0" borderId="0" xfId="0" applyNumberFormat="1" applyFont="1"/>
    <xf numFmtId="165" fontId="17" fillId="0" borderId="0" xfId="1" applyNumberFormat="1" applyFont="1"/>
    <xf numFmtId="0" fontId="6" fillId="0" borderId="4" xfId="0" applyFont="1" applyBorder="1"/>
    <xf numFmtId="165" fontId="6" fillId="0" borderId="0" xfId="1" applyNumberFormat="1" applyFont="1"/>
    <xf numFmtId="0" fontId="16" fillId="0" borderId="4" xfId="0" applyFont="1" applyBorder="1" applyAlignment="1">
      <alignment horizontal="center"/>
    </xf>
    <xf numFmtId="0" fontId="16" fillId="3" borderId="0" xfId="0" applyFont="1" applyFill="1"/>
    <xf numFmtId="0" fontId="16" fillId="3" borderId="2" xfId="0" applyFont="1" applyFill="1" applyBorder="1"/>
    <xf numFmtId="0" fontId="16" fillId="0" borderId="0" xfId="0" applyFont="1"/>
    <xf numFmtId="2" fontId="9" fillId="3" borderId="1" xfId="0" applyNumberFormat="1" applyFont="1" applyFill="1" applyBorder="1" applyAlignment="1">
      <alignment horizontal="left"/>
    </xf>
    <xf numFmtId="0" fontId="6" fillId="0" borderId="12" xfId="0" applyFont="1" applyBorder="1" applyAlignment="1">
      <alignment horizontal="center"/>
    </xf>
    <xf numFmtId="0" fontId="6" fillId="0" borderId="13" xfId="0" applyFont="1" applyBorder="1" applyAlignment="1">
      <alignment horizontal="center"/>
    </xf>
    <xf numFmtId="166" fontId="6" fillId="0" borderId="0" xfId="1" applyNumberFormat="1" applyFont="1" applyAlignment="1">
      <alignment horizontal="center"/>
    </xf>
    <xf numFmtId="168" fontId="6" fillId="0" borderId="0" xfId="2" applyNumberFormat="1" applyFont="1" applyAlignment="1">
      <alignment horizontal="center"/>
    </xf>
    <xf numFmtId="169" fontId="6" fillId="0" borderId="0" xfId="0" applyNumberFormat="1" applyFont="1" applyAlignment="1">
      <alignment horizontal="center"/>
    </xf>
    <xf numFmtId="6" fontId="16" fillId="3" borderId="0" xfId="0" applyNumberFormat="1" applyFont="1" applyFill="1" applyAlignment="1">
      <alignment horizontal="center"/>
    </xf>
    <xf numFmtId="9" fontId="16" fillId="3" borderId="0" xfId="0" applyNumberFormat="1" applyFont="1" applyFill="1" applyAlignment="1">
      <alignment horizontal="center"/>
    </xf>
    <xf numFmtId="0" fontId="15" fillId="0" borderId="0" xfId="0" applyFont="1" applyAlignment="1">
      <alignment horizontal="left"/>
    </xf>
    <xf numFmtId="166" fontId="12" fillId="0" borderId="0" xfId="0" applyNumberFormat="1" applyFont="1" applyAlignment="1">
      <alignment horizontal="right"/>
    </xf>
    <xf numFmtId="0" fontId="16" fillId="0" borderId="0" xfId="0" applyFont="1" applyAlignment="1">
      <alignment horizontal="left" wrapText="1"/>
    </xf>
    <xf numFmtId="0" fontId="16" fillId="0" borderId="0" xfId="0" applyFont="1" applyAlignment="1">
      <alignment horizontal="center"/>
    </xf>
    <xf numFmtId="0" fontId="16" fillId="4" borderId="0" xfId="0" applyFont="1" applyFill="1"/>
    <xf numFmtId="0" fontId="16" fillId="3" borderId="0" xfId="0" applyFont="1" applyFill="1" applyAlignment="1">
      <alignment vertical="center"/>
    </xf>
    <xf numFmtId="0" fontId="16" fillId="4" borderId="0" xfId="0" applyFont="1" applyFill="1" applyAlignment="1">
      <alignment vertical="center"/>
    </xf>
    <xf numFmtId="0" fontId="16" fillId="3" borderId="2" xfId="0" applyFont="1" applyFill="1" applyBorder="1" applyAlignment="1">
      <alignment vertical="center"/>
    </xf>
    <xf numFmtId="2" fontId="9" fillId="3" borderId="1" xfId="0" applyNumberFormat="1" applyFont="1" applyFill="1" applyBorder="1" applyAlignment="1">
      <alignment horizontal="left" vertical="center"/>
    </xf>
    <xf numFmtId="0" fontId="16" fillId="0" borderId="0" xfId="0" applyFont="1" applyAlignment="1">
      <alignment horizontal="left"/>
    </xf>
    <xf numFmtId="166" fontId="12" fillId="0" borderId="0" xfId="0" applyNumberFormat="1" applyFont="1" applyAlignment="1">
      <alignment horizontal="left"/>
    </xf>
    <xf numFmtId="0" fontId="6" fillId="0" borderId="0" xfId="0" applyFont="1" applyAlignment="1">
      <alignment horizontal="left"/>
    </xf>
    <xf numFmtId="0" fontId="16" fillId="3" borderId="8" xfId="0" applyFont="1" applyFill="1" applyBorder="1"/>
    <xf numFmtId="166" fontId="12" fillId="0" borderId="0" xfId="0" applyNumberFormat="1" applyFont="1" applyAlignment="1">
      <alignment horizontal="center"/>
    </xf>
    <xf numFmtId="165" fontId="6" fillId="0" borderId="0" xfId="0" applyNumberFormat="1" applyFont="1" applyAlignment="1">
      <alignment horizontal="center"/>
    </xf>
    <xf numFmtId="167" fontId="6" fillId="0" borderId="0" xfId="0" applyNumberFormat="1" applyFont="1"/>
    <xf numFmtId="166" fontId="17" fillId="0" borderId="14" xfId="0" applyNumberFormat="1" applyFont="1" applyBorder="1"/>
    <xf numFmtId="165" fontId="6" fillId="0" borderId="3" xfId="0" applyNumberFormat="1" applyFont="1" applyBorder="1" applyAlignment="1">
      <alignment horizontal="center"/>
    </xf>
    <xf numFmtId="167" fontId="6" fillId="0" borderId="3" xfId="0" applyNumberFormat="1" applyFont="1" applyBorder="1"/>
    <xf numFmtId="166" fontId="17" fillId="0" borderId="15" xfId="0" applyNumberFormat="1" applyFont="1" applyBorder="1"/>
    <xf numFmtId="166" fontId="14" fillId="0" borderId="0" xfId="0" applyNumberFormat="1" applyFont="1" applyAlignment="1">
      <alignment horizontal="right"/>
    </xf>
    <xf numFmtId="166" fontId="14" fillId="0" borderId="16" xfId="0" applyNumberFormat="1" applyFont="1" applyBorder="1" applyAlignment="1">
      <alignment horizontal="right"/>
    </xf>
    <xf numFmtId="0" fontId="19" fillId="0" borderId="0" xfId="0" applyFont="1"/>
    <xf numFmtId="0" fontId="16" fillId="0" borderId="0" xfId="0" applyFont="1" applyAlignment="1">
      <alignment vertical="center"/>
    </xf>
    <xf numFmtId="0" fontId="16" fillId="0" borderId="0" xfId="0" applyFont="1" applyAlignment="1">
      <alignment wrapText="1"/>
    </xf>
    <xf numFmtId="9" fontId="6" fillId="0" borderId="0" xfId="2" applyFont="1"/>
    <xf numFmtId="9" fontId="6" fillId="0" borderId="0" xfId="0" applyNumberFormat="1" applyFont="1"/>
    <xf numFmtId="164" fontId="16" fillId="0" borderId="0" xfId="0" applyNumberFormat="1" applyFont="1"/>
    <xf numFmtId="0" fontId="16" fillId="3" borderId="17" xfId="0" applyFont="1" applyFill="1" applyBorder="1"/>
    <xf numFmtId="0" fontId="16" fillId="3" borderId="19" xfId="0" applyFont="1" applyFill="1" applyBorder="1"/>
    <xf numFmtId="0" fontId="12" fillId="3" borderId="5" xfId="0" applyFont="1" applyFill="1" applyBorder="1" applyAlignment="1">
      <alignment horizontal="center" wrapText="1"/>
    </xf>
    <xf numFmtId="0" fontId="12" fillId="3" borderId="3" xfId="0" applyFont="1" applyFill="1" applyBorder="1" applyAlignment="1">
      <alignment horizontal="center" wrapText="1"/>
    </xf>
    <xf numFmtId="0" fontId="12" fillId="3" borderId="4" xfId="0" applyFont="1" applyFill="1" applyBorder="1" applyAlignment="1">
      <alignment horizontal="center" vertical="center" wrapText="1"/>
    </xf>
    <xf numFmtId="3" fontId="12" fillId="3" borderId="0" xfId="0" applyNumberFormat="1" applyFont="1" applyFill="1" applyAlignment="1">
      <alignment horizontal="center" vertical="center" wrapText="1"/>
    </xf>
    <xf numFmtId="0" fontId="16" fillId="0" borderId="0" xfId="0" applyFont="1" applyAlignment="1">
      <alignment horizontal="centerContinuous"/>
    </xf>
    <xf numFmtId="0" fontId="12" fillId="3" borderId="0" xfId="0" applyFont="1" applyFill="1" applyAlignment="1">
      <alignment horizontal="center" vertical="center" wrapText="1"/>
    </xf>
    <xf numFmtId="0" fontId="16" fillId="0" borderId="5" xfId="0" applyFont="1" applyBorder="1" applyAlignment="1">
      <alignment horizontal="center"/>
    </xf>
    <xf numFmtId="0" fontId="16" fillId="0" borderId="3" xfId="0" applyFont="1" applyBorder="1" applyAlignment="1">
      <alignment horizontal="center"/>
    </xf>
    <xf numFmtId="165" fontId="12" fillId="0" borderId="0" xfId="0" applyNumberFormat="1" applyFont="1" applyAlignment="1">
      <alignment horizontal="right"/>
    </xf>
    <xf numFmtId="166" fontId="16" fillId="0" borderId="0" xfId="0" applyNumberFormat="1" applyFont="1"/>
    <xf numFmtId="0" fontId="16" fillId="0" borderId="6" xfId="0" applyFont="1" applyBorder="1" applyAlignment="1">
      <alignment horizontal="center"/>
    </xf>
    <xf numFmtId="166" fontId="16" fillId="0" borderId="7" xfId="0" applyNumberFormat="1" applyFont="1" applyBorder="1"/>
    <xf numFmtId="0" fontId="16" fillId="3" borderId="5" xfId="0" applyFont="1" applyFill="1" applyBorder="1" applyAlignment="1">
      <alignment horizontal="center"/>
    </xf>
    <xf numFmtId="0" fontId="16" fillId="3" borderId="3" xfId="0" applyFont="1" applyFill="1" applyBorder="1" applyAlignment="1">
      <alignment horizontal="center"/>
    </xf>
    <xf numFmtId="0" fontId="16" fillId="3" borderId="4" xfId="0" applyFont="1" applyFill="1" applyBorder="1" applyAlignment="1">
      <alignment horizontal="right"/>
    </xf>
    <xf numFmtId="3" fontId="16" fillId="3" borderId="0" xfId="0" applyNumberFormat="1" applyFont="1" applyFill="1" applyAlignment="1">
      <alignment horizontal="center"/>
    </xf>
    <xf numFmtId="2" fontId="9" fillId="4" borderId="1" xfId="0" applyNumberFormat="1" applyFont="1" applyFill="1" applyBorder="1" applyAlignment="1">
      <alignment horizontal="left"/>
    </xf>
    <xf numFmtId="0" fontId="16" fillId="4" borderId="1" xfId="0" applyFont="1" applyFill="1" applyBorder="1"/>
    <xf numFmtId="0" fontId="15" fillId="0" borderId="4" xfId="0" applyFont="1" applyBorder="1"/>
    <xf numFmtId="165" fontId="17" fillId="0" borderId="0" xfId="1" applyNumberFormat="1" applyFont="1" applyBorder="1"/>
    <xf numFmtId="164" fontId="15" fillId="0" borderId="0" xfId="0" applyNumberFormat="1" applyFont="1"/>
    <xf numFmtId="165" fontId="15" fillId="0" borderId="0" xfId="0" applyNumberFormat="1" applyFont="1"/>
    <xf numFmtId="0" fontId="17" fillId="0" borderId="0" xfId="0" applyFont="1" applyAlignment="1">
      <alignment horizontal="centerContinuous"/>
    </xf>
    <xf numFmtId="0" fontId="16" fillId="0" borderId="0" xfId="0" applyFont="1" applyAlignment="1">
      <alignment vertical="center" wrapText="1"/>
    </xf>
    <xf numFmtId="0" fontId="20" fillId="0" borderId="0" xfId="0" applyFont="1"/>
    <xf numFmtId="0" fontId="5" fillId="0" borderId="0" xfId="0" applyFont="1"/>
    <xf numFmtId="166" fontId="6" fillId="5" borderId="0" xfId="1" applyNumberFormat="1" applyFont="1" applyFill="1" applyAlignment="1">
      <alignment horizontal="center"/>
    </xf>
    <xf numFmtId="0" fontId="12" fillId="0" borderId="0" xfId="0" applyFont="1" applyAlignment="1">
      <alignment horizontal="center" vertical="center" wrapText="1"/>
    </xf>
    <xf numFmtId="166" fontId="12" fillId="0" borderId="0" xfId="0" applyNumberFormat="1" applyFont="1"/>
    <xf numFmtId="0" fontId="3" fillId="0" borderId="21" xfId="3" applyFont="1" applyBorder="1" applyAlignment="1">
      <alignment horizontal="center" vertical="center"/>
    </xf>
    <xf numFmtId="0" fontId="3" fillId="0" borderId="17" xfId="3" applyFont="1" applyBorder="1" applyAlignment="1">
      <alignment vertical="center" wrapText="1"/>
    </xf>
    <xf numFmtId="0" fontId="17" fillId="0" borderId="17" xfId="3" applyFont="1" applyBorder="1" applyAlignment="1">
      <alignment horizontal="center" vertical="center"/>
    </xf>
    <xf numFmtId="0" fontId="3" fillId="0" borderId="19" xfId="3" applyFont="1" applyBorder="1" applyAlignment="1">
      <alignment horizontal="center" vertical="center"/>
    </xf>
    <xf numFmtId="0" fontId="3" fillId="0" borderId="0" xfId="3" applyFont="1" applyAlignment="1">
      <alignment horizontal="center" vertical="center"/>
    </xf>
    <xf numFmtId="0" fontId="3" fillId="0" borderId="1" xfId="4" applyBorder="1"/>
    <xf numFmtId="0" fontId="3" fillId="0" borderId="0" xfId="4"/>
    <xf numFmtId="0" fontId="3" fillId="0" borderId="2" xfId="4" applyBorder="1"/>
    <xf numFmtId="0" fontId="22" fillId="0" borderId="0" xfId="5" applyBorder="1"/>
    <xf numFmtId="0" fontId="23" fillId="0" borderId="0" xfId="4" applyFont="1"/>
    <xf numFmtId="0" fontId="3" fillId="0" borderId="0" xfId="4" applyAlignment="1">
      <alignment horizontal="left" vertical="top"/>
    </xf>
    <xf numFmtId="0" fontId="24" fillId="0" borderId="0" xfId="4" applyFont="1"/>
    <xf numFmtId="0" fontId="9" fillId="0" borderId="0" xfId="4" applyFont="1" applyAlignment="1">
      <alignment horizontal="left" vertical="top"/>
    </xf>
    <xf numFmtId="0" fontId="3" fillId="0" borderId="22" xfId="3" applyFont="1" applyBorder="1" applyAlignment="1">
      <alignment horizontal="center" vertical="center"/>
    </xf>
    <xf numFmtId="0" fontId="3" fillId="0" borderId="23" xfId="3" applyFont="1" applyBorder="1" applyAlignment="1">
      <alignment horizontal="center" vertical="center"/>
    </xf>
    <xf numFmtId="0" fontId="3" fillId="0" borderId="24" xfId="3" applyFont="1" applyBorder="1" applyAlignment="1">
      <alignment horizontal="center" vertical="center"/>
    </xf>
    <xf numFmtId="0" fontId="0" fillId="0" borderId="0" xfId="0" applyAlignment="1">
      <alignment horizontal="left"/>
    </xf>
    <xf numFmtId="0" fontId="0" fillId="0" borderId="0" xfId="0" quotePrefix="1"/>
    <xf numFmtId="0" fontId="0" fillId="0" borderId="0" xfId="0" applyAlignment="1">
      <alignment horizontal="center"/>
    </xf>
    <xf numFmtId="3" fontId="0" fillId="0" borderId="0" xfId="0" quotePrefix="1" applyNumberFormat="1" applyAlignment="1">
      <alignment horizontal="center"/>
    </xf>
    <xf numFmtId="3" fontId="0" fillId="0" borderId="0" xfId="0" applyNumberFormat="1" applyAlignment="1">
      <alignment horizontal="center"/>
    </xf>
    <xf numFmtId="0" fontId="25" fillId="0" borderId="0" xfId="0" applyFont="1" applyAlignment="1">
      <alignment horizontal="left"/>
    </xf>
    <xf numFmtId="0" fontId="0" fillId="2" borderId="11" xfId="0" applyFill="1" applyBorder="1"/>
    <xf numFmtId="0" fontId="0" fillId="2" borderId="10" xfId="0" applyFill="1" applyBorder="1"/>
    <xf numFmtId="0" fontId="26" fillId="2" borderId="10" xfId="0" applyFont="1" applyFill="1" applyBorder="1"/>
    <xf numFmtId="0" fontId="0" fillId="2" borderId="18" xfId="0" applyFill="1" applyBorder="1"/>
    <xf numFmtId="0" fontId="0" fillId="2" borderId="2" xfId="0" applyFill="1" applyBorder="1"/>
    <xf numFmtId="0" fontId="0" fillId="2" borderId="0" xfId="0" applyFill="1"/>
    <xf numFmtId="0" fontId="0" fillId="2" borderId="0" xfId="0" applyFill="1" applyAlignment="1">
      <alignment horizontal="center"/>
    </xf>
    <xf numFmtId="0" fontId="0" fillId="2" borderId="1" xfId="0" applyFill="1" applyBorder="1"/>
    <xf numFmtId="0" fontId="0" fillId="2" borderId="0" xfId="0" applyFill="1" applyAlignment="1">
      <alignment horizontal="left"/>
    </xf>
    <xf numFmtId="43" fontId="0" fillId="0" borderId="0" xfId="1" applyFont="1" applyAlignment="1">
      <alignment horizontal="center"/>
    </xf>
    <xf numFmtId="3" fontId="0" fillId="0" borderId="11" xfId="0" quotePrefix="1" applyNumberFormat="1" applyBorder="1" applyAlignment="1">
      <alignment horizontal="center"/>
    </xf>
    <xf numFmtId="0" fontId="0" fillId="0" borderId="18" xfId="0" applyBorder="1" applyAlignment="1">
      <alignment horizontal="left"/>
    </xf>
    <xf numFmtId="170" fontId="0" fillId="0" borderId="0" xfId="0" quotePrefix="1" applyNumberFormat="1" applyAlignment="1">
      <alignment horizontal="center"/>
    </xf>
    <xf numFmtId="0" fontId="27" fillId="0" borderId="0" xfId="0" applyFont="1" applyAlignment="1">
      <alignment horizontal="left"/>
    </xf>
    <xf numFmtId="6" fontId="0" fillId="2" borderId="0" xfId="0" applyNumberFormat="1" applyFill="1" applyAlignment="1">
      <alignment horizontal="center"/>
    </xf>
    <xf numFmtId="0" fontId="0" fillId="2" borderId="0" xfId="0" quotePrefix="1" applyFill="1"/>
    <xf numFmtId="3" fontId="7" fillId="0" borderId="11" xfId="1" applyNumberFormat="1" applyFont="1" applyBorder="1" applyAlignment="1">
      <alignment horizontal="center"/>
    </xf>
    <xf numFmtId="3" fontId="0" fillId="0" borderId="18" xfId="0" applyNumberFormat="1" applyBorder="1" applyAlignment="1">
      <alignment horizontal="left"/>
    </xf>
    <xf numFmtId="0" fontId="28" fillId="0" borderId="0" xfId="0" applyFont="1" applyAlignment="1">
      <alignment horizontal="left"/>
    </xf>
    <xf numFmtId="3" fontId="0" fillId="2" borderId="5" xfId="0" applyNumberFormat="1" applyFill="1" applyBorder="1" applyAlignment="1">
      <alignment horizontal="center"/>
    </xf>
    <xf numFmtId="3" fontId="0" fillId="2" borderId="3" xfId="0" applyNumberFormat="1" applyFill="1" applyBorder="1" applyAlignment="1">
      <alignment horizontal="center"/>
    </xf>
    <xf numFmtId="0" fontId="0" fillId="2" borderId="3" xfId="0" applyFill="1" applyBorder="1" applyAlignment="1">
      <alignment horizontal="center"/>
    </xf>
    <xf numFmtId="0" fontId="0" fillId="2" borderId="12" xfId="0" applyFill="1" applyBorder="1" applyAlignment="1">
      <alignment horizontal="center"/>
    </xf>
    <xf numFmtId="3" fontId="0" fillId="2" borderId="4" xfId="0" applyNumberFormat="1" applyFill="1" applyBorder="1" applyAlignment="1">
      <alignment horizontal="center"/>
    </xf>
    <xf numFmtId="3" fontId="0" fillId="2" borderId="0" xfId="0" applyNumberFormat="1" applyFill="1" applyAlignment="1">
      <alignment horizontal="center"/>
    </xf>
    <xf numFmtId="0" fontId="0" fillId="2" borderId="13" xfId="0" applyFill="1" applyBorder="1" applyAlignment="1">
      <alignment horizontal="center"/>
    </xf>
    <xf numFmtId="164" fontId="0" fillId="0" borderId="0" xfId="0" applyNumberFormat="1" applyAlignment="1">
      <alignment horizontal="center"/>
    </xf>
    <xf numFmtId="0" fontId="0" fillId="2" borderId="25" xfId="0" applyFill="1" applyBorder="1" applyAlignment="1">
      <alignment horizontal="center"/>
    </xf>
    <xf numFmtId="0" fontId="0" fillId="2" borderId="26" xfId="0" applyFill="1" applyBorder="1" applyAlignment="1">
      <alignment horizontal="center"/>
    </xf>
    <xf numFmtId="0" fontId="0" fillId="2" borderId="27" xfId="0" applyFill="1"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3" fontId="0" fillId="0" borderId="11" xfId="0" applyNumberFormat="1" applyBorder="1" applyAlignment="1">
      <alignment horizontal="center"/>
    </xf>
    <xf numFmtId="0" fontId="0" fillId="2" borderId="5" xfId="0" applyFill="1" applyBorder="1" applyAlignment="1">
      <alignment horizontal="center"/>
    </xf>
    <xf numFmtId="0" fontId="0" fillId="2" borderId="4" xfId="0" applyFill="1" applyBorder="1" applyAlignment="1">
      <alignment horizontal="center"/>
    </xf>
    <xf numFmtId="171" fontId="0" fillId="0" borderId="0" xfId="1" applyNumberFormat="1" applyFont="1" applyAlignment="1">
      <alignment horizontal="center"/>
    </xf>
    <xf numFmtId="0" fontId="0" fillId="2" borderId="28" xfId="0" applyFill="1" applyBorder="1" applyAlignment="1">
      <alignment horizontal="center"/>
    </xf>
    <xf numFmtId="0" fontId="0" fillId="2" borderId="29" xfId="0" applyFill="1" applyBorder="1" applyAlignment="1">
      <alignment horizontal="center"/>
    </xf>
    <xf numFmtId="0" fontId="25" fillId="0" borderId="0" xfId="0" applyFont="1"/>
    <xf numFmtId="0" fontId="0" fillId="2" borderId="19" xfId="0" applyFill="1" applyBorder="1"/>
    <xf numFmtId="0" fontId="0" fillId="2" borderId="17" xfId="0" applyFill="1" applyBorder="1"/>
    <xf numFmtId="0" fontId="0" fillId="2" borderId="17" xfId="0" applyFill="1" applyBorder="1" applyAlignment="1">
      <alignment horizontal="center"/>
    </xf>
    <xf numFmtId="0" fontId="27" fillId="2" borderId="17" xfId="0" applyFont="1" applyFill="1" applyBorder="1"/>
    <xf numFmtId="0" fontId="26" fillId="2" borderId="0" xfId="0" applyFont="1" applyFill="1"/>
    <xf numFmtId="1" fontId="0" fillId="0" borderId="0" xfId="0" applyNumberFormat="1" applyAlignment="1">
      <alignment horizontal="center"/>
    </xf>
    <xf numFmtId="164" fontId="0" fillId="0" borderId="11" xfId="0" applyNumberFormat="1" applyBorder="1" applyAlignment="1">
      <alignment horizontal="center"/>
    </xf>
    <xf numFmtId="0" fontId="0" fillId="0" borderId="18" xfId="0" applyBorder="1" applyAlignment="1">
      <alignment horizontal="center"/>
    </xf>
    <xf numFmtId="171" fontId="0" fillId="0" borderId="0" xfId="0" applyNumberFormat="1" applyAlignment="1">
      <alignment horizontal="center"/>
    </xf>
    <xf numFmtId="0" fontId="27" fillId="0" borderId="0" xfId="0" applyFont="1"/>
    <xf numFmtId="0" fontId="25" fillId="2" borderId="21" xfId="0" applyFont="1" applyFill="1" applyBorder="1"/>
    <xf numFmtId="0" fontId="0" fillId="0" borderId="0" xfId="0" applyAlignment="1">
      <alignment horizontal="left" wrapText="1"/>
    </xf>
    <xf numFmtId="0" fontId="0" fillId="0" borderId="0" xfId="0" applyAlignment="1">
      <alignment wrapText="1"/>
    </xf>
    <xf numFmtId="0" fontId="29" fillId="0" borderId="0" xfId="0" applyFont="1" applyAlignment="1">
      <alignment horizontal="left"/>
    </xf>
    <xf numFmtId="0" fontId="0" fillId="2" borderId="24" xfId="0" applyFill="1" applyBorder="1" applyAlignment="1">
      <alignment horizontal="left"/>
    </xf>
    <xf numFmtId="0" fontId="0" fillId="2" borderId="23" xfId="0" applyFill="1" applyBorder="1" applyAlignment="1">
      <alignment horizontal="left"/>
    </xf>
    <xf numFmtId="0" fontId="0" fillId="2" borderId="22" xfId="0" applyFill="1" applyBorder="1" applyAlignment="1">
      <alignment horizontal="left"/>
    </xf>
    <xf numFmtId="0" fontId="0" fillId="2" borderId="2" xfId="0" applyFill="1" applyBorder="1" applyAlignment="1">
      <alignment horizontal="left"/>
    </xf>
    <xf numFmtId="0" fontId="0" fillId="2" borderId="1" xfId="0" applyFill="1" applyBorder="1" applyAlignment="1">
      <alignment horizontal="left"/>
    </xf>
    <xf numFmtId="0" fontId="27" fillId="2" borderId="0" xfId="0" applyFont="1" applyFill="1" applyAlignment="1">
      <alignment horizontal="left"/>
    </xf>
    <xf numFmtId="0" fontId="0" fillId="0" borderId="0" xfId="0" quotePrefix="1" applyAlignment="1">
      <alignment horizontal="left"/>
    </xf>
    <xf numFmtId="0" fontId="28" fillId="0" borderId="0" xfId="0" quotePrefix="1" applyFont="1" applyAlignment="1">
      <alignment horizontal="left"/>
    </xf>
    <xf numFmtId="0" fontId="0" fillId="2" borderId="0" xfId="0" quotePrefix="1" applyFill="1" applyAlignment="1">
      <alignment horizontal="left"/>
    </xf>
    <xf numFmtId="0" fontId="0" fillId="2" borderId="0" xfId="0" quotePrefix="1" applyFill="1" applyAlignment="1">
      <alignment horizontal="center"/>
    </xf>
    <xf numFmtId="0" fontId="31" fillId="2" borderId="0" xfId="0" applyFont="1" applyFill="1" applyAlignment="1">
      <alignment horizontal="left"/>
    </xf>
    <xf numFmtId="0" fontId="27" fillId="0" borderId="0" xfId="0" quotePrefix="1" applyFont="1" applyAlignment="1">
      <alignment horizontal="left"/>
    </xf>
    <xf numFmtId="0" fontId="0" fillId="2" borderId="19" xfId="0" applyFill="1" applyBorder="1" applyAlignment="1">
      <alignment horizontal="left"/>
    </xf>
    <xf numFmtId="0" fontId="0" fillId="2" borderId="17" xfId="0" applyFill="1" applyBorder="1" applyAlignment="1">
      <alignment horizontal="left"/>
    </xf>
    <xf numFmtId="0" fontId="0" fillId="0" borderId="0" xfId="0" applyAlignment="1">
      <alignment vertical="center" wrapText="1"/>
    </xf>
    <xf numFmtId="0" fontId="0" fillId="0" borderId="0" xfId="0" applyAlignment="1">
      <alignment vertical="center"/>
    </xf>
    <xf numFmtId="0" fontId="25" fillId="0" borderId="0" xfId="0" applyFont="1" applyAlignment="1">
      <alignment vertical="center"/>
    </xf>
    <xf numFmtId="0" fontId="0" fillId="2" borderId="10" xfId="0" quotePrefix="1" applyFill="1" applyBorder="1"/>
    <xf numFmtId="0" fontId="0" fillId="2" borderId="18" xfId="0" applyFill="1" applyBorder="1" applyAlignment="1">
      <alignment horizontal="left"/>
    </xf>
    <xf numFmtId="3" fontId="0" fillId="0" borderId="0" xfId="0" applyNumberFormat="1" applyAlignment="1">
      <alignment horizontal="center" vertical="center"/>
    </xf>
    <xf numFmtId="172" fontId="0" fillId="0" borderId="0" xfId="0" applyNumberFormat="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3" fontId="0" fillId="0" borderId="30" xfId="0" applyNumberFormat="1" applyBorder="1" applyAlignment="1">
      <alignment horizontal="center" vertical="center"/>
    </xf>
    <xf numFmtId="0" fontId="0" fillId="0" borderId="6" xfId="0" applyBorder="1" applyAlignment="1">
      <alignment horizontal="center" vertical="center"/>
    </xf>
    <xf numFmtId="0" fontId="0" fillId="0" borderId="31" xfId="0" applyBorder="1" applyAlignment="1">
      <alignment horizontal="center" vertical="center"/>
    </xf>
    <xf numFmtId="172" fontId="0" fillId="0" borderId="31" xfId="0" applyNumberFormat="1" applyBorder="1" applyAlignment="1">
      <alignment horizontal="center" vertical="center"/>
    </xf>
    <xf numFmtId="0" fontId="0" fillId="0" borderId="32" xfId="0" applyBorder="1" applyAlignment="1">
      <alignment horizontal="center" vertical="center"/>
    </xf>
    <xf numFmtId="6" fontId="0" fillId="2" borderId="0" xfId="0" applyNumberFormat="1" applyFill="1"/>
    <xf numFmtId="0" fontId="0" fillId="0" borderId="7" xfId="0" applyBorder="1" applyAlignment="1">
      <alignment horizontal="center" vertical="center"/>
    </xf>
    <xf numFmtId="2" fontId="27" fillId="2" borderId="0" xfId="0" applyNumberFormat="1" applyFont="1" applyFill="1" applyAlignment="1">
      <alignment horizontal="center"/>
    </xf>
    <xf numFmtId="0" fontId="27" fillId="2" borderId="0" xfId="0" applyFont="1" applyFill="1"/>
    <xf numFmtId="0" fontId="0" fillId="2" borderId="21" xfId="0" applyFill="1" applyBorder="1" applyAlignment="1">
      <alignment horizontal="left"/>
    </xf>
    <xf numFmtId="0" fontId="0" fillId="2" borderId="24" xfId="0" applyFill="1" applyBorder="1"/>
    <xf numFmtId="0" fontId="0" fillId="2" borderId="23" xfId="0" applyFill="1" applyBorder="1"/>
    <xf numFmtId="0" fontId="0" fillId="2" borderId="23" xfId="0" quotePrefix="1" applyFill="1" applyBorder="1"/>
    <xf numFmtId="2" fontId="0" fillId="0" borderId="0" xfId="0" applyNumberFormat="1"/>
    <xf numFmtId="43" fontId="27" fillId="0" borderId="0" xfId="0" applyNumberFormat="1" applyFont="1"/>
    <xf numFmtId="173" fontId="0" fillId="0" borderId="0" xfId="1" applyNumberFormat="1" applyFont="1"/>
    <xf numFmtId="0" fontId="0" fillId="0" borderId="10" xfId="0" applyBorder="1"/>
    <xf numFmtId="0" fontId="0" fillId="0" borderId="18" xfId="0" applyBorder="1"/>
    <xf numFmtId="174" fontId="0" fillId="2" borderId="0" xfId="0" applyNumberFormat="1" applyFill="1" applyAlignment="1">
      <alignment horizontal="center"/>
    </xf>
    <xf numFmtId="164" fontId="0" fillId="2" borderId="0" xfId="0" applyNumberFormat="1" applyFill="1" applyAlignment="1">
      <alignment horizontal="left"/>
    </xf>
    <xf numFmtId="0" fontId="0" fillId="0" borderId="4" xfId="0" quotePrefix="1" applyBorder="1" applyAlignment="1">
      <alignment horizontal="center"/>
    </xf>
    <xf numFmtId="3" fontId="0" fillId="2" borderId="33" xfId="0" applyNumberFormat="1" applyFill="1" applyBorder="1" applyAlignment="1">
      <alignment horizontal="center"/>
    </xf>
    <xf numFmtId="0" fontId="0" fillId="0" borderId="3" xfId="0" quotePrefix="1" applyBorder="1" applyAlignment="1">
      <alignment horizontal="center"/>
    </xf>
    <xf numFmtId="3" fontId="0" fillId="2" borderId="32" xfId="0" applyNumberFormat="1" applyFill="1" applyBorder="1" applyAlignment="1">
      <alignment horizontal="center"/>
    </xf>
    <xf numFmtId="3" fontId="0" fillId="2" borderId="34" xfId="0" applyNumberFormat="1" applyFill="1" applyBorder="1" applyAlignment="1">
      <alignment horizontal="center"/>
    </xf>
    <xf numFmtId="3" fontId="0" fillId="2" borderId="35" xfId="0" applyNumberFormat="1" applyFill="1" applyBorder="1" applyAlignment="1">
      <alignment horizontal="center"/>
    </xf>
    <xf numFmtId="3" fontId="0" fillId="2" borderId="36" xfId="0" applyNumberFormat="1" applyFill="1" applyBorder="1" applyAlignment="1">
      <alignment horizontal="center"/>
    </xf>
    <xf numFmtId="43" fontId="0" fillId="0" borderId="0" xfId="1" applyFont="1"/>
    <xf numFmtId="0" fontId="0" fillId="0" borderId="18" xfId="0" quotePrefix="1" applyBorder="1"/>
    <xf numFmtId="164" fontId="0" fillId="0" borderId="0" xfId="0" applyNumberFormat="1"/>
    <xf numFmtId="173" fontId="7" fillId="0" borderId="11" xfId="1" applyNumberFormat="1" applyFont="1" applyBorder="1"/>
    <xf numFmtId="6" fontId="0" fillId="0" borderId="0" xfId="0" applyNumberFormat="1"/>
    <xf numFmtId="0" fontId="3" fillId="0" borderId="0" xfId="4" applyAlignment="1">
      <alignment horizontal="left" vertical="top" wrapText="1"/>
    </xf>
    <xf numFmtId="0" fontId="3" fillId="0" borderId="0" xfId="4" applyAlignment="1">
      <alignment horizontal="left" vertical="top"/>
    </xf>
    <xf numFmtId="0" fontId="2" fillId="0" borderId="0" xfId="4" applyFont="1" applyAlignment="1">
      <alignment horizontal="left" vertical="top" wrapText="1"/>
    </xf>
    <xf numFmtId="0" fontId="11" fillId="2" borderId="0" xfId="0" applyFont="1" applyFill="1" applyAlignment="1">
      <alignment horizontal="center"/>
    </xf>
    <xf numFmtId="0" fontId="17" fillId="2" borderId="18" xfId="0" applyFont="1" applyFill="1" applyBorder="1" applyAlignment="1">
      <alignment horizontal="left"/>
    </xf>
    <xf numFmtId="0" fontId="17" fillId="2" borderId="10" xfId="0" applyFont="1" applyFill="1" applyBorder="1" applyAlignment="1">
      <alignment horizontal="left"/>
    </xf>
    <xf numFmtId="0" fontId="17" fillId="2" borderId="11" xfId="0" applyFont="1" applyFill="1" applyBorder="1" applyAlignment="1">
      <alignment horizontal="left"/>
    </xf>
    <xf numFmtId="0" fontId="12" fillId="2" borderId="4" xfId="0" applyFont="1" applyFill="1" applyBorder="1" applyAlignment="1">
      <alignment horizontal="center" wrapText="1"/>
    </xf>
    <xf numFmtId="0" fontId="12" fillId="2" borderId="5" xfId="0" applyFont="1" applyFill="1" applyBorder="1" applyAlignment="1">
      <alignment horizontal="center" wrapText="1"/>
    </xf>
    <xf numFmtId="0" fontId="16" fillId="0" borderId="0" xfId="0" applyFont="1" applyAlignment="1">
      <alignment horizontal="left" vertical="top" wrapText="1"/>
    </xf>
    <xf numFmtId="0" fontId="6" fillId="0" borderId="0" xfId="0" applyFont="1" applyAlignment="1">
      <alignment horizontal="left" wrapText="1"/>
    </xf>
    <xf numFmtId="0" fontId="16" fillId="2" borderId="0" xfId="0" applyFont="1" applyFill="1" applyAlignment="1">
      <alignment horizontal="center" wrapText="1"/>
    </xf>
    <xf numFmtId="0" fontId="16" fillId="2" borderId="3" xfId="0" applyFont="1" applyFill="1" applyBorder="1" applyAlignment="1">
      <alignment horizontal="center" wrapText="1"/>
    </xf>
    <xf numFmtId="0" fontId="16" fillId="0" borderId="0" xfId="0" applyFont="1" applyAlignment="1">
      <alignment horizontal="left" wrapText="1"/>
    </xf>
    <xf numFmtId="0" fontId="18" fillId="3" borderId="0" xfId="0" applyFont="1" applyFill="1" applyAlignment="1">
      <alignment horizontal="center" wrapText="1"/>
    </xf>
    <xf numFmtId="0" fontId="6" fillId="0" borderId="0" xfId="0" applyFont="1" applyAlignment="1">
      <alignment horizontal="center" wrapText="1"/>
    </xf>
    <xf numFmtId="0" fontId="6" fillId="0" borderId="3" xfId="0" applyFont="1" applyBorder="1" applyAlignment="1">
      <alignment horizontal="center" wrapText="1"/>
    </xf>
    <xf numFmtId="0" fontId="6" fillId="0" borderId="0" xfId="0" applyFont="1" applyAlignment="1">
      <alignment horizontal="center"/>
    </xf>
    <xf numFmtId="0" fontId="6" fillId="0" borderId="3" xfId="0" applyFont="1" applyBorder="1" applyAlignment="1">
      <alignment horizontal="center"/>
    </xf>
    <xf numFmtId="0" fontId="4" fillId="0" borderId="0" xfId="0" applyFont="1" applyAlignment="1">
      <alignment horizontal="center" wrapText="1"/>
    </xf>
    <xf numFmtId="0" fontId="4" fillId="0" borderId="3" xfId="0" applyFont="1" applyBorder="1" applyAlignment="1">
      <alignment horizontal="center" wrapText="1"/>
    </xf>
    <xf numFmtId="0" fontId="17" fillId="0" borderId="20" xfId="0" applyFont="1" applyBorder="1" applyAlignment="1">
      <alignment horizontal="center" wrapText="1"/>
    </xf>
    <xf numFmtId="0" fontId="17" fillId="0" borderId="15" xfId="0" applyFont="1" applyBorder="1" applyAlignment="1">
      <alignment horizontal="center" wrapText="1"/>
    </xf>
    <xf numFmtId="0" fontId="18" fillId="3" borderId="0" xfId="0" applyFont="1" applyFill="1" applyAlignment="1">
      <alignment horizontal="center"/>
    </xf>
    <xf numFmtId="0" fontId="16" fillId="0" borderId="0" xfId="0" applyFont="1" applyAlignment="1">
      <alignment horizontal="center" vertical="center" wrapText="1"/>
    </xf>
    <xf numFmtId="0" fontId="16" fillId="0" borderId="3" xfId="0" applyFont="1" applyBorder="1" applyAlignment="1">
      <alignment horizontal="center" vertical="center" wrapText="1"/>
    </xf>
    <xf numFmtId="0" fontId="0" fillId="2" borderId="29" xfId="0" applyFill="1" applyBorder="1" applyAlignment="1">
      <alignment horizontal="center"/>
    </xf>
    <xf numFmtId="0" fontId="0" fillId="2" borderId="12" xfId="0" applyFill="1" applyBorder="1" applyAlignment="1">
      <alignment horizontal="center"/>
    </xf>
    <xf numFmtId="0" fontId="0" fillId="2" borderId="28" xfId="0" applyFill="1" applyBorder="1" applyAlignment="1">
      <alignment horizontal="center"/>
    </xf>
    <xf numFmtId="0" fontId="0" fillId="2" borderId="26" xfId="0" applyFill="1" applyBorder="1" applyAlignment="1">
      <alignment horizontal="center"/>
    </xf>
    <xf numFmtId="0" fontId="0" fillId="2" borderId="25" xfId="0" applyFill="1" applyBorder="1" applyAlignment="1">
      <alignment horizontal="center"/>
    </xf>
    <xf numFmtId="0" fontId="0" fillId="0" borderId="0" xfId="0" applyAlignment="1">
      <alignment horizontal="left" vertical="top" wrapText="1"/>
    </xf>
    <xf numFmtId="0" fontId="0" fillId="0" borderId="0" xfId="0" applyAlignment="1">
      <alignment horizontal="left" vertical="center" wrapText="1"/>
    </xf>
    <xf numFmtId="0" fontId="0" fillId="2" borderId="27" xfId="0" applyFill="1" applyBorder="1" applyAlignment="1">
      <alignment horizontal="center"/>
    </xf>
    <xf numFmtId="0" fontId="0" fillId="0" borderId="0" xfId="0" applyAlignment="1">
      <alignment horizontal="left" wrapText="1"/>
    </xf>
    <xf numFmtId="0" fontId="0" fillId="2" borderId="29" xfId="0" applyFill="1" applyBorder="1" applyAlignment="1">
      <alignment horizontal="center" wrapText="1"/>
    </xf>
    <xf numFmtId="0" fontId="0" fillId="2" borderId="13" xfId="0" applyFill="1" applyBorder="1" applyAlignment="1">
      <alignment horizontal="center" wrapText="1"/>
    </xf>
    <xf numFmtId="0" fontId="0" fillId="2" borderId="12" xfId="0" applyFill="1" applyBorder="1" applyAlignment="1">
      <alignment horizontal="center" wrapText="1"/>
    </xf>
    <xf numFmtId="0" fontId="0" fillId="2" borderId="35" xfId="0" applyFill="1" applyBorder="1" applyAlignment="1">
      <alignment horizontal="center" wrapText="1"/>
    </xf>
    <xf numFmtId="0" fontId="0" fillId="2" borderId="34" xfId="0" applyFill="1" applyBorder="1" applyAlignment="1">
      <alignment horizontal="center" wrapText="1"/>
    </xf>
    <xf numFmtId="0" fontId="0" fillId="2" borderId="0" xfId="0" applyFill="1" applyAlignment="1">
      <alignment horizontal="center" wrapText="1"/>
    </xf>
    <xf numFmtId="0" fontId="0" fillId="2" borderId="4" xfId="0" applyFill="1" applyBorder="1" applyAlignment="1">
      <alignment horizontal="center" wrapText="1"/>
    </xf>
    <xf numFmtId="0" fontId="0" fillId="2" borderId="0" xfId="0" quotePrefix="1" applyFill="1" applyAlignment="1">
      <alignment horizontal="left" vertical="top" wrapText="1"/>
    </xf>
    <xf numFmtId="0" fontId="0" fillId="2" borderId="0" xfId="0" quotePrefix="1" applyFill="1" applyAlignment="1">
      <alignment horizontal="left" wrapText="1"/>
    </xf>
    <xf numFmtId="0" fontId="0" fillId="0" borderId="0" xfId="0" applyAlignment="1">
      <alignment wrapText="1"/>
    </xf>
    <xf numFmtId="0" fontId="0" fillId="2" borderId="36" xfId="0" applyFill="1" applyBorder="1" applyAlignment="1">
      <alignment horizontal="center" wrapText="1"/>
    </xf>
    <xf numFmtId="0" fontId="0" fillId="2" borderId="32" xfId="0" applyFill="1" applyBorder="1" applyAlignment="1">
      <alignment horizontal="center" wrapText="1"/>
    </xf>
    <xf numFmtId="0" fontId="0" fillId="2" borderId="0" xfId="0" applyFill="1" applyAlignment="1">
      <alignment horizontal="left" wrapText="1"/>
    </xf>
    <xf numFmtId="0" fontId="0" fillId="0" borderId="0" xfId="0" quotePrefix="1" applyAlignment="1">
      <alignment horizontal="left" wrapText="1"/>
    </xf>
    <xf numFmtId="0" fontId="11" fillId="2" borderId="0" xfId="0" applyFont="1" applyFill="1" applyAlignment="1">
      <alignment horizontal="center" wrapText="1"/>
    </xf>
    <xf numFmtId="0" fontId="1" fillId="2" borderId="4" xfId="0" applyFont="1" applyFill="1" applyBorder="1" applyAlignment="1">
      <alignment horizontal="right"/>
    </xf>
  </cellXfs>
  <cellStyles count="6">
    <cellStyle name="Comma" xfId="1" builtinId="3"/>
    <cellStyle name="Hyperlink 2" xfId="5" xr:uid="{BD168A30-5081-3B45-83E9-E683882026A2}"/>
    <cellStyle name="Normal" xfId="0" builtinId="0"/>
    <cellStyle name="Normal 2 2" xfId="3" xr:uid="{44E66FF8-F0DD-EF44-A5A2-34AFEDF70895}"/>
    <cellStyle name="Normal 4" xfId="4" xr:uid="{A3A5FE71-ECB6-FD48-90BF-681A77FF774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2228033995750499"/>
          <c:y val="4.3189368770764097E-2"/>
          <c:w val="0.81568350831146097"/>
          <c:h val="0.72908101603578601"/>
        </c:manualLayout>
      </c:layout>
      <c:scatterChart>
        <c:scatterStyle val="lineMarker"/>
        <c:varyColors val="0"/>
        <c:ser>
          <c:idx val="0"/>
          <c:order val="0"/>
          <c:tx>
            <c:v>Observed Ratio</c:v>
          </c:tx>
          <c:marker>
            <c:spPr>
              <a:solidFill>
                <a:schemeClr val="tx1"/>
              </a:solidFill>
              <a:ln>
                <a:solidFill>
                  <a:schemeClr val="tx1"/>
                </a:solidFill>
              </a:ln>
            </c:spPr>
          </c:marker>
          <c:xVal>
            <c:numRef>
              <c:f>'Q #4'!$N$20:$N$24</c:f>
            </c:numRef>
          </c:xVal>
          <c:yVal>
            <c:numRef>
              <c:f>'Q #4'!$Q$4:$Q$8</c:f>
            </c:numRef>
          </c:yVal>
          <c:smooth val="0"/>
          <c:extLst>
            <c:ext xmlns:c16="http://schemas.microsoft.com/office/drawing/2014/chart" uri="{C3380CC4-5D6E-409C-BE32-E72D297353CC}">
              <c16:uniqueId val="{00000000-B71F-6F4A-8EC8-7DD0C9341044}"/>
            </c:ext>
          </c:extLst>
        </c:ser>
        <c:ser>
          <c:idx val="1"/>
          <c:order val="1"/>
          <c:tx>
            <c:v>Ratio at Ultimate</c:v>
          </c:tx>
          <c:marker>
            <c:spPr>
              <a:solidFill>
                <a:schemeClr val="tx1"/>
              </a:solidFill>
              <a:ln>
                <a:solidFill>
                  <a:schemeClr val="tx1"/>
                </a:solidFill>
              </a:ln>
            </c:spPr>
          </c:marker>
          <c:xVal>
            <c:numRef>
              <c:f>'Q #4'!$N$20:$N$24</c:f>
            </c:numRef>
          </c:xVal>
          <c:yVal>
            <c:numRef>
              <c:f>'Q #4'!$R$20:$R$24</c:f>
            </c:numRef>
          </c:yVal>
          <c:smooth val="0"/>
          <c:extLst>
            <c:ext xmlns:c16="http://schemas.microsoft.com/office/drawing/2014/chart" uri="{C3380CC4-5D6E-409C-BE32-E72D297353CC}">
              <c16:uniqueId val="{00000001-B71F-6F4A-8EC8-7DD0C9341044}"/>
            </c:ext>
          </c:extLst>
        </c:ser>
        <c:ser>
          <c:idx val="2"/>
          <c:order val="2"/>
          <c:tx>
            <c:v>Selected Ratio</c:v>
          </c:tx>
          <c:marker>
            <c:spPr>
              <a:solidFill>
                <a:schemeClr val="tx1"/>
              </a:solidFill>
              <a:ln w="9525">
                <a:solidFill>
                  <a:schemeClr val="tx1"/>
                </a:solidFill>
              </a:ln>
            </c:spPr>
          </c:marker>
          <c:xVal>
            <c:numRef>
              <c:f>'Q #4'!$N$20:$N$24</c:f>
            </c:numRef>
          </c:xVal>
          <c:yVal>
            <c:numRef>
              <c:f>'Q #4'!$T$20:$T$24</c:f>
            </c:numRef>
          </c:yVal>
          <c:smooth val="0"/>
          <c:extLst>
            <c:ext xmlns:c16="http://schemas.microsoft.com/office/drawing/2014/chart" uri="{C3380CC4-5D6E-409C-BE32-E72D297353CC}">
              <c16:uniqueId val="{00000002-B71F-6F4A-8EC8-7DD0C9341044}"/>
            </c:ext>
          </c:extLst>
        </c:ser>
        <c:dLbls>
          <c:showLegendKey val="0"/>
          <c:showVal val="0"/>
          <c:showCatName val="0"/>
          <c:showSerName val="0"/>
          <c:showPercent val="0"/>
          <c:showBubbleSize val="0"/>
        </c:dLbls>
        <c:axId val="2128804008"/>
        <c:axId val="2128811768"/>
      </c:scatterChart>
      <c:valAx>
        <c:axId val="2128804008"/>
        <c:scaling>
          <c:orientation val="minMax"/>
          <c:max val="70"/>
          <c:min val="0"/>
        </c:scaling>
        <c:delete val="0"/>
        <c:axPos val="b"/>
        <c:title>
          <c:tx>
            <c:rich>
              <a:bodyPr/>
              <a:lstStyle/>
              <a:p>
                <a:pPr>
                  <a:defRPr sz="1100">
                    <a:latin typeface="Adobe Caslon Pro"/>
                    <a:cs typeface="Adobe Caslon Pro"/>
                  </a:defRPr>
                </a:pPr>
                <a:r>
                  <a:rPr lang="en-US" sz="1100">
                    <a:latin typeface="Adobe Caslon Pro"/>
                    <a:cs typeface="Adobe Caslon Pro"/>
                  </a:rPr>
                  <a:t>Maturity</a:t>
                </a:r>
                <a:r>
                  <a:rPr lang="en-US" sz="1100" baseline="0">
                    <a:latin typeface="Adobe Caslon Pro"/>
                    <a:cs typeface="Adobe Caslon Pro"/>
                  </a:rPr>
                  <a:t> (Age in Months)</a:t>
                </a:r>
                <a:endParaRPr lang="en-US" sz="1100">
                  <a:latin typeface="Adobe Caslon Pro"/>
                  <a:cs typeface="Adobe Caslon Pro"/>
                </a:endParaRPr>
              </a:p>
            </c:rich>
          </c:tx>
          <c:overlay val="0"/>
        </c:title>
        <c:numFmt formatCode="General" sourceLinked="1"/>
        <c:majorTickMark val="out"/>
        <c:minorTickMark val="none"/>
        <c:tickLblPos val="nextTo"/>
        <c:spPr>
          <a:ln>
            <a:solidFill>
              <a:schemeClr val="tx1"/>
            </a:solidFill>
          </a:ln>
        </c:spPr>
        <c:crossAx val="2128811768"/>
        <c:crosses val="autoZero"/>
        <c:crossBetween val="midCat"/>
        <c:majorUnit val="12"/>
      </c:valAx>
      <c:valAx>
        <c:axId val="2128811768"/>
        <c:scaling>
          <c:orientation val="minMax"/>
          <c:max val="1"/>
          <c:min val="0.5"/>
        </c:scaling>
        <c:delete val="0"/>
        <c:axPos val="l"/>
        <c:majorGridlines/>
        <c:title>
          <c:tx>
            <c:rich>
              <a:bodyPr rot="-5400000" vert="horz"/>
              <a:lstStyle/>
              <a:p>
                <a:pPr>
                  <a:defRPr sz="1100" b="1">
                    <a:latin typeface="Adobe Caslon Pro Bold"/>
                    <a:cs typeface="Adobe Caslon Pro Bold"/>
                  </a:defRPr>
                </a:pPr>
                <a:r>
                  <a:rPr lang="en-US" sz="1100" b="1">
                    <a:latin typeface="Adobe Caslon Pro Bold"/>
                    <a:cs typeface="Adobe Caslon Pro Bold"/>
                  </a:rPr>
                  <a:t>Ratio</a:t>
                </a:r>
              </a:p>
            </c:rich>
          </c:tx>
          <c:layout>
            <c:manualLayout>
              <c:xMode val="edge"/>
              <c:yMode val="edge"/>
              <c:x val="1.15079365079365E-2"/>
              <c:y val="0.38119758286028199"/>
            </c:manualLayout>
          </c:layout>
          <c:overlay val="0"/>
        </c:title>
        <c:numFmt formatCode="0%" sourceLinked="0"/>
        <c:majorTickMark val="out"/>
        <c:minorTickMark val="none"/>
        <c:tickLblPos val="nextTo"/>
        <c:spPr>
          <a:ln>
            <a:solidFill>
              <a:schemeClr val="tx1"/>
            </a:solidFill>
          </a:ln>
        </c:spPr>
        <c:crossAx val="2128804008"/>
        <c:crosses val="autoZero"/>
        <c:crossBetween val="midCat"/>
        <c:majorUnit val="0.1"/>
      </c:valAx>
      <c:spPr>
        <a:ln>
          <a:noFill/>
        </a:ln>
      </c:spPr>
    </c:plotArea>
    <c:legend>
      <c:legendPos val="r"/>
      <c:layout>
        <c:manualLayout>
          <c:xMode val="edge"/>
          <c:yMode val="edge"/>
          <c:x val="0.105930039995001"/>
          <c:y val="0.90822455332618302"/>
          <c:w val="0.84049853143357101"/>
          <c:h val="9.0527375938472807E-2"/>
        </c:manualLayout>
      </c:layout>
      <c:overlay val="0"/>
    </c:legend>
    <c:plotVisOnly val="1"/>
    <c:dispBlanksAs val="gap"/>
    <c:showDLblsOverMax val="0"/>
  </c:chart>
  <c:spPr>
    <a:ln>
      <a:noFill/>
    </a:ln>
  </c:spPr>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E8FB0F85-856C-7546-AA8E-02A3A6F82452}"/>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101600</xdr:colOff>
      <xdr:row>71</xdr:row>
      <xdr:rowOff>203199</xdr:rowOff>
    </xdr:from>
    <xdr:to>
      <xdr:col>16</xdr:col>
      <xdr:colOff>196559</xdr:colOff>
      <xdr:row>74</xdr:row>
      <xdr:rowOff>96519</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8FB78EDF-015A-DD48-92B1-E71FDA71A258}"/>
                </a:ext>
              </a:extLst>
            </xdr:cNvPr>
            <xdr:cNvSpPr txBox="1"/>
          </xdr:nvSpPr>
          <xdr:spPr>
            <a:xfrm>
              <a:off x="10414000" y="15074899"/>
              <a:ext cx="2571459" cy="50292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𝑋</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𝐵</m:t>
                        </m:r>
                      </m:sup>
                    </m:sSub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sub>
                            </m:sSub>
                          </m:e>
                        </m:d>
                      </m:num>
                      <m:den>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den>
                    </m:f>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8FB78EDF-015A-DD48-92B1-E71FDA71A258}"/>
                </a:ext>
              </a:extLst>
            </xdr:cNvPr>
            <xdr:cNvSpPr txBox="1"/>
          </xdr:nvSpPr>
          <xdr:spPr>
            <a:xfrm>
              <a:off x="10414000" y="15074899"/>
              <a:ext cx="2571459" cy="50292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𝐹_(𝐴𝑌,𝑘)^𝑋=𝐹_(𝑛,𝑘)^𝐵×(LEV[𝑋│𝜃_(𝐴𝑌,∞) ]/𝐿𝐸𝑉[𝐵│𝜃_(𝑛,∞) ])/(LEV[𝑋│𝜃_(𝐴𝑌,𝑘) ]/𝐿𝐸𝑉[𝐵│𝜃_(𝑛,𝑘) ] )</a:t>
              </a:r>
              <a:endParaRPr lang="en-PH" sz="1100">
                <a:solidFill>
                  <a:schemeClr val="tx1"/>
                </a:solidFill>
                <a:effectLst/>
                <a:latin typeface="+mn-lt"/>
                <a:ea typeface="+mn-ea"/>
                <a:cs typeface="+mn-cs"/>
              </a:endParaRPr>
            </a:p>
          </xdr:txBody>
        </xdr:sp>
      </mc:Fallback>
    </mc:AlternateContent>
    <xdr:clientData/>
  </xdr:twoCellAnchor>
  <xdr:twoCellAnchor>
    <xdr:from>
      <xdr:col>13</xdr:col>
      <xdr:colOff>165100</xdr:colOff>
      <xdr:row>79</xdr:row>
      <xdr:rowOff>190500</xdr:rowOff>
    </xdr:from>
    <xdr:to>
      <xdr:col>17</xdr:col>
      <xdr:colOff>25400</xdr:colOff>
      <xdr:row>81</xdr:row>
      <xdr:rowOff>68922</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213DBE6-B6E2-0540-9A63-644796653040}"/>
                </a:ext>
              </a:extLst>
            </xdr:cNvPr>
            <xdr:cNvSpPr txBox="1"/>
          </xdr:nvSpPr>
          <xdr:spPr>
            <a:xfrm>
              <a:off x="10477500" y="16687800"/>
              <a:ext cx="3162300" cy="28482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r>
                              <a:rPr lang="en-US" sz="1100" b="0" i="1">
                                <a:solidFill>
                                  <a:schemeClr val="tx1"/>
                                </a:solidFill>
                                <a:effectLst/>
                                <a:latin typeface="Cambria Math" panose="02040503050406030204" pitchFamily="18" charset="0"/>
                                <a:ea typeface="+mn-ea"/>
                                <a:cs typeface="+mn-cs"/>
                              </a:rPr>
                              <m:t>𝑋</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𝑡𝑜𝑝</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𝑏𝑜𝑡</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2213DBE6-B6E2-0540-9A63-644796653040}"/>
                </a:ext>
              </a:extLst>
            </xdr:cNvPr>
            <xdr:cNvSpPr txBox="1"/>
          </xdr:nvSpPr>
          <xdr:spPr>
            <a:xfrm>
              <a:off x="10477500" y="16687800"/>
              <a:ext cx="3162300" cy="28482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LEV[𝑋_</a:t>
              </a:r>
              <a:r>
                <a:rPr lang="en-US" sz="1100" b="0" i="0">
                  <a:solidFill>
                    <a:schemeClr val="tx1"/>
                  </a:solidFill>
                  <a:effectLst/>
                  <a:latin typeface="Cambria Math" panose="02040503050406030204" pitchFamily="18" charset="0"/>
                  <a:ea typeface="+mn-ea"/>
                  <a:cs typeface="+mn-cs"/>
                </a:rPr>
                <a:t>𝑋</a:t>
              </a:r>
              <a:r>
                <a:rPr lang="en-PH"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𝜃_(𝐴𝑌,∞) ]=LEV[𝑋_𝑡𝑜𝑝│𝜃_(𝐴𝑌,∞) ]−LEV[𝑋_𝑏𝑜𝑡│𝜃_(𝐴𝑌,∞) ]</a:t>
              </a:r>
              <a:endParaRPr lang="en-PH"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26377</xdr:colOff>
      <xdr:row>25</xdr:row>
      <xdr:rowOff>105507</xdr:rowOff>
    </xdr:from>
    <xdr:to>
      <xdr:col>18</xdr:col>
      <xdr:colOff>759069</xdr:colOff>
      <xdr:row>39</xdr:row>
      <xdr:rowOff>76200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493712</xdr:colOff>
      <xdr:row>9</xdr:row>
      <xdr:rowOff>101600</xdr:rowOff>
    </xdr:from>
    <xdr:to>
      <xdr:col>14</xdr:col>
      <xdr:colOff>330200</xdr:colOff>
      <xdr:row>11</xdr:row>
      <xdr:rowOff>28689</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4759754-B0BB-0D43-B584-1D0FB0C94E2A}"/>
                </a:ext>
              </a:extLst>
            </xdr:cNvPr>
            <xdr:cNvSpPr txBox="1"/>
          </xdr:nvSpPr>
          <xdr:spPr>
            <a:xfrm>
              <a:off x="9980612" y="2641600"/>
              <a:ext cx="1538288" cy="33348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LEV</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𝑥</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𝜃</m:t>
                    </m:r>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𝑒</m:t>
                            </m:r>
                          </m:e>
                          <m: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𝑥</m:t>
                                </m:r>
                              </m:num>
                              <m:den>
                                <m:r>
                                  <a:rPr lang="en-PH" sz="1100" i="1">
                                    <a:solidFill>
                                      <a:schemeClr val="tx1"/>
                                    </a:solidFill>
                                    <a:effectLst/>
                                    <a:latin typeface="Cambria Math" panose="02040503050406030204" pitchFamily="18" charset="0"/>
                                    <a:ea typeface="+mn-ea"/>
                                    <a:cs typeface="+mn-cs"/>
                                  </a:rPr>
                                  <m:t>𝜃</m:t>
                                </m:r>
                              </m:den>
                            </m:f>
                          </m:sup>
                        </m:sSup>
                      </m:e>
                    </m:d>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D4759754-B0BB-0D43-B584-1D0FB0C94E2A}"/>
                </a:ext>
              </a:extLst>
            </xdr:cNvPr>
            <xdr:cNvSpPr txBox="1"/>
          </xdr:nvSpPr>
          <xdr:spPr>
            <a:xfrm>
              <a:off x="9980612" y="2641600"/>
              <a:ext cx="1538288" cy="33348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LEV(𝑥)=𝜃×[1−𝑒^(−𝑥/𝜃) ]</a:t>
              </a:r>
              <a:endParaRPr lang="en-PH" sz="1100">
                <a:solidFill>
                  <a:schemeClr val="tx1"/>
                </a:solidFill>
                <a:effectLst/>
                <a:latin typeface="+mn-lt"/>
                <a:ea typeface="+mn-ea"/>
                <a:cs typeface="+mn-cs"/>
              </a:endParaRPr>
            </a:p>
          </xdr:txBody>
        </xdr:sp>
      </mc:Fallback>
    </mc:AlternateContent>
    <xdr:clientData/>
  </xdr:twoCellAnchor>
  <xdr:twoCellAnchor>
    <xdr:from>
      <xdr:col>12</xdr:col>
      <xdr:colOff>431801</xdr:colOff>
      <xdr:row>11</xdr:row>
      <xdr:rowOff>171450</xdr:rowOff>
    </xdr:from>
    <xdr:to>
      <xdr:col>15</xdr:col>
      <xdr:colOff>184151</xdr:colOff>
      <xdr:row>13</xdr:row>
      <xdr:rowOff>49520</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C36E79D3-7269-7744-ACB1-D0538C53E14C}"/>
                </a:ext>
              </a:extLst>
            </xdr:cNvPr>
            <xdr:cNvSpPr txBox="1"/>
          </xdr:nvSpPr>
          <xdr:spPr>
            <a:xfrm>
              <a:off x="9918701" y="3117850"/>
              <a:ext cx="2381250" cy="28447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Sub>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C36E79D3-7269-7744-ACB1-D0538C53E14C}"/>
                </a:ext>
              </a:extLst>
            </xdr:cNvPr>
            <xdr:cNvSpPr txBox="1"/>
          </xdr:nvSpPr>
          <xdr:spPr>
            <a:xfrm>
              <a:off x="9918701" y="3117850"/>
              <a:ext cx="2381250" cy="28447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𝑅_(𝐴𝑌,𝑈𝑙𝑡)=LEV[𝑋│𝜃_(𝐴𝑌,∞) ]/LEV[𝐵│𝜃_(𝐴𝑌,∞) ]</a:t>
              </a:r>
              <a:endParaRPr lang="en-PH" sz="1100">
                <a:solidFill>
                  <a:schemeClr val="tx1"/>
                </a:solidFill>
                <a:effectLst/>
                <a:latin typeface="+mn-lt"/>
                <a:ea typeface="+mn-ea"/>
                <a:cs typeface="+mn-cs"/>
              </a:endParaRPr>
            </a:p>
          </xdr:txBody>
        </xdr:sp>
      </mc:Fallback>
    </mc:AlternateContent>
    <xdr:clientData/>
  </xdr:twoCellAnchor>
  <xdr:twoCellAnchor>
    <xdr:from>
      <xdr:col>12</xdr:col>
      <xdr:colOff>406400</xdr:colOff>
      <xdr:row>13</xdr:row>
      <xdr:rowOff>203200</xdr:rowOff>
    </xdr:from>
    <xdr:to>
      <xdr:col>15</xdr:col>
      <xdr:colOff>317500</xdr:colOff>
      <xdr:row>14</xdr:row>
      <xdr:rowOff>54811</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53329D70-96CC-F841-A9E7-E928B6E09A19}"/>
                </a:ext>
              </a:extLst>
            </xdr:cNvPr>
            <xdr:cNvSpPr txBox="1"/>
          </xdr:nvSpPr>
          <xdr:spPr>
            <a:xfrm>
              <a:off x="9893300" y="3556000"/>
              <a:ext cx="2540000"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2"/>
                        </m:argPr>
                        <m:r>
                          <a:rPr lang="en-PH" sz="1100" i="1">
                            <a:solidFill>
                              <a:schemeClr val="tx1"/>
                            </a:solidFill>
                            <a:effectLst/>
                            <a:latin typeface="Cambria Math" panose="02040503050406030204" pitchFamily="18" charset="0"/>
                            <a:ea typeface="+mn-ea"/>
                            <a:cs typeface="+mn-cs"/>
                          </a:rPr>
                          <m:t>𝑠𝑒𝑙𝑒𝑐𝑡</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𝐷𝑒𝑐𝑎𝑦</m:t>
                        </m:r>
                      </m:e>
                      <m:sub>
                        <m:argPr>
                          <m:argSz m:val="-2"/>
                        </m:argPr>
                        <m:r>
                          <a:rPr lang="en-PH" sz="1100" i="1">
                            <a:solidFill>
                              <a:schemeClr val="tx1"/>
                            </a:solidFill>
                            <a:effectLst/>
                            <a:latin typeface="Cambria Math" panose="02040503050406030204" pitchFamily="18" charset="0"/>
                            <a:ea typeface="+mn-ea"/>
                            <a:cs typeface="+mn-cs"/>
                          </a:rPr>
                          <m:t>𝑘</m:t>
                        </m:r>
                      </m:sub>
                    </m:sSub>
                  </m:oMath>
                </m:oMathPara>
              </a14:m>
              <a:endParaRPr lang="en-PH"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53329D70-96CC-F841-A9E7-E928B6E09A19}"/>
                </a:ext>
              </a:extLst>
            </xdr:cNvPr>
            <xdr:cNvSpPr txBox="1"/>
          </xdr:nvSpPr>
          <xdr:spPr>
            <a:xfrm>
              <a:off x="9893300" y="3556000"/>
              <a:ext cx="2540000"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𝑅_(𝐴𝑌,𝑘)^𝑠𝑒𝑙𝑒𝑐𝑡=𝑅_(𝐴𝑌,𝑈𝑙𝑡)+(1−𝑅_(𝐴𝑌,𝑈𝑙𝑡) )×〖𝐷𝑒𝑐𝑎𝑦〗_𝑘</a:t>
              </a:r>
              <a:endParaRPr lang="en-PH" sz="1100">
                <a:solidFill>
                  <a:schemeClr val="tx1"/>
                </a:solidFill>
                <a:effectLst/>
                <a:latin typeface="+mn-lt"/>
                <a:ea typeface="+mn-ea"/>
                <a:cs typeface="+mn-cs"/>
              </a:endParaRPr>
            </a:p>
          </xdr:txBody>
        </xdr:sp>
      </mc:Fallback>
    </mc:AlternateContent>
    <xdr:clientData/>
  </xdr:twoCellAnchor>
  <xdr:twoCellAnchor>
    <xdr:from>
      <xdr:col>12</xdr:col>
      <xdr:colOff>355600</xdr:colOff>
      <xdr:row>48</xdr:row>
      <xdr:rowOff>114300</xdr:rowOff>
    </xdr:from>
    <xdr:to>
      <xdr:col>15</xdr:col>
      <xdr:colOff>404283</xdr:colOff>
      <xdr:row>50</xdr:row>
      <xdr:rowOff>179954</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D8C2C71F-8A91-9440-B63F-4E62AD60C8CF}"/>
                </a:ext>
              </a:extLst>
            </xdr:cNvPr>
            <xdr:cNvSpPr txBox="1"/>
          </xdr:nvSpPr>
          <xdr:spPr>
            <a:xfrm>
              <a:off x="9842500" y="10883900"/>
              <a:ext cx="2677583" cy="47205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𝑋</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𝐵</m:t>
                        </m:r>
                      </m:sup>
                    </m:sSub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1"/>
                            </m:argPr>
                            <m:r>
                              <a:rPr lang="en-PH" sz="1100" i="1">
                                <a:solidFill>
                                  <a:schemeClr val="tx1"/>
                                </a:solidFill>
                                <a:effectLst/>
                                <a:latin typeface="Cambria Math" panose="02040503050406030204" pitchFamily="18" charset="0"/>
                                <a:ea typeface="+mn-ea"/>
                                <a:cs typeface="+mn-cs"/>
                              </a:rPr>
                              <m:t>𝑘</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D8C2C71F-8A91-9440-B63F-4E62AD60C8CF}"/>
                </a:ext>
              </a:extLst>
            </xdr:cNvPr>
            <xdr:cNvSpPr txBox="1"/>
          </xdr:nvSpPr>
          <xdr:spPr>
            <a:xfrm>
              <a:off x="9842500" y="10883900"/>
              <a:ext cx="2677583" cy="47205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𝐹_(𝐴𝑌,𝑘)^𝑋=𝐹_(𝑛,𝑘)^𝐵×(LEV[𝑋│𝜃_(𝐴𝑌,∞) ]/LEV[𝐵│𝜃_(𝐴𝑌,∞) ])/𝑅_𝑘 </a:t>
              </a:r>
              <a:endParaRPr lang="en-PH" sz="1100">
                <a:solidFill>
                  <a:schemeClr val="tx1"/>
                </a:solidFill>
                <a:effectLst/>
                <a:latin typeface="+mn-lt"/>
                <a:ea typeface="+mn-ea"/>
                <a:cs typeface="+mn-cs"/>
              </a:endParaRP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228600</xdr:colOff>
      <xdr:row>30</xdr:row>
      <xdr:rowOff>177800</xdr:rowOff>
    </xdr:from>
    <xdr:to>
      <xdr:col>16</xdr:col>
      <xdr:colOff>323559</xdr:colOff>
      <xdr:row>33</xdr:row>
      <xdr:rowOff>67185</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925CA0EC-0251-CB43-BC46-89E49FA453CB}"/>
                </a:ext>
              </a:extLst>
            </xdr:cNvPr>
            <xdr:cNvSpPr txBox="1"/>
          </xdr:nvSpPr>
          <xdr:spPr>
            <a:xfrm>
              <a:off x="11963400" y="6273800"/>
              <a:ext cx="2609559" cy="49898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𝑋</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𝐵</m:t>
                        </m:r>
                      </m:sup>
                    </m:sSub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sub>
                            </m:sSub>
                          </m:e>
                        </m:d>
                      </m:num>
                      <m:den>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den>
                    </m:f>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925CA0EC-0251-CB43-BC46-89E49FA453CB}"/>
                </a:ext>
              </a:extLst>
            </xdr:cNvPr>
            <xdr:cNvSpPr txBox="1"/>
          </xdr:nvSpPr>
          <xdr:spPr>
            <a:xfrm>
              <a:off x="11963400" y="6273800"/>
              <a:ext cx="2609559" cy="49898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𝐹_(𝐴𝑌,𝑘)^𝑋=𝐹_(𝑛,𝑘)^𝐵×(LEV[𝑋│𝜃_(𝐴𝑌,∞) ]/𝐿𝐸𝑉[𝐵│𝜃_(𝑛,∞) ])/(LEV[𝑋│𝜃_(𝐴𝑌,𝑘) ]/𝐿𝐸𝑉[𝐵│𝜃_(𝑛,𝑘) ] )</a:t>
              </a:r>
              <a:endParaRPr lang="en-PH" sz="1100">
                <a:solidFill>
                  <a:schemeClr val="tx1"/>
                </a:solidFill>
                <a:effectLst/>
                <a:latin typeface="+mn-lt"/>
                <a:ea typeface="+mn-ea"/>
                <a:cs typeface="+mn-cs"/>
              </a:endParaRPr>
            </a:p>
          </xdr:txBody>
        </xdr:sp>
      </mc:Fallback>
    </mc:AlternateContent>
    <xdr:clientData/>
  </xdr:twoCellAnchor>
  <xdr:twoCellAnchor>
    <xdr:from>
      <xdr:col>13</xdr:col>
      <xdr:colOff>203200</xdr:colOff>
      <xdr:row>38</xdr:row>
      <xdr:rowOff>177800</xdr:rowOff>
    </xdr:from>
    <xdr:to>
      <xdr:col>17</xdr:col>
      <xdr:colOff>753004</xdr:colOff>
      <xdr:row>41</xdr:row>
      <xdr:rowOff>60672</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C1DEEFE-80A1-9846-9FE2-2EE3B94C763E}"/>
                </a:ext>
              </a:extLst>
            </xdr:cNvPr>
            <xdr:cNvSpPr txBox="1"/>
          </xdr:nvSpPr>
          <xdr:spPr>
            <a:xfrm>
              <a:off x="11938000" y="7899400"/>
              <a:ext cx="3902604" cy="49247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𝑋</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𝐵</m:t>
                        </m:r>
                      </m:sup>
                    </m:sSub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𝑡𝑜𝑝</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𝑏𝑜𝑡</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sub>
                            </m:sSub>
                          </m:e>
                        </m:d>
                      </m:num>
                      <m:den>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𝑡𝑜𝑝</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𝑏𝑜𝑡</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den>
                    </m:f>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DC1DEEFE-80A1-9846-9FE2-2EE3B94C763E}"/>
                </a:ext>
              </a:extLst>
            </xdr:cNvPr>
            <xdr:cNvSpPr txBox="1"/>
          </xdr:nvSpPr>
          <xdr:spPr>
            <a:xfrm>
              <a:off x="11938000" y="7899400"/>
              <a:ext cx="3902604" cy="49247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𝐹_(𝐴𝑌,𝑘)^𝑋=𝐹_(𝑛.𝑘)^𝐵×((LEV[𝑋_𝑡𝑜𝑝│𝜃_(𝐴𝑌,∞) ]−LEV[𝑋_𝑏𝑜𝑡│𝜃_(𝐴𝑌,∞) ])/LEV[𝐵│𝜃_(𝑛,∞) ])/((LEV[𝑋_𝑡𝑜𝑝│𝜃_(𝐴𝑌,𝑘) ]−LEV[𝑋_𝑏𝑜𝑡│𝜃_(𝐴𝑌,𝑘) ])/LEV[𝐵│𝜃_(𝑛,𝑘) ] )</a:t>
              </a:r>
              <a:endParaRPr lang="en-PH" sz="1100">
                <a:solidFill>
                  <a:schemeClr val="tx1"/>
                </a:solidFill>
                <a:effectLst/>
                <a:latin typeface="+mn-lt"/>
                <a:ea typeface="+mn-ea"/>
                <a:cs typeface="+mn-cs"/>
              </a:endParaRPr>
            </a:p>
          </xdr:txBody>
        </xdr:sp>
      </mc:Fallback>
    </mc:AlternateContent>
    <xdr:clientData/>
  </xdr:twoCellAnchor>
  <xdr:twoCellAnchor>
    <xdr:from>
      <xdr:col>16</xdr:col>
      <xdr:colOff>215900</xdr:colOff>
      <xdr:row>16</xdr:row>
      <xdr:rowOff>25400</xdr:rowOff>
    </xdr:from>
    <xdr:to>
      <xdr:col>18</xdr:col>
      <xdr:colOff>210375</xdr:colOff>
      <xdr:row>18</xdr:row>
      <xdr:rowOff>124114</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9D718EE3-0746-2C47-9396-F0DF0B030D16}"/>
                </a:ext>
              </a:extLst>
            </xdr:cNvPr>
            <xdr:cNvSpPr txBox="1"/>
          </xdr:nvSpPr>
          <xdr:spPr>
            <a:xfrm>
              <a:off x="14465300" y="3276600"/>
              <a:ext cx="1670875" cy="50511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𝐶</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num>
                      <m:den>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𝐿</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den>
                    </m:f>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9D718EE3-0746-2C47-9396-F0DF0B030D16}"/>
                </a:ext>
              </a:extLst>
            </xdr:cNvPr>
            <xdr:cNvSpPr txBox="1"/>
          </xdr:nvSpPr>
          <xdr:spPr>
            <a:xfrm>
              <a:off x="14465300" y="3276600"/>
              <a:ext cx="1670875" cy="50511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𝐶_(𝐴𝑌,𝑘)^′=𝐶_(𝐴𝑌,𝑘)×(𝐿𝐸𝑉[𝐵│𝜃_(𝑛,𝑘) ])/(𝐿𝐸𝑉[𝐿│𝜃_(𝐴𝑌,𝑘) ] )</a:t>
              </a:r>
              <a:endParaRPr lang="en-PH" sz="1100">
                <a:solidFill>
                  <a:schemeClr val="tx1"/>
                </a:solidFill>
                <a:effectLst/>
                <a:latin typeface="+mn-lt"/>
                <a:ea typeface="+mn-ea"/>
                <a:cs typeface="+mn-cs"/>
              </a:endParaRP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4</xdr:col>
      <xdr:colOff>353484</xdr:colOff>
      <xdr:row>19</xdr:row>
      <xdr:rowOff>21167</xdr:rowOff>
    </xdr:from>
    <xdr:ext cx="521105" cy="18319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732940A-3EFB-0341-B883-D084C49AD58C}"/>
                </a:ext>
              </a:extLst>
            </xdr:cNvPr>
            <xdr:cNvSpPr txBox="1"/>
          </xdr:nvSpPr>
          <xdr:spPr>
            <a:xfrm>
              <a:off x="3189817" y="3958167"/>
              <a:ext cx="5211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𝑗</m:t>
                        </m:r>
                      </m:sub>
                    </m:sSub>
                    <m:r>
                      <a:rPr lang="en-US" sz="1100" b="0" i="1">
                        <a:latin typeface="Cambria Math" panose="02040503050406030204" pitchFamily="18" charset="0"/>
                      </a:rPr>
                      <m:t>(</m:t>
                    </m:r>
                    <m:r>
                      <a:rPr lang="en-US" sz="1100" b="0" i="1">
                        <a:latin typeface="Cambria Math" panose="02040503050406030204" pitchFamily="18" charset="0"/>
                      </a:rPr>
                      <m:t>𝐴</m:t>
                    </m:r>
                    <m:r>
                      <a:rPr lang="en-US" sz="1100" b="0" i="1">
                        <a:latin typeface="Cambria Math" panose="02040503050406030204" pitchFamily="18" charset="0"/>
                      </a:rPr>
                      <m:t>,</m:t>
                    </m:r>
                    <m:r>
                      <a:rPr lang="en-US" sz="1100" b="0" i="1">
                        <a:latin typeface="Cambria Math" panose="02040503050406030204" pitchFamily="18" charset="0"/>
                      </a:rPr>
                      <m:t>𝐵</m:t>
                    </m:r>
                    <m:r>
                      <a:rPr lang="en-US" sz="1100" b="0" i="1">
                        <a:latin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B732940A-3EFB-0341-B883-D084C49AD58C}"/>
                </a:ext>
              </a:extLst>
            </xdr:cNvPr>
            <xdr:cNvSpPr txBox="1"/>
          </xdr:nvSpPr>
          <xdr:spPr>
            <a:xfrm>
              <a:off x="3189817" y="3958167"/>
              <a:ext cx="5211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𝑅_𝑗 (𝐴,𝐵)</a:t>
              </a:r>
              <a:endParaRPr 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5</xdr:col>
      <xdr:colOff>823912</xdr:colOff>
      <xdr:row>23</xdr:row>
      <xdr:rowOff>0</xdr:rowOff>
    </xdr:from>
    <xdr:ext cx="900113" cy="22860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8A3BF54-8954-B94A-B4C1-D639266A17BC}"/>
                </a:ext>
              </a:extLst>
            </xdr:cNvPr>
            <xdr:cNvSpPr txBox="1"/>
          </xdr:nvSpPr>
          <xdr:spPr>
            <a:xfrm>
              <a:off x="5014912" y="4673600"/>
              <a:ext cx="900113"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14:m>
                <m:oMath xmlns:m="http://schemas.openxmlformats.org/officeDocument/2006/math">
                  <m:r>
                    <a:rPr lang="en-IN" sz="1200" i="0">
                      <a:latin typeface="Cambria Math" panose="02040503050406030204" pitchFamily="18" charset="0"/>
                    </a:rPr>
                    <m:t>Ɵ</m:t>
                  </m:r>
                </m:oMath>
              </a14:m>
              <a:r>
                <a:rPr lang="en-IN" sz="1200"/>
                <a:t> (1-e</a:t>
              </a:r>
              <a:r>
                <a:rPr lang="en-IN" sz="1200" baseline="30000"/>
                <a:t>-k/Ɵ</a:t>
              </a:r>
              <a:r>
                <a:rPr lang="en-IN" sz="1200" baseline="0"/>
                <a:t>)</a:t>
              </a:r>
            </a:p>
          </xdr:txBody>
        </xdr:sp>
      </mc:Choice>
      <mc:Fallback xmlns="">
        <xdr:sp macro="" textlink="">
          <xdr:nvSpPr>
            <xdr:cNvPr id="2" name="TextBox 1">
              <a:extLst>
                <a:ext uri="{FF2B5EF4-FFF2-40B4-BE49-F238E27FC236}">
                  <a16:creationId xmlns:a16="http://schemas.microsoft.com/office/drawing/2014/main" id="{78A3BF54-8954-B94A-B4C1-D639266A17BC}"/>
                </a:ext>
              </a:extLst>
            </xdr:cNvPr>
            <xdr:cNvSpPr txBox="1"/>
          </xdr:nvSpPr>
          <xdr:spPr>
            <a:xfrm>
              <a:off x="5014912" y="4673600"/>
              <a:ext cx="900113"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IN" sz="1200" i="0">
                  <a:latin typeface="Cambria Math" panose="02040503050406030204" pitchFamily="18" charset="0"/>
                </a:rPr>
                <a:t>Ɵ</a:t>
              </a:r>
              <a:r>
                <a:rPr lang="en-IN" sz="1200"/>
                <a:t> (1-e</a:t>
              </a:r>
              <a:r>
                <a:rPr lang="en-IN" sz="1200" baseline="30000"/>
                <a:t>-k/Ɵ</a:t>
              </a:r>
              <a:r>
                <a:rPr lang="en-IN" sz="1200" baseline="0"/>
                <a:t>)</a:t>
              </a:r>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1</xdr:col>
      <xdr:colOff>482600</xdr:colOff>
      <xdr:row>17</xdr:row>
      <xdr:rowOff>38100</xdr:rowOff>
    </xdr:from>
    <xdr:ext cx="553805" cy="18319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99A1789-B237-8744-BC56-E54096F68E83}"/>
                </a:ext>
              </a:extLst>
            </xdr:cNvPr>
            <xdr:cNvSpPr txBox="1"/>
          </xdr:nvSpPr>
          <xdr:spPr>
            <a:xfrm>
              <a:off x="1308100" y="3492500"/>
              <a:ext cx="5538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𝑗</m:t>
                        </m:r>
                      </m:sub>
                    </m:sSub>
                    <m:d>
                      <m:dPr>
                        <m:ctrlPr>
                          <a:rPr lang="en-US" sz="1100" b="0" i="1">
                            <a:latin typeface="Cambria Math" panose="02040503050406030204" pitchFamily="18" charset="0"/>
                          </a:rPr>
                        </m:ctrlPr>
                      </m:dPr>
                      <m:e>
                        <m:r>
                          <a:rPr lang="en-US" sz="1100" b="0" i="1">
                            <a:latin typeface="Cambria Math" panose="02040503050406030204" pitchFamily="18" charset="0"/>
                          </a:rPr>
                          <m:t>𝑋</m:t>
                        </m:r>
                        <m:r>
                          <a:rPr lang="en-US" sz="1100" b="0" i="1">
                            <a:latin typeface="Cambria Math" panose="02040503050406030204" pitchFamily="18" charset="0"/>
                          </a:rPr>
                          <m:t>,</m:t>
                        </m:r>
                        <m:r>
                          <a:rPr lang="en-US" sz="1100" b="0" i="1">
                            <a:latin typeface="Cambria Math" panose="02040503050406030204" pitchFamily="18" charset="0"/>
                          </a:rPr>
                          <m:t>𝐵</m:t>
                        </m:r>
                      </m:e>
                    </m:d>
                    <m:r>
                      <a:rPr lang="en-US" sz="1100" b="0" i="1">
                        <a:latin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B99A1789-B237-8744-BC56-E54096F68E83}"/>
                </a:ext>
              </a:extLst>
            </xdr:cNvPr>
            <xdr:cNvSpPr txBox="1"/>
          </xdr:nvSpPr>
          <xdr:spPr>
            <a:xfrm>
              <a:off x="1308100" y="3492500"/>
              <a:ext cx="5538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𝑅_𝑗 (𝑋,𝐵).</a:t>
              </a:r>
              <a:endParaRPr lang="en-US" sz="1100"/>
            </a:p>
          </xdr:txBody>
        </xdr:sp>
      </mc:Fallback>
    </mc:AlternateContent>
    <xdr:clientData/>
  </xdr:oneCellAnchor>
  <xdr:oneCellAnchor>
    <xdr:from>
      <xdr:col>2</xdr:col>
      <xdr:colOff>133162</xdr:colOff>
      <xdr:row>20</xdr:row>
      <xdr:rowOff>25400</xdr:rowOff>
    </xdr:from>
    <xdr:ext cx="787010" cy="1831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C7656E9-412D-574C-95F2-7148A530BC71}"/>
                </a:ext>
              </a:extLst>
            </xdr:cNvPr>
            <xdr:cNvSpPr txBox="1"/>
          </xdr:nvSpPr>
          <xdr:spPr>
            <a:xfrm>
              <a:off x="1784162" y="4089400"/>
              <a:ext cx="78701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𝑗</m:t>
                        </m:r>
                      </m:sub>
                    </m:sSub>
                    <m:d>
                      <m:dPr>
                        <m:ctrlPr>
                          <a:rPr lang="en-US" sz="1100" b="0" i="1">
                            <a:latin typeface="Cambria Math" panose="02040503050406030204" pitchFamily="18" charset="0"/>
                          </a:rPr>
                        </m:ctrlPr>
                      </m:dPr>
                      <m:e>
                        <m:r>
                          <a:rPr lang="en-US" sz="1100" b="0" i="1">
                            <a:latin typeface="Cambria Math" panose="02040503050406030204" pitchFamily="18" charset="0"/>
                          </a:rPr>
                          <m:t>𝑋</m:t>
                        </m:r>
                        <m:r>
                          <a:rPr lang="en-US" sz="1100" b="0" i="1">
                            <a:latin typeface="Cambria Math" panose="02040503050406030204" pitchFamily="18" charset="0"/>
                          </a:rPr>
                          <m:t>,</m:t>
                        </m:r>
                        <m:r>
                          <a:rPr lang="en-US" sz="1100" b="0" i="1">
                            <a:latin typeface="Cambria Math" panose="02040503050406030204" pitchFamily="18" charset="0"/>
                          </a:rPr>
                          <m:t>𝐵</m:t>
                        </m:r>
                      </m:e>
                    </m:d>
                    <m:r>
                      <a:rPr lang="en-US" sz="1100" b="0" i="1">
                        <a:latin typeface="Cambria Math" panose="02040503050406030204" pitchFamily="18" charset="0"/>
                      </a:rPr>
                      <m:t>&lt;1</m:t>
                    </m:r>
                  </m:oMath>
                </m:oMathPara>
              </a14:m>
              <a:endParaRPr lang="en-US" sz="1100"/>
            </a:p>
          </xdr:txBody>
        </xdr:sp>
      </mc:Choice>
      <mc:Fallback xmlns="">
        <xdr:sp macro="" textlink="">
          <xdr:nvSpPr>
            <xdr:cNvPr id="3" name="TextBox 2">
              <a:extLst>
                <a:ext uri="{FF2B5EF4-FFF2-40B4-BE49-F238E27FC236}">
                  <a16:creationId xmlns:a16="http://schemas.microsoft.com/office/drawing/2014/main" id="{CC7656E9-412D-574C-95F2-7148A530BC71}"/>
                </a:ext>
              </a:extLst>
            </xdr:cNvPr>
            <xdr:cNvSpPr txBox="1"/>
          </xdr:nvSpPr>
          <xdr:spPr>
            <a:xfrm>
              <a:off x="1784162" y="4089400"/>
              <a:ext cx="78701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𝑅_𝑗 (𝑋,𝐵)&lt;1</a:t>
              </a:r>
              <a:endParaRPr lang="en-US" sz="1100"/>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686F-D505-964C-A7E5-C4FBFE7B5313}">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149" customWidth="1"/>
    <col min="6" max="12" width="10.83203125" style="149" customWidth="1"/>
    <col min="13" max="13" width="10.6640625" style="149" customWidth="1"/>
    <col min="14" max="16" width="10" style="149" customWidth="1"/>
    <col min="17" max="16384" width="8.5" style="149"/>
  </cols>
  <sheetData>
    <row r="1" spans="1:13" ht="14.5" customHeight="1" x14ac:dyDescent="0.2">
      <c r="A1" s="145"/>
      <c r="B1" s="146"/>
      <c r="C1" s="146"/>
      <c r="D1" s="146"/>
      <c r="E1" s="146"/>
      <c r="F1" s="146"/>
      <c r="G1" s="146"/>
      <c r="H1" s="146"/>
      <c r="I1" s="146"/>
      <c r="J1" s="146"/>
      <c r="K1" s="146"/>
      <c r="L1" s="147" t="s">
        <v>125</v>
      </c>
      <c r="M1" s="148"/>
    </row>
    <row r="2" spans="1:13" s="151" customFormat="1" x14ac:dyDescent="0.2">
      <c r="A2" s="150"/>
      <c r="M2" s="152"/>
    </row>
    <row r="3" spans="1:13" s="151" customFormat="1" ht="16" customHeight="1" x14ac:dyDescent="0.2">
      <c r="A3" s="150"/>
      <c r="M3" s="152"/>
    </row>
    <row r="4" spans="1:13" s="151" customFormat="1" ht="16" customHeight="1" x14ac:dyDescent="0.2">
      <c r="A4" s="150"/>
      <c r="M4" s="152"/>
    </row>
    <row r="5" spans="1:13" s="151" customFormat="1" ht="16" customHeight="1" x14ac:dyDescent="0.2">
      <c r="A5" s="150"/>
      <c r="M5" s="152"/>
    </row>
    <row r="6" spans="1:13" s="151" customFormat="1" ht="16" customHeight="1" x14ac:dyDescent="0.2">
      <c r="A6" s="150"/>
      <c r="B6" s="153" t="s">
        <v>126</v>
      </c>
      <c r="M6" s="152"/>
    </row>
    <row r="7" spans="1:13" s="151" customFormat="1" ht="16" customHeight="1" x14ac:dyDescent="0.2">
      <c r="A7" s="150"/>
      <c r="M7" s="152"/>
    </row>
    <row r="8" spans="1:13" s="151" customFormat="1" ht="16" customHeight="1" x14ac:dyDescent="0.25">
      <c r="A8" s="150"/>
      <c r="B8" s="154" t="s">
        <v>127</v>
      </c>
      <c r="M8" s="152"/>
    </row>
    <row r="9" spans="1:13" s="151" customFormat="1" ht="17" customHeight="1" x14ac:dyDescent="0.2">
      <c r="A9" s="150"/>
      <c r="C9" s="278" t="s">
        <v>128</v>
      </c>
      <c r="D9" s="279"/>
      <c r="E9" s="279"/>
      <c r="F9" s="279"/>
      <c r="G9" s="279"/>
      <c r="H9" s="279"/>
      <c r="I9" s="279"/>
      <c r="J9" s="279"/>
      <c r="K9" s="279"/>
      <c r="M9" s="152"/>
    </row>
    <row r="10" spans="1:13" s="151" customFormat="1" x14ac:dyDescent="0.2">
      <c r="A10" s="150"/>
      <c r="C10" s="279"/>
      <c r="D10" s="279"/>
      <c r="E10" s="279"/>
      <c r="F10" s="279"/>
      <c r="G10" s="279"/>
      <c r="H10" s="279"/>
      <c r="I10" s="279"/>
      <c r="J10" s="279"/>
      <c r="K10" s="279"/>
      <c r="M10" s="152"/>
    </row>
    <row r="11" spans="1:13" s="151" customFormat="1" ht="16" customHeight="1" x14ac:dyDescent="0.2">
      <c r="A11" s="150"/>
      <c r="C11" s="279"/>
      <c r="D11" s="279"/>
      <c r="E11" s="279"/>
      <c r="F11" s="279"/>
      <c r="G11" s="279"/>
      <c r="H11" s="279"/>
      <c r="I11" s="279"/>
      <c r="J11" s="279"/>
      <c r="K11" s="279"/>
      <c r="M11" s="152"/>
    </row>
    <row r="12" spans="1:13" s="151" customFormat="1" ht="16" customHeight="1" x14ac:dyDescent="0.2">
      <c r="A12" s="150"/>
      <c r="C12" s="279"/>
      <c r="D12" s="279"/>
      <c r="E12" s="279"/>
      <c r="F12" s="279"/>
      <c r="G12" s="279"/>
      <c r="H12" s="279"/>
      <c r="I12" s="279"/>
      <c r="J12" s="279"/>
      <c r="K12" s="279"/>
      <c r="M12" s="152"/>
    </row>
    <row r="13" spans="1:13" s="151" customFormat="1" ht="16" customHeight="1" x14ac:dyDescent="0.2">
      <c r="A13" s="150"/>
      <c r="C13" s="279"/>
      <c r="D13" s="279"/>
      <c r="E13" s="279"/>
      <c r="F13" s="279"/>
      <c r="G13" s="279"/>
      <c r="H13" s="279"/>
      <c r="I13" s="279"/>
      <c r="J13" s="279"/>
      <c r="K13" s="279"/>
      <c r="M13" s="152"/>
    </row>
    <row r="14" spans="1:13" s="151" customFormat="1" ht="16" customHeight="1" x14ac:dyDescent="0.2">
      <c r="A14" s="150"/>
      <c r="C14" s="279"/>
      <c r="D14" s="279"/>
      <c r="E14" s="279"/>
      <c r="F14" s="279"/>
      <c r="G14" s="279"/>
      <c r="H14" s="279"/>
      <c r="I14" s="279"/>
      <c r="J14" s="279"/>
      <c r="K14" s="279"/>
      <c r="M14" s="152"/>
    </row>
    <row r="15" spans="1:13" s="151" customFormat="1" ht="16" customHeight="1" x14ac:dyDescent="0.2">
      <c r="A15" s="150"/>
      <c r="C15" s="279"/>
      <c r="D15" s="279"/>
      <c r="E15" s="279"/>
      <c r="F15" s="279"/>
      <c r="G15" s="279"/>
      <c r="H15" s="279"/>
      <c r="I15" s="279"/>
      <c r="J15" s="279"/>
      <c r="K15" s="279"/>
      <c r="M15" s="152"/>
    </row>
    <row r="16" spans="1:13" s="151" customFormat="1" ht="16" customHeight="1" x14ac:dyDescent="0.2">
      <c r="A16" s="150"/>
      <c r="C16" s="279"/>
      <c r="D16" s="279"/>
      <c r="E16" s="279"/>
      <c r="F16" s="279"/>
      <c r="G16" s="279"/>
      <c r="H16" s="279"/>
      <c r="I16" s="279"/>
      <c r="J16" s="279"/>
      <c r="K16" s="279"/>
      <c r="M16" s="152"/>
    </row>
    <row r="17" spans="1:13" s="151" customFormat="1" ht="16" customHeight="1" x14ac:dyDescent="0.2">
      <c r="A17" s="150"/>
      <c r="M17" s="152"/>
    </row>
    <row r="18" spans="1:13" s="151" customFormat="1" ht="16" customHeight="1" x14ac:dyDescent="0.25">
      <c r="A18" s="150"/>
      <c r="B18" s="154" t="s">
        <v>129</v>
      </c>
      <c r="M18" s="152"/>
    </row>
    <row r="19" spans="1:13" s="151" customFormat="1" ht="17" customHeight="1" x14ac:dyDescent="0.2">
      <c r="A19" s="150"/>
      <c r="C19" s="278" t="s">
        <v>130</v>
      </c>
      <c r="D19" s="279"/>
      <c r="E19" s="279"/>
      <c r="F19" s="279"/>
      <c r="G19" s="279"/>
      <c r="H19" s="279"/>
      <c r="I19" s="279"/>
      <c r="J19" s="279"/>
      <c r="K19" s="279"/>
      <c r="M19" s="152"/>
    </row>
    <row r="20" spans="1:13" s="151" customFormat="1" x14ac:dyDescent="0.2">
      <c r="A20" s="150"/>
      <c r="C20" s="279"/>
      <c r="D20" s="279"/>
      <c r="E20" s="279"/>
      <c r="F20" s="279"/>
      <c r="G20" s="279"/>
      <c r="H20" s="279"/>
      <c r="I20" s="279"/>
      <c r="J20" s="279"/>
      <c r="K20" s="279"/>
      <c r="M20" s="152"/>
    </row>
    <row r="21" spans="1:13" s="151" customFormat="1" x14ac:dyDescent="0.2">
      <c r="A21" s="150"/>
      <c r="C21" s="279"/>
      <c r="D21" s="279"/>
      <c r="E21" s="279"/>
      <c r="F21" s="279"/>
      <c r="G21" s="279"/>
      <c r="H21" s="279"/>
      <c r="I21" s="279"/>
      <c r="J21" s="279"/>
      <c r="K21" s="279"/>
      <c r="M21" s="152"/>
    </row>
    <row r="22" spans="1:13" s="151" customFormat="1" x14ac:dyDescent="0.2">
      <c r="A22" s="150"/>
      <c r="C22" s="279"/>
      <c r="D22" s="279"/>
      <c r="E22" s="279"/>
      <c r="F22" s="279"/>
      <c r="G22" s="279"/>
      <c r="H22" s="279"/>
      <c r="I22" s="279"/>
      <c r="J22" s="279"/>
      <c r="K22" s="279"/>
      <c r="M22" s="152"/>
    </row>
    <row r="23" spans="1:13" s="151" customFormat="1" x14ac:dyDescent="0.2">
      <c r="A23" s="150"/>
      <c r="C23" s="279"/>
      <c r="D23" s="279"/>
      <c r="E23" s="279"/>
      <c r="F23" s="279"/>
      <c r="G23" s="279"/>
      <c r="H23" s="279"/>
      <c r="I23" s="279"/>
      <c r="J23" s="279"/>
      <c r="K23" s="279"/>
      <c r="M23" s="152"/>
    </row>
    <row r="24" spans="1:13" s="151" customFormat="1" x14ac:dyDescent="0.2">
      <c r="A24" s="150"/>
      <c r="C24" s="279"/>
      <c r="D24" s="279"/>
      <c r="E24" s="279"/>
      <c r="F24" s="279"/>
      <c r="G24" s="279"/>
      <c r="H24" s="279"/>
      <c r="I24" s="279"/>
      <c r="J24" s="279"/>
      <c r="K24" s="279"/>
      <c r="M24" s="152"/>
    </row>
    <row r="25" spans="1:13" s="151" customFormat="1" x14ac:dyDescent="0.2">
      <c r="A25" s="150"/>
      <c r="C25" s="279"/>
      <c r="D25" s="279"/>
      <c r="E25" s="279"/>
      <c r="F25" s="279"/>
      <c r="G25" s="279"/>
      <c r="H25" s="279"/>
      <c r="I25" s="279"/>
      <c r="J25" s="279"/>
      <c r="K25" s="279"/>
      <c r="M25" s="152"/>
    </row>
    <row r="26" spans="1:13" s="151" customFormat="1" x14ac:dyDescent="0.2">
      <c r="A26" s="150"/>
      <c r="C26" s="279"/>
      <c r="D26" s="279"/>
      <c r="E26" s="279"/>
      <c r="F26" s="279"/>
      <c r="G26" s="279"/>
      <c r="H26" s="279"/>
      <c r="I26" s="279"/>
      <c r="J26" s="279"/>
      <c r="K26" s="279"/>
      <c r="M26" s="152"/>
    </row>
    <row r="27" spans="1:13" s="151" customFormat="1" x14ac:dyDescent="0.2">
      <c r="A27" s="150"/>
      <c r="C27" s="279"/>
      <c r="D27" s="279"/>
      <c r="E27" s="279"/>
      <c r="F27" s="279"/>
      <c r="G27" s="279"/>
      <c r="H27" s="279"/>
      <c r="I27" s="279"/>
      <c r="J27" s="279"/>
      <c r="K27" s="279"/>
      <c r="M27" s="152"/>
    </row>
    <row r="28" spans="1:13" s="151" customFormat="1" x14ac:dyDescent="0.2">
      <c r="A28" s="150"/>
      <c r="C28" s="279"/>
      <c r="D28" s="279"/>
      <c r="E28" s="279"/>
      <c r="F28" s="279"/>
      <c r="G28" s="279"/>
      <c r="H28" s="279"/>
      <c r="I28" s="279"/>
      <c r="J28" s="279"/>
      <c r="K28" s="279"/>
      <c r="M28" s="152"/>
    </row>
    <row r="29" spans="1:13" s="151" customFormat="1" x14ac:dyDescent="0.2">
      <c r="A29" s="150"/>
      <c r="C29" s="155"/>
      <c r="D29" s="155"/>
      <c r="E29" s="155"/>
      <c r="F29" s="155"/>
      <c r="G29" s="155"/>
      <c r="H29" s="155"/>
      <c r="I29" s="155"/>
      <c r="J29" s="155"/>
      <c r="K29" s="155"/>
      <c r="M29" s="152"/>
    </row>
    <row r="30" spans="1:13" s="151" customFormat="1" ht="19" x14ac:dyDescent="0.25">
      <c r="A30" s="150"/>
      <c r="C30" s="156" t="s">
        <v>131</v>
      </c>
      <c r="D30" s="155"/>
      <c r="E30" s="155"/>
      <c r="F30" s="155"/>
      <c r="G30" s="155"/>
      <c r="H30" s="155"/>
      <c r="I30" s="155"/>
      <c r="J30" s="155"/>
      <c r="K30" s="155"/>
      <c r="M30" s="152"/>
    </row>
    <row r="31" spans="1:13" s="151" customFormat="1" x14ac:dyDescent="0.2">
      <c r="A31" s="150"/>
      <c r="C31" s="278" t="s">
        <v>132</v>
      </c>
      <c r="D31" s="278"/>
      <c r="E31" s="278"/>
      <c r="F31" s="278"/>
      <c r="G31" s="278"/>
      <c r="H31" s="278"/>
      <c r="I31" s="278"/>
      <c r="J31" s="278"/>
      <c r="K31" s="278"/>
      <c r="M31" s="152"/>
    </row>
    <row r="32" spans="1:13" s="151" customFormat="1" x14ac:dyDescent="0.2">
      <c r="A32" s="150"/>
      <c r="C32" s="278"/>
      <c r="D32" s="278"/>
      <c r="E32" s="278"/>
      <c r="F32" s="278"/>
      <c r="G32" s="278"/>
      <c r="H32" s="278"/>
      <c r="I32" s="278"/>
      <c r="J32" s="278"/>
      <c r="K32" s="278"/>
      <c r="M32" s="152"/>
    </row>
    <row r="33" spans="1:13" s="151" customFormat="1" x14ac:dyDescent="0.2">
      <c r="A33" s="150"/>
      <c r="C33" s="278"/>
      <c r="D33" s="278"/>
      <c r="E33" s="278"/>
      <c r="F33" s="278"/>
      <c r="G33" s="278"/>
      <c r="H33" s="278"/>
      <c r="I33" s="278"/>
      <c r="J33" s="278"/>
      <c r="K33" s="278"/>
      <c r="M33" s="152"/>
    </row>
    <row r="34" spans="1:13" s="151" customFormat="1" x14ac:dyDescent="0.2">
      <c r="A34" s="150"/>
      <c r="C34" s="278"/>
      <c r="D34" s="278"/>
      <c r="E34" s="278"/>
      <c r="F34" s="278"/>
      <c r="G34" s="278"/>
      <c r="H34" s="278"/>
      <c r="I34" s="278"/>
      <c r="J34" s="278"/>
      <c r="K34" s="278"/>
      <c r="M34" s="152"/>
    </row>
    <row r="35" spans="1:13" s="151" customFormat="1" x14ac:dyDescent="0.2">
      <c r="A35" s="150"/>
      <c r="C35" s="278"/>
      <c r="D35" s="278"/>
      <c r="E35" s="278"/>
      <c r="F35" s="278"/>
      <c r="G35" s="278"/>
      <c r="H35" s="278"/>
      <c r="I35" s="278"/>
      <c r="J35" s="278"/>
      <c r="K35" s="278"/>
      <c r="M35" s="152"/>
    </row>
    <row r="36" spans="1:13" s="151" customFormat="1" x14ac:dyDescent="0.2">
      <c r="A36" s="150"/>
      <c r="C36" s="278"/>
      <c r="D36" s="278"/>
      <c r="E36" s="278"/>
      <c r="F36" s="278"/>
      <c r="G36" s="278"/>
      <c r="H36" s="278"/>
      <c r="I36" s="278"/>
      <c r="J36" s="278"/>
      <c r="K36" s="278"/>
      <c r="M36" s="152"/>
    </row>
    <row r="37" spans="1:13" s="151" customFormat="1" x14ac:dyDescent="0.2">
      <c r="A37" s="150"/>
      <c r="C37" s="278"/>
      <c r="D37" s="278"/>
      <c r="E37" s="278"/>
      <c r="F37" s="278"/>
      <c r="G37" s="278"/>
      <c r="H37" s="278"/>
      <c r="I37" s="278"/>
      <c r="J37" s="278"/>
      <c r="K37" s="278"/>
      <c r="M37" s="152"/>
    </row>
    <row r="38" spans="1:13" s="151" customFormat="1" x14ac:dyDescent="0.2">
      <c r="A38" s="150"/>
      <c r="C38" s="278"/>
      <c r="D38" s="278"/>
      <c r="E38" s="278"/>
      <c r="F38" s="278"/>
      <c r="G38" s="278"/>
      <c r="H38" s="278"/>
      <c r="I38" s="278"/>
      <c r="J38" s="278"/>
      <c r="K38" s="278"/>
      <c r="M38" s="152"/>
    </row>
    <row r="39" spans="1:13" s="151" customFormat="1" x14ac:dyDescent="0.2">
      <c r="A39" s="150"/>
      <c r="C39" s="278"/>
      <c r="D39" s="278"/>
      <c r="E39" s="278"/>
      <c r="F39" s="278"/>
      <c r="G39" s="278"/>
      <c r="H39" s="278"/>
      <c r="I39" s="278"/>
      <c r="J39" s="278"/>
      <c r="K39" s="278"/>
      <c r="M39" s="152"/>
    </row>
    <row r="40" spans="1:13" s="151" customFormat="1" x14ac:dyDescent="0.2">
      <c r="A40" s="150"/>
      <c r="C40" s="157"/>
      <c r="D40" s="157"/>
      <c r="E40" s="157"/>
      <c r="F40" s="157"/>
      <c r="G40" s="157"/>
      <c r="H40" s="157"/>
      <c r="I40" s="157"/>
      <c r="J40" s="157"/>
      <c r="K40" s="157"/>
      <c r="M40" s="152"/>
    </row>
    <row r="41" spans="1:13" s="151" customFormat="1" ht="21" x14ac:dyDescent="0.25">
      <c r="A41" s="150"/>
      <c r="B41" s="154" t="s">
        <v>133</v>
      </c>
      <c r="M41" s="152"/>
    </row>
    <row r="42" spans="1:13" s="151" customFormat="1" x14ac:dyDescent="0.2">
      <c r="A42" s="150"/>
      <c r="C42" s="280" t="s">
        <v>336</v>
      </c>
      <c r="D42" s="279"/>
      <c r="E42" s="279"/>
      <c r="F42" s="279"/>
      <c r="G42" s="279"/>
      <c r="H42" s="279"/>
      <c r="I42" s="279"/>
      <c r="J42" s="279"/>
      <c r="K42" s="279"/>
      <c r="M42" s="152"/>
    </row>
    <row r="43" spans="1:13" s="151" customFormat="1" x14ac:dyDescent="0.2">
      <c r="A43" s="150"/>
      <c r="C43" s="279"/>
      <c r="D43" s="279"/>
      <c r="E43" s="279"/>
      <c r="F43" s="279"/>
      <c r="G43" s="279"/>
      <c r="H43" s="279"/>
      <c r="I43" s="279"/>
      <c r="J43" s="279"/>
      <c r="K43" s="279"/>
      <c r="M43" s="152"/>
    </row>
    <row r="44" spans="1:13" s="151" customFormat="1" x14ac:dyDescent="0.2">
      <c r="A44" s="150"/>
      <c r="C44" s="279"/>
      <c r="D44" s="279"/>
      <c r="E44" s="279"/>
      <c r="F44" s="279"/>
      <c r="G44" s="279"/>
      <c r="H44" s="279"/>
      <c r="I44" s="279"/>
      <c r="J44" s="279"/>
      <c r="K44" s="279"/>
      <c r="M44" s="152"/>
    </row>
    <row r="45" spans="1:13" s="151" customFormat="1" x14ac:dyDescent="0.2">
      <c r="A45" s="150"/>
      <c r="C45" s="279"/>
      <c r="D45" s="279"/>
      <c r="E45" s="279"/>
      <c r="F45" s="279"/>
      <c r="G45" s="279"/>
      <c r="H45" s="279"/>
      <c r="I45" s="279"/>
      <c r="J45" s="279"/>
      <c r="K45" s="279"/>
      <c r="M45" s="152"/>
    </row>
    <row r="46" spans="1:13" s="151" customFormat="1" x14ac:dyDescent="0.2">
      <c r="A46" s="150"/>
      <c r="C46" s="279"/>
      <c r="D46" s="279"/>
      <c r="E46" s="279"/>
      <c r="F46" s="279"/>
      <c r="G46" s="279"/>
      <c r="H46" s="279"/>
      <c r="I46" s="279"/>
      <c r="J46" s="279"/>
      <c r="K46" s="279"/>
      <c r="M46" s="152"/>
    </row>
    <row r="47" spans="1:13" s="151" customFormat="1" x14ac:dyDescent="0.2">
      <c r="A47" s="150"/>
      <c r="C47" s="279"/>
      <c r="D47" s="279"/>
      <c r="E47" s="279"/>
      <c r="F47" s="279"/>
      <c r="G47" s="279"/>
      <c r="H47" s="279"/>
      <c r="I47" s="279"/>
      <c r="J47" s="279"/>
      <c r="K47" s="279"/>
      <c r="M47" s="152"/>
    </row>
    <row r="48" spans="1:13" s="151" customFormat="1" x14ac:dyDescent="0.2">
      <c r="A48" s="150"/>
      <c r="C48" s="279"/>
      <c r="D48" s="279"/>
      <c r="E48" s="279"/>
      <c r="F48" s="279"/>
      <c r="G48" s="279"/>
      <c r="H48" s="279"/>
      <c r="I48" s="279"/>
      <c r="J48" s="279"/>
      <c r="K48" s="279"/>
      <c r="M48" s="152"/>
    </row>
    <row r="49" spans="1:13" s="151" customFormat="1" x14ac:dyDescent="0.2">
      <c r="A49" s="150"/>
      <c r="C49" s="279"/>
      <c r="D49" s="279"/>
      <c r="E49" s="279"/>
      <c r="F49" s="279"/>
      <c r="G49" s="279"/>
      <c r="H49" s="279"/>
      <c r="I49" s="279"/>
      <c r="J49" s="279"/>
      <c r="K49" s="279"/>
      <c r="M49" s="152"/>
    </row>
    <row r="50" spans="1:13" s="151" customFormat="1" x14ac:dyDescent="0.2">
      <c r="A50" s="150"/>
      <c r="C50" s="279"/>
      <c r="D50" s="279"/>
      <c r="E50" s="279"/>
      <c r="F50" s="279"/>
      <c r="G50" s="279"/>
      <c r="H50" s="279"/>
      <c r="I50" s="279"/>
      <c r="J50" s="279"/>
      <c r="K50" s="279"/>
      <c r="M50" s="152"/>
    </row>
    <row r="51" spans="1:13" s="151" customFormat="1" x14ac:dyDescent="0.2">
      <c r="A51" s="150"/>
      <c r="C51" s="157"/>
      <c r="D51" s="157"/>
      <c r="E51" s="157"/>
      <c r="F51" s="157"/>
      <c r="G51" s="157"/>
      <c r="H51" s="157"/>
      <c r="I51" s="157"/>
      <c r="J51" s="157"/>
      <c r="K51" s="157"/>
      <c r="M51" s="152"/>
    </row>
    <row r="52" spans="1:13" ht="17" thickBot="1" x14ac:dyDescent="0.25">
      <c r="A52" s="158"/>
      <c r="B52" s="159"/>
      <c r="C52" s="159"/>
      <c r="D52" s="159"/>
      <c r="E52" s="159"/>
      <c r="F52" s="159"/>
      <c r="G52" s="159"/>
      <c r="H52" s="159"/>
      <c r="I52" s="159"/>
      <c r="J52" s="159"/>
      <c r="K52" s="159"/>
      <c r="L52" s="159"/>
      <c r="M52" s="160"/>
    </row>
  </sheetData>
  <mergeCells count="4">
    <mergeCell ref="C9:K16"/>
    <mergeCell ref="C19:K28"/>
    <mergeCell ref="C31:K39"/>
    <mergeCell ref="C42:K50"/>
  </mergeCells>
  <hyperlinks>
    <hyperlink ref="B6" r:id="rId1" xr:uid="{5E9487B4-DE0C-AC4E-A78C-3A8D64A0E76B}"/>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M213"/>
  <sheetViews>
    <sheetView zoomScaleNormal="100" workbookViewId="0">
      <selection sqref="A1:XFD1048576"/>
    </sheetView>
  </sheetViews>
  <sheetFormatPr baseColWidth="10" defaultColWidth="10.83203125" defaultRowHeight="16" outlineLevelCol="1" x14ac:dyDescent="0.2"/>
  <cols>
    <col min="1" max="1" width="4.6640625" style="49" customWidth="1"/>
    <col min="2" max="2" width="10.83203125" style="49"/>
    <col min="3" max="3" width="10.83203125" style="49" customWidth="1"/>
    <col min="4" max="10" width="10.83203125" style="49"/>
    <col min="11" max="11" width="11.5" style="49" bestFit="1" customWidth="1"/>
    <col min="12" max="13" width="10.83203125" style="49" hidden="1" customWidth="1" outlineLevel="1"/>
    <col min="14" max="14" width="11.33203125" style="49" hidden="1" customWidth="1" outlineLevel="1"/>
    <col min="15" max="26" width="10.83203125" style="49" hidden="1" customWidth="1" outlineLevel="1"/>
    <col min="27" max="27" width="10.83203125" style="49" collapsed="1"/>
    <col min="28" max="16384" width="10.83203125" style="49"/>
  </cols>
  <sheetData>
    <row r="1" spans="1:26" ht="19" x14ac:dyDescent="0.25">
      <c r="A1" s="1" t="s">
        <v>116</v>
      </c>
      <c r="B1" s="37"/>
      <c r="C1" s="46"/>
      <c r="D1" s="46"/>
      <c r="E1" s="46"/>
      <c r="F1" s="47"/>
      <c r="G1" s="47"/>
      <c r="H1" s="47"/>
      <c r="I1" s="47"/>
      <c r="J1" s="48"/>
      <c r="K1" s="3" t="s">
        <v>110</v>
      </c>
    </row>
    <row r="2" spans="1:26" ht="19" x14ac:dyDescent="0.25">
      <c r="A2" s="2"/>
      <c r="B2" s="47"/>
      <c r="C2" s="47"/>
      <c r="D2" s="47"/>
      <c r="E2" s="47"/>
      <c r="F2" s="47"/>
      <c r="G2" s="47"/>
      <c r="H2" s="47"/>
      <c r="I2" s="47"/>
      <c r="J2" s="48"/>
      <c r="L2" s="3"/>
      <c r="M2" s="49" t="s">
        <v>35</v>
      </c>
      <c r="O2" s="50">
        <v>500000</v>
      </c>
    </row>
    <row r="3" spans="1:26" ht="19" x14ac:dyDescent="0.25">
      <c r="A3" s="2"/>
      <c r="B3" s="47" t="s">
        <v>2</v>
      </c>
      <c r="C3" s="47"/>
      <c r="D3" s="47"/>
      <c r="E3" s="47"/>
      <c r="F3" s="47"/>
      <c r="G3" s="47"/>
      <c r="H3" s="47"/>
      <c r="I3" s="47"/>
      <c r="J3" s="48"/>
      <c r="L3" s="3"/>
    </row>
    <row r="4" spans="1:26" x14ac:dyDescent="0.2">
      <c r="A4" s="2"/>
      <c r="B4" s="47"/>
      <c r="C4" s="47"/>
      <c r="D4" s="47"/>
      <c r="E4" s="47"/>
      <c r="F4" s="47"/>
      <c r="G4" s="47"/>
      <c r="H4" s="47"/>
      <c r="I4" s="47"/>
      <c r="J4" s="48"/>
      <c r="L4" s="39"/>
      <c r="M4" s="14" t="s">
        <v>15</v>
      </c>
    </row>
    <row r="5" spans="1:26" ht="19" x14ac:dyDescent="0.25">
      <c r="A5" s="2"/>
      <c r="B5" s="47"/>
      <c r="C5" s="292" t="s">
        <v>338</v>
      </c>
      <c r="D5" s="292"/>
      <c r="E5" s="292"/>
      <c r="F5" s="292"/>
      <c r="G5" s="47"/>
      <c r="H5" s="47"/>
      <c r="I5" s="47"/>
      <c r="J5" s="48"/>
      <c r="M5" s="10"/>
    </row>
    <row r="6" spans="1:26" x14ac:dyDescent="0.2">
      <c r="A6" s="2"/>
      <c r="B6" s="47"/>
      <c r="C6" s="292"/>
      <c r="D6" s="292"/>
      <c r="E6" s="292"/>
      <c r="F6" s="292"/>
      <c r="G6" s="47"/>
      <c r="H6" s="47"/>
      <c r="I6" s="47"/>
      <c r="J6" s="48"/>
      <c r="M6" s="51" t="s">
        <v>16</v>
      </c>
      <c r="N6" s="51"/>
      <c r="O6" s="51"/>
      <c r="P6" s="51"/>
      <c r="R6" s="51" t="s">
        <v>17</v>
      </c>
      <c r="S6" s="51"/>
      <c r="T6" s="51"/>
      <c r="U6" s="51"/>
      <c r="W6" s="51" t="s">
        <v>18</v>
      </c>
      <c r="X6" s="51"/>
      <c r="Y6" s="51"/>
      <c r="Z6" s="51"/>
    </row>
    <row r="7" spans="1:26" x14ac:dyDescent="0.2">
      <c r="A7" s="2"/>
      <c r="B7" s="47"/>
      <c r="C7" s="38"/>
      <c r="D7" s="38"/>
      <c r="E7" s="38"/>
      <c r="F7" s="38"/>
      <c r="G7" s="47"/>
      <c r="H7" s="47"/>
      <c r="I7" s="47"/>
      <c r="J7" s="48"/>
      <c r="M7" s="52" t="s">
        <v>19</v>
      </c>
      <c r="N7" s="53">
        <v>12</v>
      </c>
      <c r="O7" s="53">
        <v>24</v>
      </c>
      <c r="P7" s="53">
        <v>36</v>
      </c>
      <c r="R7" s="52" t="s">
        <v>19</v>
      </c>
      <c r="S7" s="53">
        <v>12</v>
      </c>
      <c r="T7" s="53">
        <v>24</v>
      </c>
      <c r="U7" s="53">
        <v>36</v>
      </c>
      <c r="W7" s="52" t="s">
        <v>19</v>
      </c>
      <c r="X7" s="53">
        <v>12</v>
      </c>
      <c r="Y7" s="53">
        <v>24</v>
      </c>
      <c r="Z7" s="53">
        <v>36</v>
      </c>
    </row>
    <row r="8" spans="1:26" x14ac:dyDescent="0.2">
      <c r="A8" s="2"/>
      <c r="B8" s="47"/>
      <c r="C8" s="285" t="s">
        <v>3</v>
      </c>
      <c r="D8" s="38"/>
      <c r="E8" s="38"/>
      <c r="F8" s="38"/>
      <c r="G8" s="47"/>
      <c r="H8" s="47"/>
      <c r="I8" s="47"/>
      <c r="J8" s="48"/>
      <c r="M8" s="54">
        <v>2014</v>
      </c>
      <c r="N8" s="11">
        <v>1</v>
      </c>
      <c r="O8" s="11">
        <v>1</v>
      </c>
      <c r="P8" s="11">
        <v>1</v>
      </c>
      <c r="R8" s="54">
        <v>2014</v>
      </c>
      <c r="S8" s="11">
        <v>1</v>
      </c>
      <c r="T8" s="11">
        <f>S8*(1+$F$17)</f>
        <v>1.03</v>
      </c>
      <c r="U8" s="11">
        <f>T8*(1+$F$17)</f>
        <v>1.0609</v>
      </c>
      <c r="W8" s="54">
        <v>2014</v>
      </c>
      <c r="X8" s="11">
        <f>N8*S8</f>
        <v>1</v>
      </c>
      <c r="Y8" s="11">
        <f t="shared" ref="Y8:Z10" si="0">O8*T8</f>
        <v>1.03</v>
      </c>
      <c r="Z8" s="11">
        <f t="shared" si="0"/>
        <v>1.0609</v>
      </c>
    </row>
    <row r="9" spans="1:26" ht="17" x14ac:dyDescent="0.2">
      <c r="A9" s="2"/>
      <c r="B9" s="47"/>
      <c r="C9" s="286"/>
      <c r="D9" s="7" t="s">
        <v>4</v>
      </c>
      <c r="E9" s="7" t="s">
        <v>5</v>
      </c>
      <c r="F9" s="7" t="s">
        <v>6</v>
      </c>
      <c r="G9" s="47"/>
      <c r="H9" s="47"/>
      <c r="I9" s="47"/>
      <c r="J9" s="48"/>
      <c r="M9" s="54">
        <v>2015</v>
      </c>
      <c r="N9" s="11">
        <f>N8*(1+$F$18)</f>
        <v>1.01</v>
      </c>
      <c r="O9" s="11">
        <f>O8*(1+$F$18)</f>
        <v>1.01</v>
      </c>
      <c r="P9" s="11">
        <f>P8*(1+$F$18)</f>
        <v>1.01</v>
      </c>
      <c r="R9" s="54">
        <v>2015</v>
      </c>
      <c r="S9" s="11">
        <f>S8*(1+$F$17)</f>
        <v>1.03</v>
      </c>
      <c r="T9" s="11">
        <f>T8*(1+$F$17)</f>
        <v>1.0609</v>
      </c>
      <c r="U9" s="11">
        <f>U8*(1+$F$17)</f>
        <v>1.092727</v>
      </c>
      <c r="W9" s="54">
        <v>2015</v>
      </c>
      <c r="X9" s="11">
        <f t="shared" ref="X9:X10" si="1">N9*S9</f>
        <v>1.0403</v>
      </c>
      <c r="Y9" s="11">
        <f t="shared" si="0"/>
        <v>1.071509</v>
      </c>
      <c r="Z9" s="11">
        <f t="shared" si="0"/>
        <v>1.10365427</v>
      </c>
    </row>
    <row r="10" spans="1:26" x14ac:dyDescent="0.2">
      <c r="A10" s="2"/>
      <c r="B10" s="47"/>
      <c r="C10" s="9">
        <v>2014</v>
      </c>
      <c r="D10" s="5">
        <v>8760</v>
      </c>
      <c r="E10" s="5">
        <v>11320</v>
      </c>
      <c r="F10" s="5">
        <v>13235</v>
      </c>
      <c r="G10" s="47"/>
      <c r="H10" s="47"/>
      <c r="I10" s="47"/>
      <c r="J10" s="48"/>
      <c r="M10" s="54">
        <v>2016</v>
      </c>
      <c r="N10" s="11">
        <f>N9*(1+$F$18)</f>
        <v>1.0201</v>
      </c>
      <c r="O10" s="11">
        <f>O9*(1+$F$18)</f>
        <v>1.0201</v>
      </c>
      <c r="P10" s="11">
        <f>P9*(1+$F$18)</f>
        <v>1.0201</v>
      </c>
      <c r="R10" s="54">
        <v>2016</v>
      </c>
      <c r="S10" s="11">
        <f>S9*(1+$F$17)</f>
        <v>1.0609</v>
      </c>
      <c r="T10" s="11">
        <f>T9*(1+$F$17)</f>
        <v>1.092727</v>
      </c>
      <c r="U10" s="11">
        <f>U9*(1+$F$17)</f>
        <v>1.1255088100000001</v>
      </c>
      <c r="W10" s="54">
        <v>2016</v>
      </c>
      <c r="X10" s="11">
        <f t="shared" si="1"/>
        <v>1.08222409</v>
      </c>
      <c r="Y10" s="11">
        <f t="shared" si="0"/>
        <v>1.1146908126999999</v>
      </c>
      <c r="Z10" s="11">
        <f t="shared" si="0"/>
        <v>1.1481315370810001</v>
      </c>
    </row>
    <row r="11" spans="1:26" x14ac:dyDescent="0.2">
      <c r="A11" s="2"/>
      <c r="B11" s="47"/>
      <c r="C11" s="9">
        <v>2015</v>
      </c>
      <c r="D11" s="5">
        <v>6470</v>
      </c>
      <c r="E11" s="5">
        <v>9640</v>
      </c>
      <c r="F11" s="6"/>
      <c r="G11" s="47"/>
      <c r="H11" s="47"/>
      <c r="I11" s="47"/>
      <c r="J11" s="48"/>
      <c r="X11" s="55"/>
      <c r="Y11" s="55"/>
      <c r="Z11" s="55"/>
    </row>
    <row r="12" spans="1:26" x14ac:dyDescent="0.2">
      <c r="A12" s="2"/>
      <c r="B12" s="47"/>
      <c r="C12" s="9">
        <v>2016</v>
      </c>
      <c r="D12" s="5">
        <v>7820</v>
      </c>
      <c r="E12" s="6"/>
      <c r="F12" s="6"/>
      <c r="G12" s="47"/>
      <c r="H12" s="47"/>
      <c r="I12" s="47"/>
      <c r="J12" s="48"/>
      <c r="X12" s="55"/>
      <c r="Y12" s="55"/>
      <c r="Z12" s="55"/>
    </row>
    <row r="13" spans="1:26" x14ac:dyDescent="0.2">
      <c r="A13" s="2"/>
      <c r="B13" s="47"/>
      <c r="C13" s="47"/>
      <c r="D13" s="47"/>
      <c r="E13" s="47"/>
      <c r="F13" s="47"/>
      <c r="G13" s="47"/>
      <c r="H13" s="47"/>
      <c r="I13" s="47"/>
      <c r="J13" s="48"/>
      <c r="M13" s="14" t="s">
        <v>20</v>
      </c>
      <c r="X13" s="55"/>
      <c r="Y13" s="55"/>
      <c r="Z13" s="55"/>
    </row>
    <row r="14" spans="1:26" x14ac:dyDescent="0.2">
      <c r="A14" s="2"/>
      <c r="B14" s="47"/>
      <c r="C14" s="47"/>
      <c r="D14" s="47"/>
      <c r="E14" s="47"/>
      <c r="F14" s="47"/>
      <c r="G14" s="47"/>
      <c r="H14" s="47"/>
      <c r="I14" s="47"/>
      <c r="J14" s="48"/>
      <c r="M14" s="49" t="s">
        <v>38</v>
      </c>
    </row>
    <row r="15" spans="1:26" x14ac:dyDescent="0.2">
      <c r="A15" s="2"/>
      <c r="B15" s="47" t="s">
        <v>9</v>
      </c>
      <c r="C15" s="47"/>
      <c r="D15" s="47"/>
      <c r="E15" s="47"/>
      <c r="F15" s="56">
        <v>250000</v>
      </c>
      <c r="G15" s="47"/>
      <c r="H15" s="47"/>
      <c r="I15" s="47"/>
      <c r="J15" s="48"/>
    </row>
    <row r="16" spans="1:26" x14ac:dyDescent="0.2">
      <c r="A16" s="2"/>
      <c r="B16" s="47" t="s">
        <v>7</v>
      </c>
      <c r="C16" s="47"/>
      <c r="D16" s="47"/>
      <c r="E16" s="47"/>
      <c r="F16" s="56">
        <v>750000</v>
      </c>
      <c r="G16" s="47"/>
      <c r="H16" s="47"/>
      <c r="I16" s="47"/>
      <c r="J16" s="48"/>
      <c r="L16" s="39"/>
      <c r="M16" s="52" t="s">
        <v>19</v>
      </c>
      <c r="N16" s="53">
        <v>12</v>
      </c>
      <c r="O16" s="53">
        <v>24</v>
      </c>
      <c r="P16" s="53">
        <v>36</v>
      </c>
    </row>
    <row r="17" spans="1:21" x14ac:dyDescent="0.2">
      <c r="A17" s="2"/>
      <c r="B17" s="47" t="s">
        <v>8</v>
      </c>
      <c r="C17" s="47"/>
      <c r="D17" s="47"/>
      <c r="E17" s="47"/>
      <c r="F17" s="57">
        <v>0.03</v>
      </c>
      <c r="G17" s="47"/>
      <c r="H17" s="47"/>
      <c r="I17" s="47"/>
      <c r="J17" s="48"/>
      <c r="M17" s="54">
        <v>2014</v>
      </c>
      <c r="N17" s="58">
        <f t="shared" ref="N17:P18" si="2">N$19*X8/X$10</f>
        <v>42505.06011190344</v>
      </c>
      <c r="O17" s="58">
        <f t="shared" si="2"/>
        <v>67453.682351498937</v>
      </c>
      <c r="P17" s="58">
        <f t="shared" si="2"/>
        <v>85010.12022380688</v>
      </c>
    </row>
    <row r="18" spans="1:21" x14ac:dyDescent="0.2">
      <c r="A18" s="2"/>
      <c r="B18" s="47" t="s">
        <v>10</v>
      </c>
      <c r="C18" s="47"/>
      <c r="D18" s="47"/>
      <c r="E18" s="47"/>
      <c r="F18" s="57">
        <v>0.01</v>
      </c>
      <c r="G18" s="47"/>
      <c r="H18" s="47"/>
      <c r="I18" s="47"/>
      <c r="J18" s="48"/>
      <c r="M18" s="54">
        <v>2015</v>
      </c>
      <c r="N18" s="58">
        <f t="shared" si="2"/>
        <v>44218.014034413151</v>
      </c>
      <c r="O18" s="58">
        <f t="shared" si="2"/>
        <v>70172.065750264359</v>
      </c>
      <c r="P18" s="58">
        <f t="shared" si="2"/>
        <v>88436.028068826286</v>
      </c>
    </row>
    <row r="19" spans="1:21" x14ac:dyDescent="0.2">
      <c r="A19" s="2"/>
      <c r="B19" s="47"/>
      <c r="C19" s="47"/>
      <c r="D19" s="47"/>
      <c r="E19" s="47"/>
      <c r="F19" s="47"/>
      <c r="G19" s="47"/>
      <c r="H19" s="47"/>
      <c r="I19" s="47"/>
      <c r="J19" s="48"/>
      <c r="M19" s="59">
        <v>2016</v>
      </c>
      <c r="N19" s="60">
        <f>D24</f>
        <v>46000</v>
      </c>
      <c r="O19" s="60">
        <f>E24</f>
        <v>73000</v>
      </c>
      <c r="P19" s="60">
        <f>F24</f>
        <v>92000</v>
      </c>
      <c r="Q19" s="49" t="s">
        <v>36</v>
      </c>
    </row>
    <row r="20" spans="1:21" x14ac:dyDescent="0.2">
      <c r="A20" s="2"/>
      <c r="B20" s="47" t="s">
        <v>11</v>
      </c>
      <c r="C20" s="47"/>
      <c r="D20" s="47"/>
      <c r="E20" s="47"/>
      <c r="F20" s="47"/>
      <c r="G20" s="47"/>
      <c r="H20" s="47"/>
      <c r="I20" s="47"/>
      <c r="J20" s="48"/>
    </row>
    <row r="21" spans="1:21" x14ac:dyDescent="0.2">
      <c r="A21" s="2"/>
      <c r="B21" s="47" t="s">
        <v>12</v>
      </c>
      <c r="C21" s="47"/>
      <c r="D21" s="47"/>
      <c r="E21" s="47"/>
      <c r="F21" s="47"/>
      <c r="G21" s="47"/>
      <c r="H21" s="47"/>
      <c r="I21" s="47"/>
      <c r="J21" s="48"/>
    </row>
    <row r="22" spans="1:21" x14ac:dyDescent="0.2">
      <c r="A22" s="2"/>
      <c r="B22" s="47"/>
      <c r="C22" s="47"/>
      <c r="D22" s="47"/>
      <c r="E22" s="47"/>
      <c r="F22" s="47"/>
      <c r="G22" s="47"/>
      <c r="H22" s="47"/>
      <c r="I22" s="47"/>
      <c r="J22" s="48"/>
      <c r="M22" s="14" t="s">
        <v>21</v>
      </c>
    </row>
    <row r="23" spans="1:21" x14ac:dyDescent="0.2">
      <c r="A23" s="2"/>
      <c r="B23" s="61"/>
      <c r="C23" s="62"/>
      <c r="D23" s="63" t="s">
        <v>4</v>
      </c>
      <c r="E23" s="63" t="s">
        <v>5</v>
      </c>
      <c r="F23" s="63" t="s">
        <v>6</v>
      </c>
      <c r="G23" s="47"/>
      <c r="H23" s="47"/>
      <c r="I23" s="47"/>
      <c r="J23" s="48"/>
      <c r="M23" s="49" t="s">
        <v>39</v>
      </c>
    </row>
    <row r="24" spans="1:21" x14ac:dyDescent="0.2">
      <c r="A24" s="2"/>
      <c r="B24" s="47"/>
      <c r="C24" s="64" t="s">
        <v>13</v>
      </c>
      <c r="D24" s="65">
        <v>46000</v>
      </c>
      <c r="E24" s="65">
        <v>73000</v>
      </c>
      <c r="F24" s="65">
        <v>92000</v>
      </c>
      <c r="G24" s="47"/>
      <c r="H24" s="47"/>
      <c r="I24" s="47"/>
      <c r="J24" s="48"/>
    </row>
    <row r="25" spans="1:21" x14ac:dyDescent="0.2">
      <c r="A25" s="2"/>
      <c r="B25" s="47"/>
      <c r="C25" s="47"/>
      <c r="D25" s="47"/>
      <c r="E25" s="47"/>
      <c r="F25" s="47"/>
      <c r="G25" s="47"/>
      <c r="H25" s="47"/>
      <c r="I25" s="47"/>
      <c r="J25" s="48"/>
      <c r="M25" s="51" t="s">
        <v>23</v>
      </c>
      <c r="N25" s="51"/>
      <c r="O25" s="51"/>
      <c r="P25" s="51"/>
      <c r="R25" s="51" t="s">
        <v>24</v>
      </c>
      <c r="S25" s="51"/>
      <c r="T25" s="51"/>
      <c r="U25" s="51"/>
    </row>
    <row r="26" spans="1:21" x14ac:dyDescent="0.2">
      <c r="A26" s="2"/>
      <c r="B26" s="47"/>
      <c r="C26" s="47"/>
      <c r="D26" s="47"/>
      <c r="E26" s="47"/>
      <c r="F26" s="47"/>
      <c r="G26" s="47"/>
      <c r="H26" s="47"/>
      <c r="I26" s="47"/>
      <c r="J26" s="48"/>
      <c r="M26" s="52" t="s">
        <v>19</v>
      </c>
      <c r="N26" s="53">
        <v>12</v>
      </c>
      <c r="O26" s="53">
        <v>24</v>
      </c>
      <c r="P26" s="53">
        <v>36</v>
      </c>
      <c r="R26" s="52" t="s">
        <v>19</v>
      </c>
      <c r="S26" s="53">
        <v>12</v>
      </c>
      <c r="T26" s="53">
        <v>24</v>
      </c>
      <c r="U26" s="53">
        <v>36</v>
      </c>
    </row>
    <row r="27" spans="1:21" x14ac:dyDescent="0.2">
      <c r="A27" s="2"/>
      <c r="B27" s="47" t="s">
        <v>14</v>
      </c>
      <c r="C27" s="47"/>
      <c r="D27" s="47"/>
      <c r="E27" s="47"/>
      <c r="F27" s="47"/>
      <c r="G27" s="47"/>
      <c r="H27" s="47"/>
      <c r="I27" s="47"/>
      <c r="J27" s="48"/>
      <c r="M27" s="54">
        <v>2014</v>
      </c>
      <c r="N27" s="12">
        <f t="shared" ref="N27:P29" si="3">N17*(1-EXP(-$O$2/N17))</f>
        <v>42504.729207883887</v>
      </c>
      <c r="O27" s="12">
        <f t="shared" si="3"/>
        <v>67412.963030923755</v>
      </c>
      <c r="P27" s="12">
        <f t="shared" si="3"/>
        <v>84772.927515299962</v>
      </c>
      <c r="R27" s="54">
        <v>2014</v>
      </c>
      <c r="S27" s="12">
        <f t="shared" ref="S27:U29" si="4">N17*(1-EXP(-$F$15/N17))</f>
        <v>42386.463757649981</v>
      </c>
      <c r="T27" s="12">
        <f t="shared" si="4"/>
        <v>65796.374861729055</v>
      </c>
      <c r="U27" s="12">
        <f t="shared" si="4"/>
        <v>80519.710368750995</v>
      </c>
    </row>
    <row r="28" spans="1:21" x14ac:dyDescent="0.2">
      <c r="A28" s="2"/>
      <c r="B28" s="47"/>
      <c r="C28" s="47"/>
      <c r="D28" s="47"/>
      <c r="E28" s="47"/>
      <c r="F28" s="47"/>
      <c r="G28" s="47"/>
      <c r="H28" s="47"/>
      <c r="I28" s="47"/>
      <c r="J28" s="48"/>
      <c r="L28" s="39"/>
      <c r="M28" s="54">
        <v>2015</v>
      </c>
      <c r="N28" s="12">
        <f t="shared" si="3"/>
        <v>44217.47107524208</v>
      </c>
      <c r="O28" s="12">
        <f t="shared" si="3"/>
        <v>70115.615308220367</v>
      </c>
      <c r="P28" s="12">
        <f t="shared" si="3"/>
        <v>88126.134046641499</v>
      </c>
      <c r="R28" s="54">
        <v>2015</v>
      </c>
      <c r="S28" s="12">
        <f t="shared" si="4"/>
        <v>44063.067023320757</v>
      </c>
      <c r="T28" s="12">
        <f t="shared" si="4"/>
        <v>68181.778300989055</v>
      </c>
      <c r="U28" s="12">
        <f t="shared" si="4"/>
        <v>83200.973489903947</v>
      </c>
    </row>
    <row r="29" spans="1:21" ht="17" thickBot="1" x14ac:dyDescent="0.25">
      <c r="A29" s="2"/>
      <c r="B29" s="47"/>
      <c r="C29" s="47"/>
      <c r="D29" s="47"/>
      <c r="E29" s="47"/>
      <c r="F29" s="47"/>
      <c r="G29" s="47"/>
      <c r="H29" s="47"/>
      <c r="I29" s="47"/>
      <c r="J29" s="48"/>
      <c r="M29" s="54">
        <v>2016</v>
      </c>
      <c r="N29" s="12">
        <f t="shared" si="3"/>
        <v>45999.124682448026</v>
      </c>
      <c r="O29" s="12">
        <f t="shared" si="3"/>
        <v>72922.606743487588</v>
      </c>
      <c r="P29" s="12">
        <f t="shared" si="3"/>
        <v>91598.679143871908</v>
      </c>
      <c r="R29" s="54">
        <v>2016</v>
      </c>
      <c r="S29" s="12">
        <f t="shared" si="4"/>
        <v>45799.339571935954</v>
      </c>
      <c r="T29" s="12">
        <f t="shared" si="4"/>
        <v>70623.088616417139</v>
      </c>
      <c r="U29" s="12">
        <f t="shared" si="4"/>
        <v>85923.692012102765</v>
      </c>
    </row>
    <row r="30" spans="1:21" ht="17" thickBot="1" x14ac:dyDescent="0.25">
      <c r="A30" s="282" t="s">
        <v>109</v>
      </c>
      <c r="B30" s="283"/>
      <c r="C30" s="283"/>
      <c r="D30" s="283"/>
      <c r="E30" s="283"/>
      <c r="F30" s="283"/>
      <c r="G30" s="283"/>
      <c r="H30" s="283"/>
      <c r="I30" s="283"/>
      <c r="J30" s="284"/>
    </row>
    <row r="32" spans="1:21" ht="19" x14ac:dyDescent="0.25">
      <c r="A32" s="3"/>
      <c r="M32" s="14" t="s">
        <v>25</v>
      </c>
    </row>
    <row r="33" spans="12:16" x14ac:dyDescent="0.2">
      <c r="L33" s="49" t="s">
        <v>40</v>
      </c>
      <c r="M33" s="49" t="s">
        <v>41</v>
      </c>
    </row>
    <row r="35" spans="12:16" x14ac:dyDescent="0.2">
      <c r="M35" s="51" t="s">
        <v>37</v>
      </c>
      <c r="N35" s="51"/>
      <c r="O35" s="51"/>
      <c r="P35" s="51"/>
    </row>
    <row r="36" spans="12:16" x14ac:dyDescent="0.2">
      <c r="M36" s="52" t="s">
        <v>19</v>
      </c>
      <c r="N36" s="53">
        <v>12</v>
      </c>
      <c r="O36" s="53">
        <v>24</v>
      </c>
      <c r="P36" s="53">
        <v>36</v>
      </c>
    </row>
    <row r="37" spans="12:16" x14ac:dyDescent="0.2">
      <c r="M37" s="54">
        <v>2014</v>
      </c>
      <c r="N37" s="12">
        <f>D10*S$29/N27</f>
        <v>9439.001779965296</v>
      </c>
      <c r="O37" s="12">
        <f>E10*T$29/O27</f>
        <v>11859.045014400508</v>
      </c>
      <c r="P37" s="12">
        <f>F10*U$29/P27</f>
        <v>13414.660754460041</v>
      </c>
    </row>
    <row r="38" spans="12:16" x14ac:dyDescent="0.2">
      <c r="M38" s="54">
        <v>2015</v>
      </c>
      <c r="N38" s="12">
        <f>D11*S$29/N28</f>
        <v>6701.4625627547448</v>
      </c>
      <c r="O38" s="12">
        <f>E11*T$29/O28</f>
        <v>9709.7710869328039</v>
      </c>
      <c r="P38" s="12"/>
    </row>
    <row r="39" spans="12:16" x14ac:dyDescent="0.2">
      <c r="M39" s="54">
        <v>2016</v>
      </c>
      <c r="N39" s="12">
        <f>D12*S$29/N29</f>
        <v>7786.0358849219465</v>
      </c>
      <c r="O39" s="12"/>
      <c r="P39" s="12"/>
    </row>
    <row r="40" spans="12:16" ht="17" thickBot="1" x14ac:dyDescent="0.25">
      <c r="M40" s="66"/>
      <c r="N40" s="12"/>
      <c r="O40" s="12"/>
      <c r="P40" s="12"/>
    </row>
    <row r="41" spans="12:16" ht="17" thickBot="1" x14ac:dyDescent="0.25">
      <c r="M41" s="67" t="s">
        <v>27</v>
      </c>
      <c r="N41" s="68">
        <f>SUM(O37:O38)/SUM(N37:N38)</f>
        <v>1.3363194294383274</v>
      </c>
      <c r="O41" s="68">
        <f>P37/O37</f>
        <v>1.1311754646491805</v>
      </c>
      <c r="P41" s="69">
        <v>1</v>
      </c>
    </row>
    <row r="42" spans="12:16" x14ac:dyDescent="0.2">
      <c r="M42" s="70"/>
      <c r="N42" s="70"/>
      <c r="O42" s="70"/>
      <c r="P42" s="71"/>
    </row>
    <row r="43" spans="12:16" x14ac:dyDescent="0.2">
      <c r="M43" s="70"/>
      <c r="N43" s="70"/>
      <c r="O43" s="70"/>
      <c r="P43" s="71"/>
    </row>
    <row r="44" spans="12:16" ht="19" x14ac:dyDescent="0.25">
      <c r="L44" s="3" t="s">
        <v>42</v>
      </c>
      <c r="M44" s="70"/>
      <c r="N44" s="70"/>
      <c r="O44" s="70"/>
      <c r="P44" s="71"/>
    </row>
    <row r="45" spans="12:16" x14ac:dyDescent="0.2">
      <c r="M45" s="55" t="s">
        <v>43</v>
      </c>
      <c r="N45" s="70"/>
      <c r="O45" s="70"/>
      <c r="P45" s="71"/>
    </row>
    <row r="46" spans="12:16" x14ac:dyDescent="0.2">
      <c r="M46" s="70"/>
      <c r="N46" s="70"/>
      <c r="O46" s="70"/>
      <c r="P46" s="71"/>
    </row>
    <row r="47" spans="12:16" x14ac:dyDescent="0.2">
      <c r="M47" s="72" t="s">
        <v>28</v>
      </c>
      <c r="N47" s="55">
        <f>N41*O47</f>
        <v>1.5116117515146277</v>
      </c>
      <c r="O47" s="55">
        <f>O41*P47</f>
        <v>1.1311754646491805</v>
      </c>
      <c r="P47" s="73">
        <f>P41</f>
        <v>1</v>
      </c>
    </row>
    <row r="48" spans="12:16" x14ac:dyDescent="0.2">
      <c r="M48" s="66"/>
      <c r="N48" s="12"/>
      <c r="O48" s="12"/>
      <c r="P48" s="12"/>
    </row>
    <row r="49" spans="13:26" x14ac:dyDescent="0.2">
      <c r="M49" s="51" t="s">
        <v>22</v>
      </c>
      <c r="N49" s="51"/>
      <c r="O49" s="51"/>
      <c r="P49" s="51"/>
    </row>
    <row r="50" spans="13:26" x14ac:dyDescent="0.2">
      <c r="M50" s="52" t="s">
        <v>19</v>
      </c>
      <c r="N50" s="53">
        <v>12</v>
      </c>
      <c r="O50" s="53">
        <v>24</v>
      </c>
      <c r="P50" s="53">
        <v>36</v>
      </c>
    </row>
    <row r="51" spans="13:26" x14ac:dyDescent="0.2">
      <c r="M51" s="54">
        <v>2014</v>
      </c>
      <c r="N51" s="12">
        <f t="shared" ref="N51:P53" si="5">N17*(1-EXP(-$F$16/N17))</f>
        <v>42505.059188624888</v>
      </c>
      <c r="O51" s="12">
        <f t="shared" si="5"/>
        <v>67452.681895591784</v>
      </c>
      <c r="P51" s="12">
        <f t="shared" si="5"/>
        <v>84997.591215813212</v>
      </c>
    </row>
    <row r="52" spans="13:26" x14ac:dyDescent="0.2">
      <c r="M52" s="54">
        <v>2015</v>
      </c>
      <c r="N52" s="12">
        <f t="shared" si="5"/>
        <v>44218.012131797157</v>
      </c>
      <c r="O52" s="12">
        <f t="shared" si="5"/>
        <v>70170.464648670648</v>
      </c>
      <c r="P52" s="12">
        <f t="shared" si="5"/>
        <v>88417.683598193151</v>
      </c>
    </row>
    <row r="53" spans="13:26" x14ac:dyDescent="0.2">
      <c r="M53" s="54">
        <v>2016</v>
      </c>
      <c r="N53" s="12">
        <f t="shared" si="5"/>
        <v>45999.99618170446</v>
      </c>
      <c r="O53" s="12">
        <f t="shared" si="5"/>
        <v>72997.480042295661</v>
      </c>
      <c r="P53" s="12">
        <f t="shared" si="5"/>
        <v>91973.494031263035</v>
      </c>
    </row>
    <row r="54" spans="13:26" x14ac:dyDescent="0.2">
      <c r="M54" s="66"/>
      <c r="N54" s="12"/>
      <c r="O54" s="12"/>
      <c r="P54" s="12"/>
    </row>
    <row r="55" spans="13:26" x14ac:dyDescent="0.2">
      <c r="M55" s="14" t="s">
        <v>29</v>
      </c>
      <c r="N55" s="12"/>
      <c r="O55" s="12"/>
      <c r="P55" s="12"/>
    </row>
    <row r="56" spans="13:26" x14ac:dyDescent="0.2">
      <c r="M56" s="66"/>
      <c r="N56" s="12"/>
      <c r="O56" s="12"/>
      <c r="P56" s="12"/>
    </row>
    <row r="57" spans="13:26" x14ac:dyDescent="0.2">
      <c r="M57" s="51" t="s">
        <v>30</v>
      </c>
      <c r="N57" s="51"/>
      <c r="O57" s="51"/>
      <c r="P57" s="51"/>
      <c r="R57" s="51" t="s">
        <v>31</v>
      </c>
      <c r="S57" s="51"/>
      <c r="T57" s="51"/>
      <c r="U57" s="51"/>
      <c r="W57" s="51" t="s">
        <v>32</v>
      </c>
      <c r="X57" s="51"/>
      <c r="Y57" s="51"/>
      <c r="Z57" s="51"/>
    </row>
    <row r="58" spans="13:26" x14ac:dyDescent="0.2">
      <c r="M58" s="52" t="s">
        <v>19</v>
      </c>
      <c r="N58" s="53">
        <v>12</v>
      </c>
      <c r="O58" s="53">
        <v>24</v>
      </c>
      <c r="P58" s="53">
        <v>36</v>
      </c>
      <c r="R58" s="52" t="s">
        <v>19</v>
      </c>
      <c r="S58" s="53">
        <v>12</v>
      </c>
      <c r="T58" s="53">
        <v>24</v>
      </c>
      <c r="U58" s="53">
        <v>36</v>
      </c>
      <c r="W58" s="52" t="s">
        <v>19</v>
      </c>
      <c r="X58" s="53">
        <v>12</v>
      </c>
      <c r="Y58" s="53">
        <v>24</v>
      </c>
      <c r="Z58" s="53">
        <v>36</v>
      </c>
    </row>
    <row r="59" spans="13:26" x14ac:dyDescent="0.2">
      <c r="M59" s="74">
        <v>2014</v>
      </c>
      <c r="N59" s="11">
        <f>N$47*($P51/$U$29)/(N51/S$29)</f>
        <v>1.6112114453333561</v>
      </c>
      <c r="O59" s="11">
        <f>O$47*($P51/$U$29)/(O51/T$29)</f>
        <v>1.1715778449190681</v>
      </c>
      <c r="P59" s="13">
        <f>P$47*($P51/$U$29)/(P51/U$29)</f>
        <v>1</v>
      </c>
      <c r="R59" s="74">
        <v>2014</v>
      </c>
      <c r="S59" s="11">
        <f>N$47*($P27/$U$29)/(N27/S$29)</f>
        <v>1.6069652032740278</v>
      </c>
      <c r="T59" s="11">
        <f>O$47*($P27/$U$29)/(O27/T$29)</f>
        <v>1.1691696113074204</v>
      </c>
      <c r="U59" s="13">
        <f>P$47*($P27/$U$29)/(P27/U$29)</f>
        <v>1</v>
      </c>
      <c r="W59" s="74">
        <v>2014</v>
      </c>
      <c r="X59" s="11">
        <f>N$47*($U27/$U$29)/(S27/S$29)</f>
        <v>1.5305994884514429</v>
      </c>
      <c r="Y59" s="11">
        <f>O$47*($U27/$U$29)/(T27/T$29)</f>
        <v>1.1377949234108191</v>
      </c>
      <c r="Z59" s="13">
        <f>P$47*($U27/$U$29)/(U27/U$29)</f>
        <v>1</v>
      </c>
    </row>
    <row r="60" spans="13:26" x14ac:dyDescent="0.2">
      <c r="M60" s="74">
        <v>2015</v>
      </c>
      <c r="N60" s="11">
        <f>N$47*($P52/$U$29)/(N52/S$29)</f>
        <v>1.611114712877836</v>
      </c>
      <c r="O60" s="13">
        <f>O$47*($P52/$U$29)/(O52/T$29)</f>
        <v>1.1715168365842765</v>
      </c>
      <c r="P60" s="11"/>
      <c r="R60" s="74">
        <v>2015</v>
      </c>
      <c r="S60" s="11">
        <f>N$47*($P28/$U$29)/(N28/S$29)</f>
        <v>1.6058218525303367</v>
      </c>
      <c r="T60" s="13">
        <f>O$47*($P28/$U$29)/(O28/T$29)</f>
        <v>1.1685672831904776</v>
      </c>
      <c r="U60" s="11"/>
      <c r="W60" s="74">
        <v>2015</v>
      </c>
      <c r="X60" s="11">
        <f>N$47*($U28/$U$29)/(S28/S$29)</f>
        <v>1.5213888532986388</v>
      </c>
      <c r="Y60" s="13">
        <f>O$47*($U28/$U$29)/(T28/T$29)</f>
        <v>1.1345505154690039</v>
      </c>
      <c r="Z60" s="11"/>
    </row>
    <row r="61" spans="13:26" x14ac:dyDescent="0.2">
      <c r="M61" s="74">
        <v>2016</v>
      </c>
      <c r="N61" s="13">
        <f>N$47*($P53/$U$29)/(N53/S$29)</f>
        <v>1.6109847716052337</v>
      </c>
      <c r="O61" s="11"/>
      <c r="P61" s="11"/>
      <c r="R61" s="74">
        <v>2016</v>
      </c>
      <c r="S61" s="13">
        <f>N$47*($P29/$U$29)/(N29/S$29)</f>
        <v>1.6044500048923398</v>
      </c>
      <c r="T61" s="11"/>
      <c r="U61" s="11"/>
      <c r="W61" s="74">
        <v>2016</v>
      </c>
      <c r="X61" s="13">
        <f>N$47*($U29/$U$29)/(S29/S$29)</f>
        <v>1.5116117515146277</v>
      </c>
      <c r="Y61" s="11"/>
      <c r="Z61" s="11"/>
    </row>
    <row r="62" spans="13:26" x14ac:dyDescent="0.2">
      <c r="M62" s="66"/>
      <c r="N62" s="12"/>
      <c r="O62" s="12"/>
      <c r="P62" s="12"/>
    </row>
    <row r="63" spans="13:26" x14ac:dyDescent="0.2">
      <c r="M63" s="66"/>
      <c r="N63" s="12"/>
      <c r="O63" s="12"/>
      <c r="P63" s="12"/>
    </row>
    <row r="64" spans="13:26" x14ac:dyDescent="0.2">
      <c r="M64" s="51" t="s">
        <v>33</v>
      </c>
      <c r="N64" s="51"/>
      <c r="O64" s="51"/>
      <c r="P64" s="51"/>
    </row>
    <row r="65" spans="12:16" x14ac:dyDescent="0.2">
      <c r="M65" s="52" t="s">
        <v>19</v>
      </c>
      <c r="N65" s="53">
        <v>12</v>
      </c>
      <c r="O65" s="53">
        <v>24</v>
      </c>
      <c r="P65" s="53">
        <v>36</v>
      </c>
    </row>
    <row r="66" spans="12:16" x14ac:dyDescent="0.2">
      <c r="M66" s="74">
        <v>2014</v>
      </c>
      <c r="N66" s="11">
        <f>N$47*(($P51-$U27)/$U$29)/((N51-S27)/S$29)</f>
        <v>30.422235282595842</v>
      </c>
      <c r="O66" s="11">
        <f>O$47*(($P51-$U27)/$U$29)/((O51-T27)/T$29)</f>
        <v>2.5135957933046904</v>
      </c>
      <c r="P66" s="13">
        <f>P$47*(($P51-$U27)/$U$29)/((P51-U27)/U$29)</f>
        <v>1</v>
      </c>
    </row>
    <row r="67" spans="12:16" x14ac:dyDescent="0.2">
      <c r="M67" s="74">
        <v>2015</v>
      </c>
      <c r="N67" s="11">
        <f>N$47*(($P52-$U28)/$U$29)/((N52-S28)/S$29)</f>
        <v>27.127225568132118</v>
      </c>
      <c r="O67" s="13">
        <f>O$47*(($P52-$U28)/$U$29)/((O52-T28)/T$29)</f>
        <v>2.4389009637107169</v>
      </c>
      <c r="P67" s="11"/>
    </row>
    <row r="68" spans="12:16" x14ac:dyDescent="0.2">
      <c r="M68" s="74">
        <v>2016</v>
      </c>
      <c r="N68" s="13">
        <f>N$47*(($P53-$U29)/$U$29)/((N53-S29)/S$29)</f>
        <v>24.292613334298174</v>
      </c>
      <c r="O68" s="11"/>
      <c r="P68" s="11"/>
    </row>
    <row r="69" spans="12:16" x14ac:dyDescent="0.2">
      <c r="M69" s="66"/>
      <c r="N69" s="12"/>
      <c r="O69" s="12"/>
      <c r="P69" s="12"/>
    </row>
    <row r="70" spans="12:16" x14ac:dyDescent="0.2">
      <c r="M70" s="66"/>
      <c r="N70" s="12"/>
      <c r="O70" s="12"/>
      <c r="P70" s="12"/>
    </row>
    <row r="71" spans="12:16" x14ac:dyDescent="0.2">
      <c r="M71" s="51" t="s">
        <v>34</v>
      </c>
      <c r="N71" s="51"/>
      <c r="O71" s="51"/>
      <c r="P71" s="51"/>
    </row>
    <row r="72" spans="12:16" x14ac:dyDescent="0.2">
      <c r="M72" s="52" t="s">
        <v>19</v>
      </c>
      <c r="N72" s="53">
        <v>12</v>
      </c>
      <c r="O72" s="53">
        <v>24</v>
      </c>
      <c r="P72" s="53">
        <v>36</v>
      </c>
    </row>
    <row r="73" spans="12:16" x14ac:dyDescent="0.2">
      <c r="M73" s="74">
        <v>2014</v>
      </c>
      <c r="N73" s="11">
        <f>N$47*(($P17-$P51)/$U$29)/((N17-N51)/S$29)</f>
        <v>10933.7838620436</v>
      </c>
      <c r="O73" s="11">
        <f>O$47*(($P17-$P51)/$U$29)/((O17-O51)/T$29)</f>
        <v>11.643471577827826</v>
      </c>
      <c r="P73" s="13">
        <f>P$47*(($P17-$P51)/$U$29)/((P17-P51)/U$29)</f>
        <v>1</v>
      </c>
    </row>
    <row r="74" spans="12:16" x14ac:dyDescent="0.2">
      <c r="M74" s="74">
        <v>2015</v>
      </c>
      <c r="N74" s="11">
        <f>N$47*(($P18-$P52)/$U$29)/((N18-N52)/S$29)</f>
        <v>7768.5611032072156</v>
      </c>
      <c r="O74" s="13">
        <f>O$47*(($P18-$P52)/$U$29)/((O18-O52)/T$29)</f>
        <v>10.652463331310184</v>
      </c>
      <c r="P74" s="11"/>
    </row>
    <row r="75" spans="12:16" x14ac:dyDescent="0.2">
      <c r="M75" s="74">
        <v>2016</v>
      </c>
      <c r="N75" s="13">
        <f>N$47*(($P19-$P53)/$U$29)/((N19-N53)/S$29)</f>
        <v>5593.2043475427108</v>
      </c>
      <c r="O75" s="11"/>
      <c r="P75" s="11"/>
    </row>
    <row r="78" spans="12:16" ht="19" x14ac:dyDescent="0.25">
      <c r="L78" s="3" t="s">
        <v>121</v>
      </c>
    </row>
    <row r="79" spans="12:16" x14ac:dyDescent="0.2">
      <c r="L79" s="141" t="s">
        <v>122</v>
      </c>
    </row>
    <row r="105" spans="1:65" x14ac:dyDescent="0.2">
      <c r="L105" s="4"/>
      <c r="M105" s="4"/>
      <c r="N105" s="4"/>
    </row>
    <row r="106" spans="1:65" x14ac:dyDescent="0.2">
      <c r="L106" s="4"/>
      <c r="M106" s="4"/>
      <c r="N106" s="4"/>
    </row>
    <row r="107" spans="1:65" x14ac:dyDescent="0.2">
      <c r="L107" s="4"/>
      <c r="M107" s="4"/>
      <c r="N107" s="4"/>
    </row>
    <row r="108" spans="1:65" x14ac:dyDescent="0.2">
      <c r="L108" s="4"/>
      <c r="M108" s="4"/>
      <c r="N108" s="4"/>
    </row>
    <row r="109" spans="1:65" x14ac:dyDescent="0.2">
      <c r="M109" s="55"/>
    </row>
    <row r="110" spans="1:65" x14ac:dyDescent="0.2">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row>
    <row r="213" spans="1:65" x14ac:dyDescent="0.2">
      <c r="A213" s="4"/>
      <c r="B213" s="4"/>
      <c r="C213" s="4"/>
      <c r="D213" s="4"/>
      <c r="E213" s="4"/>
      <c r="F213" s="4"/>
      <c r="G213" s="4"/>
      <c r="H213" s="4"/>
      <c r="I213" s="4"/>
      <c r="J213" s="4"/>
    </row>
  </sheetData>
  <mergeCells count="3">
    <mergeCell ref="A30:J30"/>
    <mergeCell ref="C8:C9"/>
    <mergeCell ref="C5: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N189"/>
  <sheetViews>
    <sheetView zoomScaleNormal="100" workbookViewId="0">
      <selection sqref="A1:XFD1048576"/>
    </sheetView>
  </sheetViews>
  <sheetFormatPr baseColWidth="10" defaultColWidth="10.83203125" defaultRowHeight="16" outlineLevelCol="1" x14ac:dyDescent="0.2"/>
  <cols>
    <col min="1" max="1" width="4.6640625" style="49" customWidth="1"/>
    <col min="2" max="2" width="10.83203125" style="49"/>
    <col min="3" max="3" width="14.1640625" style="49" customWidth="1"/>
    <col min="4" max="9" width="10.83203125" style="49"/>
    <col min="10" max="10" width="10.83203125" style="49" customWidth="1"/>
    <col min="11" max="11" width="11.5" style="49" bestFit="1" customWidth="1"/>
    <col min="12" max="12" width="11.1640625" style="49" hidden="1" customWidth="1" outlineLevel="1"/>
    <col min="13" max="21" width="10.83203125" style="49" hidden="1" customWidth="1" outlineLevel="1"/>
    <col min="22" max="22" width="10.83203125" style="49" collapsed="1"/>
    <col min="23" max="16384" width="10.83203125" style="49"/>
  </cols>
  <sheetData>
    <row r="1" spans="1:21" ht="19" x14ac:dyDescent="0.25">
      <c r="A1" s="1" t="s">
        <v>117</v>
      </c>
      <c r="B1" s="37"/>
      <c r="C1" s="46"/>
      <c r="D1" s="46"/>
      <c r="E1" s="46"/>
      <c r="F1" s="47"/>
      <c r="G1" s="47"/>
      <c r="H1" s="47"/>
      <c r="I1" s="47"/>
      <c r="J1" s="48"/>
      <c r="K1" s="3" t="s">
        <v>110</v>
      </c>
    </row>
    <row r="2" spans="1:21" x14ac:dyDescent="0.2">
      <c r="A2" s="2"/>
      <c r="B2" s="47"/>
      <c r="C2" s="47"/>
      <c r="D2" s="47"/>
      <c r="E2" s="47"/>
      <c r="F2" s="47"/>
      <c r="G2" s="47"/>
      <c r="H2" s="47"/>
      <c r="I2" s="47"/>
      <c r="J2" s="48"/>
      <c r="L2" s="39" t="s">
        <v>112</v>
      </c>
    </row>
    <row r="3" spans="1:21" ht="19" x14ac:dyDescent="0.25">
      <c r="A3" s="2"/>
      <c r="B3" s="47" t="s">
        <v>44</v>
      </c>
      <c r="C3" s="47"/>
      <c r="D3" s="47"/>
      <c r="E3" s="47"/>
      <c r="F3" s="47"/>
      <c r="G3" s="47"/>
      <c r="H3" s="47"/>
      <c r="I3" s="47"/>
      <c r="J3" s="48"/>
      <c r="L3" s="3"/>
    </row>
    <row r="4" spans="1:21" x14ac:dyDescent="0.2">
      <c r="A4" s="2"/>
      <c r="B4" s="47" t="s">
        <v>45</v>
      </c>
      <c r="C4" s="47"/>
      <c r="D4" s="47"/>
      <c r="E4" s="47"/>
      <c r="F4" s="47"/>
      <c r="G4" s="47"/>
      <c r="H4" s="47"/>
      <c r="I4" s="47"/>
      <c r="J4" s="48"/>
      <c r="M4" s="14" t="s">
        <v>20</v>
      </c>
    </row>
    <row r="5" spans="1:21" x14ac:dyDescent="0.2">
      <c r="A5" s="2"/>
      <c r="B5" s="47"/>
      <c r="C5" s="47"/>
      <c r="D5" s="47"/>
      <c r="E5" s="47"/>
      <c r="F5" s="47"/>
      <c r="G5" s="47"/>
      <c r="H5" s="47"/>
      <c r="I5" s="47"/>
      <c r="J5" s="48"/>
      <c r="M5" s="49" t="s">
        <v>38</v>
      </c>
    </row>
    <row r="6" spans="1:21" ht="17" x14ac:dyDescent="0.2">
      <c r="A6" s="2"/>
      <c r="B6" s="47"/>
      <c r="C6" s="41"/>
      <c r="D6" s="43" t="s">
        <v>46</v>
      </c>
      <c r="E6" s="43" t="s">
        <v>47</v>
      </c>
      <c r="F6" s="47"/>
      <c r="G6" s="47"/>
      <c r="H6" s="47"/>
      <c r="I6" s="47"/>
      <c r="J6" s="48"/>
    </row>
    <row r="7" spans="1:21" ht="17" x14ac:dyDescent="0.2">
      <c r="A7" s="2"/>
      <c r="B7" s="47"/>
      <c r="C7" s="40" t="s">
        <v>28</v>
      </c>
      <c r="D7" s="15">
        <v>1.6910000000000001</v>
      </c>
      <c r="E7" s="15">
        <v>1.1040000000000001</v>
      </c>
      <c r="F7" s="47"/>
      <c r="G7" s="47"/>
      <c r="H7" s="47"/>
      <c r="I7" s="47"/>
      <c r="J7" s="48"/>
      <c r="L7" s="39"/>
      <c r="M7" s="52" t="s">
        <v>19</v>
      </c>
      <c r="N7" s="53">
        <v>12</v>
      </c>
      <c r="O7" s="53">
        <v>24</v>
      </c>
      <c r="P7" s="53">
        <v>36</v>
      </c>
    </row>
    <row r="8" spans="1:21" x14ac:dyDescent="0.2">
      <c r="A8" s="2"/>
      <c r="B8" s="47"/>
      <c r="C8" s="47"/>
      <c r="D8" s="47"/>
      <c r="E8" s="47"/>
      <c r="F8" s="47"/>
      <c r="G8" s="47"/>
      <c r="H8" s="47"/>
      <c r="I8" s="47"/>
      <c r="J8" s="48"/>
      <c r="M8" s="54">
        <v>2014</v>
      </c>
      <c r="N8" s="58">
        <f t="shared" ref="N8:P9" si="0">N$10*D12/D$14</f>
        <v>42513.863216266174</v>
      </c>
      <c r="O8" s="58">
        <f t="shared" si="0"/>
        <v>67434.977578475344</v>
      </c>
      <c r="P8" s="58">
        <f t="shared" si="0"/>
        <v>85027.87456445994</v>
      </c>
    </row>
    <row r="9" spans="1:21" x14ac:dyDescent="0.2">
      <c r="A9" s="2"/>
      <c r="B9" s="47"/>
      <c r="C9" s="281" t="s">
        <v>50</v>
      </c>
      <c r="D9" s="281"/>
      <c r="E9" s="281"/>
      <c r="F9" s="281"/>
      <c r="G9" s="47"/>
      <c r="H9" s="47"/>
      <c r="I9" s="47"/>
      <c r="J9" s="48"/>
      <c r="M9" s="54">
        <v>2015</v>
      </c>
      <c r="N9" s="58">
        <f t="shared" si="0"/>
        <v>44214.41774491682</v>
      </c>
      <c r="O9" s="58">
        <f t="shared" si="0"/>
        <v>70184.753363228694</v>
      </c>
      <c r="P9" s="58">
        <f t="shared" si="0"/>
        <v>88473.86759581884</v>
      </c>
    </row>
    <row r="10" spans="1:21" ht="17" x14ac:dyDescent="0.2">
      <c r="A10" s="2"/>
      <c r="B10" s="47"/>
      <c r="C10" s="40" t="s">
        <v>48</v>
      </c>
      <c r="D10" s="289" t="s">
        <v>4</v>
      </c>
      <c r="E10" s="289" t="s">
        <v>5</v>
      </c>
      <c r="F10" s="289" t="s">
        <v>6</v>
      </c>
      <c r="G10" s="47"/>
      <c r="H10" s="47"/>
      <c r="I10" s="47"/>
      <c r="J10" s="48"/>
      <c r="M10" s="59">
        <v>2016</v>
      </c>
      <c r="N10" s="60">
        <f>D20</f>
        <v>46000</v>
      </c>
      <c r="O10" s="60">
        <f>E20</f>
        <v>73000</v>
      </c>
      <c r="P10" s="60">
        <f>F20</f>
        <v>92000</v>
      </c>
      <c r="Q10" s="49" t="s">
        <v>36</v>
      </c>
    </row>
    <row r="11" spans="1:21" ht="17" x14ac:dyDescent="0.2">
      <c r="A11" s="2"/>
      <c r="B11" s="47"/>
      <c r="C11" s="41" t="s">
        <v>49</v>
      </c>
      <c r="D11" s="290"/>
      <c r="E11" s="290"/>
      <c r="F11" s="290"/>
      <c r="G11" s="47"/>
      <c r="H11" s="47"/>
      <c r="I11" s="47"/>
      <c r="J11" s="48"/>
    </row>
    <row r="12" spans="1:21" x14ac:dyDescent="0.2">
      <c r="A12" s="2"/>
      <c r="B12" s="47"/>
      <c r="C12" s="40">
        <v>2014</v>
      </c>
      <c r="D12" s="16">
        <v>1</v>
      </c>
      <c r="E12" s="16">
        <v>1.03</v>
      </c>
      <c r="F12" s="16">
        <v>1.0609999999999999</v>
      </c>
      <c r="G12" s="47"/>
      <c r="H12" s="47"/>
      <c r="I12" s="47"/>
      <c r="J12" s="48"/>
    </row>
    <row r="13" spans="1:21" x14ac:dyDescent="0.2">
      <c r="A13" s="2"/>
      <c r="B13" s="47"/>
      <c r="C13" s="40">
        <v>2015</v>
      </c>
      <c r="D13" s="16">
        <v>1.04</v>
      </c>
      <c r="E13" s="16">
        <v>1.0720000000000001</v>
      </c>
      <c r="F13" s="16">
        <v>1.1040000000000001</v>
      </c>
      <c r="G13" s="47"/>
      <c r="H13" s="47"/>
      <c r="I13" s="47"/>
      <c r="J13" s="48"/>
      <c r="M13" s="14" t="s">
        <v>21</v>
      </c>
    </row>
    <row r="14" spans="1:21" x14ac:dyDescent="0.2">
      <c r="A14" s="2"/>
      <c r="B14" s="47"/>
      <c r="C14" s="40">
        <v>2016</v>
      </c>
      <c r="D14" s="16">
        <v>1.0820000000000001</v>
      </c>
      <c r="E14" s="16">
        <v>1.115</v>
      </c>
      <c r="F14" s="16">
        <v>1.1479999999999999</v>
      </c>
      <c r="G14" s="47"/>
      <c r="H14" s="47"/>
      <c r="I14" s="47"/>
      <c r="J14" s="48"/>
      <c r="M14" s="49" t="s">
        <v>39</v>
      </c>
    </row>
    <row r="15" spans="1:21" x14ac:dyDescent="0.2">
      <c r="A15" s="2"/>
      <c r="B15" s="47"/>
      <c r="C15" s="47"/>
      <c r="D15" s="47"/>
      <c r="E15" s="47"/>
      <c r="F15" s="47"/>
      <c r="G15" s="47"/>
      <c r="H15" s="47"/>
      <c r="I15" s="47"/>
      <c r="J15" s="48"/>
    </row>
    <row r="16" spans="1:21" x14ac:dyDescent="0.2">
      <c r="A16" s="2"/>
      <c r="B16" s="47"/>
      <c r="C16" s="47"/>
      <c r="D16" s="47"/>
      <c r="E16" s="47"/>
      <c r="F16" s="47"/>
      <c r="G16" s="47"/>
      <c r="H16" s="47"/>
      <c r="I16" s="47"/>
      <c r="J16" s="48"/>
      <c r="M16" s="51" t="s">
        <v>22</v>
      </c>
      <c r="N16" s="51"/>
      <c r="O16" s="51"/>
      <c r="P16" s="51"/>
      <c r="R16" s="51" t="s">
        <v>24</v>
      </c>
      <c r="S16" s="51"/>
      <c r="T16" s="51"/>
      <c r="U16" s="51"/>
    </row>
    <row r="17" spans="1:21" x14ac:dyDescent="0.2">
      <c r="A17" s="2"/>
      <c r="B17" s="47" t="s">
        <v>51</v>
      </c>
      <c r="C17" s="47"/>
      <c r="D17" s="47"/>
      <c r="E17" s="47"/>
      <c r="F17" s="47"/>
      <c r="G17" s="47"/>
      <c r="H17" s="47"/>
      <c r="I17" s="47"/>
      <c r="J17" s="48"/>
      <c r="M17" s="52" t="s">
        <v>19</v>
      </c>
      <c r="N17" s="53">
        <v>12</v>
      </c>
      <c r="O17" s="53">
        <v>24</v>
      </c>
      <c r="P17" s="53">
        <v>36</v>
      </c>
      <c r="R17" s="52" t="s">
        <v>19</v>
      </c>
      <c r="S17" s="53">
        <v>12</v>
      </c>
      <c r="T17" s="53">
        <v>24</v>
      </c>
      <c r="U17" s="53">
        <v>36</v>
      </c>
    </row>
    <row r="18" spans="1:21" x14ac:dyDescent="0.2">
      <c r="A18" s="2"/>
      <c r="B18" s="47"/>
      <c r="C18" s="47"/>
      <c r="D18" s="47"/>
      <c r="E18" s="47"/>
      <c r="F18" s="47"/>
      <c r="G18" s="47"/>
      <c r="H18" s="47"/>
      <c r="I18" s="47"/>
      <c r="J18" s="48"/>
      <c r="M18" s="54">
        <v>2014</v>
      </c>
      <c r="N18" s="12">
        <f t="shared" ref="N18:P20" si="1">N8*(1-EXP(-$C$23/N8))</f>
        <v>42513.862289416211</v>
      </c>
      <c r="O18" s="12">
        <f t="shared" si="1"/>
        <v>67433.980479851467</v>
      </c>
      <c r="P18" s="12">
        <f t="shared" si="1"/>
        <v>85015.319832905501</v>
      </c>
      <c r="R18" s="54">
        <v>2014</v>
      </c>
      <c r="S18" s="12">
        <f t="shared" ref="S18:U20" si="2">N8*(1-EXP(-$C$22/N8))</f>
        <v>42395.097745752617</v>
      </c>
      <c r="T18" s="12">
        <f t="shared" si="2"/>
        <v>65779.832054429877</v>
      </c>
      <c r="U18" s="12">
        <f t="shared" si="2"/>
        <v>80533.768073207713</v>
      </c>
    </row>
    <row r="19" spans="1:21" x14ac:dyDescent="0.2">
      <c r="A19" s="2"/>
      <c r="B19" s="47"/>
      <c r="C19" s="62"/>
      <c r="D19" s="63" t="s">
        <v>4</v>
      </c>
      <c r="E19" s="63" t="s">
        <v>5</v>
      </c>
      <c r="F19" s="63" t="s">
        <v>6</v>
      </c>
      <c r="G19" s="47"/>
      <c r="H19" s="47"/>
      <c r="I19" s="47"/>
      <c r="J19" s="48"/>
      <c r="L19" s="39"/>
      <c r="M19" s="54">
        <v>2015</v>
      </c>
      <c r="N19" s="12">
        <f t="shared" si="1"/>
        <v>44214.415845078387</v>
      </c>
      <c r="O19" s="12">
        <f t="shared" si="1"/>
        <v>70183.148875073239</v>
      </c>
      <c r="P19" s="12">
        <f t="shared" si="1"/>
        <v>88455.448588997053</v>
      </c>
      <c r="R19" s="54">
        <v>2015</v>
      </c>
      <c r="S19" s="12">
        <f t="shared" si="2"/>
        <v>44059.554568520616</v>
      </c>
      <c r="T19" s="12">
        <f t="shared" si="2"/>
        <v>68192.823586127444</v>
      </c>
      <c r="U19" s="12">
        <f t="shared" si="2"/>
        <v>83230.237130571491</v>
      </c>
    </row>
    <row r="20" spans="1:21" x14ac:dyDescent="0.2">
      <c r="A20" s="2"/>
      <c r="B20" s="47"/>
      <c r="C20" s="328" t="s">
        <v>340</v>
      </c>
      <c r="D20" s="65">
        <v>46000</v>
      </c>
      <c r="E20" s="65">
        <v>73000</v>
      </c>
      <c r="F20" s="65">
        <v>92000</v>
      </c>
      <c r="G20" s="47"/>
      <c r="H20" s="47"/>
      <c r="I20" s="47"/>
      <c r="J20" s="48"/>
      <c r="M20" s="54">
        <v>2016</v>
      </c>
      <c r="N20" s="12">
        <f t="shared" si="1"/>
        <v>45999.99618170446</v>
      </c>
      <c r="O20" s="12">
        <f t="shared" si="1"/>
        <v>72997.480042295661</v>
      </c>
      <c r="P20" s="12">
        <f t="shared" si="1"/>
        <v>91973.494031263035</v>
      </c>
      <c r="R20" s="54">
        <v>2016</v>
      </c>
      <c r="S20" s="12">
        <f t="shared" si="2"/>
        <v>45799.339571935954</v>
      </c>
      <c r="T20" s="12">
        <f t="shared" si="2"/>
        <v>70623.088616417139</v>
      </c>
      <c r="U20" s="12">
        <f t="shared" si="2"/>
        <v>85923.692012102765</v>
      </c>
    </row>
    <row r="21" spans="1:21" x14ac:dyDescent="0.2">
      <c r="A21" s="2"/>
      <c r="B21" s="47"/>
      <c r="C21" s="47"/>
      <c r="D21" s="47"/>
      <c r="E21" s="47"/>
      <c r="F21" s="47"/>
      <c r="G21" s="47"/>
      <c r="H21" s="47"/>
      <c r="I21" s="47"/>
      <c r="J21" s="48"/>
    </row>
    <row r="22" spans="1:21" x14ac:dyDescent="0.2">
      <c r="A22" s="2"/>
      <c r="B22" s="47" t="s">
        <v>52</v>
      </c>
      <c r="C22" s="56">
        <v>250000</v>
      </c>
      <c r="D22" s="47"/>
      <c r="E22" s="47"/>
      <c r="F22" s="47"/>
      <c r="G22" s="47"/>
      <c r="H22" s="47"/>
      <c r="I22" s="47"/>
      <c r="J22" s="48"/>
      <c r="M22" s="49" t="s">
        <v>61</v>
      </c>
    </row>
    <row r="23" spans="1:21" x14ac:dyDescent="0.2">
      <c r="A23" s="2"/>
      <c r="B23" s="47" t="s">
        <v>7</v>
      </c>
      <c r="C23" s="56">
        <v>750000</v>
      </c>
      <c r="D23" s="47"/>
      <c r="E23" s="47"/>
      <c r="F23" s="47"/>
      <c r="G23" s="47"/>
      <c r="H23" s="47"/>
      <c r="I23" s="47"/>
      <c r="J23" s="48"/>
    </row>
    <row r="24" spans="1:21" x14ac:dyDescent="0.2">
      <c r="A24" s="2"/>
      <c r="B24" s="47"/>
      <c r="C24" s="47"/>
      <c r="D24" s="47"/>
      <c r="E24" s="47"/>
      <c r="F24" s="47"/>
      <c r="G24" s="47"/>
      <c r="H24" s="47"/>
      <c r="I24" s="47"/>
      <c r="J24" s="48"/>
      <c r="M24" s="52"/>
      <c r="N24" s="53" t="s">
        <v>46</v>
      </c>
      <c r="O24" s="53" t="s">
        <v>47</v>
      </c>
      <c r="P24" s="53" t="s">
        <v>57</v>
      </c>
    </row>
    <row r="25" spans="1:21" x14ac:dyDescent="0.2">
      <c r="A25" s="2"/>
      <c r="B25" s="47"/>
      <c r="C25" s="327" t="s">
        <v>339</v>
      </c>
      <c r="D25" s="327"/>
      <c r="E25" s="327"/>
      <c r="F25" s="327"/>
      <c r="G25" s="47"/>
      <c r="H25" s="47"/>
      <c r="I25" s="47"/>
      <c r="J25" s="48"/>
      <c r="M25" s="72" t="s">
        <v>28</v>
      </c>
      <c r="N25" s="55">
        <f>D7</f>
        <v>1.6910000000000001</v>
      </c>
      <c r="O25" s="55">
        <f>E7</f>
        <v>1.1040000000000001</v>
      </c>
      <c r="P25" s="73">
        <v>1</v>
      </c>
    </row>
    <row r="26" spans="1:21" x14ac:dyDescent="0.2">
      <c r="A26" s="2"/>
      <c r="B26" s="47"/>
      <c r="C26" s="327"/>
      <c r="D26" s="327"/>
      <c r="E26" s="327"/>
      <c r="F26" s="327"/>
      <c r="G26" s="47"/>
      <c r="H26" s="47"/>
      <c r="I26" s="47"/>
      <c r="J26" s="48"/>
      <c r="M26" s="66"/>
      <c r="N26" s="12"/>
      <c r="O26" s="12"/>
      <c r="P26" s="12"/>
    </row>
    <row r="27" spans="1:21" ht="34" x14ac:dyDescent="0.2">
      <c r="A27" s="2"/>
      <c r="B27" s="47"/>
      <c r="C27" s="8" t="s">
        <v>3</v>
      </c>
      <c r="D27" s="7" t="s">
        <v>4</v>
      </c>
      <c r="E27" s="7" t="s">
        <v>5</v>
      </c>
      <c r="F27" s="7" t="s">
        <v>6</v>
      </c>
      <c r="G27" s="47"/>
      <c r="H27" s="47"/>
      <c r="I27" s="47"/>
      <c r="J27" s="48"/>
      <c r="M27" s="66"/>
      <c r="N27" s="12"/>
      <c r="O27" s="12"/>
      <c r="P27" s="12"/>
    </row>
    <row r="28" spans="1:21" x14ac:dyDescent="0.2">
      <c r="A28" s="2"/>
      <c r="B28" s="47"/>
      <c r="C28" s="9">
        <v>2014</v>
      </c>
      <c r="D28" s="5">
        <v>2960</v>
      </c>
      <c r="E28" s="5">
        <v>5440</v>
      </c>
      <c r="F28" s="5">
        <v>6210</v>
      </c>
      <c r="G28" s="47"/>
      <c r="H28" s="47"/>
      <c r="I28" s="47"/>
      <c r="J28" s="48"/>
      <c r="M28" s="14" t="s">
        <v>29</v>
      </c>
      <c r="N28" s="12"/>
      <c r="O28" s="12"/>
      <c r="P28" s="12"/>
    </row>
    <row r="29" spans="1:21" x14ac:dyDescent="0.2">
      <c r="A29" s="2"/>
      <c r="B29" s="47"/>
      <c r="C29" s="9">
        <v>2015</v>
      </c>
      <c r="D29" s="5">
        <v>3720</v>
      </c>
      <c r="E29" s="5">
        <v>5050</v>
      </c>
      <c r="F29" s="6"/>
      <c r="G29" s="47"/>
      <c r="H29" s="47"/>
      <c r="I29" s="47"/>
      <c r="J29" s="48"/>
      <c r="M29" s="288" t="s">
        <v>62</v>
      </c>
      <c r="N29" s="288"/>
      <c r="O29" s="288"/>
      <c r="P29" s="288"/>
      <c r="Q29" s="288"/>
      <c r="R29" s="288"/>
      <c r="S29" s="288"/>
      <c r="T29" s="288"/>
      <c r="U29" s="288"/>
    </row>
    <row r="30" spans="1:21" x14ac:dyDescent="0.2">
      <c r="A30" s="2"/>
      <c r="B30" s="47"/>
      <c r="C30" s="9">
        <v>2016</v>
      </c>
      <c r="D30" s="5">
        <v>3060</v>
      </c>
      <c r="E30" s="6"/>
      <c r="F30" s="6"/>
      <c r="G30" s="47"/>
      <c r="H30" s="47"/>
      <c r="I30" s="47"/>
      <c r="J30" s="48"/>
      <c r="M30" s="288"/>
      <c r="N30" s="288"/>
      <c r="O30" s="288"/>
      <c r="P30" s="288"/>
      <c r="Q30" s="288"/>
      <c r="R30" s="288"/>
      <c r="S30" s="288"/>
      <c r="T30" s="288"/>
      <c r="U30" s="288"/>
    </row>
    <row r="31" spans="1:21" x14ac:dyDescent="0.2">
      <c r="A31" s="2"/>
      <c r="B31" s="47"/>
      <c r="C31" s="47"/>
      <c r="D31" s="47"/>
      <c r="E31" s="47"/>
      <c r="F31" s="47"/>
      <c r="G31" s="47"/>
      <c r="H31" s="47"/>
      <c r="I31" s="47"/>
      <c r="J31" s="48"/>
      <c r="M31" s="51" t="s">
        <v>30</v>
      </c>
      <c r="N31" s="51"/>
      <c r="O31" s="51"/>
      <c r="P31" s="51"/>
    </row>
    <row r="32" spans="1:21" x14ac:dyDescent="0.2">
      <c r="A32" s="2"/>
      <c r="B32" s="47" t="s">
        <v>53</v>
      </c>
      <c r="C32" s="47"/>
      <c r="D32" s="47"/>
      <c r="E32" s="47"/>
      <c r="F32" s="47"/>
      <c r="G32" s="47"/>
      <c r="H32" s="47"/>
      <c r="I32" s="47"/>
      <c r="J32" s="48"/>
      <c r="M32" s="52" t="s">
        <v>19</v>
      </c>
      <c r="N32" s="53">
        <v>12</v>
      </c>
      <c r="O32" s="53">
        <v>24</v>
      </c>
      <c r="P32" s="53">
        <v>36</v>
      </c>
    </row>
    <row r="33" spans="1:21" x14ac:dyDescent="0.2">
      <c r="A33" s="2"/>
      <c r="B33" s="47"/>
      <c r="C33" s="47"/>
      <c r="D33" s="47"/>
      <c r="E33" s="47"/>
      <c r="F33" s="47"/>
      <c r="G33" s="47"/>
      <c r="H33" s="47"/>
      <c r="I33" s="47"/>
      <c r="J33" s="48"/>
      <c r="M33" s="74">
        <v>2014</v>
      </c>
      <c r="N33" s="11"/>
      <c r="O33" s="11"/>
      <c r="P33" s="13">
        <f>P$25*($P18/$U$20)/(P18/U$20)</f>
        <v>1</v>
      </c>
    </row>
    <row r="34" spans="1:21" x14ac:dyDescent="0.2">
      <c r="A34" s="2"/>
      <c r="B34" s="47"/>
      <c r="C34" s="47"/>
      <c r="D34" s="47"/>
      <c r="E34" s="47"/>
      <c r="F34" s="47"/>
      <c r="G34" s="47"/>
      <c r="H34" s="47"/>
      <c r="I34" s="47"/>
      <c r="J34" s="48"/>
      <c r="M34" s="74">
        <v>2015</v>
      </c>
      <c r="N34" s="11"/>
      <c r="O34" s="13">
        <f>O$25*($P19/$U$20)/(O19/T$20)</f>
        <v>1.1436538342410569</v>
      </c>
      <c r="P34" s="11"/>
    </row>
    <row r="35" spans="1:21" x14ac:dyDescent="0.2">
      <c r="A35" s="47" t="s">
        <v>0</v>
      </c>
      <c r="B35" s="47" t="s">
        <v>54</v>
      </c>
      <c r="C35" s="47"/>
      <c r="D35" s="47"/>
      <c r="E35" s="47"/>
      <c r="F35" s="47"/>
      <c r="G35" s="47"/>
      <c r="H35" s="47"/>
      <c r="I35" s="47"/>
      <c r="J35" s="48"/>
      <c r="M35" s="74">
        <v>2016</v>
      </c>
      <c r="N35" s="13">
        <f>N$25*($P20/$U$20)/(N20/S$20)</f>
        <v>1.8021659636178666</v>
      </c>
      <c r="O35" s="11"/>
      <c r="P35" s="11"/>
    </row>
    <row r="36" spans="1:21" x14ac:dyDescent="0.2">
      <c r="A36" s="2"/>
      <c r="B36" s="47" t="s">
        <v>55</v>
      </c>
      <c r="C36" s="47"/>
      <c r="D36" s="47"/>
      <c r="E36" s="47"/>
      <c r="F36" s="47"/>
      <c r="G36" s="47"/>
      <c r="H36" s="47"/>
      <c r="I36" s="47"/>
      <c r="J36" s="48"/>
      <c r="M36" s="66"/>
      <c r="N36" s="12"/>
      <c r="O36" s="12"/>
      <c r="P36" s="12"/>
    </row>
    <row r="37" spans="1:21" x14ac:dyDescent="0.2">
      <c r="A37" s="2"/>
      <c r="B37" s="47"/>
      <c r="C37" s="47"/>
      <c r="D37" s="47"/>
      <c r="E37" s="47"/>
      <c r="F37" s="47"/>
      <c r="G37" s="47"/>
      <c r="H37" s="47"/>
      <c r="I37" s="47"/>
      <c r="J37" s="48"/>
      <c r="L37" s="39" t="s">
        <v>115</v>
      </c>
      <c r="M37" s="66"/>
      <c r="N37" s="12"/>
      <c r="O37" s="12"/>
      <c r="P37" s="12"/>
    </row>
    <row r="38" spans="1:21" x14ac:dyDescent="0.2">
      <c r="A38" s="47" t="s">
        <v>1</v>
      </c>
      <c r="B38" s="47" t="s">
        <v>56</v>
      </c>
      <c r="C38" s="47"/>
      <c r="D38" s="47"/>
      <c r="E38" s="47"/>
      <c r="F38" s="47"/>
      <c r="G38" s="47"/>
      <c r="H38" s="47"/>
      <c r="I38" s="47"/>
      <c r="J38" s="48"/>
      <c r="M38" s="49" t="s">
        <v>60</v>
      </c>
    </row>
    <row r="39" spans="1:21" x14ac:dyDescent="0.2">
      <c r="A39" s="2"/>
      <c r="B39" s="47"/>
      <c r="C39" s="47"/>
      <c r="D39" s="47"/>
      <c r="E39" s="47"/>
      <c r="F39" s="47"/>
      <c r="G39" s="47"/>
      <c r="H39" s="47"/>
      <c r="I39" s="47"/>
      <c r="J39" s="48"/>
    </row>
    <row r="40" spans="1:21" ht="18" thickBot="1" x14ac:dyDescent="0.25">
      <c r="A40" s="2"/>
      <c r="B40" s="47"/>
      <c r="C40" s="47"/>
      <c r="D40" s="47"/>
      <c r="E40" s="47"/>
      <c r="F40" s="47"/>
      <c r="G40" s="47"/>
      <c r="H40" s="47"/>
      <c r="I40" s="47"/>
      <c r="J40" s="48"/>
      <c r="M40" s="19" t="s">
        <v>19</v>
      </c>
      <c r="N40" s="18" t="s">
        <v>28</v>
      </c>
      <c r="O40" s="18" t="s">
        <v>58</v>
      </c>
    </row>
    <row r="41" spans="1:21" ht="17" thickBot="1" x14ac:dyDescent="0.25">
      <c r="A41" s="282" t="s">
        <v>109</v>
      </c>
      <c r="B41" s="283"/>
      <c r="C41" s="283"/>
      <c r="D41" s="283"/>
      <c r="E41" s="283"/>
      <c r="F41" s="283"/>
      <c r="G41" s="283"/>
      <c r="H41" s="283"/>
      <c r="I41" s="283"/>
      <c r="J41" s="284"/>
      <c r="M41" s="20">
        <v>2015</v>
      </c>
      <c r="N41" s="21">
        <f>O34</f>
        <v>1.1436538342410569</v>
      </c>
      <c r="O41" s="17">
        <f>E29*1000*(N41-1)</f>
        <v>725451.86291733757</v>
      </c>
    </row>
    <row r="42" spans="1:21" x14ac:dyDescent="0.2">
      <c r="M42" s="19">
        <v>2016</v>
      </c>
      <c r="N42" s="22">
        <f>N35</f>
        <v>1.8021659636178666</v>
      </c>
      <c r="O42" s="23">
        <f>D30*1000*(N42-1)</f>
        <v>2454627.8486706717</v>
      </c>
    </row>
    <row r="43" spans="1:21" ht="19" x14ac:dyDescent="0.25">
      <c r="A43" s="3"/>
      <c r="M43" s="24" t="s">
        <v>59</v>
      </c>
      <c r="N43" s="25"/>
      <c r="O43" s="26">
        <f>SUM(O41:O42)</f>
        <v>3180079.7115880093</v>
      </c>
      <c r="P43" s="4"/>
      <c r="Q43" s="4"/>
      <c r="R43" s="4"/>
      <c r="S43" s="4"/>
      <c r="T43" s="4"/>
      <c r="U43" s="4"/>
    </row>
    <row r="44" spans="1:21" x14ac:dyDescent="0.2">
      <c r="L44" s="4"/>
      <c r="M44" s="4"/>
      <c r="N44" s="4"/>
      <c r="O44" s="4"/>
      <c r="P44" s="4"/>
      <c r="Q44" s="4"/>
      <c r="R44" s="4"/>
      <c r="S44" s="4"/>
      <c r="T44" s="4"/>
      <c r="U44" s="4"/>
    </row>
    <row r="45" spans="1:21" ht="19" x14ac:dyDescent="0.25">
      <c r="L45" s="3" t="s">
        <v>42</v>
      </c>
      <c r="M45" s="4"/>
      <c r="N45" s="4"/>
      <c r="O45" s="4"/>
      <c r="P45" s="4"/>
      <c r="Q45" s="4"/>
      <c r="R45" s="4"/>
      <c r="S45" s="4"/>
      <c r="T45" s="4"/>
      <c r="U45" s="4"/>
    </row>
    <row r="46" spans="1:21" ht="18.5" customHeight="1" x14ac:dyDescent="0.2">
      <c r="L46" s="287" t="s">
        <v>105</v>
      </c>
      <c r="M46" s="287"/>
      <c r="N46" s="287"/>
      <c r="O46" s="287"/>
      <c r="P46" s="287"/>
      <c r="Q46" s="287"/>
      <c r="R46" s="287"/>
      <c r="S46" s="287"/>
      <c r="T46" s="287"/>
      <c r="U46" s="110"/>
    </row>
    <row r="47" spans="1:21" ht="15.5" customHeight="1" x14ac:dyDescent="0.2">
      <c r="L47" s="287"/>
      <c r="M47" s="287"/>
      <c r="N47" s="287"/>
      <c r="O47" s="287"/>
      <c r="P47" s="287"/>
      <c r="Q47" s="287"/>
      <c r="R47" s="287"/>
      <c r="S47" s="287"/>
      <c r="T47" s="287"/>
      <c r="U47" s="110"/>
    </row>
    <row r="48" spans="1:21" ht="18.5" customHeight="1" x14ac:dyDescent="0.2">
      <c r="L48" s="287"/>
      <c r="M48" s="287"/>
      <c r="N48" s="287"/>
      <c r="O48" s="287"/>
      <c r="P48" s="287"/>
      <c r="Q48" s="287"/>
      <c r="R48" s="287"/>
      <c r="S48" s="287"/>
      <c r="T48" s="287"/>
      <c r="U48" s="110"/>
    </row>
    <row r="49" spans="12:21" x14ac:dyDescent="0.2">
      <c r="M49" s="139"/>
      <c r="N49" s="139"/>
      <c r="O49" s="139"/>
      <c r="P49" s="139"/>
      <c r="Q49" s="139"/>
      <c r="R49" s="139"/>
      <c r="S49" s="139"/>
      <c r="T49" s="139"/>
      <c r="U49" s="110"/>
    </row>
    <row r="50" spans="12:21" x14ac:dyDescent="0.2">
      <c r="M50" s="110"/>
      <c r="N50" s="110"/>
      <c r="O50" s="110"/>
      <c r="P50" s="110"/>
      <c r="Q50" s="110"/>
      <c r="R50" s="110"/>
      <c r="S50" s="110"/>
      <c r="T50" s="110"/>
      <c r="U50" s="110"/>
    </row>
    <row r="51" spans="12:21" ht="19" x14ac:dyDescent="0.25">
      <c r="L51" s="3" t="s">
        <v>121</v>
      </c>
    </row>
    <row r="52" spans="12:21" x14ac:dyDescent="0.2">
      <c r="L52" s="141" t="s">
        <v>123</v>
      </c>
    </row>
    <row r="79" spans="12:14" x14ac:dyDescent="0.2">
      <c r="M79" s="4"/>
      <c r="N79" s="4"/>
    </row>
    <row r="80" spans="12:14" x14ac:dyDescent="0.2">
      <c r="L80" s="4"/>
      <c r="M80" s="4"/>
      <c r="N80" s="4"/>
    </row>
    <row r="81" spans="1:66" x14ac:dyDescent="0.2">
      <c r="L81" s="4"/>
      <c r="M81" s="4"/>
      <c r="N81" s="4"/>
    </row>
    <row r="82" spans="1:66" x14ac:dyDescent="0.2">
      <c r="L82" s="4"/>
      <c r="M82" s="4"/>
      <c r="N82" s="4"/>
      <c r="O82" s="4"/>
    </row>
    <row r="83" spans="1:66" x14ac:dyDescent="0.2">
      <c r="M83" s="4"/>
      <c r="N83" s="4"/>
      <c r="O83" s="4"/>
    </row>
    <row r="84" spans="1:66" x14ac:dyDescent="0.2">
      <c r="N84" s="55"/>
    </row>
    <row r="85" spans="1:66" x14ac:dyDescent="0.2">
      <c r="M85" s="4"/>
      <c r="N85" s="4"/>
      <c r="O85" s="4"/>
      <c r="P85" s="4"/>
      <c r="Q85" s="4"/>
      <c r="R85" s="4"/>
      <c r="S85" s="4"/>
      <c r="T85" s="4"/>
      <c r="U85" s="4"/>
    </row>
    <row r="86" spans="1:66" x14ac:dyDescent="0.2">
      <c r="L86" s="4"/>
      <c r="M86" s="4"/>
      <c r="N86" s="4"/>
      <c r="O86" s="4"/>
      <c r="P86" s="4"/>
      <c r="Q86" s="4"/>
      <c r="R86" s="4"/>
      <c r="S86" s="4"/>
      <c r="T86" s="4"/>
      <c r="U86" s="4"/>
    </row>
    <row r="87" spans="1:66" x14ac:dyDescent="0.2">
      <c r="L87" s="4"/>
      <c r="M87" s="4"/>
      <c r="N87" s="4"/>
      <c r="O87" s="4"/>
      <c r="P87" s="4"/>
      <c r="Q87" s="4"/>
      <c r="R87" s="4"/>
      <c r="S87" s="4"/>
      <c r="T87" s="4"/>
      <c r="U87" s="4"/>
    </row>
    <row r="88" spans="1:66" x14ac:dyDescent="0.2">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x14ac:dyDescent="0.2">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row>
    <row r="90" spans="1:66" x14ac:dyDescent="0.2">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row>
    <row r="91" spans="1:66" x14ac:dyDescent="0.2">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row>
    <row r="92" spans="1:66"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row>
    <row r="93" spans="1:66"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row>
    <row r="94" spans="1:66"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row>
    <row r="95" spans="1:66"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6"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K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sheetData>
  <mergeCells count="8">
    <mergeCell ref="L46:T48"/>
    <mergeCell ref="A41:J41"/>
    <mergeCell ref="M29:U30"/>
    <mergeCell ref="C9:F9"/>
    <mergeCell ref="D10:D11"/>
    <mergeCell ref="E10:E11"/>
    <mergeCell ref="F10:F11"/>
    <mergeCell ref="C25:F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202"/>
  <sheetViews>
    <sheetView zoomScaleNormal="100" workbookViewId="0">
      <selection sqref="A1:XFD1048576"/>
    </sheetView>
  </sheetViews>
  <sheetFormatPr baseColWidth="10" defaultColWidth="10.83203125" defaultRowHeight="16" outlineLevelCol="1" x14ac:dyDescent="0.2"/>
  <cols>
    <col min="1" max="1" width="4.6640625" style="49" customWidth="1"/>
    <col min="2" max="2" width="10.83203125" style="49"/>
    <col min="3" max="3" width="10.83203125" style="49" customWidth="1"/>
    <col min="4" max="10" width="10.83203125" style="49"/>
    <col min="11" max="11" width="11.5" style="49" bestFit="1" customWidth="1"/>
    <col min="12" max="21" width="10.83203125" style="49" hidden="1" customWidth="1" outlineLevel="1"/>
    <col min="22" max="22" width="10.83203125" style="49" collapsed="1"/>
    <col min="23" max="16384" width="10.83203125" style="49"/>
  </cols>
  <sheetData>
    <row r="1" spans="1:65" ht="19" x14ac:dyDescent="0.25">
      <c r="A1" s="1" t="s">
        <v>118</v>
      </c>
      <c r="B1" s="37"/>
      <c r="C1" s="46"/>
      <c r="D1" s="46"/>
      <c r="E1" s="46"/>
      <c r="F1" s="114"/>
      <c r="G1" s="114"/>
      <c r="H1" s="114"/>
      <c r="I1" s="114"/>
      <c r="J1" s="115"/>
      <c r="K1" s="3" t="s">
        <v>110</v>
      </c>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c r="BI1" s="77"/>
      <c r="BJ1" s="77"/>
      <c r="BK1" s="77"/>
      <c r="BL1" s="77"/>
      <c r="BM1" s="77"/>
    </row>
    <row r="2" spans="1:65" x14ac:dyDescent="0.2">
      <c r="A2" s="78"/>
      <c r="B2" s="75"/>
      <c r="C2" s="75"/>
      <c r="D2" s="75"/>
      <c r="E2" s="75"/>
      <c r="F2" s="75"/>
      <c r="G2" s="75"/>
      <c r="H2" s="75"/>
      <c r="I2" s="75"/>
      <c r="J2" s="76"/>
      <c r="K2" s="77"/>
      <c r="L2" s="14" t="s">
        <v>112</v>
      </c>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row>
    <row r="3" spans="1:65" ht="19" x14ac:dyDescent="0.25">
      <c r="A3" s="78"/>
      <c r="B3" s="75" t="s">
        <v>63</v>
      </c>
      <c r="C3" s="75"/>
      <c r="D3" s="75"/>
      <c r="E3" s="75"/>
      <c r="F3" s="75"/>
      <c r="G3" s="75"/>
      <c r="H3" s="75"/>
      <c r="I3" s="75"/>
      <c r="J3" s="76"/>
      <c r="K3" s="77"/>
      <c r="L3" s="10"/>
      <c r="M3" s="49" t="s">
        <v>35</v>
      </c>
      <c r="O3" s="50">
        <v>500000</v>
      </c>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row>
    <row r="4" spans="1:65" ht="19" x14ac:dyDescent="0.25">
      <c r="A4" s="78"/>
      <c r="B4" s="75"/>
      <c r="C4" s="75"/>
      <c r="D4" s="75"/>
      <c r="E4" s="75"/>
      <c r="F4" s="75"/>
      <c r="G4" s="75"/>
      <c r="H4" s="75"/>
      <c r="I4" s="75"/>
      <c r="J4" s="76"/>
      <c r="K4" s="77"/>
      <c r="L4" s="10"/>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row>
    <row r="5" spans="1:65" x14ac:dyDescent="0.2">
      <c r="A5" s="78"/>
      <c r="B5" s="75"/>
      <c r="C5" s="292" t="s">
        <v>338</v>
      </c>
      <c r="D5" s="292"/>
      <c r="E5" s="292"/>
      <c r="F5" s="292"/>
      <c r="G5" s="75"/>
      <c r="H5" s="75"/>
      <c r="I5" s="75"/>
      <c r="J5" s="76"/>
      <c r="K5" s="77"/>
      <c r="L5" s="14"/>
      <c r="M5" s="14" t="s">
        <v>15</v>
      </c>
      <c r="N5" s="14"/>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row>
    <row r="6" spans="1:65" x14ac:dyDescent="0.2">
      <c r="A6" s="78"/>
      <c r="B6" s="75"/>
      <c r="C6" s="292"/>
      <c r="D6" s="292"/>
      <c r="E6" s="292"/>
      <c r="F6" s="292"/>
      <c r="G6" s="75"/>
      <c r="H6" s="75"/>
      <c r="I6" s="75"/>
      <c r="J6" s="76"/>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77"/>
      <c r="AW6" s="77"/>
      <c r="AX6" s="77"/>
      <c r="AY6" s="77"/>
      <c r="AZ6" s="77"/>
      <c r="BA6" s="77"/>
      <c r="BB6" s="77"/>
      <c r="BC6" s="77"/>
      <c r="BD6" s="77"/>
      <c r="BE6" s="77"/>
      <c r="BF6" s="77"/>
      <c r="BG6" s="77"/>
      <c r="BH6" s="77"/>
      <c r="BI6" s="77"/>
      <c r="BJ6" s="77"/>
      <c r="BK6" s="77"/>
      <c r="BL6" s="77"/>
      <c r="BM6" s="77"/>
    </row>
    <row r="7" spans="1:65" ht="34" x14ac:dyDescent="0.2">
      <c r="A7" s="78"/>
      <c r="B7" s="75"/>
      <c r="C7" s="116" t="s">
        <v>3</v>
      </c>
      <c r="D7" s="117" t="s">
        <v>4</v>
      </c>
      <c r="E7" s="117" t="s">
        <v>5</v>
      </c>
      <c r="F7" s="117" t="s">
        <v>6</v>
      </c>
      <c r="G7" s="75"/>
      <c r="H7" s="75"/>
      <c r="I7" s="75"/>
      <c r="J7" s="76"/>
      <c r="K7" s="77"/>
      <c r="L7" s="77"/>
      <c r="M7" s="120" t="s">
        <v>17</v>
      </c>
      <c r="N7" s="120"/>
      <c r="O7" s="120"/>
      <c r="P7" s="120"/>
      <c r="Q7" s="77"/>
      <c r="R7" s="120"/>
      <c r="S7" s="120"/>
      <c r="T7" s="120"/>
      <c r="U7" s="120"/>
      <c r="V7" s="77"/>
      <c r="W7" s="77"/>
      <c r="X7" s="77"/>
      <c r="Y7" s="77"/>
      <c r="Z7" s="77"/>
      <c r="AA7" s="77"/>
      <c r="AB7" s="77"/>
      <c r="AC7" s="77"/>
      <c r="AD7" s="77"/>
      <c r="AE7" s="77"/>
      <c r="AF7" s="77"/>
      <c r="AG7" s="77"/>
      <c r="AH7" s="77"/>
      <c r="AI7" s="77"/>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7"/>
      <c r="BJ7" s="77"/>
      <c r="BK7" s="77"/>
      <c r="BL7" s="77"/>
      <c r="BM7" s="77"/>
    </row>
    <row r="8" spans="1:65" x14ac:dyDescent="0.2">
      <c r="A8" s="78"/>
      <c r="B8" s="75"/>
      <c r="C8" s="118">
        <v>2013</v>
      </c>
      <c r="D8" s="119">
        <v>2710</v>
      </c>
      <c r="E8" s="119">
        <v>4760</v>
      </c>
      <c r="F8" s="119">
        <v>7050</v>
      </c>
      <c r="G8" s="75"/>
      <c r="H8" s="75"/>
      <c r="I8" s="75"/>
      <c r="J8" s="76"/>
      <c r="K8" s="77"/>
      <c r="L8" s="77"/>
      <c r="M8" s="122" t="s">
        <v>19</v>
      </c>
      <c r="N8" s="123">
        <v>12</v>
      </c>
      <c r="O8" s="123">
        <v>24</v>
      </c>
      <c r="P8" s="123">
        <v>36</v>
      </c>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77"/>
      <c r="BD8" s="77"/>
      <c r="BE8" s="77"/>
      <c r="BF8" s="77"/>
      <c r="BG8" s="77"/>
      <c r="BH8" s="77"/>
      <c r="BI8" s="77"/>
      <c r="BJ8" s="77"/>
      <c r="BK8" s="77"/>
      <c r="BL8" s="77"/>
      <c r="BM8" s="77"/>
    </row>
    <row r="9" spans="1:65" x14ac:dyDescent="0.2">
      <c r="A9" s="78"/>
      <c r="B9" s="75"/>
      <c r="C9" s="118">
        <v>2014</v>
      </c>
      <c r="D9" s="119">
        <v>2980</v>
      </c>
      <c r="E9" s="119">
        <v>4720</v>
      </c>
      <c r="F9" s="121"/>
      <c r="G9" s="75"/>
      <c r="H9" s="75"/>
      <c r="I9" s="75"/>
      <c r="J9" s="76"/>
      <c r="K9" s="77"/>
      <c r="L9" s="77"/>
      <c r="M9" s="74">
        <v>2013</v>
      </c>
      <c r="N9" s="124">
        <v>1</v>
      </c>
      <c r="O9" s="124">
        <f t="shared" ref="O9:P11" si="0">N9*(1+$F$17)</f>
        <v>1.03</v>
      </c>
      <c r="P9" s="124">
        <f t="shared" si="0"/>
        <v>1.0609</v>
      </c>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row>
    <row r="10" spans="1:65" x14ac:dyDescent="0.2">
      <c r="A10" s="78"/>
      <c r="B10" s="75"/>
      <c r="C10" s="118">
        <v>2015</v>
      </c>
      <c r="D10" s="119">
        <v>2470</v>
      </c>
      <c r="E10" s="121"/>
      <c r="F10" s="121"/>
      <c r="G10" s="75"/>
      <c r="H10" s="75"/>
      <c r="I10" s="75"/>
      <c r="J10" s="76"/>
      <c r="K10" s="77"/>
      <c r="L10" s="77"/>
      <c r="M10" s="74">
        <v>2014</v>
      </c>
      <c r="N10" s="124">
        <f>N9*(1+$F$17)</f>
        <v>1.03</v>
      </c>
      <c r="O10" s="124">
        <f t="shared" si="0"/>
        <v>1.0609</v>
      </c>
      <c r="P10" s="124">
        <f t="shared" si="0"/>
        <v>1.092727</v>
      </c>
      <c r="Q10" s="77"/>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77"/>
      <c r="AT10" s="77"/>
      <c r="AU10" s="77"/>
      <c r="AV10" s="77"/>
      <c r="AW10" s="77"/>
      <c r="AX10" s="77"/>
      <c r="AY10" s="77"/>
      <c r="AZ10" s="77"/>
      <c r="BA10" s="77"/>
      <c r="BB10" s="77"/>
      <c r="BC10" s="77"/>
      <c r="BD10" s="77"/>
      <c r="BE10" s="77"/>
      <c r="BF10" s="77"/>
      <c r="BG10" s="77"/>
      <c r="BH10" s="77"/>
      <c r="BI10" s="77"/>
      <c r="BJ10" s="77"/>
      <c r="BK10" s="77"/>
      <c r="BL10" s="77"/>
      <c r="BM10" s="77"/>
    </row>
    <row r="11" spans="1:65" x14ac:dyDescent="0.2">
      <c r="A11" s="78"/>
      <c r="B11" s="75"/>
      <c r="C11" s="75"/>
      <c r="D11" s="75"/>
      <c r="E11" s="75"/>
      <c r="F11" s="75"/>
      <c r="G11" s="75"/>
      <c r="H11" s="75"/>
      <c r="I11" s="75"/>
      <c r="J11" s="76"/>
      <c r="K11" s="77"/>
      <c r="L11" s="77"/>
      <c r="M11" s="74">
        <v>2015</v>
      </c>
      <c r="N11" s="124">
        <f>N10*(1+$F$17)</f>
        <v>1.0609</v>
      </c>
      <c r="O11" s="124">
        <f t="shared" si="0"/>
        <v>1.092727</v>
      </c>
      <c r="P11" s="124">
        <f t="shared" si="0"/>
        <v>1.1255088100000001</v>
      </c>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77"/>
      <c r="AZ11" s="77"/>
      <c r="BA11" s="77"/>
      <c r="BB11" s="77"/>
      <c r="BC11" s="77"/>
      <c r="BD11" s="77"/>
      <c r="BE11" s="77"/>
      <c r="BF11" s="77"/>
      <c r="BG11" s="77"/>
      <c r="BH11" s="77"/>
      <c r="BI11" s="77"/>
      <c r="BJ11" s="77"/>
      <c r="BK11" s="77"/>
      <c r="BL11" s="77"/>
      <c r="BM11" s="77"/>
    </row>
    <row r="12" spans="1:65" x14ac:dyDescent="0.2">
      <c r="A12" s="78"/>
      <c r="B12" s="75"/>
      <c r="C12" s="75"/>
      <c r="D12" s="75"/>
      <c r="E12" s="75"/>
      <c r="F12" s="75"/>
      <c r="G12" s="75"/>
      <c r="H12" s="75"/>
      <c r="I12" s="75"/>
      <c r="J12" s="76"/>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row>
    <row r="13" spans="1:65" x14ac:dyDescent="0.2">
      <c r="A13" s="78"/>
      <c r="B13" s="75" t="s">
        <v>9</v>
      </c>
      <c r="C13" s="75"/>
      <c r="D13" s="75"/>
      <c r="E13" s="75"/>
      <c r="F13" s="84">
        <v>100000</v>
      </c>
      <c r="G13" s="75"/>
      <c r="H13" s="75"/>
      <c r="I13" s="75"/>
      <c r="J13" s="76"/>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row>
    <row r="14" spans="1:65" x14ac:dyDescent="0.2">
      <c r="A14" s="78"/>
      <c r="B14" s="75" t="s">
        <v>7</v>
      </c>
      <c r="C14" s="75"/>
      <c r="D14" s="75"/>
      <c r="E14" s="75"/>
      <c r="F14" s="84">
        <v>500000</v>
      </c>
      <c r="G14" s="75"/>
      <c r="H14" s="75"/>
      <c r="I14" s="75"/>
      <c r="J14" s="76"/>
      <c r="K14" s="77"/>
      <c r="L14" s="77"/>
      <c r="M14" s="14" t="s">
        <v>20</v>
      </c>
      <c r="N14" s="14"/>
      <c r="O14" s="14"/>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7"/>
      <c r="AZ14" s="77"/>
      <c r="BA14" s="77"/>
      <c r="BB14" s="77"/>
      <c r="BC14" s="77"/>
      <c r="BD14" s="77"/>
      <c r="BE14" s="77"/>
      <c r="BF14" s="77"/>
      <c r="BG14" s="77"/>
      <c r="BH14" s="77"/>
      <c r="BI14" s="77"/>
      <c r="BJ14" s="77"/>
      <c r="BK14" s="77"/>
      <c r="BL14" s="77"/>
      <c r="BM14" s="77"/>
    </row>
    <row r="15" spans="1:65" x14ac:dyDescent="0.2">
      <c r="A15" s="78"/>
      <c r="B15" s="75" t="s">
        <v>64</v>
      </c>
      <c r="C15" s="75"/>
      <c r="D15" s="75"/>
      <c r="E15" s="75"/>
      <c r="F15" s="84">
        <v>100000</v>
      </c>
      <c r="G15" s="75"/>
      <c r="H15" s="75"/>
      <c r="I15" s="75"/>
      <c r="J15" s="76"/>
      <c r="K15" s="77"/>
      <c r="L15" s="77"/>
      <c r="M15" s="77" t="s">
        <v>38</v>
      </c>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77"/>
      <c r="AZ15" s="77"/>
      <c r="BA15" s="77"/>
      <c r="BB15" s="77"/>
      <c r="BC15" s="77"/>
      <c r="BD15" s="77"/>
      <c r="BE15" s="77"/>
      <c r="BF15" s="77"/>
      <c r="BG15" s="77"/>
      <c r="BH15" s="77"/>
      <c r="BI15" s="77"/>
      <c r="BJ15" s="77"/>
      <c r="BK15" s="77"/>
      <c r="BL15" s="77"/>
      <c r="BM15" s="77"/>
    </row>
    <row r="16" spans="1:65" x14ac:dyDescent="0.2">
      <c r="A16" s="78"/>
      <c r="B16" s="75"/>
      <c r="C16" s="75"/>
      <c r="D16" s="75"/>
      <c r="E16" s="75"/>
      <c r="F16" s="84"/>
      <c r="G16" s="75"/>
      <c r="H16" s="75"/>
      <c r="I16" s="75"/>
      <c r="J16" s="76"/>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row>
    <row r="17" spans="1:65" x14ac:dyDescent="0.2">
      <c r="A17" s="78"/>
      <c r="B17" s="75" t="s">
        <v>8</v>
      </c>
      <c r="C17" s="75"/>
      <c r="D17" s="75"/>
      <c r="E17" s="75"/>
      <c r="F17" s="85">
        <v>0.03</v>
      </c>
      <c r="G17" s="75"/>
      <c r="H17" s="75"/>
      <c r="I17" s="75"/>
      <c r="J17" s="76"/>
      <c r="K17" s="77"/>
      <c r="L17" s="14"/>
      <c r="M17" s="122" t="s">
        <v>19</v>
      </c>
      <c r="N17" s="123">
        <v>12</v>
      </c>
      <c r="O17" s="123">
        <v>24</v>
      </c>
      <c r="P17" s="123">
        <v>36</v>
      </c>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row>
    <row r="18" spans="1:65" x14ac:dyDescent="0.2">
      <c r="A18" s="78"/>
      <c r="B18" s="75"/>
      <c r="C18" s="75"/>
      <c r="D18" s="75"/>
      <c r="E18" s="75"/>
      <c r="F18" s="75"/>
      <c r="G18" s="75"/>
      <c r="H18" s="75"/>
      <c r="I18" s="75"/>
      <c r="J18" s="76"/>
      <c r="K18" s="77"/>
      <c r="L18" s="77"/>
      <c r="M18" s="74">
        <v>2013</v>
      </c>
      <c r="N18" s="125">
        <f t="shared" ref="N18:P19" si="1">N$20*N9/N$11</f>
        <v>59383.542275426524</v>
      </c>
      <c r="O18" s="125">
        <f t="shared" si="1"/>
        <v>97087.378640776704</v>
      </c>
      <c r="P18" s="125">
        <f t="shared" si="1"/>
        <v>126307.85182392308</v>
      </c>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row>
    <row r="19" spans="1:65" x14ac:dyDescent="0.2">
      <c r="A19" s="78"/>
      <c r="B19" s="75" t="s">
        <v>11</v>
      </c>
      <c r="C19" s="75"/>
      <c r="D19" s="75"/>
      <c r="E19" s="75"/>
      <c r="F19" s="75"/>
      <c r="G19" s="75"/>
      <c r="H19" s="75"/>
      <c r="I19" s="75"/>
      <c r="J19" s="76"/>
      <c r="K19" s="77"/>
      <c r="L19" s="77"/>
      <c r="M19" s="74">
        <v>2014</v>
      </c>
      <c r="N19" s="125">
        <f t="shared" si="1"/>
        <v>61165.048543689321</v>
      </c>
      <c r="O19" s="125">
        <f t="shared" si="1"/>
        <v>100000</v>
      </c>
      <c r="P19" s="125">
        <f t="shared" si="1"/>
        <v>130097.08737864076</v>
      </c>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row>
    <row r="20" spans="1:65" x14ac:dyDescent="0.2">
      <c r="A20" s="78"/>
      <c r="B20" s="75" t="s">
        <v>65</v>
      </c>
      <c r="C20" s="75"/>
      <c r="D20" s="75"/>
      <c r="E20" s="75"/>
      <c r="F20" s="75"/>
      <c r="G20" s="75"/>
      <c r="H20" s="75"/>
      <c r="I20" s="75"/>
      <c r="J20" s="76"/>
      <c r="K20" s="77"/>
      <c r="L20" s="77"/>
      <c r="M20" s="126">
        <v>2015</v>
      </c>
      <c r="N20" s="127">
        <f>D23</f>
        <v>63000</v>
      </c>
      <c r="O20" s="127">
        <f>E23</f>
        <v>103000</v>
      </c>
      <c r="P20" s="127">
        <f>F23</f>
        <v>134000</v>
      </c>
      <c r="Q20" s="77" t="s">
        <v>36</v>
      </c>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row>
    <row r="21" spans="1:65" x14ac:dyDescent="0.2">
      <c r="A21" s="78"/>
      <c r="B21" s="75"/>
      <c r="C21" s="75"/>
      <c r="D21" s="75"/>
      <c r="E21" s="75"/>
      <c r="F21" s="75"/>
      <c r="G21" s="75"/>
      <c r="H21" s="75"/>
      <c r="I21" s="75"/>
      <c r="J21" s="76"/>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row>
    <row r="22" spans="1:65" x14ac:dyDescent="0.2">
      <c r="A22" s="78"/>
      <c r="B22" s="75"/>
      <c r="C22" s="128"/>
      <c r="D22" s="129" t="s">
        <v>4</v>
      </c>
      <c r="E22" s="129" t="s">
        <v>5</v>
      </c>
      <c r="F22" s="129" t="s">
        <v>6</v>
      </c>
      <c r="G22" s="75"/>
      <c r="H22" s="75"/>
      <c r="I22" s="75"/>
      <c r="J22" s="76"/>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row>
    <row r="23" spans="1:65" x14ac:dyDescent="0.2">
      <c r="A23" s="78"/>
      <c r="B23" s="75"/>
      <c r="C23" s="130" t="s">
        <v>13</v>
      </c>
      <c r="D23" s="131">
        <v>63000</v>
      </c>
      <c r="E23" s="131">
        <v>103000</v>
      </c>
      <c r="F23" s="131">
        <v>134000</v>
      </c>
      <c r="G23" s="75"/>
      <c r="H23" s="75"/>
      <c r="I23" s="75"/>
      <c r="J23" s="76"/>
      <c r="K23" s="77"/>
      <c r="L23" s="77"/>
      <c r="M23" s="14" t="s">
        <v>21</v>
      </c>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row>
    <row r="24" spans="1:65" x14ac:dyDescent="0.2">
      <c r="A24" s="132"/>
      <c r="B24" s="90"/>
      <c r="C24" s="90"/>
      <c r="D24" s="90"/>
      <c r="E24" s="75"/>
      <c r="F24" s="75"/>
      <c r="G24" s="75"/>
      <c r="H24" s="75"/>
      <c r="I24" s="75"/>
      <c r="J24" s="76"/>
      <c r="K24" s="77"/>
      <c r="L24" s="77"/>
      <c r="M24" s="49" t="s">
        <v>39</v>
      </c>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row>
    <row r="25" spans="1:65" x14ac:dyDescent="0.2">
      <c r="A25" s="132"/>
      <c r="B25" s="90"/>
      <c r="C25" s="90"/>
      <c r="D25" s="90"/>
      <c r="E25" s="75"/>
      <c r="F25" s="75"/>
      <c r="G25" s="75"/>
      <c r="H25" s="75"/>
      <c r="I25" s="75"/>
      <c r="J25" s="76"/>
      <c r="K25" s="77"/>
      <c r="L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row>
    <row r="26" spans="1:65" x14ac:dyDescent="0.2">
      <c r="A26" s="133" t="s">
        <v>0</v>
      </c>
      <c r="B26" s="90" t="s">
        <v>66</v>
      </c>
      <c r="C26" s="90"/>
      <c r="D26" s="75"/>
      <c r="E26" s="75"/>
      <c r="F26" s="75"/>
      <c r="G26" s="75"/>
      <c r="H26" s="75"/>
      <c r="I26" s="75"/>
      <c r="J26" s="76"/>
      <c r="K26" s="77"/>
      <c r="L26" s="77"/>
      <c r="M26" s="51" t="s">
        <v>69</v>
      </c>
      <c r="N26" s="51"/>
      <c r="O26" s="51"/>
      <c r="P26" s="51"/>
      <c r="R26" s="51" t="s">
        <v>68</v>
      </c>
      <c r="S26" s="51"/>
      <c r="T26" s="51"/>
      <c r="U26" s="51"/>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row>
    <row r="27" spans="1:65" x14ac:dyDescent="0.2">
      <c r="A27" s="132"/>
      <c r="B27" s="90"/>
      <c r="C27" s="90"/>
      <c r="D27" s="75"/>
      <c r="E27" s="75"/>
      <c r="F27" s="75"/>
      <c r="G27" s="75"/>
      <c r="H27" s="75"/>
      <c r="I27" s="75"/>
      <c r="J27" s="76"/>
      <c r="K27" s="77"/>
      <c r="L27" s="77"/>
      <c r="M27" s="52" t="s">
        <v>19</v>
      </c>
      <c r="N27" s="53">
        <v>12</v>
      </c>
      <c r="O27" s="53">
        <v>24</v>
      </c>
      <c r="P27" s="53">
        <v>36</v>
      </c>
      <c r="R27" s="52" t="s">
        <v>19</v>
      </c>
      <c r="S27" s="53">
        <v>12</v>
      </c>
      <c r="T27" s="53">
        <v>24</v>
      </c>
      <c r="U27" s="53">
        <v>36</v>
      </c>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row>
    <row r="28" spans="1:65" x14ac:dyDescent="0.2">
      <c r="A28" s="133" t="s">
        <v>1</v>
      </c>
      <c r="B28" s="90" t="s">
        <v>67</v>
      </c>
      <c r="C28" s="90"/>
      <c r="D28" s="75"/>
      <c r="E28" s="75"/>
      <c r="F28" s="75"/>
      <c r="G28" s="75"/>
      <c r="H28" s="75"/>
      <c r="I28" s="75"/>
      <c r="J28" s="76"/>
      <c r="K28" s="77"/>
      <c r="L28" s="77"/>
      <c r="M28" s="74">
        <v>2013</v>
      </c>
      <c r="N28" s="12">
        <f t="shared" ref="N28:P30" si="2">N18*(1-EXP(-$O$3/N18))</f>
        <v>59370.45119478766</v>
      </c>
      <c r="O28" s="12">
        <f t="shared" si="2"/>
        <v>96524.329638170675</v>
      </c>
      <c r="P28" s="12">
        <f t="shared" si="2"/>
        <v>123896.61431253144</v>
      </c>
      <c r="R28" s="74">
        <v>2013</v>
      </c>
      <c r="S28" s="27">
        <f t="shared" ref="S28:S29" si="3">N18*(1-EXP(-$F$13/N18))</f>
        <v>48359.827201698543</v>
      </c>
      <c r="T28" s="27">
        <f>O18*(1-EXP(-$F$13/O18))</f>
        <v>62426.508682607055</v>
      </c>
      <c r="U28" s="27">
        <f t="shared" ref="U28:U29" si="4">P18*(1-EXP(-$F$13/P18))</f>
        <v>69081.998494455649</v>
      </c>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row>
    <row r="29" spans="1:65" x14ac:dyDescent="0.2">
      <c r="A29" s="132"/>
      <c r="B29" s="90" t="s">
        <v>75</v>
      </c>
      <c r="C29" s="90"/>
      <c r="D29" s="75"/>
      <c r="E29" s="75"/>
      <c r="F29" s="75"/>
      <c r="G29" s="75"/>
      <c r="H29" s="75"/>
      <c r="I29" s="75"/>
      <c r="J29" s="76"/>
      <c r="K29" s="77"/>
      <c r="L29" s="14"/>
      <c r="M29" s="74">
        <v>2014</v>
      </c>
      <c r="N29" s="12">
        <f t="shared" si="2"/>
        <v>61147.817234538838</v>
      </c>
      <c r="O29" s="12">
        <f t="shared" si="2"/>
        <v>99326.205300091446</v>
      </c>
      <c r="P29" s="12">
        <f t="shared" si="2"/>
        <v>127309.99912097989</v>
      </c>
      <c r="R29" s="74">
        <v>2014</v>
      </c>
      <c r="S29" s="27">
        <f t="shared" si="3"/>
        <v>49239.83088117763</v>
      </c>
      <c r="T29" s="27">
        <f>O19*(1-EXP(-$F$13/O19))</f>
        <v>63212.05588285577</v>
      </c>
      <c r="U29" s="27">
        <f t="shared" si="4"/>
        <v>69779.466497786663</v>
      </c>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row>
    <row r="30" spans="1:65" x14ac:dyDescent="0.2">
      <c r="A30" s="132"/>
      <c r="B30" s="47"/>
      <c r="C30" s="90"/>
      <c r="D30" s="90"/>
      <c r="E30" s="75"/>
      <c r="F30" s="75"/>
      <c r="G30" s="75"/>
      <c r="H30" s="75"/>
      <c r="I30" s="75"/>
      <c r="J30" s="76"/>
      <c r="K30" s="77"/>
      <c r="L30" s="77"/>
      <c r="M30" s="74">
        <v>2015</v>
      </c>
      <c r="N30" s="12">
        <f t="shared" si="2"/>
        <v>62977.480489453497</v>
      </c>
      <c r="O30" s="12">
        <f t="shared" si="2"/>
        <v>102197.19219815038</v>
      </c>
      <c r="P30" s="12">
        <f t="shared" si="2"/>
        <v>130789.27580900351</v>
      </c>
      <c r="R30" s="74">
        <v>2015</v>
      </c>
      <c r="S30" s="27">
        <f t="shared" ref="S30:U30" si="5">N20*(1-EXP(-$F$13/N20))</f>
        <v>50117.972291235899</v>
      </c>
      <c r="T30" s="27">
        <f>O20*(1-EXP(-$F$13/O20))</f>
        <v>63988.549647427462</v>
      </c>
      <c r="U30" s="27">
        <f t="shared" si="5"/>
        <v>70466.25746732064</v>
      </c>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row>
    <row r="31" spans="1:65" ht="17" thickBot="1" x14ac:dyDescent="0.25">
      <c r="A31" s="132"/>
      <c r="B31" s="47"/>
      <c r="C31" s="90"/>
      <c r="D31" s="90"/>
      <c r="E31" s="75"/>
      <c r="F31" s="75"/>
      <c r="G31" s="75"/>
      <c r="H31" s="75"/>
      <c r="I31" s="75"/>
      <c r="J31" s="76"/>
      <c r="K31" s="77"/>
      <c r="L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row>
    <row r="32" spans="1:65" ht="17" thickBot="1" x14ac:dyDescent="0.25">
      <c r="A32" s="282" t="s">
        <v>109</v>
      </c>
      <c r="B32" s="283"/>
      <c r="C32" s="283"/>
      <c r="D32" s="283"/>
      <c r="E32" s="283"/>
      <c r="F32" s="283"/>
      <c r="G32" s="283"/>
      <c r="H32" s="283"/>
      <c r="I32" s="283"/>
      <c r="J32" s="284"/>
      <c r="K32" s="77"/>
      <c r="L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row>
    <row r="33" spans="1:65" x14ac:dyDescent="0.2">
      <c r="A33" s="77"/>
      <c r="B33" s="77"/>
      <c r="C33" s="77"/>
      <c r="D33" s="77"/>
      <c r="E33" s="77"/>
      <c r="F33" s="77"/>
      <c r="G33" s="77"/>
      <c r="H33" s="77"/>
      <c r="I33" s="77"/>
      <c r="J33" s="77"/>
      <c r="K33" s="77"/>
      <c r="L33" s="77"/>
      <c r="M33" s="14" t="s">
        <v>25</v>
      </c>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row>
    <row r="34" spans="1:65" ht="19" x14ac:dyDescent="0.25">
      <c r="A34" s="10"/>
      <c r="B34" s="77"/>
      <c r="C34" s="77"/>
      <c r="D34" s="77"/>
      <c r="E34" s="77"/>
      <c r="F34" s="77"/>
      <c r="G34" s="77"/>
      <c r="H34" s="77"/>
      <c r="I34" s="77"/>
      <c r="J34" s="77"/>
      <c r="K34" s="77"/>
      <c r="L34" s="77" t="s">
        <v>40</v>
      </c>
      <c r="M34" s="49" t="s">
        <v>41</v>
      </c>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7"/>
    </row>
    <row r="35" spans="1:65" x14ac:dyDescent="0.2">
      <c r="K35" s="77"/>
      <c r="L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row>
    <row r="36" spans="1:65" x14ac:dyDescent="0.2">
      <c r="L36" s="77"/>
      <c r="M36" s="51" t="s">
        <v>26</v>
      </c>
      <c r="N36" s="51"/>
      <c r="O36" s="51"/>
      <c r="P36" s="51"/>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row>
    <row r="37" spans="1:65" x14ac:dyDescent="0.2">
      <c r="L37" s="77"/>
      <c r="M37" s="52" t="s">
        <v>19</v>
      </c>
      <c r="N37" s="53">
        <v>12</v>
      </c>
      <c r="O37" s="53">
        <v>24</v>
      </c>
      <c r="P37" s="53">
        <v>36</v>
      </c>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7"/>
    </row>
    <row r="38" spans="1:65" x14ac:dyDescent="0.2">
      <c r="L38" s="77"/>
      <c r="M38" s="74">
        <v>2013</v>
      </c>
      <c r="N38" s="12">
        <f>D8*S$30/N28</f>
        <v>2287.6650282417486</v>
      </c>
      <c r="O38" s="12">
        <f>E8*T$30/O28</f>
        <v>3155.530812423337</v>
      </c>
      <c r="P38" s="12">
        <f>F8*U$30/P28</f>
        <v>4009.6908047176826</v>
      </c>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7"/>
    </row>
    <row r="39" spans="1:65" x14ac:dyDescent="0.2">
      <c r="L39" s="77"/>
      <c r="M39" s="74">
        <v>2014</v>
      </c>
      <c r="N39" s="12">
        <f>D9*S$30/N29</f>
        <v>2442.4675185874498</v>
      </c>
      <c r="O39" s="12">
        <f>E9*T$30/O29</f>
        <v>3040.7479418281932</v>
      </c>
      <c r="P39" s="12"/>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7"/>
    </row>
    <row r="40" spans="1:65" x14ac:dyDescent="0.2">
      <c r="L40" s="77"/>
      <c r="M40" s="74">
        <v>2015</v>
      </c>
      <c r="N40" s="12">
        <f>D10*S$30/N30</f>
        <v>1965.645348103174</v>
      </c>
      <c r="O40" s="12"/>
      <c r="P40" s="12"/>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row>
    <row r="41" spans="1:65" x14ac:dyDescent="0.2">
      <c r="L41" s="77"/>
      <c r="M41" s="66"/>
      <c r="N41" s="12"/>
      <c r="O41" s="12"/>
      <c r="P41" s="12"/>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c r="BC41" s="77"/>
      <c r="BD41" s="77"/>
      <c r="BE41" s="77"/>
      <c r="BF41" s="77"/>
      <c r="BG41" s="77"/>
      <c r="BH41" s="77"/>
    </row>
    <row r="42" spans="1:65" x14ac:dyDescent="0.2">
      <c r="L42" s="77"/>
      <c r="M42" s="134" t="s">
        <v>27</v>
      </c>
      <c r="N42" s="70">
        <f>SUM(O38:O39)/SUM(N38:N39)</f>
        <v>1.3099587998660103</v>
      </c>
      <c r="O42" s="70">
        <f>P38/O38</f>
        <v>1.2706866270902868</v>
      </c>
      <c r="P42" s="135">
        <v>1</v>
      </c>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c r="BC42" s="77"/>
    </row>
    <row r="43" spans="1:65" x14ac:dyDescent="0.2">
      <c r="L43" s="77"/>
      <c r="M43" s="134" t="s">
        <v>28</v>
      </c>
      <c r="N43" s="136">
        <f>O43*N42</f>
        <v>1.6645471290289806</v>
      </c>
      <c r="O43" s="136">
        <f>P42*O42</f>
        <v>1.2706866270902868</v>
      </c>
      <c r="P43" s="137">
        <v>1</v>
      </c>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c r="AT43" s="77"/>
      <c r="AU43" s="77"/>
      <c r="AV43" s="77"/>
      <c r="AW43" s="77"/>
      <c r="AX43" s="77"/>
      <c r="AY43" s="77"/>
      <c r="AZ43" s="77"/>
      <c r="BA43" s="77"/>
      <c r="BB43" s="77"/>
      <c r="BC43" s="77"/>
    </row>
    <row r="44" spans="1:65" x14ac:dyDescent="0.2">
      <c r="L44" s="77"/>
      <c r="M44" s="89"/>
      <c r="N44" s="87"/>
      <c r="O44" s="87"/>
      <c r="P44" s="8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c r="AR44" s="77"/>
      <c r="AS44" s="77"/>
      <c r="AT44" s="77"/>
      <c r="AU44" s="77"/>
      <c r="AV44" s="77"/>
      <c r="AW44" s="77"/>
      <c r="AX44" s="77"/>
      <c r="AY44" s="77"/>
      <c r="AZ44" s="77"/>
      <c r="BA44" s="77"/>
      <c r="BB44" s="77"/>
      <c r="BC44" s="77"/>
    </row>
    <row r="45" spans="1:65" x14ac:dyDescent="0.2">
      <c r="L45" s="14" t="s">
        <v>115</v>
      </c>
      <c r="M45" s="89"/>
      <c r="N45" s="87"/>
      <c r="O45" s="87"/>
      <c r="P45" s="8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77"/>
      <c r="AS45" s="77"/>
      <c r="AT45" s="77"/>
      <c r="AU45" s="77"/>
      <c r="AV45" s="77"/>
      <c r="AW45" s="77"/>
      <c r="AX45" s="77"/>
      <c r="AY45" s="77"/>
      <c r="AZ45" s="77"/>
      <c r="BA45" s="77"/>
      <c r="BB45" s="77"/>
      <c r="BC45" s="77"/>
    </row>
    <row r="46" spans="1:65" x14ac:dyDescent="0.2">
      <c r="L46" s="77"/>
      <c r="M46" s="14" t="s">
        <v>29</v>
      </c>
      <c r="N46" s="14"/>
      <c r="O46" s="14"/>
      <c r="P46" s="14"/>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c r="AQ46" s="77"/>
      <c r="AR46" s="77"/>
      <c r="AS46" s="77"/>
      <c r="AT46" s="77"/>
      <c r="AU46" s="77"/>
      <c r="AV46" s="77"/>
      <c r="AW46" s="77"/>
      <c r="AX46" s="77"/>
      <c r="AY46" s="77"/>
      <c r="AZ46" s="77"/>
      <c r="BA46" s="77"/>
      <c r="BB46" s="77"/>
      <c r="BC46" s="77"/>
      <c r="BD46" s="77"/>
      <c r="BE46" s="77"/>
      <c r="BF46" s="77"/>
      <c r="BG46" s="77"/>
      <c r="BH46" s="77"/>
      <c r="BI46" s="77"/>
      <c r="BJ46" s="77"/>
      <c r="BK46" s="77"/>
      <c r="BL46" s="77"/>
      <c r="BM46" s="77"/>
    </row>
    <row r="47" spans="1:65" x14ac:dyDescent="0.2">
      <c r="L47" s="77"/>
      <c r="M47" s="95" t="s">
        <v>71</v>
      </c>
      <c r="N47" s="96"/>
      <c r="O47" s="96"/>
      <c r="P47" s="96"/>
      <c r="Q47" s="95"/>
      <c r="R47" s="95"/>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row>
    <row r="48" spans="1:65" x14ac:dyDescent="0.2">
      <c r="L48" s="77"/>
      <c r="M48" s="291" t="s">
        <v>111</v>
      </c>
      <c r="N48" s="291"/>
      <c r="O48" s="291"/>
      <c r="P48" s="291"/>
      <c r="Q48" s="291"/>
      <c r="R48" s="291"/>
      <c r="S48" s="291"/>
      <c r="T48" s="291"/>
      <c r="U48" s="77"/>
      <c r="V48" s="77"/>
      <c r="W48" s="77"/>
      <c r="X48" s="77"/>
      <c r="Y48" s="77"/>
      <c r="Z48" s="77"/>
      <c r="AA48" s="77"/>
      <c r="AB48" s="77"/>
      <c r="AC48" s="77"/>
      <c r="AD48" s="77"/>
      <c r="AE48" s="77"/>
      <c r="AF48" s="77"/>
      <c r="AG48" s="77"/>
      <c r="AH48" s="77"/>
      <c r="AI48" s="77"/>
      <c r="AJ48" s="77"/>
      <c r="AK48" s="77"/>
      <c r="AL48" s="77"/>
      <c r="AM48" s="77"/>
      <c r="AN48" s="77"/>
      <c r="AO48" s="77"/>
      <c r="AP48" s="77"/>
      <c r="AQ48" s="77"/>
      <c r="AR48" s="77"/>
      <c r="AS48" s="77"/>
      <c r="AT48" s="77"/>
      <c r="AU48" s="77"/>
      <c r="AV48" s="77"/>
      <c r="AW48" s="77"/>
      <c r="AX48" s="77"/>
      <c r="AY48" s="77"/>
      <c r="AZ48" s="77"/>
      <c r="BA48" s="77"/>
      <c r="BB48" s="77"/>
      <c r="BC48" s="77"/>
      <c r="BD48" s="77"/>
      <c r="BE48" s="77"/>
      <c r="BF48" s="77"/>
      <c r="BG48" s="77"/>
      <c r="BH48" s="77"/>
      <c r="BI48" s="77"/>
      <c r="BJ48" s="77"/>
      <c r="BK48" s="77"/>
      <c r="BL48" s="77"/>
      <c r="BM48" s="77"/>
    </row>
    <row r="49" spans="12:65" x14ac:dyDescent="0.2">
      <c r="L49" s="77"/>
      <c r="M49" s="291"/>
      <c r="N49" s="291"/>
      <c r="O49" s="291"/>
      <c r="P49" s="291"/>
      <c r="Q49" s="291"/>
      <c r="R49" s="291"/>
      <c r="S49" s="291"/>
      <c r="T49" s="291"/>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row>
    <row r="50" spans="12:65" x14ac:dyDescent="0.2">
      <c r="L50" s="77"/>
      <c r="M50" s="95"/>
      <c r="N50" s="96"/>
      <c r="O50" s="96"/>
      <c r="P50" s="96"/>
      <c r="Q50" s="95"/>
      <c r="R50" s="95"/>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c r="AQ50" s="77"/>
      <c r="AR50" s="77"/>
      <c r="AS50" s="77"/>
      <c r="AT50" s="77"/>
      <c r="AU50" s="77"/>
      <c r="AV50" s="77"/>
      <c r="AW50" s="77"/>
      <c r="AX50" s="77"/>
      <c r="AY50" s="77"/>
      <c r="AZ50" s="77"/>
      <c r="BA50" s="77"/>
      <c r="BB50" s="77"/>
      <c r="BC50" s="77"/>
      <c r="BD50" s="77"/>
      <c r="BE50" s="77"/>
      <c r="BF50" s="77"/>
      <c r="BG50" s="77"/>
      <c r="BH50" s="77"/>
      <c r="BI50" s="77"/>
      <c r="BJ50" s="77"/>
      <c r="BK50" s="77"/>
      <c r="BL50" s="77"/>
      <c r="BM50" s="77"/>
    </row>
    <row r="51" spans="12:65" x14ac:dyDescent="0.2">
      <c r="L51" s="77"/>
      <c r="M51" s="97" t="s">
        <v>120</v>
      </c>
      <c r="N51" s="96"/>
      <c r="O51" s="96"/>
      <c r="P51" s="96"/>
      <c r="Q51" s="95"/>
      <c r="R51" s="95"/>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c r="AX51" s="77"/>
      <c r="AY51" s="77"/>
      <c r="AZ51" s="77"/>
      <c r="BA51" s="77"/>
      <c r="BB51" s="77"/>
      <c r="BC51" s="77"/>
      <c r="BD51" s="77"/>
      <c r="BE51" s="77"/>
      <c r="BF51" s="77"/>
      <c r="BG51" s="77"/>
      <c r="BH51" s="77"/>
      <c r="BI51" s="77"/>
      <c r="BJ51" s="77"/>
      <c r="BK51" s="77"/>
      <c r="BL51" s="77"/>
      <c r="BM51" s="77"/>
    </row>
    <row r="52" spans="12:65" x14ac:dyDescent="0.2">
      <c r="L52" s="77"/>
      <c r="M52" s="89"/>
      <c r="N52" s="87"/>
      <c r="O52" s="96" t="s">
        <v>72</v>
      </c>
      <c r="P52" s="96"/>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row>
    <row r="53" spans="12:65" x14ac:dyDescent="0.2">
      <c r="L53" s="77"/>
      <c r="M53" s="89"/>
      <c r="N53" s="87"/>
      <c r="O53" s="96"/>
      <c r="P53" s="96"/>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row>
    <row r="54" spans="12:65" x14ac:dyDescent="0.2">
      <c r="L54" s="77"/>
      <c r="M54" s="95" t="s">
        <v>73</v>
      </c>
      <c r="N54" s="87"/>
      <c r="O54" s="96"/>
      <c r="P54" s="96"/>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row>
    <row r="55" spans="12:65" x14ac:dyDescent="0.2">
      <c r="L55" s="77"/>
      <c r="M55" s="95"/>
      <c r="N55" s="87"/>
      <c r="O55" s="96"/>
      <c r="P55" s="96"/>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row>
    <row r="56" spans="12:65" x14ac:dyDescent="0.2">
      <c r="L56" s="77"/>
      <c r="M56" s="138" t="s">
        <v>70</v>
      </c>
      <c r="N56" s="51"/>
      <c r="O56" s="51"/>
      <c r="P56" s="51"/>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row>
    <row r="57" spans="12:65" x14ac:dyDescent="0.2">
      <c r="L57" s="77"/>
      <c r="M57" s="52" t="s">
        <v>19</v>
      </c>
      <c r="N57" s="53">
        <v>12</v>
      </c>
      <c r="O57" s="53">
        <v>24</v>
      </c>
      <c r="P57" s="53">
        <v>36</v>
      </c>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row>
    <row r="58" spans="12:65" x14ac:dyDescent="0.2">
      <c r="L58" s="77"/>
      <c r="M58" s="74">
        <v>2013</v>
      </c>
      <c r="N58" s="11">
        <f>N$43*(($P28-$U28)/$U$30)/((N28-S28)/S$30)</f>
        <v>5.8937651173767556</v>
      </c>
      <c r="O58" s="11">
        <f>O$43*(($P28-$U28)/$U$30)/((O28-T28)/T$30)</f>
        <v>1.8549374451656004</v>
      </c>
      <c r="P58" s="13">
        <f>P$43*(($P28-$U28)/$U$30)/((P28-U28)/U$30)</f>
        <v>1</v>
      </c>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row>
    <row r="59" spans="12:65" x14ac:dyDescent="0.2">
      <c r="L59" s="77"/>
      <c r="M59" s="74">
        <v>2014</v>
      </c>
      <c r="N59" s="11">
        <f>N$43*(($P29-$U29)/$U$30)/((N29-S29)/S$30)</f>
        <v>5.7196367498075702</v>
      </c>
      <c r="O59" s="13">
        <f>O$43*(($P29-$U29)/$U$30)/((O29-T29)/T$30)</f>
        <v>1.8381482027685194</v>
      </c>
      <c r="P59" s="11"/>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row>
    <row r="60" spans="12:65" x14ac:dyDescent="0.2">
      <c r="L60" s="77"/>
      <c r="M60" s="74">
        <v>2015</v>
      </c>
      <c r="N60" s="13">
        <f>N$43*(($P30-$U30)/$U$30)/((N30-S30)/S$30)</f>
        <v>5.5535039571287568</v>
      </c>
      <c r="O60" s="11"/>
      <c r="P60" s="11"/>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row>
    <row r="61" spans="12:65" x14ac:dyDescent="0.2">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row>
    <row r="62" spans="12:65" x14ac:dyDescent="0.2">
      <c r="L62" s="77"/>
      <c r="M62" s="291" t="s">
        <v>74</v>
      </c>
      <c r="N62" s="291"/>
      <c r="O62" s="291"/>
      <c r="P62" s="291"/>
      <c r="Q62" s="291"/>
      <c r="R62" s="291"/>
      <c r="S62" s="291"/>
      <c r="T62" s="291"/>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row>
    <row r="63" spans="12:65" ht="16" customHeight="1" x14ac:dyDescent="0.2">
      <c r="M63" s="291"/>
      <c r="N63" s="291"/>
      <c r="O63" s="291"/>
      <c r="P63" s="291"/>
      <c r="Q63" s="291"/>
      <c r="R63" s="291"/>
      <c r="S63" s="291"/>
      <c r="T63" s="291"/>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row>
    <row r="64" spans="12:65" ht="16" customHeight="1" x14ac:dyDescent="0.2">
      <c r="M64" s="88"/>
      <c r="N64" s="88"/>
      <c r="O64" s="88"/>
      <c r="P64" s="88"/>
      <c r="Q64" s="88"/>
      <c r="R64" s="88"/>
      <c r="S64" s="88"/>
      <c r="T64" s="88"/>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row>
    <row r="65" spans="12:65" ht="19" x14ac:dyDescent="0.25">
      <c r="L65" s="10" t="s">
        <v>42</v>
      </c>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row>
    <row r="66" spans="12:65" x14ac:dyDescent="0.2">
      <c r="L66" s="108"/>
      <c r="M66" s="77" t="s">
        <v>76</v>
      </c>
      <c r="N66" s="77"/>
      <c r="O66" s="77"/>
      <c r="P66" s="77"/>
      <c r="Q66" s="77"/>
      <c r="R66" s="77"/>
      <c r="S66" s="108"/>
      <c r="T66" s="108"/>
      <c r="U66" s="108"/>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row>
    <row r="67" spans="12:65" x14ac:dyDescent="0.2">
      <c r="L67" s="108"/>
      <c r="M67" s="77"/>
      <c r="N67" s="77"/>
      <c r="O67" s="77"/>
      <c r="P67" s="77"/>
      <c r="Q67" s="77"/>
      <c r="R67" s="77"/>
      <c r="S67" s="108"/>
      <c r="T67" s="108"/>
      <c r="U67" s="108"/>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row>
    <row r="68" spans="12:65" ht="16" customHeight="1" x14ac:dyDescent="0.2">
      <c r="L68" s="108"/>
      <c r="M68" s="291" t="s">
        <v>106</v>
      </c>
      <c r="N68" s="291"/>
      <c r="O68" s="291"/>
      <c r="P68" s="291"/>
      <c r="Q68" s="291"/>
      <c r="R68" s="291"/>
      <c r="S68" s="291"/>
      <c r="T68" s="291"/>
      <c r="U68" s="291"/>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77"/>
      <c r="AZ68" s="77"/>
      <c r="BA68" s="77"/>
      <c r="BB68" s="77"/>
      <c r="BC68" s="77"/>
      <c r="BD68" s="77"/>
      <c r="BE68" s="77"/>
      <c r="BF68" s="77"/>
      <c r="BG68" s="77"/>
      <c r="BH68" s="77"/>
      <c r="BI68" s="77"/>
      <c r="BJ68" s="77"/>
      <c r="BK68" s="77"/>
      <c r="BL68" s="77"/>
      <c r="BM68" s="77"/>
    </row>
    <row r="69" spans="12:65" x14ac:dyDescent="0.2">
      <c r="M69" s="291"/>
      <c r="N69" s="291"/>
      <c r="O69" s="291"/>
      <c r="P69" s="291"/>
      <c r="Q69" s="291"/>
      <c r="R69" s="291"/>
      <c r="S69" s="291"/>
      <c r="T69" s="291"/>
      <c r="U69" s="291"/>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c r="BC69" s="77"/>
      <c r="BD69" s="77"/>
      <c r="BE69" s="77"/>
      <c r="BF69" s="77"/>
      <c r="BG69" s="77"/>
      <c r="BH69" s="77"/>
      <c r="BI69" s="77"/>
      <c r="BJ69" s="77"/>
      <c r="BK69" s="77"/>
      <c r="BL69" s="77"/>
      <c r="BM69" s="77"/>
    </row>
    <row r="70" spans="12:65" x14ac:dyDescent="0.2">
      <c r="M70" s="291"/>
      <c r="N70" s="291"/>
      <c r="O70" s="291"/>
      <c r="P70" s="291"/>
      <c r="Q70" s="291"/>
      <c r="R70" s="291"/>
      <c r="S70" s="291"/>
      <c r="T70" s="291"/>
      <c r="U70" s="291"/>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77"/>
      <c r="BD70" s="77"/>
      <c r="BE70" s="77"/>
      <c r="BF70" s="77"/>
      <c r="BG70" s="77"/>
      <c r="BH70" s="77"/>
      <c r="BI70" s="77"/>
      <c r="BJ70" s="77"/>
      <c r="BK70" s="77"/>
      <c r="BL70" s="77"/>
      <c r="BM70" s="77"/>
    </row>
    <row r="71" spans="12:65" x14ac:dyDescent="0.2">
      <c r="M71" s="291"/>
      <c r="N71" s="291"/>
      <c r="O71" s="291"/>
      <c r="P71" s="291"/>
      <c r="Q71" s="291"/>
      <c r="R71" s="291"/>
      <c r="S71" s="291"/>
      <c r="T71" s="291"/>
      <c r="U71" s="291"/>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7"/>
      <c r="BL71" s="77"/>
      <c r="BM71" s="77"/>
    </row>
    <row r="72" spans="12:65" x14ac:dyDescent="0.2">
      <c r="M72" s="77"/>
      <c r="N72" s="77"/>
      <c r="O72" s="77"/>
      <c r="P72" s="77"/>
      <c r="Q72" s="77"/>
      <c r="R72" s="77"/>
      <c r="S72" s="108"/>
      <c r="T72" s="108"/>
      <c r="U72" s="108"/>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c r="BC72" s="77"/>
      <c r="BD72" s="77"/>
      <c r="BE72" s="77"/>
      <c r="BF72" s="77"/>
      <c r="BG72" s="77"/>
      <c r="BH72" s="77"/>
      <c r="BI72" s="77"/>
      <c r="BJ72" s="77"/>
      <c r="BK72" s="77"/>
      <c r="BL72" s="77"/>
      <c r="BM72" s="77"/>
    </row>
    <row r="73" spans="12:65" x14ac:dyDescent="0.2">
      <c r="M73" s="77"/>
      <c r="N73" s="77"/>
      <c r="O73" s="77"/>
      <c r="P73" s="77"/>
      <c r="Q73" s="77"/>
      <c r="R73" s="77"/>
      <c r="S73" s="108"/>
      <c r="T73" s="108"/>
      <c r="U73" s="108"/>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c r="BC73" s="77"/>
      <c r="BD73" s="77"/>
      <c r="BE73" s="77"/>
      <c r="BF73" s="77"/>
      <c r="BG73" s="77"/>
      <c r="BH73" s="77"/>
      <c r="BI73" s="77"/>
      <c r="BJ73" s="77"/>
      <c r="BK73" s="77"/>
      <c r="BL73" s="77"/>
      <c r="BM73" s="77"/>
    </row>
    <row r="74" spans="12:65" x14ac:dyDescent="0.2">
      <c r="M74" s="77"/>
      <c r="N74" s="77"/>
      <c r="O74" s="77"/>
      <c r="P74" s="77"/>
      <c r="Q74" s="77"/>
      <c r="R74" s="77"/>
      <c r="S74" s="108"/>
      <c r="T74" s="108"/>
      <c r="U74" s="108"/>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c r="BC74" s="77"/>
      <c r="BD74" s="77"/>
      <c r="BE74" s="77"/>
      <c r="BF74" s="77"/>
      <c r="BG74" s="77"/>
      <c r="BH74" s="77"/>
      <c r="BI74" s="77"/>
      <c r="BJ74" s="77"/>
      <c r="BK74" s="77"/>
      <c r="BL74" s="77"/>
      <c r="BM74" s="77"/>
    </row>
    <row r="75" spans="12:65" x14ac:dyDescent="0.2">
      <c r="M75" s="77"/>
      <c r="N75" s="77"/>
      <c r="O75" s="77"/>
      <c r="P75" s="77"/>
      <c r="Q75" s="77"/>
      <c r="R75" s="77"/>
      <c r="S75" s="108"/>
      <c r="T75" s="108"/>
      <c r="U75" s="108"/>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77"/>
      <c r="AZ75" s="77"/>
      <c r="BA75" s="77"/>
      <c r="BB75" s="77"/>
      <c r="BC75" s="77"/>
      <c r="BD75" s="77"/>
      <c r="BE75" s="77"/>
      <c r="BF75" s="77"/>
      <c r="BG75" s="77"/>
      <c r="BH75" s="77"/>
      <c r="BI75" s="77"/>
      <c r="BJ75" s="77"/>
      <c r="BK75" s="77"/>
      <c r="BL75" s="77"/>
      <c r="BM75" s="77"/>
    </row>
    <row r="76" spans="12:65" x14ac:dyDescent="0.2">
      <c r="M76" s="77"/>
      <c r="N76" s="77"/>
      <c r="O76" s="77"/>
      <c r="P76" s="77"/>
      <c r="Q76" s="77"/>
      <c r="R76" s="77"/>
      <c r="S76" s="108"/>
      <c r="T76" s="108"/>
      <c r="U76" s="108"/>
      <c r="V76" s="77"/>
      <c r="W76" s="77"/>
      <c r="X76" s="77"/>
      <c r="Y76" s="77"/>
      <c r="Z76" s="77"/>
      <c r="AA76" s="77"/>
      <c r="AB76" s="77"/>
      <c r="AC76" s="77"/>
      <c r="AD76" s="77"/>
      <c r="AE76" s="77"/>
      <c r="AF76" s="77"/>
      <c r="AG76" s="77"/>
      <c r="AH76" s="77"/>
      <c r="AI76" s="77"/>
      <c r="AJ76" s="77"/>
      <c r="AK76" s="77"/>
      <c r="AL76" s="77"/>
      <c r="AM76" s="77"/>
      <c r="AN76" s="77"/>
      <c r="AO76" s="77"/>
      <c r="AP76" s="77"/>
      <c r="AQ76" s="77"/>
      <c r="AR76" s="77"/>
      <c r="AS76" s="77"/>
      <c r="AT76" s="77"/>
      <c r="AU76" s="77"/>
      <c r="AV76" s="77"/>
      <c r="AW76" s="77"/>
      <c r="AX76" s="77"/>
      <c r="AY76" s="77"/>
      <c r="AZ76" s="77"/>
      <c r="BA76" s="77"/>
      <c r="BB76" s="77"/>
      <c r="BC76" s="77"/>
      <c r="BD76" s="77"/>
      <c r="BE76" s="77"/>
      <c r="BF76" s="77"/>
      <c r="BG76" s="77"/>
      <c r="BH76" s="77"/>
      <c r="BI76" s="77"/>
      <c r="BJ76" s="77"/>
      <c r="BK76" s="77"/>
      <c r="BL76" s="77"/>
      <c r="BM76" s="77"/>
    </row>
    <row r="77" spans="12:65" x14ac:dyDescent="0.2">
      <c r="M77" s="291" t="s">
        <v>107</v>
      </c>
      <c r="N77" s="291"/>
      <c r="O77" s="291"/>
      <c r="P77" s="291"/>
      <c r="Q77" s="291"/>
      <c r="R77" s="291"/>
      <c r="S77" s="291"/>
      <c r="T77" s="291"/>
      <c r="U77" s="291"/>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77"/>
      <c r="AZ77" s="77"/>
      <c r="BA77" s="77"/>
      <c r="BB77" s="77"/>
      <c r="BC77" s="77"/>
      <c r="BD77" s="77"/>
      <c r="BE77" s="77"/>
      <c r="BF77" s="77"/>
      <c r="BG77" s="77"/>
      <c r="BH77" s="77"/>
      <c r="BI77" s="77"/>
      <c r="BJ77" s="77"/>
      <c r="BK77" s="77"/>
      <c r="BL77" s="77"/>
      <c r="BM77" s="77"/>
    </row>
    <row r="78" spans="12:65" ht="16" customHeight="1" x14ac:dyDescent="0.2">
      <c r="L78" s="77"/>
      <c r="M78" s="291"/>
      <c r="N78" s="291"/>
      <c r="O78" s="291"/>
      <c r="P78" s="291"/>
      <c r="Q78" s="291"/>
      <c r="R78" s="291"/>
      <c r="S78" s="291"/>
      <c r="T78" s="291"/>
      <c r="U78" s="291"/>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77"/>
      <c r="BH78" s="77"/>
      <c r="BI78" s="77"/>
      <c r="BJ78" s="77"/>
      <c r="BK78" s="77"/>
      <c r="BL78" s="77"/>
      <c r="BM78" s="77"/>
    </row>
    <row r="79" spans="12:65" x14ac:dyDescent="0.2">
      <c r="L79" s="77"/>
      <c r="M79" s="291"/>
      <c r="N79" s="291"/>
      <c r="O79" s="291"/>
      <c r="P79" s="291"/>
      <c r="Q79" s="291"/>
      <c r="R79" s="291"/>
      <c r="S79" s="291"/>
      <c r="T79" s="291"/>
      <c r="U79" s="291"/>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77"/>
      <c r="AZ79" s="77"/>
      <c r="BA79" s="77"/>
      <c r="BB79" s="77"/>
      <c r="BC79" s="77"/>
      <c r="BD79" s="77"/>
      <c r="BE79" s="77"/>
      <c r="BF79" s="77"/>
      <c r="BG79" s="77"/>
      <c r="BH79" s="77"/>
      <c r="BI79" s="77"/>
      <c r="BJ79" s="77"/>
      <c r="BK79" s="77"/>
      <c r="BL79" s="77"/>
      <c r="BM79" s="77"/>
    </row>
    <row r="80" spans="12:65" x14ac:dyDescent="0.2">
      <c r="L80" s="77"/>
      <c r="M80" s="108"/>
      <c r="N80" s="108"/>
      <c r="O80" s="108"/>
      <c r="P80" s="108"/>
      <c r="Q80" s="108"/>
      <c r="R80" s="108"/>
      <c r="S80" s="108"/>
      <c r="T80" s="108"/>
      <c r="U80" s="108"/>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7"/>
      <c r="BI80" s="77"/>
      <c r="BJ80" s="77"/>
      <c r="BK80" s="77"/>
      <c r="BL80" s="77"/>
      <c r="BM80" s="77"/>
    </row>
    <row r="81" spans="12:65" x14ac:dyDescent="0.2">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77"/>
      <c r="AZ81" s="77"/>
      <c r="BA81" s="77"/>
      <c r="BB81" s="77"/>
      <c r="BC81" s="77"/>
      <c r="BD81" s="77"/>
      <c r="BE81" s="77"/>
      <c r="BF81" s="77"/>
      <c r="BG81" s="77"/>
      <c r="BH81" s="77"/>
      <c r="BI81" s="77"/>
      <c r="BJ81" s="77"/>
      <c r="BK81" s="77"/>
      <c r="BL81" s="77"/>
      <c r="BM81" s="77"/>
    </row>
    <row r="82" spans="12:65" x14ac:dyDescent="0.2">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77"/>
      <c r="AS82" s="77"/>
      <c r="AT82" s="77"/>
      <c r="AU82" s="77"/>
      <c r="AV82" s="77"/>
      <c r="AW82" s="77"/>
      <c r="AX82" s="77"/>
      <c r="AY82" s="77"/>
      <c r="AZ82" s="77"/>
      <c r="BA82" s="77"/>
      <c r="BB82" s="77"/>
      <c r="BC82" s="77"/>
      <c r="BD82" s="77"/>
      <c r="BE82" s="77"/>
      <c r="BF82" s="77"/>
      <c r="BG82" s="77"/>
      <c r="BH82" s="77"/>
      <c r="BI82" s="77"/>
      <c r="BJ82" s="77"/>
      <c r="BK82" s="77"/>
      <c r="BL82" s="77"/>
      <c r="BM82" s="77"/>
    </row>
    <row r="83" spans="12:65" ht="19" x14ac:dyDescent="0.25">
      <c r="L83" s="3" t="s">
        <v>121</v>
      </c>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7"/>
      <c r="AW83" s="77"/>
      <c r="AX83" s="77"/>
      <c r="AY83" s="77"/>
      <c r="AZ83" s="77"/>
      <c r="BA83" s="77"/>
      <c r="BB83" s="77"/>
      <c r="BC83" s="77"/>
      <c r="BD83" s="77"/>
      <c r="BE83" s="77"/>
      <c r="BF83" s="77"/>
      <c r="BG83" s="77"/>
      <c r="BH83" s="77"/>
      <c r="BI83" s="77"/>
      <c r="BJ83" s="77"/>
      <c r="BK83" s="77"/>
      <c r="BL83" s="77"/>
      <c r="BM83" s="77"/>
    </row>
    <row r="84" spans="12:65" x14ac:dyDescent="0.2">
      <c r="L84" s="77" t="s">
        <v>122</v>
      </c>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c r="BC84" s="77"/>
      <c r="BD84" s="77"/>
      <c r="BE84" s="77"/>
      <c r="BF84" s="77"/>
      <c r="BG84" s="77"/>
      <c r="BH84" s="77"/>
      <c r="BI84" s="77"/>
      <c r="BJ84" s="77"/>
      <c r="BK84" s="77"/>
      <c r="BL84" s="77"/>
      <c r="BM84" s="77"/>
    </row>
    <row r="85" spans="12:65" x14ac:dyDescent="0.2">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77"/>
      <c r="BE85" s="77"/>
      <c r="BF85" s="77"/>
      <c r="BG85" s="77"/>
      <c r="BH85" s="77"/>
      <c r="BI85" s="77"/>
      <c r="BJ85" s="77"/>
      <c r="BK85" s="77"/>
      <c r="BL85" s="77"/>
      <c r="BM85" s="77"/>
    </row>
    <row r="86" spans="12:65" x14ac:dyDescent="0.2">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row>
    <row r="87" spans="12:65" x14ac:dyDescent="0.2">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77"/>
      <c r="BE87" s="77"/>
      <c r="BF87" s="77"/>
      <c r="BG87" s="77"/>
      <c r="BH87" s="77"/>
      <c r="BI87" s="77"/>
      <c r="BJ87" s="77"/>
      <c r="BK87" s="77"/>
      <c r="BL87" s="77"/>
      <c r="BM87" s="77"/>
    </row>
    <row r="88" spans="12:65" x14ac:dyDescent="0.2">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c r="BC88" s="77"/>
      <c r="BD88" s="77"/>
      <c r="BE88" s="77"/>
      <c r="BF88" s="77"/>
      <c r="BG88" s="77"/>
      <c r="BH88" s="77"/>
      <c r="BI88" s="77"/>
      <c r="BJ88" s="77"/>
      <c r="BK88" s="77"/>
      <c r="BL88" s="77"/>
      <c r="BM88" s="77"/>
    </row>
    <row r="89" spans="12:65" x14ac:dyDescent="0.2">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c r="AR89" s="77"/>
      <c r="AS89" s="77"/>
      <c r="AT89" s="77"/>
      <c r="AU89" s="77"/>
      <c r="AV89" s="77"/>
      <c r="AW89" s="77"/>
      <c r="AX89" s="77"/>
      <c r="AY89" s="77"/>
      <c r="AZ89" s="77"/>
      <c r="BA89" s="77"/>
      <c r="BB89" s="77"/>
      <c r="BC89" s="77"/>
      <c r="BD89" s="77"/>
      <c r="BE89" s="77"/>
      <c r="BF89" s="77"/>
      <c r="BG89" s="77"/>
      <c r="BH89" s="77"/>
      <c r="BI89" s="77"/>
      <c r="BJ89" s="77"/>
      <c r="BK89" s="77"/>
      <c r="BL89" s="77"/>
      <c r="BM89" s="77"/>
    </row>
    <row r="90" spans="12:65" x14ac:dyDescent="0.2">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row>
    <row r="91" spans="12:65" x14ac:dyDescent="0.2">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77"/>
      <c r="AS91" s="77"/>
      <c r="AT91" s="77"/>
      <c r="AU91" s="77"/>
      <c r="AV91" s="77"/>
      <c r="AW91" s="77"/>
      <c r="AX91" s="77"/>
      <c r="AY91" s="77"/>
      <c r="AZ91" s="77"/>
      <c r="BA91" s="77"/>
      <c r="BB91" s="77"/>
      <c r="BC91" s="77"/>
      <c r="BD91" s="77"/>
      <c r="BE91" s="77"/>
      <c r="BF91" s="77"/>
      <c r="BG91" s="77"/>
      <c r="BH91" s="77"/>
      <c r="BI91" s="77"/>
      <c r="BJ91" s="77"/>
      <c r="BK91" s="77"/>
      <c r="BL91" s="77"/>
      <c r="BM91" s="77"/>
    </row>
    <row r="92" spans="12:65" x14ac:dyDescent="0.2">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row>
    <row r="93" spans="12:65" x14ac:dyDescent="0.2">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c r="BC93" s="77"/>
      <c r="BD93" s="77"/>
      <c r="BE93" s="77"/>
      <c r="BF93" s="77"/>
      <c r="BG93" s="77"/>
      <c r="BH93" s="77"/>
      <c r="BI93" s="77"/>
      <c r="BJ93" s="77"/>
      <c r="BK93" s="77"/>
      <c r="BL93" s="77"/>
      <c r="BM93" s="77"/>
    </row>
    <row r="94" spans="12:65" x14ac:dyDescent="0.2">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row>
    <row r="95" spans="12:65" x14ac:dyDescent="0.2">
      <c r="L95" s="77"/>
      <c r="M95" s="108"/>
      <c r="N95" s="108"/>
      <c r="O95" s="77"/>
      <c r="P95" s="77"/>
      <c r="Q95" s="77"/>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7"/>
      <c r="BI95" s="77"/>
      <c r="BJ95" s="77"/>
      <c r="BK95" s="77"/>
      <c r="BL95" s="77"/>
      <c r="BM95" s="77"/>
    </row>
    <row r="96" spans="12:65" x14ac:dyDescent="0.2">
      <c r="L96" s="108"/>
      <c r="M96" s="108"/>
      <c r="N96" s="108"/>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c r="AT96" s="77"/>
      <c r="AU96" s="77"/>
      <c r="AV96" s="77"/>
      <c r="AW96" s="77"/>
      <c r="AX96" s="77"/>
      <c r="AY96" s="77"/>
      <c r="AZ96" s="77"/>
      <c r="BA96" s="77"/>
      <c r="BB96" s="77"/>
      <c r="BC96" s="77"/>
      <c r="BD96" s="77"/>
      <c r="BE96" s="77"/>
      <c r="BF96" s="77"/>
      <c r="BG96" s="77"/>
      <c r="BH96" s="77"/>
      <c r="BI96" s="77"/>
      <c r="BJ96" s="77"/>
      <c r="BK96" s="77"/>
      <c r="BL96" s="77"/>
      <c r="BM96" s="77"/>
    </row>
    <row r="97" spans="1:65" x14ac:dyDescent="0.2">
      <c r="A97" s="77"/>
      <c r="B97" s="77"/>
      <c r="C97" s="77"/>
      <c r="D97" s="77"/>
      <c r="E97" s="77"/>
      <c r="F97" s="77"/>
      <c r="G97" s="77"/>
      <c r="H97" s="77"/>
      <c r="I97" s="77"/>
      <c r="J97" s="77"/>
      <c r="L97" s="108"/>
      <c r="M97" s="108"/>
      <c r="N97" s="108"/>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77"/>
      <c r="BD97" s="77"/>
      <c r="BE97" s="77"/>
      <c r="BF97" s="77"/>
      <c r="BG97" s="77"/>
      <c r="BH97" s="77"/>
      <c r="BI97" s="77"/>
      <c r="BJ97" s="77"/>
      <c r="BK97" s="77"/>
      <c r="BL97" s="77"/>
      <c r="BM97" s="77"/>
    </row>
    <row r="98" spans="1:65" x14ac:dyDescent="0.2">
      <c r="A98" s="77"/>
      <c r="B98" s="77"/>
      <c r="C98" s="77"/>
      <c r="D98" s="77"/>
      <c r="E98" s="77"/>
      <c r="F98" s="77"/>
      <c r="G98" s="77"/>
      <c r="H98" s="77"/>
      <c r="I98" s="77"/>
      <c r="J98" s="77"/>
      <c r="K98" s="77"/>
      <c r="L98" s="108"/>
      <c r="M98" s="108"/>
      <c r="N98" s="108"/>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77"/>
      <c r="AZ98" s="77"/>
      <c r="BA98" s="77"/>
      <c r="BB98" s="77"/>
      <c r="BC98" s="77"/>
      <c r="BD98" s="77"/>
      <c r="BE98" s="77"/>
      <c r="BF98" s="77"/>
      <c r="BG98" s="77"/>
      <c r="BH98" s="77"/>
      <c r="BI98" s="77"/>
      <c r="BJ98" s="77"/>
      <c r="BK98" s="77"/>
      <c r="BL98" s="77"/>
      <c r="BM98" s="77"/>
    </row>
    <row r="99" spans="1:65" x14ac:dyDescent="0.2">
      <c r="K99" s="77"/>
      <c r="L99" s="108"/>
      <c r="M99" s="113"/>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c r="BC99" s="77"/>
      <c r="BD99" s="77"/>
      <c r="BE99" s="77"/>
      <c r="BF99" s="77"/>
      <c r="BG99" s="77"/>
      <c r="BH99" s="77"/>
      <c r="BI99" s="77"/>
      <c r="BJ99" s="77"/>
      <c r="BK99" s="77"/>
      <c r="BL99" s="77"/>
      <c r="BM99" s="77"/>
    </row>
    <row r="100" spans="1:65" x14ac:dyDescent="0.2">
      <c r="K100" s="77"/>
      <c r="L100" s="77"/>
      <c r="M100" s="108"/>
      <c r="N100" s="108"/>
      <c r="O100" s="108"/>
      <c r="P100" s="108"/>
      <c r="Q100" s="108"/>
      <c r="R100" s="108"/>
      <c r="S100" s="108"/>
      <c r="T100" s="108"/>
      <c r="U100" s="108"/>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7"/>
      <c r="BI100" s="77"/>
      <c r="BJ100" s="77"/>
      <c r="BK100" s="77"/>
      <c r="BL100" s="77"/>
      <c r="BM100" s="77"/>
    </row>
    <row r="101" spans="1:65" x14ac:dyDescent="0.2">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c r="BH101" s="108"/>
      <c r="BI101" s="108"/>
      <c r="BJ101" s="108"/>
      <c r="BK101" s="108"/>
      <c r="BL101" s="108"/>
      <c r="BM101" s="108"/>
    </row>
    <row r="102" spans="1:65" x14ac:dyDescent="0.2">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08"/>
      <c r="BH102" s="108"/>
      <c r="BI102" s="108"/>
      <c r="BJ102" s="108"/>
      <c r="BK102" s="108"/>
      <c r="BL102" s="108"/>
      <c r="BM102" s="108"/>
    </row>
    <row r="103" spans="1:65" x14ac:dyDescent="0.2">
      <c r="A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c r="BG103" s="108"/>
      <c r="BH103" s="108"/>
      <c r="BI103" s="108"/>
      <c r="BJ103" s="108"/>
      <c r="BK103" s="108"/>
      <c r="BL103" s="108"/>
      <c r="BM103" s="108"/>
    </row>
    <row r="104" spans="1:65" x14ac:dyDescent="0.2">
      <c r="A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row>
    <row r="105" spans="1:65" x14ac:dyDescent="0.2">
      <c r="A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08"/>
      <c r="BH105" s="108"/>
      <c r="BI105" s="108"/>
      <c r="BJ105" s="108"/>
      <c r="BK105" s="108"/>
      <c r="BL105" s="108"/>
      <c r="BM105" s="108"/>
    </row>
    <row r="106" spans="1:65" x14ac:dyDescent="0.2">
      <c r="A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08"/>
      <c r="BH106" s="108"/>
      <c r="BI106" s="108"/>
      <c r="BJ106" s="108"/>
      <c r="BK106" s="108"/>
      <c r="BL106" s="108"/>
      <c r="BM106" s="108"/>
    </row>
    <row r="107" spans="1:65" x14ac:dyDescent="0.2">
      <c r="A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8"/>
      <c r="BL107" s="108"/>
      <c r="BM107" s="108"/>
    </row>
    <row r="108" spans="1:65" x14ac:dyDescent="0.2">
      <c r="A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row>
    <row r="109" spans="1:65" x14ac:dyDescent="0.2">
      <c r="A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8"/>
      <c r="BL109" s="108"/>
      <c r="BM109" s="108"/>
    </row>
    <row r="110" spans="1:65" x14ac:dyDescent="0.2">
      <c r="A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8"/>
      <c r="BL110" s="108"/>
      <c r="BM110" s="108"/>
    </row>
    <row r="111" spans="1:65" x14ac:dyDescent="0.2">
      <c r="A111" s="108"/>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8"/>
    </row>
    <row r="112" spans="1:65" x14ac:dyDescent="0.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c r="BL112" s="108"/>
      <c r="BM112" s="108"/>
    </row>
    <row r="113" spans="1:65" x14ac:dyDescent="0.2">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row>
    <row r="114" spans="1:65" x14ac:dyDescent="0.2">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8"/>
    </row>
    <row r="115" spans="1:65" x14ac:dyDescent="0.2">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row>
    <row r="116" spans="1:65" x14ac:dyDescent="0.2">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8"/>
      <c r="BL116" s="108"/>
      <c r="BM116" s="108"/>
    </row>
    <row r="117" spans="1:65" x14ac:dyDescent="0.2">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8"/>
      <c r="BL117" s="108"/>
      <c r="BM117" s="108"/>
    </row>
    <row r="118" spans="1:65" x14ac:dyDescent="0.2">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c r="BG118" s="108"/>
      <c r="BH118" s="108"/>
      <c r="BI118" s="108"/>
      <c r="BJ118" s="108"/>
      <c r="BK118" s="108"/>
      <c r="BL118" s="108"/>
      <c r="BM118" s="108"/>
    </row>
    <row r="119" spans="1:65" x14ac:dyDescent="0.2">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8"/>
      <c r="BL119" s="108"/>
      <c r="BM119" s="108"/>
    </row>
    <row r="120" spans="1:65" x14ac:dyDescent="0.2">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c r="BH120" s="108"/>
      <c r="BI120" s="108"/>
      <c r="BJ120" s="108"/>
      <c r="BK120" s="108"/>
      <c r="BL120" s="108"/>
      <c r="BM120" s="108"/>
    </row>
    <row r="121" spans="1:65" x14ac:dyDescent="0.2">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108"/>
      <c r="AY121" s="108"/>
      <c r="AZ121" s="108"/>
      <c r="BA121" s="108"/>
      <c r="BB121" s="108"/>
      <c r="BC121" s="108"/>
      <c r="BD121" s="108"/>
      <c r="BE121" s="108"/>
      <c r="BF121" s="108"/>
      <c r="BG121" s="108"/>
      <c r="BH121" s="108"/>
      <c r="BI121" s="108"/>
      <c r="BJ121" s="108"/>
      <c r="BK121" s="108"/>
      <c r="BL121" s="108"/>
      <c r="BM121" s="108"/>
    </row>
    <row r="122" spans="1:65" x14ac:dyDescent="0.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108"/>
      <c r="AY122" s="108"/>
      <c r="AZ122" s="108"/>
      <c r="BA122" s="108"/>
      <c r="BB122" s="108"/>
      <c r="BC122" s="108"/>
      <c r="BD122" s="108"/>
      <c r="BE122" s="108"/>
      <c r="BF122" s="108"/>
      <c r="BG122" s="108"/>
      <c r="BH122" s="108"/>
      <c r="BI122" s="108"/>
      <c r="BJ122" s="108"/>
      <c r="BK122" s="108"/>
      <c r="BL122" s="108"/>
      <c r="BM122" s="108"/>
    </row>
    <row r="123" spans="1:65" x14ac:dyDescent="0.2">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c r="BG123" s="108"/>
      <c r="BH123" s="108"/>
      <c r="BI123" s="108"/>
      <c r="BJ123" s="108"/>
      <c r="BK123" s="108"/>
      <c r="BL123" s="108"/>
      <c r="BM123" s="108"/>
    </row>
    <row r="124" spans="1:65" x14ac:dyDescent="0.2">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c r="BL124" s="108"/>
      <c r="BM124" s="108"/>
    </row>
    <row r="125" spans="1:65" x14ac:dyDescent="0.2">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8"/>
      <c r="BL125" s="108"/>
      <c r="BM125" s="108"/>
    </row>
    <row r="126" spans="1:65" x14ac:dyDescent="0.2">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8"/>
      <c r="BL126" s="108"/>
      <c r="BM126" s="108"/>
    </row>
    <row r="127" spans="1:65" x14ac:dyDescent="0.2">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c r="BG127" s="108"/>
      <c r="BH127" s="108"/>
      <c r="BI127" s="108"/>
      <c r="BJ127" s="108"/>
      <c r="BK127" s="108"/>
      <c r="BL127" s="108"/>
      <c r="BM127" s="108"/>
    </row>
    <row r="128" spans="1:65" x14ac:dyDescent="0.2">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c r="BG128" s="108"/>
      <c r="BH128" s="108"/>
      <c r="BI128" s="108"/>
      <c r="BJ128" s="108"/>
      <c r="BK128" s="108"/>
      <c r="BL128" s="108"/>
      <c r="BM128" s="108"/>
    </row>
    <row r="129" spans="1:65" x14ac:dyDescent="0.2">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c r="BL129" s="108"/>
      <c r="BM129" s="108"/>
    </row>
    <row r="130" spans="1:65" x14ac:dyDescent="0.2">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c r="BH130" s="108"/>
      <c r="BI130" s="108"/>
      <c r="BJ130" s="108"/>
      <c r="BK130" s="108"/>
      <c r="BL130" s="108"/>
      <c r="BM130" s="108"/>
    </row>
    <row r="131" spans="1:65" x14ac:dyDescent="0.2">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c r="BH131" s="108"/>
      <c r="BI131" s="108"/>
      <c r="BJ131" s="108"/>
      <c r="BK131" s="108"/>
      <c r="BL131" s="108"/>
      <c r="BM131" s="108"/>
    </row>
    <row r="132" spans="1:65" x14ac:dyDescent="0.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c r="BH132" s="108"/>
      <c r="BI132" s="108"/>
      <c r="BJ132" s="108"/>
      <c r="BK132" s="108"/>
      <c r="BL132" s="108"/>
      <c r="BM132" s="108"/>
    </row>
    <row r="133" spans="1:65" x14ac:dyDescent="0.2">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c r="AX133" s="108"/>
      <c r="AY133" s="108"/>
      <c r="AZ133" s="108"/>
      <c r="BA133" s="108"/>
      <c r="BB133" s="108"/>
      <c r="BC133" s="108"/>
      <c r="BD133" s="108"/>
      <c r="BE133" s="108"/>
      <c r="BF133" s="108"/>
      <c r="BG133" s="108"/>
      <c r="BH133" s="108"/>
      <c r="BI133" s="108"/>
      <c r="BJ133" s="108"/>
      <c r="BK133" s="108"/>
      <c r="BL133" s="108"/>
      <c r="BM133" s="108"/>
    </row>
    <row r="134" spans="1:65" x14ac:dyDescent="0.2">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8"/>
      <c r="BL134" s="108"/>
      <c r="BM134" s="108"/>
    </row>
    <row r="135" spans="1:65" x14ac:dyDescent="0.2">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c r="BH135" s="108"/>
      <c r="BI135" s="108"/>
      <c r="BJ135" s="108"/>
      <c r="BK135" s="108"/>
      <c r="BL135" s="108"/>
      <c r="BM135" s="108"/>
    </row>
    <row r="136" spans="1:65" x14ac:dyDescent="0.2">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c r="AX136" s="108"/>
      <c r="AY136" s="108"/>
      <c r="AZ136" s="108"/>
      <c r="BA136" s="108"/>
      <c r="BB136" s="108"/>
      <c r="BC136" s="108"/>
      <c r="BD136" s="108"/>
      <c r="BE136" s="108"/>
      <c r="BF136" s="108"/>
      <c r="BG136" s="108"/>
      <c r="BH136" s="108"/>
      <c r="BI136" s="108"/>
      <c r="BJ136" s="108"/>
      <c r="BK136" s="108"/>
      <c r="BL136" s="108"/>
      <c r="BM136" s="108"/>
    </row>
    <row r="137" spans="1:65" x14ac:dyDescent="0.2">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c r="AX137" s="108"/>
      <c r="AY137" s="108"/>
      <c r="AZ137" s="108"/>
      <c r="BA137" s="108"/>
      <c r="BB137" s="108"/>
      <c r="BC137" s="108"/>
      <c r="BD137" s="108"/>
      <c r="BE137" s="108"/>
      <c r="BF137" s="108"/>
      <c r="BG137" s="108"/>
      <c r="BH137" s="108"/>
      <c r="BI137" s="108"/>
      <c r="BJ137" s="108"/>
      <c r="BK137" s="108"/>
      <c r="BL137" s="108"/>
      <c r="BM137" s="108"/>
    </row>
    <row r="138" spans="1:65" x14ac:dyDescent="0.2">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c r="BG138" s="108"/>
      <c r="BH138" s="108"/>
      <c r="BI138" s="108"/>
      <c r="BJ138" s="108"/>
      <c r="BK138" s="108"/>
      <c r="BL138" s="108"/>
      <c r="BM138" s="108"/>
    </row>
    <row r="139" spans="1:65" x14ac:dyDescent="0.2">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c r="AX139" s="108"/>
      <c r="AY139" s="108"/>
      <c r="AZ139" s="108"/>
      <c r="BA139" s="108"/>
      <c r="BB139" s="108"/>
      <c r="BC139" s="108"/>
      <c r="BD139" s="108"/>
      <c r="BE139" s="108"/>
      <c r="BF139" s="108"/>
      <c r="BG139" s="108"/>
      <c r="BH139" s="108"/>
      <c r="BI139" s="108"/>
      <c r="BJ139" s="108"/>
      <c r="BK139" s="108"/>
      <c r="BL139" s="108"/>
      <c r="BM139" s="108"/>
    </row>
    <row r="140" spans="1:65" x14ac:dyDescent="0.2">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108"/>
      <c r="AY140" s="108"/>
      <c r="AZ140" s="108"/>
      <c r="BA140" s="108"/>
      <c r="BB140" s="108"/>
      <c r="BC140" s="108"/>
      <c r="BD140" s="108"/>
      <c r="BE140" s="108"/>
      <c r="BF140" s="108"/>
      <c r="BG140" s="108"/>
      <c r="BH140" s="108"/>
      <c r="BI140" s="108"/>
      <c r="BJ140" s="108"/>
      <c r="BK140" s="108"/>
      <c r="BL140" s="108"/>
      <c r="BM140" s="108"/>
    </row>
    <row r="141" spans="1:65" x14ac:dyDescent="0.2">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c r="AX141" s="108"/>
      <c r="AY141" s="108"/>
      <c r="AZ141" s="108"/>
      <c r="BA141" s="108"/>
      <c r="BB141" s="108"/>
      <c r="BC141" s="108"/>
      <c r="BD141" s="108"/>
      <c r="BE141" s="108"/>
      <c r="BF141" s="108"/>
      <c r="BG141" s="108"/>
      <c r="BH141" s="108"/>
      <c r="BI141" s="108"/>
      <c r="BJ141" s="108"/>
      <c r="BK141" s="108"/>
      <c r="BL141" s="108"/>
      <c r="BM141" s="108"/>
    </row>
    <row r="142" spans="1:65" x14ac:dyDescent="0.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c r="AX142" s="108"/>
      <c r="AY142" s="108"/>
      <c r="AZ142" s="108"/>
      <c r="BA142" s="108"/>
      <c r="BB142" s="108"/>
      <c r="BC142" s="108"/>
      <c r="BD142" s="108"/>
      <c r="BE142" s="108"/>
      <c r="BF142" s="108"/>
      <c r="BG142" s="108"/>
      <c r="BH142" s="108"/>
      <c r="BI142" s="108"/>
      <c r="BJ142" s="108"/>
      <c r="BK142" s="108"/>
      <c r="BL142" s="108"/>
      <c r="BM142" s="108"/>
    </row>
    <row r="143" spans="1:65" x14ac:dyDescent="0.2">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c r="AX143" s="108"/>
      <c r="AY143" s="108"/>
      <c r="AZ143" s="108"/>
      <c r="BA143" s="108"/>
      <c r="BB143" s="108"/>
      <c r="BC143" s="108"/>
      <c r="BD143" s="108"/>
      <c r="BE143" s="108"/>
      <c r="BF143" s="108"/>
      <c r="BG143" s="108"/>
      <c r="BH143" s="108"/>
      <c r="BI143" s="108"/>
      <c r="BJ143" s="108"/>
      <c r="BK143" s="108"/>
      <c r="BL143" s="108"/>
      <c r="BM143" s="108"/>
    </row>
    <row r="144" spans="1:65" x14ac:dyDescent="0.2">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c r="AX144" s="108"/>
      <c r="AY144" s="108"/>
      <c r="AZ144" s="108"/>
      <c r="BA144" s="108"/>
      <c r="BB144" s="108"/>
      <c r="BC144" s="108"/>
      <c r="BD144" s="108"/>
      <c r="BE144" s="108"/>
      <c r="BF144" s="108"/>
      <c r="BG144" s="108"/>
      <c r="BH144" s="108"/>
      <c r="BI144" s="108"/>
      <c r="BJ144" s="108"/>
      <c r="BK144" s="108"/>
      <c r="BL144" s="108"/>
      <c r="BM144" s="108"/>
    </row>
    <row r="145" spans="1:65" x14ac:dyDescent="0.2">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c r="AX145" s="108"/>
      <c r="AY145" s="108"/>
      <c r="AZ145" s="108"/>
      <c r="BA145" s="108"/>
      <c r="BB145" s="108"/>
      <c r="BC145" s="108"/>
      <c r="BD145" s="108"/>
      <c r="BE145" s="108"/>
      <c r="BF145" s="108"/>
      <c r="BG145" s="108"/>
      <c r="BH145" s="108"/>
      <c r="BI145" s="108"/>
      <c r="BJ145" s="108"/>
      <c r="BK145" s="108"/>
      <c r="BL145" s="108"/>
      <c r="BM145" s="108"/>
    </row>
    <row r="146" spans="1:65" x14ac:dyDescent="0.2">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8"/>
      <c r="AM146" s="108"/>
      <c r="AN146" s="108"/>
      <c r="AO146" s="108"/>
      <c r="AP146" s="108"/>
      <c r="AQ146" s="108"/>
      <c r="AR146" s="108"/>
      <c r="AS146" s="108"/>
      <c r="AT146" s="108"/>
      <c r="AU146" s="108"/>
      <c r="AV146" s="108"/>
      <c r="AW146" s="108"/>
      <c r="AX146" s="108"/>
      <c r="AY146" s="108"/>
      <c r="AZ146" s="108"/>
      <c r="BA146" s="108"/>
      <c r="BB146" s="108"/>
      <c r="BC146" s="108"/>
      <c r="BD146" s="108"/>
      <c r="BE146" s="108"/>
      <c r="BF146" s="108"/>
      <c r="BG146" s="108"/>
      <c r="BH146" s="108"/>
      <c r="BI146" s="108"/>
      <c r="BJ146" s="108"/>
      <c r="BK146" s="108"/>
      <c r="BL146" s="108"/>
      <c r="BM146" s="108"/>
    </row>
    <row r="147" spans="1:65" x14ac:dyDescent="0.2">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c r="AX147" s="108"/>
      <c r="AY147" s="108"/>
      <c r="AZ147" s="108"/>
      <c r="BA147" s="108"/>
      <c r="BB147" s="108"/>
      <c r="BC147" s="108"/>
      <c r="BD147" s="108"/>
      <c r="BE147" s="108"/>
      <c r="BF147" s="108"/>
      <c r="BG147" s="108"/>
      <c r="BH147" s="108"/>
      <c r="BI147" s="108"/>
      <c r="BJ147" s="108"/>
      <c r="BK147" s="108"/>
      <c r="BL147" s="108"/>
      <c r="BM147" s="108"/>
    </row>
    <row r="148" spans="1:65" x14ac:dyDescent="0.2">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c r="BG148" s="108"/>
      <c r="BH148" s="108"/>
      <c r="BI148" s="108"/>
      <c r="BJ148" s="108"/>
      <c r="BK148" s="108"/>
      <c r="BL148" s="108"/>
      <c r="BM148" s="108"/>
    </row>
    <row r="149" spans="1:65" x14ac:dyDescent="0.2">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c r="AC149" s="108"/>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c r="BG149" s="108"/>
      <c r="BH149" s="108"/>
      <c r="BI149" s="108"/>
      <c r="BJ149" s="108"/>
      <c r="BK149" s="108"/>
      <c r="BL149" s="108"/>
      <c r="BM149" s="108"/>
    </row>
    <row r="150" spans="1:65" x14ac:dyDescent="0.2">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c r="AX150" s="108"/>
      <c r="AY150" s="108"/>
      <c r="AZ150" s="108"/>
      <c r="BA150" s="108"/>
      <c r="BB150" s="108"/>
      <c r="BC150" s="108"/>
      <c r="BD150" s="108"/>
      <c r="BE150" s="108"/>
      <c r="BF150" s="108"/>
      <c r="BG150" s="108"/>
      <c r="BH150" s="108"/>
      <c r="BI150" s="108"/>
      <c r="BJ150" s="108"/>
      <c r="BK150" s="108"/>
      <c r="BL150" s="108"/>
      <c r="BM150" s="108"/>
    </row>
    <row r="151" spans="1:65" x14ac:dyDescent="0.2">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c r="AH151" s="108"/>
      <c r="AI151" s="108"/>
      <c r="AJ151" s="108"/>
      <c r="AK151" s="108"/>
      <c r="AL151" s="108"/>
      <c r="AM151" s="108"/>
      <c r="AN151" s="108"/>
      <c r="AO151" s="108"/>
      <c r="AP151" s="108"/>
      <c r="AQ151" s="108"/>
      <c r="AR151" s="108"/>
      <c r="AS151" s="108"/>
      <c r="AT151" s="108"/>
      <c r="AU151" s="108"/>
      <c r="AV151" s="108"/>
      <c r="AW151" s="108"/>
      <c r="AX151" s="108"/>
      <c r="AY151" s="108"/>
      <c r="AZ151" s="108"/>
      <c r="BA151" s="108"/>
      <c r="BB151" s="108"/>
      <c r="BC151" s="108"/>
      <c r="BD151" s="108"/>
      <c r="BE151" s="108"/>
      <c r="BF151" s="108"/>
      <c r="BG151" s="108"/>
      <c r="BH151" s="108"/>
      <c r="BI151" s="108"/>
      <c r="BJ151" s="108"/>
      <c r="BK151" s="108"/>
      <c r="BL151" s="108"/>
      <c r="BM151" s="108"/>
    </row>
    <row r="152" spans="1:65" x14ac:dyDescent="0.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108"/>
      <c r="AM152" s="108"/>
      <c r="AN152" s="108"/>
      <c r="AO152" s="108"/>
      <c r="AP152" s="108"/>
      <c r="AQ152" s="108"/>
      <c r="AR152" s="108"/>
      <c r="AS152" s="108"/>
      <c r="AT152" s="108"/>
      <c r="AU152" s="108"/>
      <c r="AV152" s="108"/>
      <c r="AW152" s="108"/>
      <c r="AX152" s="108"/>
      <c r="AY152" s="108"/>
      <c r="AZ152" s="108"/>
      <c r="BA152" s="108"/>
      <c r="BB152" s="108"/>
      <c r="BC152" s="108"/>
      <c r="BD152" s="108"/>
      <c r="BE152" s="108"/>
      <c r="BF152" s="108"/>
      <c r="BG152" s="108"/>
      <c r="BH152" s="108"/>
      <c r="BI152" s="108"/>
      <c r="BJ152" s="108"/>
      <c r="BK152" s="108"/>
      <c r="BL152" s="108"/>
      <c r="BM152" s="108"/>
    </row>
    <row r="153" spans="1:65" x14ac:dyDescent="0.2">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c r="BG153" s="108"/>
      <c r="BH153" s="108"/>
      <c r="BI153" s="108"/>
      <c r="BJ153" s="108"/>
      <c r="BK153" s="108"/>
      <c r="BL153" s="108"/>
      <c r="BM153" s="108"/>
    </row>
    <row r="154" spans="1:65" x14ac:dyDescent="0.2">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c r="BG154" s="108"/>
      <c r="BH154" s="108"/>
      <c r="BI154" s="108"/>
      <c r="BJ154" s="108"/>
      <c r="BK154" s="108"/>
      <c r="BL154" s="108"/>
      <c r="BM154" s="108"/>
    </row>
    <row r="155" spans="1:65" x14ac:dyDescent="0.2">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c r="AX155" s="108"/>
      <c r="AY155" s="108"/>
      <c r="AZ155" s="108"/>
      <c r="BA155" s="108"/>
      <c r="BB155" s="108"/>
      <c r="BC155" s="108"/>
      <c r="BD155" s="108"/>
      <c r="BE155" s="108"/>
      <c r="BF155" s="108"/>
      <c r="BG155" s="108"/>
      <c r="BH155" s="108"/>
      <c r="BI155" s="108"/>
      <c r="BJ155" s="108"/>
      <c r="BK155" s="108"/>
      <c r="BL155" s="108"/>
      <c r="BM155" s="108"/>
    </row>
    <row r="156" spans="1:65" x14ac:dyDescent="0.2">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c r="AX156" s="108"/>
      <c r="AY156" s="108"/>
      <c r="AZ156" s="108"/>
      <c r="BA156" s="108"/>
      <c r="BB156" s="108"/>
      <c r="BC156" s="108"/>
      <c r="BD156" s="108"/>
      <c r="BE156" s="108"/>
      <c r="BF156" s="108"/>
      <c r="BG156" s="108"/>
      <c r="BH156" s="108"/>
      <c r="BI156" s="108"/>
      <c r="BJ156" s="108"/>
      <c r="BK156" s="108"/>
      <c r="BL156" s="108"/>
      <c r="BM156" s="108"/>
    </row>
    <row r="157" spans="1:65" x14ac:dyDescent="0.2">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c r="BG157" s="108"/>
      <c r="BH157" s="108"/>
      <c r="BI157" s="108"/>
      <c r="BJ157" s="108"/>
      <c r="BK157" s="108"/>
      <c r="BL157" s="108"/>
      <c r="BM157" s="108"/>
    </row>
    <row r="158" spans="1:65" x14ac:dyDescent="0.2">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c r="BG158" s="108"/>
      <c r="BH158" s="108"/>
      <c r="BI158" s="108"/>
      <c r="BJ158" s="108"/>
      <c r="BK158" s="108"/>
      <c r="BL158" s="108"/>
      <c r="BM158" s="108"/>
    </row>
    <row r="159" spans="1:65" x14ac:dyDescent="0.2">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c r="BH159" s="108"/>
      <c r="BI159" s="108"/>
      <c r="BJ159" s="108"/>
      <c r="BK159" s="108"/>
      <c r="BL159" s="108"/>
      <c r="BM159" s="108"/>
    </row>
    <row r="160" spans="1:65" x14ac:dyDescent="0.2">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08"/>
      <c r="BI160" s="108"/>
      <c r="BJ160" s="108"/>
      <c r="BK160" s="108"/>
      <c r="BL160" s="108"/>
      <c r="BM160" s="108"/>
    </row>
    <row r="161" spans="1:65" x14ac:dyDescent="0.2">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c r="BH161" s="108"/>
      <c r="BI161" s="108"/>
      <c r="BJ161" s="108"/>
      <c r="BK161" s="108"/>
      <c r="BL161" s="108"/>
      <c r="BM161" s="108"/>
    </row>
    <row r="162" spans="1:65" x14ac:dyDescent="0.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c r="BH162" s="108"/>
      <c r="BI162" s="108"/>
      <c r="BJ162" s="108"/>
      <c r="BK162" s="108"/>
      <c r="BL162" s="108"/>
      <c r="BM162" s="108"/>
    </row>
    <row r="163" spans="1:65" x14ac:dyDescent="0.2">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108"/>
      <c r="AY163" s="108"/>
      <c r="AZ163" s="108"/>
      <c r="BA163" s="108"/>
      <c r="BB163" s="108"/>
      <c r="BC163" s="108"/>
      <c r="BD163" s="108"/>
      <c r="BE163" s="108"/>
      <c r="BF163" s="108"/>
      <c r="BG163" s="108"/>
      <c r="BH163" s="108"/>
      <c r="BI163" s="108"/>
      <c r="BJ163" s="108"/>
      <c r="BK163" s="108"/>
      <c r="BL163" s="108"/>
      <c r="BM163" s="108"/>
    </row>
    <row r="164" spans="1:65" x14ac:dyDescent="0.2">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c r="BG164" s="108"/>
      <c r="BH164" s="108"/>
      <c r="BI164" s="108"/>
      <c r="BJ164" s="108"/>
      <c r="BK164" s="108"/>
      <c r="BL164" s="108"/>
      <c r="BM164" s="108"/>
    </row>
    <row r="165" spans="1:65" x14ac:dyDescent="0.2">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c r="BG165" s="108"/>
      <c r="BH165" s="108"/>
      <c r="BI165" s="108"/>
      <c r="BJ165" s="108"/>
      <c r="BK165" s="108"/>
      <c r="BL165" s="108"/>
      <c r="BM165" s="108"/>
    </row>
    <row r="166" spans="1:65" x14ac:dyDescent="0.2">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c r="AX166" s="108"/>
      <c r="AY166" s="108"/>
      <c r="AZ166" s="108"/>
      <c r="BA166" s="108"/>
      <c r="BB166" s="108"/>
      <c r="BC166" s="108"/>
      <c r="BD166" s="108"/>
      <c r="BE166" s="108"/>
      <c r="BF166" s="108"/>
      <c r="BG166" s="108"/>
      <c r="BH166" s="108"/>
      <c r="BI166" s="108"/>
      <c r="BJ166" s="108"/>
      <c r="BK166" s="108"/>
      <c r="BL166" s="108"/>
      <c r="BM166" s="108"/>
    </row>
    <row r="167" spans="1:65" x14ac:dyDescent="0.2">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c r="AX167" s="108"/>
      <c r="AY167" s="108"/>
      <c r="AZ167" s="108"/>
      <c r="BA167" s="108"/>
      <c r="BB167" s="108"/>
      <c r="BC167" s="108"/>
      <c r="BD167" s="108"/>
      <c r="BE167" s="108"/>
      <c r="BF167" s="108"/>
      <c r="BG167" s="108"/>
      <c r="BH167" s="108"/>
      <c r="BI167" s="108"/>
      <c r="BJ167" s="108"/>
      <c r="BK167" s="108"/>
      <c r="BL167" s="108"/>
      <c r="BM167" s="108"/>
    </row>
    <row r="168" spans="1:65" x14ac:dyDescent="0.2">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c r="AX168" s="108"/>
      <c r="AY168" s="108"/>
      <c r="AZ168" s="108"/>
      <c r="BA168" s="108"/>
      <c r="BB168" s="108"/>
      <c r="BC168" s="108"/>
      <c r="BD168" s="108"/>
      <c r="BE168" s="108"/>
      <c r="BF168" s="108"/>
      <c r="BG168" s="108"/>
      <c r="BH168" s="108"/>
      <c r="BI168" s="108"/>
      <c r="BJ168" s="108"/>
      <c r="BK168" s="108"/>
      <c r="BL168" s="108"/>
      <c r="BM168" s="108"/>
    </row>
    <row r="169" spans="1:65" x14ac:dyDescent="0.2">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108"/>
      <c r="AH169" s="108"/>
      <c r="AI169" s="108"/>
      <c r="AJ169" s="108"/>
      <c r="AK169" s="108"/>
      <c r="AL169" s="108"/>
      <c r="AM169" s="108"/>
      <c r="AN169" s="108"/>
      <c r="AO169" s="108"/>
      <c r="AP169" s="108"/>
      <c r="AQ169" s="108"/>
      <c r="AR169" s="108"/>
      <c r="AS169" s="108"/>
      <c r="AT169" s="108"/>
      <c r="AU169" s="108"/>
      <c r="AV169" s="108"/>
      <c r="AW169" s="108"/>
      <c r="AX169" s="108"/>
      <c r="AY169" s="108"/>
      <c r="AZ169" s="108"/>
      <c r="BA169" s="108"/>
      <c r="BB169" s="108"/>
      <c r="BC169" s="108"/>
      <c r="BD169" s="108"/>
      <c r="BE169" s="108"/>
      <c r="BF169" s="108"/>
      <c r="BG169" s="108"/>
      <c r="BH169" s="108"/>
      <c r="BI169" s="108"/>
      <c r="BJ169" s="108"/>
      <c r="BK169" s="108"/>
      <c r="BL169" s="108"/>
      <c r="BM169" s="108"/>
    </row>
    <row r="170" spans="1:65" x14ac:dyDescent="0.2">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c r="AX170" s="108"/>
      <c r="AY170" s="108"/>
      <c r="AZ170" s="108"/>
      <c r="BA170" s="108"/>
      <c r="BB170" s="108"/>
      <c r="BC170" s="108"/>
      <c r="BD170" s="108"/>
      <c r="BE170" s="108"/>
      <c r="BF170" s="108"/>
      <c r="BG170" s="108"/>
      <c r="BH170" s="108"/>
      <c r="BI170" s="108"/>
      <c r="BJ170" s="108"/>
      <c r="BK170" s="108"/>
      <c r="BL170" s="108"/>
      <c r="BM170" s="108"/>
    </row>
    <row r="171" spans="1:65" x14ac:dyDescent="0.2">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c r="AX171" s="108"/>
      <c r="AY171" s="108"/>
      <c r="AZ171" s="108"/>
      <c r="BA171" s="108"/>
      <c r="BB171" s="108"/>
      <c r="BC171" s="108"/>
      <c r="BD171" s="108"/>
      <c r="BE171" s="108"/>
      <c r="BF171" s="108"/>
      <c r="BG171" s="108"/>
      <c r="BH171" s="108"/>
      <c r="BI171" s="108"/>
      <c r="BJ171" s="108"/>
      <c r="BK171" s="108"/>
      <c r="BL171" s="108"/>
      <c r="BM171" s="108"/>
    </row>
    <row r="172" spans="1:65" x14ac:dyDescent="0.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108"/>
      <c r="AQ172" s="108"/>
      <c r="AR172" s="108"/>
      <c r="AS172" s="108"/>
      <c r="AT172" s="108"/>
      <c r="AU172" s="108"/>
      <c r="AV172" s="108"/>
      <c r="AW172" s="108"/>
      <c r="AX172" s="108"/>
      <c r="AY172" s="108"/>
      <c r="AZ172" s="108"/>
      <c r="BA172" s="108"/>
      <c r="BB172" s="108"/>
      <c r="BC172" s="108"/>
      <c r="BD172" s="108"/>
      <c r="BE172" s="108"/>
      <c r="BF172" s="108"/>
      <c r="BG172" s="108"/>
      <c r="BH172" s="108"/>
      <c r="BI172" s="108"/>
      <c r="BJ172" s="108"/>
      <c r="BK172" s="108"/>
      <c r="BL172" s="108"/>
      <c r="BM172" s="108"/>
    </row>
    <row r="173" spans="1:65" x14ac:dyDescent="0.2">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108"/>
      <c r="AD173" s="108"/>
      <c r="AE173" s="108"/>
      <c r="AF173" s="108"/>
      <c r="AG173" s="108"/>
      <c r="AH173" s="108"/>
      <c r="AI173" s="108"/>
      <c r="AJ173" s="108"/>
      <c r="AK173" s="108"/>
      <c r="AL173" s="108"/>
      <c r="AM173" s="108"/>
      <c r="AN173" s="108"/>
      <c r="AO173" s="108"/>
      <c r="AP173" s="108"/>
      <c r="AQ173" s="108"/>
      <c r="AR173" s="108"/>
      <c r="AS173" s="108"/>
      <c r="AT173" s="108"/>
      <c r="AU173" s="108"/>
      <c r="AV173" s="108"/>
      <c r="AW173" s="108"/>
      <c r="AX173" s="108"/>
      <c r="AY173" s="108"/>
      <c r="AZ173" s="108"/>
      <c r="BA173" s="108"/>
      <c r="BB173" s="108"/>
      <c r="BC173" s="108"/>
      <c r="BD173" s="108"/>
      <c r="BE173" s="108"/>
      <c r="BF173" s="108"/>
      <c r="BG173" s="108"/>
      <c r="BH173" s="108"/>
      <c r="BI173" s="108"/>
      <c r="BJ173" s="108"/>
      <c r="BK173" s="108"/>
      <c r="BL173" s="108"/>
      <c r="BM173" s="108"/>
    </row>
    <row r="174" spans="1:65" x14ac:dyDescent="0.2">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108"/>
      <c r="AH174" s="108"/>
      <c r="AI174" s="108"/>
      <c r="AJ174" s="108"/>
      <c r="AK174" s="108"/>
      <c r="AL174" s="108"/>
      <c r="AM174" s="108"/>
      <c r="AN174" s="108"/>
      <c r="AO174" s="108"/>
      <c r="AP174" s="108"/>
      <c r="AQ174" s="108"/>
      <c r="AR174" s="108"/>
      <c r="AS174" s="108"/>
      <c r="AT174" s="108"/>
      <c r="AU174" s="108"/>
      <c r="AV174" s="108"/>
      <c r="AW174" s="108"/>
      <c r="AX174" s="108"/>
      <c r="AY174" s="108"/>
      <c r="AZ174" s="108"/>
      <c r="BA174" s="108"/>
      <c r="BB174" s="108"/>
      <c r="BC174" s="108"/>
      <c r="BD174" s="108"/>
      <c r="BE174" s="108"/>
      <c r="BF174" s="108"/>
      <c r="BG174" s="108"/>
      <c r="BH174" s="108"/>
      <c r="BI174" s="108"/>
      <c r="BJ174" s="108"/>
      <c r="BK174" s="108"/>
      <c r="BL174" s="108"/>
      <c r="BM174" s="108"/>
    </row>
    <row r="175" spans="1:65" x14ac:dyDescent="0.2">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c r="AJ175" s="108"/>
      <c r="AK175" s="108"/>
      <c r="AL175" s="108"/>
      <c r="AM175" s="108"/>
      <c r="AN175" s="108"/>
      <c r="AO175" s="108"/>
      <c r="AP175" s="108"/>
      <c r="AQ175" s="108"/>
      <c r="AR175" s="108"/>
      <c r="AS175" s="108"/>
      <c r="AT175" s="108"/>
      <c r="AU175" s="108"/>
      <c r="AV175" s="108"/>
      <c r="AW175" s="108"/>
      <c r="AX175" s="108"/>
      <c r="AY175" s="108"/>
      <c r="AZ175" s="108"/>
      <c r="BA175" s="108"/>
      <c r="BB175" s="108"/>
      <c r="BC175" s="108"/>
      <c r="BD175" s="108"/>
      <c r="BE175" s="108"/>
      <c r="BF175" s="108"/>
      <c r="BG175" s="108"/>
      <c r="BH175" s="108"/>
      <c r="BI175" s="108"/>
      <c r="BJ175" s="108"/>
      <c r="BK175" s="108"/>
      <c r="BL175" s="108"/>
      <c r="BM175" s="108"/>
    </row>
    <row r="176" spans="1:65" x14ac:dyDescent="0.2">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108"/>
      <c r="AD176" s="108"/>
      <c r="AE176" s="108"/>
      <c r="AF176" s="108"/>
      <c r="AG176" s="108"/>
      <c r="AH176" s="108"/>
      <c r="AI176" s="108"/>
      <c r="AJ176" s="108"/>
      <c r="AK176" s="108"/>
      <c r="AL176" s="108"/>
      <c r="AM176" s="108"/>
      <c r="AN176" s="108"/>
      <c r="AO176" s="108"/>
      <c r="AP176" s="108"/>
      <c r="AQ176" s="108"/>
      <c r="AR176" s="108"/>
      <c r="AS176" s="108"/>
      <c r="AT176" s="108"/>
      <c r="AU176" s="108"/>
      <c r="AV176" s="108"/>
      <c r="AW176" s="108"/>
      <c r="AX176" s="108"/>
      <c r="AY176" s="108"/>
      <c r="AZ176" s="108"/>
      <c r="BA176" s="108"/>
      <c r="BB176" s="108"/>
      <c r="BC176" s="108"/>
      <c r="BD176" s="108"/>
      <c r="BE176" s="108"/>
      <c r="BF176" s="108"/>
      <c r="BG176" s="108"/>
      <c r="BH176" s="108"/>
      <c r="BI176" s="108"/>
      <c r="BJ176" s="108"/>
      <c r="BK176" s="108"/>
      <c r="BL176" s="108"/>
      <c r="BM176" s="108"/>
    </row>
    <row r="177" spans="1:65" x14ac:dyDescent="0.2">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c r="AX177" s="108"/>
      <c r="AY177" s="108"/>
      <c r="AZ177" s="108"/>
      <c r="BA177" s="108"/>
      <c r="BB177" s="108"/>
      <c r="BC177" s="108"/>
      <c r="BD177" s="108"/>
      <c r="BE177" s="108"/>
      <c r="BF177" s="108"/>
      <c r="BG177" s="108"/>
      <c r="BH177" s="108"/>
      <c r="BI177" s="108"/>
      <c r="BJ177" s="108"/>
      <c r="BK177" s="108"/>
      <c r="BL177" s="108"/>
      <c r="BM177" s="108"/>
    </row>
    <row r="178" spans="1:65" x14ac:dyDescent="0.2">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108"/>
      <c r="AH178" s="108"/>
      <c r="AI178" s="108"/>
      <c r="AJ178" s="108"/>
      <c r="AK178" s="108"/>
      <c r="AL178" s="108"/>
      <c r="AM178" s="108"/>
      <c r="AN178" s="108"/>
      <c r="AO178" s="108"/>
      <c r="AP178" s="108"/>
      <c r="AQ178" s="108"/>
      <c r="AR178" s="108"/>
      <c r="AS178" s="108"/>
      <c r="AT178" s="108"/>
      <c r="AU178" s="108"/>
      <c r="AV178" s="108"/>
      <c r="AW178" s="108"/>
      <c r="AX178" s="108"/>
      <c r="AY178" s="108"/>
      <c r="AZ178" s="108"/>
      <c r="BA178" s="108"/>
      <c r="BB178" s="108"/>
      <c r="BC178" s="108"/>
      <c r="BD178" s="108"/>
      <c r="BE178" s="108"/>
      <c r="BF178" s="108"/>
      <c r="BG178" s="108"/>
      <c r="BH178" s="108"/>
      <c r="BI178" s="108"/>
      <c r="BJ178" s="108"/>
      <c r="BK178" s="108"/>
      <c r="BL178" s="108"/>
      <c r="BM178" s="108"/>
    </row>
    <row r="179" spans="1:65" x14ac:dyDescent="0.2">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c r="AJ179" s="108"/>
      <c r="AK179" s="108"/>
      <c r="AL179" s="108"/>
      <c r="AM179" s="108"/>
      <c r="AN179" s="108"/>
      <c r="AO179" s="108"/>
      <c r="AP179" s="108"/>
      <c r="AQ179" s="108"/>
      <c r="AR179" s="108"/>
      <c r="AS179" s="108"/>
      <c r="AT179" s="108"/>
      <c r="AU179" s="108"/>
      <c r="AV179" s="108"/>
      <c r="AW179" s="108"/>
      <c r="AX179" s="108"/>
      <c r="AY179" s="108"/>
      <c r="AZ179" s="108"/>
      <c r="BA179" s="108"/>
      <c r="BB179" s="108"/>
      <c r="BC179" s="108"/>
      <c r="BD179" s="108"/>
      <c r="BE179" s="108"/>
      <c r="BF179" s="108"/>
      <c r="BG179" s="108"/>
      <c r="BH179" s="108"/>
      <c r="BI179" s="108"/>
      <c r="BJ179" s="108"/>
      <c r="BK179" s="108"/>
      <c r="BL179" s="108"/>
      <c r="BM179" s="108"/>
    </row>
    <row r="180" spans="1:65" x14ac:dyDescent="0.2">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108"/>
      <c r="AD180" s="108"/>
      <c r="AE180" s="108"/>
      <c r="AF180" s="108"/>
      <c r="AG180" s="108"/>
      <c r="AH180" s="108"/>
      <c r="AI180" s="108"/>
      <c r="AJ180" s="108"/>
      <c r="AK180" s="108"/>
      <c r="AL180" s="108"/>
      <c r="AM180" s="108"/>
      <c r="AN180" s="108"/>
      <c r="AO180" s="108"/>
      <c r="AP180" s="108"/>
      <c r="AQ180" s="108"/>
      <c r="AR180" s="108"/>
      <c r="AS180" s="108"/>
      <c r="AT180" s="108"/>
      <c r="AU180" s="108"/>
      <c r="AV180" s="108"/>
      <c r="AW180" s="108"/>
      <c r="AX180" s="108"/>
      <c r="AY180" s="108"/>
      <c r="AZ180" s="108"/>
      <c r="BA180" s="108"/>
      <c r="BB180" s="108"/>
      <c r="BC180" s="108"/>
      <c r="BD180" s="108"/>
      <c r="BE180" s="108"/>
      <c r="BF180" s="108"/>
      <c r="BG180" s="108"/>
      <c r="BH180" s="108"/>
      <c r="BI180" s="108"/>
      <c r="BJ180" s="108"/>
      <c r="BK180" s="108"/>
      <c r="BL180" s="108"/>
      <c r="BM180" s="108"/>
    </row>
    <row r="181" spans="1:65" x14ac:dyDescent="0.2">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c r="AJ181" s="108"/>
      <c r="AK181" s="108"/>
      <c r="AL181" s="108"/>
      <c r="AM181" s="108"/>
      <c r="AN181" s="108"/>
      <c r="AO181" s="108"/>
      <c r="AP181" s="108"/>
      <c r="AQ181" s="108"/>
      <c r="AR181" s="108"/>
      <c r="AS181" s="108"/>
      <c r="AT181" s="108"/>
      <c r="AU181" s="108"/>
      <c r="AV181" s="108"/>
      <c r="AW181" s="108"/>
      <c r="AX181" s="108"/>
      <c r="AY181" s="108"/>
      <c r="AZ181" s="108"/>
      <c r="BA181" s="108"/>
      <c r="BB181" s="108"/>
      <c r="BC181" s="108"/>
      <c r="BD181" s="108"/>
      <c r="BE181" s="108"/>
      <c r="BF181" s="108"/>
      <c r="BG181" s="108"/>
      <c r="BH181" s="108"/>
      <c r="BI181" s="108"/>
      <c r="BJ181" s="108"/>
      <c r="BK181" s="108"/>
      <c r="BL181" s="108"/>
      <c r="BM181" s="108"/>
    </row>
    <row r="182" spans="1:65" x14ac:dyDescent="0.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108"/>
      <c r="AH182" s="108"/>
      <c r="AI182" s="108"/>
      <c r="AJ182" s="108"/>
      <c r="AK182" s="108"/>
      <c r="AL182" s="108"/>
      <c r="AM182" s="108"/>
      <c r="AN182" s="108"/>
      <c r="AO182" s="108"/>
      <c r="AP182" s="108"/>
      <c r="AQ182" s="108"/>
      <c r="AR182" s="108"/>
      <c r="AS182" s="108"/>
      <c r="AT182" s="108"/>
      <c r="AU182" s="108"/>
      <c r="AV182" s="108"/>
      <c r="AW182" s="108"/>
      <c r="AX182" s="108"/>
      <c r="AY182" s="108"/>
      <c r="AZ182" s="108"/>
      <c r="BA182" s="108"/>
      <c r="BB182" s="108"/>
      <c r="BC182" s="108"/>
      <c r="BD182" s="108"/>
      <c r="BE182" s="108"/>
      <c r="BF182" s="108"/>
      <c r="BG182" s="108"/>
      <c r="BH182" s="108"/>
      <c r="BI182" s="108"/>
      <c r="BJ182" s="108"/>
      <c r="BK182" s="108"/>
      <c r="BL182" s="108"/>
      <c r="BM182" s="108"/>
    </row>
    <row r="183" spans="1:65" x14ac:dyDescent="0.2">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108"/>
      <c r="AH183" s="108"/>
      <c r="AI183" s="108"/>
      <c r="AJ183" s="108"/>
      <c r="AK183" s="108"/>
      <c r="AL183" s="108"/>
      <c r="AM183" s="108"/>
      <c r="AN183" s="108"/>
      <c r="AO183" s="108"/>
      <c r="AP183" s="108"/>
      <c r="AQ183" s="108"/>
      <c r="AR183" s="108"/>
      <c r="AS183" s="108"/>
      <c r="AT183" s="108"/>
      <c r="AU183" s="108"/>
      <c r="AV183" s="108"/>
      <c r="AW183" s="108"/>
      <c r="AX183" s="108"/>
      <c r="AY183" s="108"/>
      <c r="AZ183" s="108"/>
      <c r="BA183" s="108"/>
      <c r="BB183" s="108"/>
      <c r="BC183" s="108"/>
      <c r="BD183" s="108"/>
      <c r="BE183" s="108"/>
      <c r="BF183" s="108"/>
      <c r="BG183" s="108"/>
      <c r="BH183" s="108"/>
      <c r="BI183" s="108"/>
      <c r="BJ183" s="108"/>
      <c r="BK183" s="108"/>
      <c r="BL183" s="108"/>
      <c r="BM183" s="108"/>
    </row>
    <row r="184" spans="1:65" x14ac:dyDescent="0.2">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c r="BF184" s="108"/>
      <c r="BG184" s="108"/>
      <c r="BH184" s="108"/>
      <c r="BI184" s="108"/>
      <c r="BJ184" s="108"/>
      <c r="BK184" s="108"/>
      <c r="BL184" s="108"/>
      <c r="BM184" s="108"/>
    </row>
    <row r="185" spans="1:65" x14ac:dyDescent="0.2">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108"/>
      <c r="AH185" s="108"/>
      <c r="AI185" s="108"/>
      <c r="AJ185" s="108"/>
      <c r="AK185" s="108"/>
      <c r="AL185" s="108"/>
      <c r="AM185" s="108"/>
      <c r="AN185" s="108"/>
      <c r="AO185" s="108"/>
      <c r="AP185" s="108"/>
      <c r="AQ185" s="108"/>
      <c r="AR185" s="108"/>
      <c r="AS185" s="108"/>
      <c r="AT185" s="108"/>
      <c r="AU185" s="108"/>
      <c r="AV185" s="108"/>
      <c r="AW185" s="108"/>
      <c r="AX185" s="108"/>
      <c r="AY185" s="108"/>
      <c r="AZ185" s="108"/>
      <c r="BA185" s="108"/>
      <c r="BB185" s="108"/>
      <c r="BC185" s="108"/>
      <c r="BD185" s="108"/>
      <c r="BE185" s="108"/>
      <c r="BF185" s="108"/>
      <c r="BG185" s="108"/>
      <c r="BH185" s="108"/>
      <c r="BI185" s="108"/>
      <c r="BJ185" s="108"/>
      <c r="BK185" s="108"/>
      <c r="BL185" s="108"/>
      <c r="BM185" s="108"/>
    </row>
    <row r="186" spans="1:65" x14ac:dyDescent="0.2">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c r="AJ186" s="108"/>
      <c r="AK186" s="108"/>
      <c r="AL186" s="108"/>
      <c r="AM186" s="108"/>
      <c r="AN186" s="108"/>
      <c r="AO186" s="108"/>
      <c r="AP186" s="108"/>
      <c r="AQ186" s="108"/>
      <c r="AR186" s="108"/>
      <c r="AS186" s="108"/>
      <c r="AT186" s="108"/>
      <c r="AU186" s="108"/>
      <c r="AV186" s="108"/>
      <c r="AW186" s="108"/>
      <c r="AX186" s="108"/>
      <c r="AY186" s="108"/>
      <c r="AZ186" s="108"/>
      <c r="BA186" s="108"/>
      <c r="BB186" s="108"/>
      <c r="BC186" s="108"/>
      <c r="BD186" s="108"/>
      <c r="BE186" s="108"/>
      <c r="BF186" s="108"/>
      <c r="BG186" s="108"/>
      <c r="BH186" s="108"/>
      <c r="BI186" s="108"/>
      <c r="BJ186" s="108"/>
      <c r="BK186" s="108"/>
      <c r="BL186" s="108"/>
      <c r="BM186" s="108"/>
    </row>
    <row r="187" spans="1:65" x14ac:dyDescent="0.2">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c r="AX187" s="108"/>
      <c r="AY187" s="108"/>
      <c r="AZ187" s="108"/>
      <c r="BA187" s="108"/>
      <c r="BB187" s="108"/>
      <c r="BC187" s="108"/>
      <c r="BD187" s="108"/>
      <c r="BE187" s="108"/>
      <c r="BF187" s="108"/>
      <c r="BG187" s="108"/>
      <c r="BH187" s="108"/>
      <c r="BI187" s="108"/>
      <c r="BJ187" s="108"/>
      <c r="BK187" s="108"/>
      <c r="BL187" s="108"/>
      <c r="BM187" s="108"/>
    </row>
    <row r="188" spans="1:65" x14ac:dyDescent="0.2">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108"/>
      <c r="AI188" s="108"/>
      <c r="AJ188" s="108"/>
      <c r="AK188" s="108"/>
      <c r="AL188" s="108"/>
      <c r="AM188" s="108"/>
      <c r="AN188" s="108"/>
      <c r="AO188" s="108"/>
      <c r="AP188" s="108"/>
      <c r="AQ188" s="108"/>
      <c r="AR188" s="108"/>
      <c r="AS188" s="108"/>
      <c r="AT188" s="108"/>
      <c r="AU188" s="108"/>
      <c r="AV188" s="108"/>
      <c r="AW188" s="108"/>
      <c r="AX188" s="108"/>
      <c r="AY188" s="108"/>
      <c r="AZ188" s="108"/>
      <c r="BA188" s="108"/>
      <c r="BB188" s="108"/>
      <c r="BC188" s="108"/>
      <c r="BD188" s="108"/>
      <c r="BE188" s="108"/>
      <c r="BF188" s="108"/>
      <c r="BG188" s="108"/>
      <c r="BH188" s="108"/>
      <c r="BI188" s="108"/>
      <c r="BJ188" s="108"/>
      <c r="BK188" s="108"/>
      <c r="BL188" s="108"/>
      <c r="BM188" s="108"/>
    </row>
    <row r="189" spans="1:65" x14ac:dyDescent="0.2">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108"/>
      <c r="AH189" s="108"/>
      <c r="AI189" s="108"/>
      <c r="AJ189" s="108"/>
      <c r="AK189" s="108"/>
      <c r="AL189" s="108"/>
      <c r="AM189" s="108"/>
      <c r="AN189" s="108"/>
      <c r="AO189" s="108"/>
      <c r="AP189" s="108"/>
      <c r="AQ189" s="108"/>
      <c r="AR189" s="108"/>
      <c r="AS189" s="108"/>
      <c r="AT189" s="108"/>
      <c r="AU189" s="108"/>
      <c r="AV189" s="108"/>
      <c r="AW189" s="108"/>
      <c r="AX189" s="108"/>
      <c r="AY189" s="108"/>
      <c r="AZ189" s="108"/>
      <c r="BA189" s="108"/>
      <c r="BB189" s="108"/>
      <c r="BC189" s="108"/>
      <c r="BD189" s="108"/>
      <c r="BE189" s="108"/>
      <c r="BF189" s="108"/>
      <c r="BG189" s="108"/>
      <c r="BH189" s="108"/>
      <c r="BI189" s="108"/>
      <c r="BJ189" s="108"/>
      <c r="BK189" s="108"/>
      <c r="BL189" s="108"/>
      <c r="BM189" s="108"/>
    </row>
    <row r="190" spans="1:65" x14ac:dyDescent="0.2">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c r="AJ190" s="108"/>
      <c r="AK190" s="108"/>
      <c r="AL190" s="108"/>
      <c r="AM190" s="108"/>
      <c r="AN190" s="108"/>
      <c r="AO190" s="108"/>
      <c r="AP190" s="108"/>
      <c r="AQ190" s="108"/>
      <c r="AR190" s="108"/>
      <c r="AS190" s="108"/>
      <c r="AT190" s="108"/>
      <c r="AU190" s="108"/>
      <c r="AV190" s="108"/>
      <c r="AW190" s="108"/>
      <c r="AX190" s="108"/>
      <c r="AY190" s="108"/>
      <c r="AZ190" s="108"/>
      <c r="BA190" s="108"/>
      <c r="BB190" s="108"/>
      <c r="BC190" s="108"/>
      <c r="BD190" s="108"/>
      <c r="BE190" s="108"/>
      <c r="BF190" s="108"/>
      <c r="BG190" s="108"/>
      <c r="BH190" s="108"/>
      <c r="BI190" s="108"/>
      <c r="BJ190" s="108"/>
      <c r="BK190" s="108"/>
      <c r="BL190" s="108"/>
      <c r="BM190" s="108"/>
    </row>
    <row r="191" spans="1:65" x14ac:dyDescent="0.2">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c r="AJ191" s="108"/>
      <c r="AK191" s="108"/>
      <c r="AL191" s="108"/>
      <c r="AM191" s="108"/>
      <c r="AN191" s="108"/>
      <c r="AO191" s="108"/>
      <c r="AP191" s="108"/>
      <c r="AQ191" s="108"/>
      <c r="AR191" s="108"/>
      <c r="AS191" s="108"/>
      <c r="AT191" s="108"/>
      <c r="AU191" s="108"/>
      <c r="AV191" s="108"/>
      <c r="AW191" s="108"/>
      <c r="AX191" s="108"/>
      <c r="AY191" s="108"/>
      <c r="AZ191" s="108"/>
      <c r="BA191" s="108"/>
      <c r="BB191" s="108"/>
      <c r="BC191" s="108"/>
      <c r="BD191" s="108"/>
      <c r="BE191" s="108"/>
      <c r="BF191" s="108"/>
      <c r="BG191" s="108"/>
      <c r="BH191" s="108"/>
      <c r="BI191" s="108"/>
      <c r="BJ191" s="108"/>
      <c r="BK191" s="108"/>
      <c r="BL191" s="108"/>
      <c r="BM191" s="108"/>
    </row>
    <row r="192" spans="1:65" x14ac:dyDescent="0.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108"/>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c r="AX192" s="108"/>
      <c r="AY192" s="108"/>
      <c r="AZ192" s="108"/>
      <c r="BA192" s="108"/>
      <c r="BB192" s="108"/>
      <c r="BC192" s="108"/>
      <c r="BD192" s="108"/>
      <c r="BE192" s="108"/>
      <c r="BF192" s="108"/>
      <c r="BG192" s="108"/>
      <c r="BH192" s="108"/>
      <c r="BI192" s="108"/>
      <c r="BJ192" s="108"/>
      <c r="BK192" s="108"/>
      <c r="BL192" s="108"/>
      <c r="BM192" s="108"/>
    </row>
    <row r="193" spans="1:65" x14ac:dyDescent="0.2">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c r="AX193" s="108"/>
      <c r="AY193" s="108"/>
      <c r="AZ193" s="108"/>
      <c r="BA193" s="108"/>
      <c r="BB193" s="108"/>
      <c r="BC193" s="108"/>
      <c r="BD193" s="108"/>
      <c r="BE193" s="108"/>
      <c r="BF193" s="108"/>
      <c r="BG193" s="108"/>
      <c r="BH193" s="108"/>
      <c r="BI193" s="108"/>
      <c r="BJ193" s="108"/>
      <c r="BK193" s="108"/>
      <c r="BL193" s="108"/>
      <c r="BM193" s="108"/>
    </row>
    <row r="194" spans="1:65" x14ac:dyDescent="0.2">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c r="AX194" s="108"/>
      <c r="AY194" s="108"/>
      <c r="AZ194" s="108"/>
      <c r="BA194" s="108"/>
      <c r="BB194" s="108"/>
      <c r="BC194" s="108"/>
      <c r="BD194" s="108"/>
      <c r="BE194" s="108"/>
      <c r="BF194" s="108"/>
      <c r="BG194" s="108"/>
      <c r="BH194" s="108"/>
      <c r="BI194" s="108"/>
      <c r="BJ194" s="108"/>
      <c r="BK194" s="108"/>
      <c r="BL194" s="108"/>
      <c r="BM194" s="108"/>
    </row>
    <row r="195" spans="1:65" x14ac:dyDescent="0.2">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c r="AX195" s="108"/>
      <c r="AY195" s="108"/>
      <c r="AZ195" s="108"/>
      <c r="BA195" s="108"/>
      <c r="BB195" s="108"/>
      <c r="BC195" s="108"/>
      <c r="BD195" s="108"/>
      <c r="BE195" s="108"/>
      <c r="BF195" s="108"/>
      <c r="BG195" s="108"/>
      <c r="BH195" s="108"/>
      <c r="BI195" s="108"/>
      <c r="BJ195" s="108"/>
      <c r="BK195" s="108"/>
      <c r="BL195" s="108"/>
      <c r="BM195" s="108"/>
    </row>
    <row r="196" spans="1:65" x14ac:dyDescent="0.2">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108"/>
      <c r="AH196" s="108"/>
      <c r="AI196" s="108"/>
      <c r="AJ196" s="108"/>
      <c r="AK196" s="108"/>
      <c r="AL196" s="108"/>
      <c r="AM196" s="108"/>
      <c r="AN196" s="108"/>
      <c r="AO196" s="108"/>
      <c r="AP196" s="108"/>
      <c r="AQ196" s="108"/>
      <c r="AR196" s="108"/>
      <c r="AS196" s="108"/>
      <c r="AT196" s="108"/>
      <c r="AU196" s="108"/>
      <c r="AV196" s="108"/>
      <c r="AW196" s="108"/>
      <c r="AX196" s="108"/>
      <c r="AY196" s="108"/>
      <c r="AZ196" s="108"/>
      <c r="BA196" s="108"/>
      <c r="BB196" s="108"/>
      <c r="BC196" s="108"/>
      <c r="BD196" s="108"/>
      <c r="BE196" s="108"/>
      <c r="BF196" s="108"/>
      <c r="BG196" s="108"/>
      <c r="BH196" s="108"/>
      <c r="BI196" s="108"/>
      <c r="BJ196" s="108"/>
      <c r="BK196" s="108"/>
      <c r="BL196" s="108"/>
      <c r="BM196" s="108"/>
    </row>
    <row r="197" spans="1:65" x14ac:dyDescent="0.2">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c r="AX197" s="108"/>
      <c r="AY197" s="108"/>
      <c r="AZ197" s="108"/>
      <c r="BA197" s="108"/>
      <c r="BB197" s="108"/>
      <c r="BC197" s="108"/>
      <c r="BD197" s="108"/>
      <c r="BE197" s="108"/>
      <c r="BF197" s="108"/>
      <c r="BG197" s="108"/>
      <c r="BH197" s="108"/>
      <c r="BI197" s="108"/>
      <c r="BJ197" s="108"/>
      <c r="BK197" s="108"/>
      <c r="BL197" s="108"/>
      <c r="BM197" s="108"/>
    </row>
    <row r="198" spans="1:65" x14ac:dyDescent="0.2">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c r="AX198" s="108"/>
      <c r="AY198" s="108"/>
      <c r="AZ198" s="108"/>
      <c r="BA198" s="108"/>
      <c r="BB198" s="108"/>
      <c r="BC198" s="108"/>
      <c r="BD198" s="108"/>
      <c r="BE198" s="108"/>
      <c r="BF198" s="108"/>
      <c r="BG198" s="108"/>
      <c r="BH198" s="108"/>
      <c r="BI198" s="108"/>
      <c r="BJ198" s="108"/>
      <c r="BK198" s="108"/>
      <c r="BL198" s="108"/>
      <c r="BM198" s="108"/>
    </row>
    <row r="199" spans="1:65" x14ac:dyDescent="0.2">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c r="AX199" s="108"/>
      <c r="AY199" s="108"/>
      <c r="AZ199" s="108"/>
      <c r="BA199" s="108"/>
      <c r="BB199" s="108"/>
      <c r="BC199" s="108"/>
      <c r="BD199" s="108"/>
      <c r="BE199" s="108"/>
      <c r="BF199" s="108"/>
      <c r="BG199" s="108"/>
      <c r="BH199" s="108"/>
      <c r="BI199" s="108"/>
      <c r="BJ199" s="108"/>
      <c r="BK199" s="108"/>
      <c r="BL199" s="108"/>
      <c r="BM199" s="108"/>
    </row>
    <row r="200" spans="1:65" x14ac:dyDescent="0.2">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c r="AX200" s="108"/>
      <c r="AY200" s="108"/>
      <c r="AZ200" s="108"/>
      <c r="BA200" s="108"/>
      <c r="BB200" s="108"/>
      <c r="BC200" s="108"/>
      <c r="BD200" s="108"/>
      <c r="BE200" s="108"/>
      <c r="BF200" s="108"/>
      <c r="BG200" s="108"/>
      <c r="BH200" s="108"/>
      <c r="BI200" s="108"/>
      <c r="BJ200" s="108"/>
      <c r="BK200" s="108"/>
      <c r="BL200" s="108"/>
      <c r="BM200" s="108"/>
    </row>
    <row r="201" spans="1:65" x14ac:dyDescent="0.2">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c r="AC201" s="108"/>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c r="AX201" s="108"/>
      <c r="AY201" s="108"/>
      <c r="AZ201" s="108"/>
      <c r="BA201" s="108"/>
      <c r="BB201" s="108"/>
      <c r="BC201" s="108"/>
      <c r="BD201" s="108"/>
      <c r="BE201" s="108"/>
      <c r="BF201" s="108"/>
      <c r="BG201" s="108"/>
      <c r="BH201" s="108"/>
      <c r="BI201" s="108"/>
      <c r="BJ201" s="108"/>
      <c r="BK201" s="108"/>
      <c r="BL201" s="108"/>
      <c r="BM201" s="108"/>
    </row>
    <row r="202" spans="1:65" x14ac:dyDescent="0.2">
      <c r="K202" s="108"/>
      <c r="L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c r="AX202" s="108"/>
      <c r="AY202" s="108"/>
      <c r="AZ202" s="108"/>
      <c r="BA202" s="108"/>
      <c r="BB202" s="108"/>
      <c r="BC202" s="108"/>
      <c r="BD202" s="108"/>
      <c r="BE202" s="108"/>
      <c r="BF202" s="108"/>
      <c r="BG202" s="108"/>
      <c r="BH202" s="108"/>
      <c r="BI202" s="108"/>
      <c r="BJ202" s="108"/>
      <c r="BK202" s="108"/>
      <c r="BL202" s="108"/>
      <c r="BM202" s="108"/>
    </row>
  </sheetData>
  <mergeCells count="6">
    <mergeCell ref="C5:F6"/>
    <mergeCell ref="A32:J32"/>
    <mergeCell ref="M68:U71"/>
    <mergeCell ref="M77:U79"/>
    <mergeCell ref="M48:T49"/>
    <mergeCell ref="M62:T6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429A-0CC6-F84A-ADBF-55DD95A90EFF}">
  <dimension ref="A1:BM216"/>
  <sheetViews>
    <sheetView zoomScaleNormal="100" workbookViewId="0">
      <selection activeCell="V12" sqref="V12"/>
    </sheetView>
  </sheetViews>
  <sheetFormatPr baseColWidth="10" defaultColWidth="10.83203125" defaultRowHeight="16" outlineLevelCol="1" x14ac:dyDescent="0.2"/>
  <cols>
    <col min="1" max="1" width="4.6640625" style="49" customWidth="1"/>
    <col min="2" max="2" width="10.83203125" style="49"/>
    <col min="3" max="3" width="10.83203125" style="49" customWidth="1"/>
    <col min="4" max="10" width="10.83203125" style="49"/>
    <col min="11" max="11" width="11.5" style="49" bestFit="1" customWidth="1"/>
    <col min="12" max="12" width="10.83203125" style="49" hidden="1" customWidth="1" outlineLevel="1"/>
    <col min="13" max="13" width="11.5" style="49" hidden="1" customWidth="1" outlineLevel="1"/>
    <col min="14" max="14" width="10.83203125" style="49" hidden="1" customWidth="1" outlineLevel="1"/>
    <col min="15" max="15" width="12.1640625" style="49" hidden="1" customWidth="1" outlineLevel="1"/>
    <col min="16" max="20" width="10.83203125" style="49" hidden="1" customWidth="1" outlineLevel="1"/>
    <col min="21" max="21" width="10.83203125" style="49" collapsed="1"/>
    <col min="22" max="16384" width="10.83203125" style="49"/>
  </cols>
  <sheetData>
    <row r="1" spans="1:65" ht="19" x14ac:dyDescent="0.25">
      <c r="A1" s="1" t="s">
        <v>119</v>
      </c>
      <c r="B1" s="37"/>
      <c r="C1" s="46"/>
      <c r="D1" s="46"/>
      <c r="E1" s="46"/>
      <c r="F1" s="75"/>
      <c r="G1" s="75"/>
      <c r="H1" s="75"/>
      <c r="I1" s="75"/>
      <c r="J1" s="76"/>
      <c r="K1" s="3" t="s">
        <v>110</v>
      </c>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c r="BI1" s="77"/>
      <c r="BJ1" s="77"/>
      <c r="BK1" s="77"/>
      <c r="BL1" s="77"/>
      <c r="BM1" s="77"/>
    </row>
    <row r="2" spans="1:65" x14ac:dyDescent="0.2">
      <c r="A2" s="78"/>
      <c r="B2" s="75"/>
      <c r="C2" s="75"/>
      <c r="D2" s="75"/>
      <c r="E2" s="75"/>
      <c r="F2" s="75"/>
      <c r="G2" s="75"/>
      <c r="H2" s="75"/>
      <c r="I2" s="75"/>
      <c r="J2" s="76"/>
      <c r="K2" s="77"/>
      <c r="L2" s="14" t="s">
        <v>112</v>
      </c>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row>
    <row r="3" spans="1:65" ht="51" x14ac:dyDescent="0.2">
      <c r="A3" s="78"/>
      <c r="B3" s="75" t="s">
        <v>63</v>
      </c>
      <c r="C3" s="75"/>
      <c r="D3" s="75"/>
      <c r="E3" s="75"/>
      <c r="F3" s="75"/>
      <c r="G3" s="75"/>
      <c r="H3" s="75"/>
      <c r="I3" s="75"/>
      <c r="J3" s="76"/>
      <c r="K3" s="77"/>
      <c r="L3" s="14"/>
      <c r="M3" s="19" t="s">
        <v>19</v>
      </c>
      <c r="N3" s="18" t="s">
        <v>80</v>
      </c>
      <c r="O3" s="18" t="s">
        <v>88</v>
      </c>
      <c r="P3" s="18" t="s">
        <v>79</v>
      </c>
      <c r="Q3" s="18" t="s">
        <v>87</v>
      </c>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row>
    <row r="4" spans="1:65" x14ac:dyDescent="0.2">
      <c r="A4" s="78"/>
      <c r="B4" s="75"/>
      <c r="C4" s="75"/>
      <c r="D4" s="75"/>
      <c r="E4" s="75"/>
      <c r="F4" s="75"/>
      <c r="G4" s="75"/>
      <c r="H4" s="75"/>
      <c r="I4" s="75"/>
      <c r="J4" s="76"/>
      <c r="K4" s="77"/>
      <c r="L4" s="14"/>
      <c r="M4" s="31">
        <v>2012</v>
      </c>
      <c r="N4" s="33">
        <f>N5+12</f>
        <v>60</v>
      </c>
      <c r="O4" s="30">
        <f>H7</f>
        <v>855800</v>
      </c>
      <c r="P4" s="30">
        <f>H15</f>
        <v>633568</v>
      </c>
      <c r="Q4" s="32">
        <f>P4/O4</f>
        <v>0.74032250525823795</v>
      </c>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row>
    <row r="5" spans="1:65" x14ac:dyDescent="0.2">
      <c r="A5" s="78"/>
      <c r="B5" s="75"/>
      <c r="C5" s="301" t="s">
        <v>341</v>
      </c>
      <c r="D5" s="301"/>
      <c r="E5" s="301"/>
      <c r="F5" s="301"/>
      <c r="G5" s="301"/>
      <c r="H5" s="301"/>
      <c r="I5" s="75"/>
      <c r="J5" s="76"/>
      <c r="K5" s="77"/>
      <c r="L5" s="14"/>
      <c r="M5" s="31">
        <v>2013</v>
      </c>
      <c r="N5" s="33">
        <f>N6+12</f>
        <v>48</v>
      </c>
      <c r="O5" s="30">
        <f>G8</f>
        <v>1000200</v>
      </c>
      <c r="P5" s="30">
        <f>G16</f>
        <v>804486</v>
      </c>
      <c r="Q5" s="32">
        <f>P5/O5</f>
        <v>0.8043251349730054</v>
      </c>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row>
    <row r="6" spans="1:65" ht="34" x14ac:dyDescent="0.2">
      <c r="A6" s="78"/>
      <c r="B6" s="75"/>
      <c r="C6" s="45" t="s">
        <v>3</v>
      </c>
      <c r="D6" s="42" t="s">
        <v>4</v>
      </c>
      <c r="E6" s="42" t="s">
        <v>5</v>
      </c>
      <c r="F6" s="42" t="s">
        <v>6</v>
      </c>
      <c r="G6" s="42" t="s">
        <v>96</v>
      </c>
      <c r="H6" s="42" t="s">
        <v>95</v>
      </c>
      <c r="I6" s="75"/>
      <c r="J6" s="76"/>
      <c r="K6" s="77"/>
      <c r="L6" s="14"/>
      <c r="M6" s="31">
        <v>2014</v>
      </c>
      <c r="N6" s="33">
        <f>N7+12</f>
        <v>36</v>
      </c>
      <c r="O6" s="30">
        <f>F9</f>
        <v>768700</v>
      </c>
      <c r="P6" s="30">
        <f>F17</f>
        <v>717918</v>
      </c>
      <c r="Q6" s="32">
        <f>P6/O6</f>
        <v>0.93393781709379475</v>
      </c>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77"/>
      <c r="AW6" s="77"/>
      <c r="AX6" s="77"/>
      <c r="AY6" s="77"/>
      <c r="AZ6" s="77"/>
      <c r="BA6" s="77"/>
      <c r="BB6" s="77"/>
      <c r="BC6" s="77"/>
      <c r="BD6" s="77"/>
      <c r="BE6" s="77"/>
      <c r="BF6" s="77"/>
      <c r="BG6" s="77"/>
      <c r="BH6" s="77"/>
      <c r="BI6" s="77"/>
      <c r="BJ6" s="77"/>
      <c r="BK6" s="77"/>
      <c r="BL6" s="77"/>
      <c r="BM6" s="77"/>
    </row>
    <row r="7" spans="1:65" x14ac:dyDescent="0.2">
      <c r="A7" s="78"/>
      <c r="B7" s="75"/>
      <c r="C7" s="40">
        <v>2012</v>
      </c>
      <c r="D7" s="36">
        <v>281100</v>
      </c>
      <c r="E7" s="36">
        <v>529500</v>
      </c>
      <c r="F7" s="36">
        <v>706000</v>
      </c>
      <c r="G7" s="36">
        <v>827400</v>
      </c>
      <c r="H7" s="36">
        <v>855800</v>
      </c>
      <c r="I7" s="75"/>
      <c r="J7" s="76"/>
      <c r="K7" s="77"/>
      <c r="L7" s="14"/>
      <c r="M7" s="31">
        <v>2015</v>
      </c>
      <c r="N7" s="33">
        <f>N8+12</f>
        <v>24</v>
      </c>
      <c r="O7" s="30">
        <f>E10</f>
        <v>529400</v>
      </c>
      <c r="P7" s="30">
        <f>E18</f>
        <v>467917</v>
      </c>
      <c r="Q7" s="32">
        <f>P7/O7</f>
        <v>0.88386286361919153</v>
      </c>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7"/>
      <c r="BJ7" s="77"/>
      <c r="BK7" s="77"/>
      <c r="BL7" s="77"/>
      <c r="BM7" s="77"/>
    </row>
    <row r="8" spans="1:65" x14ac:dyDescent="0.2">
      <c r="A8" s="78"/>
      <c r="B8" s="75"/>
      <c r="C8" s="40">
        <v>2013</v>
      </c>
      <c r="D8" s="36">
        <v>276300</v>
      </c>
      <c r="E8" s="36">
        <v>672900</v>
      </c>
      <c r="F8" s="36">
        <v>842900</v>
      </c>
      <c r="G8" s="36">
        <v>1000200</v>
      </c>
      <c r="H8" s="15"/>
      <c r="I8" s="75"/>
      <c r="J8" s="76"/>
      <c r="K8" s="77"/>
      <c r="L8" s="14"/>
      <c r="M8" s="31">
        <v>2016</v>
      </c>
      <c r="N8" s="33">
        <v>12</v>
      </c>
      <c r="O8" s="30">
        <f>D11</f>
        <v>282700</v>
      </c>
      <c r="P8" s="30">
        <f>D19</f>
        <v>261582</v>
      </c>
      <c r="Q8" s="32">
        <f>P8/O8</f>
        <v>0.92529890343119914</v>
      </c>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77"/>
      <c r="BD8" s="77"/>
      <c r="BE8" s="77"/>
      <c r="BF8" s="77"/>
      <c r="BG8" s="77"/>
      <c r="BH8" s="77"/>
      <c r="BI8" s="77"/>
      <c r="BJ8" s="77"/>
      <c r="BK8" s="77"/>
      <c r="BL8" s="77"/>
      <c r="BM8" s="77"/>
    </row>
    <row r="9" spans="1:65" x14ac:dyDescent="0.2">
      <c r="A9" s="78"/>
      <c r="B9" s="75"/>
      <c r="C9" s="40">
        <v>2014</v>
      </c>
      <c r="D9" s="36">
        <v>239100</v>
      </c>
      <c r="E9" s="36">
        <v>524900</v>
      </c>
      <c r="F9" s="36">
        <v>768700</v>
      </c>
      <c r="G9" s="15"/>
      <c r="H9" s="15"/>
      <c r="I9" s="75"/>
      <c r="J9" s="76"/>
      <c r="K9" s="77"/>
      <c r="L9" s="14"/>
      <c r="M9" s="143"/>
      <c r="N9" s="33"/>
      <c r="O9" s="30"/>
      <c r="P9" s="30"/>
      <c r="Q9" s="32"/>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row>
    <row r="10" spans="1:65" x14ac:dyDescent="0.2">
      <c r="A10" s="78"/>
      <c r="B10" s="75"/>
      <c r="C10" s="40">
        <v>2015</v>
      </c>
      <c r="D10" s="36">
        <v>294800</v>
      </c>
      <c r="E10" s="36">
        <v>529400</v>
      </c>
      <c r="F10" s="15"/>
      <c r="G10" s="15"/>
      <c r="H10" s="15"/>
      <c r="I10" s="75"/>
      <c r="J10" s="76"/>
      <c r="K10" s="77"/>
      <c r="L10" s="14"/>
      <c r="M10" s="143"/>
      <c r="N10" s="33"/>
      <c r="O10" s="30"/>
      <c r="P10" s="30"/>
      <c r="Q10" s="32"/>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77"/>
      <c r="AT10" s="77"/>
      <c r="AU10" s="77"/>
      <c r="AV10" s="77"/>
      <c r="AW10" s="77"/>
      <c r="AX10" s="77"/>
      <c r="AY10" s="77"/>
      <c r="AZ10" s="77"/>
      <c r="BA10" s="77"/>
      <c r="BB10" s="77"/>
      <c r="BC10" s="77"/>
      <c r="BD10" s="77"/>
      <c r="BE10" s="77"/>
      <c r="BF10" s="77"/>
      <c r="BG10" s="77"/>
      <c r="BH10" s="77"/>
      <c r="BI10" s="77"/>
      <c r="BJ10" s="77"/>
      <c r="BK10" s="77"/>
      <c r="BL10" s="77"/>
      <c r="BM10" s="77"/>
    </row>
    <row r="11" spans="1:65" x14ac:dyDescent="0.2">
      <c r="A11" s="78"/>
      <c r="B11" s="75"/>
      <c r="C11" s="40">
        <v>2016</v>
      </c>
      <c r="D11" s="36">
        <v>282700</v>
      </c>
      <c r="E11" s="15"/>
      <c r="F11" s="15"/>
      <c r="G11" s="15"/>
      <c r="H11" s="15"/>
      <c r="I11" s="75"/>
      <c r="J11" s="76"/>
      <c r="K11" s="77"/>
      <c r="L11" s="14"/>
      <c r="M11" s="143"/>
      <c r="N11" s="33"/>
      <c r="O11" s="30"/>
      <c r="P11" s="30"/>
      <c r="Q11" s="32"/>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77"/>
      <c r="AZ11" s="77"/>
      <c r="BA11" s="77"/>
      <c r="BB11" s="77"/>
      <c r="BC11" s="77"/>
      <c r="BD11" s="77"/>
      <c r="BE11" s="77"/>
      <c r="BF11" s="77"/>
      <c r="BG11" s="77"/>
      <c r="BH11" s="77"/>
      <c r="BI11" s="77"/>
      <c r="BJ11" s="77"/>
      <c r="BK11" s="77"/>
      <c r="BL11" s="77"/>
      <c r="BM11" s="77"/>
    </row>
    <row r="12" spans="1:65" x14ac:dyDescent="0.2">
      <c r="A12" s="78"/>
      <c r="B12" s="75"/>
      <c r="C12" s="75"/>
      <c r="D12" s="75"/>
      <c r="E12" s="75"/>
      <c r="F12" s="75"/>
      <c r="G12" s="75"/>
      <c r="H12" s="75"/>
      <c r="I12" s="75"/>
      <c r="J12" s="76"/>
      <c r="K12" s="77"/>
      <c r="L12" s="14"/>
      <c r="M12" s="143"/>
      <c r="N12" s="33"/>
      <c r="O12" s="30"/>
      <c r="P12" s="30"/>
      <c r="Q12" s="32"/>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row>
    <row r="13" spans="1:65" x14ac:dyDescent="0.2">
      <c r="A13" s="78"/>
      <c r="B13" s="75"/>
      <c r="C13" s="301" t="s">
        <v>342</v>
      </c>
      <c r="D13" s="301"/>
      <c r="E13" s="301"/>
      <c r="F13" s="301"/>
      <c r="G13" s="301"/>
      <c r="H13" s="301"/>
      <c r="I13" s="75"/>
      <c r="J13" s="76"/>
      <c r="K13" s="77"/>
      <c r="L13" s="14"/>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row>
    <row r="14" spans="1:65" ht="34" customHeight="1" x14ac:dyDescent="0.2">
      <c r="A14" s="78"/>
      <c r="B14" s="75"/>
      <c r="C14" s="45" t="s">
        <v>3</v>
      </c>
      <c r="D14" s="42" t="s">
        <v>4</v>
      </c>
      <c r="E14" s="42" t="s">
        <v>5</v>
      </c>
      <c r="F14" s="42" t="s">
        <v>6</v>
      </c>
      <c r="G14" s="42" t="s">
        <v>96</v>
      </c>
      <c r="H14" s="42" t="s">
        <v>95</v>
      </c>
      <c r="I14" s="75"/>
      <c r="J14" s="76"/>
      <c r="K14" s="77"/>
      <c r="L14" s="14"/>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7"/>
      <c r="AZ14" s="77"/>
      <c r="BA14" s="77"/>
      <c r="BB14" s="77"/>
      <c r="BC14" s="77"/>
      <c r="BD14" s="77"/>
      <c r="BE14" s="77"/>
      <c r="BF14" s="77"/>
      <c r="BG14" s="77"/>
      <c r="BH14" s="77"/>
      <c r="BI14" s="77"/>
      <c r="BJ14" s="77"/>
      <c r="BK14" s="77"/>
      <c r="BL14" s="77"/>
      <c r="BM14" s="77"/>
    </row>
    <row r="15" spans="1:65" x14ac:dyDescent="0.2">
      <c r="A15" s="78"/>
      <c r="B15" s="75"/>
      <c r="C15" s="40">
        <v>2012</v>
      </c>
      <c r="D15" s="36">
        <v>259056</v>
      </c>
      <c r="E15" s="36">
        <v>485860</v>
      </c>
      <c r="F15" s="36">
        <v>588331</v>
      </c>
      <c r="G15" s="36">
        <v>669325</v>
      </c>
      <c r="H15" s="36">
        <v>633568</v>
      </c>
      <c r="I15" s="75"/>
      <c r="J15" s="76"/>
      <c r="K15" s="77"/>
      <c r="L15" s="14"/>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77"/>
      <c r="AZ15" s="77"/>
      <c r="BA15" s="77"/>
      <c r="BB15" s="77"/>
      <c r="BC15" s="77"/>
      <c r="BD15" s="77"/>
      <c r="BE15" s="77"/>
      <c r="BF15" s="77"/>
      <c r="BG15" s="77"/>
      <c r="BH15" s="77"/>
      <c r="BI15" s="77"/>
      <c r="BJ15" s="77"/>
      <c r="BK15" s="77"/>
      <c r="BL15" s="77"/>
      <c r="BM15" s="77"/>
    </row>
    <row r="16" spans="1:65" x14ac:dyDescent="0.2">
      <c r="A16" s="78"/>
      <c r="B16" s="75"/>
      <c r="C16" s="40">
        <v>2013</v>
      </c>
      <c r="D16" s="36">
        <v>264311</v>
      </c>
      <c r="E16" s="36">
        <v>658685</v>
      </c>
      <c r="F16" s="36">
        <v>737718</v>
      </c>
      <c r="G16" s="36">
        <v>804486</v>
      </c>
      <c r="H16" s="15"/>
      <c r="I16" s="75"/>
      <c r="J16" s="76"/>
      <c r="K16" s="77"/>
      <c r="L16" s="14"/>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row>
    <row r="17" spans="1:65" x14ac:dyDescent="0.2">
      <c r="A17" s="78"/>
      <c r="B17" s="75"/>
      <c r="C17" s="40">
        <v>2014</v>
      </c>
      <c r="D17" s="36">
        <v>222153</v>
      </c>
      <c r="E17" s="36">
        <v>469288</v>
      </c>
      <c r="F17" s="36">
        <v>717918</v>
      </c>
      <c r="G17" s="15"/>
      <c r="H17" s="15"/>
      <c r="I17" s="75"/>
      <c r="J17" s="76"/>
      <c r="K17" s="77"/>
      <c r="L17" s="14"/>
      <c r="N17" s="77"/>
      <c r="O17" s="297" t="s">
        <v>86</v>
      </c>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row>
    <row r="18" spans="1:65" x14ac:dyDescent="0.2">
      <c r="A18" s="78"/>
      <c r="B18" s="75"/>
      <c r="C18" s="40">
        <v>2015</v>
      </c>
      <c r="D18" s="36">
        <v>294800</v>
      </c>
      <c r="E18" s="36">
        <v>467917</v>
      </c>
      <c r="F18" s="15"/>
      <c r="G18" s="15"/>
      <c r="H18" s="15"/>
      <c r="I18" s="75"/>
      <c r="J18" s="76"/>
      <c r="K18" s="77"/>
      <c r="L18" s="14"/>
      <c r="N18" s="295" t="s">
        <v>80</v>
      </c>
      <c r="O18" s="297"/>
      <c r="P18" s="293" t="s">
        <v>85</v>
      </c>
      <c r="Q18" s="293" t="s">
        <v>84</v>
      </c>
      <c r="R18" s="293" t="s">
        <v>83</v>
      </c>
      <c r="S18" s="293" t="s">
        <v>82</v>
      </c>
      <c r="T18" s="293" t="s">
        <v>81</v>
      </c>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row>
    <row r="19" spans="1:65" x14ac:dyDescent="0.2">
      <c r="A19" s="78"/>
      <c r="B19" s="75"/>
      <c r="C19" s="40">
        <v>2016</v>
      </c>
      <c r="D19" s="36">
        <v>261582</v>
      </c>
      <c r="E19" s="15"/>
      <c r="F19" s="15"/>
      <c r="G19" s="15"/>
      <c r="H19" s="15"/>
      <c r="I19" s="75"/>
      <c r="J19" s="76"/>
      <c r="K19" s="77"/>
      <c r="M19" s="52" t="s">
        <v>19</v>
      </c>
      <c r="N19" s="296"/>
      <c r="O19" s="298"/>
      <c r="P19" s="294"/>
      <c r="Q19" s="294"/>
      <c r="R19" s="294"/>
      <c r="S19" s="294"/>
      <c r="T19" s="294"/>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row>
    <row r="20" spans="1:65" x14ac:dyDescent="0.2">
      <c r="A20" s="78"/>
      <c r="B20" s="75"/>
      <c r="C20" s="75"/>
      <c r="D20" s="75"/>
      <c r="E20" s="75"/>
      <c r="F20" s="75"/>
      <c r="G20" s="75"/>
      <c r="H20" s="75"/>
      <c r="I20" s="75"/>
      <c r="J20" s="76"/>
      <c r="K20" s="77"/>
      <c r="M20" s="31">
        <v>2012</v>
      </c>
      <c r="N20" s="80">
        <f>N4</f>
        <v>60</v>
      </c>
      <c r="O20" s="81">
        <f>O21/(1+$F$25)</f>
        <v>138603.97947484744</v>
      </c>
      <c r="P20" s="81">
        <f>O20*(1-EXP(-250000/O20))</f>
        <v>115777.51050697682</v>
      </c>
      <c r="Q20" s="81">
        <f>O20*(1-EXP(-1000000/O20))</f>
        <v>138502.01994043091</v>
      </c>
      <c r="R20" s="82">
        <f>P20/Q20</f>
        <v>0.83592651252864181</v>
      </c>
      <c r="S20" s="83">
        <f>H35</f>
        <v>0</v>
      </c>
      <c r="T20" s="82">
        <f>R20+(1-R20)*S20</f>
        <v>0.83592651252864181</v>
      </c>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row>
    <row r="21" spans="1:65" x14ac:dyDescent="0.2">
      <c r="A21" s="78"/>
      <c r="B21" s="75"/>
      <c r="C21" s="75"/>
      <c r="D21" s="75"/>
      <c r="E21" s="75"/>
      <c r="F21" s="75"/>
      <c r="G21" s="75"/>
      <c r="H21" s="75"/>
      <c r="I21" s="75"/>
      <c r="J21" s="76"/>
      <c r="K21" s="77"/>
      <c r="M21" s="31">
        <v>2013</v>
      </c>
      <c r="N21" s="80">
        <f>N5</f>
        <v>48</v>
      </c>
      <c r="O21" s="81">
        <f>O22/(1+$F$25)</f>
        <v>142762.09885909286</v>
      </c>
      <c r="P21" s="81">
        <f>O21*(1-EXP(-250000/O21))</f>
        <v>117982.65243262461</v>
      </c>
      <c r="Q21" s="81">
        <f>O21*(1-EXP(-1000000/O21))</f>
        <v>142632.52194667861</v>
      </c>
      <c r="R21" s="82">
        <f>P21/Q21</f>
        <v>0.82717917921083217</v>
      </c>
      <c r="S21" s="66">
        <f>G35</f>
        <v>0.2</v>
      </c>
      <c r="T21" s="82">
        <f>R21+(1-R21)*S21</f>
        <v>0.86174334336866576</v>
      </c>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row>
    <row r="22" spans="1:65" x14ac:dyDescent="0.2">
      <c r="A22" s="78"/>
      <c r="B22" s="75" t="s">
        <v>52</v>
      </c>
      <c r="C22" s="84">
        <v>1000000</v>
      </c>
      <c r="D22" s="75"/>
      <c r="E22" s="75"/>
      <c r="F22" s="75"/>
      <c r="G22" s="75"/>
      <c r="H22" s="75"/>
      <c r="I22" s="75"/>
      <c r="J22" s="76"/>
      <c r="K22" s="77"/>
      <c r="M22" s="31">
        <v>2014</v>
      </c>
      <c r="N22" s="80">
        <f>N6</f>
        <v>36</v>
      </c>
      <c r="O22" s="81">
        <f>O23/(1+$F$25)</f>
        <v>147044.96182486566</v>
      </c>
      <c r="P22" s="81">
        <f>O22*(1-EXP(-250000/O22))</f>
        <v>120186.57457813335</v>
      </c>
      <c r="Q22" s="81">
        <f>O22*(1-EXP(-1000000/O22))</f>
        <v>146881.29175111762</v>
      </c>
      <c r="R22" s="82">
        <f>P22/Q22</f>
        <v>0.81825651956944245</v>
      </c>
      <c r="S22" s="66">
        <f>F35</f>
        <v>0.4</v>
      </c>
      <c r="T22" s="82">
        <f>R22+(1-R22)*S22</f>
        <v>0.89095391174166549</v>
      </c>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row>
    <row r="23" spans="1:65" x14ac:dyDescent="0.2">
      <c r="A23" s="78"/>
      <c r="B23" s="75" t="s">
        <v>7</v>
      </c>
      <c r="C23" s="84">
        <v>250000</v>
      </c>
      <c r="D23" s="75"/>
      <c r="E23" s="75"/>
      <c r="F23" s="75"/>
      <c r="G23" s="75"/>
      <c r="H23" s="75"/>
      <c r="I23" s="75"/>
      <c r="J23" s="76"/>
      <c r="K23" s="77"/>
      <c r="M23" s="31">
        <v>2015</v>
      </c>
      <c r="N23" s="80">
        <f>N7</f>
        <v>24</v>
      </c>
      <c r="O23" s="81">
        <f>O24/(1+$F$25)</f>
        <v>151456.31067961163</v>
      </c>
      <c r="P23" s="81">
        <f>O23*(1-EXP(-250000/O23))</f>
        <v>122387.77970086766</v>
      </c>
      <c r="Q23" s="81">
        <f>O23*(1-EXP(-1000000/O23))</f>
        <v>151250.80197701824</v>
      </c>
      <c r="R23" s="82">
        <f>P23/Q23</f>
        <v>0.80917111249078755</v>
      </c>
      <c r="S23" s="66">
        <f>E35</f>
        <v>0.6</v>
      </c>
      <c r="T23" s="82">
        <f>R23+(1-R23)*S23</f>
        <v>0.92366844499631506</v>
      </c>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row>
    <row r="24" spans="1:65" x14ac:dyDescent="0.2">
      <c r="A24" s="78"/>
      <c r="B24" s="75"/>
      <c r="C24" s="75"/>
      <c r="D24" s="75"/>
      <c r="E24" s="75"/>
      <c r="F24" s="84"/>
      <c r="G24" s="75"/>
      <c r="H24" s="75"/>
      <c r="I24" s="75"/>
      <c r="J24" s="76"/>
      <c r="K24" s="77"/>
      <c r="M24" s="31">
        <v>2016</v>
      </c>
      <c r="N24" s="80">
        <f>N8</f>
        <v>12</v>
      </c>
      <c r="O24" s="142">
        <v>156000</v>
      </c>
      <c r="P24" s="81">
        <f>O24*(1-EXP(-250000/O24))</f>
        <v>124584.79835179192</v>
      </c>
      <c r="Q24" s="81">
        <f>O24*(1-EXP(-1000000/O24))</f>
        <v>155743.44197022176</v>
      </c>
      <c r="R24" s="82">
        <f>P24/Q24</f>
        <v>0.79993607933496558</v>
      </c>
      <c r="S24" s="66">
        <f>D35</f>
        <v>0.8</v>
      </c>
      <c r="T24" s="82">
        <f>R24+(1-R24)*S24</f>
        <v>0.95998721586699309</v>
      </c>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row>
    <row r="25" spans="1:65" x14ac:dyDescent="0.2">
      <c r="A25" s="78"/>
      <c r="B25" s="75" t="s">
        <v>10</v>
      </c>
      <c r="C25" s="75"/>
      <c r="D25" s="75"/>
      <c r="E25" s="75"/>
      <c r="F25" s="85">
        <v>0.03</v>
      </c>
      <c r="G25" s="75"/>
      <c r="H25" s="75"/>
      <c r="I25" s="75"/>
      <c r="J25" s="76"/>
      <c r="K25" s="77"/>
      <c r="L25" s="14"/>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row>
    <row r="26" spans="1:65" x14ac:dyDescent="0.2">
      <c r="A26" s="78"/>
      <c r="B26" s="75"/>
      <c r="C26" s="75"/>
      <c r="D26" s="75"/>
      <c r="E26" s="75"/>
      <c r="F26" s="75"/>
      <c r="G26" s="75"/>
      <c r="H26" s="75"/>
      <c r="I26" s="75"/>
      <c r="J26" s="76"/>
      <c r="K26" s="77"/>
      <c r="L26" s="14"/>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row>
    <row r="27" spans="1:65" x14ac:dyDescent="0.2">
      <c r="A27" s="78"/>
      <c r="B27" s="75" t="s">
        <v>101</v>
      </c>
      <c r="C27" s="75"/>
      <c r="D27" s="75"/>
      <c r="E27" s="75"/>
      <c r="F27" s="75"/>
      <c r="G27" s="75"/>
      <c r="H27" s="75"/>
      <c r="I27" s="75"/>
      <c r="J27" s="76"/>
      <c r="K27" s="77"/>
      <c r="L27" s="14"/>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row>
    <row r="28" spans="1:65" x14ac:dyDescent="0.2">
      <c r="A28" s="78"/>
      <c r="B28" s="75" t="s">
        <v>100</v>
      </c>
      <c r="C28" s="75"/>
      <c r="D28" s="75"/>
      <c r="E28" s="75"/>
      <c r="F28" s="75"/>
      <c r="G28" s="75"/>
      <c r="H28" s="75"/>
      <c r="I28" s="75"/>
      <c r="J28" s="76"/>
      <c r="K28" s="77"/>
      <c r="L28" s="14"/>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row>
    <row r="29" spans="1:65" x14ac:dyDescent="0.2">
      <c r="A29" s="78"/>
      <c r="B29" s="75" t="s">
        <v>99</v>
      </c>
      <c r="C29" s="75"/>
      <c r="D29" s="75"/>
      <c r="E29" s="75"/>
      <c r="F29" s="75"/>
      <c r="G29" s="75"/>
      <c r="H29" s="75"/>
      <c r="I29" s="75"/>
      <c r="J29" s="76"/>
      <c r="K29" s="77"/>
      <c r="L29" s="14"/>
      <c r="M29" s="77"/>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row>
    <row r="30" spans="1:65" x14ac:dyDescent="0.2">
      <c r="A30" s="78"/>
      <c r="B30" s="75"/>
      <c r="C30" s="75"/>
      <c r="D30" s="75"/>
      <c r="E30" s="75"/>
      <c r="F30" s="75"/>
      <c r="G30" s="75"/>
      <c r="H30" s="75"/>
      <c r="I30" s="75"/>
      <c r="J30" s="76"/>
      <c r="K30" s="77"/>
      <c r="L30" s="14"/>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row>
    <row r="31" spans="1:65" x14ac:dyDescent="0.2">
      <c r="A31" s="78"/>
      <c r="B31" s="75" t="s">
        <v>98</v>
      </c>
      <c r="C31" s="75"/>
      <c r="D31" s="75"/>
      <c r="E31" s="75"/>
      <c r="F31" s="75"/>
      <c r="G31" s="75"/>
      <c r="H31" s="75"/>
      <c r="I31" s="75"/>
      <c r="J31" s="76"/>
      <c r="K31" s="77"/>
      <c r="L31" s="14"/>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row>
    <row r="32" spans="1:65" x14ac:dyDescent="0.2">
      <c r="A32" s="78"/>
      <c r="B32" s="75" t="s">
        <v>97</v>
      </c>
      <c r="C32" s="75"/>
      <c r="D32" s="75"/>
      <c r="E32" s="75"/>
      <c r="F32" s="75"/>
      <c r="G32" s="75"/>
      <c r="H32" s="75"/>
      <c r="I32" s="75"/>
      <c r="J32" s="76"/>
      <c r="K32" s="77"/>
      <c r="L32" s="14"/>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row>
    <row r="33" spans="1:65" x14ac:dyDescent="0.2">
      <c r="A33" s="78"/>
      <c r="B33" s="75"/>
      <c r="C33" s="75"/>
      <c r="D33" s="75"/>
      <c r="E33" s="75"/>
      <c r="F33" s="75"/>
      <c r="G33" s="75"/>
      <c r="H33" s="75"/>
      <c r="I33" s="75"/>
      <c r="J33" s="76"/>
      <c r="K33" s="77"/>
      <c r="L33" s="14"/>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row>
    <row r="34" spans="1:65" ht="17" x14ac:dyDescent="0.2">
      <c r="A34" s="78"/>
      <c r="B34" s="75"/>
      <c r="C34" s="41"/>
      <c r="D34" s="43" t="s">
        <v>4</v>
      </c>
      <c r="E34" s="43" t="s">
        <v>5</v>
      </c>
      <c r="F34" s="43" t="s">
        <v>6</v>
      </c>
      <c r="G34" s="43" t="s">
        <v>96</v>
      </c>
      <c r="H34" s="43" t="s">
        <v>95</v>
      </c>
      <c r="I34" s="75"/>
      <c r="J34" s="76"/>
      <c r="K34" s="77"/>
      <c r="L34" s="14"/>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7"/>
    </row>
    <row r="35" spans="1:65" x14ac:dyDescent="0.2">
      <c r="A35" s="78"/>
      <c r="B35" s="75"/>
      <c r="C35" s="44" t="s">
        <v>82</v>
      </c>
      <c r="D35" s="15">
        <v>0.8</v>
      </c>
      <c r="E35" s="15">
        <v>0.6</v>
      </c>
      <c r="F35" s="15">
        <v>0.4</v>
      </c>
      <c r="G35" s="15">
        <v>0.2</v>
      </c>
      <c r="H35" s="35">
        <v>0</v>
      </c>
      <c r="I35" s="75"/>
      <c r="J35" s="76"/>
      <c r="K35" s="77"/>
      <c r="L35" s="14"/>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row>
    <row r="36" spans="1:65" ht="17" customHeight="1" x14ac:dyDescent="0.2">
      <c r="A36" s="78"/>
      <c r="B36" s="75"/>
      <c r="C36" s="75"/>
      <c r="D36" s="75"/>
      <c r="E36" s="75"/>
      <c r="F36" s="75"/>
      <c r="G36" s="75"/>
      <c r="H36" s="75"/>
      <c r="I36" s="75"/>
      <c r="J36" s="76"/>
      <c r="K36" s="77"/>
      <c r="L36" s="14"/>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row>
    <row r="37" spans="1:65" x14ac:dyDescent="0.2">
      <c r="A37" s="78"/>
      <c r="B37" s="75"/>
      <c r="C37" s="301" t="s">
        <v>94</v>
      </c>
      <c r="D37" s="301"/>
      <c r="E37" s="301"/>
      <c r="F37" s="301"/>
      <c r="G37" s="301"/>
      <c r="H37" s="301"/>
      <c r="I37" s="75"/>
      <c r="J37" s="76"/>
      <c r="K37" s="77"/>
      <c r="L37" s="14"/>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7"/>
    </row>
    <row r="38" spans="1:65" ht="17" x14ac:dyDescent="0.2">
      <c r="A38" s="78"/>
      <c r="B38" s="75"/>
      <c r="C38" s="41"/>
      <c r="D38" s="43" t="s">
        <v>46</v>
      </c>
      <c r="E38" s="43" t="s">
        <v>47</v>
      </c>
      <c r="F38" s="43" t="s">
        <v>57</v>
      </c>
      <c r="G38" s="43" t="s">
        <v>93</v>
      </c>
      <c r="H38" s="43" t="s">
        <v>92</v>
      </c>
      <c r="I38" s="75"/>
      <c r="J38" s="76"/>
      <c r="K38" s="77"/>
      <c r="L38" s="14"/>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7"/>
    </row>
    <row r="39" spans="1:65" ht="17" x14ac:dyDescent="0.2">
      <c r="A39" s="78"/>
      <c r="B39" s="75"/>
      <c r="C39" s="40" t="s">
        <v>28</v>
      </c>
      <c r="D39" s="15">
        <v>3.3849999999999998</v>
      </c>
      <c r="E39" s="15">
        <v>1.637</v>
      </c>
      <c r="F39" s="15">
        <v>1.22</v>
      </c>
      <c r="G39" s="15">
        <v>1.034</v>
      </c>
      <c r="H39" s="34">
        <v>1</v>
      </c>
      <c r="I39" s="75"/>
      <c r="J39" s="76"/>
      <c r="K39" s="77"/>
      <c r="L39" s="14"/>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7"/>
    </row>
    <row r="40" spans="1:65" x14ac:dyDescent="0.2">
      <c r="A40" s="78"/>
      <c r="B40" s="75"/>
      <c r="C40" s="75"/>
      <c r="D40" s="75"/>
      <c r="E40" s="75"/>
      <c r="F40" s="75"/>
      <c r="G40" s="75"/>
      <c r="H40" s="75"/>
      <c r="I40" s="75"/>
      <c r="J40" s="76"/>
      <c r="K40" s="77"/>
      <c r="L40" s="14"/>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77"/>
      <c r="BL40" s="77"/>
      <c r="BM40" s="77"/>
    </row>
    <row r="41" spans="1:65" x14ac:dyDescent="0.2">
      <c r="A41" s="78"/>
      <c r="B41" s="90"/>
      <c r="C41" s="90"/>
      <c r="D41" s="90"/>
      <c r="E41" s="75"/>
      <c r="F41" s="75"/>
      <c r="G41" s="75"/>
      <c r="H41" s="75"/>
      <c r="I41" s="75"/>
      <c r="J41" s="76"/>
      <c r="K41" s="77"/>
      <c r="L41" s="77"/>
      <c r="M41" s="86" t="s">
        <v>104</v>
      </c>
      <c r="N41" s="87"/>
      <c r="O41" s="87"/>
      <c r="P41" s="8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c r="BC41" s="77"/>
      <c r="BD41" s="77"/>
      <c r="BE41" s="77"/>
      <c r="BF41" s="77"/>
      <c r="BG41" s="77"/>
      <c r="BH41" s="77"/>
      <c r="BI41" s="77"/>
      <c r="BJ41" s="77"/>
      <c r="BK41" s="77"/>
      <c r="BL41" s="77"/>
      <c r="BM41" s="77"/>
    </row>
    <row r="42" spans="1:65" x14ac:dyDescent="0.2">
      <c r="A42" s="91" t="s">
        <v>0</v>
      </c>
      <c r="B42" s="92" t="s">
        <v>91</v>
      </c>
      <c r="C42" s="92"/>
      <c r="D42" s="92"/>
      <c r="E42" s="91"/>
      <c r="F42" s="91"/>
      <c r="G42" s="91"/>
      <c r="H42" s="91"/>
      <c r="I42" s="91"/>
      <c r="J42" s="93"/>
      <c r="K42" s="77"/>
      <c r="L42" s="77"/>
      <c r="M42" s="291" t="s">
        <v>113</v>
      </c>
      <c r="N42" s="291"/>
      <c r="O42" s="291"/>
      <c r="P42" s="291"/>
      <c r="Q42" s="291"/>
      <c r="R42" s="291"/>
      <c r="S42" s="291"/>
      <c r="T42" s="291"/>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row>
    <row r="43" spans="1:65" x14ac:dyDescent="0.2">
      <c r="A43" s="94"/>
      <c r="B43" s="92" t="s">
        <v>90</v>
      </c>
      <c r="C43" s="92"/>
      <c r="D43" s="92"/>
      <c r="E43" s="91"/>
      <c r="F43" s="91"/>
      <c r="G43" s="91"/>
      <c r="H43" s="91"/>
      <c r="I43" s="91"/>
      <c r="J43" s="93"/>
      <c r="K43" s="77"/>
      <c r="L43" s="77"/>
      <c r="M43" s="291"/>
      <c r="N43" s="291"/>
      <c r="O43" s="291"/>
      <c r="P43" s="291"/>
      <c r="Q43" s="291"/>
      <c r="R43" s="291"/>
      <c r="S43" s="291"/>
      <c r="T43" s="291"/>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c r="AT43" s="77"/>
      <c r="AU43" s="77"/>
      <c r="AV43" s="77"/>
      <c r="AW43" s="77"/>
      <c r="AX43" s="77"/>
      <c r="AY43" s="77"/>
      <c r="AZ43" s="77"/>
      <c r="BA43" s="77"/>
      <c r="BB43" s="77"/>
      <c r="BC43" s="77"/>
      <c r="BD43" s="77"/>
      <c r="BE43" s="77"/>
      <c r="BF43" s="77"/>
      <c r="BG43" s="77"/>
      <c r="BH43" s="77"/>
      <c r="BI43" s="77"/>
      <c r="BJ43" s="77"/>
      <c r="BK43" s="77"/>
      <c r="BL43" s="77"/>
      <c r="BM43" s="77"/>
    </row>
    <row r="44" spans="1:65" x14ac:dyDescent="0.2">
      <c r="A44" s="78"/>
      <c r="B44" s="90"/>
      <c r="C44" s="90"/>
      <c r="D44" s="90"/>
      <c r="E44" s="75"/>
      <c r="F44" s="75"/>
      <c r="G44" s="75"/>
      <c r="H44" s="75"/>
      <c r="I44" s="75"/>
      <c r="J44" s="76"/>
      <c r="K44" s="77"/>
      <c r="L44" s="77"/>
      <c r="M44" s="89"/>
      <c r="N44" s="87"/>
      <c r="O44" s="87"/>
      <c r="P44" s="8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c r="AR44" s="77"/>
      <c r="AS44" s="77"/>
      <c r="AT44" s="77"/>
      <c r="AU44" s="77"/>
      <c r="AV44" s="77"/>
      <c r="AW44" s="77"/>
      <c r="AX44" s="77"/>
      <c r="AY44" s="77"/>
      <c r="AZ44" s="77"/>
      <c r="BA44" s="77"/>
      <c r="BB44" s="77"/>
      <c r="BC44" s="77"/>
      <c r="BD44" s="77"/>
      <c r="BE44" s="77"/>
      <c r="BF44" s="77"/>
      <c r="BG44" s="77"/>
      <c r="BH44" s="77"/>
      <c r="BI44" s="77"/>
      <c r="BJ44" s="77"/>
      <c r="BK44" s="77"/>
      <c r="BL44" s="77"/>
      <c r="BM44" s="77"/>
    </row>
    <row r="45" spans="1:65" x14ac:dyDescent="0.2">
      <c r="A45" s="91" t="s">
        <v>1</v>
      </c>
      <c r="B45" s="92" t="s">
        <v>89</v>
      </c>
      <c r="C45" s="92"/>
      <c r="D45" s="92"/>
      <c r="E45" s="91"/>
      <c r="F45" s="91"/>
      <c r="G45" s="91"/>
      <c r="H45" s="91"/>
      <c r="I45" s="91"/>
      <c r="J45" s="93"/>
      <c r="K45" s="77"/>
      <c r="L45" s="14" t="s">
        <v>115</v>
      </c>
      <c r="M45" s="89"/>
      <c r="N45" s="87"/>
      <c r="O45" s="87"/>
      <c r="P45" s="8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77"/>
      <c r="AS45" s="77"/>
      <c r="AT45" s="77"/>
      <c r="AU45" s="77"/>
      <c r="AV45" s="77"/>
      <c r="AW45" s="77"/>
      <c r="AX45" s="77"/>
      <c r="AY45" s="77"/>
      <c r="AZ45" s="77"/>
      <c r="BA45" s="77"/>
      <c r="BB45" s="77"/>
      <c r="BC45" s="77"/>
      <c r="BD45" s="77"/>
      <c r="BE45" s="77"/>
      <c r="BF45" s="77"/>
      <c r="BG45" s="77"/>
      <c r="BH45" s="77"/>
      <c r="BI45" s="77"/>
      <c r="BJ45" s="77"/>
      <c r="BK45" s="77"/>
      <c r="BL45" s="77"/>
      <c r="BM45" s="77"/>
    </row>
    <row r="46" spans="1:65" x14ac:dyDescent="0.2">
      <c r="A46" s="78"/>
      <c r="B46" s="47"/>
      <c r="C46" s="90"/>
      <c r="D46" s="90"/>
      <c r="E46" s="75"/>
      <c r="F46" s="75"/>
      <c r="G46" s="75"/>
      <c r="H46" s="75"/>
      <c r="I46" s="75"/>
      <c r="J46" s="98"/>
      <c r="K46" s="77"/>
      <c r="L46" s="14"/>
      <c r="M46" s="14" t="s">
        <v>29</v>
      </c>
      <c r="N46" s="87"/>
      <c r="O46" s="87"/>
      <c r="P46" s="8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c r="AQ46" s="77"/>
      <c r="AR46" s="77"/>
      <c r="AS46" s="77"/>
      <c r="AT46" s="77"/>
      <c r="AU46" s="77"/>
      <c r="AV46" s="77"/>
      <c r="AW46" s="77"/>
      <c r="AX46" s="77"/>
      <c r="AY46" s="77"/>
      <c r="AZ46" s="77"/>
      <c r="BA46" s="77"/>
      <c r="BB46" s="77"/>
      <c r="BC46" s="77"/>
      <c r="BD46" s="77"/>
      <c r="BE46" s="77"/>
      <c r="BF46" s="77"/>
      <c r="BG46" s="77"/>
      <c r="BH46" s="77"/>
      <c r="BI46" s="77"/>
      <c r="BJ46" s="77"/>
      <c r="BK46" s="77"/>
      <c r="BL46" s="77"/>
      <c r="BM46" s="77"/>
    </row>
    <row r="47" spans="1:65" ht="17" thickBot="1" x14ac:dyDescent="0.25">
      <c r="A47" s="78"/>
      <c r="B47" s="75"/>
      <c r="C47" s="75"/>
      <c r="D47" s="75"/>
      <c r="E47" s="75"/>
      <c r="F47" s="75"/>
      <c r="G47" s="75"/>
      <c r="H47" s="75"/>
      <c r="I47" s="75"/>
      <c r="J47" s="98"/>
      <c r="K47" s="77"/>
      <c r="L47" s="14"/>
      <c r="M47" s="291" t="s">
        <v>114</v>
      </c>
      <c r="N47" s="291"/>
      <c r="O47" s="291"/>
      <c r="P47" s="291"/>
      <c r="Q47" s="291"/>
      <c r="R47" s="291"/>
      <c r="S47" s="291"/>
      <c r="T47" s="291"/>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row>
    <row r="48" spans="1:65" ht="17" thickBot="1" x14ac:dyDescent="0.25">
      <c r="A48" s="282" t="s">
        <v>109</v>
      </c>
      <c r="B48" s="283"/>
      <c r="C48" s="283"/>
      <c r="D48" s="283"/>
      <c r="E48" s="283"/>
      <c r="F48" s="283"/>
      <c r="G48" s="283"/>
      <c r="H48" s="283"/>
      <c r="I48" s="283"/>
      <c r="J48" s="284"/>
      <c r="K48" s="77"/>
      <c r="L48" s="14"/>
      <c r="M48" s="291"/>
      <c r="N48" s="291"/>
      <c r="O48" s="291"/>
      <c r="P48" s="291"/>
      <c r="Q48" s="291"/>
      <c r="R48" s="291"/>
      <c r="S48" s="291"/>
      <c r="T48" s="291"/>
      <c r="U48" s="77"/>
      <c r="V48" s="77"/>
      <c r="W48" s="77"/>
      <c r="X48" s="77"/>
      <c r="Y48" s="77"/>
      <c r="Z48" s="77"/>
      <c r="AA48" s="77"/>
      <c r="AB48" s="77"/>
      <c r="AC48" s="77"/>
      <c r="AD48" s="77"/>
      <c r="AE48" s="77"/>
      <c r="AF48" s="77"/>
      <c r="AG48" s="77"/>
      <c r="AH48" s="77"/>
      <c r="AI48" s="77"/>
      <c r="AJ48" s="77"/>
      <c r="AK48" s="77"/>
      <c r="AL48" s="77"/>
      <c r="AM48" s="77"/>
      <c r="AN48" s="77"/>
      <c r="AO48" s="77"/>
      <c r="AP48" s="77"/>
      <c r="AQ48" s="77"/>
      <c r="AR48" s="77"/>
      <c r="AS48" s="77"/>
      <c r="AT48" s="77"/>
      <c r="AU48" s="77"/>
      <c r="AV48" s="77"/>
      <c r="AW48" s="77"/>
      <c r="AX48" s="77"/>
      <c r="AY48" s="77"/>
      <c r="AZ48" s="77"/>
      <c r="BA48" s="77"/>
      <c r="BB48" s="77"/>
      <c r="BC48" s="77"/>
      <c r="BD48" s="77"/>
      <c r="BE48" s="77"/>
      <c r="BF48" s="77"/>
      <c r="BG48" s="77"/>
      <c r="BH48" s="77"/>
      <c r="BI48" s="77"/>
      <c r="BJ48" s="77"/>
      <c r="BK48" s="77"/>
      <c r="BL48" s="77"/>
      <c r="BM48" s="77"/>
    </row>
    <row r="49" spans="1:65" x14ac:dyDescent="0.2">
      <c r="A49" s="77"/>
      <c r="B49" s="77"/>
      <c r="C49" s="77"/>
      <c r="D49" s="77"/>
      <c r="E49" s="77"/>
      <c r="F49" s="77"/>
      <c r="G49" s="77"/>
      <c r="H49" s="77"/>
      <c r="I49" s="77"/>
      <c r="J49" s="77"/>
      <c r="K49" s="77"/>
      <c r="L49" s="14"/>
      <c r="M49" s="95"/>
      <c r="N49" s="96"/>
      <c r="O49" s="96"/>
      <c r="P49" s="96"/>
      <c r="Q49" s="95"/>
      <c r="R49" s="95"/>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row>
    <row r="50" spans="1:65" ht="16" customHeight="1" x14ac:dyDescent="0.25">
      <c r="A50" s="10"/>
      <c r="B50" s="77"/>
      <c r="C50" s="77"/>
      <c r="D50" s="77"/>
      <c r="E50" s="77"/>
      <c r="F50" s="77"/>
      <c r="G50" s="77"/>
      <c r="H50" s="77"/>
      <c r="I50" s="77"/>
      <c r="J50" s="77"/>
      <c r="K50" s="77"/>
      <c r="L50" s="14"/>
      <c r="M50" s="95"/>
      <c r="N50" s="96"/>
      <c r="O50" s="96"/>
      <c r="P50" s="96"/>
      <c r="Q50" s="95"/>
      <c r="R50" s="95"/>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c r="AQ50" s="77"/>
      <c r="AR50" s="77"/>
      <c r="AS50" s="77"/>
      <c r="AT50" s="77"/>
      <c r="AU50" s="77"/>
      <c r="AV50" s="77"/>
      <c r="AW50" s="77"/>
      <c r="AX50" s="77"/>
      <c r="AY50" s="77"/>
      <c r="AZ50" s="77"/>
      <c r="BA50" s="77"/>
      <c r="BB50" s="77"/>
      <c r="BC50" s="77"/>
      <c r="BD50" s="77"/>
      <c r="BE50" s="77"/>
      <c r="BF50" s="77"/>
      <c r="BG50" s="77"/>
      <c r="BH50" s="77"/>
      <c r="BI50" s="77"/>
      <c r="BJ50" s="77"/>
      <c r="BK50" s="77"/>
      <c r="BL50" s="77"/>
      <c r="BM50" s="77"/>
    </row>
    <row r="51" spans="1:65" ht="16" customHeight="1" x14ac:dyDescent="0.2">
      <c r="K51" s="77"/>
      <c r="L51" s="14"/>
      <c r="M51" s="97"/>
      <c r="N51" s="96"/>
      <c r="O51" s="96"/>
      <c r="P51" s="96"/>
      <c r="Q51" s="95"/>
      <c r="R51" s="95"/>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c r="AX51" s="77"/>
      <c r="AY51" s="77"/>
      <c r="AZ51" s="77"/>
      <c r="BA51" s="77"/>
      <c r="BB51" s="77"/>
      <c r="BC51" s="77"/>
      <c r="BD51" s="77"/>
      <c r="BE51" s="77"/>
      <c r="BF51" s="77"/>
      <c r="BG51" s="77"/>
      <c r="BH51" s="77"/>
      <c r="BI51" s="77"/>
      <c r="BJ51" s="77"/>
      <c r="BK51" s="77"/>
      <c r="BL51" s="77"/>
      <c r="BM51" s="77"/>
    </row>
    <row r="52" spans="1:65" x14ac:dyDescent="0.2">
      <c r="K52" s="77"/>
      <c r="L52" s="14"/>
      <c r="M52" s="89"/>
      <c r="N52" s="87"/>
      <c r="O52" s="144"/>
      <c r="P52" s="144"/>
      <c r="Q52" s="144"/>
      <c r="R52" s="144"/>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row>
    <row r="53" spans="1:65" ht="17" thickBot="1" x14ac:dyDescent="0.25">
      <c r="K53" s="77"/>
      <c r="L53" s="14"/>
      <c r="M53" s="89"/>
      <c r="N53" s="87"/>
      <c r="O53" s="302" t="s">
        <v>79</v>
      </c>
      <c r="P53" s="99"/>
      <c r="Q53" s="99"/>
      <c r="R53" s="99"/>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row>
    <row r="54" spans="1:65" x14ac:dyDescent="0.2">
      <c r="K54" s="77"/>
      <c r="L54" s="14"/>
      <c r="M54" s="89"/>
      <c r="N54" s="87"/>
      <c r="O54" s="302"/>
      <c r="P54" s="293" t="s">
        <v>102</v>
      </c>
      <c r="Q54" s="293" t="s">
        <v>78</v>
      </c>
      <c r="R54" s="299" t="s">
        <v>77</v>
      </c>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row>
    <row r="55" spans="1:65" x14ac:dyDescent="0.2">
      <c r="K55" s="77"/>
      <c r="L55" s="14"/>
      <c r="M55" s="52" t="s">
        <v>19</v>
      </c>
      <c r="N55" s="79" t="s">
        <v>80</v>
      </c>
      <c r="O55" s="303"/>
      <c r="P55" s="294"/>
      <c r="Q55" s="294"/>
      <c r="R55" s="300"/>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row>
    <row r="56" spans="1:65" x14ac:dyDescent="0.2">
      <c r="K56" s="77"/>
      <c r="L56" s="14"/>
      <c r="M56" s="31">
        <v>2012</v>
      </c>
      <c r="N56" s="80">
        <f>N20</f>
        <v>60</v>
      </c>
      <c r="O56" s="30">
        <f>P4</f>
        <v>633568</v>
      </c>
      <c r="P56" s="100">
        <f>H39</f>
        <v>1</v>
      </c>
      <c r="Q56" s="101">
        <f>P56*R20/T20</f>
        <v>1</v>
      </c>
      <c r="R56" s="102">
        <f>(Q56-1)*P4</f>
        <v>0</v>
      </c>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row>
    <row r="57" spans="1:65" ht="16" customHeight="1" x14ac:dyDescent="0.2">
      <c r="K57" s="77"/>
      <c r="L57" s="14"/>
      <c r="M57" s="31">
        <v>2013</v>
      </c>
      <c r="N57" s="80">
        <f>N21</f>
        <v>48</v>
      </c>
      <c r="O57" s="30">
        <f>P5</f>
        <v>804486</v>
      </c>
      <c r="P57" s="100">
        <f>G39</f>
        <v>1.034</v>
      </c>
      <c r="Q57" s="101">
        <f>P57*R21/T21</f>
        <v>0.99252669357503809</v>
      </c>
      <c r="R57" s="102">
        <f>(Q57-1)*P5</f>
        <v>-6012.1703925919082</v>
      </c>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row>
    <row r="58" spans="1:65" x14ac:dyDescent="0.2">
      <c r="K58" s="77"/>
      <c r="L58" s="14"/>
      <c r="M58" s="31">
        <v>2014</v>
      </c>
      <c r="N58" s="80">
        <f>N22</f>
        <v>36</v>
      </c>
      <c r="O58" s="30">
        <f>P6</f>
        <v>717918</v>
      </c>
      <c r="P58" s="100">
        <f>F39</f>
        <v>1.22</v>
      </c>
      <c r="Q58" s="101">
        <f>P58*R22/T22</f>
        <v>1.1204540893964579</v>
      </c>
      <c r="R58" s="102">
        <f>(Q58-1)*P6</f>
        <v>86476.15895132623</v>
      </c>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row>
    <row r="59" spans="1:65" ht="16" customHeight="1" x14ac:dyDescent="0.2">
      <c r="K59" s="77"/>
      <c r="L59" s="14"/>
      <c r="M59" s="31">
        <v>2015</v>
      </c>
      <c r="N59" s="80">
        <f>N23</f>
        <v>24</v>
      </c>
      <c r="O59" s="30">
        <f>P7</f>
        <v>467917</v>
      </c>
      <c r="P59" s="100">
        <f>E39</f>
        <v>1.637</v>
      </c>
      <c r="Q59" s="101">
        <f>P59*R23/T23</f>
        <v>1.4340785574337811</v>
      </c>
      <c r="R59" s="102">
        <f>(Q59-1)*P7</f>
        <v>203112.73635874255</v>
      </c>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row>
    <row r="60" spans="1:65" ht="15" customHeight="1" x14ac:dyDescent="0.2">
      <c r="K60" s="77"/>
      <c r="L60" s="14"/>
      <c r="M60" s="29">
        <v>2016</v>
      </c>
      <c r="N60" s="79">
        <f>N24</f>
        <v>12</v>
      </c>
      <c r="O60" s="28">
        <f>P8</f>
        <v>261582</v>
      </c>
      <c r="P60" s="103">
        <f>D39</f>
        <v>3.3849999999999998</v>
      </c>
      <c r="Q60" s="104">
        <f>P60*R24/T24</f>
        <v>2.8206455083918782</v>
      </c>
      <c r="R60" s="105">
        <f>(Q60-1)*P8</f>
        <v>476248.09337616427</v>
      </c>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row>
    <row r="61" spans="1:65" ht="15" customHeight="1" thickBot="1" x14ac:dyDescent="0.25">
      <c r="K61" s="77"/>
      <c r="L61" s="14"/>
      <c r="M61" s="89" t="s">
        <v>59</v>
      </c>
      <c r="N61" s="87"/>
      <c r="O61" s="87">
        <f>SUM(O56:O60)</f>
        <v>2885471</v>
      </c>
      <c r="P61" s="106"/>
      <c r="Q61" s="14"/>
      <c r="R61" s="107">
        <f>SUM(R56:R60)</f>
        <v>759824.81829364109</v>
      </c>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row>
    <row r="62" spans="1:65" ht="15" customHeight="1" x14ac:dyDescent="0.2">
      <c r="K62" s="77"/>
      <c r="L62" s="14"/>
      <c r="M62" s="89"/>
      <c r="N62" s="87"/>
      <c r="O62" s="87"/>
      <c r="P62" s="8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row>
    <row r="63" spans="1:65" ht="15" customHeight="1" x14ac:dyDescent="0.2">
      <c r="K63" s="77"/>
      <c r="L63" s="77"/>
      <c r="M63" s="77"/>
      <c r="N63" s="77"/>
      <c r="O63" s="77"/>
      <c r="P63" s="77"/>
      <c r="Q63" s="77"/>
      <c r="R63" s="77"/>
      <c r="S63" s="77"/>
      <c r="T63" s="77"/>
      <c r="U63" s="108"/>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row>
    <row r="64" spans="1:65" ht="19" x14ac:dyDescent="0.25">
      <c r="L64" s="10" t="s">
        <v>42</v>
      </c>
      <c r="M64" s="77"/>
      <c r="N64" s="77"/>
      <c r="O64" s="77"/>
      <c r="P64" s="77"/>
      <c r="Q64" s="77"/>
      <c r="R64" s="77"/>
      <c r="S64" s="77"/>
      <c r="T64" s="77"/>
      <c r="U64" s="108"/>
    </row>
    <row r="65" spans="11:65" x14ac:dyDescent="0.2">
      <c r="L65" s="109" t="s">
        <v>103</v>
      </c>
      <c r="N65" s="109"/>
      <c r="O65" s="109"/>
      <c r="P65" s="109"/>
      <c r="Q65" s="109"/>
      <c r="R65" s="109"/>
      <c r="S65" s="109"/>
      <c r="T65" s="109"/>
      <c r="U65" s="110"/>
    </row>
    <row r="66" spans="11:65" x14ac:dyDescent="0.2">
      <c r="L66" s="108"/>
      <c r="M66" s="109"/>
      <c r="N66" s="109"/>
      <c r="O66" s="109"/>
      <c r="P66" s="109"/>
      <c r="Q66" s="109"/>
      <c r="R66" s="109"/>
      <c r="S66" s="109"/>
      <c r="T66" s="109"/>
      <c r="U66" s="77"/>
    </row>
    <row r="67" spans="11:65" x14ac:dyDescent="0.2">
      <c r="L67" s="287" t="s">
        <v>108</v>
      </c>
      <c r="M67" s="287"/>
      <c r="N67" s="287"/>
      <c r="O67" s="287"/>
      <c r="P67" s="287"/>
      <c r="Q67" s="287"/>
      <c r="R67" s="287"/>
      <c r="S67" s="287"/>
      <c r="T67" s="287"/>
      <c r="U67" s="77"/>
    </row>
    <row r="68" spans="11:65" x14ac:dyDescent="0.2">
      <c r="L68" s="287"/>
      <c r="M68" s="287"/>
      <c r="N68" s="287"/>
      <c r="O68" s="287"/>
      <c r="P68" s="287"/>
      <c r="Q68" s="287"/>
      <c r="R68" s="287"/>
      <c r="S68" s="287"/>
      <c r="T68" s="287"/>
      <c r="U68" s="77"/>
    </row>
    <row r="69" spans="11:65" x14ac:dyDescent="0.2">
      <c r="L69" s="287"/>
      <c r="M69" s="287"/>
      <c r="N69" s="287"/>
      <c r="O69" s="287"/>
      <c r="P69" s="287"/>
      <c r="Q69" s="287"/>
      <c r="R69" s="287"/>
      <c r="S69" s="287"/>
      <c r="T69" s="287"/>
      <c r="U69" s="77"/>
    </row>
    <row r="70" spans="11:65" x14ac:dyDescent="0.2">
      <c r="K70" s="77"/>
      <c r="L70" s="287"/>
      <c r="M70" s="287"/>
      <c r="N70" s="287"/>
      <c r="O70" s="287"/>
      <c r="P70" s="287"/>
      <c r="Q70" s="287"/>
      <c r="R70" s="287"/>
      <c r="S70" s="287"/>
      <c r="T70" s="28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77"/>
      <c r="BD70" s="77"/>
      <c r="BE70" s="77"/>
      <c r="BF70" s="77"/>
      <c r="BG70" s="77"/>
      <c r="BH70" s="77"/>
      <c r="BI70" s="77"/>
      <c r="BJ70" s="77"/>
      <c r="BK70" s="77"/>
      <c r="BL70" s="77"/>
      <c r="BM70" s="77"/>
    </row>
    <row r="71" spans="11:65" x14ac:dyDescent="0.2">
      <c r="K71" s="77"/>
      <c r="L71" s="287"/>
      <c r="M71" s="287"/>
      <c r="N71" s="287"/>
      <c r="O71" s="287"/>
      <c r="P71" s="287"/>
      <c r="Q71" s="287"/>
      <c r="R71" s="287"/>
      <c r="S71" s="287"/>
      <c r="T71" s="28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7"/>
      <c r="BL71" s="77"/>
      <c r="BM71" s="77"/>
    </row>
    <row r="72" spans="11:65" x14ac:dyDescent="0.2">
      <c r="K72" s="77"/>
      <c r="L72" s="287"/>
      <c r="M72" s="287"/>
      <c r="N72" s="287"/>
      <c r="O72" s="287"/>
      <c r="P72" s="287"/>
      <c r="Q72" s="287"/>
      <c r="R72" s="287"/>
      <c r="S72" s="287"/>
      <c r="T72" s="28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c r="BC72" s="77"/>
      <c r="BD72" s="77"/>
      <c r="BE72" s="77"/>
      <c r="BF72" s="77"/>
      <c r="BG72" s="77"/>
      <c r="BH72" s="77"/>
      <c r="BI72" s="77"/>
      <c r="BJ72" s="77"/>
      <c r="BK72" s="77"/>
      <c r="BL72" s="77"/>
      <c r="BM72" s="77"/>
    </row>
    <row r="73" spans="11:65" x14ac:dyDescent="0.2">
      <c r="K73" s="77"/>
      <c r="L73" s="287"/>
      <c r="M73" s="287"/>
      <c r="N73" s="287"/>
      <c r="O73" s="287"/>
      <c r="P73" s="287"/>
      <c r="Q73" s="287"/>
      <c r="R73" s="287"/>
      <c r="S73" s="287"/>
      <c r="T73" s="287"/>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c r="BC73" s="77"/>
      <c r="BD73" s="77"/>
      <c r="BE73" s="77"/>
      <c r="BF73" s="77"/>
      <c r="BG73" s="77"/>
      <c r="BH73" s="77"/>
      <c r="BI73" s="77"/>
      <c r="BJ73" s="77"/>
      <c r="BK73" s="77"/>
      <c r="BL73" s="77"/>
      <c r="BM73" s="77"/>
    </row>
    <row r="74" spans="11:65" x14ac:dyDescent="0.2">
      <c r="K74" s="77"/>
      <c r="L74" s="287"/>
      <c r="M74" s="287"/>
      <c r="N74" s="287"/>
      <c r="O74" s="287"/>
      <c r="P74" s="287"/>
      <c r="Q74" s="287"/>
      <c r="R74" s="287"/>
      <c r="S74" s="287"/>
      <c r="T74" s="28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c r="BC74" s="77"/>
      <c r="BD74" s="77"/>
      <c r="BE74" s="77"/>
      <c r="BF74" s="77"/>
      <c r="BG74" s="77"/>
      <c r="BH74" s="77"/>
      <c r="BI74" s="77"/>
      <c r="BJ74" s="77"/>
      <c r="BK74" s="77"/>
      <c r="BL74" s="77"/>
      <c r="BM74" s="77"/>
    </row>
    <row r="75" spans="11:65" x14ac:dyDescent="0.2">
      <c r="K75" s="77"/>
      <c r="N75" s="111"/>
      <c r="O75" s="112"/>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77"/>
      <c r="AZ75" s="77"/>
      <c r="BA75" s="77"/>
      <c r="BB75" s="77"/>
      <c r="BC75" s="77"/>
      <c r="BD75" s="77"/>
      <c r="BE75" s="77"/>
      <c r="BF75" s="77"/>
      <c r="BG75" s="77"/>
      <c r="BH75" s="77"/>
      <c r="BI75" s="77"/>
      <c r="BJ75" s="77"/>
      <c r="BK75" s="77"/>
      <c r="BL75" s="77"/>
      <c r="BM75" s="77"/>
    </row>
    <row r="76" spans="11:65" x14ac:dyDescent="0.2">
      <c r="K76" s="77"/>
      <c r="N76" s="111"/>
      <c r="O76" s="112"/>
      <c r="U76" s="77"/>
      <c r="V76" s="77"/>
      <c r="W76" s="77"/>
      <c r="X76" s="77"/>
      <c r="Y76" s="77"/>
      <c r="Z76" s="77"/>
      <c r="AA76" s="77"/>
      <c r="AB76" s="77"/>
      <c r="AC76" s="77"/>
      <c r="AD76" s="77"/>
      <c r="AE76" s="77"/>
      <c r="AF76" s="77"/>
      <c r="AG76" s="77"/>
      <c r="AH76" s="77"/>
      <c r="AI76" s="77"/>
      <c r="AJ76" s="77"/>
      <c r="AK76" s="77"/>
      <c r="AL76" s="77"/>
      <c r="AM76" s="77"/>
      <c r="AN76" s="77"/>
      <c r="AO76" s="77"/>
      <c r="AP76" s="77"/>
      <c r="AQ76" s="77"/>
      <c r="AR76" s="77"/>
      <c r="AS76" s="77"/>
      <c r="AT76" s="77"/>
      <c r="AU76" s="77"/>
      <c r="AV76" s="77"/>
      <c r="AW76" s="77"/>
      <c r="AX76" s="77"/>
      <c r="AY76" s="77"/>
      <c r="AZ76" s="77"/>
      <c r="BA76" s="77"/>
      <c r="BB76" s="77"/>
      <c r="BC76" s="77"/>
      <c r="BD76" s="77"/>
      <c r="BE76" s="77"/>
      <c r="BF76" s="77"/>
      <c r="BG76" s="77"/>
      <c r="BH76" s="77"/>
      <c r="BI76" s="77"/>
      <c r="BJ76" s="77"/>
      <c r="BK76" s="77"/>
      <c r="BL76" s="77"/>
      <c r="BM76" s="77"/>
    </row>
    <row r="77" spans="11:65" ht="19" x14ac:dyDescent="0.25">
      <c r="K77" s="77"/>
      <c r="L77" s="140" t="s">
        <v>121</v>
      </c>
      <c r="N77" s="111"/>
      <c r="O77" s="112"/>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77"/>
      <c r="AZ77" s="77"/>
      <c r="BA77" s="77"/>
      <c r="BB77" s="77"/>
      <c r="BC77" s="77"/>
      <c r="BD77" s="77"/>
      <c r="BE77" s="77"/>
      <c r="BF77" s="77"/>
      <c r="BG77" s="77"/>
      <c r="BH77" s="77"/>
      <c r="BI77" s="77"/>
      <c r="BJ77" s="77"/>
      <c r="BK77" s="77"/>
      <c r="BL77" s="77"/>
      <c r="BM77" s="77"/>
    </row>
    <row r="78" spans="11:65" x14ac:dyDescent="0.2">
      <c r="K78" s="77"/>
      <c r="L78" s="77" t="s">
        <v>124</v>
      </c>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77"/>
      <c r="BH78" s="77"/>
      <c r="BI78" s="77"/>
      <c r="BJ78" s="77"/>
      <c r="BK78" s="77"/>
      <c r="BL78" s="77"/>
      <c r="BM78" s="77"/>
    </row>
    <row r="79" spans="11:65" x14ac:dyDescent="0.2">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77"/>
      <c r="AZ79" s="77"/>
      <c r="BA79" s="77"/>
      <c r="BB79" s="77"/>
      <c r="BC79" s="77"/>
      <c r="BD79" s="77"/>
      <c r="BE79" s="77"/>
      <c r="BF79" s="77"/>
      <c r="BG79" s="77"/>
      <c r="BH79" s="77"/>
      <c r="BI79" s="77"/>
      <c r="BJ79" s="77"/>
      <c r="BK79" s="77"/>
      <c r="BL79" s="77"/>
      <c r="BM79" s="77"/>
    </row>
    <row r="80" spans="11:65" x14ac:dyDescent="0.2">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7"/>
      <c r="BI80" s="77"/>
      <c r="BJ80" s="77"/>
      <c r="BK80" s="77"/>
      <c r="BL80" s="77"/>
      <c r="BM80" s="77"/>
    </row>
    <row r="81" spans="11:65" x14ac:dyDescent="0.2">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77"/>
      <c r="AZ81" s="77"/>
      <c r="BA81" s="77"/>
      <c r="BB81" s="77"/>
      <c r="BC81" s="77"/>
      <c r="BD81" s="77"/>
      <c r="BE81" s="77"/>
      <c r="BF81" s="77"/>
      <c r="BG81" s="77"/>
      <c r="BH81" s="77"/>
      <c r="BI81" s="77"/>
      <c r="BJ81" s="77"/>
      <c r="BK81" s="77"/>
      <c r="BL81" s="77"/>
      <c r="BM81" s="77"/>
    </row>
    <row r="82" spans="11:65" x14ac:dyDescent="0.2">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77"/>
      <c r="AS82" s="77"/>
      <c r="AT82" s="77"/>
      <c r="AU82" s="77"/>
      <c r="AV82" s="77"/>
      <c r="AW82" s="77"/>
      <c r="AX82" s="77"/>
      <c r="AY82" s="77"/>
      <c r="AZ82" s="77"/>
      <c r="BA82" s="77"/>
      <c r="BB82" s="77"/>
      <c r="BC82" s="77"/>
      <c r="BD82" s="77"/>
      <c r="BE82" s="77"/>
      <c r="BF82" s="77"/>
      <c r="BG82" s="77"/>
      <c r="BH82" s="77"/>
      <c r="BI82" s="77"/>
      <c r="BJ82" s="77"/>
      <c r="BK82" s="77"/>
      <c r="BL82" s="77"/>
      <c r="BM82" s="77"/>
    </row>
    <row r="83" spans="11:65" x14ac:dyDescent="0.2">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7"/>
      <c r="AW83" s="77"/>
      <c r="AX83" s="77"/>
      <c r="AY83" s="77"/>
      <c r="AZ83" s="77"/>
      <c r="BA83" s="77"/>
      <c r="BB83" s="77"/>
      <c r="BC83" s="77"/>
      <c r="BD83" s="77"/>
      <c r="BE83" s="77"/>
      <c r="BF83" s="77"/>
      <c r="BG83" s="77"/>
      <c r="BH83" s="77"/>
      <c r="BI83" s="77"/>
      <c r="BJ83" s="77"/>
      <c r="BK83" s="77"/>
      <c r="BL83" s="77"/>
      <c r="BM83" s="77"/>
    </row>
    <row r="84" spans="11:65" x14ac:dyDescent="0.2">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c r="BC84" s="77"/>
      <c r="BD84" s="77"/>
      <c r="BE84" s="77"/>
      <c r="BF84" s="77"/>
      <c r="BG84" s="77"/>
      <c r="BH84" s="77"/>
      <c r="BI84" s="77"/>
      <c r="BJ84" s="77"/>
      <c r="BK84" s="77"/>
      <c r="BL84" s="77"/>
      <c r="BM84" s="77"/>
    </row>
    <row r="85" spans="11:65" x14ac:dyDescent="0.2">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77"/>
      <c r="BE85" s="77"/>
      <c r="BF85" s="77"/>
      <c r="BG85" s="77"/>
      <c r="BH85" s="77"/>
      <c r="BI85" s="77"/>
      <c r="BJ85" s="77"/>
      <c r="BK85" s="77"/>
      <c r="BL85" s="77"/>
      <c r="BM85" s="77"/>
    </row>
    <row r="86" spans="11:65" x14ac:dyDescent="0.2">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row>
    <row r="87" spans="11:65" x14ac:dyDescent="0.2">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77"/>
      <c r="BE87" s="77"/>
      <c r="BF87" s="77"/>
      <c r="BG87" s="77"/>
      <c r="BH87" s="77"/>
      <c r="BI87" s="77"/>
      <c r="BJ87" s="77"/>
      <c r="BK87" s="77"/>
      <c r="BL87" s="77"/>
      <c r="BM87" s="77"/>
    </row>
    <row r="88" spans="11:65" x14ac:dyDescent="0.2">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c r="BC88" s="77"/>
      <c r="BD88" s="77"/>
      <c r="BE88" s="77"/>
      <c r="BF88" s="77"/>
      <c r="BG88" s="77"/>
      <c r="BH88" s="77"/>
      <c r="BI88" s="77"/>
      <c r="BJ88" s="77"/>
      <c r="BK88" s="77"/>
      <c r="BL88" s="77"/>
      <c r="BM88" s="77"/>
    </row>
    <row r="89" spans="11:65" x14ac:dyDescent="0.2">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c r="AR89" s="77"/>
      <c r="AS89" s="77"/>
      <c r="AT89" s="77"/>
      <c r="AU89" s="77"/>
      <c r="AV89" s="77"/>
      <c r="AW89" s="77"/>
      <c r="AX89" s="77"/>
      <c r="AY89" s="77"/>
      <c r="AZ89" s="77"/>
      <c r="BA89" s="77"/>
      <c r="BB89" s="77"/>
      <c r="BC89" s="77"/>
      <c r="BD89" s="77"/>
      <c r="BE89" s="77"/>
      <c r="BF89" s="77"/>
      <c r="BG89" s="77"/>
      <c r="BH89" s="77"/>
      <c r="BI89" s="77"/>
      <c r="BJ89" s="77"/>
      <c r="BK89" s="77"/>
      <c r="BL89" s="77"/>
      <c r="BM89" s="77"/>
    </row>
    <row r="90" spans="11:65" x14ac:dyDescent="0.2">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row>
    <row r="91" spans="11:65" x14ac:dyDescent="0.2">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77"/>
      <c r="AS91" s="77"/>
      <c r="AT91" s="77"/>
      <c r="AU91" s="77"/>
      <c r="AV91" s="77"/>
      <c r="AW91" s="77"/>
      <c r="AX91" s="77"/>
      <c r="AY91" s="77"/>
      <c r="AZ91" s="77"/>
      <c r="BA91" s="77"/>
      <c r="BB91" s="77"/>
      <c r="BC91" s="77"/>
      <c r="BD91" s="77"/>
      <c r="BE91" s="77"/>
      <c r="BF91" s="77"/>
      <c r="BG91" s="77"/>
      <c r="BH91" s="77"/>
      <c r="BI91" s="77"/>
      <c r="BJ91" s="77"/>
      <c r="BK91" s="77"/>
      <c r="BL91" s="77"/>
      <c r="BM91" s="77"/>
    </row>
    <row r="92" spans="11:65" x14ac:dyDescent="0.2">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row>
    <row r="93" spans="11:65" x14ac:dyDescent="0.2">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c r="BC93" s="77"/>
      <c r="BD93" s="77"/>
      <c r="BE93" s="77"/>
      <c r="BF93" s="77"/>
      <c r="BG93" s="77"/>
      <c r="BH93" s="77"/>
      <c r="BI93" s="77"/>
      <c r="BJ93" s="77"/>
      <c r="BK93" s="77"/>
      <c r="BL93" s="77"/>
      <c r="BM93" s="77"/>
    </row>
    <row r="94" spans="11:65" x14ac:dyDescent="0.2">
      <c r="K94" s="77"/>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row>
    <row r="95" spans="11:65" x14ac:dyDescent="0.2">
      <c r="K95" s="77"/>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7"/>
      <c r="BI95" s="77"/>
      <c r="BJ95" s="77"/>
      <c r="BK95" s="77"/>
      <c r="BL95" s="77"/>
      <c r="BM95" s="77"/>
    </row>
    <row r="96" spans="11:65" x14ac:dyDescent="0.2">
      <c r="K96" s="77"/>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c r="AT96" s="77"/>
      <c r="AU96" s="77"/>
      <c r="AV96" s="77"/>
      <c r="AW96" s="77"/>
      <c r="AX96" s="77"/>
      <c r="AY96" s="77"/>
      <c r="AZ96" s="77"/>
      <c r="BA96" s="77"/>
      <c r="BB96" s="77"/>
      <c r="BC96" s="77"/>
      <c r="BD96" s="77"/>
      <c r="BE96" s="77"/>
      <c r="BF96" s="77"/>
      <c r="BG96" s="77"/>
      <c r="BH96" s="77"/>
      <c r="BI96" s="77"/>
      <c r="BJ96" s="77"/>
      <c r="BK96" s="77"/>
      <c r="BL96" s="77"/>
      <c r="BM96" s="77"/>
    </row>
    <row r="97" spans="1:65" x14ac:dyDescent="0.2">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77"/>
      <c r="BD97" s="77"/>
      <c r="BE97" s="77"/>
      <c r="BF97" s="77"/>
      <c r="BG97" s="77"/>
      <c r="BH97" s="77"/>
      <c r="BI97" s="77"/>
      <c r="BJ97" s="77"/>
      <c r="BK97" s="77"/>
      <c r="BL97" s="77"/>
      <c r="BM97" s="77"/>
    </row>
    <row r="98" spans="1:65" x14ac:dyDescent="0.2">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77"/>
      <c r="AZ98" s="77"/>
      <c r="BA98" s="77"/>
      <c r="BB98" s="77"/>
      <c r="BC98" s="77"/>
      <c r="BD98" s="77"/>
      <c r="BE98" s="77"/>
      <c r="BF98" s="77"/>
      <c r="BG98" s="77"/>
      <c r="BH98" s="77"/>
      <c r="BI98" s="77"/>
      <c r="BJ98" s="77"/>
      <c r="BK98" s="77"/>
      <c r="BL98" s="77"/>
      <c r="BM98" s="77"/>
    </row>
    <row r="99" spans="1:65" x14ac:dyDescent="0.2">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c r="BC99" s="77"/>
      <c r="BD99" s="77"/>
      <c r="BE99" s="77"/>
      <c r="BF99" s="77"/>
      <c r="BG99" s="77"/>
      <c r="BH99" s="77"/>
      <c r="BI99" s="77"/>
      <c r="BJ99" s="77"/>
      <c r="BK99" s="77"/>
      <c r="BL99" s="77"/>
      <c r="BM99" s="77"/>
    </row>
    <row r="100" spans="1:65" x14ac:dyDescent="0.2">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7"/>
      <c r="BI100" s="77"/>
      <c r="BJ100" s="77"/>
      <c r="BK100" s="77"/>
      <c r="BL100" s="77"/>
      <c r="BM100" s="77"/>
    </row>
    <row r="101" spans="1:65" x14ac:dyDescent="0.2">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c r="BH101" s="77"/>
      <c r="BI101" s="77"/>
      <c r="BJ101" s="77"/>
      <c r="BK101" s="77"/>
      <c r="BL101" s="77"/>
      <c r="BM101" s="77"/>
    </row>
    <row r="102" spans="1:65" x14ac:dyDescent="0.2">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c r="BH102" s="77"/>
      <c r="BI102" s="77"/>
      <c r="BJ102" s="77"/>
      <c r="BK102" s="77"/>
      <c r="BL102" s="77"/>
      <c r="BM102" s="77"/>
    </row>
    <row r="103" spans="1:65" x14ac:dyDescent="0.2">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c r="BH103" s="77"/>
      <c r="BI103" s="77"/>
      <c r="BJ103" s="77"/>
      <c r="BK103" s="77"/>
      <c r="BL103" s="77"/>
      <c r="BM103" s="77"/>
    </row>
    <row r="104" spans="1:65" x14ac:dyDescent="0.2">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c r="BH104" s="77"/>
      <c r="BI104" s="77"/>
      <c r="BJ104" s="77"/>
      <c r="BK104" s="77"/>
      <c r="BL104" s="77"/>
      <c r="BM104" s="77"/>
    </row>
    <row r="105" spans="1:65" x14ac:dyDescent="0.2">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c r="BH105" s="77"/>
      <c r="BI105" s="77"/>
      <c r="BJ105" s="77"/>
      <c r="BK105" s="77"/>
      <c r="BL105" s="77"/>
      <c r="BM105" s="77"/>
    </row>
    <row r="106" spans="1:65" x14ac:dyDescent="0.2">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c r="BH106" s="77"/>
      <c r="BI106" s="77"/>
      <c r="BJ106" s="77"/>
      <c r="BK106" s="77"/>
      <c r="BL106" s="77"/>
      <c r="BM106" s="77"/>
    </row>
    <row r="107" spans="1:65" x14ac:dyDescent="0.2">
      <c r="K107" s="108"/>
      <c r="L107" s="77"/>
      <c r="M107" s="77"/>
      <c r="N107" s="77"/>
      <c r="O107" s="77"/>
      <c r="P107" s="77"/>
      <c r="Q107" s="77"/>
      <c r="R107" s="77"/>
      <c r="S107" s="77"/>
      <c r="T107" s="77"/>
      <c r="U107" s="77"/>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8"/>
      <c r="BL107" s="108"/>
      <c r="BM107" s="108"/>
    </row>
    <row r="108" spans="1:65" x14ac:dyDescent="0.2">
      <c r="A108" s="108"/>
      <c r="B108" s="77"/>
      <c r="C108" s="77"/>
      <c r="D108" s="77"/>
      <c r="E108" s="77"/>
      <c r="F108" s="77"/>
      <c r="G108" s="77"/>
      <c r="H108" s="108"/>
      <c r="I108" s="108"/>
      <c r="J108" s="108"/>
      <c r="K108" s="108"/>
      <c r="L108" s="77"/>
      <c r="M108" s="77"/>
      <c r="N108" s="77"/>
      <c r="O108" s="77"/>
      <c r="P108" s="77"/>
      <c r="Q108" s="77"/>
      <c r="R108" s="77"/>
      <c r="S108" s="77"/>
      <c r="T108" s="77"/>
      <c r="U108" s="77"/>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row>
    <row r="109" spans="1:65" x14ac:dyDescent="0.2">
      <c r="A109" s="108"/>
      <c r="B109" s="77"/>
      <c r="C109" s="77"/>
      <c r="D109" s="77"/>
      <c r="E109" s="77"/>
      <c r="F109" s="77"/>
      <c r="G109" s="77"/>
      <c r="H109" s="108"/>
      <c r="I109" s="108"/>
      <c r="J109" s="108"/>
      <c r="K109" s="108"/>
      <c r="L109" s="77"/>
      <c r="M109" s="77"/>
      <c r="N109" s="77"/>
      <c r="O109" s="77"/>
      <c r="P109" s="77"/>
      <c r="Q109" s="77"/>
      <c r="R109" s="77"/>
      <c r="S109" s="77"/>
      <c r="T109" s="77"/>
      <c r="U109" s="77"/>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8"/>
      <c r="BL109" s="108"/>
      <c r="BM109" s="108"/>
    </row>
    <row r="110" spans="1:65" x14ac:dyDescent="0.2">
      <c r="A110" s="108"/>
      <c r="B110" s="77"/>
      <c r="C110" s="77"/>
      <c r="D110" s="77"/>
      <c r="E110" s="77"/>
      <c r="F110" s="77"/>
      <c r="G110" s="77"/>
      <c r="H110" s="108"/>
      <c r="I110" s="108"/>
      <c r="J110" s="108"/>
      <c r="K110" s="108"/>
      <c r="L110" s="77"/>
      <c r="M110" s="77"/>
      <c r="N110" s="77"/>
      <c r="O110" s="77"/>
      <c r="P110" s="77"/>
      <c r="Q110" s="77"/>
      <c r="R110" s="77"/>
      <c r="S110" s="77"/>
      <c r="T110" s="77"/>
      <c r="U110" s="77"/>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8"/>
      <c r="BL110" s="108"/>
      <c r="BM110" s="108"/>
    </row>
    <row r="111" spans="1:65" x14ac:dyDescent="0.2">
      <c r="A111" s="108"/>
      <c r="B111" s="77"/>
      <c r="C111" s="77"/>
      <c r="D111" s="77"/>
      <c r="E111" s="77"/>
      <c r="F111" s="77"/>
      <c r="G111" s="77"/>
      <c r="H111" s="108"/>
      <c r="I111" s="108"/>
      <c r="J111" s="108"/>
      <c r="K111" s="108"/>
      <c r="L111" s="77"/>
      <c r="M111" s="77"/>
      <c r="N111" s="77"/>
      <c r="O111" s="77"/>
      <c r="P111" s="77"/>
      <c r="Q111" s="77"/>
      <c r="R111" s="77"/>
      <c r="S111" s="77"/>
      <c r="T111" s="77"/>
      <c r="U111" s="77"/>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8"/>
    </row>
    <row r="112" spans="1:65" x14ac:dyDescent="0.2">
      <c r="A112" s="108"/>
      <c r="B112" s="77"/>
      <c r="C112" s="77"/>
      <c r="D112" s="77"/>
      <c r="E112" s="77"/>
      <c r="F112" s="77"/>
      <c r="G112" s="77"/>
      <c r="H112" s="108"/>
      <c r="I112" s="108"/>
      <c r="J112" s="108"/>
      <c r="K112" s="108"/>
      <c r="L112" s="77"/>
      <c r="M112" s="77"/>
      <c r="N112" s="77"/>
      <c r="O112" s="77"/>
      <c r="P112" s="77"/>
      <c r="Q112" s="77"/>
      <c r="R112" s="77"/>
      <c r="S112" s="77"/>
      <c r="T112" s="77"/>
      <c r="U112" s="77"/>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c r="BL112" s="108"/>
      <c r="BM112" s="108"/>
    </row>
    <row r="113" spans="1:65" x14ac:dyDescent="0.2">
      <c r="A113" s="108"/>
      <c r="B113" s="108"/>
      <c r="C113" s="108"/>
      <c r="D113" s="108"/>
      <c r="E113" s="108"/>
      <c r="F113" s="108"/>
      <c r="G113" s="108"/>
      <c r="H113" s="108"/>
      <c r="I113" s="108"/>
      <c r="J113" s="108"/>
      <c r="K113" s="108"/>
      <c r="L113" s="108"/>
      <c r="M113" s="108"/>
      <c r="N113" s="108"/>
      <c r="O113" s="77"/>
      <c r="P113" s="77"/>
      <c r="Q113" s="77"/>
      <c r="R113" s="77"/>
      <c r="S113" s="77"/>
      <c r="T113" s="77"/>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row>
    <row r="114" spans="1:65" x14ac:dyDescent="0.2">
      <c r="A114" s="108"/>
      <c r="B114" s="108"/>
      <c r="C114" s="108"/>
      <c r="D114" s="108"/>
      <c r="E114" s="108"/>
      <c r="F114" s="108"/>
      <c r="G114" s="108"/>
      <c r="H114" s="108"/>
      <c r="I114" s="108"/>
      <c r="J114" s="108"/>
      <c r="K114" s="108"/>
      <c r="L114" s="77"/>
      <c r="M114" s="113"/>
      <c r="N114" s="77"/>
      <c r="O114" s="77"/>
      <c r="P114" s="77"/>
      <c r="Q114" s="77"/>
      <c r="R114" s="77"/>
      <c r="S114" s="77"/>
      <c r="T114" s="77"/>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8"/>
    </row>
    <row r="115" spans="1:65" x14ac:dyDescent="0.2">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row>
    <row r="116" spans="1:65" x14ac:dyDescent="0.2">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8"/>
      <c r="BL116" s="108"/>
      <c r="BM116" s="108"/>
    </row>
    <row r="117" spans="1:65" x14ac:dyDescent="0.2">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8"/>
      <c r="BL117" s="108"/>
      <c r="BM117" s="108"/>
    </row>
    <row r="118" spans="1:65" x14ac:dyDescent="0.2">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c r="BG118" s="108"/>
      <c r="BH118" s="108"/>
      <c r="BI118" s="108"/>
      <c r="BJ118" s="108"/>
      <c r="BK118" s="108"/>
      <c r="BL118" s="108"/>
      <c r="BM118" s="108"/>
    </row>
    <row r="119" spans="1:65" x14ac:dyDescent="0.2">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8"/>
      <c r="BL119" s="108"/>
      <c r="BM119" s="108"/>
    </row>
    <row r="120" spans="1:65" x14ac:dyDescent="0.2">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c r="BH120" s="108"/>
      <c r="BI120" s="108"/>
      <c r="BJ120" s="108"/>
      <c r="BK120" s="108"/>
      <c r="BL120" s="108"/>
      <c r="BM120" s="108"/>
    </row>
    <row r="121" spans="1:65" x14ac:dyDescent="0.2">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108"/>
      <c r="AY121" s="108"/>
      <c r="AZ121" s="108"/>
      <c r="BA121" s="108"/>
      <c r="BB121" s="108"/>
      <c r="BC121" s="108"/>
      <c r="BD121" s="108"/>
      <c r="BE121" s="108"/>
      <c r="BF121" s="108"/>
      <c r="BG121" s="108"/>
      <c r="BH121" s="108"/>
      <c r="BI121" s="108"/>
      <c r="BJ121" s="108"/>
      <c r="BK121" s="108"/>
      <c r="BL121" s="108"/>
      <c r="BM121" s="108"/>
    </row>
    <row r="122" spans="1:65" x14ac:dyDescent="0.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108"/>
      <c r="AY122" s="108"/>
      <c r="AZ122" s="108"/>
      <c r="BA122" s="108"/>
      <c r="BB122" s="108"/>
      <c r="BC122" s="108"/>
      <c r="BD122" s="108"/>
      <c r="BE122" s="108"/>
      <c r="BF122" s="108"/>
      <c r="BG122" s="108"/>
      <c r="BH122" s="108"/>
      <c r="BI122" s="108"/>
      <c r="BJ122" s="108"/>
      <c r="BK122" s="108"/>
      <c r="BL122" s="108"/>
      <c r="BM122" s="108"/>
    </row>
    <row r="123" spans="1:65" x14ac:dyDescent="0.2">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c r="BG123" s="108"/>
      <c r="BH123" s="108"/>
      <c r="BI123" s="108"/>
      <c r="BJ123" s="108"/>
      <c r="BK123" s="108"/>
      <c r="BL123" s="108"/>
      <c r="BM123" s="108"/>
    </row>
    <row r="124" spans="1:65" x14ac:dyDescent="0.2">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c r="BL124" s="108"/>
      <c r="BM124" s="108"/>
    </row>
    <row r="125" spans="1:65" x14ac:dyDescent="0.2">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8"/>
      <c r="BL125" s="108"/>
      <c r="BM125" s="108"/>
    </row>
    <row r="126" spans="1:65" x14ac:dyDescent="0.2">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8"/>
      <c r="BL126" s="108"/>
      <c r="BM126" s="108"/>
    </row>
    <row r="127" spans="1:65" x14ac:dyDescent="0.2">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c r="BG127" s="108"/>
      <c r="BH127" s="108"/>
      <c r="BI127" s="108"/>
      <c r="BJ127" s="108"/>
      <c r="BK127" s="108"/>
      <c r="BL127" s="108"/>
      <c r="BM127" s="108"/>
    </row>
    <row r="128" spans="1:65" x14ac:dyDescent="0.2">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c r="BG128" s="108"/>
      <c r="BH128" s="108"/>
      <c r="BI128" s="108"/>
      <c r="BJ128" s="108"/>
      <c r="BK128" s="108"/>
      <c r="BL128" s="108"/>
      <c r="BM128" s="108"/>
    </row>
    <row r="129" spans="1:65" x14ac:dyDescent="0.2">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c r="BL129" s="108"/>
      <c r="BM129" s="108"/>
    </row>
    <row r="130" spans="1:65" x14ac:dyDescent="0.2">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c r="BH130" s="108"/>
      <c r="BI130" s="108"/>
      <c r="BJ130" s="108"/>
      <c r="BK130" s="108"/>
      <c r="BL130" s="108"/>
      <c r="BM130" s="108"/>
    </row>
    <row r="131" spans="1:65" x14ac:dyDescent="0.2">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c r="BH131" s="108"/>
      <c r="BI131" s="108"/>
      <c r="BJ131" s="108"/>
      <c r="BK131" s="108"/>
      <c r="BL131" s="108"/>
      <c r="BM131" s="108"/>
    </row>
    <row r="132" spans="1:65" x14ac:dyDescent="0.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c r="BH132" s="108"/>
      <c r="BI132" s="108"/>
      <c r="BJ132" s="108"/>
      <c r="BK132" s="108"/>
      <c r="BL132" s="108"/>
      <c r="BM132" s="108"/>
    </row>
    <row r="133" spans="1:65" x14ac:dyDescent="0.2">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c r="AX133" s="108"/>
      <c r="AY133" s="108"/>
      <c r="AZ133" s="108"/>
      <c r="BA133" s="108"/>
      <c r="BB133" s="108"/>
      <c r="BC133" s="108"/>
      <c r="BD133" s="108"/>
      <c r="BE133" s="108"/>
      <c r="BF133" s="108"/>
      <c r="BG133" s="108"/>
      <c r="BH133" s="108"/>
      <c r="BI133" s="108"/>
      <c r="BJ133" s="108"/>
      <c r="BK133" s="108"/>
      <c r="BL133" s="108"/>
      <c r="BM133" s="108"/>
    </row>
    <row r="134" spans="1:65" x14ac:dyDescent="0.2">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8"/>
      <c r="BL134" s="108"/>
      <c r="BM134" s="108"/>
    </row>
    <row r="135" spans="1:65" x14ac:dyDescent="0.2">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c r="BH135" s="108"/>
      <c r="BI135" s="108"/>
      <c r="BJ135" s="108"/>
      <c r="BK135" s="108"/>
      <c r="BL135" s="108"/>
      <c r="BM135" s="108"/>
    </row>
    <row r="136" spans="1:65" x14ac:dyDescent="0.2">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c r="AX136" s="108"/>
      <c r="AY136" s="108"/>
      <c r="AZ136" s="108"/>
      <c r="BA136" s="108"/>
      <c r="BB136" s="108"/>
      <c r="BC136" s="108"/>
      <c r="BD136" s="108"/>
      <c r="BE136" s="108"/>
      <c r="BF136" s="108"/>
      <c r="BG136" s="108"/>
      <c r="BH136" s="108"/>
      <c r="BI136" s="108"/>
      <c r="BJ136" s="108"/>
      <c r="BK136" s="108"/>
      <c r="BL136" s="108"/>
      <c r="BM136" s="108"/>
    </row>
    <row r="137" spans="1:65" x14ac:dyDescent="0.2">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c r="AX137" s="108"/>
      <c r="AY137" s="108"/>
      <c r="AZ137" s="108"/>
      <c r="BA137" s="108"/>
      <c r="BB137" s="108"/>
      <c r="BC137" s="108"/>
      <c r="BD137" s="108"/>
      <c r="BE137" s="108"/>
      <c r="BF137" s="108"/>
      <c r="BG137" s="108"/>
      <c r="BH137" s="108"/>
      <c r="BI137" s="108"/>
      <c r="BJ137" s="108"/>
      <c r="BK137" s="108"/>
      <c r="BL137" s="108"/>
      <c r="BM137" s="108"/>
    </row>
    <row r="138" spans="1:65" x14ac:dyDescent="0.2">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c r="BG138" s="108"/>
      <c r="BH138" s="108"/>
      <c r="BI138" s="108"/>
      <c r="BJ138" s="108"/>
      <c r="BK138" s="108"/>
      <c r="BL138" s="108"/>
      <c r="BM138" s="108"/>
    </row>
    <row r="139" spans="1:65" x14ac:dyDescent="0.2">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c r="AX139" s="108"/>
      <c r="AY139" s="108"/>
      <c r="AZ139" s="108"/>
      <c r="BA139" s="108"/>
      <c r="BB139" s="108"/>
      <c r="BC139" s="108"/>
      <c r="BD139" s="108"/>
      <c r="BE139" s="108"/>
      <c r="BF139" s="108"/>
      <c r="BG139" s="108"/>
      <c r="BH139" s="108"/>
      <c r="BI139" s="108"/>
      <c r="BJ139" s="108"/>
      <c r="BK139" s="108"/>
      <c r="BL139" s="108"/>
      <c r="BM139" s="108"/>
    </row>
    <row r="140" spans="1:65" x14ac:dyDescent="0.2">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108"/>
      <c r="AY140" s="108"/>
      <c r="AZ140" s="108"/>
      <c r="BA140" s="108"/>
      <c r="BB140" s="108"/>
      <c r="BC140" s="108"/>
      <c r="BD140" s="108"/>
      <c r="BE140" s="108"/>
      <c r="BF140" s="108"/>
      <c r="BG140" s="108"/>
      <c r="BH140" s="108"/>
      <c r="BI140" s="108"/>
      <c r="BJ140" s="108"/>
      <c r="BK140" s="108"/>
      <c r="BL140" s="108"/>
      <c r="BM140" s="108"/>
    </row>
    <row r="141" spans="1:65" x14ac:dyDescent="0.2">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c r="AX141" s="108"/>
      <c r="AY141" s="108"/>
      <c r="AZ141" s="108"/>
      <c r="BA141" s="108"/>
      <c r="BB141" s="108"/>
      <c r="BC141" s="108"/>
      <c r="BD141" s="108"/>
      <c r="BE141" s="108"/>
      <c r="BF141" s="108"/>
      <c r="BG141" s="108"/>
      <c r="BH141" s="108"/>
      <c r="BI141" s="108"/>
      <c r="BJ141" s="108"/>
      <c r="BK141" s="108"/>
      <c r="BL141" s="108"/>
      <c r="BM141" s="108"/>
    </row>
    <row r="142" spans="1:65" x14ac:dyDescent="0.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c r="AX142" s="108"/>
      <c r="AY142" s="108"/>
      <c r="AZ142" s="108"/>
      <c r="BA142" s="108"/>
      <c r="BB142" s="108"/>
      <c r="BC142" s="108"/>
      <c r="BD142" s="108"/>
      <c r="BE142" s="108"/>
      <c r="BF142" s="108"/>
      <c r="BG142" s="108"/>
      <c r="BH142" s="108"/>
      <c r="BI142" s="108"/>
      <c r="BJ142" s="108"/>
      <c r="BK142" s="108"/>
      <c r="BL142" s="108"/>
      <c r="BM142" s="108"/>
    </row>
    <row r="143" spans="1:65" x14ac:dyDescent="0.2">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c r="AX143" s="108"/>
      <c r="AY143" s="108"/>
      <c r="AZ143" s="108"/>
      <c r="BA143" s="108"/>
      <c r="BB143" s="108"/>
      <c r="BC143" s="108"/>
      <c r="BD143" s="108"/>
      <c r="BE143" s="108"/>
      <c r="BF143" s="108"/>
      <c r="BG143" s="108"/>
      <c r="BH143" s="108"/>
      <c r="BI143" s="108"/>
      <c r="BJ143" s="108"/>
      <c r="BK143" s="108"/>
      <c r="BL143" s="108"/>
      <c r="BM143" s="108"/>
    </row>
    <row r="144" spans="1:65" x14ac:dyDescent="0.2">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c r="AX144" s="108"/>
      <c r="AY144" s="108"/>
      <c r="AZ144" s="108"/>
      <c r="BA144" s="108"/>
      <c r="BB144" s="108"/>
      <c r="BC144" s="108"/>
      <c r="BD144" s="108"/>
      <c r="BE144" s="108"/>
      <c r="BF144" s="108"/>
      <c r="BG144" s="108"/>
      <c r="BH144" s="108"/>
      <c r="BI144" s="108"/>
      <c r="BJ144" s="108"/>
      <c r="BK144" s="108"/>
      <c r="BL144" s="108"/>
      <c r="BM144" s="108"/>
    </row>
    <row r="145" spans="1:65" x14ac:dyDescent="0.2">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c r="AX145" s="108"/>
      <c r="AY145" s="108"/>
      <c r="AZ145" s="108"/>
      <c r="BA145" s="108"/>
      <c r="BB145" s="108"/>
      <c r="BC145" s="108"/>
      <c r="BD145" s="108"/>
      <c r="BE145" s="108"/>
      <c r="BF145" s="108"/>
      <c r="BG145" s="108"/>
      <c r="BH145" s="108"/>
      <c r="BI145" s="108"/>
      <c r="BJ145" s="108"/>
      <c r="BK145" s="108"/>
      <c r="BL145" s="108"/>
      <c r="BM145" s="108"/>
    </row>
    <row r="146" spans="1:65" x14ac:dyDescent="0.2">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8"/>
      <c r="AM146" s="108"/>
      <c r="AN146" s="108"/>
      <c r="AO146" s="108"/>
      <c r="AP146" s="108"/>
      <c r="AQ146" s="108"/>
      <c r="AR146" s="108"/>
      <c r="AS146" s="108"/>
      <c r="AT146" s="108"/>
      <c r="AU146" s="108"/>
      <c r="AV146" s="108"/>
      <c r="AW146" s="108"/>
      <c r="AX146" s="108"/>
      <c r="AY146" s="108"/>
      <c r="AZ146" s="108"/>
      <c r="BA146" s="108"/>
      <c r="BB146" s="108"/>
      <c r="BC146" s="108"/>
      <c r="BD146" s="108"/>
      <c r="BE146" s="108"/>
      <c r="BF146" s="108"/>
      <c r="BG146" s="108"/>
      <c r="BH146" s="108"/>
      <c r="BI146" s="108"/>
      <c r="BJ146" s="108"/>
      <c r="BK146" s="108"/>
      <c r="BL146" s="108"/>
      <c r="BM146" s="108"/>
    </row>
    <row r="147" spans="1:65" x14ac:dyDescent="0.2">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c r="AX147" s="108"/>
      <c r="AY147" s="108"/>
      <c r="AZ147" s="108"/>
      <c r="BA147" s="108"/>
      <c r="BB147" s="108"/>
      <c r="BC147" s="108"/>
      <c r="BD147" s="108"/>
      <c r="BE147" s="108"/>
      <c r="BF147" s="108"/>
      <c r="BG147" s="108"/>
      <c r="BH147" s="108"/>
      <c r="BI147" s="108"/>
      <c r="BJ147" s="108"/>
      <c r="BK147" s="108"/>
      <c r="BL147" s="108"/>
      <c r="BM147" s="108"/>
    </row>
    <row r="148" spans="1:65" x14ac:dyDescent="0.2">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c r="BG148" s="108"/>
      <c r="BH148" s="108"/>
      <c r="BI148" s="108"/>
      <c r="BJ148" s="108"/>
      <c r="BK148" s="108"/>
      <c r="BL148" s="108"/>
      <c r="BM148" s="108"/>
    </row>
    <row r="149" spans="1:65" x14ac:dyDescent="0.2">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c r="AC149" s="108"/>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c r="BG149" s="108"/>
      <c r="BH149" s="108"/>
      <c r="BI149" s="108"/>
      <c r="BJ149" s="108"/>
      <c r="BK149" s="108"/>
      <c r="BL149" s="108"/>
      <c r="BM149" s="108"/>
    </row>
    <row r="150" spans="1:65" x14ac:dyDescent="0.2">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c r="AX150" s="108"/>
      <c r="AY150" s="108"/>
      <c r="AZ150" s="108"/>
      <c r="BA150" s="108"/>
      <c r="BB150" s="108"/>
      <c r="BC150" s="108"/>
      <c r="BD150" s="108"/>
      <c r="BE150" s="108"/>
      <c r="BF150" s="108"/>
      <c r="BG150" s="108"/>
      <c r="BH150" s="108"/>
      <c r="BI150" s="108"/>
      <c r="BJ150" s="108"/>
      <c r="BK150" s="108"/>
      <c r="BL150" s="108"/>
      <c r="BM150" s="108"/>
    </row>
    <row r="151" spans="1:65" x14ac:dyDescent="0.2">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c r="AH151" s="108"/>
      <c r="AI151" s="108"/>
      <c r="AJ151" s="108"/>
      <c r="AK151" s="108"/>
      <c r="AL151" s="108"/>
      <c r="AM151" s="108"/>
      <c r="AN151" s="108"/>
      <c r="AO151" s="108"/>
      <c r="AP151" s="108"/>
      <c r="AQ151" s="108"/>
      <c r="AR151" s="108"/>
      <c r="AS151" s="108"/>
      <c r="AT151" s="108"/>
      <c r="AU151" s="108"/>
      <c r="AV151" s="108"/>
      <c r="AW151" s="108"/>
      <c r="AX151" s="108"/>
      <c r="AY151" s="108"/>
      <c r="AZ151" s="108"/>
      <c r="BA151" s="108"/>
      <c r="BB151" s="108"/>
      <c r="BC151" s="108"/>
      <c r="BD151" s="108"/>
      <c r="BE151" s="108"/>
      <c r="BF151" s="108"/>
      <c r="BG151" s="108"/>
      <c r="BH151" s="108"/>
      <c r="BI151" s="108"/>
      <c r="BJ151" s="108"/>
      <c r="BK151" s="108"/>
      <c r="BL151" s="108"/>
      <c r="BM151" s="108"/>
    </row>
    <row r="152" spans="1:65" x14ac:dyDescent="0.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108"/>
      <c r="AM152" s="108"/>
      <c r="AN152" s="108"/>
      <c r="AO152" s="108"/>
      <c r="AP152" s="108"/>
      <c r="AQ152" s="108"/>
      <c r="AR152" s="108"/>
      <c r="AS152" s="108"/>
      <c r="AT152" s="108"/>
      <c r="AU152" s="108"/>
      <c r="AV152" s="108"/>
      <c r="AW152" s="108"/>
      <c r="AX152" s="108"/>
      <c r="AY152" s="108"/>
      <c r="AZ152" s="108"/>
      <c r="BA152" s="108"/>
      <c r="BB152" s="108"/>
      <c r="BC152" s="108"/>
      <c r="BD152" s="108"/>
      <c r="BE152" s="108"/>
      <c r="BF152" s="108"/>
      <c r="BG152" s="108"/>
      <c r="BH152" s="108"/>
      <c r="BI152" s="108"/>
      <c r="BJ152" s="108"/>
      <c r="BK152" s="108"/>
      <c r="BL152" s="108"/>
      <c r="BM152" s="108"/>
    </row>
    <row r="153" spans="1:65" x14ac:dyDescent="0.2">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c r="BG153" s="108"/>
      <c r="BH153" s="108"/>
      <c r="BI153" s="108"/>
      <c r="BJ153" s="108"/>
      <c r="BK153" s="108"/>
      <c r="BL153" s="108"/>
      <c r="BM153" s="108"/>
    </row>
    <row r="154" spans="1:65" x14ac:dyDescent="0.2">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c r="BG154" s="108"/>
      <c r="BH154" s="108"/>
      <c r="BI154" s="108"/>
      <c r="BJ154" s="108"/>
      <c r="BK154" s="108"/>
      <c r="BL154" s="108"/>
      <c r="BM154" s="108"/>
    </row>
    <row r="155" spans="1:65" x14ac:dyDescent="0.2">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c r="AX155" s="108"/>
      <c r="AY155" s="108"/>
      <c r="AZ155" s="108"/>
      <c r="BA155" s="108"/>
      <c r="BB155" s="108"/>
      <c r="BC155" s="108"/>
      <c r="BD155" s="108"/>
      <c r="BE155" s="108"/>
      <c r="BF155" s="108"/>
      <c r="BG155" s="108"/>
      <c r="BH155" s="108"/>
      <c r="BI155" s="108"/>
      <c r="BJ155" s="108"/>
      <c r="BK155" s="108"/>
      <c r="BL155" s="108"/>
      <c r="BM155" s="108"/>
    </row>
    <row r="156" spans="1:65" x14ac:dyDescent="0.2">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c r="AX156" s="108"/>
      <c r="AY156" s="108"/>
      <c r="AZ156" s="108"/>
      <c r="BA156" s="108"/>
      <c r="BB156" s="108"/>
      <c r="BC156" s="108"/>
      <c r="BD156" s="108"/>
      <c r="BE156" s="108"/>
      <c r="BF156" s="108"/>
      <c r="BG156" s="108"/>
      <c r="BH156" s="108"/>
      <c r="BI156" s="108"/>
      <c r="BJ156" s="108"/>
      <c r="BK156" s="108"/>
      <c r="BL156" s="108"/>
      <c r="BM156" s="108"/>
    </row>
    <row r="157" spans="1:65" x14ac:dyDescent="0.2">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c r="BG157" s="108"/>
      <c r="BH157" s="108"/>
      <c r="BI157" s="108"/>
      <c r="BJ157" s="108"/>
      <c r="BK157" s="108"/>
      <c r="BL157" s="108"/>
      <c r="BM157" s="108"/>
    </row>
    <row r="158" spans="1:65" x14ac:dyDescent="0.2">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c r="BG158" s="108"/>
      <c r="BH158" s="108"/>
      <c r="BI158" s="108"/>
      <c r="BJ158" s="108"/>
      <c r="BK158" s="108"/>
      <c r="BL158" s="108"/>
      <c r="BM158" s="108"/>
    </row>
    <row r="159" spans="1:65" x14ac:dyDescent="0.2">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c r="BH159" s="108"/>
      <c r="BI159" s="108"/>
      <c r="BJ159" s="108"/>
      <c r="BK159" s="108"/>
      <c r="BL159" s="108"/>
      <c r="BM159" s="108"/>
    </row>
    <row r="160" spans="1:65" x14ac:dyDescent="0.2">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08"/>
      <c r="BI160" s="108"/>
      <c r="BJ160" s="108"/>
      <c r="BK160" s="108"/>
      <c r="BL160" s="108"/>
      <c r="BM160" s="108"/>
    </row>
    <row r="161" spans="1:65" x14ac:dyDescent="0.2">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c r="BH161" s="108"/>
      <c r="BI161" s="108"/>
      <c r="BJ161" s="108"/>
      <c r="BK161" s="108"/>
      <c r="BL161" s="108"/>
      <c r="BM161" s="108"/>
    </row>
    <row r="162" spans="1:65" x14ac:dyDescent="0.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c r="BH162" s="108"/>
      <c r="BI162" s="108"/>
      <c r="BJ162" s="108"/>
      <c r="BK162" s="108"/>
      <c r="BL162" s="108"/>
      <c r="BM162" s="108"/>
    </row>
    <row r="163" spans="1:65" x14ac:dyDescent="0.2">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108"/>
      <c r="AY163" s="108"/>
      <c r="AZ163" s="108"/>
      <c r="BA163" s="108"/>
      <c r="BB163" s="108"/>
      <c r="BC163" s="108"/>
      <c r="BD163" s="108"/>
      <c r="BE163" s="108"/>
      <c r="BF163" s="108"/>
      <c r="BG163" s="108"/>
      <c r="BH163" s="108"/>
      <c r="BI163" s="108"/>
      <c r="BJ163" s="108"/>
      <c r="BK163" s="108"/>
      <c r="BL163" s="108"/>
      <c r="BM163" s="108"/>
    </row>
    <row r="164" spans="1:65" x14ac:dyDescent="0.2">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c r="BG164" s="108"/>
      <c r="BH164" s="108"/>
      <c r="BI164" s="108"/>
      <c r="BJ164" s="108"/>
      <c r="BK164" s="108"/>
      <c r="BL164" s="108"/>
      <c r="BM164" s="108"/>
    </row>
    <row r="165" spans="1:65" x14ac:dyDescent="0.2">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c r="BG165" s="108"/>
      <c r="BH165" s="108"/>
      <c r="BI165" s="108"/>
      <c r="BJ165" s="108"/>
      <c r="BK165" s="108"/>
      <c r="BL165" s="108"/>
      <c r="BM165" s="108"/>
    </row>
    <row r="166" spans="1:65" x14ac:dyDescent="0.2">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c r="AX166" s="108"/>
      <c r="AY166" s="108"/>
      <c r="AZ166" s="108"/>
      <c r="BA166" s="108"/>
      <c r="BB166" s="108"/>
      <c r="BC166" s="108"/>
      <c r="BD166" s="108"/>
      <c r="BE166" s="108"/>
      <c r="BF166" s="108"/>
      <c r="BG166" s="108"/>
      <c r="BH166" s="108"/>
      <c r="BI166" s="108"/>
      <c r="BJ166" s="108"/>
      <c r="BK166" s="108"/>
      <c r="BL166" s="108"/>
      <c r="BM166" s="108"/>
    </row>
    <row r="167" spans="1:65" x14ac:dyDescent="0.2">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c r="AX167" s="108"/>
      <c r="AY167" s="108"/>
      <c r="AZ167" s="108"/>
      <c r="BA167" s="108"/>
      <c r="BB167" s="108"/>
      <c r="BC167" s="108"/>
      <c r="BD167" s="108"/>
      <c r="BE167" s="108"/>
      <c r="BF167" s="108"/>
      <c r="BG167" s="108"/>
      <c r="BH167" s="108"/>
      <c r="BI167" s="108"/>
      <c r="BJ167" s="108"/>
      <c r="BK167" s="108"/>
      <c r="BL167" s="108"/>
      <c r="BM167" s="108"/>
    </row>
    <row r="168" spans="1:65" x14ac:dyDescent="0.2">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c r="AX168" s="108"/>
      <c r="AY168" s="108"/>
      <c r="AZ168" s="108"/>
      <c r="BA168" s="108"/>
      <c r="BB168" s="108"/>
      <c r="BC168" s="108"/>
      <c r="BD168" s="108"/>
      <c r="BE168" s="108"/>
      <c r="BF168" s="108"/>
      <c r="BG168" s="108"/>
      <c r="BH168" s="108"/>
      <c r="BI168" s="108"/>
      <c r="BJ168" s="108"/>
      <c r="BK168" s="108"/>
      <c r="BL168" s="108"/>
      <c r="BM168" s="108"/>
    </row>
    <row r="169" spans="1:65" x14ac:dyDescent="0.2">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108"/>
      <c r="AH169" s="108"/>
      <c r="AI169" s="108"/>
      <c r="AJ169" s="108"/>
      <c r="AK169" s="108"/>
      <c r="AL169" s="108"/>
      <c r="AM169" s="108"/>
      <c r="AN169" s="108"/>
      <c r="AO169" s="108"/>
      <c r="AP169" s="108"/>
      <c r="AQ169" s="108"/>
      <c r="AR169" s="108"/>
      <c r="AS169" s="108"/>
      <c r="AT169" s="108"/>
      <c r="AU169" s="108"/>
      <c r="AV169" s="108"/>
      <c r="AW169" s="108"/>
      <c r="AX169" s="108"/>
      <c r="AY169" s="108"/>
      <c r="AZ169" s="108"/>
      <c r="BA169" s="108"/>
      <c r="BB169" s="108"/>
      <c r="BC169" s="108"/>
      <c r="BD169" s="108"/>
      <c r="BE169" s="108"/>
      <c r="BF169" s="108"/>
      <c r="BG169" s="108"/>
      <c r="BH169" s="108"/>
      <c r="BI169" s="108"/>
      <c r="BJ169" s="108"/>
      <c r="BK169" s="108"/>
      <c r="BL169" s="108"/>
      <c r="BM169" s="108"/>
    </row>
    <row r="170" spans="1:65" x14ac:dyDescent="0.2">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c r="AX170" s="108"/>
      <c r="AY170" s="108"/>
      <c r="AZ170" s="108"/>
      <c r="BA170" s="108"/>
      <c r="BB170" s="108"/>
      <c r="BC170" s="108"/>
      <c r="BD170" s="108"/>
      <c r="BE170" s="108"/>
      <c r="BF170" s="108"/>
      <c r="BG170" s="108"/>
      <c r="BH170" s="108"/>
      <c r="BI170" s="108"/>
      <c r="BJ170" s="108"/>
      <c r="BK170" s="108"/>
      <c r="BL170" s="108"/>
      <c r="BM170" s="108"/>
    </row>
    <row r="171" spans="1:65" x14ac:dyDescent="0.2">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c r="AX171" s="108"/>
      <c r="AY171" s="108"/>
      <c r="AZ171" s="108"/>
      <c r="BA171" s="108"/>
      <c r="BB171" s="108"/>
      <c r="BC171" s="108"/>
      <c r="BD171" s="108"/>
      <c r="BE171" s="108"/>
      <c r="BF171" s="108"/>
      <c r="BG171" s="108"/>
      <c r="BH171" s="108"/>
      <c r="BI171" s="108"/>
      <c r="BJ171" s="108"/>
      <c r="BK171" s="108"/>
      <c r="BL171" s="108"/>
      <c r="BM171" s="108"/>
    </row>
    <row r="172" spans="1:65" x14ac:dyDescent="0.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108"/>
      <c r="AQ172" s="108"/>
      <c r="AR172" s="108"/>
      <c r="AS172" s="108"/>
      <c r="AT172" s="108"/>
      <c r="AU172" s="108"/>
      <c r="AV172" s="108"/>
      <c r="AW172" s="108"/>
      <c r="AX172" s="108"/>
      <c r="AY172" s="108"/>
      <c r="AZ172" s="108"/>
      <c r="BA172" s="108"/>
      <c r="BB172" s="108"/>
      <c r="BC172" s="108"/>
      <c r="BD172" s="108"/>
      <c r="BE172" s="108"/>
      <c r="BF172" s="108"/>
      <c r="BG172" s="108"/>
      <c r="BH172" s="108"/>
      <c r="BI172" s="108"/>
      <c r="BJ172" s="108"/>
      <c r="BK172" s="108"/>
      <c r="BL172" s="108"/>
      <c r="BM172" s="108"/>
    </row>
    <row r="173" spans="1:65" x14ac:dyDescent="0.2">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108"/>
      <c r="AD173" s="108"/>
      <c r="AE173" s="108"/>
      <c r="AF173" s="108"/>
      <c r="AG173" s="108"/>
      <c r="AH173" s="108"/>
      <c r="AI173" s="108"/>
      <c r="AJ173" s="108"/>
      <c r="AK173" s="108"/>
      <c r="AL173" s="108"/>
      <c r="AM173" s="108"/>
      <c r="AN173" s="108"/>
      <c r="AO173" s="108"/>
      <c r="AP173" s="108"/>
      <c r="AQ173" s="108"/>
      <c r="AR173" s="108"/>
      <c r="AS173" s="108"/>
      <c r="AT173" s="108"/>
      <c r="AU173" s="108"/>
      <c r="AV173" s="108"/>
      <c r="AW173" s="108"/>
      <c r="AX173" s="108"/>
      <c r="AY173" s="108"/>
      <c r="AZ173" s="108"/>
      <c r="BA173" s="108"/>
      <c r="BB173" s="108"/>
      <c r="BC173" s="108"/>
      <c r="BD173" s="108"/>
      <c r="BE173" s="108"/>
      <c r="BF173" s="108"/>
      <c r="BG173" s="108"/>
      <c r="BH173" s="108"/>
      <c r="BI173" s="108"/>
      <c r="BJ173" s="108"/>
      <c r="BK173" s="108"/>
      <c r="BL173" s="108"/>
      <c r="BM173" s="108"/>
    </row>
    <row r="174" spans="1:65" x14ac:dyDescent="0.2">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108"/>
      <c r="AH174" s="108"/>
      <c r="AI174" s="108"/>
      <c r="AJ174" s="108"/>
      <c r="AK174" s="108"/>
      <c r="AL174" s="108"/>
      <c r="AM174" s="108"/>
      <c r="AN174" s="108"/>
      <c r="AO174" s="108"/>
      <c r="AP174" s="108"/>
      <c r="AQ174" s="108"/>
      <c r="AR174" s="108"/>
      <c r="AS174" s="108"/>
      <c r="AT174" s="108"/>
      <c r="AU174" s="108"/>
      <c r="AV174" s="108"/>
      <c r="AW174" s="108"/>
      <c r="AX174" s="108"/>
      <c r="AY174" s="108"/>
      <c r="AZ174" s="108"/>
      <c r="BA174" s="108"/>
      <c r="BB174" s="108"/>
      <c r="BC174" s="108"/>
      <c r="BD174" s="108"/>
      <c r="BE174" s="108"/>
      <c r="BF174" s="108"/>
      <c r="BG174" s="108"/>
      <c r="BH174" s="108"/>
      <c r="BI174" s="108"/>
      <c r="BJ174" s="108"/>
      <c r="BK174" s="108"/>
      <c r="BL174" s="108"/>
      <c r="BM174" s="108"/>
    </row>
    <row r="175" spans="1:65" x14ac:dyDescent="0.2">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c r="AJ175" s="108"/>
      <c r="AK175" s="108"/>
      <c r="AL175" s="108"/>
      <c r="AM175" s="108"/>
      <c r="AN175" s="108"/>
      <c r="AO175" s="108"/>
      <c r="AP175" s="108"/>
      <c r="AQ175" s="108"/>
      <c r="AR175" s="108"/>
      <c r="AS175" s="108"/>
      <c r="AT175" s="108"/>
      <c r="AU175" s="108"/>
      <c r="AV175" s="108"/>
      <c r="AW175" s="108"/>
      <c r="AX175" s="108"/>
      <c r="AY175" s="108"/>
      <c r="AZ175" s="108"/>
      <c r="BA175" s="108"/>
      <c r="BB175" s="108"/>
      <c r="BC175" s="108"/>
      <c r="BD175" s="108"/>
      <c r="BE175" s="108"/>
      <c r="BF175" s="108"/>
      <c r="BG175" s="108"/>
      <c r="BH175" s="108"/>
      <c r="BI175" s="108"/>
      <c r="BJ175" s="108"/>
      <c r="BK175" s="108"/>
      <c r="BL175" s="108"/>
      <c r="BM175" s="108"/>
    </row>
    <row r="176" spans="1:65" x14ac:dyDescent="0.2">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108"/>
      <c r="AD176" s="108"/>
      <c r="AE176" s="108"/>
      <c r="AF176" s="108"/>
      <c r="AG176" s="108"/>
      <c r="AH176" s="108"/>
      <c r="AI176" s="108"/>
      <c r="AJ176" s="108"/>
      <c r="AK176" s="108"/>
      <c r="AL176" s="108"/>
      <c r="AM176" s="108"/>
      <c r="AN176" s="108"/>
      <c r="AO176" s="108"/>
      <c r="AP176" s="108"/>
      <c r="AQ176" s="108"/>
      <c r="AR176" s="108"/>
      <c r="AS176" s="108"/>
      <c r="AT176" s="108"/>
      <c r="AU176" s="108"/>
      <c r="AV176" s="108"/>
      <c r="AW176" s="108"/>
      <c r="AX176" s="108"/>
      <c r="AY176" s="108"/>
      <c r="AZ176" s="108"/>
      <c r="BA176" s="108"/>
      <c r="BB176" s="108"/>
      <c r="BC176" s="108"/>
      <c r="BD176" s="108"/>
      <c r="BE176" s="108"/>
      <c r="BF176" s="108"/>
      <c r="BG176" s="108"/>
      <c r="BH176" s="108"/>
      <c r="BI176" s="108"/>
      <c r="BJ176" s="108"/>
      <c r="BK176" s="108"/>
      <c r="BL176" s="108"/>
      <c r="BM176" s="108"/>
    </row>
    <row r="177" spans="1:65" x14ac:dyDescent="0.2">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c r="AX177" s="108"/>
      <c r="AY177" s="108"/>
      <c r="AZ177" s="108"/>
      <c r="BA177" s="108"/>
      <c r="BB177" s="108"/>
      <c r="BC177" s="108"/>
      <c r="BD177" s="108"/>
      <c r="BE177" s="108"/>
      <c r="BF177" s="108"/>
      <c r="BG177" s="108"/>
      <c r="BH177" s="108"/>
      <c r="BI177" s="108"/>
      <c r="BJ177" s="108"/>
      <c r="BK177" s="108"/>
      <c r="BL177" s="108"/>
      <c r="BM177" s="108"/>
    </row>
    <row r="178" spans="1:65" x14ac:dyDescent="0.2">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108"/>
      <c r="AH178" s="108"/>
      <c r="AI178" s="108"/>
      <c r="AJ178" s="108"/>
      <c r="AK178" s="108"/>
      <c r="AL178" s="108"/>
      <c r="AM178" s="108"/>
      <c r="AN178" s="108"/>
      <c r="AO178" s="108"/>
      <c r="AP178" s="108"/>
      <c r="AQ178" s="108"/>
      <c r="AR178" s="108"/>
      <c r="AS178" s="108"/>
      <c r="AT178" s="108"/>
      <c r="AU178" s="108"/>
      <c r="AV178" s="108"/>
      <c r="AW178" s="108"/>
      <c r="AX178" s="108"/>
      <c r="AY178" s="108"/>
      <c r="AZ178" s="108"/>
      <c r="BA178" s="108"/>
      <c r="BB178" s="108"/>
      <c r="BC178" s="108"/>
      <c r="BD178" s="108"/>
      <c r="BE178" s="108"/>
      <c r="BF178" s="108"/>
      <c r="BG178" s="108"/>
      <c r="BH178" s="108"/>
      <c r="BI178" s="108"/>
      <c r="BJ178" s="108"/>
      <c r="BK178" s="108"/>
      <c r="BL178" s="108"/>
      <c r="BM178" s="108"/>
    </row>
    <row r="179" spans="1:65" x14ac:dyDescent="0.2">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c r="AJ179" s="108"/>
      <c r="AK179" s="108"/>
      <c r="AL179" s="108"/>
      <c r="AM179" s="108"/>
      <c r="AN179" s="108"/>
      <c r="AO179" s="108"/>
      <c r="AP179" s="108"/>
      <c r="AQ179" s="108"/>
      <c r="AR179" s="108"/>
      <c r="AS179" s="108"/>
      <c r="AT179" s="108"/>
      <c r="AU179" s="108"/>
      <c r="AV179" s="108"/>
      <c r="AW179" s="108"/>
      <c r="AX179" s="108"/>
      <c r="AY179" s="108"/>
      <c r="AZ179" s="108"/>
      <c r="BA179" s="108"/>
      <c r="BB179" s="108"/>
      <c r="BC179" s="108"/>
      <c r="BD179" s="108"/>
      <c r="BE179" s="108"/>
      <c r="BF179" s="108"/>
      <c r="BG179" s="108"/>
      <c r="BH179" s="108"/>
      <c r="BI179" s="108"/>
      <c r="BJ179" s="108"/>
      <c r="BK179" s="108"/>
      <c r="BL179" s="108"/>
      <c r="BM179" s="108"/>
    </row>
    <row r="180" spans="1:65" x14ac:dyDescent="0.2">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108"/>
      <c r="AD180" s="108"/>
      <c r="AE180" s="108"/>
      <c r="AF180" s="108"/>
      <c r="AG180" s="108"/>
      <c r="AH180" s="108"/>
      <c r="AI180" s="108"/>
      <c r="AJ180" s="108"/>
      <c r="AK180" s="108"/>
      <c r="AL180" s="108"/>
      <c r="AM180" s="108"/>
      <c r="AN180" s="108"/>
      <c r="AO180" s="108"/>
      <c r="AP180" s="108"/>
      <c r="AQ180" s="108"/>
      <c r="AR180" s="108"/>
      <c r="AS180" s="108"/>
      <c r="AT180" s="108"/>
      <c r="AU180" s="108"/>
      <c r="AV180" s="108"/>
      <c r="AW180" s="108"/>
      <c r="AX180" s="108"/>
      <c r="AY180" s="108"/>
      <c r="AZ180" s="108"/>
      <c r="BA180" s="108"/>
      <c r="BB180" s="108"/>
      <c r="BC180" s="108"/>
      <c r="BD180" s="108"/>
      <c r="BE180" s="108"/>
      <c r="BF180" s="108"/>
      <c r="BG180" s="108"/>
      <c r="BH180" s="108"/>
      <c r="BI180" s="108"/>
      <c r="BJ180" s="108"/>
      <c r="BK180" s="108"/>
      <c r="BL180" s="108"/>
      <c r="BM180" s="108"/>
    </row>
    <row r="181" spans="1:65" x14ac:dyDescent="0.2">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c r="AJ181" s="108"/>
      <c r="AK181" s="108"/>
      <c r="AL181" s="108"/>
      <c r="AM181" s="108"/>
      <c r="AN181" s="108"/>
      <c r="AO181" s="108"/>
      <c r="AP181" s="108"/>
      <c r="AQ181" s="108"/>
      <c r="AR181" s="108"/>
      <c r="AS181" s="108"/>
      <c r="AT181" s="108"/>
      <c r="AU181" s="108"/>
      <c r="AV181" s="108"/>
      <c r="AW181" s="108"/>
      <c r="AX181" s="108"/>
      <c r="AY181" s="108"/>
      <c r="AZ181" s="108"/>
      <c r="BA181" s="108"/>
      <c r="BB181" s="108"/>
      <c r="BC181" s="108"/>
      <c r="BD181" s="108"/>
      <c r="BE181" s="108"/>
      <c r="BF181" s="108"/>
      <c r="BG181" s="108"/>
      <c r="BH181" s="108"/>
      <c r="BI181" s="108"/>
      <c r="BJ181" s="108"/>
      <c r="BK181" s="108"/>
      <c r="BL181" s="108"/>
      <c r="BM181" s="108"/>
    </row>
    <row r="182" spans="1:65" x14ac:dyDescent="0.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108"/>
      <c r="AH182" s="108"/>
      <c r="AI182" s="108"/>
      <c r="AJ182" s="108"/>
      <c r="AK182" s="108"/>
      <c r="AL182" s="108"/>
      <c r="AM182" s="108"/>
      <c r="AN182" s="108"/>
      <c r="AO182" s="108"/>
      <c r="AP182" s="108"/>
      <c r="AQ182" s="108"/>
      <c r="AR182" s="108"/>
      <c r="AS182" s="108"/>
      <c r="AT182" s="108"/>
      <c r="AU182" s="108"/>
      <c r="AV182" s="108"/>
      <c r="AW182" s="108"/>
      <c r="AX182" s="108"/>
      <c r="AY182" s="108"/>
      <c r="AZ182" s="108"/>
      <c r="BA182" s="108"/>
      <c r="BB182" s="108"/>
      <c r="BC182" s="108"/>
      <c r="BD182" s="108"/>
      <c r="BE182" s="108"/>
      <c r="BF182" s="108"/>
      <c r="BG182" s="108"/>
      <c r="BH182" s="108"/>
      <c r="BI182" s="108"/>
      <c r="BJ182" s="108"/>
      <c r="BK182" s="108"/>
      <c r="BL182" s="108"/>
      <c r="BM182" s="108"/>
    </row>
    <row r="183" spans="1:65" x14ac:dyDescent="0.2">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108"/>
      <c r="AH183" s="108"/>
      <c r="AI183" s="108"/>
      <c r="AJ183" s="108"/>
      <c r="AK183" s="108"/>
      <c r="AL183" s="108"/>
      <c r="AM183" s="108"/>
      <c r="AN183" s="108"/>
      <c r="AO183" s="108"/>
      <c r="AP183" s="108"/>
      <c r="AQ183" s="108"/>
      <c r="AR183" s="108"/>
      <c r="AS183" s="108"/>
      <c r="AT183" s="108"/>
      <c r="AU183" s="108"/>
      <c r="AV183" s="108"/>
      <c r="AW183" s="108"/>
      <c r="AX183" s="108"/>
      <c r="AY183" s="108"/>
      <c r="AZ183" s="108"/>
      <c r="BA183" s="108"/>
      <c r="BB183" s="108"/>
      <c r="BC183" s="108"/>
      <c r="BD183" s="108"/>
      <c r="BE183" s="108"/>
      <c r="BF183" s="108"/>
      <c r="BG183" s="108"/>
      <c r="BH183" s="108"/>
      <c r="BI183" s="108"/>
      <c r="BJ183" s="108"/>
      <c r="BK183" s="108"/>
      <c r="BL183" s="108"/>
      <c r="BM183" s="108"/>
    </row>
    <row r="184" spans="1:65" x14ac:dyDescent="0.2">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c r="BF184" s="108"/>
      <c r="BG184" s="108"/>
      <c r="BH184" s="108"/>
      <c r="BI184" s="108"/>
      <c r="BJ184" s="108"/>
      <c r="BK184" s="108"/>
      <c r="BL184" s="108"/>
      <c r="BM184" s="108"/>
    </row>
    <row r="185" spans="1:65" x14ac:dyDescent="0.2">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108"/>
      <c r="AH185" s="108"/>
      <c r="AI185" s="108"/>
      <c r="AJ185" s="108"/>
      <c r="AK185" s="108"/>
      <c r="AL185" s="108"/>
      <c r="AM185" s="108"/>
      <c r="AN185" s="108"/>
      <c r="AO185" s="108"/>
      <c r="AP185" s="108"/>
      <c r="AQ185" s="108"/>
      <c r="AR185" s="108"/>
      <c r="AS185" s="108"/>
      <c r="AT185" s="108"/>
      <c r="AU185" s="108"/>
      <c r="AV185" s="108"/>
      <c r="AW185" s="108"/>
      <c r="AX185" s="108"/>
      <c r="AY185" s="108"/>
      <c r="AZ185" s="108"/>
      <c r="BA185" s="108"/>
      <c r="BB185" s="108"/>
      <c r="BC185" s="108"/>
      <c r="BD185" s="108"/>
      <c r="BE185" s="108"/>
      <c r="BF185" s="108"/>
      <c r="BG185" s="108"/>
      <c r="BH185" s="108"/>
      <c r="BI185" s="108"/>
      <c r="BJ185" s="108"/>
      <c r="BK185" s="108"/>
      <c r="BL185" s="108"/>
      <c r="BM185" s="108"/>
    </row>
    <row r="186" spans="1:65" x14ac:dyDescent="0.2">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c r="AJ186" s="108"/>
      <c r="AK186" s="108"/>
      <c r="AL186" s="108"/>
      <c r="AM186" s="108"/>
      <c r="AN186" s="108"/>
      <c r="AO186" s="108"/>
      <c r="AP186" s="108"/>
      <c r="AQ186" s="108"/>
      <c r="AR186" s="108"/>
      <c r="AS186" s="108"/>
      <c r="AT186" s="108"/>
      <c r="AU186" s="108"/>
      <c r="AV186" s="108"/>
      <c r="AW186" s="108"/>
      <c r="AX186" s="108"/>
      <c r="AY186" s="108"/>
      <c r="AZ186" s="108"/>
      <c r="BA186" s="108"/>
      <c r="BB186" s="108"/>
      <c r="BC186" s="108"/>
      <c r="BD186" s="108"/>
      <c r="BE186" s="108"/>
      <c r="BF186" s="108"/>
      <c r="BG186" s="108"/>
      <c r="BH186" s="108"/>
      <c r="BI186" s="108"/>
      <c r="BJ186" s="108"/>
      <c r="BK186" s="108"/>
      <c r="BL186" s="108"/>
      <c r="BM186" s="108"/>
    </row>
    <row r="187" spans="1:65" x14ac:dyDescent="0.2">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c r="AX187" s="108"/>
      <c r="AY187" s="108"/>
      <c r="AZ187" s="108"/>
      <c r="BA187" s="108"/>
      <c r="BB187" s="108"/>
      <c r="BC187" s="108"/>
      <c r="BD187" s="108"/>
      <c r="BE187" s="108"/>
      <c r="BF187" s="108"/>
      <c r="BG187" s="108"/>
      <c r="BH187" s="108"/>
      <c r="BI187" s="108"/>
      <c r="BJ187" s="108"/>
      <c r="BK187" s="108"/>
      <c r="BL187" s="108"/>
      <c r="BM187" s="108"/>
    </row>
    <row r="188" spans="1:65" x14ac:dyDescent="0.2">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108"/>
      <c r="AI188" s="108"/>
      <c r="AJ188" s="108"/>
      <c r="AK188" s="108"/>
      <c r="AL188" s="108"/>
      <c r="AM188" s="108"/>
      <c r="AN188" s="108"/>
      <c r="AO188" s="108"/>
      <c r="AP188" s="108"/>
      <c r="AQ188" s="108"/>
      <c r="AR188" s="108"/>
      <c r="AS188" s="108"/>
      <c r="AT188" s="108"/>
      <c r="AU188" s="108"/>
      <c r="AV188" s="108"/>
      <c r="AW188" s="108"/>
      <c r="AX188" s="108"/>
      <c r="AY188" s="108"/>
      <c r="AZ188" s="108"/>
      <c r="BA188" s="108"/>
      <c r="BB188" s="108"/>
      <c r="BC188" s="108"/>
      <c r="BD188" s="108"/>
      <c r="BE188" s="108"/>
      <c r="BF188" s="108"/>
      <c r="BG188" s="108"/>
      <c r="BH188" s="108"/>
      <c r="BI188" s="108"/>
      <c r="BJ188" s="108"/>
      <c r="BK188" s="108"/>
      <c r="BL188" s="108"/>
      <c r="BM188" s="108"/>
    </row>
    <row r="189" spans="1:65" x14ac:dyDescent="0.2">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108"/>
      <c r="AH189" s="108"/>
      <c r="AI189" s="108"/>
      <c r="AJ189" s="108"/>
      <c r="AK189" s="108"/>
      <c r="AL189" s="108"/>
      <c r="AM189" s="108"/>
      <c r="AN189" s="108"/>
      <c r="AO189" s="108"/>
      <c r="AP189" s="108"/>
      <c r="AQ189" s="108"/>
      <c r="AR189" s="108"/>
      <c r="AS189" s="108"/>
      <c r="AT189" s="108"/>
      <c r="AU189" s="108"/>
      <c r="AV189" s="108"/>
      <c r="AW189" s="108"/>
      <c r="AX189" s="108"/>
      <c r="AY189" s="108"/>
      <c r="AZ189" s="108"/>
      <c r="BA189" s="108"/>
      <c r="BB189" s="108"/>
      <c r="BC189" s="108"/>
      <c r="BD189" s="108"/>
      <c r="BE189" s="108"/>
      <c r="BF189" s="108"/>
      <c r="BG189" s="108"/>
      <c r="BH189" s="108"/>
      <c r="BI189" s="108"/>
      <c r="BJ189" s="108"/>
      <c r="BK189" s="108"/>
      <c r="BL189" s="108"/>
      <c r="BM189" s="108"/>
    </row>
    <row r="190" spans="1:65" x14ac:dyDescent="0.2">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c r="AJ190" s="108"/>
      <c r="AK190" s="108"/>
      <c r="AL190" s="108"/>
      <c r="AM190" s="108"/>
      <c r="AN190" s="108"/>
      <c r="AO190" s="108"/>
      <c r="AP190" s="108"/>
      <c r="AQ190" s="108"/>
      <c r="AR190" s="108"/>
      <c r="AS190" s="108"/>
      <c r="AT190" s="108"/>
      <c r="AU190" s="108"/>
      <c r="AV190" s="108"/>
      <c r="AW190" s="108"/>
      <c r="AX190" s="108"/>
      <c r="AY190" s="108"/>
      <c r="AZ190" s="108"/>
      <c r="BA190" s="108"/>
      <c r="BB190" s="108"/>
      <c r="BC190" s="108"/>
      <c r="BD190" s="108"/>
      <c r="BE190" s="108"/>
      <c r="BF190" s="108"/>
      <c r="BG190" s="108"/>
      <c r="BH190" s="108"/>
      <c r="BI190" s="108"/>
      <c r="BJ190" s="108"/>
      <c r="BK190" s="108"/>
      <c r="BL190" s="108"/>
      <c r="BM190" s="108"/>
    </row>
    <row r="191" spans="1:65" x14ac:dyDescent="0.2">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c r="AJ191" s="108"/>
      <c r="AK191" s="108"/>
      <c r="AL191" s="108"/>
      <c r="AM191" s="108"/>
      <c r="AN191" s="108"/>
      <c r="AO191" s="108"/>
      <c r="AP191" s="108"/>
      <c r="AQ191" s="108"/>
      <c r="AR191" s="108"/>
      <c r="AS191" s="108"/>
      <c r="AT191" s="108"/>
      <c r="AU191" s="108"/>
      <c r="AV191" s="108"/>
      <c r="AW191" s="108"/>
      <c r="AX191" s="108"/>
      <c r="AY191" s="108"/>
      <c r="AZ191" s="108"/>
      <c r="BA191" s="108"/>
      <c r="BB191" s="108"/>
      <c r="BC191" s="108"/>
      <c r="BD191" s="108"/>
      <c r="BE191" s="108"/>
      <c r="BF191" s="108"/>
      <c r="BG191" s="108"/>
      <c r="BH191" s="108"/>
      <c r="BI191" s="108"/>
      <c r="BJ191" s="108"/>
      <c r="BK191" s="108"/>
      <c r="BL191" s="108"/>
      <c r="BM191" s="108"/>
    </row>
    <row r="192" spans="1:65" x14ac:dyDescent="0.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108"/>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c r="AX192" s="108"/>
      <c r="AY192" s="108"/>
      <c r="AZ192" s="108"/>
      <c r="BA192" s="108"/>
      <c r="BB192" s="108"/>
      <c r="BC192" s="108"/>
      <c r="BD192" s="108"/>
      <c r="BE192" s="108"/>
      <c r="BF192" s="108"/>
      <c r="BG192" s="108"/>
      <c r="BH192" s="108"/>
      <c r="BI192" s="108"/>
      <c r="BJ192" s="108"/>
      <c r="BK192" s="108"/>
      <c r="BL192" s="108"/>
      <c r="BM192" s="108"/>
    </row>
    <row r="193" spans="1:65" x14ac:dyDescent="0.2">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c r="AX193" s="108"/>
      <c r="AY193" s="108"/>
      <c r="AZ193" s="108"/>
      <c r="BA193" s="108"/>
      <c r="BB193" s="108"/>
      <c r="BC193" s="108"/>
      <c r="BD193" s="108"/>
      <c r="BE193" s="108"/>
      <c r="BF193" s="108"/>
      <c r="BG193" s="108"/>
      <c r="BH193" s="108"/>
      <c r="BI193" s="108"/>
      <c r="BJ193" s="108"/>
      <c r="BK193" s="108"/>
      <c r="BL193" s="108"/>
      <c r="BM193" s="108"/>
    </row>
    <row r="194" spans="1:65" x14ac:dyDescent="0.2">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c r="AX194" s="108"/>
      <c r="AY194" s="108"/>
      <c r="AZ194" s="108"/>
      <c r="BA194" s="108"/>
      <c r="BB194" s="108"/>
      <c r="BC194" s="108"/>
      <c r="BD194" s="108"/>
      <c r="BE194" s="108"/>
      <c r="BF194" s="108"/>
      <c r="BG194" s="108"/>
      <c r="BH194" s="108"/>
      <c r="BI194" s="108"/>
      <c r="BJ194" s="108"/>
      <c r="BK194" s="108"/>
      <c r="BL194" s="108"/>
      <c r="BM194" s="108"/>
    </row>
    <row r="195" spans="1:65" x14ac:dyDescent="0.2">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c r="AX195" s="108"/>
      <c r="AY195" s="108"/>
      <c r="AZ195" s="108"/>
      <c r="BA195" s="108"/>
      <c r="BB195" s="108"/>
      <c r="BC195" s="108"/>
      <c r="BD195" s="108"/>
      <c r="BE195" s="108"/>
      <c r="BF195" s="108"/>
      <c r="BG195" s="108"/>
      <c r="BH195" s="108"/>
      <c r="BI195" s="108"/>
      <c r="BJ195" s="108"/>
      <c r="BK195" s="108"/>
      <c r="BL195" s="108"/>
      <c r="BM195" s="108"/>
    </row>
    <row r="196" spans="1:65" x14ac:dyDescent="0.2">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108"/>
      <c r="AH196" s="108"/>
      <c r="AI196" s="108"/>
      <c r="AJ196" s="108"/>
      <c r="AK196" s="108"/>
      <c r="AL196" s="108"/>
      <c r="AM196" s="108"/>
      <c r="AN196" s="108"/>
      <c r="AO196" s="108"/>
      <c r="AP196" s="108"/>
      <c r="AQ196" s="108"/>
      <c r="AR196" s="108"/>
      <c r="AS196" s="108"/>
      <c r="AT196" s="108"/>
      <c r="AU196" s="108"/>
      <c r="AV196" s="108"/>
      <c r="AW196" s="108"/>
      <c r="AX196" s="108"/>
      <c r="AY196" s="108"/>
      <c r="AZ196" s="108"/>
      <c r="BA196" s="108"/>
      <c r="BB196" s="108"/>
      <c r="BC196" s="108"/>
      <c r="BD196" s="108"/>
      <c r="BE196" s="108"/>
      <c r="BF196" s="108"/>
      <c r="BG196" s="108"/>
      <c r="BH196" s="108"/>
      <c r="BI196" s="108"/>
      <c r="BJ196" s="108"/>
      <c r="BK196" s="108"/>
      <c r="BL196" s="108"/>
      <c r="BM196" s="108"/>
    </row>
    <row r="197" spans="1:65" x14ac:dyDescent="0.2">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c r="AX197" s="108"/>
      <c r="AY197" s="108"/>
      <c r="AZ197" s="108"/>
      <c r="BA197" s="108"/>
      <c r="BB197" s="108"/>
      <c r="BC197" s="108"/>
      <c r="BD197" s="108"/>
      <c r="BE197" s="108"/>
      <c r="BF197" s="108"/>
      <c r="BG197" s="108"/>
      <c r="BH197" s="108"/>
      <c r="BI197" s="108"/>
      <c r="BJ197" s="108"/>
      <c r="BK197" s="108"/>
      <c r="BL197" s="108"/>
      <c r="BM197" s="108"/>
    </row>
    <row r="198" spans="1:65" x14ac:dyDescent="0.2">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c r="AX198" s="108"/>
      <c r="AY198" s="108"/>
      <c r="AZ198" s="108"/>
      <c r="BA198" s="108"/>
      <c r="BB198" s="108"/>
      <c r="BC198" s="108"/>
      <c r="BD198" s="108"/>
      <c r="BE198" s="108"/>
      <c r="BF198" s="108"/>
      <c r="BG198" s="108"/>
      <c r="BH198" s="108"/>
      <c r="BI198" s="108"/>
      <c r="BJ198" s="108"/>
      <c r="BK198" s="108"/>
      <c r="BL198" s="108"/>
      <c r="BM198" s="108"/>
    </row>
    <row r="199" spans="1:65" x14ac:dyDescent="0.2">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c r="AX199" s="108"/>
      <c r="AY199" s="108"/>
      <c r="AZ199" s="108"/>
      <c r="BA199" s="108"/>
      <c r="BB199" s="108"/>
      <c r="BC199" s="108"/>
      <c r="BD199" s="108"/>
      <c r="BE199" s="108"/>
      <c r="BF199" s="108"/>
      <c r="BG199" s="108"/>
      <c r="BH199" s="108"/>
      <c r="BI199" s="108"/>
      <c r="BJ199" s="108"/>
      <c r="BK199" s="108"/>
      <c r="BL199" s="108"/>
      <c r="BM199" s="108"/>
    </row>
    <row r="200" spans="1:65" x14ac:dyDescent="0.2">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c r="AX200" s="108"/>
      <c r="AY200" s="108"/>
      <c r="AZ200" s="108"/>
      <c r="BA200" s="108"/>
      <c r="BB200" s="108"/>
      <c r="BC200" s="108"/>
      <c r="BD200" s="108"/>
      <c r="BE200" s="108"/>
      <c r="BF200" s="108"/>
      <c r="BG200" s="108"/>
      <c r="BH200" s="108"/>
      <c r="BI200" s="108"/>
      <c r="BJ200" s="108"/>
      <c r="BK200" s="108"/>
      <c r="BL200" s="108"/>
      <c r="BM200" s="108"/>
    </row>
    <row r="201" spans="1:65" x14ac:dyDescent="0.2">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c r="AC201" s="108"/>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c r="AX201" s="108"/>
      <c r="AY201" s="108"/>
      <c r="AZ201" s="108"/>
      <c r="BA201" s="108"/>
      <c r="BB201" s="108"/>
      <c r="BC201" s="108"/>
      <c r="BD201" s="108"/>
      <c r="BE201" s="108"/>
      <c r="BF201" s="108"/>
      <c r="BG201" s="108"/>
      <c r="BH201" s="108"/>
      <c r="BI201" s="108"/>
      <c r="BJ201" s="108"/>
      <c r="BK201" s="108"/>
      <c r="BL201" s="108"/>
      <c r="BM201" s="108"/>
    </row>
    <row r="202" spans="1:65" x14ac:dyDescent="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c r="AX202" s="108"/>
      <c r="AY202" s="108"/>
      <c r="AZ202" s="108"/>
      <c r="BA202" s="108"/>
      <c r="BB202" s="108"/>
      <c r="BC202" s="108"/>
      <c r="BD202" s="108"/>
      <c r="BE202" s="108"/>
      <c r="BF202" s="108"/>
      <c r="BG202" s="108"/>
      <c r="BH202" s="108"/>
      <c r="BI202" s="108"/>
      <c r="BJ202" s="108"/>
      <c r="BK202" s="108"/>
      <c r="BL202" s="108"/>
      <c r="BM202" s="108"/>
    </row>
    <row r="203" spans="1:65" x14ac:dyDescent="0.2">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c r="AB203" s="108"/>
      <c r="AC203" s="108"/>
      <c r="AD203" s="108"/>
      <c r="AE203" s="108"/>
      <c r="AF203" s="108"/>
      <c r="AG203" s="108"/>
      <c r="AH203" s="108"/>
      <c r="AI203" s="108"/>
      <c r="AJ203" s="108"/>
      <c r="AK203" s="108"/>
      <c r="AL203" s="108"/>
      <c r="AM203" s="108"/>
      <c r="AN203" s="108"/>
      <c r="AO203" s="108"/>
      <c r="AP203" s="108"/>
      <c r="AQ203" s="108"/>
      <c r="AR203" s="108"/>
      <c r="AS203" s="108"/>
      <c r="AT203" s="108"/>
      <c r="AU203" s="108"/>
      <c r="AV203" s="108"/>
      <c r="AW203" s="108"/>
      <c r="AX203" s="108"/>
      <c r="AY203" s="108"/>
      <c r="AZ203" s="108"/>
      <c r="BA203" s="108"/>
      <c r="BB203" s="108"/>
      <c r="BC203" s="108"/>
      <c r="BD203" s="108"/>
      <c r="BE203" s="108"/>
      <c r="BF203" s="108"/>
      <c r="BG203" s="108"/>
      <c r="BH203" s="108"/>
      <c r="BI203" s="108"/>
      <c r="BJ203" s="108"/>
      <c r="BK203" s="108"/>
      <c r="BL203" s="108"/>
      <c r="BM203" s="108"/>
    </row>
    <row r="204" spans="1:65" x14ac:dyDescent="0.2">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c r="AX204" s="108"/>
      <c r="AY204" s="108"/>
      <c r="AZ204" s="108"/>
      <c r="BA204" s="108"/>
      <c r="BB204" s="108"/>
      <c r="BC204" s="108"/>
      <c r="BD204" s="108"/>
      <c r="BE204" s="108"/>
      <c r="BF204" s="108"/>
      <c r="BG204" s="108"/>
      <c r="BH204" s="108"/>
      <c r="BI204" s="108"/>
      <c r="BJ204" s="108"/>
      <c r="BK204" s="108"/>
      <c r="BL204" s="108"/>
      <c r="BM204" s="108"/>
    </row>
    <row r="205" spans="1:65" x14ac:dyDescent="0.2">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c r="AC205" s="108"/>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c r="AX205" s="108"/>
      <c r="AY205" s="108"/>
      <c r="AZ205" s="108"/>
      <c r="BA205" s="108"/>
      <c r="BB205" s="108"/>
      <c r="BC205" s="108"/>
      <c r="BD205" s="108"/>
      <c r="BE205" s="108"/>
      <c r="BF205" s="108"/>
      <c r="BG205" s="108"/>
      <c r="BH205" s="108"/>
      <c r="BI205" s="108"/>
      <c r="BJ205" s="108"/>
      <c r="BK205" s="108"/>
      <c r="BL205" s="108"/>
      <c r="BM205" s="108"/>
    </row>
    <row r="206" spans="1:65" x14ac:dyDescent="0.2">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c r="AX206" s="108"/>
      <c r="AY206" s="108"/>
      <c r="AZ206" s="108"/>
      <c r="BA206" s="108"/>
      <c r="BB206" s="108"/>
      <c r="BC206" s="108"/>
      <c r="BD206" s="108"/>
      <c r="BE206" s="108"/>
      <c r="BF206" s="108"/>
      <c r="BG206" s="108"/>
      <c r="BH206" s="108"/>
      <c r="BI206" s="108"/>
      <c r="BJ206" s="108"/>
      <c r="BK206" s="108"/>
      <c r="BL206" s="108"/>
      <c r="BM206" s="108"/>
    </row>
    <row r="207" spans="1:65" x14ac:dyDescent="0.2">
      <c r="K207" s="108"/>
      <c r="L207" s="108"/>
      <c r="M207" s="108"/>
      <c r="N207" s="108"/>
      <c r="O207" s="108"/>
      <c r="P207" s="108"/>
      <c r="Q207" s="108"/>
      <c r="R207" s="108"/>
      <c r="S207" s="108"/>
      <c r="T207" s="108"/>
      <c r="U207" s="108"/>
      <c r="V207" s="108"/>
      <c r="W207" s="108"/>
      <c r="X207" s="108"/>
      <c r="Y207" s="108"/>
      <c r="Z207" s="108"/>
      <c r="AA207" s="108"/>
      <c r="AB207" s="108"/>
      <c r="AC207" s="108"/>
      <c r="AD207" s="108"/>
      <c r="AE207" s="108"/>
      <c r="AF207" s="108"/>
      <c r="AG207" s="108"/>
      <c r="AH207" s="108"/>
      <c r="AI207" s="108"/>
      <c r="AJ207" s="108"/>
      <c r="AK207" s="108"/>
      <c r="AL207" s="108"/>
      <c r="AM207" s="108"/>
      <c r="AN207" s="108"/>
      <c r="AO207" s="108"/>
      <c r="AP207" s="108"/>
      <c r="AQ207" s="108"/>
      <c r="AR207" s="108"/>
      <c r="AS207" s="108"/>
      <c r="AT207" s="108"/>
      <c r="AU207" s="108"/>
      <c r="AV207" s="108"/>
      <c r="AW207" s="108"/>
      <c r="AX207" s="108"/>
      <c r="AY207" s="108"/>
      <c r="AZ207" s="108"/>
      <c r="BA207" s="108"/>
      <c r="BB207" s="108"/>
      <c r="BC207" s="108"/>
      <c r="BD207" s="108"/>
      <c r="BE207" s="108"/>
      <c r="BF207" s="108"/>
      <c r="BG207" s="108"/>
      <c r="BH207" s="108"/>
      <c r="BI207" s="108"/>
      <c r="BJ207" s="108"/>
      <c r="BK207" s="108"/>
      <c r="BL207" s="108"/>
      <c r="BM207" s="108"/>
    </row>
    <row r="208" spans="1:65" x14ac:dyDescent="0.2">
      <c r="K208" s="108"/>
      <c r="L208" s="108"/>
      <c r="M208" s="108"/>
      <c r="N208" s="108"/>
      <c r="O208" s="108"/>
      <c r="P208" s="108"/>
      <c r="Q208" s="108"/>
      <c r="R208" s="108"/>
      <c r="S208" s="108"/>
      <c r="T208" s="108"/>
      <c r="U208" s="108"/>
      <c r="V208" s="108"/>
      <c r="W208" s="108"/>
      <c r="X208" s="108"/>
      <c r="Y208" s="108"/>
      <c r="Z208" s="108"/>
      <c r="AA208" s="108"/>
      <c r="AB208" s="108"/>
      <c r="AC208" s="108"/>
      <c r="AD208" s="108"/>
      <c r="AE208" s="108"/>
      <c r="AF208" s="108"/>
      <c r="AG208" s="108"/>
      <c r="AH208" s="108"/>
      <c r="AI208" s="108"/>
      <c r="AJ208" s="108"/>
      <c r="AK208" s="108"/>
      <c r="AL208" s="108"/>
      <c r="AM208" s="108"/>
      <c r="AN208" s="108"/>
      <c r="AO208" s="108"/>
      <c r="AP208" s="108"/>
      <c r="AQ208" s="108"/>
      <c r="AR208" s="108"/>
      <c r="AS208" s="108"/>
      <c r="AT208" s="108"/>
      <c r="AU208" s="108"/>
      <c r="AV208" s="108"/>
      <c r="AW208" s="108"/>
      <c r="AX208" s="108"/>
      <c r="AY208" s="108"/>
      <c r="AZ208" s="108"/>
      <c r="BA208" s="108"/>
      <c r="BB208" s="108"/>
      <c r="BC208" s="108"/>
      <c r="BD208" s="108"/>
      <c r="BE208" s="108"/>
      <c r="BF208" s="108"/>
      <c r="BG208" s="108"/>
      <c r="BH208" s="108"/>
      <c r="BI208" s="108"/>
      <c r="BJ208" s="108"/>
      <c r="BK208" s="108"/>
      <c r="BL208" s="108"/>
      <c r="BM208" s="108"/>
    </row>
    <row r="209" spans="12:21" x14ac:dyDescent="0.2">
      <c r="L209" s="108"/>
      <c r="M209" s="108"/>
      <c r="N209" s="108"/>
      <c r="O209" s="108"/>
      <c r="P209" s="108"/>
      <c r="Q209" s="108"/>
      <c r="R209" s="108"/>
      <c r="S209" s="108"/>
      <c r="T209" s="108"/>
      <c r="U209" s="108"/>
    </row>
    <row r="210" spans="12:21" x14ac:dyDescent="0.2">
      <c r="L210" s="108"/>
      <c r="M210" s="108"/>
      <c r="N210" s="108"/>
      <c r="O210" s="108"/>
      <c r="P210" s="108"/>
      <c r="Q210" s="108"/>
      <c r="R210" s="108"/>
      <c r="S210" s="108"/>
      <c r="T210" s="108"/>
      <c r="U210" s="108"/>
    </row>
    <row r="211" spans="12:21" x14ac:dyDescent="0.2">
      <c r="L211" s="108"/>
      <c r="M211" s="108"/>
      <c r="N211" s="108"/>
      <c r="O211" s="108"/>
      <c r="P211" s="108"/>
      <c r="Q211" s="108"/>
      <c r="R211" s="108"/>
      <c r="S211" s="108"/>
      <c r="T211" s="108"/>
      <c r="U211" s="108"/>
    </row>
    <row r="212" spans="12:21" x14ac:dyDescent="0.2">
      <c r="L212" s="108"/>
      <c r="M212" s="108"/>
      <c r="N212" s="108"/>
      <c r="O212" s="108"/>
      <c r="P212" s="108"/>
      <c r="Q212" s="108"/>
      <c r="R212" s="108"/>
      <c r="S212" s="108"/>
      <c r="T212" s="108"/>
      <c r="U212" s="108"/>
    </row>
    <row r="213" spans="12:21" x14ac:dyDescent="0.2">
      <c r="L213" s="108"/>
      <c r="M213" s="108"/>
      <c r="N213" s="108"/>
      <c r="O213" s="108"/>
      <c r="P213" s="108"/>
      <c r="Q213" s="108"/>
      <c r="R213" s="108"/>
      <c r="S213" s="108"/>
      <c r="T213" s="108"/>
      <c r="U213" s="108"/>
    </row>
    <row r="214" spans="12:21" x14ac:dyDescent="0.2">
      <c r="L214" s="108"/>
      <c r="M214" s="108"/>
      <c r="N214" s="108"/>
      <c r="O214" s="108"/>
      <c r="P214" s="108"/>
      <c r="Q214" s="108"/>
      <c r="R214" s="108"/>
      <c r="S214" s="108"/>
      <c r="T214" s="108"/>
      <c r="U214" s="108"/>
    </row>
    <row r="215" spans="12:21" x14ac:dyDescent="0.2">
      <c r="L215" s="108"/>
      <c r="M215" s="108"/>
      <c r="N215" s="108"/>
      <c r="O215" s="108"/>
      <c r="P215" s="108"/>
      <c r="Q215" s="108"/>
      <c r="R215" s="108"/>
      <c r="S215" s="108"/>
      <c r="T215" s="108"/>
    </row>
    <row r="216" spans="12:21" x14ac:dyDescent="0.2">
      <c r="L216" s="108"/>
      <c r="M216" s="108"/>
      <c r="N216" s="108"/>
      <c r="O216" s="108"/>
      <c r="P216" s="108"/>
      <c r="Q216" s="108"/>
      <c r="R216" s="108"/>
      <c r="S216" s="108"/>
      <c r="T216" s="108"/>
    </row>
  </sheetData>
  <mergeCells count="18">
    <mergeCell ref="C5:H5"/>
    <mergeCell ref="C13:H13"/>
    <mergeCell ref="C37:H37"/>
    <mergeCell ref="A48:J48"/>
    <mergeCell ref="O53:O55"/>
    <mergeCell ref="L67:T74"/>
    <mergeCell ref="T18:T19"/>
    <mergeCell ref="S18:S19"/>
    <mergeCell ref="R18:R19"/>
    <mergeCell ref="Q18:Q19"/>
    <mergeCell ref="P18:P19"/>
    <mergeCell ref="N18:N19"/>
    <mergeCell ref="O17:O19"/>
    <mergeCell ref="M42:T43"/>
    <mergeCell ref="M47:T48"/>
    <mergeCell ref="P54:P55"/>
    <mergeCell ref="Q54:Q55"/>
    <mergeCell ref="R54:R5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D2248-A615-6B4D-BEF7-65CB7AC60EBE}">
  <dimension ref="A1:T60"/>
  <sheetViews>
    <sheetView workbookViewId="0"/>
  </sheetViews>
  <sheetFormatPr baseColWidth="10" defaultColWidth="11" defaultRowHeight="16" outlineLevelCol="1" x14ac:dyDescent="0.2"/>
  <cols>
    <col min="1" max="1" width="4.5" customWidth="1"/>
    <col min="2" max="3" width="10.83203125" customWidth="1"/>
    <col min="4" max="4" width="13.5" customWidth="1"/>
    <col min="5" max="10" width="10.83203125" customWidth="1"/>
    <col min="11" max="11" width="12.5" customWidth="1"/>
    <col min="12" max="12" width="16.83203125" style="161" hidden="1" customWidth="1" outlineLevel="1"/>
    <col min="13" max="13" width="12.6640625" hidden="1" customWidth="1" outlineLevel="1"/>
    <col min="14" max="16" width="10.83203125" hidden="1" customWidth="1" outlineLevel="1"/>
    <col min="17" max="17" width="12" hidden="1" customWidth="1" outlineLevel="1"/>
    <col min="18" max="18" width="11" hidden="1" customWidth="1" outlineLevel="1"/>
    <col min="19" max="19" width="6.33203125" hidden="1" customWidth="1" outlineLevel="1"/>
    <col min="20" max="20" width="11" collapsed="1"/>
  </cols>
  <sheetData>
    <row r="1" spans="1:16" ht="19" x14ac:dyDescent="0.25">
      <c r="A1" s="1" t="s">
        <v>168</v>
      </c>
      <c r="B1" s="210"/>
      <c r="C1" s="209"/>
      <c r="D1" s="209"/>
      <c r="E1" s="209"/>
      <c r="F1" s="208"/>
      <c r="G1" s="208"/>
      <c r="H1" s="208"/>
      <c r="I1" s="208"/>
      <c r="J1" s="207"/>
      <c r="K1" s="206" t="s">
        <v>110</v>
      </c>
    </row>
    <row r="2" spans="1:16" x14ac:dyDescent="0.2">
      <c r="A2" s="174"/>
      <c r="B2" s="172"/>
      <c r="C2" s="172"/>
      <c r="D2" s="172"/>
      <c r="E2" s="172"/>
      <c r="F2" s="172"/>
      <c r="G2" s="172"/>
      <c r="H2" s="172"/>
      <c r="I2" s="172"/>
      <c r="J2" s="171"/>
    </row>
    <row r="3" spans="1:16" x14ac:dyDescent="0.2">
      <c r="A3" s="174"/>
      <c r="B3" s="172" t="s">
        <v>167</v>
      </c>
      <c r="C3" s="172"/>
      <c r="D3" s="172"/>
      <c r="E3" s="172"/>
      <c r="F3" s="172"/>
      <c r="G3" s="172"/>
      <c r="H3" s="172"/>
      <c r="I3" s="172"/>
      <c r="J3" s="171"/>
      <c r="L3" s="180" t="s">
        <v>166</v>
      </c>
    </row>
    <row r="4" spans="1:16" x14ac:dyDescent="0.2">
      <c r="A4" s="174"/>
      <c r="B4" s="172"/>
      <c r="C4" s="172"/>
      <c r="D4" s="172"/>
      <c r="E4" s="172"/>
      <c r="F4" s="172"/>
      <c r="G4" s="172"/>
      <c r="H4" s="172"/>
      <c r="I4" s="172"/>
      <c r="J4" s="171"/>
    </row>
    <row r="5" spans="1:16" x14ac:dyDescent="0.2">
      <c r="A5" s="174"/>
      <c r="B5" s="172"/>
      <c r="C5" s="304" t="s">
        <v>19</v>
      </c>
      <c r="D5" s="306" t="s">
        <v>165</v>
      </c>
      <c r="E5" s="307"/>
      <c r="F5" s="307"/>
      <c r="G5" s="308"/>
      <c r="H5" s="172"/>
      <c r="I5" s="172"/>
      <c r="J5" s="171"/>
      <c r="L5" s="185" t="s">
        <v>164</v>
      </c>
      <c r="M5" s="203"/>
      <c r="N5" s="161"/>
      <c r="O5" s="163"/>
    </row>
    <row r="6" spans="1:16" x14ac:dyDescent="0.2">
      <c r="A6" s="174"/>
      <c r="B6" s="172"/>
      <c r="C6" s="305"/>
      <c r="D6" s="188" t="s">
        <v>151</v>
      </c>
      <c r="E6" s="188" t="s">
        <v>150</v>
      </c>
      <c r="F6" s="188" t="s">
        <v>149</v>
      </c>
      <c r="G6" s="201" t="s">
        <v>148</v>
      </c>
      <c r="H6" s="172"/>
      <c r="I6" s="172"/>
      <c r="J6" s="171"/>
      <c r="M6" s="163"/>
      <c r="N6" s="163"/>
      <c r="O6" s="163"/>
    </row>
    <row r="7" spans="1:16" x14ac:dyDescent="0.2">
      <c r="A7" s="174"/>
      <c r="B7" s="172"/>
      <c r="C7" s="192">
        <v>2009</v>
      </c>
      <c r="D7" s="191">
        <v>4000</v>
      </c>
      <c r="E7" s="191">
        <v>12000</v>
      </c>
      <c r="F7" s="191">
        <v>19000</v>
      </c>
      <c r="G7" s="190">
        <v>24000</v>
      </c>
      <c r="H7" s="172"/>
      <c r="I7" s="172"/>
      <c r="J7" s="171"/>
      <c r="L7" s="161" t="s">
        <v>163</v>
      </c>
      <c r="M7" s="193">
        <f>SUM(F7:F8)/SUM(E7:E8)</f>
        <v>1.5961538461538463</v>
      </c>
      <c r="N7" s="163"/>
      <c r="O7" s="163"/>
    </row>
    <row r="8" spans="1:16" x14ac:dyDescent="0.2">
      <c r="A8" s="174"/>
      <c r="B8" s="172"/>
      <c r="C8" s="192">
        <v>2010</v>
      </c>
      <c r="D8" s="191">
        <v>4800</v>
      </c>
      <c r="E8" s="191">
        <v>14000</v>
      </c>
      <c r="F8" s="191">
        <v>22500</v>
      </c>
      <c r="G8" s="202"/>
      <c r="H8" s="172"/>
      <c r="I8" s="172"/>
      <c r="J8" s="171"/>
      <c r="L8" s="161" t="s">
        <v>162</v>
      </c>
      <c r="M8" s="193">
        <f>G7/F7</f>
        <v>1.263157894736842</v>
      </c>
      <c r="N8" s="163"/>
      <c r="O8" s="163"/>
    </row>
    <row r="9" spans="1:16" ht="17" thickBot="1" x14ac:dyDescent="0.25">
      <c r="A9" s="174"/>
      <c r="B9" s="172"/>
      <c r="C9" s="192">
        <v>2011</v>
      </c>
      <c r="D9" s="191">
        <v>4200</v>
      </c>
      <c r="E9" s="191">
        <v>13000</v>
      </c>
      <c r="F9" s="173"/>
      <c r="G9" s="202"/>
      <c r="H9" s="172"/>
      <c r="I9" s="172"/>
      <c r="J9" s="171"/>
      <c r="M9" s="163"/>
      <c r="N9" s="163"/>
      <c r="O9" s="163"/>
    </row>
    <row r="10" spans="1:16" ht="17" thickBot="1" x14ac:dyDescent="0.25">
      <c r="A10" s="174"/>
      <c r="B10" s="172"/>
      <c r="C10" s="189">
        <v>2012</v>
      </c>
      <c r="D10" s="187">
        <v>4500</v>
      </c>
      <c r="E10" s="188"/>
      <c r="F10" s="188"/>
      <c r="G10" s="201"/>
      <c r="H10" s="172"/>
      <c r="I10" s="172"/>
      <c r="J10" s="171"/>
      <c r="L10" s="178" t="s">
        <v>161</v>
      </c>
      <c r="M10" s="200">
        <f>E9*M7*M8-E9</f>
        <v>13210.526315789473</v>
      </c>
      <c r="N10" s="163"/>
      <c r="O10" s="163"/>
    </row>
    <row r="11" spans="1:16" x14ac:dyDescent="0.2">
      <c r="A11" s="174"/>
      <c r="B11" s="172"/>
      <c r="C11" s="172"/>
      <c r="D11" s="172"/>
      <c r="E11" s="172"/>
      <c r="F11" s="172"/>
      <c r="G11" s="172"/>
      <c r="H11" s="172"/>
      <c r="I11" s="172"/>
      <c r="J11" s="171"/>
      <c r="M11" s="163"/>
      <c r="N11" s="163"/>
      <c r="O11" s="163"/>
    </row>
    <row r="12" spans="1:16" x14ac:dyDescent="0.2">
      <c r="A12" s="174"/>
      <c r="B12" s="172" t="s">
        <v>160</v>
      </c>
      <c r="C12" s="172"/>
      <c r="D12" s="172"/>
      <c r="E12" s="172"/>
      <c r="F12" s="172"/>
      <c r="G12" s="172"/>
      <c r="H12" s="172"/>
      <c r="I12" s="172"/>
      <c r="J12" s="171"/>
      <c r="L12" s="180" t="s">
        <v>159</v>
      </c>
      <c r="M12" s="163"/>
      <c r="N12" s="163"/>
      <c r="O12" s="163"/>
    </row>
    <row r="13" spans="1:16" x14ac:dyDescent="0.2">
      <c r="A13" s="174"/>
      <c r="B13" s="172"/>
      <c r="C13" s="172"/>
      <c r="D13" s="172"/>
      <c r="E13" s="172"/>
      <c r="F13" s="172"/>
      <c r="G13" s="172"/>
      <c r="H13" s="172"/>
      <c r="I13" s="172"/>
      <c r="J13" s="171"/>
      <c r="M13" s="163"/>
      <c r="N13" s="163"/>
      <c r="O13" s="163"/>
    </row>
    <row r="14" spans="1:16" x14ac:dyDescent="0.2">
      <c r="A14" s="174"/>
      <c r="B14" s="172"/>
      <c r="C14" s="196" t="s">
        <v>19</v>
      </c>
      <c r="D14" s="195" t="s">
        <v>151</v>
      </c>
      <c r="E14" s="195" t="s">
        <v>150</v>
      </c>
      <c r="F14" s="195" t="s">
        <v>149</v>
      </c>
      <c r="G14" s="194" t="s">
        <v>148</v>
      </c>
      <c r="H14" s="172"/>
      <c r="I14" s="172"/>
      <c r="J14" s="171"/>
      <c r="L14" s="185" t="s">
        <v>158</v>
      </c>
      <c r="M14" s="163"/>
      <c r="N14" s="163"/>
      <c r="O14" s="163"/>
    </row>
    <row r="15" spans="1:16" x14ac:dyDescent="0.2">
      <c r="A15" s="174"/>
      <c r="B15" s="172"/>
      <c r="C15" s="192">
        <v>2009</v>
      </c>
      <c r="D15" s="173">
        <v>370</v>
      </c>
      <c r="E15" s="173">
        <v>750</v>
      </c>
      <c r="F15" s="191">
        <v>1080</v>
      </c>
      <c r="G15" s="190">
        <v>1185</v>
      </c>
      <c r="H15" s="172"/>
      <c r="I15" s="172"/>
      <c r="J15" s="171"/>
      <c r="M15" s="163"/>
      <c r="N15" s="163"/>
      <c r="O15" s="163"/>
    </row>
    <row r="16" spans="1:16" x14ac:dyDescent="0.2">
      <c r="A16" s="174"/>
      <c r="B16" s="172"/>
      <c r="C16" s="192">
        <v>2010</v>
      </c>
      <c r="D16" s="173">
        <v>380</v>
      </c>
      <c r="E16" s="173">
        <v>770</v>
      </c>
      <c r="F16" s="191">
        <v>1080</v>
      </c>
      <c r="G16" s="190">
        <v>1205</v>
      </c>
      <c r="H16" s="172"/>
      <c r="I16" s="172"/>
      <c r="J16" s="171"/>
      <c r="L16" s="199" t="s">
        <v>19</v>
      </c>
      <c r="M16" s="198">
        <v>12</v>
      </c>
      <c r="N16" s="198">
        <v>24</v>
      </c>
      <c r="O16" s="198">
        <v>36</v>
      </c>
      <c r="P16" s="198">
        <v>48</v>
      </c>
    </row>
    <row r="17" spans="1:16" x14ac:dyDescent="0.2">
      <c r="A17" s="174"/>
      <c r="B17" s="172"/>
      <c r="C17" s="192">
        <v>2011</v>
      </c>
      <c r="D17" s="173">
        <v>400</v>
      </c>
      <c r="E17" s="173">
        <v>785</v>
      </c>
      <c r="F17" s="191">
        <v>1115</v>
      </c>
      <c r="G17" s="190">
        <v>1240</v>
      </c>
      <c r="H17" s="172"/>
      <c r="I17" s="172"/>
      <c r="J17" s="171"/>
      <c r="L17" s="197">
        <v>2009</v>
      </c>
      <c r="M17" s="165">
        <f>D7*(D$18/D23)</f>
        <v>4324.3243243243242</v>
      </c>
      <c r="N17" s="165">
        <f>E7*(E$18/E23)</f>
        <v>12305.732484076432</v>
      </c>
      <c r="O17" s="165">
        <f>F7*(F$18/F23)</f>
        <v>17754.098360655738</v>
      </c>
      <c r="P17" s="165">
        <f>G7*(G$18/G23)</f>
        <v>21841.726618705037</v>
      </c>
    </row>
    <row r="18" spans="1:16" x14ac:dyDescent="0.2">
      <c r="A18" s="174"/>
      <c r="B18" s="172"/>
      <c r="C18" s="189">
        <v>2012</v>
      </c>
      <c r="D18" s="188">
        <v>400</v>
      </c>
      <c r="E18" s="188">
        <v>805</v>
      </c>
      <c r="F18" s="187">
        <v>1140</v>
      </c>
      <c r="G18" s="186">
        <v>1265</v>
      </c>
      <c r="H18" s="172"/>
      <c r="I18" s="172"/>
      <c r="J18" s="171"/>
      <c r="L18" s="197">
        <v>2010</v>
      </c>
      <c r="M18" s="165">
        <f>D8*(D$18/D24)</f>
        <v>5052.6315789473683</v>
      </c>
      <c r="N18" s="165">
        <f>E8*(E$18/E24)</f>
        <v>14000</v>
      </c>
      <c r="O18" s="165">
        <f>F8*(F$18/F24)</f>
        <v>21024.590163934427</v>
      </c>
      <c r="P18" s="165"/>
    </row>
    <row r="19" spans="1:16" x14ac:dyDescent="0.2">
      <c r="A19" s="174"/>
      <c r="B19" s="172"/>
      <c r="C19" s="172"/>
      <c r="D19" s="172"/>
      <c r="E19" s="172"/>
      <c r="F19" s="172"/>
      <c r="G19" s="172"/>
      <c r="H19" s="172"/>
      <c r="I19" s="172"/>
      <c r="J19" s="171"/>
      <c r="L19" s="197">
        <v>2011</v>
      </c>
      <c r="M19" s="165">
        <f>D9*(D$18/D25)</f>
        <v>4200</v>
      </c>
      <c r="N19" s="165">
        <f>E9*(E$18/E25)</f>
        <v>12762.195121951219</v>
      </c>
      <c r="O19" s="165"/>
      <c r="P19" s="165"/>
    </row>
    <row r="20" spans="1:16" x14ac:dyDescent="0.2">
      <c r="A20" s="174"/>
      <c r="B20" s="172" t="s">
        <v>157</v>
      </c>
      <c r="C20" s="172"/>
      <c r="D20" s="172"/>
      <c r="E20" s="172"/>
      <c r="F20" s="172"/>
      <c r="G20" s="172"/>
      <c r="H20" s="172"/>
      <c r="I20" s="172"/>
      <c r="J20" s="171"/>
      <c r="L20" s="197">
        <v>2012</v>
      </c>
      <c r="M20" s="165">
        <f>D10*(D$18/D26)</f>
        <v>4500</v>
      </c>
      <c r="N20" s="165"/>
      <c r="O20" s="165"/>
      <c r="P20" s="165"/>
    </row>
    <row r="21" spans="1:16" x14ac:dyDescent="0.2">
      <c r="A21" s="174"/>
      <c r="B21" s="172"/>
      <c r="C21" s="172"/>
      <c r="D21" s="172"/>
      <c r="E21" s="172"/>
      <c r="F21" s="172"/>
      <c r="G21" s="172"/>
      <c r="H21" s="172"/>
      <c r="I21" s="172"/>
      <c r="J21" s="171"/>
      <c r="M21" s="163"/>
      <c r="N21" s="163"/>
      <c r="O21" s="163"/>
    </row>
    <row r="22" spans="1:16" x14ac:dyDescent="0.2">
      <c r="A22" s="174"/>
      <c r="B22" s="172"/>
      <c r="C22" s="196" t="s">
        <v>19</v>
      </c>
      <c r="D22" s="195" t="s">
        <v>151</v>
      </c>
      <c r="E22" s="195" t="s">
        <v>150</v>
      </c>
      <c r="F22" s="195" t="s">
        <v>149</v>
      </c>
      <c r="G22" s="194" t="s">
        <v>148</v>
      </c>
      <c r="H22" s="172"/>
      <c r="I22" s="172"/>
      <c r="J22" s="171"/>
      <c r="L22" s="161" t="s">
        <v>156</v>
      </c>
      <c r="M22" s="163"/>
      <c r="N22" s="163"/>
      <c r="O22" s="163"/>
    </row>
    <row r="23" spans="1:16" x14ac:dyDescent="0.2">
      <c r="A23" s="174"/>
      <c r="B23" s="172"/>
      <c r="C23" s="192">
        <v>2009</v>
      </c>
      <c r="D23" s="173">
        <v>370</v>
      </c>
      <c r="E23" s="173">
        <v>785</v>
      </c>
      <c r="F23" s="191">
        <v>1220</v>
      </c>
      <c r="G23" s="190">
        <v>1390</v>
      </c>
      <c r="H23" s="172"/>
      <c r="I23" s="172"/>
      <c r="J23" s="171"/>
      <c r="M23" s="163"/>
      <c r="N23" s="163"/>
      <c r="O23" s="163"/>
    </row>
    <row r="24" spans="1:16" x14ac:dyDescent="0.2">
      <c r="A24" s="174"/>
      <c r="B24" s="172"/>
      <c r="C24" s="192">
        <v>2010</v>
      </c>
      <c r="D24" s="173">
        <v>380</v>
      </c>
      <c r="E24" s="173">
        <v>805</v>
      </c>
      <c r="F24" s="191">
        <v>1220</v>
      </c>
      <c r="G24" s="190">
        <v>1430</v>
      </c>
      <c r="H24" s="172"/>
      <c r="I24" s="172"/>
      <c r="J24" s="171"/>
      <c r="L24" s="185" t="s">
        <v>155</v>
      </c>
      <c r="M24" s="163"/>
      <c r="N24" s="163"/>
      <c r="O24" s="163"/>
    </row>
    <row r="25" spans="1:16" x14ac:dyDescent="0.2">
      <c r="A25" s="174"/>
      <c r="B25" s="172"/>
      <c r="C25" s="192">
        <v>2011</v>
      </c>
      <c r="D25" s="173">
        <v>400</v>
      </c>
      <c r="E25" s="173">
        <v>820</v>
      </c>
      <c r="F25" s="191">
        <v>1280</v>
      </c>
      <c r="G25" s="190">
        <v>1490</v>
      </c>
      <c r="H25" s="172"/>
      <c r="I25" s="172"/>
      <c r="J25" s="171"/>
      <c r="M25" s="163"/>
      <c r="N25" s="163"/>
      <c r="O25" s="163"/>
    </row>
    <row r="26" spans="1:16" x14ac:dyDescent="0.2">
      <c r="A26" s="174"/>
      <c r="B26" s="172"/>
      <c r="C26" s="189">
        <v>2012</v>
      </c>
      <c r="D26" s="188">
        <v>400</v>
      </c>
      <c r="E26" s="188">
        <v>845</v>
      </c>
      <c r="F26" s="187">
        <v>1315</v>
      </c>
      <c r="G26" s="186">
        <v>1530</v>
      </c>
      <c r="H26" s="172"/>
      <c r="I26" s="172"/>
      <c r="J26" s="171"/>
      <c r="L26" s="199"/>
      <c r="M26" s="198" t="s">
        <v>154</v>
      </c>
      <c r="N26" s="198" t="s">
        <v>153</v>
      </c>
      <c r="O26" s="163"/>
    </row>
    <row r="27" spans="1:16" x14ac:dyDescent="0.2">
      <c r="A27" s="174"/>
      <c r="B27" s="172"/>
      <c r="C27" s="172"/>
      <c r="D27" s="172"/>
      <c r="E27" s="172"/>
      <c r="F27" s="172"/>
      <c r="G27" s="172"/>
      <c r="H27" s="172"/>
      <c r="I27" s="172"/>
      <c r="J27" s="171"/>
      <c r="L27" s="197" t="s">
        <v>27</v>
      </c>
      <c r="M27" s="193">
        <f>SUM(O17:O18)/SUM(N17:N18)</f>
        <v>1.4741535347120232</v>
      </c>
      <c r="N27" s="193">
        <f>P17/O17</f>
        <v>1.2302357559935431</v>
      </c>
      <c r="O27" s="163"/>
    </row>
    <row r="28" spans="1:16" x14ac:dyDescent="0.2">
      <c r="A28" s="174"/>
      <c r="B28" s="172" t="s">
        <v>152</v>
      </c>
      <c r="C28" s="172"/>
      <c r="D28" s="172"/>
      <c r="E28" s="172"/>
      <c r="F28" s="172"/>
      <c r="G28" s="172"/>
      <c r="H28" s="172"/>
      <c r="I28" s="172"/>
      <c r="J28" s="171"/>
      <c r="L28" s="197" t="s">
        <v>28</v>
      </c>
      <c r="M28" s="193">
        <f>N28*M27</f>
        <v>1.8135563882269996</v>
      </c>
      <c r="N28" s="193">
        <f>N27</f>
        <v>1.2302357559935431</v>
      </c>
      <c r="O28" s="163"/>
    </row>
    <row r="29" spans="1:16" x14ac:dyDescent="0.2">
      <c r="A29" s="174"/>
      <c r="B29" s="172"/>
      <c r="C29" s="172"/>
      <c r="D29" s="172"/>
      <c r="E29" s="172"/>
      <c r="F29" s="172"/>
      <c r="G29" s="172"/>
      <c r="H29" s="172"/>
      <c r="I29" s="172"/>
      <c r="J29" s="171"/>
      <c r="M29" s="163"/>
      <c r="N29" s="163"/>
      <c r="O29" s="163"/>
    </row>
    <row r="30" spans="1:16" x14ac:dyDescent="0.2">
      <c r="A30" s="174"/>
      <c r="B30" s="172"/>
      <c r="C30" s="196" t="s">
        <v>19</v>
      </c>
      <c r="D30" s="195" t="s">
        <v>151</v>
      </c>
      <c r="E30" s="195" t="s">
        <v>150</v>
      </c>
      <c r="F30" s="195" t="s">
        <v>149</v>
      </c>
      <c r="G30" s="194" t="s">
        <v>148</v>
      </c>
      <c r="H30" s="172"/>
      <c r="I30" s="172"/>
      <c r="J30" s="171"/>
      <c r="L30" s="185" t="s">
        <v>147</v>
      </c>
      <c r="M30" s="163"/>
      <c r="N30" s="163"/>
      <c r="O30" s="163"/>
    </row>
    <row r="31" spans="1:16" x14ac:dyDescent="0.2">
      <c r="A31" s="174"/>
      <c r="B31" s="172"/>
      <c r="C31" s="192">
        <v>2009</v>
      </c>
      <c r="D31" s="173">
        <v>370</v>
      </c>
      <c r="E31" s="173">
        <v>785</v>
      </c>
      <c r="F31" s="191">
        <v>1245</v>
      </c>
      <c r="G31" s="190">
        <v>1430</v>
      </c>
      <c r="H31" s="172"/>
      <c r="I31" s="172"/>
      <c r="J31" s="171"/>
      <c r="M31" s="163"/>
      <c r="N31" s="163"/>
      <c r="O31" s="163"/>
    </row>
    <row r="32" spans="1:16" x14ac:dyDescent="0.2">
      <c r="A32" s="174"/>
      <c r="B32" s="172"/>
      <c r="C32" s="192">
        <v>2010</v>
      </c>
      <c r="D32" s="173">
        <v>380</v>
      </c>
      <c r="E32" s="173">
        <v>810</v>
      </c>
      <c r="F32" s="191">
        <v>1245</v>
      </c>
      <c r="G32" s="190">
        <v>1480</v>
      </c>
      <c r="H32" s="172"/>
      <c r="I32" s="172"/>
      <c r="J32" s="171"/>
      <c r="L32" s="161" t="s">
        <v>146</v>
      </c>
      <c r="M32" s="193">
        <f>M28*(G25/G18)/(E25/E18)</f>
        <v>2.0970502360540588</v>
      </c>
      <c r="N32" s="163"/>
      <c r="O32" s="163"/>
    </row>
    <row r="33" spans="1:19" x14ac:dyDescent="0.2">
      <c r="A33" s="174"/>
      <c r="B33" s="172"/>
      <c r="C33" s="192">
        <v>2011</v>
      </c>
      <c r="D33" s="173">
        <v>400</v>
      </c>
      <c r="E33" s="173">
        <v>825</v>
      </c>
      <c r="F33" s="191">
        <v>1310</v>
      </c>
      <c r="G33" s="190">
        <v>1550</v>
      </c>
      <c r="H33" s="172"/>
      <c r="I33" s="172"/>
      <c r="J33" s="171"/>
      <c r="M33" s="163"/>
      <c r="N33" s="163"/>
      <c r="O33" s="163"/>
    </row>
    <row r="34" spans="1:19" x14ac:dyDescent="0.2">
      <c r="A34" s="174"/>
      <c r="B34" s="172"/>
      <c r="C34" s="189">
        <v>2012</v>
      </c>
      <c r="D34" s="188">
        <v>400</v>
      </c>
      <c r="E34" s="188">
        <v>850</v>
      </c>
      <c r="F34" s="187">
        <v>1350</v>
      </c>
      <c r="G34" s="186">
        <v>1600</v>
      </c>
      <c r="H34" s="172"/>
      <c r="I34" s="172"/>
      <c r="J34" s="171"/>
      <c r="L34" s="185" t="s">
        <v>145</v>
      </c>
      <c r="M34" s="163"/>
      <c r="N34" s="163"/>
      <c r="O34" s="163"/>
    </row>
    <row r="35" spans="1:19" ht="17" thickBot="1" x14ac:dyDescent="0.25">
      <c r="A35" s="174"/>
      <c r="B35" s="172"/>
      <c r="C35" s="173"/>
      <c r="D35" s="172"/>
      <c r="E35" s="172"/>
      <c r="F35" s="172"/>
      <c r="G35" s="172"/>
      <c r="H35" s="172"/>
      <c r="I35" s="172"/>
      <c r="J35" s="171"/>
      <c r="M35" s="163"/>
      <c r="N35" s="163"/>
      <c r="O35" s="163"/>
    </row>
    <row r="36" spans="1:19" ht="17" thickBot="1" x14ac:dyDescent="0.25">
      <c r="A36" s="174"/>
      <c r="B36" s="182" t="s">
        <v>144</v>
      </c>
      <c r="C36" s="173"/>
      <c r="D36" s="172"/>
      <c r="E36" s="172"/>
      <c r="F36" s="181">
        <v>5000</v>
      </c>
      <c r="G36" s="172"/>
      <c r="H36" s="172"/>
      <c r="I36" s="172"/>
      <c r="J36" s="171"/>
      <c r="L36" s="184" t="s">
        <v>143</v>
      </c>
      <c r="M36" s="183">
        <f>E9*(M32-1)</f>
        <v>14261.653068702764</v>
      </c>
      <c r="N36" s="163"/>
      <c r="O36" s="163"/>
    </row>
    <row r="37" spans="1:19" x14ac:dyDescent="0.2">
      <c r="A37" s="174"/>
      <c r="B37" s="182" t="s">
        <v>142</v>
      </c>
      <c r="C37" s="173"/>
      <c r="D37" s="172"/>
      <c r="E37" s="172"/>
      <c r="F37" s="181">
        <v>2500</v>
      </c>
      <c r="G37" s="172"/>
      <c r="H37" s="172"/>
      <c r="I37" s="172"/>
      <c r="J37" s="171"/>
      <c r="M37" s="164"/>
      <c r="N37" s="163"/>
      <c r="O37" s="176"/>
      <c r="P37" s="165"/>
    </row>
    <row r="38" spans="1:19" x14ac:dyDescent="0.2">
      <c r="A38" s="174"/>
      <c r="B38" s="182" t="s">
        <v>337</v>
      </c>
      <c r="C38" s="173"/>
      <c r="D38" s="172"/>
      <c r="E38" s="172"/>
      <c r="F38" s="181">
        <v>1000</v>
      </c>
      <c r="G38" s="172"/>
      <c r="H38" s="172"/>
      <c r="I38" s="172"/>
      <c r="J38" s="171"/>
      <c r="L38" s="180" t="s">
        <v>141</v>
      </c>
      <c r="M38" s="164"/>
      <c r="N38" s="163"/>
      <c r="O38" s="176"/>
      <c r="P38" s="165"/>
    </row>
    <row r="39" spans="1:19" x14ac:dyDescent="0.2">
      <c r="A39" s="174"/>
      <c r="B39" s="172"/>
      <c r="C39" s="173"/>
      <c r="D39" s="172"/>
      <c r="E39" s="172"/>
      <c r="F39" s="172"/>
      <c r="G39" s="172"/>
      <c r="H39" s="172"/>
      <c r="I39" s="172"/>
      <c r="J39" s="171"/>
      <c r="M39" s="164"/>
      <c r="N39" s="163"/>
      <c r="O39" s="176"/>
      <c r="P39" s="165"/>
    </row>
    <row r="40" spans="1:19" x14ac:dyDescent="0.2">
      <c r="A40" s="174"/>
      <c r="B40" s="175" t="s">
        <v>0</v>
      </c>
      <c r="C40" s="172"/>
      <c r="D40" s="172"/>
      <c r="E40" s="172"/>
      <c r="F40" s="172"/>
      <c r="G40" s="172"/>
      <c r="H40" s="172"/>
      <c r="I40" s="172"/>
      <c r="J40" s="171"/>
      <c r="L40" s="161" t="s">
        <v>140</v>
      </c>
      <c r="M40" s="179">
        <f>M28*((G33-G25)/G18)/((E33-E25)/E18)</f>
        <v>13.848976055551633</v>
      </c>
      <c r="N40" s="163"/>
      <c r="O40" s="176"/>
      <c r="P40" s="165"/>
    </row>
    <row r="41" spans="1:19" ht="17" thickBot="1" x14ac:dyDescent="0.25">
      <c r="A41" s="174"/>
      <c r="B41" s="175" t="s">
        <v>139</v>
      </c>
      <c r="C41" s="175"/>
      <c r="D41" s="172"/>
      <c r="E41" s="172"/>
      <c r="F41" s="172"/>
      <c r="G41" s="172"/>
      <c r="H41" s="172"/>
      <c r="I41" s="172"/>
      <c r="J41" s="171"/>
      <c r="M41" s="164"/>
      <c r="N41" s="163"/>
      <c r="O41" s="176"/>
      <c r="P41" s="165"/>
    </row>
    <row r="42" spans="1:19" ht="17" thickBot="1" x14ac:dyDescent="0.25">
      <c r="A42" s="174"/>
      <c r="B42" s="173"/>
      <c r="C42" s="173"/>
      <c r="D42" s="172"/>
      <c r="E42" s="172"/>
      <c r="F42" s="172"/>
      <c r="G42" s="172"/>
      <c r="H42" s="172"/>
      <c r="I42" s="172"/>
      <c r="J42" s="171"/>
      <c r="L42" s="178" t="s">
        <v>138</v>
      </c>
      <c r="M42" s="177">
        <f>F38*M40</f>
        <v>13848.976055551633</v>
      </c>
      <c r="N42" s="163"/>
      <c r="O42" s="176"/>
      <c r="P42" s="165"/>
    </row>
    <row r="43" spans="1:19" x14ac:dyDescent="0.2">
      <c r="A43" s="174"/>
      <c r="B43" s="175" t="s">
        <v>1</v>
      </c>
      <c r="C43" s="172"/>
      <c r="D43" s="172"/>
      <c r="E43" s="172"/>
      <c r="F43" s="172"/>
      <c r="G43" s="172"/>
      <c r="H43" s="172"/>
      <c r="I43" s="172"/>
      <c r="J43" s="171"/>
      <c r="M43" s="164"/>
      <c r="N43" s="163"/>
      <c r="O43" s="176"/>
      <c r="P43" s="165"/>
    </row>
    <row r="44" spans="1:19" x14ac:dyDescent="0.2">
      <c r="A44" s="174"/>
      <c r="B44" s="175" t="s">
        <v>137</v>
      </c>
      <c r="C44" s="175"/>
      <c r="D44" s="172"/>
      <c r="E44" s="172"/>
      <c r="F44" s="172"/>
      <c r="G44" s="172"/>
      <c r="H44" s="172"/>
      <c r="I44" s="172"/>
      <c r="J44" s="171"/>
      <c r="M44" s="164"/>
      <c r="N44" s="163"/>
      <c r="O44" s="176"/>
      <c r="P44" s="165"/>
    </row>
    <row r="45" spans="1:19" x14ac:dyDescent="0.2">
      <c r="A45" s="174"/>
      <c r="B45" s="173"/>
      <c r="C45" s="173"/>
      <c r="D45" s="172"/>
      <c r="E45" s="172"/>
      <c r="F45" s="172"/>
      <c r="G45" s="172"/>
      <c r="H45" s="172"/>
      <c r="I45" s="172"/>
      <c r="J45" s="171"/>
      <c r="M45" s="164"/>
      <c r="N45" s="163"/>
      <c r="O45" s="176"/>
      <c r="P45" s="165"/>
    </row>
    <row r="46" spans="1:19" ht="19" x14ac:dyDescent="0.25">
      <c r="A46" s="174"/>
      <c r="B46" s="175" t="s">
        <v>136</v>
      </c>
      <c r="C46" s="172"/>
      <c r="D46" s="172"/>
      <c r="E46" s="172"/>
      <c r="F46" s="172"/>
      <c r="G46" s="172"/>
      <c r="H46" s="172"/>
      <c r="I46" s="172"/>
      <c r="J46" s="171"/>
      <c r="L46" s="166" t="s">
        <v>42</v>
      </c>
      <c r="M46" s="164"/>
      <c r="N46" s="163"/>
      <c r="O46" s="176"/>
      <c r="P46" s="165"/>
    </row>
    <row r="47" spans="1:19" x14ac:dyDescent="0.2">
      <c r="A47" s="174"/>
      <c r="B47" s="175" t="s">
        <v>135</v>
      </c>
      <c r="C47" s="175"/>
      <c r="D47" s="172"/>
      <c r="E47" s="172"/>
      <c r="F47" s="172"/>
      <c r="G47" s="172"/>
      <c r="H47" s="172"/>
      <c r="I47" s="172"/>
      <c r="J47" s="171"/>
      <c r="L47" s="309" t="s">
        <v>134</v>
      </c>
      <c r="M47" s="309"/>
      <c r="N47" s="309"/>
      <c r="O47" s="309"/>
      <c r="P47" s="309"/>
      <c r="Q47" s="309"/>
      <c r="R47" s="309"/>
      <c r="S47" s="309"/>
    </row>
    <row r="48" spans="1:19" ht="17" thickBot="1" x14ac:dyDescent="0.25">
      <c r="A48" s="174"/>
      <c r="B48" s="172"/>
      <c r="C48" s="173"/>
      <c r="D48" s="172"/>
      <c r="E48" s="172"/>
      <c r="F48" s="172"/>
      <c r="G48" s="172"/>
      <c r="H48" s="172"/>
      <c r="I48" s="172"/>
      <c r="J48" s="171"/>
      <c r="L48" s="309"/>
      <c r="M48" s="309"/>
      <c r="N48" s="309"/>
      <c r="O48" s="309"/>
      <c r="P48" s="309"/>
      <c r="Q48" s="309"/>
      <c r="R48" s="309"/>
      <c r="S48" s="309"/>
    </row>
    <row r="49" spans="1:19" ht="17" thickBot="1" x14ac:dyDescent="0.25">
      <c r="A49" s="170" t="s">
        <v>109</v>
      </c>
      <c r="B49" s="169"/>
      <c r="C49" s="168"/>
      <c r="D49" s="168"/>
      <c r="E49" s="168"/>
      <c r="F49" s="168"/>
      <c r="G49" s="168"/>
      <c r="H49" s="168"/>
      <c r="I49" s="168"/>
      <c r="J49" s="167"/>
      <c r="L49" s="309"/>
      <c r="M49" s="309"/>
      <c r="N49" s="309"/>
      <c r="O49" s="309"/>
      <c r="P49" s="309"/>
      <c r="Q49" s="309"/>
      <c r="R49" s="309"/>
      <c r="S49" s="309"/>
    </row>
    <row r="50" spans="1:19" x14ac:dyDescent="0.2">
      <c r="M50" s="165"/>
      <c r="N50" s="163"/>
      <c r="O50" s="163"/>
      <c r="P50" s="165"/>
    </row>
    <row r="51" spans="1:19" x14ac:dyDescent="0.2">
      <c r="M51" s="165"/>
      <c r="N51" s="163"/>
      <c r="O51" s="163"/>
      <c r="P51" s="165"/>
    </row>
    <row r="52" spans="1:19" ht="19" x14ac:dyDescent="0.25">
      <c r="L52" s="166" t="s">
        <v>121</v>
      </c>
      <c r="M52" s="165"/>
      <c r="N52" s="163"/>
      <c r="O52" s="163"/>
      <c r="P52" s="165"/>
    </row>
    <row r="53" spans="1:19" x14ac:dyDescent="0.2">
      <c r="L53" s="161" t="s">
        <v>122</v>
      </c>
      <c r="M53" s="163"/>
      <c r="N53" s="163"/>
      <c r="O53" s="163"/>
    </row>
    <row r="54" spans="1:19" x14ac:dyDescent="0.2">
      <c r="L54" s="161" t="s">
        <v>123</v>
      </c>
      <c r="M54" s="163"/>
      <c r="N54" s="163"/>
      <c r="O54" s="163"/>
    </row>
    <row r="55" spans="1:19" x14ac:dyDescent="0.2">
      <c r="M55" s="164"/>
      <c r="N55" s="163"/>
      <c r="O55" s="163"/>
    </row>
    <row r="57" spans="1:19" x14ac:dyDescent="0.2">
      <c r="M57" s="163"/>
    </row>
    <row r="60" spans="1:19" x14ac:dyDescent="0.2">
      <c r="M60" s="162"/>
    </row>
  </sheetData>
  <mergeCells count="3">
    <mergeCell ref="C5:C6"/>
    <mergeCell ref="D5:G5"/>
    <mergeCell ref="L47:S4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9351F-6A46-7B4A-8C48-2E37FBEB83E1}">
  <dimension ref="A1:S47"/>
  <sheetViews>
    <sheetView zoomScaleNormal="100" workbookViewId="0"/>
  </sheetViews>
  <sheetFormatPr baseColWidth="10" defaultColWidth="11" defaultRowHeight="16" outlineLevelCol="1" x14ac:dyDescent="0.2"/>
  <cols>
    <col min="1" max="1" width="4.5" customWidth="1"/>
    <col min="2" max="10" width="10.83203125" customWidth="1"/>
    <col min="12" max="12" width="16" style="161" hidden="1" customWidth="1" outlineLevel="1"/>
    <col min="13" max="18" width="10.83203125" hidden="1" customWidth="1" outlineLevel="1"/>
    <col min="19" max="19" width="11" collapsed="1"/>
  </cols>
  <sheetData>
    <row r="1" spans="1:17" ht="19" x14ac:dyDescent="0.25">
      <c r="A1" s="217" t="s">
        <v>188</v>
      </c>
      <c r="B1" s="210"/>
      <c r="C1" s="209"/>
      <c r="D1" s="209"/>
      <c r="E1" s="209"/>
      <c r="F1" s="208"/>
      <c r="G1" s="208"/>
      <c r="H1" s="208"/>
      <c r="I1" s="208"/>
      <c r="J1" s="207"/>
      <c r="K1" s="216" t="s">
        <v>110</v>
      </c>
    </row>
    <row r="2" spans="1:17" x14ac:dyDescent="0.2">
      <c r="A2" s="174"/>
      <c r="B2" s="172"/>
      <c r="C2" s="172"/>
      <c r="D2" s="172"/>
      <c r="E2" s="172"/>
      <c r="F2" s="172"/>
      <c r="G2" s="172"/>
      <c r="H2" s="172"/>
      <c r="I2" s="172"/>
      <c r="J2" s="171"/>
    </row>
    <row r="3" spans="1:17" x14ac:dyDescent="0.2">
      <c r="A3" s="174"/>
      <c r="B3" s="172" t="s">
        <v>167</v>
      </c>
      <c r="C3" s="172"/>
      <c r="D3" s="172"/>
      <c r="E3" s="172"/>
      <c r="F3" s="172"/>
      <c r="G3" s="172"/>
      <c r="H3" s="172"/>
      <c r="I3" s="172"/>
      <c r="J3" s="171"/>
      <c r="L3" s="180" t="s">
        <v>166</v>
      </c>
    </row>
    <row r="4" spans="1:17" x14ac:dyDescent="0.2">
      <c r="A4" s="174"/>
      <c r="B4" s="172"/>
      <c r="C4" s="172"/>
      <c r="D4" s="172"/>
      <c r="E4" s="172"/>
      <c r="F4" s="172"/>
      <c r="G4" s="172"/>
      <c r="H4" s="172"/>
      <c r="I4" s="172"/>
      <c r="J4" s="171"/>
    </row>
    <row r="5" spans="1:17" x14ac:dyDescent="0.2">
      <c r="A5" s="174"/>
      <c r="B5" s="172"/>
      <c r="C5" s="304" t="s">
        <v>19</v>
      </c>
      <c r="D5" s="306" t="s">
        <v>165</v>
      </c>
      <c r="E5" s="307"/>
      <c r="F5" s="307"/>
      <c r="G5" s="308"/>
      <c r="H5" s="172"/>
      <c r="I5" s="172"/>
      <c r="J5" s="171"/>
      <c r="L5" s="161" t="s">
        <v>187</v>
      </c>
      <c r="M5" s="203">
        <f>D17/E17</f>
        <v>0.834005376344086</v>
      </c>
      <c r="N5" s="161" t="s">
        <v>186</v>
      </c>
      <c r="O5" s="163"/>
    </row>
    <row r="6" spans="1:17" x14ac:dyDescent="0.2">
      <c r="A6" s="174"/>
      <c r="B6" s="172"/>
      <c r="C6" s="305"/>
      <c r="D6" s="188" t="s">
        <v>151</v>
      </c>
      <c r="E6" s="188" t="s">
        <v>150</v>
      </c>
      <c r="F6" s="188" t="s">
        <v>149</v>
      </c>
      <c r="G6" s="201" t="s">
        <v>148</v>
      </c>
      <c r="H6" s="172"/>
      <c r="I6" s="172"/>
      <c r="J6" s="171"/>
      <c r="L6" s="161" t="s">
        <v>185</v>
      </c>
      <c r="M6" s="215">
        <f>M5+(1-M5)*D25</f>
        <v>0.9336021505376344</v>
      </c>
      <c r="N6" s="161" t="s">
        <v>184</v>
      </c>
      <c r="O6" s="163"/>
    </row>
    <row r="7" spans="1:17" x14ac:dyDescent="0.2">
      <c r="A7" s="174"/>
      <c r="B7" s="172"/>
      <c r="C7" s="192">
        <v>2009</v>
      </c>
      <c r="D7" s="191">
        <v>4000</v>
      </c>
      <c r="E7" s="191">
        <v>12000</v>
      </c>
      <c r="F7" s="191">
        <v>19200</v>
      </c>
      <c r="G7" s="190">
        <v>24000</v>
      </c>
      <c r="H7" s="172"/>
      <c r="I7" s="172"/>
      <c r="J7" s="171"/>
      <c r="M7" s="193"/>
      <c r="N7" s="163"/>
      <c r="O7" s="163"/>
    </row>
    <row r="8" spans="1:17" x14ac:dyDescent="0.2">
      <c r="A8" s="174"/>
      <c r="B8" s="172"/>
      <c r="C8" s="192">
        <v>2010</v>
      </c>
      <c r="D8" s="191">
        <v>4800</v>
      </c>
      <c r="E8" s="191">
        <v>14000</v>
      </c>
      <c r="F8" s="191">
        <v>22400</v>
      </c>
      <c r="G8" s="202"/>
      <c r="H8" s="172"/>
      <c r="I8" s="172"/>
      <c r="J8" s="171"/>
      <c r="L8" s="185" t="s">
        <v>183</v>
      </c>
      <c r="M8" s="193"/>
      <c r="N8" s="163"/>
      <c r="O8" s="163"/>
    </row>
    <row r="9" spans="1:17" x14ac:dyDescent="0.2">
      <c r="A9" s="174"/>
      <c r="B9" s="172"/>
      <c r="C9" s="192">
        <v>2011</v>
      </c>
      <c r="D9" s="191">
        <v>4200</v>
      </c>
      <c r="E9" s="191">
        <v>13000</v>
      </c>
      <c r="F9" s="173"/>
      <c r="G9" s="202"/>
      <c r="H9" s="172"/>
      <c r="I9" s="172"/>
      <c r="J9" s="171"/>
      <c r="M9" s="163"/>
      <c r="N9" s="163"/>
      <c r="O9" s="163"/>
    </row>
    <row r="10" spans="1:17" x14ac:dyDescent="0.2">
      <c r="A10" s="174"/>
      <c r="B10" s="172"/>
      <c r="C10" s="189">
        <v>2012</v>
      </c>
      <c r="D10" s="187">
        <v>4500</v>
      </c>
      <c r="E10" s="188"/>
      <c r="F10" s="188"/>
      <c r="G10" s="201"/>
      <c r="H10" s="172"/>
      <c r="I10" s="172"/>
      <c r="J10" s="171"/>
      <c r="L10" s="199"/>
      <c r="M10" s="198" t="s">
        <v>154</v>
      </c>
      <c r="N10" s="198" t="s">
        <v>153</v>
      </c>
      <c r="O10" s="163"/>
    </row>
    <row r="11" spans="1:17" x14ac:dyDescent="0.2">
      <c r="A11" s="174"/>
      <c r="B11" s="172"/>
      <c r="C11" s="172"/>
      <c r="D11" s="172"/>
      <c r="E11" s="172"/>
      <c r="F11" s="172"/>
      <c r="G11" s="172"/>
      <c r="H11" s="172"/>
      <c r="I11" s="172"/>
      <c r="J11" s="171"/>
      <c r="L11" s="197" t="s">
        <v>27</v>
      </c>
      <c r="M11" s="193">
        <f>SUM(F7:F8)/SUM(E7:E8)</f>
        <v>1.6</v>
      </c>
      <c r="N11" s="193">
        <f>G7/F7</f>
        <v>1.25</v>
      </c>
      <c r="O11" s="163"/>
    </row>
    <row r="12" spans="1:17" x14ac:dyDescent="0.2">
      <c r="A12" s="174"/>
      <c r="B12" s="172" t="s">
        <v>182</v>
      </c>
      <c r="C12" s="172"/>
      <c r="D12" s="172"/>
      <c r="E12" s="172"/>
      <c r="F12" s="172"/>
      <c r="G12" s="172"/>
      <c r="H12" s="172"/>
      <c r="I12" s="172"/>
      <c r="J12" s="171"/>
      <c r="L12" s="197" t="s">
        <v>28</v>
      </c>
      <c r="M12" s="193">
        <f>M11*N12</f>
        <v>2</v>
      </c>
      <c r="N12" s="193">
        <f>N11</f>
        <v>1.25</v>
      </c>
      <c r="O12" s="163"/>
    </row>
    <row r="13" spans="1:17" x14ac:dyDescent="0.2">
      <c r="A13" s="174"/>
      <c r="B13" s="172"/>
      <c r="C13" s="172"/>
      <c r="D13" s="172"/>
      <c r="E13" s="172"/>
      <c r="F13" s="172"/>
      <c r="G13" s="172"/>
      <c r="H13" s="172"/>
      <c r="I13" s="172"/>
      <c r="J13" s="171"/>
      <c r="M13" s="163"/>
      <c r="N13" s="163"/>
      <c r="O13" s="163"/>
    </row>
    <row r="14" spans="1:17" x14ac:dyDescent="0.2">
      <c r="A14" s="174"/>
      <c r="B14" s="172"/>
      <c r="C14" s="196" t="s">
        <v>19</v>
      </c>
      <c r="D14" s="195" t="s">
        <v>181</v>
      </c>
      <c r="E14" s="194" t="s">
        <v>180</v>
      </c>
      <c r="F14" s="173"/>
      <c r="G14" s="172"/>
      <c r="H14" s="172"/>
      <c r="I14" s="172"/>
      <c r="J14" s="171"/>
      <c r="L14" s="185" t="s">
        <v>179</v>
      </c>
      <c r="M14" s="163"/>
      <c r="N14" s="163"/>
      <c r="O14" s="163"/>
    </row>
    <row r="15" spans="1:17" ht="17" thickBot="1" x14ac:dyDescent="0.25">
      <c r="A15" s="174"/>
      <c r="B15" s="172"/>
      <c r="C15" s="192">
        <v>2009</v>
      </c>
      <c r="D15" s="191">
        <v>1191</v>
      </c>
      <c r="E15" s="190">
        <v>1404</v>
      </c>
      <c r="F15" s="191"/>
      <c r="G15" s="172"/>
      <c r="H15" s="172"/>
      <c r="I15" s="172"/>
      <c r="J15" s="171"/>
      <c r="M15" s="163"/>
      <c r="N15" s="163"/>
      <c r="O15" s="163"/>
    </row>
    <row r="16" spans="1:17" ht="17" thickBot="1" x14ac:dyDescent="0.25">
      <c r="A16" s="174"/>
      <c r="B16" s="172"/>
      <c r="C16" s="192">
        <v>2010</v>
      </c>
      <c r="D16" s="191">
        <v>1217</v>
      </c>
      <c r="E16" s="190">
        <v>1446</v>
      </c>
      <c r="F16" s="191"/>
      <c r="G16" s="172"/>
      <c r="H16" s="172"/>
      <c r="I16" s="172"/>
      <c r="J16" s="171"/>
      <c r="L16" s="214" t="s">
        <v>178</v>
      </c>
      <c r="M16" s="213">
        <f>M12*M5/M6</f>
        <v>1.7866397926864381</v>
      </c>
      <c r="N16" s="161" t="s">
        <v>177</v>
      </c>
      <c r="O16" s="163"/>
      <c r="P16" s="163"/>
      <c r="Q16" s="163"/>
    </row>
    <row r="17" spans="1:18" x14ac:dyDescent="0.2">
      <c r="A17" s="174"/>
      <c r="B17" s="172"/>
      <c r="C17" s="192">
        <v>2011</v>
      </c>
      <c r="D17" s="191">
        <v>1241</v>
      </c>
      <c r="E17" s="190">
        <v>1488</v>
      </c>
      <c r="F17" s="191"/>
      <c r="G17" s="172"/>
      <c r="H17" s="172"/>
      <c r="I17" s="172"/>
      <c r="J17" s="171"/>
      <c r="L17" s="163"/>
      <c r="M17" s="212"/>
      <c r="N17" s="212"/>
      <c r="O17" s="212"/>
      <c r="P17" s="212"/>
      <c r="Q17" s="212"/>
    </row>
    <row r="18" spans="1:18" x14ac:dyDescent="0.2">
      <c r="A18" s="174"/>
      <c r="B18" s="172"/>
      <c r="C18" s="189">
        <v>2012</v>
      </c>
      <c r="D18" s="187">
        <v>1265</v>
      </c>
      <c r="E18" s="186">
        <v>1530</v>
      </c>
      <c r="F18" s="191"/>
      <c r="G18" s="172"/>
      <c r="H18" s="172"/>
      <c r="I18" s="172"/>
      <c r="J18" s="171"/>
      <c r="Q18" s="212"/>
    </row>
    <row r="19" spans="1:18" x14ac:dyDescent="0.2">
      <c r="A19" s="174"/>
      <c r="B19" s="172"/>
      <c r="C19" s="172"/>
      <c r="D19" s="172"/>
      <c r="E19" s="172"/>
      <c r="F19" s="172"/>
      <c r="G19" s="172"/>
      <c r="H19" s="172"/>
      <c r="I19" s="172"/>
      <c r="J19" s="171"/>
      <c r="L19" s="180" t="s">
        <v>159</v>
      </c>
      <c r="M19" s="212"/>
      <c r="N19" s="212"/>
      <c r="O19" s="212"/>
      <c r="P19" s="212"/>
      <c r="Q19" s="212"/>
    </row>
    <row r="20" spans="1:18" x14ac:dyDescent="0.2">
      <c r="A20" s="174"/>
      <c r="B20" s="172" t="s">
        <v>176</v>
      </c>
      <c r="C20" s="172"/>
      <c r="D20" s="172"/>
      <c r="E20" s="172"/>
      <c r="F20" s="172"/>
      <c r="G20" s="172"/>
      <c r="H20" s="172"/>
      <c r="I20" s="172"/>
      <c r="J20" s="171"/>
      <c r="M20" s="212"/>
      <c r="N20" s="212"/>
      <c r="O20" s="212"/>
      <c r="P20" s="212"/>
      <c r="Q20" s="212"/>
    </row>
    <row r="21" spans="1:18" x14ac:dyDescent="0.2">
      <c r="A21" s="174"/>
      <c r="B21" s="172" t="s">
        <v>175</v>
      </c>
      <c r="C21" s="172"/>
      <c r="D21" s="172"/>
      <c r="E21" s="172"/>
      <c r="F21" s="172"/>
      <c r="G21" s="172"/>
      <c r="H21" s="172"/>
      <c r="I21" s="172"/>
      <c r="J21" s="171"/>
      <c r="L21" s="161" t="s">
        <v>174</v>
      </c>
      <c r="M21" s="193">
        <f>M12*(1-M5)/(1-M6)</f>
        <v>5</v>
      </c>
      <c r="N21" s="161" t="s">
        <v>173</v>
      </c>
      <c r="O21" s="212"/>
      <c r="P21" s="212"/>
    </row>
    <row r="22" spans="1:18" x14ac:dyDescent="0.2">
      <c r="A22" s="174"/>
      <c r="B22" s="172"/>
      <c r="C22" s="172"/>
      <c r="D22" s="172"/>
      <c r="E22" s="172"/>
      <c r="F22" s="172"/>
      <c r="G22" s="172"/>
      <c r="H22" s="172"/>
      <c r="I22" s="172"/>
      <c r="J22" s="171"/>
      <c r="M22" s="163"/>
      <c r="N22" s="163"/>
      <c r="O22" s="163"/>
    </row>
    <row r="23" spans="1:18" x14ac:dyDescent="0.2">
      <c r="A23" s="174"/>
      <c r="B23" s="172"/>
      <c r="C23" s="196" t="s">
        <v>172</v>
      </c>
      <c r="D23" s="194" t="s">
        <v>82</v>
      </c>
      <c r="E23" s="172"/>
      <c r="F23" s="172"/>
      <c r="G23" s="172"/>
      <c r="H23" s="172"/>
      <c r="I23" s="172"/>
      <c r="J23" s="171"/>
      <c r="M23" s="163"/>
      <c r="N23" s="163"/>
      <c r="O23" s="163"/>
    </row>
    <row r="24" spans="1:18" ht="19" x14ac:dyDescent="0.25">
      <c r="A24" s="174"/>
      <c r="B24" s="172"/>
      <c r="C24" s="192">
        <v>1</v>
      </c>
      <c r="D24" s="202">
        <v>0.9</v>
      </c>
      <c r="E24" s="172"/>
      <c r="F24" s="172"/>
      <c r="G24" s="172"/>
      <c r="H24" s="172"/>
      <c r="I24" s="172"/>
      <c r="J24" s="171"/>
      <c r="L24" s="166" t="s">
        <v>42</v>
      </c>
      <c r="M24" s="163"/>
      <c r="N24" s="163"/>
      <c r="O24" s="163"/>
    </row>
    <row r="25" spans="1:18" ht="16" customHeight="1" x14ac:dyDescent="0.2">
      <c r="A25" s="174"/>
      <c r="B25" s="172"/>
      <c r="C25" s="192">
        <v>2</v>
      </c>
      <c r="D25" s="202">
        <v>0.6</v>
      </c>
      <c r="E25" s="172"/>
      <c r="F25" s="172"/>
      <c r="G25" s="172"/>
      <c r="H25" s="172"/>
      <c r="I25" s="172"/>
      <c r="J25" s="171"/>
      <c r="L25" s="309" t="s">
        <v>171</v>
      </c>
      <c r="M25" s="309"/>
      <c r="N25" s="309"/>
      <c r="O25" s="309"/>
      <c r="P25" s="309"/>
      <c r="Q25" s="309"/>
      <c r="R25" s="309"/>
    </row>
    <row r="26" spans="1:18" x14ac:dyDescent="0.2">
      <c r="A26" s="174"/>
      <c r="B26" s="172"/>
      <c r="C26" s="189">
        <v>3</v>
      </c>
      <c r="D26" s="201">
        <v>0.4</v>
      </c>
      <c r="E26" s="172"/>
      <c r="F26" s="172"/>
      <c r="G26" s="172"/>
      <c r="H26" s="172"/>
      <c r="I26" s="172"/>
      <c r="J26" s="171"/>
      <c r="L26" s="309"/>
      <c r="M26" s="309"/>
      <c r="N26" s="309"/>
      <c r="O26" s="309"/>
      <c r="P26" s="309"/>
      <c r="Q26" s="309"/>
      <c r="R26" s="309"/>
    </row>
    <row r="27" spans="1:18" x14ac:dyDescent="0.2">
      <c r="A27" s="174"/>
      <c r="B27" s="172"/>
      <c r="C27" s="172"/>
      <c r="D27" s="172"/>
      <c r="E27" s="172"/>
      <c r="F27" s="172"/>
      <c r="G27" s="172"/>
      <c r="H27" s="172"/>
      <c r="I27" s="172"/>
      <c r="J27" s="171"/>
      <c r="L27" s="309"/>
      <c r="M27" s="309"/>
      <c r="N27" s="309"/>
      <c r="O27" s="309"/>
      <c r="P27" s="309"/>
      <c r="Q27" s="309"/>
      <c r="R27" s="309"/>
    </row>
    <row r="28" spans="1:18" x14ac:dyDescent="0.2">
      <c r="A28" s="174"/>
      <c r="B28" s="182" t="s">
        <v>144</v>
      </c>
      <c r="C28" s="173"/>
      <c r="D28" s="172"/>
      <c r="E28" s="181">
        <v>5000</v>
      </c>
      <c r="F28" s="172"/>
      <c r="G28" s="172"/>
      <c r="H28" s="172"/>
      <c r="I28" s="172"/>
      <c r="J28" s="171"/>
      <c r="L28" s="309"/>
      <c r="M28" s="309"/>
      <c r="N28" s="309"/>
      <c r="O28" s="309"/>
      <c r="P28" s="309"/>
      <c r="Q28" s="309"/>
      <c r="R28" s="309"/>
    </row>
    <row r="29" spans="1:18" x14ac:dyDescent="0.2">
      <c r="A29" s="174"/>
      <c r="B29" s="182" t="s">
        <v>142</v>
      </c>
      <c r="C29" s="173"/>
      <c r="D29" s="172"/>
      <c r="E29" s="181">
        <v>5000</v>
      </c>
      <c r="F29" s="172"/>
      <c r="G29" s="172"/>
      <c r="H29" s="172"/>
      <c r="I29" s="172"/>
      <c r="J29" s="171"/>
      <c r="L29" s="309"/>
      <c r="M29" s="309"/>
      <c r="N29" s="309"/>
      <c r="O29" s="309"/>
      <c r="P29" s="309"/>
      <c r="Q29" s="309"/>
      <c r="R29" s="309"/>
    </row>
    <row r="30" spans="1:18" x14ac:dyDescent="0.2">
      <c r="A30" s="174"/>
      <c r="B30" s="172"/>
      <c r="C30" s="173"/>
      <c r="D30" s="172"/>
      <c r="E30" s="172"/>
      <c r="F30" s="172"/>
      <c r="G30" s="172"/>
      <c r="H30" s="172"/>
      <c r="I30" s="172"/>
      <c r="J30" s="171"/>
      <c r="M30" s="164"/>
      <c r="N30" s="163"/>
      <c r="O30" s="176"/>
      <c r="P30" s="165"/>
      <c r="Q30" s="165"/>
    </row>
    <row r="31" spans="1:18" ht="19" x14ac:dyDescent="0.25">
      <c r="A31" s="174"/>
      <c r="B31" s="175" t="s">
        <v>0</v>
      </c>
      <c r="C31" s="172"/>
      <c r="D31" s="172"/>
      <c r="E31" s="172"/>
      <c r="F31" s="172"/>
      <c r="G31" s="172"/>
      <c r="H31" s="172"/>
      <c r="I31" s="172"/>
      <c r="J31" s="171"/>
      <c r="L31" s="166" t="s">
        <v>121</v>
      </c>
      <c r="M31" s="164"/>
      <c r="N31" s="163"/>
      <c r="O31" s="176"/>
      <c r="P31" s="165"/>
      <c r="Q31" s="165"/>
    </row>
    <row r="32" spans="1:18" x14ac:dyDescent="0.2">
      <c r="A32" s="174"/>
      <c r="B32" s="175" t="s">
        <v>170</v>
      </c>
      <c r="C32" s="175"/>
      <c r="D32" s="172"/>
      <c r="E32" s="172"/>
      <c r="F32" s="172"/>
      <c r="G32" s="172"/>
      <c r="H32" s="172"/>
      <c r="I32" s="172"/>
      <c r="J32" s="171"/>
      <c r="L32" s="161" t="s">
        <v>124</v>
      </c>
      <c r="M32" s="164"/>
      <c r="N32" s="163"/>
      <c r="O32" s="176"/>
      <c r="P32" s="165"/>
      <c r="Q32" s="165"/>
    </row>
    <row r="33" spans="1:17" x14ac:dyDescent="0.2">
      <c r="A33" s="174"/>
      <c r="B33" s="173"/>
      <c r="C33" s="173"/>
      <c r="D33" s="172"/>
      <c r="E33" s="172"/>
      <c r="F33" s="172"/>
      <c r="G33" s="172"/>
      <c r="H33" s="172"/>
      <c r="I33" s="172"/>
      <c r="J33" s="171"/>
      <c r="M33" s="164"/>
      <c r="N33" s="163"/>
      <c r="O33" s="176"/>
      <c r="P33" s="165"/>
      <c r="Q33" s="165"/>
    </row>
    <row r="34" spans="1:17" x14ac:dyDescent="0.2">
      <c r="A34" s="174"/>
      <c r="B34" s="175" t="s">
        <v>1</v>
      </c>
      <c r="C34" s="172"/>
      <c r="D34" s="172"/>
      <c r="E34" s="172"/>
      <c r="F34" s="172"/>
      <c r="G34" s="172"/>
      <c r="H34" s="172"/>
      <c r="I34" s="172"/>
      <c r="J34" s="171"/>
      <c r="M34" s="164"/>
      <c r="N34" s="163"/>
      <c r="O34" s="176"/>
      <c r="P34" s="165"/>
      <c r="Q34" s="165"/>
    </row>
    <row r="35" spans="1:17" x14ac:dyDescent="0.2">
      <c r="A35" s="174"/>
      <c r="B35" s="175" t="s">
        <v>169</v>
      </c>
      <c r="C35" s="173"/>
      <c r="D35" s="172"/>
      <c r="E35" s="172"/>
      <c r="F35" s="172"/>
      <c r="G35" s="172"/>
      <c r="H35" s="172"/>
      <c r="I35" s="172"/>
      <c r="J35" s="171"/>
      <c r="M35" s="164"/>
      <c r="N35" s="163"/>
      <c r="O35" s="176"/>
      <c r="P35" s="165"/>
      <c r="Q35" s="165"/>
    </row>
    <row r="36" spans="1:17" ht="17" thickBot="1" x14ac:dyDescent="0.25">
      <c r="A36" s="174"/>
      <c r="B36" s="211"/>
      <c r="C36" s="172"/>
      <c r="D36" s="172"/>
      <c r="E36" s="172"/>
      <c r="F36" s="172"/>
      <c r="G36" s="172"/>
      <c r="H36" s="172"/>
      <c r="I36" s="172"/>
      <c r="J36" s="171"/>
      <c r="M36" s="164"/>
      <c r="N36" s="163"/>
      <c r="O36" s="176"/>
      <c r="P36" s="165"/>
      <c r="Q36" s="165"/>
    </row>
    <row r="37" spans="1:17" ht="17" thickBot="1" x14ac:dyDescent="0.25">
      <c r="A37" s="170" t="s">
        <v>109</v>
      </c>
      <c r="B37" s="168"/>
      <c r="C37" s="168"/>
      <c r="D37" s="168"/>
      <c r="E37" s="168"/>
      <c r="F37" s="168"/>
      <c r="G37" s="168"/>
      <c r="H37" s="168"/>
      <c r="I37" s="168"/>
      <c r="J37" s="167"/>
      <c r="M37" s="165"/>
      <c r="N37" s="163"/>
      <c r="O37" s="163"/>
      <c r="P37" s="165"/>
      <c r="Q37" s="165"/>
    </row>
    <row r="38" spans="1:17" x14ac:dyDescent="0.2">
      <c r="M38" s="165"/>
      <c r="N38" s="163"/>
      <c r="O38" s="163"/>
      <c r="P38" s="165"/>
      <c r="Q38" s="165"/>
    </row>
    <row r="39" spans="1:17" x14ac:dyDescent="0.2">
      <c r="M39" s="165"/>
      <c r="N39" s="163"/>
      <c r="O39" s="163"/>
      <c r="P39" s="165"/>
      <c r="Q39" s="165"/>
    </row>
    <row r="40" spans="1:17" x14ac:dyDescent="0.2">
      <c r="M40" s="163"/>
      <c r="N40" s="163"/>
      <c r="O40" s="163"/>
    </row>
    <row r="41" spans="1:17" x14ac:dyDescent="0.2">
      <c r="M41" s="163"/>
      <c r="N41" s="163"/>
      <c r="O41" s="163"/>
    </row>
    <row r="42" spans="1:17" x14ac:dyDescent="0.2">
      <c r="M42" s="164"/>
      <c r="N42" s="163"/>
      <c r="O42" s="163"/>
    </row>
    <row r="44" spans="1:17" x14ac:dyDescent="0.2">
      <c r="M44" s="163"/>
    </row>
    <row r="47" spans="1:17" x14ac:dyDescent="0.2">
      <c r="M47" s="162"/>
    </row>
  </sheetData>
  <mergeCells count="3">
    <mergeCell ref="D5:G5"/>
    <mergeCell ref="C5:C6"/>
    <mergeCell ref="L25:R2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D6A3-D4E5-344F-B3D3-1D8455BE1097}">
  <dimension ref="A1:S41"/>
  <sheetViews>
    <sheetView workbookViewId="0">
      <selection activeCell="B1" sqref="B1"/>
    </sheetView>
  </sheetViews>
  <sheetFormatPr baseColWidth="10" defaultColWidth="11" defaultRowHeight="16" outlineLevelCol="1" x14ac:dyDescent="0.2"/>
  <cols>
    <col min="1" max="1" width="4" style="161" customWidth="1"/>
    <col min="2" max="2" width="11.5" customWidth="1"/>
    <col min="3" max="3" width="11.6640625" customWidth="1"/>
    <col min="12" max="18" width="10.83203125" hidden="1" customWidth="1" outlineLevel="1"/>
    <col min="19" max="19" width="11" collapsed="1"/>
  </cols>
  <sheetData>
    <row r="1" spans="1:16" x14ac:dyDescent="0.2">
      <c r="A1" s="255"/>
      <c r="B1" s="210" t="s">
        <v>262</v>
      </c>
      <c r="C1" s="209" t="s">
        <v>261</v>
      </c>
      <c r="D1" s="209" t="s">
        <v>260</v>
      </c>
      <c r="E1" s="209" t="s">
        <v>259</v>
      </c>
      <c r="F1" s="208"/>
      <c r="G1" s="208"/>
      <c r="H1" s="208"/>
      <c r="I1" s="208"/>
      <c r="J1" s="207"/>
      <c r="K1" s="216" t="s">
        <v>110</v>
      </c>
      <c r="L1" s="216"/>
    </row>
    <row r="2" spans="1:16" x14ac:dyDescent="0.2">
      <c r="A2" s="225"/>
      <c r="B2" s="254" t="s">
        <v>258</v>
      </c>
      <c r="C2" s="253">
        <v>2.25</v>
      </c>
      <c r="D2" s="172"/>
      <c r="E2" s="172"/>
      <c r="F2" s="172"/>
      <c r="G2" s="172"/>
      <c r="H2" s="172"/>
      <c r="I2" s="172"/>
      <c r="J2" s="171"/>
      <c r="L2" s="236" t="s">
        <v>257</v>
      </c>
    </row>
    <row r="3" spans="1:16" ht="16" customHeight="1" x14ac:dyDescent="0.2">
      <c r="A3" s="225"/>
      <c r="B3" s="172"/>
      <c r="C3" s="172"/>
      <c r="D3" s="172"/>
      <c r="E3" s="172"/>
      <c r="F3" s="172"/>
      <c r="G3" s="172"/>
      <c r="H3" s="172"/>
      <c r="I3" s="172"/>
      <c r="J3" s="171"/>
      <c r="M3" s="236"/>
      <c r="N3" s="236"/>
      <c r="O3" s="236"/>
      <c r="P3" s="236"/>
    </row>
    <row r="4" spans="1:16" ht="16" customHeight="1" x14ac:dyDescent="0.2">
      <c r="A4" s="225"/>
      <c r="B4" s="172"/>
      <c r="C4" s="172" t="s">
        <v>256</v>
      </c>
      <c r="D4" s="172"/>
      <c r="E4" s="172"/>
      <c r="F4" s="172"/>
      <c r="G4" s="172"/>
      <c r="H4" s="172"/>
      <c r="I4" s="172"/>
      <c r="J4" s="171"/>
      <c r="L4" s="245"/>
      <c r="M4" s="244">
        <v>12</v>
      </c>
      <c r="N4" s="244">
        <v>24</v>
      </c>
      <c r="O4" s="244">
        <v>36</v>
      </c>
      <c r="P4" s="244">
        <v>48</v>
      </c>
    </row>
    <row r="5" spans="1:16" x14ac:dyDescent="0.2">
      <c r="A5" s="225"/>
      <c r="B5" s="172"/>
      <c r="C5" s="172"/>
      <c r="D5" s="172"/>
      <c r="E5" s="172"/>
      <c r="F5" s="172"/>
      <c r="G5" s="172"/>
      <c r="H5" s="172"/>
      <c r="I5" s="172"/>
      <c r="J5" s="171"/>
      <c r="L5" s="242">
        <v>2009</v>
      </c>
      <c r="M5" s="243"/>
      <c r="N5" s="243"/>
      <c r="O5" s="243"/>
      <c r="P5" s="241">
        <f>P8/(1.05)^3</f>
        <v>57013.281503077415</v>
      </c>
    </row>
    <row r="6" spans="1:16" x14ac:dyDescent="0.2">
      <c r="A6" s="225"/>
      <c r="B6" s="172"/>
      <c r="C6" s="311" t="s">
        <v>255</v>
      </c>
      <c r="D6" s="311"/>
      <c r="E6" s="311"/>
      <c r="F6" s="311"/>
      <c r="G6" s="311"/>
      <c r="H6" s="172"/>
      <c r="I6" s="172"/>
      <c r="J6" s="171"/>
      <c r="L6" s="242">
        <v>2010</v>
      </c>
      <c r="M6" s="243"/>
      <c r="N6" s="243"/>
      <c r="O6" s="241">
        <f>O8/(1.05)^2</f>
        <v>52607.709750566893</v>
      </c>
      <c r="P6" s="243"/>
    </row>
    <row r="7" spans="1:16" x14ac:dyDescent="0.2">
      <c r="A7" s="225"/>
      <c r="B7" s="172"/>
      <c r="C7" s="196" t="s">
        <v>3</v>
      </c>
      <c r="D7" s="204">
        <v>12</v>
      </c>
      <c r="E7" s="195">
        <v>24</v>
      </c>
      <c r="F7" s="195">
        <v>36</v>
      </c>
      <c r="G7" s="194">
        <v>48</v>
      </c>
      <c r="H7" s="172"/>
      <c r="I7" s="172"/>
      <c r="J7" s="171"/>
      <c r="L7" s="242">
        <v>2011</v>
      </c>
      <c r="M7" s="250"/>
      <c r="N7" s="249">
        <f>N8/(1.05)</f>
        <v>45714.28571428571</v>
      </c>
      <c r="O7" s="248"/>
      <c r="P7" s="248"/>
    </row>
    <row r="8" spans="1:16" x14ac:dyDescent="0.2">
      <c r="A8" s="225"/>
      <c r="B8" s="172"/>
      <c r="C8" s="205">
        <v>2009</v>
      </c>
      <c r="D8" s="191">
        <v>233</v>
      </c>
      <c r="E8" s="191">
        <v>522</v>
      </c>
      <c r="F8" s="191">
        <v>570</v>
      </c>
      <c r="G8" s="190">
        <v>601</v>
      </c>
      <c r="H8" s="172"/>
      <c r="I8" s="172"/>
      <c r="J8" s="171"/>
      <c r="L8" s="252">
        <v>2012</v>
      </c>
      <c r="M8" s="246">
        <f>E20</f>
        <v>26000</v>
      </c>
      <c r="N8" s="240">
        <f>F20</f>
        <v>48000</v>
      </c>
      <c r="O8" s="240">
        <f>G20</f>
        <v>58000</v>
      </c>
      <c r="P8" s="240">
        <f>H20</f>
        <v>66000</v>
      </c>
    </row>
    <row r="9" spans="1:16" x14ac:dyDescent="0.2">
      <c r="A9" s="225"/>
      <c r="B9" s="172"/>
      <c r="C9" s="192">
        <v>2010</v>
      </c>
      <c r="D9" s="191">
        <v>204</v>
      </c>
      <c r="E9" s="191">
        <v>480</v>
      </c>
      <c r="F9" s="191">
        <v>512</v>
      </c>
      <c r="G9" s="190"/>
      <c r="H9" s="172"/>
      <c r="I9" s="172"/>
      <c r="J9" s="171"/>
    </row>
    <row r="10" spans="1:16" x14ac:dyDescent="0.2">
      <c r="A10" s="225"/>
      <c r="B10" s="172"/>
      <c r="C10" s="192">
        <v>2011</v>
      </c>
      <c r="D10" s="191">
        <v>242</v>
      </c>
      <c r="E10" s="191">
        <v>541</v>
      </c>
      <c r="F10" s="191"/>
      <c r="G10" s="190"/>
      <c r="H10" s="172"/>
      <c r="I10" s="172"/>
      <c r="J10" s="171"/>
      <c r="L10" t="s">
        <v>254</v>
      </c>
    </row>
    <row r="11" spans="1:16" x14ac:dyDescent="0.2">
      <c r="A11" s="225"/>
      <c r="B11" s="172"/>
      <c r="C11" s="189">
        <v>2012</v>
      </c>
      <c r="D11" s="187">
        <v>255</v>
      </c>
      <c r="E11" s="187"/>
      <c r="F11" s="187"/>
      <c r="G11" s="186"/>
      <c r="H11" s="172"/>
      <c r="I11" s="172"/>
      <c r="J11" s="171"/>
    </row>
    <row r="12" spans="1:16" x14ac:dyDescent="0.2">
      <c r="A12" s="225"/>
      <c r="B12" s="172"/>
      <c r="C12" s="172"/>
      <c r="D12" s="172"/>
      <c r="E12" s="172"/>
      <c r="F12" s="172"/>
      <c r="G12" s="172"/>
      <c r="H12" s="172"/>
      <c r="I12" s="172"/>
      <c r="J12" s="171"/>
      <c r="L12" s="245"/>
      <c r="M12" s="244">
        <v>12</v>
      </c>
      <c r="N12" s="244">
        <v>24</v>
      </c>
      <c r="O12" s="244">
        <v>36</v>
      </c>
      <c r="P12" s="244">
        <v>48</v>
      </c>
    </row>
    <row r="13" spans="1:16" x14ac:dyDescent="0.2">
      <c r="A13" s="225"/>
      <c r="B13" s="173"/>
      <c r="C13" s="172" t="s">
        <v>253</v>
      </c>
      <c r="D13" s="172"/>
      <c r="E13" s="172"/>
      <c r="F13" s="172"/>
      <c r="G13" s="172"/>
      <c r="H13" s="172"/>
      <c r="I13" s="172"/>
      <c r="J13" s="171"/>
      <c r="L13" s="242">
        <v>2009</v>
      </c>
      <c r="M13" s="243"/>
      <c r="N13" s="243"/>
      <c r="O13" s="243"/>
      <c r="P13" s="241"/>
    </row>
    <row r="14" spans="1:16" x14ac:dyDescent="0.2">
      <c r="A14" s="225"/>
      <c r="B14" s="173"/>
      <c r="C14" s="172" t="s">
        <v>252</v>
      </c>
      <c r="D14" s="251">
        <v>50000</v>
      </c>
      <c r="E14" s="172"/>
      <c r="F14" s="172"/>
      <c r="G14" s="172"/>
      <c r="H14" s="172"/>
      <c r="I14" s="172"/>
      <c r="J14" s="171"/>
      <c r="L14" s="242">
        <v>2010</v>
      </c>
      <c r="M14" s="243"/>
      <c r="N14" s="243"/>
      <c r="O14" s="243"/>
      <c r="P14" s="243"/>
    </row>
    <row r="15" spans="1:16" x14ac:dyDescent="0.2">
      <c r="A15" s="225"/>
      <c r="B15" s="173"/>
      <c r="C15" s="172" t="s">
        <v>251</v>
      </c>
      <c r="D15" s="172"/>
      <c r="E15" s="172"/>
      <c r="F15" s="172"/>
      <c r="G15" s="172"/>
      <c r="H15" s="172"/>
      <c r="I15" s="172"/>
      <c r="J15" s="171"/>
      <c r="L15" s="242">
        <v>2011</v>
      </c>
      <c r="M15" s="250"/>
      <c r="N15" s="249"/>
      <c r="O15" s="248"/>
      <c r="P15" s="248"/>
    </row>
    <row r="16" spans="1:16" x14ac:dyDescent="0.2">
      <c r="A16" s="225"/>
      <c r="B16" s="173"/>
      <c r="C16" s="172" t="s">
        <v>250</v>
      </c>
      <c r="D16" s="172"/>
      <c r="E16" s="172"/>
      <c r="F16" s="172"/>
      <c r="G16" s="172"/>
      <c r="H16" s="172"/>
      <c r="I16" s="172"/>
      <c r="J16" s="171"/>
      <c r="L16" s="247">
        <v>2012</v>
      </c>
      <c r="M16" s="246">
        <f>E20*(1-EXP(-1*($D$14/E20)))</f>
        <v>22199.929516139895</v>
      </c>
      <c r="N16" s="240">
        <f>F20*(1-EXP(-1*($D$14/F20)))</f>
        <v>31062.428089975252</v>
      </c>
      <c r="O16" s="240">
        <f>G20*(1-EXP(-1*($D$14/G20)))</f>
        <v>33507.326181192482</v>
      </c>
      <c r="P16" s="240">
        <f>H20*(1-EXP(-1*($D$14/H20)))</f>
        <v>35059.098416744462</v>
      </c>
    </row>
    <row r="17" spans="1:18" x14ac:dyDescent="0.2">
      <c r="A17" s="225"/>
      <c r="B17" s="173"/>
      <c r="C17" s="172" t="s">
        <v>249</v>
      </c>
      <c r="D17" s="172"/>
      <c r="E17" s="172"/>
      <c r="F17" s="172"/>
      <c r="G17" s="172"/>
      <c r="H17" s="172"/>
      <c r="I17" s="172"/>
      <c r="J17" s="171"/>
      <c r="O17" s="243"/>
      <c r="P17" s="243"/>
    </row>
    <row r="18" spans="1:18" x14ac:dyDescent="0.2">
      <c r="A18" s="225"/>
      <c r="B18" s="173"/>
      <c r="C18" s="172"/>
      <c r="D18" s="172"/>
      <c r="E18" s="172"/>
      <c r="F18" s="172"/>
      <c r="G18" s="172"/>
      <c r="H18" s="172"/>
      <c r="I18" s="172"/>
      <c r="J18" s="171"/>
      <c r="L18" t="s">
        <v>248</v>
      </c>
    </row>
    <row r="19" spans="1:18" ht="16" customHeight="1" x14ac:dyDescent="0.2">
      <c r="A19" s="225"/>
      <c r="B19" s="173"/>
      <c r="C19" s="311"/>
      <c r="D19" s="311"/>
      <c r="E19" s="195">
        <v>12</v>
      </c>
      <c r="F19" s="195">
        <v>24</v>
      </c>
      <c r="G19" s="195">
        <v>36</v>
      </c>
      <c r="H19" s="194">
        <v>48</v>
      </c>
      <c r="I19" s="172"/>
      <c r="J19" s="171"/>
      <c r="L19" t="s">
        <v>247</v>
      </c>
      <c r="M19" s="236"/>
      <c r="N19" s="236"/>
      <c r="O19" s="236"/>
      <c r="P19" s="236"/>
    </row>
    <row r="20" spans="1:18" ht="16" customHeight="1" x14ac:dyDescent="0.2">
      <c r="A20" s="225"/>
      <c r="B20" s="173"/>
      <c r="C20" s="311" t="s">
        <v>246</v>
      </c>
      <c r="D20" s="311"/>
      <c r="E20" s="187">
        <v>26000</v>
      </c>
      <c r="F20" s="187">
        <v>48000</v>
      </c>
      <c r="G20" s="187">
        <v>58000</v>
      </c>
      <c r="H20" s="186">
        <v>66000</v>
      </c>
      <c r="I20" s="172"/>
      <c r="J20" s="171"/>
    </row>
    <row r="21" spans="1:18" x14ac:dyDescent="0.2">
      <c r="A21" s="225"/>
      <c r="B21" s="173"/>
      <c r="C21" s="172"/>
      <c r="D21" s="172"/>
      <c r="E21" s="172"/>
      <c r="F21" s="172"/>
      <c r="G21" s="172"/>
      <c r="H21" s="172"/>
      <c r="I21" s="172"/>
      <c r="J21" s="171"/>
      <c r="L21" s="245"/>
      <c r="M21" s="244">
        <v>12</v>
      </c>
      <c r="N21" s="244">
        <v>24</v>
      </c>
      <c r="O21" s="244">
        <v>36</v>
      </c>
      <c r="P21" s="244">
        <v>48</v>
      </c>
    </row>
    <row r="22" spans="1:18" x14ac:dyDescent="0.2">
      <c r="A22" s="225"/>
      <c r="B22" s="173"/>
      <c r="C22" s="172" t="s">
        <v>245</v>
      </c>
      <c r="D22" s="172"/>
      <c r="E22" s="172"/>
      <c r="F22" s="172"/>
      <c r="G22" s="172"/>
      <c r="H22" s="172"/>
      <c r="I22" s="172"/>
      <c r="J22" s="171"/>
      <c r="L22" s="242">
        <v>2009</v>
      </c>
      <c r="M22" s="243"/>
      <c r="N22" s="243"/>
      <c r="O22" s="243"/>
      <c r="P22" s="241">
        <f>G8*(P16/P5)</f>
        <v>369.57209956992381</v>
      </c>
    </row>
    <row r="23" spans="1:18" ht="19" x14ac:dyDescent="0.2">
      <c r="A23" s="225"/>
      <c r="B23" s="173"/>
      <c r="C23" s="172" t="s">
        <v>244</v>
      </c>
      <c r="D23" s="172"/>
      <c r="E23" s="172"/>
      <c r="F23" s="172"/>
      <c r="G23" s="172"/>
      <c r="H23" s="172"/>
      <c r="I23" s="172"/>
      <c r="J23" s="171"/>
      <c r="L23" s="242">
        <v>2010</v>
      </c>
      <c r="M23" s="243"/>
      <c r="N23" s="243"/>
      <c r="O23" s="241">
        <f>F9*(O16/O6)</f>
        <v>326.10716349585402</v>
      </c>
      <c r="P23" s="243"/>
    </row>
    <row r="24" spans="1:18" x14ac:dyDescent="0.2">
      <c r="A24" s="225"/>
      <c r="B24" s="173"/>
      <c r="C24" s="172" t="s">
        <v>243</v>
      </c>
      <c r="D24" s="172"/>
      <c r="E24" s="172"/>
      <c r="F24" s="172"/>
      <c r="G24" s="172"/>
      <c r="H24" s="172"/>
      <c r="I24" s="172"/>
      <c r="J24" s="171"/>
      <c r="L24" s="242">
        <v>2011</v>
      </c>
      <c r="M24" s="243"/>
      <c r="N24" s="241">
        <f>E10*(N16/N7)</f>
        <v>367.6044224273009</v>
      </c>
      <c r="O24" s="243"/>
      <c r="P24" s="243"/>
    </row>
    <row r="25" spans="1:18" x14ac:dyDescent="0.2">
      <c r="A25" s="225"/>
      <c r="B25" s="173"/>
      <c r="C25" s="172"/>
      <c r="D25" s="172"/>
      <c r="E25" s="172"/>
      <c r="F25" s="172"/>
      <c r="G25" s="172"/>
      <c r="H25" s="172"/>
      <c r="I25" s="172"/>
      <c r="J25" s="171"/>
      <c r="L25" s="242">
        <v>2012</v>
      </c>
      <c r="M25" s="241">
        <f>D11*(M16/M8)</f>
        <v>217.73007794675667</v>
      </c>
      <c r="N25" s="240"/>
      <c r="O25" s="240"/>
      <c r="P25" s="240"/>
    </row>
    <row r="26" spans="1:18" x14ac:dyDescent="0.2">
      <c r="A26" s="225"/>
      <c r="B26" s="173"/>
      <c r="C26" s="172" t="s">
        <v>242</v>
      </c>
      <c r="D26" s="172"/>
      <c r="E26" s="172"/>
      <c r="F26" s="172"/>
      <c r="G26" s="172"/>
      <c r="H26" s="172"/>
      <c r="I26" s="172"/>
      <c r="J26" s="171"/>
      <c r="L26" s="236"/>
      <c r="M26" s="236"/>
      <c r="N26" s="236"/>
    </row>
    <row r="27" spans="1:18" x14ac:dyDescent="0.2">
      <c r="A27" s="225"/>
      <c r="B27" s="173"/>
      <c r="C27" s="172" t="s">
        <v>241</v>
      </c>
      <c r="D27" s="172"/>
      <c r="E27" s="172"/>
      <c r="F27" s="172"/>
      <c r="G27" s="172"/>
      <c r="H27" s="172"/>
      <c r="I27" s="172"/>
      <c r="J27" s="171"/>
    </row>
    <row r="28" spans="1:18" x14ac:dyDescent="0.2">
      <c r="A28" s="225"/>
      <c r="B28" s="172"/>
      <c r="C28" s="172" t="s">
        <v>240</v>
      </c>
      <c r="D28" s="172"/>
      <c r="E28" s="172"/>
      <c r="F28" s="172"/>
      <c r="G28" s="172"/>
      <c r="H28" s="172"/>
      <c r="I28" s="172"/>
      <c r="J28" s="171"/>
    </row>
    <row r="29" spans="1:18" ht="20" thickBot="1" x14ac:dyDescent="0.25">
      <c r="A29" s="225"/>
      <c r="B29" s="172"/>
      <c r="C29" s="182"/>
      <c r="D29" s="172"/>
      <c r="E29" s="172"/>
      <c r="F29" s="172"/>
      <c r="G29" s="172"/>
      <c r="H29" s="172"/>
      <c r="I29" s="172"/>
      <c r="J29" s="171"/>
      <c r="L29" s="237" t="s">
        <v>42</v>
      </c>
    </row>
    <row r="30" spans="1:18" ht="17" thickBot="1" x14ac:dyDescent="0.25">
      <c r="A30" s="239" t="s">
        <v>109</v>
      </c>
      <c r="B30" s="168"/>
      <c r="C30" s="238"/>
      <c r="D30" s="168"/>
      <c r="E30" s="168"/>
      <c r="F30" s="168"/>
      <c r="G30" s="168"/>
      <c r="H30" s="168"/>
      <c r="I30" s="168"/>
      <c r="J30" s="167"/>
      <c r="L30" s="310" t="s">
        <v>239</v>
      </c>
      <c r="M30" s="310"/>
      <c r="N30" s="310"/>
      <c r="O30" s="310"/>
      <c r="P30" s="310"/>
      <c r="Q30" s="310"/>
      <c r="R30" s="310"/>
    </row>
    <row r="31" spans="1:18" ht="16" customHeight="1" x14ac:dyDescent="0.2">
      <c r="L31" s="310"/>
      <c r="M31" s="310"/>
      <c r="N31" s="310"/>
      <c r="O31" s="310"/>
      <c r="P31" s="310"/>
      <c r="Q31" s="310"/>
      <c r="R31" s="310"/>
    </row>
    <row r="32" spans="1:18" x14ac:dyDescent="0.2">
      <c r="L32" s="310"/>
      <c r="M32" s="310"/>
      <c r="N32" s="310"/>
      <c r="O32" s="310"/>
      <c r="P32" s="310"/>
      <c r="Q32" s="310"/>
      <c r="R32" s="310"/>
    </row>
    <row r="33" spans="12:18" x14ac:dyDescent="0.2">
      <c r="L33" s="310"/>
      <c r="M33" s="310"/>
      <c r="N33" s="310"/>
      <c r="O33" s="310"/>
      <c r="P33" s="310"/>
      <c r="Q33" s="310"/>
      <c r="R33" s="310"/>
    </row>
    <row r="34" spans="12:18" x14ac:dyDescent="0.2">
      <c r="L34" s="310"/>
      <c r="M34" s="310"/>
      <c r="N34" s="310"/>
      <c r="O34" s="310"/>
      <c r="P34" s="310"/>
      <c r="Q34" s="310"/>
      <c r="R34" s="310"/>
    </row>
    <row r="35" spans="12:18" x14ac:dyDescent="0.2">
      <c r="L35" s="310"/>
      <c r="M35" s="310"/>
      <c r="N35" s="310"/>
      <c r="O35" s="310"/>
      <c r="P35" s="310"/>
      <c r="Q35" s="310"/>
      <c r="R35" s="310"/>
    </row>
    <row r="36" spans="12:18" x14ac:dyDescent="0.2">
      <c r="L36" s="310"/>
      <c r="M36" s="310"/>
      <c r="N36" s="310"/>
      <c r="O36" s="310"/>
      <c r="P36" s="310"/>
      <c r="Q36" s="310"/>
      <c r="R36" s="310"/>
    </row>
    <row r="37" spans="12:18" x14ac:dyDescent="0.2">
      <c r="L37" s="310"/>
      <c r="M37" s="310"/>
      <c r="N37" s="310"/>
      <c r="O37" s="310"/>
      <c r="P37" s="310"/>
      <c r="Q37" s="310"/>
      <c r="R37" s="310"/>
    </row>
    <row r="39" spans="12:18" ht="19" x14ac:dyDescent="0.2">
      <c r="L39" s="237" t="s">
        <v>121</v>
      </c>
    </row>
    <row r="40" spans="12:18" x14ac:dyDescent="0.2">
      <c r="L40" s="236" t="s">
        <v>238</v>
      </c>
      <c r="M40" s="235"/>
      <c r="N40" s="235"/>
      <c r="O40" s="235"/>
      <c r="P40" s="235"/>
      <c r="Q40" s="235"/>
      <c r="R40" s="235"/>
    </row>
    <row r="41" spans="12:18" ht="16" customHeight="1" x14ac:dyDescent="0.2"/>
  </sheetData>
  <mergeCells count="4">
    <mergeCell ref="L30:R37"/>
    <mergeCell ref="C6:G6"/>
    <mergeCell ref="C20:D20"/>
    <mergeCell ref="C19:D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8CDCF-7A14-1248-8164-F7A38409CC82}">
  <dimension ref="A1:S34"/>
  <sheetViews>
    <sheetView workbookViewId="0">
      <selection activeCell="B1" sqref="B1"/>
    </sheetView>
  </sheetViews>
  <sheetFormatPr baseColWidth="10" defaultColWidth="11" defaultRowHeight="16" outlineLevelCol="1" x14ac:dyDescent="0.2"/>
  <cols>
    <col min="1" max="1" width="4" style="161" customWidth="1"/>
    <col min="2" max="2" width="11.5" customWidth="1"/>
    <col min="12" max="18" width="10.83203125" customWidth="1" outlineLevel="1"/>
  </cols>
  <sheetData>
    <row r="1" spans="1:19" x14ac:dyDescent="0.2">
      <c r="A1" s="255"/>
      <c r="B1" s="210" t="s">
        <v>262</v>
      </c>
      <c r="C1" s="209" t="s">
        <v>290</v>
      </c>
      <c r="D1" s="209" t="s">
        <v>260</v>
      </c>
      <c r="E1" s="209" t="s">
        <v>289</v>
      </c>
      <c r="F1" s="208"/>
      <c r="G1" s="208"/>
      <c r="H1" s="208"/>
      <c r="I1" s="208"/>
      <c r="J1" s="207"/>
      <c r="K1" s="216" t="s">
        <v>110</v>
      </c>
      <c r="L1" s="216"/>
    </row>
    <row r="2" spans="1:19" x14ac:dyDescent="0.2">
      <c r="A2" s="225"/>
      <c r="B2" s="254" t="s">
        <v>258</v>
      </c>
      <c r="C2" s="253">
        <v>1.25</v>
      </c>
      <c r="D2" s="172"/>
      <c r="E2" s="172"/>
      <c r="F2" s="172"/>
      <c r="G2" s="172"/>
      <c r="H2" s="172"/>
      <c r="I2" s="172"/>
      <c r="J2" s="171"/>
    </row>
    <row r="3" spans="1:19" x14ac:dyDescent="0.2">
      <c r="A3" s="225"/>
      <c r="B3" s="172"/>
      <c r="C3" s="172"/>
      <c r="D3" s="172"/>
      <c r="E3" s="172"/>
      <c r="F3" s="172"/>
      <c r="G3" s="172"/>
      <c r="H3" s="172"/>
      <c r="I3" s="172"/>
      <c r="J3" s="171"/>
      <c r="L3" s="180" t="s">
        <v>288</v>
      </c>
      <c r="M3" s="261"/>
    </row>
    <row r="4" spans="1:19" ht="16" customHeight="1" x14ac:dyDescent="0.2">
      <c r="A4" s="225"/>
      <c r="B4" s="172"/>
      <c r="C4" s="172" t="s">
        <v>287</v>
      </c>
      <c r="D4" s="172"/>
      <c r="E4" s="172"/>
      <c r="F4" s="172"/>
      <c r="G4" s="172"/>
      <c r="H4" s="172"/>
      <c r="I4" s="172"/>
      <c r="J4" s="171"/>
      <c r="L4" s="309" t="s">
        <v>286</v>
      </c>
      <c r="M4" s="309"/>
      <c r="N4" s="309"/>
      <c r="O4" s="309"/>
      <c r="P4" s="309"/>
      <c r="Q4" s="309"/>
      <c r="R4" s="309"/>
      <c r="S4" s="219"/>
    </row>
    <row r="5" spans="1:19" ht="15.5" customHeight="1" x14ac:dyDescent="0.2">
      <c r="A5" s="225"/>
      <c r="B5" s="172"/>
      <c r="C5" s="172" t="s">
        <v>285</v>
      </c>
      <c r="D5" s="172"/>
      <c r="E5" s="172"/>
      <c r="F5" s="172"/>
      <c r="G5" s="172"/>
      <c r="H5" s="172"/>
      <c r="I5" s="172"/>
      <c r="J5" s="171"/>
      <c r="L5" s="309"/>
      <c r="M5" s="309"/>
      <c r="N5" s="309"/>
      <c r="O5" s="309"/>
      <c r="P5" s="309"/>
      <c r="Q5" s="309"/>
      <c r="R5" s="309"/>
      <c r="S5" s="219"/>
    </row>
    <row r="6" spans="1:19" x14ac:dyDescent="0.2">
      <c r="A6" s="225"/>
      <c r="B6" s="172"/>
      <c r="C6" s="172" t="s">
        <v>284</v>
      </c>
      <c r="D6" s="172"/>
      <c r="E6" s="172"/>
      <c r="F6" s="172"/>
      <c r="G6" s="172"/>
      <c r="H6" s="172"/>
      <c r="I6" s="172"/>
      <c r="J6" s="171"/>
      <c r="L6" s="309"/>
      <c r="M6" s="309"/>
      <c r="N6" s="309"/>
      <c r="O6" s="309"/>
      <c r="P6" s="309"/>
      <c r="Q6" s="309"/>
      <c r="R6" s="309"/>
      <c r="S6" s="219"/>
    </row>
    <row r="7" spans="1:19" x14ac:dyDescent="0.2">
      <c r="A7" s="225"/>
      <c r="B7" s="172"/>
      <c r="C7" s="172"/>
      <c r="D7" s="172"/>
      <c r="E7" s="172"/>
      <c r="F7" s="172"/>
      <c r="G7" s="172"/>
      <c r="H7" s="172"/>
      <c r="I7" s="172"/>
      <c r="J7" s="171"/>
      <c r="L7" s="309"/>
      <c r="M7" s="309"/>
      <c r="N7" s="309"/>
      <c r="O7" s="309"/>
      <c r="P7" s="309"/>
      <c r="Q7" s="309"/>
      <c r="R7" s="309"/>
      <c r="S7" s="219"/>
    </row>
    <row r="8" spans="1:19" x14ac:dyDescent="0.2">
      <c r="A8" s="225"/>
      <c r="B8" s="172"/>
      <c r="C8" s="196"/>
      <c r="D8" s="311" t="s">
        <v>283</v>
      </c>
      <c r="E8" s="311"/>
      <c r="F8" s="311"/>
      <c r="G8" s="311"/>
      <c r="H8" s="311"/>
      <c r="I8" s="172"/>
      <c r="J8" s="171"/>
      <c r="L8" s="309"/>
      <c r="M8" s="309"/>
      <c r="N8" s="309"/>
      <c r="O8" s="309"/>
      <c r="P8" s="309"/>
      <c r="Q8" s="309"/>
      <c r="R8" s="309"/>
    </row>
    <row r="9" spans="1:19" x14ac:dyDescent="0.2">
      <c r="A9" s="225"/>
      <c r="B9" s="172"/>
      <c r="C9" s="196" t="s">
        <v>282</v>
      </c>
      <c r="D9" s="195">
        <v>1</v>
      </c>
      <c r="E9" s="195">
        <v>2</v>
      </c>
      <c r="F9" s="195">
        <v>3</v>
      </c>
      <c r="G9" s="195">
        <v>4</v>
      </c>
      <c r="H9" s="194">
        <v>5</v>
      </c>
      <c r="I9" s="172"/>
      <c r="J9" s="171"/>
      <c r="L9" s="309"/>
      <c r="M9" s="309"/>
      <c r="N9" s="309"/>
      <c r="O9" s="309"/>
      <c r="P9" s="309"/>
      <c r="Q9" s="309"/>
      <c r="R9" s="309"/>
    </row>
    <row r="10" spans="1:19" x14ac:dyDescent="0.2">
      <c r="A10" s="225"/>
      <c r="B10" s="172"/>
      <c r="C10" s="205" t="s">
        <v>281</v>
      </c>
      <c r="D10" s="191">
        <v>50000</v>
      </c>
      <c r="E10" s="191">
        <v>120000</v>
      </c>
      <c r="F10" s="191">
        <v>165000</v>
      </c>
      <c r="G10" s="191">
        <v>195000</v>
      </c>
      <c r="H10" s="190">
        <v>205000</v>
      </c>
      <c r="I10" s="172"/>
      <c r="J10" s="171"/>
    </row>
    <row r="11" spans="1:19" x14ac:dyDescent="0.2">
      <c r="A11" s="225"/>
      <c r="B11" s="172"/>
      <c r="C11" s="189" t="s">
        <v>280</v>
      </c>
      <c r="D11" s="187">
        <v>25000</v>
      </c>
      <c r="E11" s="187">
        <v>65000</v>
      </c>
      <c r="F11" s="187">
        <v>95000</v>
      </c>
      <c r="G11" s="187">
        <v>115000</v>
      </c>
      <c r="H11" s="186">
        <v>120000</v>
      </c>
      <c r="I11" s="172"/>
      <c r="J11" s="171"/>
      <c r="L11" s="180" t="s">
        <v>279</v>
      </c>
      <c r="M11" s="260"/>
    </row>
    <row r="12" spans="1:19" x14ac:dyDescent="0.2">
      <c r="A12" s="225"/>
      <c r="B12" s="172"/>
      <c r="C12" s="172"/>
      <c r="D12" s="172"/>
      <c r="E12" s="172"/>
      <c r="F12" s="172"/>
      <c r="G12" s="172"/>
      <c r="H12" s="172"/>
      <c r="I12" s="172"/>
      <c r="J12" s="171"/>
      <c r="L12" t="s">
        <v>278</v>
      </c>
    </row>
    <row r="13" spans="1:19" x14ac:dyDescent="0.2">
      <c r="A13" s="225"/>
      <c r="B13" s="173"/>
      <c r="C13" s="172" t="s">
        <v>277</v>
      </c>
      <c r="D13" s="172"/>
      <c r="E13" s="172"/>
      <c r="F13" s="172"/>
      <c r="G13" s="172"/>
      <c r="H13" s="172"/>
      <c r="I13" s="172"/>
      <c r="J13" s="171"/>
      <c r="L13" t="s">
        <v>276</v>
      </c>
    </row>
    <row r="14" spans="1:19" x14ac:dyDescent="0.2">
      <c r="A14" s="225"/>
      <c r="B14" s="173"/>
      <c r="C14" s="172"/>
      <c r="D14" s="172"/>
      <c r="E14" s="172"/>
      <c r="F14" s="172"/>
      <c r="G14" s="172"/>
      <c r="H14" s="172"/>
      <c r="I14" s="172"/>
      <c r="J14" s="171"/>
    </row>
    <row r="15" spans="1:19" x14ac:dyDescent="0.2">
      <c r="A15" s="225"/>
      <c r="B15" s="173"/>
      <c r="C15" s="172" t="s">
        <v>275</v>
      </c>
      <c r="D15" s="172"/>
      <c r="E15" s="172"/>
      <c r="F15" s="172"/>
      <c r="G15" s="172"/>
      <c r="H15" s="172"/>
      <c r="I15" s="172"/>
      <c r="J15" s="171"/>
    </row>
    <row r="16" spans="1:19" ht="19" x14ac:dyDescent="0.25">
      <c r="A16" s="225"/>
      <c r="B16" s="173"/>
      <c r="C16" s="172" t="s">
        <v>274</v>
      </c>
      <c r="D16" s="172"/>
      <c r="E16" s="172"/>
      <c r="F16" s="172"/>
      <c r="G16" s="172"/>
      <c r="H16" s="172"/>
      <c r="I16" s="172"/>
      <c r="J16" s="171"/>
      <c r="L16" s="206" t="s">
        <v>42</v>
      </c>
      <c r="M16" s="259"/>
    </row>
    <row r="17" spans="1:18" x14ac:dyDescent="0.2">
      <c r="A17" s="225"/>
      <c r="B17" s="173"/>
      <c r="C17" s="172" t="s">
        <v>273</v>
      </c>
      <c r="D17" s="172"/>
      <c r="E17" s="172"/>
      <c r="F17" s="172"/>
      <c r="G17" s="172"/>
      <c r="H17" s="172"/>
      <c r="I17" s="172"/>
      <c r="J17" s="171"/>
      <c r="L17" s="309" t="s">
        <v>272</v>
      </c>
      <c r="M17" s="309"/>
      <c r="N17" s="309"/>
      <c r="O17" s="309"/>
      <c r="P17" s="309"/>
      <c r="Q17" s="309"/>
      <c r="R17" s="309"/>
    </row>
    <row r="18" spans="1:18" x14ac:dyDescent="0.2">
      <c r="A18" s="225"/>
      <c r="B18" s="173"/>
      <c r="C18" s="172" t="s">
        <v>271</v>
      </c>
      <c r="D18" s="172"/>
      <c r="E18" s="172"/>
      <c r="F18" s="172"/>
      <c r="G18" s="172"/>
      <c r="H18" s="172"/>
      <c r="I18" s="172"/>
      <c r="J18" s="171"/>
      <c r="L18" s="309"/>
      <c r="M18" s="309"/>
      <c r="N18" s="309"/>
      <c r="O18" s="309"/>
      <c r="P18" s="309"/>
      <c r="Q18" s="309"/>
      <c r="R18" s="309"/>
    </row>
    <row r="19" spans="1:18" x14ac:dyDescent="0.2">
      <c r="A19" s="225"/>
      <c r="B19" s="173"/>
      <c r="C19" s="172"/>
      <c r="D19" s="172"/>
      <c r="E19" s="172"/>
      <c r="F19" s="172"/>
      <c r="G19" s="172"/>
      <c r="H19" s="172"/>
      <c r="I19" s="172"/>
      <c r="J19" s="171"/>
      <c r="L19" s="309"/>
      <c r="M19" s="309"/>
      <c r="N19" s="309"/>
      <c r="O19" s="309"/>
      <c r="P19" s="309"/>
      <c r="Q19" s="309"/>
      <c r="R19" s="309"/>
    </row>
    <row r="20" spans="1:18" x14ac:dyDescent="0.2">
      <c r="A20" s="225" t="s">
        <v>0</v>
      </c>
      <c r="B20" s="175" t="s">
        <v>270</v>
      </c>
      <c r="C20" s="172" t="s">
        <v>269</v>
      </c>
      <c r="D20" s="172"/>
      <c r="E20" s="172"/>
      <c r="F20" s="172"/>
      <c r="G20" s="172"/>
      <c r="H20" s="172"/>
      <c r="I20" s="172"/>
      <c r="J20" s="171"/>
      <c r="L20" s="309"/>
      <c r="M20" s="309"/>
      <c r="N20" s="309"/>
      <c r="O20" s="309"/>
      <c r="P20" s="309"/>
      <c r="Q20" s="309"/>
      <c r="R20" s="309"/>
    </row>
    <row r="21" spans="1:18" x14ac:dyDescent="0.2">
      <c r="A21" s="225"/>
      <c r="B21" s="173"/>
      <c r="C21" s="172" t="s">
        <v>268</v>
      </c>
      <c r="D21" s="172"/>
      <c r="E21" s="172"/>
      <c r="F21" s="172"/>
      <c r="G21" s="172"/>
      <c r="H21" s="172"/>
      <c r="I21" s="172"/>
      <c r="J21" s="171"/>
      <c r="L21" s="309"/>
      <c r="M21" s="309"/>
      <c r="N21" s="309"/>
      <c r="O21" s="309"/>
      <c r="P21" s="309"/>
      <c r="Q21" s="309"/>
      <c r="R21" s="309"/>
    </row>
    <row r="22" spans="1:18" x14ac:dyDescent="0.2">
      <c r="A22" s="225"/>
      <c r="B22" s="173"/>
      <c r="C22" s="172" t="s">
        <v>267</v>
      </c>
      <c r="D22" s="172"/>
      <c r="E22" s="172"/>
      <c r="F22" s="172"/>
      <c r="G22" s="172"/>
      <c r="H22" s="172"/>
      <c r="I22" s="172"/>
      <c r="J22" s="171"/>
      <c r="L22" s="309"/>
      <c r="M22" s="309"/>
      <c r="N22" s="309"/>
      <c r="O22" s="309"/>
      <c r="P22" s="309"/>
      <c r="Q22" s="309"/>
      <c r="R22" s="309"/>
    </row>
    <row r="23" spans="1:18" x14ac:dyDescent="0.2">
      <c r="A23" s="225"/>
      <c r="B23" s="172"/>
      <c r="C23" s="172"/>
      <c r="D23" s="172"/>
      <c r="E23" s="172"/>
      <c r="F23" s="172"/>
      <c r="G23" s="172"/>
      <c r="H23" s="172"/>
      <c r="I23" s="172"/>
      <c r="J23" s="171"/>
      <c r="L23" s="309"/>
      <c r="M23" s="309"/>
      <c r="N23" s="309"/>
      <c r="O23" s="309"/>
      <c r="P23" s="309"/>
      <c r="Q23" s="309"/>
      <c r="R23" s="309"/>
    </row>
    <row r="24" spans="1:18" x14ac:dyDescent="0.2">
      <c r="A24" s="225" t="s">
        <v>1</v>
      </c>
      <c r="B24" s="172" t="s">
        <v>266</v>
      </c>
      <c r="C24" s="182" t="s">
        <v>265</v>
      </c>
      <c r="D24" s="172"/>
      <c r="E24" s="172"/>
      <c r="F24" s="172"/>
      <c r="G24" s="172"/>
      <c r="H24" s="172"/>
      <c r="I24" s="172"/>
      <c r="J24" s="171"/>
      <c r="L24" s="309"/>
      <c r="M24" s="309"/>
      <c r="N24" s="309"/>
      <c r="O24" s="309"/>
      <c r="P24" s="309"/>
      <c r="Q24" s="309"/>
      <c r="R24" s="309"/>
    </row>
    <row r="25" spans="1:18" x14ac:dyDescent="0.2">
      <c r="A25" s="225"/>
      <c r="B25" s="172"/>
      <c r="C25" s="182" t="s">
        <v>264</v>
      </c>
      <c r="D25" s="172"/>
      <c r="E25" s="172"/>
      <c r="F25" s="172"/>
      <c r="G25" s="172"/>
      <c r="H25" s="172"/>
      <c r="I25" s="172"/>
      <c r="J25" s="171"/>
      <c r="L25" s="309"/>
      <c r="M25" s="309"/>
      <c r="N25" s="309"/>
      <c r="O25" s="309"/>
      <c r="P25" s="309"/>
      <c r="Q25" s="309"/>
      <c r="R25" s="309"/>
    </row>
    <row r="26" spans="1:18" x14ac:dyDescent="0.2">
      <c r="A26" s="225"/>
      <c r="B26" s="172"/>
      <c r="C26" s="172" t="s">
        <v>263</v>
      </c>
      <c r="D26" s="172"/>
      <c r="E26" s="172"/>
      <c r="F26" s="172"/>
      <c r="G26" s="172"/>
      <c r="H26" s="172"/>
      <c r="I26" s="172"/>
      <c r="J26" s="171"/>
      <c r="L26" s="309"/>
      <c r="M26" s="309"/>
      <c r="N26" s="309"/>
      <c r="O26" s="309"/>
      <c r="P26" s="309"/>
      <c r="Q26" s="309"/>
      <c r="R26" s="309"/>
    </row>
    <row r="27" spans="1:18" ht="17" thickBot="1" x14ac:dyDescent="0.25">
      <c r="A27" s="223"/>
      <c r="B27" s="257"/>
      <c r="C27" s="258"/>
      <c r="D27" s="257"/>
      <c r="E27" s="257"/>
      <c r="F27" s="257"/>
      <c r="G27" s="257"/>
      <c r="H27" s="257"/>
      <c r="I27" s="257"/>
      <c r="J27" s="256"/>
      <c r="L27" s="309"/>
      <c r="M27" s="309"/>
      <c r="N27" s="309"/>
      <c r="O27" s="309"/>
      <c r="P27" s="309"/>
      <c r="Q27" s="309"/>
      <c r="R27" s="309"/>
    </row>
    <row r="28" spans="1:18" ht="17" thickBot="1" x14ac:dyDescent="0.25">
      <c r="A28" s="239" t="s">
        <v>109</v>
      </c>
      <c r="B28" s="168"/>
      <c r="C28" s="238"/>
      <c r="D28" s="168"/>
      <c r="E28" s="168"/>
      <c r="F28" s="168"/>
      <c r="G28" s="168"/>
      <c r="H28" s="168"/>
      <c r="I28" s="168"/>
      <c r="J28" s="167"/>
      <c r="L28" s="309"/>
      <c r="M28" s="309"/>
      <c r="N28" s="309"/>
      <c r="O28" s="309"/>
      <c r="P28" s="309"/>
      <c r="Q28" s="309"/>
      <c r="R28" s="309"/>
    </row>
    <row r="29" spans="1:18" x14ac:dyDescent="0.2">
      <c r="L29" s="309"/>
      <c r="M29" s="309"/>
      <c r="N29" s="309"/>
      <c r="O29" s="309"/>
      <c r="P29" s="309"/>
      <c r="Q29" s="309"/>
      <c r="R29" s="309"/>
    </row>
    <row r="30" spans="1:18" x14ac:dyDescent="0.2">
      <c r="L30" s="309"/>
      <c r="M30" s="309"/>
      <c r="N30" s="309"/>
      <c r="O30" s="309"/>
      <c r="P30" s="309"/>
      <c r="Q30" s="309"/>
      <c r="R30" s="309"/>
    </row>
    <row r="31" spans="1:18" x14ac:dyDescent="0.2">
      <c r="L31" s="309"/>
      <c r="M31" s="309"/>
      <c r="N31" s="309"/>
      <c r="O31" s="309"/>
      <c r="P31" s="309"/>
      <c r="Q31" s="309"/>
      <c r="R31" s="309"/>
    </row>
    <row r="32" spans="1:18" x14ac:dyDescent="0.2">
      <c r="L32" s="309"/>
      <c r="M32" s="309"/>
      <c r="N32" s="309"/>
      <c r="O32" s="309"/>
      <c r="P32" s="309"/>
      <c r="Q32" s="309"/>
      <c r="R32" s="309"/>
    </row>
    <row r="33" spans="12:18" x14ac:dyDescent="0.2">
      <c r="L33" s="309"/>
      <c r="M33" s="309"/>
      <c r="N33" s="309"/>
      <c r="O33" s="309"/>
      <c r="P33" s="309"/>
      <c r="Q33" s="309"/>
      <c r="R33" s="309"/>
    </row>
    <row r="34" spans="12:18" x14ac:dyDescent="0.2">
      <c r="L34" s="309"/>
      <c r="M34" s="309"/>
      <c r="N34" s="309"/>
      <c r="O34" s="309"/>
      <c r="P34" s="309"/>
      <c r="Q34" s="309"/>
      <c r="R34" s="309"/>
    </row>
  </sheetData>
  <mergeCells count="3">
    <mergeCell ref="D8:H8"/>
    <mergeCell ref="L17:R34"/>
    <mergeCell ref="L4:R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E8852-C92E-EA4A-A7C9-8F921CC83D71}">
  <dimension ref="A1:T37"/>
  <sheetViews>
    <sheetView zoomScaleNormal="100" workbookViewId="0"/>
  </sheetViews>
  <sheetFormatPr baseColWidth="10" defaultColWidth="11" defaultRowHeight="16" outlineLevelCol="1" x14ac:dyDescent="0.2"/>
  <cols>
    <col min="1" max="1" width="4" style="161" customWidth="1"/>
    <col min="2" max="2" width="11.5" customWidth="1"/>
    <col min="3" max="3" width="12" customWidth="1"/>
    <col min="7" max="7" width="13" bestFit="1" customWidth="1"/>
    <col min="12" max="18" width="10.83203125" hidden="1" customWidth="1" outlineLevel="1"/>
    <col min="19" max="19" width="11" collapsed="1"/>
  </cols>
  <sheetData>
    <row r="1" spans="1:16" x14ac:dyDescent="0.2">
      <c r="A1" s="255"/>
      <c r="B1" s="210" t="s">
        <v>262</v>
      </c>
      <c r="C1" s="209" t="s">
        <v>311</v>
      </c>
      <c r="D1" s="209" t="s">
        <v>260</v>
      </c>
      <c r="E1" s="209" t="s">
        <v>310</v>
      </c>
      <c r="F1" s="208"/>
      <c r="G1" s="208"/>
      <c r="H1" s="208"/>
      <c r="I1" s="208"/>
      <c r="J1" s="207"/>
      <c r="K1" s="216" t="s">
        <v>110</v>
      </c>
      <c r="L1" s="216"/>
    </row>
    <row r="2" spans="1:16" x14ac:dyDescent="0.2">
      <c r="A2" s="225"/>
      <c r="B2" s="254" t="s">
        <v>258</v>
      </c>
      <c r="C2" s="253">
        <v>2.25</v>
      </c>
      <c r="D2" s="172"/>
      <c r="E2" s="172"/>
      <c r="F2" s="172"/>
      <c r="G2" s="172"/>
      <c r="H2" s="172"/>
      <c r="I2" s="172"/>
      <c r="J2" s="171"/>
    </row>
    <row r="3" spans="1:16" x14ac:dyDescent="0.2">
      <c r="A3" s="225"/>
      <c r="B3" s="172"/>
      <c r="C3" s="172"/>
      <c r="D3" s="172"/>
      <c r="E3" s="172"/>
      <c r="F3" s="172"/>
      <c r="G3" s="172"/>
      <c r="H3" s="172"/>
      <c r="I3" s="172"/>
      <c r="J3" s="171"/>
      <c r="L3" s="216" t="s">
        <v>288</v>
      </c>
      <c r="M3" s="261"/>
    </row>
    <row r="4" spans="1:16" x14ac:dyDescent="0.2">
      <c r="A4" s="225"/>
      <c r="B4" s="172"/>
      <c r="C4" s="172" t="s">
        <v>63</v>
      </c>
      <c r="D4" s="172"/>
      <c r="E4" s="172"/>
      <c r="F4" s="172"/>
      <c r="G4" s="172"/>
      <c r="H4" s="172"/>
      <c r="I4" s="172"/>
      <c r="J4" s="171"/>
      <c r="L4" s="199"/>
      <c r="M4" s="268" t="s">
        <v>154</v>
      </c>
      <c r="N4" s="268" t="s">
        <v>302</v>
      </c>
    </row>
    <row r="5" spans="1:16" x14ac:dyDescent="0.2">
      <c r="A5" s="225"/>
      <c r="B5" s="172"/>
      <c r="C5" s="172"/>
      <c r="D5" s="172"/>
      <c r="E5" s="172"/>
      <c r="F5" s="172"/>
      <c r="G5" s="172"/>
      <c r="H5" s="172"/>
      <c r="I5" s="172"/>
      <c r="J5" s="171"/>
      <c r="L5" s="197" t="s">
        <v>27</v>
      </c>
      <c r="M5" s="193">
        <f>SUM(F8:F9)/SUM(E8:E9)</f>
        <v>1.8040844582900657</v>
      </c>
      <c r="N5" s="193">
        <f>G8/F8</f>
        <v>1.3582150101419879</v>
      </c>
    </row>
    <row r="6" spans="1:16" x14ac:dyDescent="0.2">
      <c r="A6" s="225"/>
      <c r="B6" s="172"/>
      <c r="C6" s="311" t="s">
        <v>309</v>
      </c>
      <c r="D6" s="311"/>
      <c r="E6" s="311"/>
      <c r="F6" s="311"/>
      <c r="G6" s="311"/>
      <c r="H6" s="172"/>
      <c r="I6" s="172"/>
      <c r="J6" s="171"/>
      <c r="L6" s="266" t="s">
        <v>301</v>
      </c>
      <c r="M6" s="193">
        <f>M5*N6</f>
        <v>2.4503345908134442</v>
      </c>
      <c r="N6" s="193">
        <f>N5*H27</f>
        <v>1.3582150101419879</v>
      </c>
    </row>
    <row r="7" spans="1:16" ht="17" thickBot="1" x14ac:dyDescent="0.25">
      <c r="A7" s="225"/>
      <c r="B7" s="172"/>
      <c r="C7" s="196" t="s">
        <v>3</v>
      </c>
      <c r="D7" s="204" t="s">
        <v>4</v>
      </c>
      <c r="E7" s="195" t="s">
        <v>5</v>
      </c>
      <c r="F7" s="195" t="s">
        <v>6</v>
      </c>
      <c r="G7" s="194" t="s">
        <v>96</v>
      </c>
      <c r="H7" s="172"/>
      <c r="I7" s="172"/>
      <c r="J7" s="171"/>
      <c r="M7" s="275"/>
    </row>
    <row r="8" spans="1:16" ht="17" thickBot="1" x14ac:dyDescent="0.25">
      <c r="A8" s="225"/>
      <c r="B8" s="172"/>
      <c r="C8" s="205">
        <v>2013</v>
      </c>
      <c r="D8" s="272">
        <v>450</v>
      </c>
      <c r="E8" s="271">
        <v>1354</v>
      </c>
      <c r="F8" s="271">
        <v>2465</v>
      </c>
      <c r="G8" s="270">
        <v>3348</v>
      </c>
      <c r="H8" s="172"/>
      <c r="I8" s="172"/>
      <c r="J8" s="171"/>
      <c r="L8" s="274" t="s">
        <v>308</v>
      </c>
      <c r="M8" s="213">
        <f>M6</f>
        <v>2.4503345908134442</v>
      </c>
    </row>
    <row r="9" spans="1:16" x14ac:dyDescent="0.2">
      <c r="A9" s="225"/>
      <c r="B9" s="172"/>
      <c r="C9" s="192">
        <v>2014</v>
      </c>
      <c r="D9" s="269">
        <v>355</v>
      </c>
      <c r="E9" s="191">
        <v>1535</v>
      </c>
      <c r="F9" s="191">
        <v>2747</v>
      </c>
      <c r="G9" s="190"/>
      <c r="H9" s="172"/>
      <c r="I9" s="172"/>
      <c r="J9" s="171"/>
    </row>
    <row r="10" spans="1:16" x14ac:dyDescent="0.2">
      <c r="A10" s="225"/>
      <c r="B10" s="172"/>
      <c r="C10" s="192">
        <v>2015</v>
      </c>
      <c r="D10" s="269">
        <v>398</v>
      </c>
      <c r="E10" s="191">
        <v>1411</v>
      </c>
      <c r="F10" s="191"/>
      <c r="G10" s="190"/>
      <c r="H10" s="172"/>
      <c r="I10" s="172"/>
      <c r="J10" s="171"/>
      <c r="L10" s="216" t="s">
        <v>279</v>
      </c>
      <c r="M10" s="260"/>
    </row>
    <row r="11" spans="1:16" x14ac:dyDescent="0.2">
      <c r="A11" s="225"/>
      <c r="B11" s="172"/>
      <c r="C11" s="189">
        <v>2016</v>
      </c>
      <c r="D11" s="267">
        <v>355</v>
      </c>
      <c r="E11" s="187"/>
      <c r="F11" s="187"/>
      <c r="G11" s="186"/>
      <c r="H11" s="172"/>
      <c r="I11" s="172"/>
      <c r="J11" s="171"/>
      <c r="L11" t="s">
        <v>307</v>
      </c>
    </row>
    <row r="12" spans="1:16" x14ac:dyDescent="0.2">
      <c r="A12" s="225"/>
      <c r="B12" s="172"/>
      <c r="C12" s="172"/>
      <c r="D12" s="172"/>
      <c r="E12" s="172"/>
      <c r="F12" s="172"/>
      <c r="G12" s="172"/>
      <c r="H12" s="172"/>
      <c r="I12" s="172"/>
      <c r="J12" s="171"/>
    </row>
    <row r="13" spans="1:16" x14ac:dyDescent="0.2">
      <c r="A13" s="225"/>
      <c r="B13" s="173"/>
      <c r="C13" s="311" t="s">
        <v>306</v>
      </c>
      <c r="D13" s="311"/>
      <c r="E13" s="311"/>
      <c r="F13" s="311"/>
      <c r="G13" s="311"/>
      <c r="H13" s="172"/>
      <c r="I13" s="172"/>
      <c r="J13" s="171"/>
      <c r="L13" s="199" t="s">
        <v>19</v>
      </c>
      <c r="M13" s="198">
        <v>12</v>
      </c>
      <c r="N13" s="198">
        <v>24</v>
      </c>
      <c r="O13" s="198">
        <v>36</v>
      </c>
      <c r="P13" s="198">
        <v>48</v>
      </c>
    </row>
    <row r="14" spans="1:16" x14ac:dyDescent="0.2">
      <c r="A14" s="225"/>
      <c r="B14" s="173"/>
      <c r="C14" s="196" t="s">
        <v>3</v>
      </c>
      <c r="D14" s="204" t="s">
        <v>4</v>
      </c>
      <c r="E14" s="195" t="s">
        <v>5</v>
      </c>
      <c r="F14" s="195" t="s">
        <v>6</v>
      </c>
      <c r="G14" s="194" t="s">
        <v>96</v>
      </c>
      <c r="H14" s="172"/>
      <c r="I14" s="172"/>
      <c r="J14" s="171"/>
      <c r="L14" s="197">
        <v>2013</v>
      </c>
      <c r="M14" s="165">
        <f>D8*$D$25/D15</f>
        <v>487.5</v>
      </c>
      <c r="N14" s="165">
        <f>E8*$E$25/E15</f>
        <v>1464.7818181818182</v>
      </c>
      <c r="O14" s="165">
        <f>F8*$F$25/F15</f>
        <v>2407.6744186046512</v>
      </c>
      <c r="P14" s="165">
        <f>G8*G25/G15</f>
        <v>3203.5764705882352</v>
      </c>
    </row>
    <row r="15" spans="1:16" x14ac:dyDescent="0.2">
      <c r="A15" s="225"/>
      <c r="B15" s="173"/>
      <c r="C15" s="205">
        <v>2013</v>
      </c>
      <c r="D15" s="272">
        <v>24</v>
      </c>
      <c r="E15" s="271">
        <v>110</v>
      </c>
      <c r="F15" s="271">
        <v>215</v>
      </c>
      <c r="G15" s="270">
        <v>255</v>
      </c>
      <c r="H15" s="172"/>
      <c r="I15" s="172"/>
      <c r="J15" s="171"/>
      <c r="L15" s="197">
        <v>2014</v>
      </c>
      <c r="M15" s="165">
        <f>D9*$D$25/D16</f>
        <v>369.2</v>
      </c>
      <c r="N15" s="165">
        <f>E9*$E$25/E16</f>
        <v>1588.391304347826</v>
      </c>
      <c r="O15" s="165">
        <f>F9*$F$25/F16</f>
        <v>2695.6542056074768</v>
      </c>
      <c r="P15" s="165"/>
    </row>
    <row r="16" spans="1:16" x14ac:dyDescent="0.2">
      <c r="A16" s="225"/>
      <c r="B16" s="173"/>
      <c r="C16" s="192">
        <v>2014</v>
      </c>
      <c r="D16" s="269">
        <v>25</v>
      </c>
      <c r="E16" s="191">
        <v>115</v>
      </c>
      <c r="F16" s="191">
        <v>214</v>
      </c>
      <c r="G16" s="190">
        <v>265</v>
      </c>
      <c r="H16" s="172"/>
      <c r="I16" s="172"/>
      <c r="J16" s="171"/>
      <c r="L16" s="197">
        <v>2015</v>
      </c>
      <c r="M16" s="165">
        <f>D10*$D$25/D17</f>
        <v>398</v>
      </c>
      <c r="N16" s="165">
        <f>E10*$E$25/E17</f>
        <v>1435.1196581196582</v>
      </c>
      <c r="O16" s="165"/>
      <c r="P16" s="165"/>
    </row>
    <row r="17" spans="1:20" x14ac:dyDescent="0.2">
      <c r="A17" s="225"/>
      <c r="B17" s="173"/>
      <c r="C17" s="192">
        <v>2015</v>
      </c>
      <c r="D17" s="269">
        <v>26</v>
      </c>
      <c r="E17" s="191">
        <v>117</v>
      </c>
      <c r="F17" s="191">
        <v>227</v>
      </c>
      <c r="G17" s="190">
        <v>281</v>
      </c>
      <c r="H17" s="172"/>
      <c r="I17" s="172"/>
      <c r="J17" s="171"/>
      <c r="L17" s="197">
        <v>2016</v>
      </c>
      <c r="M17" s="165">
        <f>D11*$D$25/D18</f>
        <v>355</v>
      </c>
      <c r="N17" s="165"/>
      <c r="O17" s="165"/>
      <c r="P17" s="165"/>
    </row>
    <row r="18" spans="1:20" x14ac:dyDescent="0.2">
      <c r="A18" s="225"/>
      <c r="B18" s="173"/>
      <c r="C18" s="189">
        <v>2016</v>
      </c>
      <c r="D18" s="267">
        <v>26</v>
      </c>
      <c r="E18" s="187">
        <v>121</v>
      </c>
      <c r="F18" s="187">
        <v>236</v>
      </c>
      <c r="G18" s="186">
        <v>290</v>
      </c>
      <c r="H18" s="172"/>
      <c r="I18" s="172"/>
      <c r="J18" s="171"/>
      <c r="M18" s="273"/>
    </row>
    <row r="19" spans="1:20" x14ac:dyDescent="0.2">
      <c r="A19" s="225"/>
      <c r="B19" s="173"/>
      <c r="C19" s="172"/>
      <c r="D19" s="172"/>
      <c r="E19" s="172"/>
      <c r="F19" s="172"/>
      <c r="G19" s="172"/>
      <c r="H19" s="172"/>
      <c r="I19" s="172"/>
      <c r="J19" s="171"/>
      <c r="L19" t="s">
        <v>305</v>
      </c>
      <c r="M19" s="273"/>
    </row>
    <row r="20" spans="1:20" x14ac:dyDescent="0.2">
      <c r="A20" s="225"/>
      <c r="B20" s="173"/>
      <c r="C20" s="311" t="s">
        <v>304</v>
      </c>
      <c r="D20" s="311"/>
      <c r="E20" s="311"/>
      <c r="F20" s="311"/>
      <c r="G20" s="311"/>
      <c r="H20" s="172"/>
      <c r="I20" s="172"/>
      <c r="J20" s="171"/>
      <c r="M20" s="273"/>
    </row>
    <row r="21" spans="1:20" x14ac:dyDescent="0.2">
      <c r="A21" s="225"/>
      <c r="B21" s="173"/>
      <c r="C21" s="196" t="s">
        <v>3</v>
      </c>
      <c r="D21" s="204" t="s">
        <v>4</v>
      </c>
      <c r="E21" s="195" t="s">
        <v>5</v>
      </c>
      <c r="F21" s="195" t="s">
        <v>6</v>
      </c>
      <c r="G21" s="194" t="s">
        <v>96</v>
      </c>
      <c r="H21" s="172"/>
      <c r="I21" s="172"/>
      <c r="J21" s="171"/>
      <c r="L21" s="312" t="s">
        <v>303</v>
      </c>
      <c r="M21" s="312"/>
      <c r="N21" s="312"/>
      <c r="O21" s="312"/>
      <c r="P21" s="312"/>
      <c r="Q21" s="312"/>
      <c r="R21" s="312"/>
    </row>
    <row r="22" spans="1:20" x14ac:dyDescent="0.2">
      <c r="A22" s="225"/>
      <c r="B22" s="173"/>
      <c r="C22" s="205">
        <v>2013</v>
      </c>
      <c r="D22" s="272">
        <v>24</v>
      </c>
      <c r="E22" s="271">
        <v>109</v>
      </c>
      <c r="F22" s="271">
        <v>195</v>
      </c>
      <c r="G22" s="270">
        <v>223</v>
      </c>
      <c r="H22" s="172"/>
      <c r="I22" s="172"/>
      <c r="J22" s="171"/>
      <c r="L22" s="312"/>
      <c r="M22" s="312"/>
      <c r="N22" s="312"/>
      <c r="O22" s="312"/>
      <c r="P22" s="312"/>
      <c r="Q22" s="312"/>
      <c r="R22" s="312"/>
    </row>
    <row r="23" spans="1:20" x14ac:dyDescent="0.2">
      <c r="A23" s="225"/>
      <c r="B23" s="172"/>
      <c r="C23" s="192">
        <v>2014</v>
      </c>
      <c r="D23" s="269">
        <v>25</v>
      </c>
      <c r="E23" s="191">
        <v>113</v>
      </c>
      <c r="F23" s="191">
        <v>195</v>
      </c>
      <c r="G23" s="190">
        <v>228</v>
      </c>
      <c r="H23" s="172"/>
      <c r="I23" s="172"/>
      <c r="J23" s="171"/>
      <c r="M23" s="259"/>
    </row>
    <row r="24" spans="1:20" x14ac:dyDescent="0.2">
      <c r="A24" s="225"/>
      <c r="B24" s="172"/>
      <c r="C24" s="192">
        <v>2015</v>
      </c>
      <c r="D24" s="269">
        <v>26</v>
      </c>
      <c r="E24" s="191">
        <v>115</v>
      </c>
      <c r="F24" s="191">
        <v>204</v>
      </c>
      <c r="G24" s="190">
        <v>239</v>
      </c>
      <c r="H24" s="172"/>
      <c r="I24" s="172"/>
      <c r="J24" s="171"/>
      <c r="L24" s="199"/>
      <c r="M24" s="268" t="s">
        <v>154</v>
      </c>
      <c r="N24" s="268" t="s">
        <v>302</v>
      </c>
    </row>
    <row r="25" spans="1:20" x14ac:dyDescent="0.2">
      <c r="A25" s="225"/>
      <c r="B25" s="172"/>
      <c r="C25" s="189">
        <v>2016</v>
      </c>
      <c r="D25" s="267">
        <v>26</v>
      </c>
      <c r="E25" s="187">
        <v>119</v>
      </c>
      <c r="F25" s="187">
        <v>210</v>
      </c>
      <c r="G25" s="186">
        <v>244</v>
      </c>
      <c r="H25" s="172"/>
      <c r="I25" s="172"/>
      <c r="J25" s="171"/>
      <c r="L25" s="197" t="s">
        <v>27</v>
      </c>
      <c r="M25" s="193">
        <f>SUM(O14:O15)/SUM(N14:N15)</f>
        <v>1.6714835416813409</v>
      </c>
      <c r="N25" s="193">
        <f>P14/O14</f>
        <v>1.3305688035863432</v>
      </c>
    </row>
    <row r="26" spans="1:20" x14ac:dyDescent="0.2">
      <c r="A26" s="225"/>
      <c r="B26" s="172"/>
      <c r="C26" s="173"/>
      <c r="D26" s="173"/>
      <c r="E26" s="173"/>
      <c r="F26" s="173"/>
      <c r="G26" s="173"/>
      <c r="H26" s="172"/>
      <c r="I26" s="172"/>
      <c r="J26" s="171"/>
      <c r="L26" s="266" t="s">
        <v>301</v>
      </c>
      <c r="M26" s="193">
        <f>N26*M25</f>
        <v>2.2240238562692056</v>
      </c>
      <c r="N26" s="193">
        <f>N25*H27</f>
        <v>1.3305688035863432</v>
      </c>
    </row>
    <row r="27" spans="1:20" x14ac:dyDescent="0.2">
      <c r="A27" s="225"/>
      <c r="B27" s="172"/>
      <c r="C27" s="175" t="s">
        <v>300</v>
      </c>
      <c r="D27" s="173"/>
      <c r="E27" s="173"/>
      <c r="F27" s="173"/>
      <c r="G27" s="173"/>
      <c r="H27" s="265">
        <v>1</v>
      </c>
      <c r="I27" s="172"/>
      <c r="J27" s="171"/>
    </row>
    <row r="28" spans="1:20" x14ac:dyDescent="0.2">
      <c r="A28" s="225"/>
      <c r="B28" s="172"/>
      <c r="C28" s="173"/>
      <c r="D28" s="173"/>
      <c r="E28" s="173"/>
      <c r="F28" s="173"/>
      <c r="G28" s="173"/>
      <c r="H28" s="172"/>
      <c r="I28" s="172"/>
      <c r="J28" s="171"/>
      <c r="L28" t="s">
        <v>299</v>
      </c>
    </row>
    <row r="29" spans="1:20" ht="17" thickBot="1" x14ac:dyDescent="0.25">
      <c r="A29" s="225" t="s">
        <v>0</v>
      </c>
      <c r="B29" s="172" t="s">
        <v>266</v>
      </c>
      <c r="C29" s="175" t="s">
        <v>298</v>
      </c>
      <c r="D29" s="173"/>
      <c r="E29" s="173"/>
      <c r="F29" s="173"/>
      <c r="G29" s="173"/>
      <c r="H29" s="172"/>
      <c r="I29" s="172"/>
      <c r="J29" s="171"/>
    </row>
    <row r="30" spans="1:20" ht="17" thickBot="1" x14ac:dyDescent="0.25">
      <c r="A30" s="225"/>
      <c r="B30" s="172"/>
      <c r="C30" s="175" t="s">
        <v>297</v>
      </c>
      <c r="D30" s="173"/>
      <c r="E30" s="173"/>
      <c r="F30" s="173"/>
      <c r="G30" s="264"/>
      <c r="H30" s="172"/>
      <c r="I30" s="172"/>
      <c r="J30" s="171"/>
      <c r="L30" s="263" t="s">
        <v>296</v>
      </c>
      <c r="M30" s="262"/>
      <c r="N30" s="213">
        <f>M26*((G17/G25))/(E17/E25)</f>
        <v>2.6050558263200911</v>
      </c>
    </row>
    <row r="31" spans="1:20" x14ac:dyDescent="0.2">
      <c r="A31" s="225"/>
      <c r="B31" s="172"/>
      <c r="C31" s="173"/>
      <c r="D31" s="173"/>
      <c r="E31" s="173"/>
      <c r="F31" s="173"/>
      <c r="G31" s="173"/>
      <c r="H31" s="172"/>
      <c r="I31" s="172"/>
      <c r="J31" s="171"/>
    </row>
    <row r="32" spans="1:20" ht="16" customHeight="1" x14ac:dyDescent="0.2">
      <c r="A32" s="225" t="s">
        <v>1</v>
      </c>
      <c r="B32" s="172" t="s">
        <v>295</v>
      </c>
      <c r="C32" s="175" t="s">
        <v>294</v>
      </c>
      <c r="D32" s="173"/>
      <c r="E32" s="173"/>
      <c r="F32" s="173"/>
      <c r="G32" s="173"/>
      <c r="H32" s="172"/>
      <c r="I32" s="172"/>
      <c r="J32" s="171"/>
      <c r="L32" s="309" t="s">
        <v>293</v>
      </c>
      <c r="M32" s="309"/>
      <c r="N32" s="309"/>
      <c r="O32" s="309"/>
      <c r="P32" s="309"/>
      <c r="Q32" s="309"/>
      <c r="R32" s="309"/>
      <c r="S32" s="219"/>
      <c r="T32" s="219"/>
    </row>
    <row r="33" spans="1:20" x14ac:dyDescent="0.2">
      <c r="A33" s="225"/>
      <c r="B33" s="172"/>
      <c r="C33" s="175" t="s">
        <v>292</v>
      </c>
      <c r="D33" s="173"/>
      <c r="E33" s="173"/>
      <c r="F33" s="173"/>
      <c r="G33" s="173"/>
      <c r="H33" s="172"/>
      <c r="I33" s="172"/>
      <c r="J33" s="171"/>
      <c r="L33" s="309"/>
      <c r="M33" s="309"/>
      <c r="N33" s="309"/>
      <c r="O33" s="309"/>
      <c r="P33" s="309"/>
      <c r="Q33" s="309"/>
      <c r="R33" s="309"/>
      <c r="S33" s="219"/>
      <c r="T33" s="219"/>
    </row>
    <row r="34" spans="1:20" x14ac:dyDescent="0.2">
      <c r="A34" s="225"/>
      <c r="B34" s="172"/>
      <c r="C34" s="175" t="s">
        <v>291</v>
      </c>
      <c r="D34" s="172"/>
      <c r="E34" s="172"/>
      <c r="F34" s="172"/>
      <c r="G34" s="172"/>
      <c r="H34" s="172"/>
      <c r="I34" s="172"/>
      <c r="J34" s="171"/>
    </row>
    <row r="35" spans="1:20" ht="17" thickBot="1" x14ac:dyDescent="0.25">
      <c r="A35" s="223"/>
      <c r="B35" s="257"/>
      <c r="C35" s="258"/>
      <c r="D35" s="257"/>
      <c r="E35" s="257"/>
      <c r="F35" s="257"/>
      <c r="G35" s="257"/>
      <c r="H35" s="257"/>
      <c r="I35" s="257"/>
      <c r="J35" s="256"/>
    </row>
    <row r="36" spans="1:20" ht="20" thickBot="1" x14ac:dyDescent="0.3">
      <c r="A36" s="239" t="s">
        <v>109</v>
      </c>
      <c r="B36" s="168"/>
      <c r="C36" s="238"/>
      <c r="D36" s="168"/>
      <c r="E36" s="168"/>
      <c r="F36" s="168"/>
      <c r="G36" s="168"/>
      <c r="H36" s="168"/>
      <c r="I36" s="168"/>
      <c r="J36" s="167"/>
      <c r="L36" s="206" t="s">
        <v>121</v>
      </c>
      <c r="M36" s="260"/>
    </row>
    <row r="37" spans="1:20" x14ac:dyDescent="0.2">
      <c r="L37" t="s">
        <v>122</v>
      </c>
    </row>
  </sheetData>
  <mergeCells count="5">
    <mergeCell ref="C6:G6"/>
    <mergeCell ref="C13:G13"/>
    <mergeCell ref="C20:G20"/>
    <mergeCell ref="L21:R22"/>
    <mergeCell ref="L32:R3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18558-0600-374C-A429-DF04781E47FE}">
  <dimension ref="A1:V57"/>
  <sheetViews>
    <sheetView workbookViewId="0">
      <selection activeCell="B1" sqref="B1"/>
    </sheetView>
  </sheetViews>
  <sheetFormatPr baseColWidth="10" defaultColWidth="11" defaultRowHeight="16" outlineLevelCol="1" x14ac:dyDescent="0.2"/>
  <cols>
    <col min="1" max="1" width="4" style="161" customWidth="1"/>
    <col min="2" max="7" width="10.83203125" customWidth="1"/>
    <col min="8" max="8" width="7.5" customWidth="1"/>
    <col min="9" max="13" width="10.83203125" customWidth="1"/>
    <col min="14" max="14" width="10.6640625" customWidth="1"/>
    <col min="15" max="21" width="10.83203125" hidden="1" customWidth="1" outlineLevel="1"/>
    <col min="22" max="22" width="11" collapsed="1"/>
  </cols>
  <sheetData>
    <row r="1" spans="1:21" x14ac:dyDescent="0.2">
      <c r="A1" s="255"/>
      <c r="B1" s="210" t="s">
        <v>262</v>
      </c>
      <c r="C1" s="209" t="s">
        <v>335</v>
      </c>
      <c r="D1" s="209" t="s">
        <v>260</v>
      </c>
      <c r="E1" s="209" t="s">
        <v>334</v>
      </c>
      <c r="F1" s="208"/>
      <c r="G1" s="208"/>
      <c r="H1" s="208"/>
      <c r="I1" s="208"/>
      <c r="J1" s="208"/>
      <c r="K1" s="208"/>
      <c r="L1" s="208"/>
      <c r="M1" s="207"/>
      <c r="N1" s="216" t="s">
        <v>110</v>
      </c>
      <c r="O1" s="216"/>
      <c r="P1" s="216"/>
    </row>
    <row r="2" spans="1:21" x14ac:dyDescent="0.2">
      <c r="A2" s="225"/>
      <c r="B2" s="254" t="s">
        <v>258</v>
      </c>
      <c r="C2" s="253">
        <v>2.75</v>
      </c>
      <c r="D2" s="172"/>
      <c r="E2" s="172"/>
      <c r="F2" s="172"/>
      <c r="G2" s="172"/>
      <c r="H2" s="172"/>
      <c r="I2" s="172"/>
      <c r="J2" s="172"/>
      <c r="K2" s="172"/>
      <c r="L2" s="172"/>
      <c r="M2" s="171"/>
    </row>
    <row r="3" spans="1:21" x14ac:dyDescent="0.2">
      <c r="A3" s="225"/>
      <c r="B3" s="172"/>
      <c r="C3" s="172"/>
      <c r="D3" s="172"/>
      <c r="E3" s="172"/>
      <c r="F3" s="172"/>
      <c r="G3" s="172"/>
      <c r="H3" s="172"/>
      <c r="I3" s="172"/>
      <c r="J3" s="172"/>
      <c r="K3" s="172"/>
      <c r="L3" s="172"/>
      <c r="M3" s="171"/>
      <c r="O3" s="216" t="s">
        <v>288</v>
      </c>
      <c r="Q3" s="261"/>
    </row>
    <row r="4" spans="1:21" x14ac:dyDescent="0.2">
      <c r="A4" s="225"/>
      <c r="B4" s="172"/>
      <c r="C4" s="172" t="s">
        <v>333</v>
      </c>
      <c r="D4" s="172"/>
      <c r="E4" s="172"/>
      <c r="F4" s="172"/>
      <c r="G4" s="172"/>
      <c r="H4" s="172"/>
      <c r="I4" s="172"/>
      <c r="J4" s="172"/>
      <c r="K4" s="172"/>
      <c r="L4" s="172"/>
      <c r="M4" s="171"/>
      <c r="O4" t="s">
        <v>332</v>
      </c>
      <c r="P4" s="275"/>
      <c r="Q4" s="277"/>
    </row>
    <row r="5" spans="1:21" x14ac:dyDescent="0.2">
      <c r="A5" s="225"/>
      <c r="B5" s="172"/>
      <c r="C5" s="172"/>
      <c r="D5" s="172"/>
      <c r="E5" s="172"/>
      <c r="F5" s="172"/>
      <c r="G5" s="172"/>
      <c r="H5" s="172"/>
      <c r="I5" s="172"/>
      <c r="J5" s="172"/>
      <c r="K5" s="172"/>
      <c r="L5" s="172"/>
      <c r="M5" s="171"/>
      <c r="P5" s="275"/>
    </row>
    <row r="6" spans="1:21" x14ac:dyDescent="0.2">
      <c r="A6" s="225"/>
      <c r="B6" s="172"/>
      <c r="C6" s="172" t="s">
        <v>331</v>
      </c>
      <c r="D6" s="172"/>
      <c r="E6" s="172"/>
      <c r="F6" s="172"/>
      <c r="G6" s="172"/>
      <c r="H6" s="172"/>
      <c r="I6" s="172"/>
      <c r="J6" s="172"/>
      <c r="K6" s="172"/>
      <c r="L6" s="172"/>
      <c r="M6" s="171"/>
      <c r="O6" s="199" t="s">
        <v>19</v>
      </c>
      <c r="P6" s="198">
        <v>12</v>
      </c>
      <c r="Q6" s="198">
        <v>24</v>
      </c>
      <c r="R6" s="198">
        <v>36</v>
      </c>
      <c r="S6" s="198">
        <v>48</v>
      </c>
    </row>
    <row r="7" spans="1:21" x14ac:dyDescent="0.2">
      <c r="A7" s="225"/>
      <c r="B7" s="172"/>
      <c r="C7" s="172"/>
      <c r="D7" s="172"/>
      <c r="E7" s="172"/>
      <c r="F7" s="172"/>
      <c r="G7" s="172"/>
      <c r="H7" s="172"/>
      <c r="I7" s="172"/>
      <c r="J7" s="172"/>
      <c r="K7" s="172"/>
      <c r="L7" s="172"/>
      <c r="M7" s="171"/>
      <c r="O7" s="197">
        <v>2015</v>
      </c>
      <c r="P7" s="165">
        <f>D11*($D$22/I19)</f>
        <v>531</v>
      </c>
      <c r="Q7" s="165">
        <f>E11*($E$22/J19)</f>
        <v>1113.6363636363635</v>
      </c>
      <c r="R7" s="165">
        <f>F11*($F$22/K19)</f>
        <v>1780.3030303030305</v>
      </c>
      <c r="S7" s="165">
        <f>G11*(G22/L19)</f>
        <v>2185.5024711696869</v>
      </c>
    </row>
    <row r="8" spans="1:21" x14ac:dyDescent="0.2">
      <c r="A8" s="225"/>
      <c r="B8" s="172"/>
      <c r="C8" s="313" t="s">
        <v>325</v>
      </c>
      <c r="D8" s="316" t="s">
        <v>330</v>
      </c>
      <c r="E8" s="316"/>
      <c r="F8" s="316"/>
      <c r="G8" s="317"/>
      <c r="H8" s="173"/>
      <c r="I8" s="173"/>
      <c r="J8" s="173"/>
      <c r="K8" s="172"/>
      <c r="L8" s="172"/>
      <c r="M8" s="171"/>
      <c r="O8" s="197">
        <v>2016</v>
      </c>
      <c r="P8" s="165">
        <f>D12*($D$22/I20)</f>
        <v>359.13043478260875</v>
      </c>
      <c r="Q8" s="165">
        <f>E12*($E$22/J20)</f>
        <v>1201.6348773841962</v>
      </c>
      <c r="R8" s="165">
        <f>F12*($F$22/K20)</f>
        <v>1929.9115044247787</v>
      </c>
      <c r="S8" s="165"/>
    </row>
    <row r="9" spans="1:21" x14ac:dyDescent="0.2">
      <c r="A9" s="225"/>
      <c r="B9" s="172"/>
      <c r="C9" s="314"/>
      <c r="D9" s="318"/>
      <c r="E9" s="318"/>
      <c r="F9" s="318"/>
      <c r="G9" s="319"/>
      <c r="H9" s="173"/>
      <c r="I9" s="173"/>
      <c r="J9" s="173"/>
      <c r="K9" s="172"/>
      <c r="L9" s="172"/>
      <c r="M9" s="171"/>
      <c r="O9" s="197">
        <v>2017</v>
      </c>
      <c r="P9" s="165">
        <f>D13*($D$22/I21)</f>
        <v>402.27272727272731</v>
      </c>
      <c r="Q9" s="165">
        <f>E13*($E$22/J21)</f>
        <v>1143.3333333333333</v>
      </c>
      <c r="R9" s="165"/>
      <c r="S9" s="165"/>
    </row>
    <row r="10" spans="1:21" x14ac:dyDescent="0.2">
      <c r="A10" s="225"/>
      <c r="B10" s="172"/>
      <c r="C10" s="315"/>
      <c r="D10" s="204">
        <v>12</v>
      </c>
      <c r="E10" s="195">
        <v>24</v>
      </c>
      <c r="F10" s="195">
        <v>36</v>
      </c>
      <c r="G10" s="194">
        <v>48</v>
      </c>
      <c r="H10" s="173"/>
      <c r="I10" s="173"/>
      <c r="J10" s="173"/>
      <c r="K10" s="172"/>
      <c r="L10" s="172"/>
      <c r="M10" s="171"/>
      <c r="O10" s="197">
        <v>2018</v>
      </c>
      <c r="P10" s="165">
        <f>D14*($D$22/I22)</f>
        <v>319.58333333333331</v>
      </c>
      <c r="Q10" s="165"/>
      <c r="R10" s="165"/>
      <c r="S10" s="165"/>
    </row>
    <row r="11" spans="1:21" x14ac:dyDescent="0.2">
      <c r="A11" s="225"/>
      <c r="B11" s="172"/>
      <c r="C11" s="192">
        <v>2015</v>
      </c>
      <c r="D11" s="191">
        <v>450</v>
      </c>
      <c r="E11" s="191">
        <v>1250</v>
      </c>
      <c r="F11" s="191">
        <v>2500</v>
      </c>
      <c r="G11" s="190">
        <v>3300</v>
      </c>
      <c r="H11" s="173"/>
      <c r="I11" s="173"/>
      <c r="J11" s="173"/>
      <c r="K11" s="172"/>
      <c r="L11" s="172"/>
      <c r="M11" s="171"/>
    </row>
    <row r="12" spans="1:21" x14ac:dyDescent="0.2">
      <c r="A12" s="225"/>
      <c r="B12" s="172"/>
      <c r="C12" s="192">
        <v>2016</v>
      </c>
      <c r="D12" s="191">
        <v>350</v>
      </c>
      <c r="E12" s="191">
        <v>1500</v>
      </c>
      <c r="F12" s="191">
        <v>2900</v>
      </c>
      <c r="G12" s="190"/>
      <c r="H12" s="173"/>
      <c r="I12" s="173"/>
      <c r="J12" s="173"/>
      <c r="K12" s="172"/>
      <c r="L12" s="172"/>
      <c r="M12" s="171"/>
      <c r="O12" s="312" t="s">
        <v>329</v>
      </c>
      <c r="P12" s="312"/>
      <c r="Q12" s="312"/>
      <c r="R12" s="312"/>
      <c r="S12" s="312"/>
      <c r="T12" s="312"/>
      <c r="U12" s="312"/>
    </row>
    <row r="13" spans="1:21" x14ac:dyDescent="0.2">
      <c r="A13" s="225"/>
      <c r="B13" s="173"/>
      <c r="C13" s="192">
        <v>2017</v>
      </c>
      <c r="D13" s="191">
        <v>375</v>
      </c>
      <c r="E13" s="191">
        <v>1400</v>
      </c>
      <c r="F13" s="191"/>
      <c r="G13" s="190"/>
      <c r="H13" s="173"/>
      <c r="I13" s="173"/>
      <c r="J13" s="173"/>
      <c r="K13" s="172"/>
      <c r="L13" s="172"/>
      <c r="M13" s="171"/>
      <c r="O13" s="312"/>
      <c r="P13" s="312"/>
      <c r="Q13" s="312"/>
      <c r="R13" s="312"/>
      <c r="S13" s="312"/>
      <c r="T13" s="312"/>
      <c r="U13" s="312"/>
    </row>
    <row r="14" spans="1:21" x14ac:dyDescent="0.2">
      <c r="A14" s="225"/>
      <c r="B14" s="173"/>
      <c r="C14" s="189">
        <v>2018</v>
      </c>
      <c r="D14" s="187">
        <v>325</v>
      </c>
      <c r="E14" s="187"/>
      <c r="F14" s="187"/>
      <c r="G14" s="186"/>
      <c r="H14" s="173"/>
      <c r="I14" s="173"/>
      <c r="J14" s="173"/>
      <c r="K14" s="172"/>
      <c r="L14" s="172"/>
      <c r="M14" s="171"/>
      <c r="O14" s="216"/>
      <c r="P14" s="216"/>
    </row>
    <row r="15" spans="1:21" x14ac:dyDescent="0.2">
      <c r="A15" s="225"/>
      <c r="B15" s="173"/>
      <c r="C15" s="172"/>
      <c r="D15" s="172"/>
      <c r="E15" s="172"/>
      <c r="F15" s="172"/>
      <c r="G15" s="172"/>
      <c r="H15" s="172"/>
      <c r="I15" s="172"/>
      <c r="J15" s="172"/>
      <c r="K15" s="172"/>
      <c r="L15" s="172"/>
      <c r="M15" s="171"/>
      <c r="O15" s="312" t="s">
        <v>303</v>
      </c>
      <c r="P15" s="312"/>
      <c r="Q15" s="312"/>
      <c r="R15" s="312"/>
      <c r="S15" s="312"/>
      <c r="T15" s="312"/>
      <c r="U15" s="312"/>
    </row>
    <row r="16" spans="1:21" x14ac:dyDescent="0.2">
      <c r="A16" s="225"/>
      <c r="B16" s="173"/>
      <c r="C16" s="313" t="s">
        <v>325</v>
      </c>
      <c r="D16" s="316" t="s">
        <v>328</v>
      </c>
      <c r="E16" s="316"/>
      <c r="F16" s="316"/>
      <c r="G16" s="317"/>
      <c r="H16" s="172"/>
      <c r="I16" s="323" t="s">
        <v>327</v>
      </c>
      <c r="J16" s="316"/>
      <c r="K16" s="316"/>
      <c r="L16" s="317"/>
      <c r="M16" s="171"/>
      <c r="O16" s="312"/>
      <c r="P16" s="312"/>
      <c r="Q16" s="312"/>
      <c r="R16" s="312"/>
      <c r="S16" s="312"/>
      <c r="T16" s="312"/>
      <c r="U16" s="312"/>
    </row>
    <row r="17" spans="1:22" ht="16" customHeight="1" x14ac:dyDescent="0.2">
      <c r="A17" s="225"/>
      <c r="B17" s="173"/>
      <c r="C17" s="314"/>
      <c r="D17" s="318"/>
      <c r="E17" s="318"/>
      <c r="F17" s="318"/>
      <c r="G17" s="319"/>
      <c r="H17" s="172"/>
      <c r="I17" s="324"/>
      <c r="J17" s="318"/>
      <c r="K17" s="318"/>
      <c r="L17" s="319"/>
      <c r="M17" s="171"/>
    </row>
    <row r="18" spans="1:22" x14ac:dyDescent="0.2">
      <c r="A18" s="225"/>
      <c r="B18" s="173"/>
      <c r="C18" s="315"/>
      <c r="D18" s="204">
        <v>12</v>
      </c>
      <c r="E18" s="195">
        <v>24</v>
      </c>
      <c r="F18" s="195">
        <v>36</v>
      </c>
      <c r="G18" s="194">
        <v>48</v>
      </c>
      <c r="H18" s="172"/>
      <c r="I18" s="204">
        <v>12</v>
      </c>
      <c r="J18" s="195">
        <v>24</v>
      </c>
      <c r="K18" s="195">
        <v>36</v>
      </c>
      <c r="L18" s="194">
        <v>48</v>
      </c>
      <c r="M18" s="171"/>
      <c r="O18" s="199"/>
      <c r="P18" s="268" t="s">
        <v>154</v>
      </c>
      <c r="Q18" s="268" t="s">
        <v>302</v>
      </c>
    </row>
    <row r="19" spans="1:22" x14ac:dyDescent="0.2">
      <c r="A19" s="225"/>
      <c r="B19" s="173"/>
      <c r="C19" s="192">
        <v>2015</v>
      </c>
      <c r="D19" s="191">
        <v>99</v>
      </c>
      <c r="E19" s="191">
        <v>266</v>
      </c>
      <c r="F19" s="191">
        <v>356</v>
      </c>
      <c r="G19" s="190">
        <v>385</v>
      </c>
      <c r="H19" s="172"/>
      <c r="I19" s="269">
        <v>100</v>
      </c>
      <c r="J19" s="191">
        <v>330</v>
      </c>
      <c r="K19" s="191">
        <v>528</v>
      </c>
      <c r="L19" s="190">
        <v>607</v>
      </c>
      <c r="M19" s="171"/>
      <c r="O19" s="197" t="s">
        <v>27</v>
      </c>
      <c r="P19" s="193">
        <f>SUM(R7:R8)/SUM(Q7:Q8)</f>
        <v>1.602496704918412</v>
      </c>
      <c r="Q19" s="193">
        <f>S7/R7</f>
        <v>1.2276013880612708</v>
      </c>
    </row>
    <row r="20" spans="1:22" x14ac:dyDescent="0.2">
      <c r="A20" s="225"/>
      <c r="B20" s="173"/>
      <c r="C20" s="192">
        <v>2016</v>
      </c>
      <c r="D20" s="191">
        <v>114</v>
      </c>
      <c r="E20" s="191">
        <v>285</v>
      </c>
      <c r="F20" s="191">
        <v>370</v>
      </c>
      <c r="G20" s="190">
        <v>397</v>
      </c>
      <c r="H20" s="172"/>
      <c r="I20" s="269">
        <v>115</v>
      </c>
      <c r="J20" s="191">
        <v>367</v>
      </c>
      <c r="K20" s="191">
        <v>565</v>
      </c>
      <c r="L20" s="190">
        <v>641</v>
      </c>
      <c r="M20" s="171"/>
      <c r="O20" s="266" t="s">
        <v>301</v>
      </c>
      <c r="P20" s="193">
        <f>P19*Q20</f>
        <v>1.9672271793214553</v>
      </c>
      <c r="Q20" s="193">
        <f>Q19</f>
        <v>1.2276013880612708</v>
      </c>
    </row>
    <row r="21" spans="1:22" x14ac:dyDescent="0.2">
      <c r="A21" s="225"/>
      <c r="B21" s="173"/>
      <c r="C21" s="192">
        <v>2017</v>
      </c>
      <c r="D21" s="191">
        <v>109</v>
      </c>
      <c r="E21" s="191">
        <v>282</v>
      </c>
      <c r="F21" s="191">
        <v>367</v>
      </c>
      <c r="G21" s="190">
        <v>394</v>
      </c>
      <c r="H21" s="172"/>
      <c r="I21" s="269">
        <v>110</v>
      </c>
      <c r="J21" s="191">
        <v>360</v>
      </c>
      <c r="K21" s="191">
        <v>558</v>
      </c>
      <c r="L21" s="190">
        <v>635</v>
      </c>
      <c r="M21" s="171"/>
    </row>
    <row r="22" spans="1:22" x14ac:dyDescent="0.2">
      <c r="A22" s="225"/>
      <c r="B22" s="172"/>
      <c r="C22" s="189">
        <v>2018</v>
      </c>
      <c r="D22" s="187">
        <v>118</v>
      </c>
      <c r="E22" s="187">
        <v>294</v>
      </c>
      <c r="F22" s="187">
        <v>376</v>
      </c>
      <c r="G22" s="186">
        <v>402</v>
      </c>
      <c r="H22" s="172"/>
      <c r="I22" s="267">
        <v>120</v>
      </c>
      <c r="J22" s="187">
        <v>385</v>
      </c>
      <c r="K22" s="187">
        <v>583</v>
      </c>
      <c r="L22" s="186">
        <v>657</v>
      </c>
      <c r="M22" s="171"/>
      <c r="O22" t="s">
        <v>326</v>
      </c>
    </row>
    <row r="23" spans="1:22" x14ac:dyDescent="0.2">
      <c r="A23" s="225"/>
      <c r="B23" s="172"/>
      <c r="C23" s="173"/>
      <c r="D23" s="173"/>
      <c r="E23" s="173"/>
      <c r="F23" s="173"/>
      <c r="G23" s="173"/>
      <c r="H23" s="172"/>
      <c r="I23" s="173"/>
      <c r="J23" s="173"/>
      <c r="K23" s="173"/>
      <c r="L23" s="173"/>
      <c r="M23" s="171"/>
    </row>
    <row r="24" spans="1:22" ht="15.5" customHeight="1" x14ac:dyDescent="0.2">
      <c r="A24" s="225"/>
      <c r="B24" s="172"/>
      <c r="C24" s="313" t="s">
        <v>325</v>
      </c>
      <c r="D24" s="316" t="s">
        <v>324</v>
      </c>
      <c r="E24" s="316"/>
      <c r="F24" s="316"/>
      <c r="G24" s="317"/>
      <c r="H24" s="172"/>
      <c r="I24" s="323" t="s">
        <v>323</v>
      </c>
      <c r="J24" s="316"/>
      <c r="K24" s="316"/>
      <c r="L24" s="317"/>
      <c r="M24" s="171"/>
      <c r="O24" t="s">
        <v>322</v>
      </c>
      <c r="Q24" s="275">
        <f>P20*((L29-G29)/G22)/((J29-E29)/E22)</f>
        <v>99.99092774894352</v>
      </c>
      <c r="R24" s="312" t="s">
        <v>321</v>
      </c>
      <c r="S24" s="312"/>
      <c r="T24" s="312"/>
      <c r="U24" s="312"/>
      <c r="V24" s="219"/>
    </row>
    <row r="25" spans="1:22" ht="15.5" customHeight="1" x14ac:dyDescent="0.2">
      <c r="A25" s="225"/>
      <c r="B25" s="172"/>
      <c r="C25" s="314"/>
      <c r="D25" s="318"/>
      <c r="E25" s="318"/>
      <c r="F25" s="318"/>
      <c r="G25" s="319"/>
      <c r="H25" s="172"/>
      <c r="I25" s="324"/>
      <c r="J25" s="318"/>
      <c r="K25" s="318"/>
      <c r="L25" s="319"/>
      <c r="M25" s="171"/>
      <c r="R25" s="312"/>
      <c r="S25" s="312"/>
      <c r="T25" s="312"/>
      <c r="U25" s="312"/>
      <c r="V25" s="219"/>
    </row>
    <row r="26" spans="1:22" x14ac:dyDescent="0.2">
      <c r="A26" s="225"/>
      <c r="B26" s="172"/>
      <c r="C26" s="315"/>
      <c r="D26" s="204">
        <v>12</v>
      </c>
      <c r="E26" s="195">
        <v>24</v>
      </c>
      <c r="F26" s="195">
        <v>36</v>
      </c>
      <c r="G26" s="194">
        <v>48</v>
      </c>
      <c r="H26" s="172"/>
      <c r="I26" s="204">
        <v>12</v>
      </c>
      <c r="J26" s="195">
        <v>24</v>
      </c>
      <c r="K26" s="195">
        <v>36</v>
      </c>
      <c r="L26" s="194">
        <v>48</v>
      </c>
      <c r="M26" s="171"/>
      <c r="R26" s="312"/>
      <c r="S26" s="312"/>
      <c r="T26" s="312"/>
      <c r="U26" s="312"/>
    </row>
    <row r="27" spans="1:22" ht="17" thickBot="1" x14ac:dyDescent="0.25">
      <c r="A27" s="225"/>
      <c r="B27" s="172"/>
      <c r="C27" s="192">
        <v>2015</v>
      </c>
      <c r="D27" s="191">
        <v>100</v>
      </c>
      <c r="E27" s="191">
        <v>349</v>
      </c>
      <c r="F27" s="191">
        <v>652</v>
      </c>
      <c r="G27" s="190">
        <v>809</v>
      </c>
      <c r="H27" s="172"/>
      <c r="I27" s="269">
        <v>100</v>
      </c>
      <c r="J27" s="191">
        <v>350</v>
      </c>
      <c r="K27" s="191">
        <v>690</v>
      </c>
      <c r="L27" s="190">
        <v>910</v>
      </c>
      <c r="M27" s="171"/>
      <c r="R27" s="218"/>
      <c r="S27" s="218"/>
      <c r="T27" s="218"/>
      <c r="U27" s="218"/>
    </row>
    <row r="28" spans="1:22" ht="17" thickBot="1" x14ac:dyDescent="0.25">
      <c r="A28" s="225"/>
      <c r="B28" s="172"/>
      <c r="C28" s="192">
        <v>2016</v>
      </c>
      <c r="D28" s="191">
        <v>115</v>
      </c>
      <c r="E28" s="191">
        <v>397</v>
      </c>
      <c r="F28" s="191">
        <v>724</v>
      </c>
      <c r="G28" s="190">
        <v>885</v>
      </c>
      <c r="H28" s="172"/>
      <c r="I28" s="269">
        <v>115</v>
      </c>
      <c r="J28" s="191">
        <v>400</v>
      </c>
      <c r="K28" s="191">
        <v>785</v>
      </c>
      <c r="L28" s="190">
        <v>1035</v>
      </c>
      <c r="M28" s="171"/>
      <c r="O28" s="263" t="s">
        <v>320</v>
      </c>
      <c r="P28" s="262"/>
      <c r="Q28" s="276">
        <f>Q24*J33</f>
        <v>4999546.3874471756</v>
      </c>
    </row>
    <row r="29" spans="1:22" x14ac:dyDescent="0.2">
      <c r="A29" s="225"/>
      <c r="B29" s="172"/>
      <c r="C29" s="192">
        <v>2017</v>
      </c>
      <c r="D29" s="191">
        <v>110</v>
      </c>
      <c r="E29" s="191">
        <v>388</v>
      </c>
      <c r="F29" s="191">
        <v>709</v>
      </c>
      <c r="G29" s="190">
        <v>871</v>
      </c>
      <c r="H29" s="172"/>
      <c r="I29" s="269">
        <v>110</v>
      </c>
      <c r="J29" s="191">
        <v>390</v>
      </c>
      <c r="K29" s="191">
        <v>765</v>
      </c>
      <c r="L29" s="190">
        <v>1010</v>
      </c>
      <c r="M29" s="171"/>
    </row>
    <row r="30" spans="1:22" ht="15.5" customHeight="1" x14ac:dyDescent="0.2">
      <c r="A30" s="225"/>
      <c r="B30" s="172"/>
      <c r="C30" s="189">
        <v>2018</v>
      </c>
      <c r="D30" s="187">
        <v>120</v>
      </c>
      <c r="E30" s="187">
        <v>421</v>
      </c>
      <c r="F30" s="187">
        <v>759</v>
      </c>
      <c r="G30" s="186">
        <v>921</v>
      </c>
      <c r="H30" s="172"/>
      <c r="I30" s="267">
        <v>120</v>
      </c>
      <c r="J30" s="187">
        <v>425</v>
      </c>
      <c r="K30" s="187">
        <v>835</v>
      </c>
      <c r="L30" s="186">
        <v>1100</v>
      </c>
      <c r="M30" s="171"/>
      <c r="O30" s="216" t="s">
        <v>279</v>
      </c>
    </row>
    <row r="31" spans="1:22" x14ac:dyDescent="0.2">
      <c r="A31" s="225"/>
      <c r="B31" s="172"/>
      <c r="C31" s="173"/>
      <c r="D31" s="173"/>
      <c r="E31" s="173"/>
      <c r="F31" s="173"/>
      <c r="G31" s="173"/>
      <c r="H31" s="172"/>
      <c r="I31" s="173"/>
      <c r="J31" s="173"/>
      <c r="K31" s="173"/>
      <c r="L31" s="173"/>
      <c r="M31" s="171"/>
      <c r="O31" s="322" t="s">
        <v>319</v>
      </c>
      <c r="P31" s="322"/>
      <c r="Q31" s="322"/>
      <c r="R31" s="322"/>
      <c r="S31" s="322"/>
      <c r="T31" s="322"/>
      <c r="U31" s="322"/>
    </row>
    <row r="32" spans="1:22" x14ac:dyDescent="0.2">
      <c r="A32" s="225"/>
      <c r="B32" s="172"/>
      <c r="C32" s="175" t="s">
        <v>318</v>
      </c>
      <c r="D32" s="173"/>
      <c r="E32" s="173"/>
      <c r="F32" s="173"/>
      <c r="G32" s="173"/>
      <c r="H32" s="172"/>
      <c r="I32" s="173"/>
      <c r="J32" s="173"/>
      <c r="K32" s="173"/>
      <c r="L32" s="173"/>
      <c r="M32" s="171"/>
      <c r="O32" s="322"/>
      <c r="P32" s="322"/>
      <c r="Q32" s="322"/>
      <c r="R32" s="322"/>
      <c r="S32" s="322"/>
      <c r="T32" s="322"/>
      <c r="U32" s="322"/>
    </row>
    <row r="33" spans="1:21" x14ac:dyDescent="0.2">
      <c r="A33" s="225"/>
      <c r="B33" s="172"/>
      <c r="C33" s="175" t="s">
        <v>317</v>
      </c>
      <c r="D33" s="173"/>
      <c r="E33" s="173"/>
      <c r="F33" s="173"/>
      <c r="G33" s="173"/>
      <c r="H33" s="172"/>
      <c r="I33" s="173"/>
      <c r="J33" s="264">
        <v>50000</v>
      </c>
      <c r="K33" s="173"/>
      <c r="L33" s="173"/>
      <c r="M33" s="171"/>
      <c r="O33" s="322"/>
      <c r="P33" s="322"/>
      <c r="Q33" s="322"/>
      <c r="R33" s="322"/>
      <c r="S33" s="322"/>
      <c r="T33" s="322"/>
      <c r="U33" s="322"/>
    </row>
    <row r="34" spans="1:21" x14ac:dyDescent="0.2">
      <c r="A34" s="225"/>
      <c r="B34" s="172"/>
      <c r="C34" s="175" t="s">
        <v>316</v>
      </c>
      <c r="D34" s="173"/>
      <c r="E34" s="173"/>
      <c r="F34" s="173"/>
      <c r="G34" s="173"/>
      <c r="H34" s="172"/>
      <c r="I34" s="173"/>
      <c r="J34" s="264">
        <v>2400000</v>
      </c>
      <c r="K34" s="173"/>
      <c r="L34" s="173"/>
      <c r="M34" s="171"/>
      <c r="O34" s="322"/>
      <c r="P34" s="322"/>
      <c r="Q34" s="322"/>
      <c r="R34" s="322"/>
      <c r="S34" s="322"/>
      <c r="T34" s="322"/>
      <c r="U34" s="322"/>
    </row>
    <row r="35" spans="1:21" x14ac:dyDescent="0.2">
      <c r="A35" s="225"/>
      <c r="B35" s="172"/>
      <c r="C35" s="182"/>
      <c r="D35" s="172"/>
      <c r="E35" s="172"/>
      <c r="F35" s="172"/>
      <c r="G35" s="172"/>
      <c r="H35" s="172"/>
      <c r="I35" s="172"/>
      <c r="J35" s="172"/>
      <c r="K35" s="172"/>
      <c r="L35" s="172"/>
      <c r="M35" s="171"/>
      <c r="O35" s="322"/>
      <c r="P35" s="322"/>
      <c r="Q35" s="322"/>
      <c r="R35" s="322"/>
      <c r="S35" s="322"/>
      <c r="T35" s="322"/>
      <c r="U35" s="322"/>
    </row>
    <row r="36" spans="1:21" x14ac:dyDescent="0.2">
      <c r="A36" s="225" t="s">
        <v>0</v>
      </c>
      <c r="B36" s="172" t="s">
        <v>295</v>
      </c>
      <c r="C36" s="321" t="s">
        <v>315</v>
      </c>
      <c r="D36" s="321"/>
      <c r="E36" s="321"/>
      <c r="F36" s="321"/>
      <c r="G36" s="321"/>
      <c r="H36" s="321"/>
      <c r="I36" s="321"/>
      <c r="J36" s="321"/>
      <c r="K36" s="172"/>
      <c r="L36" s="172"/>
      <c r="M36" s="171"/>
      <c r="O36" s="322"/>
      <c r="P36" s="322"/>
      <c r="Q36" s="322"/>
      <c r="R36" s="322"/>
      <c r="S36" s="322"/>
      <c r="T36" s="322"/>
      <c r="U36" s="322"/>
    </row>
    <row r="37" spans="1:21" x14ac:dyDescent="0.2">
      <c r="A37" s="225"/>
      <c r="B37" s="172"/>
      <c r="C37" s="321"/>
      <c r="D37" s="321"/>
      <c r="E37" s="321"/>
      <c r="F37" s="321"/>
      <c r="G37" s="321"/>
      <c r="H37" s="321"/>
      <c r="I37" s="321"/>
      <c r="J37" s="321"/>
      <c r="K37" s="172"/>
      <c r="L37" s="172"/>
      <c r="M37" s="171"/>
      <c r="O37" s="322"/>
      <c r="P37" s="322"/>
      <c r="Q37" s="322"/>
      <c r="R37" s="322"/>
      <c r="S37" s="322"/>
      <c r="T37" s="322"/>
      <c r="U37" s="322"/>
    </row>
    <row r="38" spans="1:21" x14ac:dyDescent="0.2">
      <c r="A38" s="225"/>
      <c r="B38" s="172"/>
      <c r="C38" s="182"/>
      <c r="D38" s="172"/>
      <c r="E38" s="172"/>
      <c r="F38" s="172"/>
      <c r="G38" s="172"/>
      <c r="H38" s="172"/>
      <c r="I38" s="172"/>
      <c r="J38" s="172"/>
      <c r="K38" s="172"/>
      <c r="L38" s="172"/>
      <c r="M38" s="171"/>
      <c r="O38" s="322"/>
      <c r="P38" s="322"/>
      <c r="Q38" s="322"/>
      <c r="R38" s="322"/>
      <c r="S38" s="322"/>
      <c r="T38" s="322"/>
      <c r="U38" s="322"/>
    </row>
    <row r="39" spans="1:21" ht="16" customHeight="1" x14ac:dyDescent="0.2">
      <c r="A39" s="225" t="s">
        <v>1</v>
      </c>
      <c r="B39" s="172" t="s">
        <v>314</v>
      </c>
      <c r="C39" s="320" t="s">
        <v>313</v>
      </c>
      <c r="D39" s="320"/>
      <c r="E39" s="320"/>
      <c r="F39" s="320"/>
      <c r="G39" s="320"/>
      <c r="H39" s="320"/>
      <c r="I39" s="320"/>
      <c r="J39" s="320"/>
      <c r="K39" s="172"/>
      <c r="L39" s="172"/>
      <c r="M39" s="171"/>
      <c r="O39" s="219"/>
      <c r="P39" s="219"/>
      <c r="Q39" s="219"/>
      <c r="R39" s="219"/>
      <c r="S39" s="219"/>
      <c r="T39" s="219"/>
      <c r="U39" s="219"/>
    </row>
    <row r="40" spans="1:21" ht="19" x14ac:dyDescent="0.25">
      <c r="A40" s="225"/>
      <c r="B40" s="172"/>
      <c r="C40" s="320"/>
      <c r="D40" s="320"/>
      <c r="E40" s="320"/>
      <c r="F40" s="320"/>
      <c r="G40" s="320"/>
      <c r="H40" s="320"/>
      <c r="I40" s="320"/>
      <c r="J40" s="320"/>
      <c r="K40" s="172"/>
      <c r="L40" s="172"/>
      <c r="M40" s="171"/>
      <c r="O40" s="206" t="s">
        <v>42</v>
      </c>
    </row>
    <row r="41" spans="1:21" ht="16" customHeight="1" x14ac:dyDescent="0.2">
      <c r="A41" s="225"/>
      <c r="B41" s="172"/>
      <c r="C41" s="320"/>
      <c r="D41" s="320"/>
      <c r="E41" s="320"/>
      <c r="F41" s="320"/>
      <c r="G41" s="320"/>
      <c r="H41" s="320"/>
      <c r="I41" s="320"/>
      <c r="J41" s="320"/>
      <c r="K41" s="172"/>
      <c r="L41" s="172"/>
      <c r="M41" s="171"/>
      <c r="O41" s="309" t="s">
        <v>312</v>
      </c>
      <c r="P41" s="309"/>
      <c r="Q41" s="309"/>
      <c r="R41" s="309"/>
      <c r="S41" s="309"/>
      <c r="T41" s="309"/>
      <c r="U41" s="309"/>
    </row>
    <row r="42" spans="1:21" ht="17" thickBot="1" x14ac:dyDescent="0.25">
      <c r="A42" s="225"/>
      <c r="B42" s="172"/>
      <c r="C42" s="182"/>
      <c r="D42" s="172"/>
      <c r="E42" s="172"/>
      <c r="F42" s="172"/>
      <c r="G42" s="172"/>
      <c r="H42" s="172"/>
      <c r="I42" s="172"/>
      <c r="J42" s="172"/>
      <c r="K42" s="172"/>
      <c r="L42" s="172"/>
      <c r="M42" s="171"/>
      <c r="O42" s="309"/>
      <c r="P42" s="309"/>
      <c r="Q42" s="309"/>
      <c r="R42" s="309"/>
      <c r="S42" s="309"/>
      <c r="T42" s="309"/>
      <c r="U42" s="309"/>
    </row>
    <row r="43" spans="1:21" ht="17" thickBot="1" x14ac:dyDescent="0.25">
      <c r="A43" s="239" t="s">
        <v>109</v>
      </c>
      <c r="B43" s="168"/>
      <c r="C43" s="238"/>
      <c r="D43" s="168"/>
      <c r="E43" s="168"/>
      <c r="F43" s="168"/>
      <c r="G43" s="168"/>
      <c r="H43" s="168"/>
      <c r="I43" s="168"/>
      <c r="J43" s="168"/>
      <c r="K43" s="168"/>
      <c r="L43" s="168"/>
      <c r="M43" s="167"/>
      <c r="O43" s="309"/>
      <c r="P43" s="309"/>
      <c r="Q43" s="309"/>
      <c r="R43" s="309"/>
      <c r="S43" s="309"/>
      <c r="T43" s="309"/>
      <c r="U43" s="309"/>
    </row>
    <row r="44" spans="1:21" x14ac:dyDescent="0.2">
      <c r="O44" s="309"/>
      <c r="P44" s="309"/>
      <c r="Q44" s="309"/>
      <c r="R44" s="309"/>
      <c r="S44" s="309"/>
      <c r="T44" s="309"/>
      <c r="U44" s="309"/>
    </row>
    <row r="45" spans="1:21" x14ac:dyDescent="0.2">
      <c r="O45" s="309"/>
      <c r="P45" s="309"/>
      <c r="Q45" s="309"/>
      <c r="R45" s="309"/>
      <c r="S45" s="309"/>
      <c r="T45" s="309"/>
      <c r="U45" s="309"/>
    </row>
    <row r="46" spans="1:21" x14ac:dyDescent="0.2">
      <c r="O46" s="309"/>
      <c r="P46" s="309"/>
      <c r="Q46" s="309"/>
      <c r="R46" s="309"/>
      <c r="S46" s="309"/>
      <c r="T46" s="309"/>
      <c r="U46" s="309"/>
    </row>
    <row r="47" spans="1:21" x14ac:dyDescent="0.2">
      <c r="O47" s="309"/>
      <c r="P47" s="309"/>
      <c r="Q47" s="309"/>
      <c r="R47" s="309"/>
      <c r="S47" s="309"/>
      <c r="T47" s="309"/>
      <c r="U47" s="309"/>
    </row>
    <row r="48" spans="1:21" x14ac:dyDescent="0.2">
      <c r="O48" s="309"/>
      <c r="P48" s="309"/>
      <c r="Q48" s="309"/>
      <c r="R48" s="309"/>
      <c r="S48" s="309"/>
      <c r="T48" s="309"/>
      <c r="U48" s="309"/>
    </row>
    <row r="49" spans="15:21" x14ac:dyDescent="0.2">
      <c r="O49" s="309"/>
      <c r="P49" s="309"/>
      <c r="Q49" s="309"/>
      <c r="R49" s="309"/>
      <c r="S49" s="309"/>
      <c r="T49" s="309"/>
      <c r="U49" s="309"/>
    </row>
    <row r="50" spans="15:21" x14ac:dyDescent="0.2">
      <c r="O50" s="309"/>
      <c r="P50" s="309"/>
      <c r="Q50" s="309"/>
      <c r="R50" s="309"/>
      <c r="S50" s="309"/>
      <c r="T50" s="309"/>
      <c r="U50" s="309"/>
    </row>
    <row r="51" spans="15:21" x14ac:dyDescent="0.2">
      <c r="O51" s="309"/>
      <c r="P51" s="309"/>
      <c r="Q51" s="309"/>
      <c r="R51" s="309"/>
      <c r="S51" s="309"/>
      <c r="T51" s="309"/>
      <c r="U51" s="309"/>
    </row>
    <row r="52" spans="15:21" x14ac:dyDescent="0.2">
      <c r="O52" s="309"/>
      <c r="P52" s="309"/>
      <c r="Q52" s="309"/>
      <c r="R52" s="309"/>
      <c r="S52" s="309"/>
      <c r="T52" s="309"/>
      <c r="U52" s="309"/>
    </row>
    <row r="53" spans="15:21" x14ac:dyDescent="0.2">
      <c r="O53" s="309"/>
      <c r="P53" s="309"/>
      <c r="Q53" s="309"/>
      <c r="R53" s="309"/>
      <c r="S53" s="309"/>
      <c r="T53" s="309"/>
      <c r="U53" s="309"/>
    </row>
    <row r="55" spans="15:21" ht="19" x14ac:dyDescent="0.25">
      <c r="O55" s="206" t="s">
        <v>121</v>
      </c>
    </row>
    <row r="56" spans="15:21" x14ac:dyDescent="0.2">
      <c r="O56" t="s">
        <v>122</v>
      </c>
    </row>
    <row r="57" spans="15:21" x14ac:dyDescent="0.2">
      <c r="O57" t="s">
        <v>123</v>
      </c>
    </row>
  </sheetData>
  <mergeCells count="15">
    <mergeCell ref="C8:C10"/>
    <mergeCell ref="D8:G9"/>
    <mergeCell ref="C16:C18"/>
    <mergeCell ref="D16:G17"/>
    <mergeCell ref="I16:L17"/>
    <mergeCell ref="O12:U13"/>
    <mergeCell ref="O15:U16"/>
    <mergeCell ref="O31:U38"/>
    <mergeCell ref="I24:L25"/>
    <mergeCell ref="R24:U26"/>
    <mergeCell ref="O41:U53"/>
    <mergeCell ref="C24:C26"/>
    <mergeCell ref="D24:G25"/>
    <mergeCell ref="C39:J41"/>
    <mergeCell ref="C36:J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DB900-5828-C74B-8A26-A15FA9BBB6A2}">
  <dimension ref="A1:T104"/>
  <sheetViews>
    <sheetView zoomScaleNormal="100" workbookViewId="0"/>
  </sheetViews>
  <sheetFormatPr baseColWidth="10" defaultColWidth="10.83203125" defaultRowHeight="16" outlineLevelCol="1" x14ac:dyDescent="0.2"/>
  <cols>
    <col min="1" max="1" width="4.5" style="161" customWidth="1"/>
    <col min="2" max="2" width="10.83203125" style="161"/>
    <col min="3" max="3" width="13.83203125" style="161" bestFit="1" customWidth="1"/>
    <col min="4" max="4" width="13.6640625" style="161" bestFit="1" customWidth="1"/>
    <col min="5" max="7" width="10.83203125" style="161"/>
    <col min="8" max="8" width="11.5" style="161" customWidth="1"/>
    <col min="9" max="11" width="10.83203125" style="161"/>
    <col min="12" max="12" width="12.1640625" style="161" bestFit="1" customWidth="1"/>
    <col min="13" max="19" width="10.83203125" style="161" hidden="1" customWidth="1" outlineLevel="1"/>
    <col min="20" max="20" width="10.83203125" style="161" collapsed="1"/>
    <col min="21" max="16384" width="10.83203125" style="161"/>
  </cols>
  <sheetData>
    <row r="1" spans="1:19" ht="19" x14ac:dyDescent="0.25">
      <c r="A1" s="217" t="s">
        <v>237</v>
      </c>
      <c r="B1" s="210"/>
      <c r="C1" s="209"/>
      <c r="D1" s="209"/>
      <c r="E1" s="209"/>
      <c r="F1" s="234"/>
      <c r="G1" s="234"/>
      <c r="H1" s="234"/>
      <c r="I1" s="234"/>
      <c r="J1" s="233"/>
      <c r="L1" s="206" t="s">
        <v>236</v>
      </c>
    </row>
    <row r="2" spans="1:19" x14ac:dyDescent="0.2">
      <c r="A2" s="225"/>
      <c r="B2" s="175"/>
      <c r="C2" s="175"/>
      <c r="D2" s="175"/>
      <c r="E2" s="175"/>
      <c r="F2" s="175"/>
      <c r="G2" s="175"/>
      <c r="H2" s="175"/>
      <c r="I2" s="175"/>
      <c r="J2" s="224"/>
    </row>
    <row r="3" spans="1:19" x14ac:dyDescent="0.2">
      <c r="A3" s="225"/>
      <c r="B3" s="226" t="s">
        <v>235</v>
      </c>
      <c r="C3" s="175"/>
      <c r="D3" s="175"/>
      <c r="E3" s="175"/>
      <c r="F3" s="175"/>
      <c r="G3" s="175"/>
      <c r="H3" s="175"/>
      <c r="I3" s="175"/>
      <c r="J3" s="224"/>
      <c r="M3" s="232" t="s">
        <v>235</v>
      </c>
    </row>
    <row r="4" spans="1:19" x14ac:dyDescent="0.2">
      <c r="A4" s="225"/>
      <c r="B4" s="175"/>
      <c r="C4" s="175"/>
      <c r="D4" s="175"/>
      <c r="E4" s="175"/>
      <c r="F4" s="175"/>
      <c r="G4" s="175"/>
      <c r="H4" s="175"/>
      <c r="I4" s="175"/>
      <c r="J4" s="224"/>
      <c r="M4" s="227"/>
    </row>
    <row r="5" spans="1:19" x14ac:dyDescent="0.2">
      <c r="A5" s="225"/>
      <c r="B5" s="231" t="s">
        <v>234</v>
      </c>
      <c r="C5" s="175"/>
      <c r="D5" s="175"/>
      <c r="E5" s="175"/>
      <c r="F5" s="175"/>
      <c r="G5" s="175"/>
      <c r="H5" s="175"/>
      <c r="I5" s="175"/>
      <c r="J5" s="224"/>
      <c r="M5" s="227" t="s">
        <v>233</v>
      </c>
    </row>
    <row r="6" spans="1:19" x14ac:dyDescent="0.2">
      <c r="A6" s="225"/>
      <c r="B6" s="175"/>
      <c r="C6" s="175"/>
      <c r="D6" s="175"/>
      <c r="E6" s="175"/>
      <c r="F6" s="175"/>
      <c r="G6" s="175"/>
      <c r="H6" s="175"/>
      <c r="I6" s="175"/>
      <c r="J6" s="224"/>
      <c r="M6" s="326" t="s">
        <v>232</v>
      </c>
      <c r="N6" s="326"/>
      <c r="O6" s="326"/>
      <c r="P6" s="326"/>
      <c r="Q6" s="326"/>
      <c r="R6" s="326"/>
      <c r="S6" s="326"/>
    </row>
    <row r="7" spans="1:19" x14ac:dyDescent="0.2">
      <c r="A7" s="225"/>
      <c r="B7" s="226" t="s">
        <v>231</v>
      </c>
      <c r="C7" s="175"/>
      <c r="D7" s="175"/>
      <c r="E7" s="175"/>
      <c r="F7" s="175"/>
      <c r="G7" s="175"/>
      <c r="H7" s="175"/>
      <c r="I7" s="175"/>
      <c r="J7" s="224"/>
      <c r="M7" s="326"/>
      <c r="N7" s="326"/>
      <c r="O7" s="326"/>
      <c r="P7" s="326"/>
      <c r="Q7" s="326"/>
      <c r="R7" s="326"/>
      <c r="S7" s="326"/>
    </row>
    <row r="8" spans="1:19" x14ac:dyDescent="0.2">
      <c r="A8" s="225"/>
      <c r="B8" s="175"/>
      <c r="C8" s="175"/>
      <c r="D8" s="175"/>
      <c r="E8" s="175"/>
      <c r="F8" s="175"/>
      <c r="G8" s="175"/>
      <c r="H8" s="175"/>
      <c r="I8" s="175"/>
      <c r="J8" s="224"/>
      <c r="M8" s="227" t="s">
        <v>230</v>
      </c>
    </row>
    <row r="9" spans="1:19" x14ac:dyDescent="0.2">
      <c r="A9" s="225"/>
      <c r="B9" s="175" t="s">
        <v>229</v>
      </c>
      <c r="C9" s="175"/>
      <c r="D9" s="175"/>
      <c r="E9" s="175"/>
      <c r="F9" s="175"/>
      <c r="G9" s="175"/>
      <c r="H9" s="175"/>
      <c r="I9" s="175"/>
      <c r="J9" s="224"/>
    </row>
    <row r="10" spans="1:19" x14ac:dyDescent="0.2">
      <c r="A10" s="225"/>
      <c r="B10" s="175"/>
      <c r="C10" s="175"/>
      <c r="D10" s="175"/>
      <c r="E10" s="175"/>
      <c r="F10" s="175"/>
      <c r="G10" s="175"/>
      <c r="H10" s="175"/>
      <c r="I10" s="175"/>
      <c r="J10" s="224"/>
      <c r="M10" s="180" t="s">
        <v>228</v>
      </c>
    </row>
    <row r="11" spans="1:19" x14ac:dyDescent="0.2">
      <c r="A11" s="225"/>
      <c r="B11" s="226" t="s">
        <v>224</v>
      </c>
      <c r="C11" s="175"/>
      <c r="D11" s="175"/>
      <c r="E11" s="175"/>
      <c r="F11" s="175"/>
      <c r="G11" s="175"/>
      <c r="H11" s="175"/>
      <c r="I11" s="175"/>
      <c r="J11" s="224"/>
    </row>
    <row r="12" spans="1:19" x14ac:dyDescent="0.2">
      <c r="A12" s="225"/>
      <c r="B12" s="175"/>
      <c r="C12" s="175"/>
      <c r="D12" s="175"/>
      <c r="E12" s="175"/>
      <c r="F12" s="175"/>
      <c r="G12" s="175"/>
      <c r="H12" s="175"/>
      <c r="I12" s="175"/>
      <c r="J12" s="224"/>
      <c r="M12" s="227" t="s">
        <v>227</v>
      </c>
    </row>
    <row r="13" spans="1:19" x14ac:dyDescent="0.2">
      <c r="A13" s="225"/>
      <c r="B13" s="175" t="s">
        <v>226</v>
      </c>
      <c r="C13" s="175"/>
      <c r="D13" s="175"/>
      <c r="E13" s="175"/>
      <c r="F13" s="175"/>
      <c r="G13" s="175"/>
      <c r="H13" s="175"/>
      <c r="I13" s="175"/>
      <c r="J13" s="224"/>
      <c r="M13" s="227" t="s">
        <v>225</v>
      </c>
    </row>
    <row r="14" spans="1:19" x14ac:dyDescent="0.2">
      <c r="A14" s="225"/>
      <c r="B14" s="175"/>
      <c r="C14" s="175"/>
      <c r="D14" s="175"/>
      <c r="E14" s="175"/>
      <c r="F14" s="175"/>
      <c r="G14" s="175"/>
      <c r="H14" s="175"/>
      <c r="I14" s="175"/>
      <c r="J14" s="224"/>
    </row>
    <row r="15" spans="1:19" x14ac:dyDescent="0.2">
      <c r="A15" s="225"/>
      <c r="B15" s="226" t="s">
        <v>221</v>
      </c>
      <c r="C15" s="175"/>
      <c r="D15" s="175"/>
      <c r="E15" s="175"/>
      <c r="F15" s="175"/>
      <c r="G15" s="175"/>
      <c r="H15" s="175"/>
      <c r="I15" s="175"/>
      <c r="J15" s="224"/>
      <c r="M15" s="180" t="s">
        <v>224</v>
      </c>
    </row>
    <row r="16" spans="1:19" x14ac:dyDescent="0.2">
      <c r="A16" s="225"/>
      <c r="B16" s="175"/>
      <c r="C16" s="175"/>
      <c r="D16" s="175"/>
      <c r="E16" s="175"/>
      <c r="F16" s="175"/>
      <c r="G16" s="175"/>
      <c r="H16" s="175"/>
      <c r="I16" s="175"/>
      <c r="J16" s="224"/>
    </row>
    <row r="17" spans="1:19" ht="15.75" customHeight="1" x14ac:dyDescent="0.2">
      <c r="A17" s="225"/>
      <c r="B17" s="175" t="s">
        <v>0</v>
      </c>
      <c r="C17" s="175"/>
      <c r="D17" s="175"/>
      <c r="E17" s="175"/>
      <c r="F17" s="175"/>
      <c r="G17" s="175"/>
      <c r="H17" s="175"/>
      <c r="I17" s="175"/>
      <c r="J17" s="224"/>
      <c r="M17" s="312" t="s">
        <v>223</v>
      </c>
      <c r="N17" s="312"/>
      <c r="O17" s="312"/>
      <c r="P17" s="312"/>
      <c r="Q17" s="312"/>
      <c r="R17" s="312"/>
      <c r="S17" s="312"/>
    </row>
    <row r="18" spans="1:19" x14ac:dyDescent="0.2">
      <c r="A18" s="225"/>
      <c r="B18" s="175" t="s">
        <v>222</v>
      </c>
      <c r="C18" s="175"/>
      <c r="D18" s="175"/>
      <c r="E18" s="175"/>
      <c r="F18" s="175"/>
      <c r="G18" s="175"/>
      <c r="H18" s="175"/>
      <c r="I18" s="175"/>
      <c r="J18" s="224"/>
      <c r="M18" s="312"/>
      <c r="N18" s="312"/>
      <c r="O18" s="312"/>
      <c r="P18" s="312"/>
      <c r="Q18" s="312"/>
      <c r="R18" s="312"/>
      <c r="S18" s="312"/>
    </row>
    <row r="19" spans="1:19" x14ac:dyDescent="0.2">
      <c r="A19" s="225"/>
      <c r="B19" s="173"/>
      <c r="C19" s="175"/>
      <c r="D19" s="175"/>
      <c r="E19" s="175"/>
      <c r="F19" s="175"/>
      <c r="G19" s="175"/>
      <c r="H19" s="175"/>
      <c r="I19" s="175"/>
      <c r="J19" s="224"/>
    </row>
    <row r="20" spans="1:19" x14ac:dyDescent="0.2">
      <c r="A20" s="225"/>
      <c r="B20" s="229" t="s">
        <v>1</v>
      </c>
      <c r="C20" s="175"/>
      <c r="D20" s="175"/>
      <c r="E20" s="175"/>
      <c r="F20" s="175"/>
      <c r="G20" s="175"/>
      <c r="H20" s="175"/>
      <c r="I20" s="175"/>
      <c r="J20" s="224"/>
      <c r="M20" s="180" t="s">
        <v>221</v>
      </c>
    </row>
    <row r="21" spans="1:19" x14ac:dyDescent="0.2">
      <c r="A21" s="225"/>
      <c r="B21" s="175" t="s">
        <v>220</v>
      </c>
      <c r="C21" s="175"/>
      <c r="D21" s="175"/>
      <c r="E21" s="175"/>
      <c r="F21" s="175"/>
      <c r="G21" s="175"/>
      <c r="H21" s="175"/>
      <c r="I21" s="175"/>
      <c r="J21" s="224"/>
    </row>
    <row r="22" spans="1:19" x14ac:dyDescent="0.2">
      <c r="A22" s="225"/>
      <c r="B22" s="230"/>
      <c r="C22" s="175"/>
      <c r="D22" s="175"/>
      <c r="E22" s="175"/>
      <c r="F22" s="175"/>
      <c r="G22" s="175"/>
      <c r="H22" s="175"/>
      <c r="I22" s="175"/>
      <c r="J22" s="224"/>
      <c r="M22" s="185" t="s">
        <v>166</v>
      </c>
    </row>
    <row r="23" spans="1:19" x14ac:dyDescent="0.2">
      <c r="A23" s="225"/>
      <c r="B23" s="229" t="s">
        <v>136</v>
      </c>
      <c r="C23" s="175"/>
      <c r="D23" s="175"/>
      <c r="E23" s="175"/>
      <c r="F23" s="175"/>
      <c r="G23" s="175"/>
      <c r="H23" s="175"/>
      <c r="I23" s="175"/>
      <c r="J23" s="224"/>
    </row>
    <row r="24" spans="1:19" x14ac:dyDescent="0.2">
      <c r="A24" s="225"/>
      <c r="B24" s="175" t="s">
        <v>219</v>
      </c>
      <c r="C24" s="175"/>
      <c r="D24" s="175"/>
      <c r="E24" s="175"/>
      <c r="F24" s="175"/>
      <c r="G24" s="175"/>
      <c r="H24" s="175"/>
      <c r="I24" s="175"/>
      <c r="J24" s="224"/>
      <c r="M24" s="312" t="s">
        <v>218</v>
      </c>
      <c r="N24" s="312"/>
      <c r="O24" s="312"/>
      <c r="P24" s="312"/>
      <c r="Q24" s="312"/>
      <c r="R24" s="312"/>
      <c r="S24" s="312"/>
    </row>
    <row r="25" spans="1:19" x14ac:dyDescent="0.2">
      <c r="A25" s="225"/>
      <c r="B25" s="175"/>
      <c r="C25" s="175"/>
      <c r="D25" s="175"/>
      <c r="E25" s="175"/>
      <c r="F25" s="175"/>
      <c r="G25" s="175"/>
      <c r="H25" s="175"/>
      <c r="I25" s="175"/>
      <c r="J25" s="224"/>
      <c r="M25" s="312"/>
      <c r="N25" s="312"/>
      <c r="O25" s="312"/>
      <c r="P25" s="312"/>
      <c r="Q25" s="312"/>
      <c r="R25" s="312"/>
      <c r="S25" s="312"/>
    </row>
    <row r="26" spans="1:19" x14ac:dyDescent="0.2">
      <c r="A26" s="225"/>
      <c r="B26" s="226" t="s">
        <v>217</v>
      </c>
      <c r="C26" s="175"/>
      <c r="D26" s="175"/>
      <c r="E26" s="175"/>
      <c r="F26" s="175"/>
      <c r="G26" s="175"/>
      <c r="H26" s="175"/>
      <c r="I26" s="175"/>
      <c r="J26" s="224"/>
      <c r="M26" s="227"/>
    </row>
    <row r="27" spans="1:19" x14ac:dyDescent="0.2">
      <c r="A27" s="225"/>
      <c r="B27" s="175"/>
      <c r="C27" s="175"/>
      <c r="D27" s="175"/>
      <c r="E27" s="175"/>
      <c r="F27" s="175"/>
      <c r="G27" s="175"/>
      <c r="H27" s="175"/>
      <c r="I27" s="175"/>
      <c r="J27" s="224"/>
      <c r="M27" s="228" t="s">
        <v>159</v>
      </c>
    </row>
    <row r="28" spans="1:19" x14ac:dyDescent="0.2">
      <c r="A28" s="225"/>
      <c r="B28" s="325" t="s">
        <v>216</v>
      </c>
      <c r="C28" s="325"/>
      <c r="D28" s="325"/>
      <c r="E28" s="325"/>
      <c r="F28" s="325"/>
      <c r="G28" s="325"/>
      <c r="H28" s="325"/>
      <c r="I28" s="325"/>
      <c r="J28" s="224"/>
      <c r="M28" s="227"/>
    </row>
    <row r="29" spans="1:19" x14ac:dyDescent="0.2">
      <c r="A29" s="225"/>
      <c r="B29" s="325"/>
      <c r="C29" s="325"/>
      <c r="D29" s="325"/>
      <c r="E29" s="325"/>
      <c r="F29" s="325"/>
      <c r="G29" s="325"/>
      <c r="H29" s="325"/>
      <c r="I29" s="325"/>
      <c r="J29" s="224"/>
      <c r="M29" s="227" t="s">
        <v>215</v>
      </c>
    </row>
    <row r="30" spans="1:19" x14ac:dyDescent="0.2">
      <c r="A30" s="225"/>
      <c r="B30" s="175"/>
      <c r="C30" s="175"/>
      <c r="D30" s="175"/>
      <c r="E30" s="175"/>
      <c r="F30" s="175"/>
      <c r="G30" s="175"/>
      <c r="H30" s="175"/>
      <c r="I30" s="175"/>
      <c r="J30" s="224"/>
    </row>
    <row r="31" spans="1:19" x14ac:dyDescent="0.2">
      <c r="A31" s="225"/>
      <c r="B31" s="226" t="s">
        <v>197</v>
      </c>
      <c r="C31" s="175"/>
      <c r="D31" s="175"/>
      <c r="E31" s="175"/>
      <c r="F31" s="175"/>
      <c r="G31" s="175"/>
      <c r="H31" s="175"/>
      <c r="I31" s="175"/>
      <c r="J31" s="224"/>
      <c r="M31" s="312" t="s">
        <v>214</v>
      </c>
      <c r="N31" s="312"/>
      <c r="O31" s="312"/>
      <c r="P31" s="312"/>
      <c r="Q31" s="312"/>
      <c r="R31" s="312"/>
      <c r="S31" s="312"/>
    </row>
    <row r="32" spans="1:19" x14ac:dyDescent="0.2">
      <c r="A32" s="225"/>
      <c r="B32" s="173"/>
      <c r="C32" s="175"/>
      <c r="D32" s="175"/>
      <c r="E32" s="175"/>
      <c r="F32" s="175"/>
      <c r="G32" s="175"/>
      <c r="H32" s="175"/>
      <c r="I32" s="175"/>
      <c r="J32" s="224"/>
      <c r="M32" s="312"/>
      <c r="N32" s="312"/>
      <c r="O32" s="312"/>
      <c r="P32" s="312"/>
      <c r="Q32" s="312"/>
      <c r="R32" s="312"/>
      <c r="S32" s="312"/>
    </row>
    <row r="33" spans="1:19" x14ac:dyDescent="0.2">
      <c r="A33" s="225"/>
      <c r="B33" s="325" t="s">
        <v>213</v>
      </c>
      <c r="C33" s="325"/>
      <c r="D33" s="325"/>
      <c r="E33" s="325"/>
      <c r="F33" s="325"/>
      <c r="G33" s="325"/>
      <c r="H33" s="325"/>
      <c r="I33" s="325"/>
      <c r="J33" s="224"/>
    </row>
    <row r="34" spans="1:19" x14ac:dyDescent="0.2">
      <c r="A34" s="225"/>
      <c r="B34" s="325"/>
      <c r="C34" s="325"/>
      <c r="D34" s="325"/>
      <c r="E34" s="325"/>
      <c r="F34" s="325"/>
      <c r="G34" s="325"/>
      <c r="H34" s="325"/>
      <c r="I34" s="325"/>
      <c r="J34" s="224"/>
      <c r="M34" s="161" t="s">
        <v>212</v>
      </c>
    </row>
    <row r="35" spans="1:19" ht="17" thickBot="1" x14ac:dyDescent="0.25">
      <c r="A35" s="223"/>
      <c r="B35" s="222"/>
      <c r="C35" s="222"/>
      <c r="D35" s="222"/>
      <c r="E35" s="222"/>
      <c r="F35" s="222"/>
      <c r="G35" s="222"/>
      <c r="H35" s="222"/>
      <c r="I35" s="222"/>
      <c r="J35" s="221"/>
    </row>
    <row r="36" spans="1:19" x14ac:dyDescent="0.2">
      <c r="M36" s="312" t="s">
        <v>211</v>
      </c>
      <c r="N36" s="312"/>
      <c r="O36" s="312"/>
      <c r="P36" s="312"/>
      <c r="Q36" s="312"/>
      <c r="R36" s="312"/>
      <c r="S36" s="312"/>
    </row>
    <row r="37" spans="1:19" x14ac:dyDescent="0.2">
      <c r="M37" s="312"/>
      <c r="N37" s="312"/>
      <c r="O37" s="312"/>
      <c r="P37" s="312"/>
      <c r="Q37" s="312"/>
      <c r="R37" s="312"/>
      <c r="S37" s="312"/>
    </row>
    <row r="39" spans="1:19" x14ac:dyDescent="0.2">
      <c r="M39" s="312" t="s">
        <v>210</v>
      </c>
      <c r="N39" s="312"/>
      <c r="O39" s="312"/>
      <c r="P39" s="312"/>
      <c r="Q39" s="312"/>
      <c r="R39" s="312"/>
      <c r="S39" s="312"/>
    </row>
    <row r="40" spans="1:19" x14ac:dyDescent="0.2">
      <c r="M40" s="312"/>
      <c r="N40" s="312"/>
      <c r="O40" s="312"/>
      <c r="P40" s="312"/>
      <c r="Q40" s="312"/>
      <c r="R40" s="312"/>
      <c r="S40" s="312"/>
    </row>
    <row r="42" spans="1:19" x14ac:dyDescent="0.2">
      <c r="M42" s="185" t="s">
        <v>141</v>
      </c>
    </row>
    <row r="44" spans="1:19" ht="15.75" customHeight="1" x14ac:dyDescent="0.2">
      <c r="M44" s="312" t="s">
        <v>209</v>
      </c>
      <c r="N44" s="312"/>
      <c r="O44" s="312"/>
      <c r="P44" s="312"/>
      <c r="Q44" s="312"/>
      <c r="R44" s="312"/>
      <c r="S44" s="312"/>
    </row>
    <row r="45" spans="1:19" x14ac:dyDescent="0.2">
      <c r="M45" s="312"/>
      <c r="N45" s="312"/>
      <c r="O45" s="312"/>
      <c r="P45" s="312"/>
      <c r="Q45" s="312"/>
      <c r="R45" s="312"/>
      <c r="S45" s="312"/>
    </row>
    <row r="46" spans="1:19" x14ac:dyDescent="0.2">
      <c r="M46" s="312"/>
      <c r="N46" s="312"/>
      <c r="O46" s="312"/>
      <c r="P46" s="312"/>
      <c r="Q46" s="312"/>
      <c r="R46" s="312"/>
      <c r="S46" s="312"/>
    </row>
    <row r="47" spans="1:19" x14ac:dyDescent="0.2">
      <c r="M47" s="219"/>
      <c r="N47" s="219"/>
      <c r="O47" s="219"/>
      <c r="P47" s="219"/>
      <c r="Q47" s="219"/>
      <c r="R47" s="219"/>
      <c r="S47" s="219"/>
    </row>
    <row r="48" spans="1:19" x14ac:dyDescent="0.2">
      <c r="M48" s="180" t="s">
        <v>208</v>
      </c>
    </row>
    <row r="50" spans="13:19" x14ac:dyDescent="0.2">
      <c r="M50" s="220" t="s">
        <v>207</v>
      </c>
    </row>
    <row r="52" spans="13:19" x14ac:dyDescent="0.2">
      <c r="M52" s="312" t="s">
        <v>206</v>
      </c>
      <c r="N52" s="312"/>
      <c r="O52" s="312"/>
      <c r="P52" s="312"/>
      <c r="Q52" s="312"/>
      <c r="R52" s="312"/>
      <c r="S52" s="312"/>
    </row>
    <row r="53" spans="13:19" x14ac:dyDescent="0.2">
      <c r="M53" s="312"/>
      <c r="N53" s="312"/>
      <c r="O53" s="312"/>
      <c r="P53" s="312"/>
      <c r="Q53" s="312"/>
      <c r="R53" s="312"/>
      <c r="S53" s="312"/>
    </row>
    <row r="55" spans="13:19" x14ac:dyDescent="0.2">
      <c r="M55" s="161" t="s">
        <v>205</v>
      </c>
    </row>
    <row r="56" spans="13:19" x14ac:dyDescent="0.2">
      <c r="M56" s="185"/>
    </row>
    <row r="57" spans="13:19" ht="15.75" customHeight="1" x14ac:dyDescent="0.2">
      <c r="M57" s="312" t="s">
        <v>204</v>
      </c>
      <c r="N57" s="312"/>
      <c r="O57" s="312"/>
      <c r="P57" s="312"/>
      <c r="Q57" s="312"/>
      <c r="R57" s="312"/>
      <c r="S57" s="312"/>
    </row>
    <row r="58" spans="13:19" x14ac:dyDescent="0.2">
      <c r="M58" s="312"/>
      <c r="N58" s="312"/>
      <c r="O58" s="312"/>
      <c r="P58" s="312"/>
      <c r="Q58" s="312"/>
      <c r="R58" s="312"/>
      <c r="S58" s="312"/>
    </row>
    <row r="59" spans="13:19" x14ac:dyDescent="0.2">
      <c r="M59" s="312"/>
      <c r="N59" s="312"/>
      <c r="O59" s="312"/>
      <c r="P59" s="312"/>
      <c r="Q59" s="312"/>
      <c r="R59" s="312"/>
      <c r="S59" s="312"/>
    </row>
    <row r="60" spans="13:19" x14ac:dyDescent="0.2">
      <c r="M60" s="219"/>
      <c r="N60" s="219"/>
      <c r="O60" s="219"/>
      <c r="P60" s="219"/>
      <c r="Q60" s="219"/>
      <c r="R60" s="219"/>
      <c r="S60" s="219"/>
    </row>
    <row r="61" spans="13:19" x14ac:dyDescent="0.2">
      <c r="M61" s="312" t="s">
        <v>203</v>
      </c>
      <c r="N61" s="312"/>
      <c r="O61" s="312"/>
      <c r="P61" s="312"/>
      <c r="Q61" s="312"/>
      <c r="R61" s="312"/>
      <c r="S61" s="312"/>
    </row>
    <row r="62" spans="13:19" x14ac:dyDescent="0.2">
      <c r="M62" s="312"/>
      <c r="N62" s="312"/>
      <c r="O62" s="312"/>
      <c r="P62" s="312"/>
      <c r="Q62" s="312"/>
      <c r="R62" s="312"/>
      <c r="S62" s="312"/>
    </row>
    <row r="63" spans="13:19" x14ac:dyDescent="0.2">
      <c r="M63" s="185"/>
    </row>
    <row r="64" spans="13:19" x14ac:dyDescent="0.2">
      <c r="M64" s="161" t="s">
        <v>202</v>
      </c>
    </row>
    <row r="66" spans="13:19" x14ac:dyDescent="0.2">
      <c r="M66" s="161" t="s">
        <v>201</v>
      </c>
    </row>
    <row r="68" spans="13:19" x14ac:dyDescent="0.2">
      <c r="M68" s="312" t="s">
        <v>200</v>
      </c>
      <c r="N68" s="312"/>
      <c r="O68" s="312"/>
      <c r="P68" s="312"/>
      <c r="Q68" s="312"/>
      <c r="R68" s="312"/>
      <c r="S68" s="312"/>
    </row>
    <row r="69" spans="13:19" x14ac:dyDescent="0.2">
      <c r="M69" s="312"/>
      <c r="N69" s="312"/>
      <c r="O69" s="312"/>
      <c r="P69" s="312"/>
      <c r="Q69" s="312"/>
      <c r="R69" s="312"/>
      <c r="S69" s="312"/>
    </row>
    <row r="70" spans="13:19" x14ac:dyDescent="0.2">
      <c r="M70" s="312"/>
      <c r="N70" s="312"/>
      <c r="O70" s="312"/>
      <c r="P70" s="312"/>
      <c r="Q70" s="312"/>
      <c r="R70" s="312"/>
      <c r="S70" s="312"/>
    </row>
    <row r="72" spans="13:19" x14ac:dyDescent="0.2">
      <c r="M72" s="161" t="s">
        <v>199</v>
      </c>
    </row>
    <row r="74" spans="13:19" x14ac:dyDescent="0.2">
      <c r="M74" s="312" t="s">
        <v>198</v>
      </c>
      <c r="N74" s="312"/>
      <c r="O74" s="312"/>
      <c r="P74" s="312"/>
      <c r="Q74" s="312"/>
      <c r="R74" s="312"/>
      <c r="S74" s="312"/>
    </row>
    <row r="75" spans="13:19" x14ac:dyDescent="0.2">
      <c r="M75" s="312"/>
      <c r="N75" s="312"/>
      <c r="O75" s="312"/>
      <c r="P75" s="312"/>
      <c r="Q75" s="312"/>
      <c r="R75" s="312"/>
      <c r="S75" s="312"/>
    </row>
    <row r="76" spans="13:19" x14ac:dyDescent="0.2">
      <c r="M76" s="312"/>
      <c r="N76" s="312"/>
      <c r="O76" s="312"/>
      <c r="P76" s="312"/>
      <c r="Q76" s="312"/>
      <c r="R76" s="312"/>
      <c r="S76" s="312"/>
    </row>
    <row r="77" spans="13:19" x14ac:dyDescent="0.2">
      <c r="M77" s="312"/>
      <c r="N77" s="312"/>
      <c r="O77" s="312"/>
      <c r="P77" s="312"/>
      <c r="Q77" s="312"/>
      <c r="R77" s="312"/>
      <c r="S77" s="312"/>
    </row>
    <row r="79" spans="13:19" x14ac:dyDescent="0.2">
      <c r="M79" s="180" t="s">
        <v>197</v>
      </c>
    </row>
    <row r="81" spans="13:19" x14ac:dyDescent="0.2">
      <c r="M81" s="161" t="s">
        <v>196</v>
      </c>
    </row>
    <row r="83" spans="13:19" x14ac:dyDescent="0.2">
      <c r="M83" s="161" t="s">
        <v>195</v>
      </c>
    </row>
    <row r="85" spans="13:19" x14ac:dyDescent="0.2">
      <c r="M85" s="312" t="s">
        <v>194</v>
      </c>
      <c r="N85" s="312"/>
      <c r="O85" s="312"/>
      <c r="P85" s="312"/>
      <c r="Q85" s="312"/>
      <c r="R85" s="312"/>
      <c r="S85" s="312"/>
    </row>
    <row r="86" spans="13:19" x14ac:dyDescent="0.2">
      <c r="M86" s="312"/>
      <c r="N86" s="312"/>
      <c r="O86" s="312"/>
      <c r="P86" s="312"/>
      <c r="Q86" s="312"/>
      <c r="R86" s="312"/>
      <c r="S86" s="312"/>
    </row>
    <row r="87" spans="13:19" x14ac:dyDescent="0.2">
      <c r="M87" s="312"/>
      <c r="N87" s="312"/>
      <c r="O87" s="312"/>
      <c r="P87" s="312"/>
      <c r="Q87" s="312"/>
      <c r="R87" s="312"/>
      <c r="S87" s="312"/>
    </row>
    <row r="89" spans="13:19" x14ac:dyDescent="0.2">
      <c r="M89" s="312" t="s">
        <v>193</v>
      </c>
      <c r="N89" s="312"/>
      <c r="O89" s="312"/>
      <c r="P89" s="312"/>
      <c r="Q89" s="312"/>
      <c r="R89" s="312"/>
      <c r="S89" s="312"/>
    </row>
    <row r="90" spans="13:19" x14ac:dyDescent="0.2">
      <c r="M90" s="312"/>
      <c r="N90" s="312"/>
      <c r="O90" s="312"/>
      <c r="P90" s="312"/>
      <c r="Q90" s="312"/>
      <c r="R90" s="312"/>
      <c r="S90" s="312"/>
    </row>
    <row r="92" spans="13:19" ht="15.75" customHeight="1" x14ac:dyDescent="0.2">
      <c r="M92" s="312" t="s">
        <v>192</v>
      </c>
      <c r="N92" s="312"/>
      <c r="O92" s="312"/>
      <c r="P92" s="312"/>
      <c r="Q92" s="312"/>
      <c r="R92" s="312"/>
      <c r="S92" s="312"/>
    </row>
    <row r="93" spans="13:19" x14ac:dyDescent="0.2">
      <c r="M93" s="312"/>
      <c r="N93" s="312"/>
      <c r="O93" s="312"/>
      <c r="P93" s="312"/>
      <c r="Q93" s="312"/>
      <c r="R93" s="312"/>
      <c r="S93" s="312"/>
    </row>
    <row r="94" spans="13:19" x14ac:dyDescent="0.2">
      <c r="M94" s="312"/>
      <c r="N94" s="312"/>
      <c r="O94" s="312"/>
      <c r="P94" s="312"/>
      <c r="Q94" s="312"/>
      <c r="R94" s="312"/>
      <c r="S94" s="312"/>
    </row>
    <row r="95" spans="13:19" x14ac:dyDescent="0.2">
      <c r="M95" s="219"/>
      <c r="N95" s="219"/>
      <c r="O95" s="219"/>
      <c r="P95" s="219"/>
      <c r="Q95" s="219"/>
      <c r="R95" s="219"/>
      <c r="S95" s="219"/>
    </row>
    <row r="96" spans="13:19" ht="15.75" customHeight="1" x14ac:dyDescent="0.2">
      <c r="M96" s="312" t="s">
        <v>191</v>
      </c>
      <c r="N96" s="312"/>
      <c r="O96" s="312"/>
      <c r="P96" s="312"/>
      <c r="Q96" s="312"/>
      <c r="R96" s="312"/>
      <c r="S96" s="312"/>
    </row>
    <row r="97" spans="13:19" x14ac:dyDescent="0.2">
      <c r="M97" s="312"/>
      <c r="N97" s="312"/>
      <c r="O97" s="312"/>
      <c r="P97" s="312"/>
      <c r="Q97" s="312"/>
      <c r="R97" s="312"/>
      <c r="S97" s="312"/>
    </row>
    <row r="98" spans="13:19" x14ac:dyDescent="0.2">
      <c r="M98" s="312"/>
      <c r="N98" s="312"/>
      <c r="O98" s="312"/>
      <c r="P98" s="312"/>
      <c r="Q98" s="312"/>
      <c r="R98" s="312"/>
      <c r="S98" s="312"/>
    </row>
    <row r="100" spans="13:19" x14ac:dyDescent="0.2">
      <c r="M100" s="312" t="s">
        <v>190</v>
      </c>
      <c r="N100" s="312"/>
      <c r="O100" s="312"/>
      <c r="P100" s="312"/>
      <c r="Q100" s="312"/>
      <c r="R100" s="312"/>
      <c r="S100" s="312"/>
    </row>
    <row r="101" spans="13:19" x14ac:dyDescent="0.2">
      <c r="M101" s="312"/>
      <c r="N101" s="312"/>
      <c r="O101" s="312"/>
      <c r="P101" s="312"/>
      <c r="Q101" s="312"/>
      <c r="R101" s="312"/>
      <c r="S101" s="312"/>
    </row>
    <row r="103" spans="13:19" x14ac:dyDescent="0.2">
      <c r="M103" s="312" t="s">
        <v>189</v>
      </c>
      <c r="N103" s="312"/>
      <c r="O103" s="312"/>
      <c r="P103" s="312"/>
      <c r="Q103" s="312"/>
      <c r="R103" s="312"/>
      <c r="S103" s="312"/>
    </row>
    <row r="104" spans="13:19" x14ac:dyDescent="0.2">
      <c r="M104" s="312"/>
      <c r="N104" s="312"/>
      <c r="O104" s="312"/>
      <c r="P104" s="312"/>
      <c r="Q104" s="312"/>
      <c r="R104" s="312"/>
      <c r="S104" s="312"/>
    </row>
  </sheetData>
  <mergeCells count="20">
    <mergeCell ref="M6:S7"/>
    <mergeCell ref="M17:S18"/>
    <mergeCell ref="M24:S25"/>
    <mergeCell ref="M31:S32"/>
    <mergeCell ref="M36:S37"/>
    <mergeCell ref="M100:S101"/>
    <mergeCell ref="M103:S104"/>
    <mergeCell ref="B28:I29"/>
    <mergeCell ref="B33:I34"/>
    <mergeCell ref="M61:S62"/>
    <mergeCell ref="M68:S70"/>
    <mergeCell ref="M74:S77"/>
    <mergeCell ref="M85:S87"/>
    <mergeCell ref="M89:S90"/>
    <mergeCell ref="M92:S94"/>
    <mergeCell ref="M96:S98"/>
    <mergeCell ref="M39:S40"/>
    <mergeCell ref="M44:S46"/>
    <mergeCell ref="M52:S53"/>
    <mergeCell ref="M57:S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Q #1</vt:lpstr>
      <vt:lpstr>Q #2</vt:lpstr>
      <vt:lpstr>Q #3</vt:lpstr>
      <vt:lpstr>Q #4</vt:lpstr>
      <vt:lpstr>Q #5</vt:lpstr>
      <vt:lpstr>Q #6</vt:lpstr>
      <vt:lpstr>2013 #5</vt:lpstr>
      <vt:lpstr>2016 #8</vt:lpstr>
      <vt:lpstr>2017 #7</vt:lpstr>
      <vt:lpstr>2019 #4</vt:lpstr>
      <vt:lpstr>Essay Problems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2025-10-06T19:35:22Z</dcterms:modified>
</cp:coreProperties>
</file>