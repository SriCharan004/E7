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Users/michaelmcphail/Rising Fellow Dropbox/Rising Fellow/_Products/Exam 7/_Problem Bank/Exam 7 Problem Bank - Original &amp; Past CAS/"/>
    </mc:Choice>
  </mc:AlternateContent>
  <xr:revisionPtr revIDLastSave="0" documentId="13_ncr:1_{84B0EFBD-3655-CB42-8055-B83ED07734B5}" xr6:coauthVersionLast="47" xr6:coauthVersionMax="47" xr10:uidLastSave="{00000000-0000-0000-0000-000000000000}"/>
  <bookViews>
    <workbookView xWindow="0" yWindow="760" windowWidth="30240" windowHeight="17680" xr2:uid="{B2F629C4-F532-0048-94B5-6129BC4B4200}"/>
  </bookViews>
  <sheets>
    <sheet name="Overview" sheetId="6" r:id="rId1"/>
    <sheet name="Q #1" sheetId="1" r:id="rId2"/>
    <sheet name="Q #2" sheetId="2" r:id="rId3"/>
    <sheet name="Q #3" sheetId="3" r:id="rId4"/>
    <sheet name="Q #4" sheetId="4" r:id="rId5"/>
    <sheet name="Q #5" sheetId="5" r:id="rId6"/>
    <sheet name="Q #6" sheetId="7" r:id="rId7"/>
    <sheet name="Q #7" sheetId="8" r:id="rId8"/>
    <sheet name="Q #8" sheetId="9" r:id="rId9"/>
    <sheet name="Q #9" sheetId="10" r:id="rId10"/>
    <sheet name="Q #10" sheetId="11" r:id="rId11"/>
    <sheet name="Q #11" sheetId="12" r:id="rId12"/>
    <sheet name="Q #12" sheetId="13" r:id="rId13"/>
    <sheet name="2011 #5" sheetId="15" r:id="rId14"/>
    <sheet name="2012 #7" sheetId="16" r:id="rId15"/>
    <sheet name="2013 #6" sheetId="17" r:id="rId16"/>
    <sheet name="2014 #12" sheetId="18" r:id="rId17"/>
    <sheet name="2015 #14" sheetId="19" r:id="rId18"/>
    <sheet name="2016 #18" sheetId="20" r:id="rId19"/>
    <sheet name="2017 #17" sheetId="21" r:id="rId20"/>
    <sheet name="2017 #18" sheetId="22" r:id="rId21"/>
    <sheet name="2018 #17" sheetId="23" r:id="rId22"/>
    <sheet name="2019 #15" sheetId="24" r:id="rId23"/>
    <sheet name="Essay Problems" sheetId="14" r:id="rId2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9" i="10" l="1"/>
  <c r="N6" i="10"/>
  <c r="P3" i="10"/>
  <c r="P4" i="10"/>
  <c r="M8" i="24"/>
  <c r="N8" i="24"/>
  <c r="M9" i="24"/>
  <c r="N9" i="24"/>
  <c r="M10" i="24"/>
  <c r="N10" i="24"/>
  <c r="N11" i="24"/>
  <c r="M17" i="24"/>
  <c r="M22" i="24" s="1"/>
  <c r="M18" i="24"/>
  <c r="M19" i="24"/>
  <c r="M4" i="23"/>
  <c r="N16" i="23" s="1"/>
  <c r="O16" i="23" s="1"/>
  <c r="Q16" i="23" s="1"/>
  <c r="L13" i="23"/>
  <c r="M13" i="23"/>
  <c r="N13" i="23"/>
  <c r="O13" i="23"/>
  <c r="P13" i="23"/>
  <c r="Q13" i="23"/>
  <c r="L14" i="23"/>
  <c r="M14" i="23"/>
  <c r="N14" i="23"/>
  <c r="O14" i="23" s="1"/>
  <c r="Q14" i="23" s="1"/>
  <c r="P14" i="23"/>
  <c r="L15" i="23"/>
  <c r="M15" i="23"/>
  <c r="N15" i="23"/>
  <c r="O15" i="23"/>
  <c r="Q15" i="23" s="1"/>
  <c r="P15" i="23"/>
  <c r="L16" i="23"/>
  <c r="M16" i="23"/>
  <c r="P16" i="23"/>
  <c r="M21" i="23"/>
  <c r="O3" i="21"/>
  <c r="O4" i="21"/>
  <c r="M6" i="21"/>
  <c r="M18" i="21"/>
  <c r="M19" i="21"/>
  <c r="N19" i="21"/>
  <c r="M22" i="21" s="1"/>
  <c r="O19" i="21"/>
  <c r="N20" i="21"/>
  <c r="O20" i="21"/>
  <c r="N6" i="20"/>
  <c r="N7" i="20"/>
  <c r="N8" i="20"/>
  <c r="N9" i="20"/>
  <c r="N19" i="20" s="1"/>
  <c r="O19" i="20" s="1"/>
  <c r="P19" i="20" s="1"/>
  <c r="M16" i="20"/>
  <c r="N16" i="20"/>
  <c r="O16" i="20"/>
  <c r="P16" i="20"/>
  <c r="P21" i="20" s="1"/>
  <c r="M17" i="20"/>
  <c r="N17" i="20"/>
  <c r="O17" i="20"/>
  <c r="P17" i="20" s="1"/>
  <c r="M18" i="20"/>
  <c r="N18" i="20"/>
  <c r="O18" i="20"/>
  <c r="P18" i="20"/>
  <c r="M19" i="20"/>
  <c r="M5" i="19"/>
  <c r="M6" i="19"/>
  <c r="M7" i="17"/>
  <c r="M11" i="17"/>
  <c r="M13" i="17"/>
  <c r="M14" i="17"/>
  <c r="M16" i="17"/>
  <c r="M17" i="17"/>
  <c r="M19" i="17"/>
  <c r="M23" i="17"/>
  <c r="M24" i="17" s="1"/>
  <c r="M26" i="17" s="1"/>
  <c r="M70" i="17"/>
  <c r="M74" i="17"/>
  <c r="M6" i="16"/>
  <c r="M7" i="16"/>
  <c r="M8" i="16"/>
  <c r="M12" i="16"/>
  <c r="N13" i="16"/>
  <c r="M15" i="16"/>
  <c r="L8" i="15"/>
  <c r="L9" i="15"/>
  <c r="L10" i="15"/>
  <c r="L11" i="15"/>
  <c r="Q17" i="23" l="1"/>
  <c r="M23" i="23" s="1"/>
  <c r="N8" i="11" l="1"/>
  <c r="O8" i="11"/>
  <c r="P8" i="11"/>
  <c r="P11" i="11" s="1"/>
  <c r="N31" i="11" s="1"/>
  <c r="N9" i="11"/>
  <c r="O9" i="11"/>
  <c r="N10" i="11"/>
  <c r="N11" i="11"/>
  <c r="N29" i="11" s="1"/>
  <c r="O11" i="11"/>
  <c r="N30" i="11" s="1"/>
  <c r="N19" i="11"/>
  <c r="O19" i="11"/>
  <c r="P19" i="11"/>
  <c r="Q19" i="11"/>
  <c r="N20" i="11"/>
  <c r="O20" i="11"/>
  <c r="O22" i="11" s="1"/>
  <c r="P20" i="11"/>
  <c r="P22" i="11" s="1"/>
  <c r="P23" i="11" s="1"/>
  <c r="P24" i="11" s="1"/>
  <c r="N21" i="11"/>
  <c r="O21" i="11"/>
  <c r="Q22" i="11"/>
  <c r="Q23" i="11"/>
  <c r="Q24" i="11" s="1"/>
  <c r="P32" i="11"/>
  <c r="N7" i="10"/>
  <c r="N6" i="9"/>
  <c r="N7" i="9"/>
  <c r="O18" i="9" s="1"/>
  <c r="N8" i="9"/>
  <c r="O17" i="9" s="1"/>
  <c r="N9" i="9"/>
  <c r="N10" i="9"/>
  <c r="N15" i="9"/>
  <c r="O15" i="9"/>
  <c r="N16" i="9"/>
  <c r="O16" i="9" s="1"/>
  <c r="N17" i="9"/>
  <c r="N18" i="9"/>
  <c r="N19" i="9"/>
  <c r="O19" i="9"/>
  <c r="N5" i="8"/>
  <c r="N8" i="8"/>
  <c r="N5" i="7"/>
  <c r="N9" i="7" s="1"/>
  <c r="N16" i="7" s="1"/>
  <c r="O20" i="7" s="1"/>
  <c r="O21" i="7" s="1"/>
  <c r="N10" i="7"/>
  <c r="O23" i="11" l="1"/>
  <c r="O24" i="11" s="1"/>
  <c r="O29" i="11" s="1"/>
  <c r="O31" i="11"/>
  <c r="O32" i="11"/>
  <c r="O20" i="9"/>
  <c r="P31" i="11" l="1"/>
  <c r="O30" i="11"/>
  <c r="P30" i="11" s="1"/>
  <c r="N21" i="3"/>
  <c r="O29" i="3"/>
  <c r="O8" i="5"/>
  <c r="N16" i="5" s="1"/>
  <c r="N8" i="5"/>
  <c r="N4" i="5"/>
  <c r="N5" i="5" s="1"/>
  <c r="N15" i="5" s="1"/>
  <c r="O9" i="4"/>
  <c r="P9" i="4"/>
  <c r="Q9" i="4"/>
  <c r="R9" i="4"/>
  <c r="O10" i="4"/>
  <c r="P10" i="4"/>
  <c r="Q10" i="4"/>
  <c r="R10" i="4"/>
  <c r="O11" i="4"/>
  <c r="P11" i="4"/>
  <c r="Q11" i="4"/>
  <c r="R11" i="4"/>
  <c r="R8" i="4"/>
  <c r="Q8" i="4"/>
  <c r="P8" i="4"/>
  <c r="O8" i="4"/>
  <c r="Q30" i="3"/>
  <c r="Q29" i="3"/>
  <c r="Q8" i="3"/>
  <c r="Q9" i="3"/>
  <c r="Q10" i="3"/>
  <c r="Q7" i="3"/>
  <c r="O10" i="3"/>
  <c r="O9" i="3"/>
  <c r="O8" i="3"/>
  <c r="O7" i="3"/>
  <c r="N8" i="3"/>
  <c r="N9" i="3"/>
  <c r="N10" i="3"/>
  <c r="N7" i="3"/>
  <c r="N5" i="2"/>
  <c r="N4" i="2"/>
  <c r="M5" i="2"/>
  <c r="M4" i="2"/>
  <c r="N11" i="1"/>
  <c r="N10" i="1"/>
  <c r="N9" i="1"/>
  <c r="P29" i="11" l="1"/>
  <c r="S8" i="4"/>
  <c r="S10" i="4"/>
  <c r="S11" i="4"/>
  <c r="S9" i="4"/>
  <c r="P9" i="3"/>
  <c r="R9" i="3" s="1"/>
  <c r="P8" i="3"/>
  <c r="R8" i="3" s="1"/>
  <c r="R28" i="3" s="1"/>
  <c r="P7" i="3"/>
  <c r="R7" i="3" s="1"/>
  <c r="R27" i="3" s="1"/>
  <c r="O30" i="3"/>
  <c r="P10" i="3"/>
  <c r="R10" i="3" s="1"/>
  <c r="N29" i="3"/>
  <c r="N30" i="3"/>
  <c r="R11" i="3" l="1"/>
  <c r="N16" i="3" s="1"/>
  <c r="P30" i="3"/>
  <c r="R30" i="3" s="1"/>
  <c r="P29" i="3"/>
  <c r="R29" i="3" s="1"/>
  <c r="R31" i="3" l="1"/>
  <c r="N33" i="3" s="1"/>
  <c r="N35"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Rising Fellow</author>
  </authors>
  <commentList>
    <comment ref="N21" authorId="0" shapeId="0" xr:uid="{C0049B9C-9E31-8C44-9CE5-2CF518AE65EA}">
      <text>
        <r>
          <rPr>
            <b/>
            <sz val="10"/>
            <color rgb="FF000000"/>
            <rFont val="Tahoma"/>
            <family val="2"/>
          </rPr>
          <t>Rising Fellow:</t>
        </r>
        <r>
          <rPr>
            <sz val="10"/>
            <color rgb="FF000000"/>
            <rFont val="Tahoma"/>
            <family val="2"/>
          </rPr>
          <t xml:space="preserve">
</t>
        </r>
        <r>
          <rPr>
            <sz val="10"/>
            <color rgb="FF000000"/>
            <rFont val="Tahoma"/>
            <family val="2"/>
          </rPr>
          <t>We're calculating CPDLD*(1) here not PDLD*(1), which is why the %Loss_1 isn't in the denominator of the second term (see Cookbook recipe)</t>
        </r>
      </text>
    </comment>
  </commentList>
</comments>
</file>

<file path=xl/sharedStrings.xml><?xml version="1.0" encoding="utf-8"?>
<sst xmlns="http://schemas.openxmlformats.org/spreadsheetml/2006/main" count="974" uniqueCount="582">
  <si>
    <t>a.</t>
  </si>
  <si>
    <t>b.</t>
  </si>
  <si>
    <t>Part a</t>
  </si>
  <si>
    <t>Part b</t>
  </si>
  <si>
    <t>Given the following information for a retrospectively rated book of business:</t>
  </si>
  <si>
    <t>First</t>
  </si>
  <si>
    <t>Second</t>
  </si>
  <si>
    <t>Third</t>
  </si>
  <si>
    <t>Incremental Loss Capping Ratio</t>
  </si>
  <si>
    <t>Incremental % Loss Emerged</t>
  </si>
  <si>
    <t>Retrospective Adjustment</t>
  </si>
  <si>
    <t>Loss Conversion Factor</t>
  </si>
  <si>
    <t>Tax Multiplier</t>
  </si>
  <si>
    <t>Expected loss ratio</t>
  </si>
  <si>
    <t>Total Basic Premium</t>
  </si>
  <si>
    <t>Total Standard Premium</t>
  </si>
  <si>
    <t>Calculate the PDLD ratios for each of the first three retrospective adjustments.</t>
  </si>
  <si>
    <t>Given the following information:</t>
  </si>
  <si>
    <t>27 Months</t>
  </si>
  <si>
    <t>30 Months</t>
  </si>
  <si>
    <t>33 Months</t>
  </si>
  <si>
    <t>36 Months</t>
  </si>
  <si>
    <t>39 Months</t>
  </si>
  <si>
    <t>Policy Effective Year</t>
  </si>
  <si>
    <t>Booked Premium ($000)</t>
  </si>
  <si>
    <t>Booked Premium ($000) evaluated at:</t>
  </si>
  <si>
    <t>Reported Losses ($000) evaluated at:</t>
  </si>
  <si>
    <t>18 Months</t>
  </si>
  <si>
    <t>21 Months</t>
  </si>
  <si>
    <t>24 Months</t>
  </si>
  <si>
    <t>are made each year afterwards</t>
  </si>
  <si>
    <t>•    Adjusted premiums are recorded 9 months after recording losses</t>
  </si>
  <si>
    <t>•    The first retrospective adjustment is made with losses emerged as of 18 months and adjustments</t>
  </si>
  <si>
    <t>Calculate the empirical PDLD ratios for the first two adjustments for years 2009 and 2010.</t>
  </si>
  <si>
    <t>Given the following information as of December 31, 2016 ($000):</t>
  </si>
  <si>
    <t>Policy Year</t>
  </si>
  <si>
    <t>Ultimate Reported Loss</t>
  </si>
  <si>
    <t>Reported Loss at Prior Adjustment</t>
  </si>
  <si>
    <t>Premium Booked at Prior Adjustment</t>
  </si>
  <si>
    <t>Fourth</t>
  </si>
  <si>
    <t>Subsequent</t>
  </si>
  <si>
    <t>%Emerged</t>
  </si>
  <si>
    <t>Retrospective Adjustments</t>
  </si>
  <si>
    <r>
      <t>PDLD</t>
    </r>
    <r>
      <rPr>
        <vertAlign val="subscript"/>
        <sz val="12"/>
        <color rgb="FF000000"/>
        <rFont val="Calibri"/>
        <family val="2"/>
      </rPr>
      <t>n</t>
    </r>
  </si>
  <si>
    <t>As of December 31, 2016:</t>
  </si>
  <si>
    <t>•    Policy year 2014 has had its first retrospective adjustment</t>
  </si>
  <si>
    <t>•    The premium booked for policy years 2013-2016 was:</t>
  </si>
  <si>
    <t>•    Expected Loss Ratio:</t>
  </si>
  <si>
    <t>•    Average Basic Premium Factor (including tax):</t>
  </si>
  <si>
    <t>Estimate the retrospective premium asset for policy years 2013 to 2016 as of December 31, 2016.</t>
  </si>
  <si>
    <t>Calculate the difference between the total retrospective premium asset from part a and the total</t>
  </si>
  <si>
    <t>retrospective premium asset using the enhanced PDLD method as described by Feldblum.</t>
  </si>
  <si>
    <t>Given the following information for policy year 2004:</t>
  </si>
  <si>
    <t>Policy Effective Qtr</t>
  </si>
  <si>
    <t>Q1</t>
  </si>
  <si>
    <t>Q2</t>
  </si>
  <si>
    <t>Q3</t>
  </si>
  <si>
    <t>1,23</t>
  </si>
  <si>
    <t>Q4</t>
  </si>
  <si>
    <t>Estimated at (months)</t>
  </si>
  <si>
    <t>Reported Losses ($000)</t>
  </si>
  <si>
    <t>are recorded.</t>
  </si>
  <si>
    <t>made annually thereafter.</t>
  </si>
  <si>
    <t>Calculate the empirical PDLD ratio for the second retrospective adjustment for each of the policy</t>
  </si>
  <si>
    <t>effective quarters.</t>
  </si>
  <si>
    <t>Discuss why historical PDLD ratios may fluctuate significantly after the first adjustment and how an</t>
  </si>
  <si>
    <t>actuary might select a PDLD ratio in this situation.</t>
  </si>
  <si>
    <t>•    The premium-booking lag for retrospective rating adjustments is 6 months from the time losses</t>
  </si>
  <si>
    <t>•    The first retrospective adjustment is made with losses at 18 months and premium adjustments are</t>
  </si>
  <si>
    <t>Basic Premium</t>
  </si>
  <si>
    <t>Standard Premium</t>
  </si>
  <si>
    <t>18-24</t>
  </si>
  <si>
    <t>24-30</t>
  </si>
  <si>
    <t>30-Ult</t>
  </si>
  <si>
    <t>LDF</t>
  </si>
  <si>
    <t>Age-to-Age Loss Development Factors</t>
  </si>
  <si>
    <t>6-12</t>
  </si>
  <si>
    <t>12-18</t>
  </si>
  <si>
    <t>•    The first retrospective adjustment is made with losses at 18 months, then premium is adjusted every</t>
  </si>
  <si>
    <t>12 months afterwards.</t>
  </si>
  <si>
    <t xml:space="preserve">Below is the percent of incremental losses outside the boundaries of the retro max/min or exceeding the </t>
  </si>
  <si>
    <t>per-accident limit:</t>
  </si>
  <si>
    <t>First Retro Adjustment</t>
  </si>
  <si>
    <t>Second Retro Adjustment</t>
  </si>
  <si>
    <t>Calculate the PDLD ratio for the first two retro adjustments.</t>
  </si>
  <si>
    <t>Calculate %Loss emerged at the first retro adjustment:</t>
  </si>
  <si>
    <t>PDLD(1) = (BP / SP) * TM / (ELR * %Loss(1)) + (CL / L(1)) * LCF * TM</t>
  </si>
  <si>
    <t>PDLD(n) = Inc Loss Capping Ratio(n) * LCF * TM</t>
  </si>
  <si>
    <t>PDLD</t>
  </si>
  <si>
    <t>PDLD(n)</t>
  </si>
  <si>
    <t>Period(n)</t>
  </si>
  <si>
    <t>PY</t>
  </si>
  <si>
    <t>PDLD Ratios</t>
  </si>
  <si>
    <t>Expected Future Loss</t>
  </si>
  <si>
    <t>CPDLD</t>
  </si>
  <si>
    <t>Expected Future Prem</t>
  </si>
  <si>
    <t>Prem Booked at Prior Adj</t>
  </si>
  <si>
    <t>Ult Premium</t>
  </si>
  <si>
    <t>Expected Future Loss(PY) = Ult Loss(PY - Loss at Prior Adjustment(PY)</t>
  </si>
  <si>
    <t>CPDLD(n) =[ ∑PDLD(i) * %Emerged(i) ] / ∑%Emerged(i)      &lt;-Subsequent periods including n</t>
  </si>
  <si>
    <t>Expected Future Prem(PY) = Expected Future Loss(PY) * CPDLD(n)</t>
  </si>
  <si>
    <t>PY 2015 and 2016 have not recorded the first retro adjustment yet.</t>
  </si>
  <si>
    <t>Total</t>
  </si>
  <si>
    <t xml:space="preserve">Prem Asset = </t>
  </si>
  <si>
    <t>CPDLD*</t>
  </si>
  <si>
    <t>CPDLD*(1) = CPDLD(1) - (Basic Prem Factor * TM) / ELR</t>
  </si>
  <si>
    <t xml:space="preserve">CPDLD*(1) = </t>
  </si>
  <si>
    <t>Expected Future Prem from Loss</t>
  </si>
  <si>
    <t>Basic Prem Portion for 1st Adj</t>
  </si>
  <si>
    <t>Basic Prem(PY) = Std Prem(PY) * Basic Prem Factor * TM</t>
  </si>
  <si>
    <t>(same as above)</t>
  </si>
  <si>
    <t xml:space="preserve">Difference = </t>
  </si>
  <si>
    <t xml:space="preserve">Prem Asset* = </t>
  </si>
  <si>
    <t>Discussion</t>
  </si>
  <si>
    <t>The enhanced method changes the Ult Premium for the first retro adjustment by taking the basic premium portion of the PDLD1 retro formula out of CPDLD1. The reason the enhanced method produces a lower premium asset is that the ultimate reported loss for 2015 and 2016 ($12,640) is higher than the a priori expected ultimate loss calculated with the standard premium and ELR, (8,320 + 8,540) * 0.7 = 11,802.</t>
  </si>
  <si>
    <t>After the first adjustment, losses on a few policies can drive the total incremental development for the policy quarter’s adjustment.
The actuary should take an average over as many policy quarters as possible, but pay attention to any trends in the PDLD ratios over time. The actuary could also use the PDLD ratio calculated from the retro formula.</t>
  </si>
  <si>
    <r>
      <t>Prem</t>
    </r>
    <r>
      <rPr>
        <vertAlign val="superscript"/>
        <sz val="12"/>
        <color rgb="FF000000"/>
        <rFont val="Calibri"/>
        <family val="2"/>
      </rPr>
      <t>36</t>
    </r>
  </si>
  <si>
    <r>
      <t>Prem</t>
    </r>
    <r>
      <rPr>
        <vertAlign val="superscript"/>
        <sz val="12"/>
        <color rgb="FF000000"/>
        <rFont val="Calibri"/>
        <family val="2"/>
      </rPr>
      <t>24</t>
    </r>
  </si>
  <si>
    <r>
      <t>Loss</t>
    </r>
    <r>
      <rPr>
        <vertAlign val="superscript"/>
        <sz val="12"/>
        <color rgb="FF000000"/>
        <rFont val="Calibri"/>
        <family val="2"/>
      </rPr>
      <t>30</t>
    </r>
  </si>
  <si>
    <r>
      <t>Loss</t>
    </r>
    <r>
      <rPr>
        <vertAlign val="superscript"/>
        <sz val="12"/>
        <color rgb="FF000000"/>
        <rFont val="Calibri"/>
        <family val="2"/>
      </rPr>
      <t>18</t>
    </r>
  </si>
  <si>
    <t xml:space="preserve">CDF(18-Ult) = </t>
  </si>
  <si>
    <t xml:space="preserve">%Loss(18mo) = </t>
  </si>
  <si>
    <t>This is a relatively straightforward PDLD – Retro Formula question, but you need to do a bit of work to get the correct inputs, such as the %Loss1 and the loss capping ratio. 
For the loss capping ratio, make sure to be clear if you are using incremental or cumulative loss capping ratios if the problem is not explicit. For this problem, we’re given information about the incremental loss capping ratios.</t>
  </si>
  <si>
    <t>Some of the past CAS problems are unclear about whether the given loss capping ratios are cumulative or incremental ratios. If a problem is unclear, make sure to state your assumption of which loss capping ratios you use in the solution.
If you’re given cumulative loss capping ratios, use the following formula to transform them to incremental loss capping ratios before using the PDLDn formula:</t>
  </si>
  <si>
    <t>SHOW ALL WORK.</t>
  </si>
  <si>
    <t>Solution -&gt;</t>
  </si>
  <si>
    <t>RF Teng - 1</t>
  </si>
  <si>
    <t>RF Teng - 2</t>
  </si>
  <si>
    <t>RF Teng - 3</t>
  </si>
  <si>
    <t>RF Teng - 4</t>
  </si>
  <si>
    <t>RF Teng - 5</t>
  </si>
  <si>
    <t>The first retro adjustment will use losses at 18 months, the second uses incremental losses from 18 months to 30 months.
Since the premium booking lag is 6 months, calculate the PDLD ratio with the change in losses from 24 months to 36 months.</t>
  </si>
  <si>
    <t>Teng &amp; Perkins - PDLD Ratios: Retro Formula</t>
  </si>
  <si>
    <t>Teng &amp; Perkins - PDLD Ratios: Empirical</t>
  </si>
  <si>
    <t>Teng &amp; Perkins - Premium Asset</t>
  </si>
  <si>
    <t>Teng &amp; Perkins - Premium Asset: PDLD Method Enhancement</t>
  </si>
  <si>
    <t>Recipe</t>
  </si>
  <si>
    <t>Retro</t>
  </si>
  <si>
    <t>Adjustment</t>
  </si>
  <si>
    <t>The first retrospective loss adjustment uses losses evaluated at 18 months. Based on those losses, the policies the retro premium for the policies is adjusted. The adjustment to premium shows up in booked premium after a 9 month lag at 27 months.</t>
  </si>
  <si>
    <t>Overview</t>
  </si>
  <si>
    <t>www.RisingFellow.com</t>
  </si>
  <si>
    <t>Original Practice Problems</t>
  </si>
  <si>
    <t>The first group of problems are original practice problems. They're written to be similar to the type of questions you might see on the exam and to help you better understand the material.
For each problem you'll see:
• An original practice problem
• A detailed solution
• Discussion section that goes more in depth 
• Cross-reference with the corresponding Exam 7 Cookbook recipe (where appropriate)</t>
  </si>
  <si>
    <t>Past CAS Problems</t>
  </si>
  <si>
    <r>
      <t xml:space="preserve">The past CAS problems include the questions from the 2011-2019 released exams for the paper that are on syllabus.
For the problems you'll see:
• Past CAS question in Excel format
• A detailed solution
• A Discussion section to help explain the solution (where appropriate)
• Cross-reference with the corresponding Exam 7 Cookbook recipe (where appropriate)
</t>
    </r>
    <r>
      <rPr>
        <b/>
        <sz val="12"/>
        <color theme="1"/>
        <rFont val="Calibri"/>
        <family val="2"/>
      </rPr>
      <t>Note:</t>
    </r>
    <r>
      <rPr>
        <sz val="12"/>
        <color theme="1"/>
        <rFont val="Calibri"/>
        <family val="2"/>
      </rPr>
      <t xml:space="preserve"> 
These questions are solely owned by the CAS. They are included in the online course for student convenience.</t>
    </r>
  </si>
  <si>
    <t>Examiners' Reports Split by Problem</t>
  </si>
  <si>
    <t>In the "Extra Resources" section of the course, you'll see all the official CAS Examiners' Reports split them out by problem so they're easier to use when studying.
The PDFs are:
• Split by problem with a PDF for each problem with its solution and Examiners' Report
• Searchable if you want to find which problems test a specific concept
We posted them as a resource to help you study, especially when you want to cross-reference a problem with the official CAS Examiners' Report.</t>
  </si>
  <si>
    <t>If You Get Stuck Or Have Questions</t>
  </si>
  <si>
    <t>&lt;-Expected future premium - currently booked premium</t>
  </si>
  <si>
    <t>Premium Asset =</t>
  </si>
  <si>
    <t>Estimate the premium asset.</t>
  </si>
  <si>
    <t>Expected future premium =</t>
  </si>
  <si>
    <t>• None of the policies has yet had its first retro adjustment</t>
  </si>
  <si>
    <t>Calculate the premium asset:</t>
  </si>
  <si>
    <t xml:space="preserve">• Total current booked premium = </t>
  </si>
  <si>
    <r>
      <t xml:space="preserve">• </t>
    </r>
    <r>
      <rPr>
        <i/>
        <sz val="12"/>
        <color theme="1"/>
        <rFont val="Calibri"/>
        <family val="2"/>
        <scheme val="minor"/>
      </rPr>
      <t>LCF</t>
    </r>
    <r>
      <rPr>
        <sz val="12"/>
        <color theme="1"/>
        <rFont val="Calibri"/>
        <family val="2"/>
        <scheme val="minor"/>
      </rPr>
      <t xml:space="preserve"> = </t>
    </r>
  </si>
  <si>
    <t>&lt;-Weighted average of PDLD ratios</t>
  </si>
  <si>
    <t>CPDLD_1 =</t>
  </si>
  <si>
    <t>•</t>
  </si>
  <si>
    <t>Since none of the policies have had a retro adjustment, we only need CPDLD_1</t>
  </si>
  <si>
    <t xml:space="preserve">• Standard premium = </t>
  </si>
  <si>
    <t xml:space="preserve">• ELR = </t>
  </si>
  <si>
    <t>Calculate CPDLD_1:</t>
  </si>
  <si>
    <t>PDLD_4 =</t>
  </si>
  <si>
    <t>PDLD_3 =</t>
  </si>
  <si>
    <t>Calculate PDLD_3 and PDLD_4:</t>
  </si>
  <si>
    <t>&lt;-PDLD_2 = Inc. Loss Capping Ratio*LCF*TM</t>
  </si>
  <si>
    <t>TM =</t>
  </si>
  <si>
    <t>% Loss Emerged</t>
  </si>
  <si>
    <t>Retro Adj. Period</t>
  </si>
  <si>
    <t>Solve for the TM:</t>
  </si>
  <si>
    <t>Given the following for a set of retrospectively rated workers compensation policies:</t>
  </si>
  <si>
    <t>RF Teng Perkins - 6</t>
  </si>
  <si>
    <t>The formula in part a is the traditional retrospective premium formula.</t>
  </si>
  <si>
    <t>What does the net insurance charge represent?</t>
  </si>
  <si>
    <t>The net insurance charge is the difference between the expected loss (to the insurer) caused by the maximum retro premium and the expected gain (to the insurer) caused by the minimum retro premium</t>
  </si>
  <si>
    <t>Calculate the premium at the first retro adjustment.</t>
  </si>
  <si>
    <t>Part b:</t>
  </si>
  <si>
    <t>&lt;-P_1 = (BP + C_1*LCF)*TM</t>
  </si>
  <si>
    <t>P_1 =</t>
  </si>
  <si>
    <t xml:space="preserve">• Net insurance charge + excess loss charge = </t>
  </si>
  <si>
    <t xml:space="preserve">• Expense Provision = </t>
  </si>
  <si>
    <t>+ excess loss charge</t>
  </si>
  <si>
    <t>&lt;-Feldblum defines BP as expense provision + net ins. Charge</t>
  </si>
  <si>
    <t>Basic Premium =</t>
  </si>
  <si>
    <t xml:space="preserve">• Losses emerged at the first retro adjustment = </t>
  </si>
  <si>
    <t xml:space="preserve">• TM = </t>
  </si>
  <si>
    <t>Part a:</t>
  </si>
  <si>
    <t xml:space="preserve">• LCF = </t>
  </si>
  <si>
    <t>RF Teng Perkins - 7</t>
  </si>
  <si>
    <t>Assuming that the first retro adjustment is booked 27 months after the policy effective date, calculate the total expected future premium as of 12/31/12.</t>
  </si>
  <si>
    <t>Assume all policies are effective January 1st.</t>
  </si>
  <si>
    <t>&lt;-Grouping 2011 and 2012 since neither are 27 months old. They have not had an adjustment that's shown up in booked premium yet.</t>
  </si>
  <si>
    <t>2011-2012</t>
  </si>
  <si>
    <t>Policy Period</t>
  </si>
  <si>
    <t>Future Prem</t>
  </si>
  <si>
    <t>Future Loss</t>
  </si>
  <si>
    <t>Expected Future Loss Emergence as of 12/31/12</t>
  </si>
  <si>
    <t>Calculate the expected future premium as of 12/31/12:</t>
  </si>
  <si>
    <t xml:space="preserve">Third </t>
  </si>
  <si>
    <t>Emerged</t>
  </si>
  <si>
    <t>Ratios</t>
  </si>
  <si>
    <t>Period</t>
  </si>
  <si>
    <t>CPDLD Ratios</t>
  </si>
  <si>
    <t>Retro Period</t>
  </si>
  <si>
    <t>% Loss</t>
  </si>
  <si>
    <t>Selected PDLD</t>
  </si>
  <si>
    <t>Retro Adj.</t>
  </si>
  <si>
    <t>Determine the CPDLD ratios:</t>
  </si>
  <si>
    <t>Given the following:</t>
  </si>
  <si>
    <t>RF Teng Perkins - 8</t>
  </si>
  <si>
    <t>Teng &amp; Perkins - Cumulative to Incremental Loss Capping Ratios</t>
  </si>
  <si>
    <t>Calculate the cumulative and incremental loss capping ratios at the fourth retro adjustment.</t>
  </si>
  <si>
    <t>Fifth</t>
  </si>
  <si>
    <t>&lt;-(CL_4/SP-CL_3/SP)/(L_4/SP-L_3/SP)</t>
  </si>
  <si>
    <t>Incremental Loss Capping Ratio at fourth adj. =</t>
  </si>
  <si>
    <t>&lt;-CL_4/SP = L_4/SP*Cum. Loss Capping Ratio</t>
  </si>
  <si>
    <t>CL_4/SP =</t>
  </si>
  <si>
    <t>&lt;-CL_3/SP = L_3/SP*Cum. Loss Capping Ratio</t>
  </si>
  <si>
    <t>CL_3/SP =</t>
  </si>
  <si>
    <t>Emerged Expected Loss Ratio</t>
  </si>
  <si>
    <t>Loss Elimination Ratio from Per Accident Limit</t>
  </si>
  <si>
    <t>% Losses Eliminated by Retro Max/Min</t>
  </si>
  <si>
    <t>Cumulative loss capping ratio at fourth adj. =</t>
  </si>
  <si>
    <t>Cumulative loss capping ratio at third adj. =</t>
  </si>
  <si>
    <t>RF Teng Perkins - 9</t>
  </si>
  <si>
    <t>The PDLD ratios for the first retro adjustment are showing an upward trend over the policy years. Since the formula approach (which reflects the plan parameters currently being sold) is yielding a PDLD ratio in line with historical ratios (i.e. PY 2008), the most likely explanation of the upward trend is an improvement in loss experience</t>
  </si>
  <si>
    <t>Calculate the CPDLD ratios (weighted averages of PDLD ratios):</t>
  </si>
  <si>
    <t>%Loss Emerged</t>
  </si>
  <si>
    <t>Age-to-Ult</t>
  </si>
  <si>
    <t>Age-to-Age</t>
  </si>
  <si>
    <t>Given that the formula approach produces a PDLD ratio at the first retro adjustment equal to 1.40, provide a feasible explanation for any observed trends in the PDLD ratios.</t>
  </si>
  <si>
    <t>Using the empirical approach, calculate the CPDLD ratios at each adjustment.</t>
  </si>
  <si>
    <t>Calculate the %Loss Emerged at each retro adjustment:</t>
  </si>
  <si>
    <t>Ex. PDLD_2 = Prem between 27 and 39 / Loss between 18 and 30</t>
  </si>
  <si>
    <t>Ex. PDLD_1 = Prem. At 27 / Loss at 18</t>
  </si>
  <si>
    <t>51 mo.</t>
  </si>
  <si>
    <t>39 mo.</t>
  </si>
  <si>
    <t>27 mo.</t>
  </si>
  <si>
    <t>Selected (average)</t>
  </si>
  <si>
    <t>Cumulative Booked Premium ($)</t>
  </si>
  <si>
    <t>PDLD_3</t>
  </si>
  <si>
    <t>PDLD_2</t>
  </si>
  <si>
    <t>PDLD_1</t>
  </si>
  <si>
    <t>54 mo.</t>
  </si>
  <si>
    <t>42 mo.</t>
  </si>
  <si>
    <t>30 mo.</t>
  </si>
  <si>
    <t>18 mo.</t>
  </si>
  <si>
    <t>Calculate and select the PDLD ratios at each retro adjustment:</t>
  </si>
  <si>
    <t>Cumulative Reported Losses ($)</t>
  </si>
  <si>
    <t>RF Teng Perkins - 10</t>
  </si>
  <si>
    <t xml:space="preserve">See pg. 283-285 of the Feldblum commentary of the Teng &amp; Perkins paper. </t>
  </si>
  <si>
    <t>Berry begins with Fitzgibbon's method and then gradually gives more weight to actual experience as the book of business matures</t>
  </si>
  <si>
    <t>Briefly describe Berry's solution to this problem.</t>
  </si>
  <si>
    <t>Part d:</t>
  </si>
  <si>
    <t>d.</t>
  </si>
  <si>
    <t>Briefly describe the problem with this method.</t>
  </si>
  <si>
    <t>The main problem with this method is that it ignores actual emerging experience, which may differ greatly from what is expected</t>
  </si>
  <si>
    <t>c.</t>
  </si>
  <si>
    <t>Part c:</t>
  </si>
  <si>
    <t>Provide an interpretation of the y-intercept.</t>
  </si>
  <si>
    <t>Represents the retro premium when there are no incurred losses. This is known as the basic premium charge</t>
  </si>
  <si>
    <t>Describe a graph of Fitzgibbon's regression method. Include a discussion of the y-intercept, axes and slope in the description.</t>
  </si>
  <si>
    <t>• B = 0.75</t>
  </si>
  <si>
    <t>• A = 0.50</t>
  </si>
  <si>
    <t>A graph of Fitzgibbon's method is a straight line with a slope of B = 0.75 and a y-intercept of A = 0.50. The x-axis represents incurred losses as a % of standard premium (i.e. standard loss ratio) and the y-axis represents retrospective premiums as a % of standard premium</t>
  </si>
  <si>
    <t>An actuary runs a historical regression using standard loss ratios and retro adjustments and determines the following parameters:</t>
  </si>
  <si>
    <t>RF Teng Perkins - 11</t>
  </si>
  <si>
    <t>See Figure 4 in the Feldblum commentary of the Teng &amp; Perkins paper (pg. 290).</t>
  </si>
  <si>
    <t>Using the data above, describe a graph of the Teng/Perkins method. Include a discussion of retro adjustments, slopes and axes in the description.</t>
  </si>
  <si>
    <t>PDLD Ratio</t>
  </si>
  <si>
    <t>Retro Adjustment</t>
  </si>
  <si>
    <t>The Teng/Perkins method plots reported losses as a % of standard premium on the x-axis and retro premiums as a % of standard premium on the y-axis. 
In this case, the graph is comprised of four line segments, representing each retro adjustment. The first segment runs from the origin to the first retro adjustment. The slope of this line is PDLD_1 = 1.40. The second line runs from the first retro adjustment to the second retro adjustment with a slope equal to PDLD_2 = 0.90. The third line runs from the second retro adjustment to the third retro adjustment with a slope equal to PDLD_3 = 0.65. Finally, the fourth line runs from the third retro adjustment to the fourth retro adjustment with a slope equal to PDLD_4 = 0.35</t>
  </si>
  <si>
    <t>RF Teng Perkins - 12</t>
  </si>
  <si>
    <t>In terms of how this impacts the Teng &amp; Perkins graph, instead of going through the origin, the first line segment will have a positive intercept related to the basic premium</t>
  </si>
  <si>
    <t>Subtract the average basic premium charge (as a ratio to the standard loss ratio) from the first CPDLD ratio</t>
  </si>
  <si>
    <t>The failure to distinguish these items also makes it harder to analyze changes over time.  For example, assume the slope of the first line segment has risen steadily over the past 30 years.   Is this due to a change in the average basic premium ratio, a change in premium responsiveness during the first period, or a lengthening of the loss reporting pattern?</t>
  </si>
  <si>
    <t>One problem with combining these items is that we cannot tell how much each item contributes to the total slope of the first line segment.  This leads to results that are unclear and difficult to interpret. For example, we would normally  interpret a CPDLD ratio of 1.492 at policy inception to the first retro adjustment to mean that each dollar of loss emerged provides the insurer one dollar and 49 cents of premium.   This would be wrong because part of that 1.492 comes from the basic premium charge, which does not represent emerged losses</t>
  </si>
  <si>
    <t>Question #10</t>
  </si>
  <si>
    <t>Fitzgibbon relates the ultimate loss ratio to the ultimate retro premium ratio. If actual experience deviates from what is expected, we have no way to get back on track.  On the other hand, the PDLD ratio relates the reported loss ratio to the retro premium ratio.  If actual experience deviates from what is expected, the next line segment begins at a starting point that corresponds to actual experience</t>
  </si>
  <si>
    <t>•  For example, when moving from the first line segment to the second line segment, we change at the first retro adjustment (regardless of where the loss ratio ended up)</t>
  </si>
  <si>
    <t>•  Assumption relates to when we change from one line to another</t>
  </si>
  <si>
    <t>Assumption 2: The slope of the line segment depends on the time period, not on the beginning loss ratio or the beginning retro premium ratio</t>
  </si>
  <si>
    <t>•  Even if the slope of the line segment is different from what is expected, we do NOT change our expectations for the slope of the next line</t>
  </si>
  <si>
    <t>• The premium responsiveness is represented by the slope of the line segment in that adjustment period</t>
  </si>
  <si>
    <t>Assumption 1: The premium responsiveness during subsequent adjustments is independent of the premium responsiveness during preceding adjustments</t>
  </si>
  <si>
    <t>Question #9</t>
  </si>
  <si>
    <t>At higher loss ratios, premium responsiveness on loss-sensitive contracts declines</t>
  </si>
  <si>
    <t>As a book of business matures, premium responsiveness on loss-sensitive contracts declines</t>
  </si>
  <si>
    <t>Question #8</t>
  </si>
  <si>
    <t>Briefly describe a solution to this problem. For this solution, explain how it changes the graph of the Teng &amp; Perkins method.</t>
  </si>
  <si>
    <t>Due to the lag in processing and recording retro premium adjustments, a chain-ladder estimate of the premium asset is not available until at least nine months after the policy expiration, and it can be updated only annually thereafter.  Using the PDLD method, an initial estimate of the premium asset can be produced soon after the policy expires, using the known loss information and the relationships between incurred losses and retro premium.  In addition, the premium asset estimate can be updated each quarter as new loss data becomes available</t>
  </si>
  <si>
    <t>Fully describe two problems that arise from the failure to separate these two items.</t>
  </si>
  <si>
    <t>Question #7</t>
  </si>
  <si>
    <t>3) Interim premium booking that occurs between the regularly scheduled retro adjustments</t>
  </si>
  <si>
    <t>One issue with the PDLD method is the failure to separate the basic premium ratio from the first PDLD ratio.</t>
  </si>
  <si>
    <t>2) Minor premium adjustments</t>
  </si>
  <si>
    <t>1) The timing of retro adjustments</t>
  </si>
  <si>
    <t>Question #6</t>
  </si>
  <si>
    <t>Explain how these assumptions fix the issues underlying Fitzgibbon's method.</t>
  </si>
  <si>
    <t>Upward development in high loss layers (resulting in no additional premium) and downward development in layers within loss limitations (resulting in return premium)</t>
  </si>
  <si>
    <t>Describe two assumptions underlying the PDLD method.</t>
  </si>
  <si>
    <t>Question #5</t>
  </si>
  <si>
    <t>•  Loss ratio</t>
  </si>
  <si>
    <t>•  Maturity of the book</t>
  </si>
  <si>
    <t xml:space="preserve">Worse (better) than expected loss experience may have caused a larger portion of the loss to be outside (inside) the boundaries of the retro maximum and the per accident limitation than the formula approach predicted.  In addition, average retro parameters may be changing over time </t>
  </si>
  <si>
    <t>Briefly describe how premium responsiveness changes with the following:</t>
  </si>
  <si>
    <t>Question #4</t>
  </si>
  <si>
    <t>Fully describe why the PDLD method is preferable to using the chain-ladder method on historical premium triangles when determining the premium asset.</t>
  </si>
  <si>
    <t>Premiums and losses should be organized into twelve month intervals.  In addition, premiums should lag losses by nine months to account for the time  it takes to process and record adjusted premiums (losses at 30 months and premiums at 39 months, losses at 42 months and premiums at 51 months, etc.)</t>
  </si>
  <si>
    <t>Identify three reasons why the current booked premium may not equal the booked premium for the prior retro adjustment.</t>
  </si>
  <si>
    <t>Data should be segregated into homogeneous groups by size of account and type of rating plan sold</t>
  </si>
  <si>
    <t>Explain how negative PDLD ratios can occur.</t>
  </si>
  <si>
    <t>2) Reported loss development</t>
  </si>
  <si>
    <t>1) Booked premium development</t>
  </si>
  <si>
    <t>Explain why historical and formula PDLD ratios may diverge.</t>
  </si>
  <si>
    <t>Question #3</t>
  </si>
  <si>
    <t>Briefly explain any organizational differences between premiums and losses.</t>
  </si>
  <si>
    <t>Potential bias exists since the formula approach uses the average parameters for the LCF, tax multiplier, maximum, minimum and per accident limitation.  We should retrospectively test PDLD ratios against actual emergence to check for bias</t>
  </si>
  <si>
    <t>Briefly explain how this data should be segregated.</t>
  </si>
  <si>
    <t>Identify two types of data needed to calculate PDLD ratios empirically.</t>
  </si>
  <si>
    <t>It responds to changes in the retro rating parameters that are sold.  If retro parameters change significantly over time, more weight should be given to PDLD ratios derived from the formula than those derived from historical data</t>
  </si>
  <si>
    <t>Provide one disadvantage of using the retro formula to estimate the PDLD ratio.</t>
  </si>
  <si>
    <t>Question #2</t>
  </si>
  <si>
    <t>Provide one advantage of using the retro formula to estimate the PDLD ratio.</t>
  </si>
  <si>
    <t>3) Since premium varies directly with the insured's actual loss experience, it shifts a large portion of the risk to the insured</t>
  </si>
  <si>
    <t>2) They offer a cash flow advantage to insureds by allowing them to pay premium as losses are reported or paid</t>
  </si>
  <si>
    <t>1) They encourage loss control and loss management by returning premium to the insured for good loss experience</t>
  </si>
  <si>
    <t>Provide three advantages of retrospectively rated policies.</t>
  </si>
  <si>
    <t>Question #1</t>
  </si>
  <si>
    <t>Solutions -&gt;</t>
  </si>
  <si>
    <t>RF Teng Perkins - Essay Problems</t>
  </si>
  <si>
    <t xml:space="preserve">Teng and Perkins – Cumulative to Incremental Loss Capping Ratios </t>
  </si>
  <si>
    <t>Explain the trend in the loss capping ratios from part a. above</t>
  </si>
  <si>
    <t>0.5 point</t>
  </si>
  <si>
    <t xml:space="preserve">At each subsequent retro adjustment, more losses reach their maximum premium and more losses are capped by the per accident limit loss limit.  Thus, the capping ratios decrease for later retro adjustments. </t>
  </si>
  <si>
    <t>Calculate the cumulative loss capping ratios for each retrospective adjustment period.</t>
  </si>
  <si>
    <t>1 point</t>
  </si>
  <si>
    <t>Part b.</t>
  </si>
  <si>
    <t xml:space="preserve">Subsequent </t>
  </si>
  <si>
    <t xml:space="preserve">Second </t>
  </si>
  <si>
    <t xml:space="preserve">Period </t>
  </si>
  <si>
    <t>Insurance Charge at Retro Maximum</t>
  </si>
  <si>
    <t>For Losses Capped at Per Accident Limit</t>
  </si>
  <si>
    <t>Cumulative Loss Capping Ratio</t>
  </si>
  <si>
    <t>Given the following data for a retrospectively rated policy:</t>
  </si>
  <si>
    <t>Part a.</t>
  </si>
  <si>
    <t>Points:</t>
  </si>
  <si>
    <t>Exam 7</t>
  </si>
  <si>
    <t>Spring 2011</t>
  </si>
  <si>
    <t>Source:</t>
  </si>
  <si>
    <t>Estimate the retrospective premium asset for this set of policies.</t>
  </si>
  <si>
    <t xml:space="preserve">Teng and Perkins – Premium Asset </t>
  </si>
  <si>
    <t>•  None of the policies has yet had its first retro adjustment.</t>
  </si>
  <si>
    <t>•  Total current booked premium is:</t>
  </si>
  <si>
    <t>•  The expected loss ratio is:</t>
  </si>
  <si>
    <t>•  Total expected unlimited loss for these policies is:</t>
  </si>
  <si>
    <t>The problem doesn’t indicate whether the loss capping ratios are cumulative or incremental, so in this case it’s important to state your assumption. The PDLD formulas use incremental loss capping ratios, so I assume incremental loss capping ratios in the solution above.</t>
  </si>
  <si>
    <t>Also assume:</t>
  </si>
  <si>
    <t>Prem Asset =</t>
  </si>
  <si>
    <t xml:space="preserve">First </t>
  </si>
  <si>
    <r>
      <t>⇽ CPDLD</t>
    </r>
    <r>
      <rPr>
        <vertAlign val="subscript"/>
        <sz val="12"/>
        <color theme="1"/>
        <rFont val="Calibri (Body)"/>
      </rPr>
      <t xml:space="preserve">1 </t>
    </r>
    <r>
      <rPr>
        <sz val="12"/>
        <color theme="1"/>
        <rFont val="Calibri"/>
        <family val="2"/>
        <scheme val="minor"/>
      </rPr>
      <t xml:space="preserve"> * Future Loss</t>
    </r>
  </si>
  <si>
    <t xml:space="preserve">Expected future premium = </t>
  </si>
  <si>
    <r>
      <t>CPDLD</t>
    </r>
    <r>
      <rPr>
        <vertAlign val="subscript"/>
        <sz val="12"/>
        <color theme="1"/>
        <rFont val="Calibri"/>
        <family val="2"/>
        <scheme val="minor"/>
      </rPr>
      <t>1</t>
    </r>
    <r>
      <rPr>
        <sz val="12"/>
        <color theme="1"/>
        <rFont val="Calibri"/>
        <family val="2"/>
        <scheme val="minor"/>
      </rPr>
      <t xml:space="preserve"> =</t>
    </r>
  </si>
  <si>
    <t>Loss 
Capping Ratio</t>
  </si>
  <si>
    <t xml:space="preserve">Retro Adjustment  </t>
  </si>
  <si>
    <r>
      <t>Since no adjustments have been made, we only need to find CPDLD</t>
    </r>
    <r>
      <rPr>
        <vertAlign val="subscript"/>
        <sz val="12"/>
        <color theme="1"/>
        <rFont val="Calibri (Body)"/>
      </rPr>
      <t>1</t>
    </r>
  </si>
  <si>
    <t>There will be three retrospective adjustments, with the following estimated factors:</t>
  </si>
  <si>
    <t>⇽ Incr. Loss Capping Ratio * LCF * TM</t>
  </si>
  <si>
    <r>
      <t>PDLD</t>
    </r>
    <r>
      <rPr>
        <vertAlign val="subscript"/>
        <sz val="12"/>
        <color theme="1"/>
        <rFont val="Calibri"/>
        <family val="2"/>
        <scheme val="minor"/>
      </rPr>
      <t>3</t>
    </r>
    <r>
      <rPr>
        <sz val="12"/>
        <color theme="1"/>
        <rFont val="Calibri"/>
        <family val="2"/>
        <scheme val="minor"/>
      </rPr>
      <t xml:space="preserve"> =</t>
    </r>
  </si>
  <si>
    <t>•  Basic premium factor:</t>
  </si>
  <si>
    <r>
      <t>PDLD</t>
    </r>
    <r>
      <rPr>
        <vertAlign val="subscript"/>
        <sz val="12"/>
        <color theme="1"/>
        <rFont val="Calibri"/>
        <family val="2"/>
        <scheme val="minor"/>
      </rPr>
      <t>2</t>
    </r>
    <r>
      <rPr>
        <sz val="12"/>
        <color theme="1"/>
        <rFont val="Calibri"/>
        <family val="2"/>
        <scheme val="minor"/>
      </rPr>
      <t xml:space="preserve"> =</t>
    </r>
  </si>
  <si>
    <t>•  Tax multiplier:</t>
  </si>
  <si>
    <r>
      <t>⇽ ((BP/SP) * TM)/(ELR * %Loss</t>
    </r>
    <r>
      <rPr>
        <vertAlign val="subscript"/>
        <sz val="12"/>
        <color theme="1"/>
        <rFont val="Calibri (Body)"/>
      </rPr>
      <t>1</t>
    </r>
    <r>
      <rPr>
        <sz val="12"/>
        <color theme="1"/>
        <rFont val="Calibri"/>
        <family val="2"/>
        <scheme val="minor"/>
      </rPr>
      <t>) + CL</t>
    </r>
    <r>
      <rPr>
        <vertAlign val="subscript"/>
        <sz val="12"/>
        <color theme="1"/>
        <rFont val="Calibri (Body)"/>
      </rPr>
      <t xml:space="preserve">1 </t>
    </r>
    <r>
      <rPr>
        <sz val="12"/>
        <color theme="1"/>
        <rFont val="Calibri"/>
        <family val="2"/>
        <scheme val="minor"/>
      </rPr>
      <t>/ L</t>
    </r>
    <r>
      <rPr>
        <vertAlign val="subscript"/>
        <sz val="12"/>
        <color theme="1"/>
        <rFont val="Calibri (Body)"/>
      </rPr>
      <t xml:space="preserve">1 </t>
    </r>
    <r>
      <rPr>
        <sz val="12"/>
        <color theme="1"/>
        <rFont val="Calibri"/>
        <family val="2"/>
        <scheme val="minor"/>
      </rPr>
      <t>* LCF * TM</t>
    </r>
  </si>
  <si>
    <r>
      <t>PDLD</t>
    </r>
    <r>
      <rPr>
        <vertAlign val="subscript"/>
        <sz val="12"/>
        <color theme="1"/>
        <rFont val="Calibri"/>
        <family val="2"/>
        <scheme val="minor"/>
      </rPr>
      <t>1</t>
    </r>
    <r>
      <rPr>
        <sz val="12"/>
        <color theme="1"/>
        <rFont val="Calibri"/>
        <family val="2"/>
        <scheme val="minor"/>
      </rPr>
      <t xml:space="preserve"> =</t>
    </r>
  </si>
  <si>
    <t>•  Loss conversion factor:</t>
  </si>
  <si>
    <t>For a set of retrospectively rated workers compensation policies, the following factors apply:</t>
  </si>
  <si>
    <t>Assumption: I assume the loss capping ratios in the problem are incremental  ratios; otherwise, nonsensical results are produced.</t>
  </si>
  <si>
    <t>Q #7</t>
  </si>
  <si>
    <t>Spring 2012</t>
  </si>
  <si>
    <t xml:space="preserve">Teng – PDLD Ratios – Retro Formula </t>
  </si>
  <si>
    <t>Assuming incremental loss capping ratios:</t>
  </si>
  <si>
    <t>Alternative solution (Incremental Ratios)</t>
  </si>
  <si>
    <r>
      <t xml:space="preserve">The confusing part of this problem is the difference between incremental and cumulative loss capping ratios. According to the Examiners’ Report:
</t>
    </r>
    <r>
      <rPr>
        <i/>
        <sz val="12"/>
        <color theme="1"/>
        <rFont val="Calibri"/>
        <family val="2"/>
        <scheme val="minor"/>
      </rPr>
      <t>“the loss capping ratios are cumulative unless they are labeled as incremental loss capping ratios.”</t>
    </r>
    <r>
      <rPr>
        <sz val="12"/>
        <color theme="1"/>
        <rFont val="Calibri"/>
        <family val="2"/>
        <scheme val="minor"/>
      </rPr>
      <t xml:space="preserve"> 
The expectation is that you use the cumulative loss capping ratios along with the expected loss and LDFs to calculate the incremental loss capping ratio to solve the problem. The incremental loss capping ratio is 𝚫CL / 𝚫L.
You could also assume incremental loss capping ratios (which I think makes more sense), but you needed to state your assumption. See below for the alternative solution using incremental ratios.
CAS 2012 – 7 also gives unlabeled loss capping ratios, but in the Examiners’ Report they say: 
</t>
    </r>
    <r>
      <rPr>
        <i/>
        <sz val="12"/>
        <color theme="1"/>
        <rFont val="Calibri"/>
        <family val="2"/>
        <scheme val="minor"/>
      </rPr>
      <t>“Many candidates interpreted the loss capping ratios to be cumulative rather than incremental, producing nonsensical results. Candidates should have recognized that additional loss dollars will not reduce the premium as implied in this approach.”</t>
    </r>
    <r>
      <rPr>
        <sz val="12"/>
        <color theme="1"/>
        <rFont val="Calibri"/>
        <family val="2"/>
        <scheme val="minor"/>
      </rPr>
      <t xml:space="preserve">
In this problem, you also get nonsensical results if you assume cumulative loss capping ratios because the PDLD</t>
    </r>
    <r>
      <rPr>
        <vertAlign val="subscript"/>
        <sz val="12"/>
        <color theme="1"/>
        <rFont val="Calibri (Body)"/>
      </rPr>
      <t>2</t>
    </r>
    <r>
      <rPr>
        <sz val="12"/>
        <color theme="1"/>
        <rFont val="Calibri"/>
        <family val="2"/>
        <scheme val="minor"/>
      </rPr>
      <t xml:space="preserve"> ratio is negative. So, the 2013 Examiners’ Report seems to contradict the 2012 Examiners’ Report.
This is the key lesson: 
</t>
    </r>
    <r>
      <rPr>
        <b/>
        <sz val="12"/>
        <color theme="1"/>
        <rFont val="Calibri"/>
        <family val="2"/>
        <scheme val="minor"/>
      </rPr>
      <t>If you see a question with unlabeled loss capping ratios, make sure to state your assumption!</t>
    </r>
  </si>
  <si>
    <r>
      <t>We expect premium responsiveness to decrease with maturity because more losses will be capped and more policies will hit the max premium. So, the PDLD ratios should be decreasing, but the PDLD</t>
    </r>
    <r>
      <rPr>
        <vertAlign val="subscript"/>
        <sz val="12"/>
        <color theme="1"/>
        <rFont val="Calibri (Body)"/>
      </rPr>
      <t>3</t>
    </r>
    <r>
      <rPr>
        <sz val="12"/>
        <color theme="1"/>
        <rFont val="Calibri"/>
        <family val="2"/>
        <scheme val="minor"/>
      </rPr>
      <t xml:space="preserve"> ratio is higher than the PDLD</t>
    </r>
    <r>
      <rPr>
        <vertAlign val="subscript"/>
        <sz val="12"/>
        <color theme="1"/>
        <rFont val="Calibri (Body)"/>
      </rPr>
      <t>2</t>
    </r>
    <r>
      <rPr>
        <sz val="12"/>
        <color theme="1"/>
        <rFont val="Calibri"/>
        <family val="2"/>
        <scheme val="minor"/>
      </rPr>
      <t xml:space="preserve"> ratio. This is </t>
    </r>
    <r>
      <rPr>
        <i/>
        <u/>
        <sz val="12"/>
        <color theme="1"/>
        <rFont val="Calibri (Body)"/>
      </rPr>
      <t>not reasonable</t>
    </r>
    <r>
      <rPr>
        <sz val="12"/>
        <color theme="1"/>
        <rFont val="Calibri"/>
        <family val="2"/>
        <scheme val="minor"/>
      </rPr>
      <t xml:space="preserve"> and due to the fact that the loss capping ratio increases from adjustment 2 to 3.</t>
    </r>
  </si>
  <si>
    <t>Part d.</t>
  </si>
  <si>
    <t>capping ratios shown above.</t>
  </si>
  <si>
    <t>Based on the results of parts a., b. and c. above, discuss the reasonableness of the loss</t>
  </si>
  <si>
    <t>0.75 point</t>
  </si>
  <si>
    <r>
      <t>CL</t>
    </r>
    <r>
      <rPr>
        <vertAlign val="subscript"/>
        <sz val="12"/>
        <color theme="1"/>
        <rFont val="Calibri"/>
        <family val="2"/>
        <scheme val="minor"/>
      </rPr>
      <t>42</t>
    </r>
    <r>
      <rPr>
        <sz val="12"/>
        <color theme="1"/>
        <rFont val="Calibri"/>
        <family val="2"/>
        <scheme val="minor"/>
      </rPr>
      <t xml:space="preserve"> =</t>
    </r>
  </si>
  <si>
    <r>
      <t>L</t>
    </r>
    <r>
      <rPr>
        <vertAlign val="subscript"/>
        <sz val="12"/>
        <color theme="1"/>
        <rFont val="Calibri"/>
        <family val="2"/>
        <scheme val="minor"/>
      </rPr>
      <t>42</t>
    </r>
    <r>
      <rPr>
        <sz val="12"/>
        <color theme="1"/>
        <rFont val="Calibri"/>
        <family val="2"/>
        <scheme val="minor"/>
      </rPr>
      <t xml:space="preserve"> =</t>
    </r>
  </si>
  <si>
    <t>Calculate the PDLD ratio as of the third retrospective adjustment.</t>
  </si>
  <si>
    <t>Part c.</t>
  </si>
  <si>
    <t>Calculate the PDLD ratio as of the second retrospective adjustment.</t>
  </si>
  <si>
    <t>Calculate the PDLD ratio as of the first retrospective adjustment.</t>
  </si>
  <si>
    <r>
      <t>CL</t>
    </r>
    <r>
      <rPr>
        <vertAlign val="subscript"/>
        <sz val="12"/>
        <color theme="1"/>
        <rFont val="Calibri"/>
        <family val="2"/>
        <scheme val="minor"/>
      </rPr>
      <t>18</t>
    </r>
    <r>
      <rPr>
        <sz val="12"/>
        <color theme="1"/>
        <rFont val="Calibri"/>
        <family val="2"/>
        <scheme val="minor"/>
      </rPr>
      <t xml:space="preserve"> =</t>
    </r>
  </si>
  <si>
    <t>•  Expected loss ratio to standard premium:</t>
  </si>
  <si>
    <r>
      <t>L</t>
    </r>
    <r>
      <rPr>
        <vertAlign val="subscript"/>
        <sz val="12"/>
        <color theme="1"/>
        <rFont val="Calibri"/>
        <family val="2"/>
        <scheme val="minor"/>
      </rPr>
      <t>18</t>
    </r>
    <r>
      <rPr>
        <sz val="12"/>
        <color theme="1"/>
        <rFont val="Calibri"/>
        <family val="2"/>
        <scheme val="minor"/>
      </rPr>
      <t xml:space="preserve"> =</t>
    </r>
  </si>
  <si>
    <t>•  Total standard premium:</t>
  </si>
  <si>
    <t>•  Total basic premium:</t>
  </si>
  <si>
    <r>
      <t>⇽ SP*ELR*Loss Capping Ratio*%Loss</t>
    </r>
    <r>
      <rPr>
        <vertAlign val="subscript"/>
        <sz val="12"/>
        <color theme="1"/>
        <rFont val="Calibri (Body)"/>
      </rPr>
      <t>2</t>
    </r>
  </si>
  <si>
    <r>
      <t>CL</t>
    </r>
    <r>
      <rPr>
        <vertAlign val="subscript"/>
        <sz val="12"/>
        <color theme="1"/>
        <rFont val="Calibri"/>
        <family val="2"/>
        <scheme val="minor"/>
      </rPr>
      <t>30</t>
    </r>
    <r>
      <rPr>
        <sz val="12"/>
        <color theme="1"/>
        <rFont val="Calibri"/>
        <family val="2"/>
        <scheme val="minor"/>
      </rPr>
      <t xml:space="preserve"> =</t>
    </r>
  </si>
  <si>
    <r>
      <t>⇽ SP*ELR*%Loss</t>
    </r>
    <r>
      <rPr>
        <vertAlign val="subscript"/>
        <sz val="12"/>
        <color theme="1"/>
        <rFont val="Calibri (Body)"/>
      </rPr>
      <t>2</t>
    </r>
  </si>
  <si>
    <r>
      <t>L</t>
    </r>
    <r>
      <rPr>
        <vertAlign val="subscript"/>
        <sz val="12"/>
        <color theme="1"/>
        <rFont val="Calibri"/>
        <family val="2"/>
        <scheme val="minor"/>
      </rPr>
      <t>30</t>
    </r>
    <r>
      <rPr>
        <sz val="12"/>
        <color theme="1"/>
        <rFont val="Calibri"/>
        <family val="2"/>
        <scheme val="minor"/>
      </rPr>
      <t xml:space="preserve"> =</t>
    </r>
  </si>
  <si>
    <t>E[L] =</t>
  </si>
  <si>
    <t>LDF to Ultimate</t>
  </si>
  <si>
    <t xml:space="preserve">Loss Capping Ratio </t>
  </si>
  <si>
    <t xml:space="preserve">Premium Age </t>
  </si>
  <si>
    <t xml:space="preserve">Loss Age </t>
  </si>
  <si>
    <t>Given the following information regarding a book of retrospectively rated policies:</t>
  </si>
  <si>
    <t>Assume that the loss capping ratios are cumulative. (See Discussion)</t>
  </si>
  <si>
    <t>Q #6</t>
  </si>
  <si>
    <t>Spring 2013</t>
  </si>
  <si>
    <r>
      <t xml:space="preserve">From the Examiners’ Report:
For </t>
    </r>
    <r>
      <rPr>
        <b/>
        <sz val="12"/>
        <color theme="1"/>
        <rFont val="Calibri"/>
        <family val="2"/>
        <scheme val="minor"/>
      </rPr>
      <t>part a</t>
    </r>
    <r>
      <rPr>
        <sz val="12"/>
        <color theme="1"/>
        <rFont val="Calibri"/>
        <family val="2"/>
        <scheme val="minor"/>
      </rPr>
      <t xml:space="preserve">, you needed to either list and briefly describe two items, or list 1 item with a more detailed explanation. The accepted explanations are:
 • Tax Multiplier
 • Loss Conversion Factor
 • Basic Premium
 • Few losses are already capped by the first adjustment
For </t>
    </r>
    <r>
      <rPr>
        <b/>
        <sz val="12"/>
        <color theme="1"/>
        <rFont val="Calibri"/>
        <family val="2"/>
        <scheme val="minor"/>
      </rPr>
      <t>part b</t>
    </r>
    <r>
      <rPr>
        <sz val="12"/>
        <color theme="1"/>
        <rFont val="Calibri"/>
        <family val="2"/>
        <scheme val="minor"/>
      </rPr>
      <t xml:space="preserve">, you needed to describe what could cause a 0 incremental premium at the 3rd adjustment, and explain how the 4th adjustment could have a positive premium.
For </t>
    </r>
    <r>
      <rPr>
        <b/>
        <sz val="12"/>
        <color theme="1"/>
        <rFont val="Calibri"/>
        <family val="2"/>
        <scheme val="minor"/>
      </rPr>
      <t>part c</t>
    </r>
    <r>
      <rPr>
        <sz val="12"/>
        <color theme="1"/>
        <rFont val="Calibri"/>
        <family val="2"/>
        <scheme val="minor"/>
      </rPr>
      <t>, you needed to discuss three main points for full credit:
 • Losses on claims below the cap decreased
 • Losses on claims above the cap increased
 • The increase in loss above the cap was greater than the decrease in loss below the cap, resulting in a positive incremental loss and negative incremental premium.</t>
    </r>
  </si>
  <si>
    <t>could become negative for the fifth adjustment.</t>
  </si>
  <si>
    <t>Explain how the observed premium development to loss development (PDLD) ratio</t>
  </si>
  <si>
    <t>third adjustment of $0.</t>
  </si>
  <si>
    <t>Assume losses on claims below the loss limits decreased, resulting in the incremental premium to be negative. If losses on claims above the loss limit increased by more than the losses on claims below the loss cap, then incremental premium would be negative despite the fact that incremental losses were positive.</t>
  </si>
  <si>
    <t>Explain how a positive fourth adjustment to the incremental premium could follow a</t>
  </si>
  <si>
    <t>adjustment.</t>
  </si>
  <si>
    <t>Discuss why incremental premium can be greater than incremental losses at the first</t>
  </si>
  <si>
    <r>
      <t>For the 3</t>
    </r>
    <r>
      <rPr>
        <vertAlign val="superscript"/>
        <sz val="12"/>
        <color theme="1"/>
        <rFont val="Calibri"/>
        <family val="2"/>
        <scheme val="minor"/>
      </rPr>
      <t>rd</t>
    </r>
    <r>
      <rPr>
        <sz val="12"/>
        <color theme="1"/>
        <rFont val="Calibri"/>
        <family val="2"/>
        <scheme val="minor"/>
      </rPr>
      <t xml:space="preserve"> adjustment, loss development may have been on a loss that had already hit the per-accident limit, so there was no premium adjustment.
For the 4</t>
    </r>
    <r>
      <rPr>
        <vertAlign val="superscript"/>
        <sz val="12"/>
        <color theme="1"/>
        <rFont val="Calibri"/>
        <family val="2"/>
        <scheme val="minor"/>
      </rPr>
      <t>th</t>
    </r>
    <r>
      <rPr>
        <sz val="12"/>
        <color theme="1"/>
        <rFont val="Calibri"/>
        <family val="2"/>
        <scheme val="minor"/>
      </rPr>
      <t xml:space="preserve"> adjustment, the loss development may have been on losses occurring within the loss limits. This results in the positive incremental premium.</t>
    </r>
  </si>
  <si>
    <t xml:space="preserve"> Premium</t>
  </si>
  <si>
    <t xml:space="preserve"> Losses</t>
  </si>
  <si>
    <t>Incremental</t>
  </si>
  <si>
    <r>
      <t>The first adjustment premium includes the basic premium, the amount charged even if there are no losses.  Also, fewer losses are capped by the first adjustment period, which contributes to the PDLD</t>
    </r>
    <r>
      <rPr>
        <vertAlign val="subscript"/>
        <sz val="12"/>
        <color theme="1"/>
        <rFont val="Calibri (Body)"/>
      </rPr>
      <t>1</t>
    </r>
    <r>
      <rPr>
        <sz val="12"/>
        <color theme="1"/>
        <rFont val="Calibri"/>
        <family val="2"/>
        <scheme val="minor"/>
      </rPr>
      <t xml:space="preserve"> ratio to be greater than 1.</t>
    </r>
  </si>
  <si>
    <t>A single retrospectively rated policy has the following adjustments:</t>
  </si>
  <si>
    <t>Q #12</t>
  </si>
  <si>
    <t>Spring 2014</t>
  </si>
  <si>
    <r>
      <rPr>
        <b/>
        <sz val="12"/>
        <color theme="1"/>
        <rFont val="Calibri"/>
        <family val="2"/>
        <scheme val="minor"/>
      </rPr>
      <t>Part c</t>
    </r>
    <r>
      <rPr>
        <sz val="12"/>
        <color theme="1"/>
        <rFont val="Calibri"/>
        <family val="2"/>
        <scheme val="minor"/>
      </rPr>
      <t xml:space="preserve"> - The PDLD line segment will start steeper but become flatter faster as the larger claims start to be settled.</t>
    </r>
  </si>
  <si>
    <t>small claims faster would impact PDLD ratios.</t>
  </si>
  <si>
    <t>Assuming all claims are greater than the plan minimum, explain how a push to settle</t>
  </si>
  <si>
    <t>historical data when calculating the PDLD ratio.</t>
  </si>
  <si>
    <t>Briefly explain two benefits of using the retrospective rating formula method over using</t>
  </si>
  <si>
    <t>Settling small claims faster will increase the capped loss ratios for the earlier adjustments (since a larger % of losses at the earlier adjustments will be below the cap). This will cause early PDLD ratios to increase, because each claim will create additional premium.
When more of the small claims are settled earlier, the incremental capped loss ratios will decrease for the later adjustments because remaining losses are larger and hit the cap. This will cause the later PDLD ratios to decrease.</t>
  </si>
  <si>
    <t>second premium adjustments.</t>
  </si>
  <si>
    <t>Calculate the premium development to loss development (PDLD) ratios for the first and</t>
  </si>
  <si>
    <t>1.25 points</t>
  </si>
  <si>
    <t>Percent of loss emerged at first adjustment</t>
  </si>
  <si>
    <t>Incremental loss capping ratio (second adjustment)</t>
  </si>
  <si>
    <t>• The retro formula can reflect the current pricing parameters (which may have changed over time).
• Empirical PDLD ratios can be volatile. The PDLD ratios from the retro formula are more stable.</t>
  </si>
  <si>
    <t>Loss capping ratio (first adjustment)</t>
  </si>
  <si>
    <t>Tax multiplier</t>
  </si>
  <si>
    <t>Loss conversion factor</t>
  </si>
  <si>
    <r>
      <t>PDLD</t>
    </r>
    <r>
      <rPr>
        <vertAlign val="subscript"/>
        <sz val="12"/>
        <color rgb="FF000000"/>
        <rFont val="Calibri"/>
        <family val="2"/>
        <scheme val="minor"/>
      </rPr>
      <t>2</t>
    </r>
    <r>
      <rPr>
        <sz val="12"/>
        <color rgb="FF000000"/>
        <rFont val="Calibri"/>
        <family val="2"/>
        <scheme val="minor"/>
      </rPr>
      <t xml:space="preserve"> =</t>
    </r>
  </si>
  <si>
    <t>Basic premium factor</t>
  </si>
  <si>
    <r>
      <t>PDLD</t>
    </r>
    <r>
      <rPr>
        <vertAlign val="subscript"/>
        <sz val="12"/>
        <color rgb="FF000000"/>
        <rFont val="Calibri"/>
        <family val="2"/>
        <scheme val="minor"/>
      </rPr>
      <t>1</t>
    </r>
    <r>
      <rPr>
        <sz val="12"/>
        <color rgb="FF000000"/>
        <rFont val="Calibri"/>
        <family val="2"/>
        <scheme val="minor"/>
      </rPr>
      <t xml:space="preserve"> =</t>
    </r>
  </si>
  <si>
    <t>Q #14</t>
  </si>
  <si>
    <t>Spring 2015</t>
  </si>
  <si>
    <t xml:space="preserve">Teng – Premium Asset </t>
  </si>
  <si>
    <t>Calculate the premium asset as of December 31, 2015.</t>
  </si>
  <si>
    <t>2014-2015</t>
  </si>
  <si>
    <t>31, 2015</t>
  </si>
  <si>
    <t>Ratio</t>
  </si>
  <si>
    <t>December</t>
  </si>
  <si>
    <t xml:space="preserve"> from Prior</t>
  </si>
  <si>
    <t>Policy</t>
  </si>
  <si>
    <t>Loss</t>
  </si>
  <si>
    <t>Booked as of</t>
  </si>
  <si>
    <t>Booked</t>
  </si>
  <si>
    <t xml:space="preserve">Percent </t>
  </si>
  <si>
    <t>Selected</t>
  </si>
  <si>
    <t>Premiums</t>
  </si>
  <si>
    <t>This problem was copied almost directly from Exhibits 1-3 in the back of the Teng paper. There’s a lot of information, but this is very similar to the example problem in the Premium Asset recipe from the Exam 7 Cookbook. 
Here are the steps from the recipe to solve the problem:
1) Calculate the expected future loss emergence by policy year.
2) Calculate CPDLDs, the cumulative premium development to loss development ratios, for each retro adjustment.
3) Calculate expected future premium development using the expected future losses and CPDLD ratios.
4) Calculate the ultimate premium for each policy year and in total.
5) Calculate the premium asset, the difference between the ultimate premium and the current booked premium.
One of the easiest ways for exam writers to make questions is to use tables, charts, exhibits, and examples directly from the source, so make sure to review these in the source papers.</t>
  </si>
  <si>
    <t>*Premium asset = Future Premium + Prem. Booked from Prior Adj. - Currently booked premium</t>
  </si>
  <si>
    <t>Total Premium Asset =</t>
  </si>
  <si>
    <t>Asset</t>
  </si>
  <si>
    <t>Premium</t>
  </si>
  <si>
    <t>Ultimate</t>
  </si>
  <si>
    <t>Future</t>
  </si>
  <si>
    <t>&lt;-Neither PY has had an adjustment yet as shown by the 0 premium booked from the prior adj</t>
  </si>
  <si>
    <t>Losses Reported at Prior Retro Adjustment</t>
  </si>
  <si>
    <t>Ultimate Loss</t>
  </si>
  <si>
    <t>Policy 
Effective Quarter</t>
  </si>
  <si>
    <t>Policy 
Effective Year</t>
  </si>
  <si>
    <t>CPDLD Ratio</t>
  </si>
  <si>
    <t>31, 2015:</t>
  </si>
  <si>
    <t>Given the following information for a retrospectively rated book of business as of December</t>
  </si>
  <si>
    <t>Calculate the CPDLDs:</t>
  </si>
  <si>
    <t>Q #18</t>
  </si>
  <si>
    <t>Spring 2016</t>
  </si>
  <si>
    <t>Teng and Perkins - Premium Asset</t>
  </si>
  <si>
    <t xml:space="preserve">CPDLD_3 = </t>
  </si>
  <si>
    <t>4th</t>
  </si>
  <si>
    <t>3rd</t>
  </si>
  <si>
    <t>2nd</t>
  </si>
  <si>
    <t>1st</t>
  </si>
  <si>
    <t>Cumulative</t>
  </si>
  <si>
    <t>Calculate the cumulative PDLD ratio at the 3rd retro adjustment.</t>
  </si>
  <si>
    <t>This is an easy problem, but the information is presented in a slightly different way than normal. If it helps, you can re-organize the information into the pieces that you need to solve for the CPDLD:</t>
  </si>
  <si>
    <t>•  Assume all losses are settled at the 4th retro adjustment.</t>
  </si>
  <si>
    <t xml:space="preserve">•  Cumulative loss development factor at 3rd retro adjustment: </t>
  </si>
  <si>
    <t xml:space="preserve">•  Cumulative loss development factor at 2nd retro adjustment: </t>
  </si>
  <si>
    <r>
      <t>•  PDLD at 4</t>
    </r>
    <r>
      <rPr>
        <vertAlign val="superscript"/>
        <sz val="12"/>
        <color theme="1"/>
        <rFont val="Calibri"/>
        <family val="2"/>
        <scheme val="minor"/>
      </rPr>
      <t>th</t>
    </r>
    <r>
      <rPr>
        <sz val="12"/>
        <color theme="1"/>
        <rFont val="Calibri"/>
        <family val="2"/>
        <scheme val="minor"/>
      </rPr>
      <t xml:space="preserve"> retro adjustment: </t>
    </r>
  </si>
  <si>
    <r>
      <t>•  Premium Development to Loss Development (PDLD) at 3</t>
    </r>
    <r>
      <rPr>
        <vertAlign val="superscript"/>
        <sz val="12"/>
        <color theme="1"/>
        <rFont val="Calibri"/>
        <family val="2"/>
        <scheme val="minor"/>
      </rPr>
      <t>rd</t>
    </r>
    <r>
      <rPr>
        <sz val="12"/>
        <color theme="1"/>
        <rFont val="Calibri"/>
        <family val="2"/>
        <scheme val="minor"/>
      </rPr>
      <t xml:space="preserve"> retro adjustment: </t>
    </r>
  </si>
  <si>
    <t>From 3rd and 4th adjustment =</t>
  </si>
  <si>
    <t>From 2nd and 3rd adjustment =</t>
  </si>
  <si>
    <t>Incremental % loss emergence:</t>
  </si>
  <si>
    <t>Q #17</t>
  </si>
  <si>
    <t>Spring 2017</t>
  </si>
  <si>
    <t>PDLD method.</t>
  </si>
  <si>
    <t>Explain why the slopes differ between Fitzgibbon’s linear regression method and the</t>
  </si>
  <si>
    <t>e.</t>
  </si>
  <si>
    <t>Briefly describe one advantage and one disadvantage of using the PDLD method.</t>
  </si>
  <si>
    <t>exactly unity.</t>
  </si>
  <si>
    <t>Explain why the slope factor in Fitzgibbon’s linear regression method is typically not</t>
  </si>
  <si>
    <t>0.25 point</t>
  </si>
  <si>
    <t>Briefly describe one disadvantage of using Fitzgibbon’s linear regression method.</t>
  </si>
  <si>
    <t>development method on historical earned premium triangles.</t>
  </si>
  <si>
    <t>Briefly describe one advantage and one disadvantage of using the chain ladder</t>
  </si>
  <si>
    <t>Teng and Perkins (Feldblum) - Fitzgibbon Method</t>
  </si>
  <si>
    <t xml:space="preserve">    and average retro parameters, which produced the following graph:</t>
  </si>
  <si>
    <t>•  Premium Development to Loss Development (PDLD) method using the retro formula</t>
  </si>
  <si>
    <t>Part e.</t>
  </si>
  <si>
    <t>Disadvantage - Bias may exist since the PDLD formula uses average parameters</t>
  </si>
  <si>
    <t>Advantage - Responds to changes in retro parameters being sold</t>
  </si>
  <si>
    <t>•  A LCF and a TM are applied to the incurred losses, which changes the slope</t>
  </si>
  <si>
    <t>•  Minimum premium exceeds the basic premium</t>
  </si>
  <si>
    <t>•  Loss limitations (retro maximum, per accident limitation)</t>
  </si>
  <si>
    <t>The slope is not unity due to the following:</t>
  </si>
  <si>
    <t>•  Fitzgibbon’s Linear Regression method, which produced the following graph:</t>
  </si>
  <si>
    <t xml:space="preserve">    of Schedule P.</t>
  </si>
  <si>
    <t>Disadvantage - Fitzgibbon relates the ultimate loss ratio to the ultimate retro premium ratio. If actual experience deviates from what is expected (in terms of premium responsiveness), we have no way to get back on track to estimate future retro premiums accurately</t>
  </si>
  <si>
    <t>•  Chain ladder development method on historical triangles of earned premium using Part 6</t>
  </si>
  <si>
    <t>considered:</t>
  </si>
  <si>
    <t>Disadvantage - Does not respond to changes in retro parameters sold over time</t>
  </si>
  <si>
    <t>retrospectively rated policies as of December 31, 2016, the following methods have been</t>
  </si>
  <si>
    <t>Advantage - Responsive to how premiums have developed historically</t>
  </si>
  <si>
    <t>In evaluating the premium asset for a property and casualty insurance company’s book of</t>
  </si>
  <si>
    <t>period increases.</t>
  </si>
  <si>
    <t>Describe two reasons why the selected PDLD ratios decrease as the retro adjustment</t>
  </si>
  <si>
    <t>•  As development continues, more losses are capped at the per-accident limit.  In these cases, no additional premium is produced even though uncapped losses are increasing.  This reduces the PDLD ratios over time.
•  As development continues, policies hit the maximum premium (i.e. the retro max) which means no more premium is produced even though uncapped losses are increasing.  This reduces the PDLD ratios over time.</t>
  </si>
  <si>
    <t>Calculate the premium asset as of December 31, 2017.</t>
  </si>
  <si>
    <t>•  Retro premium is booked 24 months after policy effective dates.</t>
  </si>
  <si>
    <t xml:space="preserve"> = Ult premium - currently booked premium</t>
  </si>
  <si>
    <t xml:space="preserve">Booked Prem = </t>
  </si>
  <si>
    <t>PY 2016 and 2017 have not recorded the first retro adjustment yet, so apply CPDLD_1 to them.</t>
  </si>
  <si>
    <t>???</t>
  </si>
  <si>
    <t>Percentage Ultimate Loss Reported</t>
  </si>
  <si>
    <t>Selected 
CPDLD Ratio</t>
  </si>
  <si>
    <t>Selected 
PDLD Ratio</t>
  </si>
  <si>
    <t>Retro 
Adjustment Period</t>
  </si>
  <si>
    <t>Ultimate Premium</t>
  </si>
  <si>
    <t>Ultimate premium = Premiums booked from prior adj + expected future premium</t>
  </si>
  <si>
    <t>Expected Future Prem = Expected Future Loss * CPDLD(n)</t>
  </si>
  <si>
    <t>Expected Future Loss = Ultimate Loss - Loss at Prior Adjustment</t>
  </si>
  <si>
    <t>Premiums Booked as of December 31, 2017</t>
  </si>
  <si>
    <t>Premiums Booked from Prior Adjustment</t>
  </si>
  <si>
    <t>CPDLD_1</t>
  </si>
  <si>
    <t>Spring 2018</t>
  </si>
  <si>
    <t>Teng and Perkins - PDLD Ratios – Retro Formula</t>
  </si>
  <si>
    <t>Some students were confused by the usage of "PDLD" in the problem.  However, just before "PDLD", the sentence says ``cumulative premium development to loss development."  Thus, the CAS really meant CPDLD here.  Moral of the story:  let the actual words be your guide rather than the acronym</t>
  </si>
  <si>
    <t>Disadvantage - potential bias exists since the formula approach uses average parameters</t>
  </si>
  <si>
    <t>Advantage - responds to changes in the retro rating parameters that are sold</t>
  </si>
  <si>
    <t>over the method described in part b. above.</t>
  </si>
  <si>
    <t>Empirical PDLD ratios - use booked premium triangles and loss development triangles to select PDLDs</t>
  </si>
  <si>
    <t>Briefly describe an advantage and a disadvantage of using the method in part a. above</t>
  </si>
  <si>
    <t>rated policies.</t>
  </si>
  <si>
    <t>Briefly describe a different approach for estimating PDLD ratios for retrospectively</t>
  </si>
  <si>
    <t>1st retro adjustment.</t>
  </si>
  <si>
    <t>&lt;-Incremental Loss Capping Ratio*LCF*TM</t>
  </si>
  <si>
    <t>Calculate the cumulative premium development to loss development (PDLD) ratio at the</t>
  </si>
  <si>
    <t>1.5 points</t>
  </si>
  <si>
    <t>&lt;-[BP/(SP*ELR*L_1)]*TM + [(CL_1/L_1)*LCF*TM]</t>
  </si>
  <si>
    <t>Retro Adj</t>
  </si>
  <si>
    <t>Calculate the individual PDLD ratios:</t>
  </si>
  <si>
    <t>Age-to-Ult Loss Development Factor</t>
  </si>
  <si>
    <t>Incremental 
Loss Capping Ratio</t>
  </si>
  <si>
    <t>Beyond</t>
  </si>
  <si>
    <t>•  Expected Loss Ratio is</t>
  </si>
  <si>
    <t>•  Loss Conversion Factor is</t>
  </si>
  <si>
    <t>•  Tax Multiplier is</t>
  </si>
  <si>
    <t>•  Standard Premium is</t>
  </si>
  <si>
    <t>•  Basic Premium is</t>
  </si>
  <si>
    <t>Convert the age-ultimate factors into an emergence pattern:</t>
  </si>
  <si>
    <t>Q #15</t>
  </si>
  <si>
    <t>Spring 2019</t>
  </si>
  <si>
    <t xml:space="preserve">If you have a question on one of the problems, make sure to:
1 - Check the Discussion sections at the end of most problems first which may help you out.
2 - Cross reference the corresponding section in the Cookbook, Study Guide, AND Source paper. This will help you more thoroughly understand the concepts and will likely answer your question.
3 - Search in the course forum to see if someone else has had a similar question.
If you're still stuck, please ask your question in the course forum and your instructor or a fellow student will be able to help you out!
</t>
  </si>
  <si>
    <t>&lt;-CPDLD_1*ELR*SP (using ELR*SP since not provided with an ultimate loss)</t>
  </si>
  <si>
    <t>The PDLD method relates to premium responsiveness to reported losses and recognizes that this responsiveness (i.e. the slope) decreases over time as more losses are capped at the per-occurrence limit and the max premium is applied.  The Fitzgibbon method relates premium responsiveness to ultimate losses so the slope is constant</t>
  </si>
  <si>
    <t>Insurance Savings at Retro Minimum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</si>
</sst>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_);[Red]\(&quot;$&quot;#,##0\)"/>
    <numFmt numFmtId="8" formatCode="&quot;$&quot;#,##0.00_);[Red]\(&quot;$&quot;#,##0.00\)"/>
    <numFmt numFmtId="43" formatCode="_(* #,##0.00_);_(* \(#,##0.00\);_(* &quot;-&quot;??_);_(@_)"/>
    <numFmt numFmtId="164" formatCode="0.000"/>
    <numFmt numFmtId="165" formatCode="_(* #,##0.000_);_(* \(#,##0.000\);_(* &quot;-&quot;??_);_(@_)"/>
    <numFmt numFmtId="166" formatCode="_(* #,##0_);_(* \(#,##0\);_(* &quot;-&quot;??_);_(@_)"/>
    <numFmt numFmtId="167" formatCode="0.0%"/>
    <numFmt numFmtId="168" formatCode="[$$-409]#,##0"/>
    <numFmt numFmtId="169" formatCode="#,#00"/>
    <numFmt numFmtId="170" formatCode="&quot;$&quot;#,##0"/>
  </numFmts>
  <fonts count="44" x14ac:knownFonts="1">
    <font>
      <sz val="12"/>
      <color theme="1"/>
      <name val="Calibri"/>
      <family val="2"/>
      <scheme val="minor"/>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b/>
      <sz val="14"/>
      <color theme="1"/>
      <name val="Calibri"/>
      <family val="2"/>
    </font>
    <font>
      <b/>
      <u/>
      <sz val="12"/>
      <color theme="1"/>
      <name val="Calibri"/>
      <family val="2"/>
    </font>
    <font>
      <sz val="11"/>
      <color theme="1"/>
      <name val="Calibri"/>
      <family val="2"/>
    </font>
    <font>
      <sz val="12"/>
      <color rgb="FF000000"/>
      <name val="Calibri"/>
      <family val="2"/>
    </font>
    <font>
      <u/>
      <sz val="12"/>
      <color theme="1"/>
      <name val="Calibri"/>
      <family val="2"/>
    </font>
    <font>
      <vertAlign val="subscript"/>
      <sz val="12"/>
      <color rgb="FF000000"/>
      <name val="Calibri"/>
      <family val="2"/>
    </font>
    <font>
      <b/>
      <sz val="12"/>
      <color theme="1"/>
      <name val="Calibri"/>
      <family val="2"/>
    </font>
    <font>
      <sz val="12"/>
      <name val="Calibri"/>
      <family val="2"/>
    </font>
    <font>
      <b/>
      <sz val="12"/>
      <color rgb="FF000000"/>
      <name val="Calibri"/>
      <family val="2"/>
    </font>
    <font>
      <vertAlign val="superscript"/>
      <sz val="12"/>
      <color rgb="FF000000"/>
      <name val="Calibri"/>
      <family val="2"/>
    </font>
    <font>
      <sz val="10"/>
      <color rgb="FF000000"/>
      <name val="Tahoma"/>
      <family val="2"/>
    </font>
    <font>
      <b/>
      <sz val="10"/>
      <color rgb="FF000000"/>
      <name val="Tahoma"/>
      <family val="2"/>
    </font>
    <font>
      <sz val="12"/>
      <color rgb="FFFF0000"/>
      <name val="Calibri"/>
      <family val="2"/>
    </font>
    <font>
      <sz val="11"/>
      <color theme="1"/>
      <name val="Calibri"/>
      <family val="2"/>
      <scheme val="minor"/>
    </font>
    <font>
      <u/>
      <sz val="12"/>
      <color theme="10"/>
      <name val="Calibri"/>
      <family val="2"/>
    </font>
    <font>
      <b/>
      <sz val="16"/>
      <color theme="1"/>
      <name val="Calibri"/>
      <family val="2"/>
    </font>
    <font>
      <u/>
      <sz val="14"/>
      <color theme="1"/>
      <name val="Calibri"/>
      <family val="2"/>
    </font>
    <font>
      <sz val="12"/>
      <color theme="1"/>
      <name val="Calibri"/>
      <family val="2"/>
      <scheme val="minor"/>
    </font>
    <font>
      <b/>
      <sz val="14"/>
      <color theme="1"/>
      <name val="Calibri"/>
      <family val="2"/>
      <scheme val="minor"/>
    </font>
    <font>
      <b/>
      <u/>
      <sz val="12"/>
      <color theme="1"/>
      <name val="Calibri (Body)"/>
    </font>
    <font>
      <u/>
      <sz val="12"/>
      <color theme="1"/>
      <name val="Calibri"/>
      <family val="2"/>
      <scheme val="minor"/>
    </font>
    <font>
      <i/>
      <sz val="12"/>
      <color theme="1"/>
      <name val="Calibri"/>
      <family val="2"/>
      <scheme val="minor"/>
    </font>
    <font>
      <b/>
      <sz val="12"/>
      <color theme="1"/>
      <name val="Calibri"/>
      <family val="2"/>
      <scheme val="minor"/>
    </font>
    <font>
      <sz val="12"/>
      <color theme="1"/>
      <name val="Calibri (Body)"/>
    </font>
    <font>
      <sz val="12"/>
      <color rgb="FF000000"/>
      <name val="Calibri"/>
      <family val="2"/>
      <scheme val="minor"/>
    </font>
    <font>
      <vertAlign val="subscript"/>
      <sz val="12"/>
      <color theme="1"/>
      <name val="Calibri (Body)"/>
    </font>
    <font>
      <vertAlign val="subscript"/>
      <sz val="12"/>
      <color theme="1"/>
      <name val="Calibri"/>
      <family val="2"/>
      <scheme val="minor"/>
    </font>
    <font>
      <b/>
      <sz val="14"/>
      <color theme="1"/>
      <name val="Myriad Pro"/>
      <family val="2"/>
    </font>
    <font>
      <u/>
      <sz val="14"/>
      <color theme="1"/>
      <name val="Calibri"/>
      <family val="2"/>
      <scheme val="minor"/>
    </font>
    <font>
      <i/>
      <u/>
      <sz val="12"/>
      <color theme="1"/>
      <name val="Calibri (Body)"/>
    </font>
    <font>
      <vertAlign val="superscript"/>
      <sz val="12"/>
      <color theme="1"/>
      <name val="Calibri"/>
      <family val="2"/>
      <scheme val="minor"/>
    </font>
    <font>
      <sz val="11"/>
      <color rgb="FF000000"/>
      <name val="Adobe Caslon Pro"/>
    </font>
    <font>
      <b/>
      <sz val="12"/>
      <color rgb="FF000000"/>
      <name val="Calibri"/>
      <family val="2"/>
      <scheme val="minor"/>
    </font>
    <font>
      <vertAlign val="subscript"/>
      <sz val="12"/>
      <color rgb="FF000000"/>
      <name val="Calibri"/>
      <family val="2"/>
      <scheme val="minor"/>
    </font>
    <font>
      <b/>
      <sz val="12"/>
      <color theme="1"/>
      <name val="Trebuchet MS"/>
      <family val="2"/>
    </font>
    <font>
      <sz val="12"/>
      <color theme="1"/>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32">
    <border>
      <left/>
      <right/>
      <top/>
      <bottom/>
      <diagonal/>
    </border>
    <border>
      <left style="medium">
        <color indexed="64"/>
      </left>
      <right/>
      <top/>
      <bottom/>
      <diagonal/>
    </border>
    <border>
      <left/>
      <right style="medium">
        <color indexed="64"/>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right/>
      <top style="thin">
        <color indexed="64"/>
      </top>
      <bottom/>
      <diagonal/>
    </border>
    <border>
      <left style="medium">
        <color indexed="64"/>
      </left>
      <right style="medium">
        <color indexed="64"/>
      </right>
      <top style="medium">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7">
    <xf numFmtId="0" fontId="0" fillId="0" borderId="0"/>
    <xf numFmtId="0" fontId="21" fillId="0" borderId="0"/>
    <xf numFmtId="0" fontId="4" fillId="0" borderId="0"/>
    <xf numFmtId="0" fontId="22" fillId="0" borderId="0" applyNumberFormat="0" applyFill="0" applyBorder="0" applyAlignment="0" applyProtection="0"/>
    <xf numFmtId="43"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cellStyleXfs>
  <cellXfs count="374">
    <xf numFmtId="0" fontId="0" fillId="0" borderId="0" xfId="0"/>
    <xf numFmtId="0" fontId="8" fillId="2" borderId="1" xfId="0" applyFont="1" applyFill="1" applyBorder="1"/>
    <xf numFmtId="0" fontId="8" fillId="0" borderId="0" xfId="0" applyFont="1"/>
    <xf numFmtId="0" fontId="9" fillId="0" borderId="0" xfId="0" applyFont="1"/>
    <xf numFmtId="0" fontId="10" fillId="0" borderId="0" xfId="0" applyFont="1"/>
    <xf numFmtId="0" fontId="11" fillId="2" borderId="5"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11" fillId="2" borderId="4" xfId="0" applyFont="1" applyFill="1" applyBorder="1" applyAlignment="1">
      <alignment horizontal="right" vertical="center"/>
    </xf>
    <xf numFmtId="9" fontId="11" fillId="2" borderId="0" xfId="0" applyNumberFormat="1" applyFont="1" applyFill="1" applyAlignment="1">
      <alignment horizontal="center" vertical="center" wrapText="1"/>
    </xf>
    <xf numFmtId="0" fontId="11" fillId="2" borderId="0" xfId="0" applyFont="1" applyFill="1" applyAlignment="1">
      <alignment horizontal="center" vertical="center" wrapText="1"/>
    </xf>
    <xf numFmtId="0" fontId="11" fillId="0" borderId="0" xfId="0" applyFont="1" applyAlignment="1">
      <alignment horizontal="center" vertical="center" wrapText="1"/>
    </xf>
    <xf numFmtId="164" fontId="11" fillId="0" borderId="0" xfId="0" applyNumberFormat="1" applyFont="1" applyAlignment="1">
      <alignment horizontal="center" vertical="center" wrapText="1"/>
    </xf>
    <xf numFmtId="3" fontId="11" fillId="0" borderId="0" xfId="0" applyNumberFormat="1" applyFont="1" applyAlignment="1">
      <alignment horizontal="center" vertical="center" wrapText="1"/>
    </xf>
    <xf numFmtId="1" fontId="11" fillId="0" borderId="0" xfId="0" applyNumberFormat="1" applyFont="1" applyAlignment="1">
      <alignment horizontal="center" vertical="center" wrapText="1"/>
    </xf>
    <xf numFmtId="3" fontId="16" fillId="0" borderId="0" xfId="0" applyNumberFormat="1" applyFont="1" applyAlignment="1">
      <alignment horizontal="center" vertical="center" wrapText="1"/>
    </xf>
    <xf numFmtId="3" fontId="11" fillId="0" borderId="3" xfId="0" applyNumberFormat="1" applyFont="1" applyBorder="1" applyAlignment="1">
      <alignment horizontal="center" vertical="center" wrapText="1"/>
    </xf>
    <xf numFmtId="164" fontId="11" fillId="0" borderId="3" xfId="0" applyNumberFormat="1" applyFont="1" applyBorder="1" applyAlignment="1">
      <alignment horizontal="center" vertical="center" wrapText="1"/>
    </xf>
    <xf numFmtId="1" fontId="11" fillId="0" borderId="3" xfId="0" applyNumberFormat="1" applyFont="1"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3" xfId="0" applyFont="1" applyBorder="1" applyAlignment="1">
      <alignment horizontal="center" vertical="center" wrapText="1"/>
    </xf>
    <xf numFmtId="9" fontId="11" fillId="0" borderId="0" xfId="0" applyNumberFormat="1" applyFont="1" applyAlignment="1">
      <alignment horizontal="center" vertical="center" wrapText="1"/>
    </xf>
    <xf numFmtId="0" fontId="14" fillId="2" borderId="8" xfId="0" applyFont="1" applyFill="1" applyBorder="1" applyAlignment="1">
      <alignment horizontal="center" vertical="center"/>
    </xf>
    <xf numFmtId="164" fontId="14" fillId="0" borderId="0" xfId="0" applyNumberFormat="1" applyFont="1" applyAlignment="1">
      <alignment vertical="center"/>
    </xf>
    <xf numFmtId="0" fontId="11" fillId="2" borderId="4" xfId="0" applyFont="1" applyFill="1" applyBorder="1" applyAlignment="1">
      <alignment horizontal="center" vertical="center" wrapText="1"/>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3" fontId="11" fillId="2" borderId="0" xfId="0" applyNumberFormat="1" applyFont="1" applyFill="1" applyAlignment="1">
      <alignment horizontal="center" vertical="center" wrapText="1"/>
    </xf>
    <xf numFmtId="2" fontId="11" fillId="2" borderId="0" xfId="0" applyNumberFormat="1" applyFont="1" applyFill="1" applyAlignment="1">
      <alignment horizontal="center" vertical="center" wrapText="1"/>
    </xf>
    <xf numFmtId="10" fontId="11" fillId="2" borderId="0" xfId="0" applyNumberFormat="1" applyFont="1" applyFill="1" applyAlignment="1">
      <alignment horizontal="center" vertical="center" wrapText="1"/>
    </xf>
    <xf numFmtId="0" fontId="14" fillId="0" borderId="0" xfId="0" applyFont="1" applyAlignment="1">
      <alignment vertical="center"/>
    </xf>
    <xf numFmtId="16" fontId="11" fillId="2" borderId="3" xfId="0" quotePrefix="1" applyNumberFormat="1" applyFont="1" applyFill="1" applyBorder="1" applyAlignment="1">
      <alignment horizontal="center" vertical="center" wrapText="1"/>
    </xf>
    <xf numFmtId="9" fontId="11" fillId="2" borderId="4" xfId="0" applyNumberFormat="1" applyFont="1" applyFill="1" applyBorder="1" applyAlignment="1">
      <alignment horizontal="center" vertical="center" wrapText="1"/>
    </xf>
    <xf numFmtId="0" fontId="16" fillId="0" borderId="10" xfId="0" applyFont="1" applyBorder="1" applyAlignment="1">
      <alignment horizontal="center" vertical="center" wrapText="1"/>
    </xf>
    <xf numFmtId="164" fontId="16" fillId="0" borderId="11" xfId="0" applyNumberFormat="1" applyFont="1" applyBorder="1" applyAlignment="1">
      <alignment horizontal="center" vertical="center" wrapText="1"/>
    </xf>
    <xf numFmtId="164" fontId="16" fillId="0" borderId="12" xfId="0" applyNumberFormat="1" applyFont="1" applyBorder="1" applyAlignment="1">
      <alignment horizontal="center" vertical="center" wrapText="1"/>
    </xf>
    <xf numFmtId="0" fontId="15" fillId="0" borderId="4" xfId="0" applyFont="1" applyBorder="1" applyAlignment="1">
      <alignment horizontal="center" vertical="center" wrapText="1"/>
    </xf>
    <xf numFmtId="0" fontId="7" fillId="2" borderId="8" xfId="0" applyFont="1" applyFill="1" applyBorder="1" applyAlignment="1">
      <alignment horizontal="center" vertical="center"/>
    </xf>
    <xf numFmtId="0" fontId="7" fillId="2" borderId="0" xfId="0" applyFont="1" applyFill="1"/>
    <xf numFmtId="0" fontId="7" fillId="2" borderId="2" xfId="0" applyFont="1" applyFill="1" applyBorder="1"/>
    <xf numFmtId="0" fontId="7" fillId="0" borderId="0" xfId="0" applyFont="1"/>
    <xf numFmtId="2" fontId="7" fillId="2" borderId="1" xfId="0" applyNumberFormat="1" applyFont="1" applyFill="1" applyBorder="1" applyAlignment="1">
      <alignment horizontal="left"/>
    </xf>
    <xf numFmtId="164" fontId="7" fillId="0" borderId="0" xfId="0" applyNumberFormat="1" applyFont="1"/>
    <xf numFmtId="0" fontId="7" fillId="2" borderId="3" xfId="0" applyFont="1" applyFill="1" applyBorder="1"/>
    <xf numFmtId="0" fontId="7" fillId="0" borderId="5"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164" fontId="7" fillId="0" borderId="0" xfId="0" applyNumberFormat="1" applyFont="1" applyAlignment="1">
      <alignment horizontal="center"/>
    </xf>
    <xf numFmtId="2" fontId="7" fillId="2" borderId="0" xfId="0" applyNumberFormat="1" applyFont="1" applyFill="1" applyAlignment="1">
      <alignment horizontal="center"/>
    </xf>
    <xf numFmtId="0" fontId="7" fillId="2" borderId="0" xfId="0" applyFont="1" applyFill="1" applyAlignment="1">
      <alignment horizontal="center"/>
    </xf>
    <xf numFmtId="9" fontId="7" fillId="2" borderId="0" xfId="0" applyNumberFormat="1" applyFont="1" applyFill="1" applyAlignment="1">
      <alignment horizontal="center"/>
    </xf>
    <xf numFmtId="6" fontId="7" fillId="2" borderId="0" xfId="0" applyNumberFormat="1" applyFont="1" applyFill="1" applyAlignment="1">
      <alignment horizontal="center"/>
    </xf>
    <xf numFmtId="0" fontId="7" fillId="2" borderId="0" xfId="0" applyFont="1" applyFill="1" applyAlignment="1">
      <alignment vertical="center"/>
    </xf>
    <xf numFmtId="0" fontId="7" fillId="2" borderId="2" xfId="0" applyFont="1" applyFill="1" applyBorder="1" applyAlignment="1">
      <alignment vertical="center"/>
    </xf>
    <xf numFmtId="0" fontId="7" fillId="0" borderId="0" xfId="0" applyFont="1" applyAlignment="1">
      <alignment vertical="center"/>
    </xf>
    <xf numFmtId="2" fontId="7" fillId="2" borderId="1" xfId="0" applyNumberFormat="1" applyFont="1" applyFill="1" applyBorder="1" applyAlignment="1">
      <alignment horizontal="left" vertical="center"/>
    </xf>
    <xf numFmtId="164" fontId="7" fillId="0" borderId="0" xfId="0" applyNumberFormat="1" applyFont="1" applyAlignment="1">
      <alignment vertical="center"/>
    </xf>
    <xf numFmtId="6" fontId="7" fillId="2" borderId="0" xfId="0" applyNumberFormat="1" applyFont="1" applyFill="1" applyAlignment="1">
      <alignment vertical="center"/>
    </xf>
    <xf numFmtId="9" fontId="7" fillId="2" borderId="0" xfId="0" applyNumberFormat="1" applyFont="1" applyFill="1" applyAlignment="1">
      <alignment vertical="center"/>
    </xf>
    <xf numFmtId="0" fontId="7" fillId="2" borderId="0" xfId="0" applyFont="1" applyFill="1" applyAlignment="1">
      <alignment horizontal="center" vertical="center"/>
    </xf>
    <xf numFmtId="9" fontId="7" fillId="2" borderId="0" xfId="0" applyNumberFormat="1" applyFont="1" applyFill="1" applyAlignment="1">
      <alignment horizontal="center" vertical="center"/>
    </xf>
    <xf numFmtId="0" fontId="7" fillId="2" borderId="5" xfId="0" applyFont="1" applyFill="1" applyBorder="1" applyAlignment="1">
      <alignment horizontal="center" vertical="center" wrapText="1"/>
    </xf>
    <xf numFmtId="0" fontId="6" fillId="0" borderId="0" xfId="0" applyFont="1"/>
    <xf numFmtId="164" fontId="6" fillId="0" borderId="0" xfId="0" applyNumberFormat="1" applyFont="1"/>
    <xf numFmtId="0" fontId="6" fillId="0" borderId="0" xfId="0" applyFont="1" applyAlignment="1">
      <alignment vertical="center"/>
    </xf>
    <xf numFmtId="164" fontId="6" fillId="0" borderId="0" xfId="0" applyNumberFormat="1" applyFont="1" applyAlignment="1">
      <alignment vertical="center"/>
    </xf>
    <xf numFmtId="2" fontId="6" fillId="2" borderId="1" xfId="0" applyNumberFormat="1" applyFont="1" applyFill="1" applyBorder="1" applyAlignment="1">
      <alignment horizontal="left" vertical="center"/>
    </xf>
    <xf numFmtId="0" fontId="6" fillId="2" borderId="0" xfId="0" applyFont="1" applyFill="1" applyAlignment="1">
      <alignment vertical="center"/>
    </xf>
    <xf numFmtId="0" fontId="6" fillId="2" borderId="2" xfId="0" applyFont="1" applyFill="1" applyBorder="1" applyAlignment="1">
      <alignment vertical="center"/>
    </xf>
    <xf numFmtId="6" fontId="6" fillId="0" borderId="0" xfId="0" applyNumberFormat="1" applyFont="1" applyAlignment="1">
      <alignment vertical="center"/>
    </xf>
    <xf numFmtId="0" fontId="5" fillId="0" borderId="6" xfId="0" applyFont="1" applyBorder="1" applyAlignment="1">
      <alignment vertical="center"/>
    </xf>
    <xf numFmtId="6" fontId="5" fillId="0" borderId="7" xfId="0" applyNumberFormat="1" applyFont="1" applyBorder="1" applyAlignment="1">
      <alignment vertical="center"/>
    </xf>
    <xf numFmtId="0" fontId="7" fillId="0" borderId="0" xfId="0" applyFont="1" applyAlignment="1">
      <alignment horizontal="center" vertical="center"/>
    </xf>
    <xf numFmtId="164" fontId="5" fillId="0" borderId="0" xfId="0" applyNumberFormat="1" applyFont="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4" fillId="0" borderId="13" xfId="1" applyFont="1" applyBorder="1" applyAlignment="1">
      <alignment horizontal="center" vertical="center"/>
    </xf>
    <xf numFmtId="0" fontId="4" fillId="0" borderId="8" xfId="1" applyFont="1" applyBorder="1" applyAlignment="1">
      <alignment vertical="center" wrapText="1"/>
    </xf>
    <xf numFmtId="0" fontId="14" fillId="0" borderId="8" xfId="1" applyFont="1" applyBorder="1" applyAlignment="1">
      <alignment horizontal="center" vertical="center"/>
    </xf>
    <xf numFmtId="0" fontId="4" fillId="0" borderId="14" xfId="1" applyFont="1" applyBorder="1" applyAlignment="1">
      <alignment horizontal="center" vertical="center"/>
    </xf>
    <xf numFmtId="0" fontId="4" fillId="0" borderId="0" xfId="1" applyFont="1" applyAlignment="1">
      <alignment horizontal="center" vertical="center"/>
    </xf>
    <xf numFmtId="0" fontId="4" fillId="0" borderId="1" xfId="2" applyBorder="1"/>
    <xf numFmtId="0" fontId="4" fillId="0" borderId="0" xfId="2"/>
    <xf numFmtId="0" fontId="4" fillId="0" borderId="2" xfId="2" applyBorder="1"/>
    <xf numFmtId="0" fontId="22" fillId="0" borderId="0" xfId="3" applyBorder="1"/>
    <xf numFmtId="0" fontId="23" fillId="0" borderId="0" xfId="2" applyFont="1"/>
    <xf numFmtId="0" fontId="4" fillId="0" borderId="0" xfId="2" applyAlignment="1">
      <alignment horizontal="left" vertical="top"/>
    </xf>
    <xf numFmtId="0" fontId="24" fillId="0" borderId="0" xfId="2" applyFont="1"/>
    <xf numFmtId="0" fontId="20" fillId="0" borderId="0" xfId="2" applyFont="1" applyAlignment="1">
      <alignment horizontal="left" vertical="top"/>
    </xf>
    <xf numFmtId="0" fontId="4" fillId="0" borderId="15" xfId="1" applyFont="1" applyBorder="1" applyAlignment="1">
      <alignment horizontal="center" vertical="center"/>
    </xf>
    <xf numFmtId="0" fontId="4" fillId="0" borderId="16" xfId="1" applyFont="1" applyBorder="1" applyAlignment="1">
      <alignment horizontal="center" vertical="center"/>
    </xf>
    <xf numFmtId="0" fontId="4" fillId="0" borderId="17" xfId="1" applyFont="1" applyBorder="1" applyAlignment="1">
      <alignment horizontal="center" vertical="center"/>
    </xf>
    <xf numFmtId="0" fontId="0" fillId="0" borderId="0" xfId="0" applyAlignment="1">
      <alignment horizontal="left"/>
    </xf>
    <xf numFmtId="0" fontId="0" fillId="0" borderId="0" xfId="0" quotePrefix="1"/>
    <xf numFmtId="0" fontId="0" fillId="0" borderId="0" xfId="0" applyAlignment="1">
      <alignment horizontal="center"/>
    </xf>
    <xf numFmtId="3" fontId="0" fillId="0" borderId="0" xfId="0" quotePrefix="1" applyNumberFormat="1" applyAlignment="1">
      <alignment horizontal="center"/>
    </xf>
    <xf numFmtId="0" fontId="26" fillId="0" borderId="0" xfId="0" applyFont="1" applyAlignment="1">
      <alignment horizontal="left"/>
    </xf>
    <xf numFmtId="3" fontId="0" fillId="0" borderId="0" xfId="0" applyNumberFormat="1" applyAlignment="1">
      <alignment horizontal="center"/>
    </xf>
    <xf numFmtId="0" fontId="0" fillId="2" borderId="7" xfId="0" applyFill="1" applyBorder="1"/>
    <xf numFmtId="0" fontId="0" fillId="2" borderId="9" xfId="0" applyFill="1" applyBorder="1"/>
    <xf numFmtId="0" fontId="27" fillId="2" borderId="9" xfId="0" applyFont="1" applyFill="1" applyBorder="1"/>
    <xf numFmtId="0" fontId="0" fillId="2" borderId="6" xfId="0" applyFill="1" applyBorder="1"/>
    <xf numFmtId="0" fontId="0" fillId="2" borderId="2" xfId="0" applyFill="1" applyBorder="1"/>
    <xf numFmtId="0" fontId="0" fillId="2" borderId="0" xfId="0" applyFill="1"/>
    <xf numFmtId="0" fontId="0" fillId="2" borderId="1" xfId="0" applyFill="1" applyBorder="1"/>
    <xf numFmtId="43" fontId="0" fillId="0" borderId="0" xfId="4" applyFont="1" applyAlignment="1">
      <alignment horizontal="left"/>
    </xf>
    <xf numFmtId="6" fontId="0" fillId="0" borderId="7" xfId="0" applyNumberFormat="1" applyBorder="1" applyAlignment="1">
      <alignment horizontal="center"/>
    </xf>
    <xf numFmtId="8" fontId="0" fillId="0" borderId="9" xfId="0" applyNumberFormat="1" applyBorder="1" applyAlignment="1">
      <alignment horizontal="center"/>
    </xf>
    <xf numFmtId="0" fontId="0" fillId="0" borderId="6" xfId="0" applyBorder="1" applyAlignment="1">
      <alignment horizontal="left"/>
    </xf>
    <xf numFmtId="8" fontId="0" fillId="0" borderId="0" xfId="0" applyNumberFormat="1" applyAlignment="1">
      <alignment horizontal="center"/>
    </xf>
    <xf numFmtId="0" fontId="0" fillId="2" borderId="0" xfId="0" applyFill="1" applyAlignment="1">
      <alignment horizontal="center"/>
    </xf>
    <xf numFmtId="6" fontId="0" fillId="2" borderId="0" xfId="0" applyNumberFormat="1" applyFill="1" applyAlignment="1">
      <alignment horizontal="center"/>
    </xf>
    <xf numFmtId="0" fontId="0" fillId="2" borderId="0" xfId="0" quotePrefix="1" applyFill="1" applyAlignment="1">
      <alignment horizontal="left"/>
    </xf>
    <xf numFmtId="0" fontId="28" fillId="0" borderId="0" xfId="0" applyFont="1" applyAlignment="1">
      <alignment horizontal="left"/>
    </xf>
    <xf numFmtId="43" fontId="0" fillId="0" borderId="0" xfId="0" applyNumberFormat="1" applyAlignment="1">
      <alignment horizontal="center"/>
    </xf>
    <xf numFmtId="9" fontId="0" fillId="2" borderId="0" xfId="0" applyNumberFormat="1" applyFill="1" applyAlignment="1">
      <alignment horizontal="center"/>
    </xf>
    <xf numFmtId="2" fontId="0" fillId="2" borderId="5" xfId="0" applyNumberFormat="1" applyFill="1" applyBorder="1" applyAlignment="1">
      <alignment horizontal="center"/>
    </xf>
    <xf numFmtId="9" fontId="0" fillId="2" borderId="3" xfId="0" applyNumberFormat="1" applyFill="1" applyBorder="1" applyAlignment="1">
      <alignment horizontal="center"/>
    </xf>
    <xf numFmtId="0" fontId="0" fillId="2" borderId="18" xfId="0" applyFill="1" applyBorder="1" applyAlignment="1">
      <alignment horizontal="center"/>
    </xf>
    <xf numFmtId="2" fontId="0" fillId="2" borderId="4" xfId="0" applyNumberFormat="1" applyFill="1" applyBorder="1" applyAlignment="1">
      <alignment horizontal="center"/>
    </xf>
    <xf numFmtId="0" fontId="0" fillId="2" borderId="19" xfId="0" applyFill="1" applyBorder="1" applyAlignment="1">
      <alignment horizontal="center"/>
    </xf>
    <xf numFmtId="165" fontId="0" fillId="0" borderId="0" xfId="4" applyNumberFormat="1" applyFont="1" applyAlignment="1">
      <alignment horizontal="center"/>
    </xf>
    <xf numFmtId="0" fontId="26" fillId="0" borderId="0" xfId="0" applyFont="1"/>
    <xf numFmtId="0" fontId="0" fillId="2" borderId="14" xfId="0" applyFill="1" applyBorder="1"/>
    <xf numFmtId="0" fontId="0" fillId="2" borderId="8" xfId="0" applyFill="1" applyBorder="1"/>
    <xf numFmtId="0" fontId="0" fillId="2" borderId="8" xfId="0" applyFill="1" applyBorder="1" applyAlignment="1">
      <alignment horizontal="center"/>
    </xf>
    <xf numFmtId="0" fontId="30" fillId="2" borderId="8" xfId="0" applyFont="1" applyFill="1" applyBorder="1"/>
    <xf numFmtId="0" fontId="26" fillId="2" borderId="13" xfId="0" applyFont="1" applyFill="1" applyBorder="1"/>
    <xf numFmtId="3" fontId="0" fillId="0" borderId="0" xfId="0" applyNumberFormat="1"/>
    <xf numFmtId="43" fontId="0" fillId="0" borderId="0" xfId="4" applyFont="1" applyAlignment="1">
      <alignment horizontal="center"/>
    </xf>
    <xf numFmtId="0" fontId="27" fillId="2" borderId="0" xfId="0" applyFont="1" applyFill="1"/>
    <xf numFmtId="0" fontId="0" fillId="0" borderId="0" xfId="0" applyAlignment="1">
      <alignment horizontal="left" wrapText="1"/>
    </xf>
    <xf numFmtId="0" fontId="0" fillId="2" borderId="0" xfId="0" applyFill="1" applyAlignment="1">
      <alignment horizontal="left"/>
    </xf>
    <xf numFmtId="0" fontId="30" fillId="0" borderId="0" xfId="0" applyFont="1" applyAlignment="1">
      <alignment horizontal="left"/>
    </xf>
    <xf numFmtId="6" fontId="0" fillId="0" borderId="7" xfId="0" applyNumberFormat="1" applyBorder="1"/>
    <xf numFmtId="0" fontId="0" fillId="2" borderId="0" xfId="0" quotePrefix="1" applyFill="1"/>
    <xf numFmtId="6" fontId="0" fillId="0" borderId="0" xfId="0" applyNumberFormat="1"/>
    <xf numFmtId="0" fontId="29" fillId="2" borderId="0" xfId="0" quotePrefix="1" applyFont="1" applyFill="1"/>
    <xf numFmtId="165" fontId="0" fillId="0" borderId="0" xfId="0" applyNumberFormat="1" applyAlignment="1">
      <alignment horizontal="center"/>
    </xf>
    <xf numFmtId="0" fontId="28" fillId="2" borderId="0" xfId="0" applyFont="1" applyFill="1"/>
    <xf numFmtId="6" fontId="0" fillId="2" borderId="18" xfId="0" applyNumberFormat="1" applyFill="1" applyBorder="1"/>
    <xf numFmtId="6" fontId="0" fillId="2" borderId="19" xfId="0" applyNumberFormat="1" applyFill="1" applyBorder="1"/>
    <xf numFmtId="166" fontId="0" fillId="0" borderId="7" xfId="0" applyNumberFormat="1" applyBorder="1" applyAlignment="1">
      <alignment horizontal="center"/>
    </xf>
    <xf numFmtId="165" fontId="0" fillId="0" borderId="9" xfId="0" applyNumberFormat="1" applyBorder="1" applyAlignment="1">
      <alignment horizontal="center"/>
    </xf>
    <xf numFmtId="0" fontId="0" fillId="0" borderId="25" xfId="0" applyBorder="1" applyAlignment="1">
      <alignment horizontal="center"/>
    </xf>
    <xf numFmtId="166" fontId="0" fillId="0" borderId="0" xfId="0" applyNumberFormat="1" applyAlignment="1">
      <alignment horizontal="right"/>
    </xf>
    <xf numFmtId="0" fontId="0" fillId="0" borderId="4" xfId="0" applyBorder="1" applyAlignment="1">
      <alignment horizontal="center"/>
    </xf>
    <xf numFmtId="6" fontId="0" fillId="2" borderId="24" xfId="0" applyNumberFormat="1" applyFill="1" applyBorder="1"/>
    <xf numFmtId="0" fontId="0" fillId="0" borderId="3" xfId="0" applyBorder="1" applyAlignment="1">
      <alignment horizontal="center"/>
    </xf>
    <xf numFmtId="165" fontId="0" fillId="0" borderId="3" xfId="0" applyNumberFormat="1" applyBorder="1" applyAlignment="1">
      <alignment horizontal="center"/>
    </xf>
    <xf numFmtId="0" fontId="0" fillId="0" borderId="5" xfId="0" applyBorder="1" applyAlignment="1">
      <alignment horizontal="center"/>
    </xf>
    <xf numFmtId="0" fontId="0" fillId="2" borderId="24" xfId="0" applyFill="1" applyBorder="1" applyAlignment="1">
      <alignment horizontal="center"/>
    </xf>
    <xf numFmtId="9" fontId="0" fillId="2" borderId="5" xfId="0" applyNumberFormat="1" applyFill="1" applyBorder="1" applyAlignment="1">
      <alignment horizontal="center"/>
    </xf>
    <xf numFmtId="2" fontId="0" fillId="2" borderId="3" xfId="0" applyNumberFormat="1" applyFill="1" applyBorder="1" applyAlignment="1">
      <alignment horizontal="center"/>
    </xf>
    <xf numFmtId="0" fontId="0" fillId="0" borderId="4" xfId="0" applyBorder="1" applyAlignment="1">
      <alignment horizontal="left"/>
    </xf>
    <xf numFmtId="9" fontId="0" fillId="2" borderId="4" xfId="0" applyNumberFormat="1" applyFill="1" applyBorder="1" applyAlignment="1">
      <alignment horizontal="center"/>
    </xf>
    <xf numFmtId="2" fontId="0" fillId="2" borderId="0" xfId="0" applyNumberFormat="1" applyFill="1" applyAlignment="1">
      <alignment horizontal="center"/>
    </xf>
    <xf numFmtId="0" fontId="0" fillId="2" borderId="5" xfId="0" applyFill="1" applyBorder="1" applyAlignment="1">
      <alignment horizontal="center"/>
    </xf>
    <xf numFmtId="0" fontId="0" fillId="2" borderId="3" xfId="0" applyFill="1" applyBorder="1" applyAlignment="1">
      <alignment horizontal="center"/>
    </xf>
    <xf numFmtId="165" fontId="0" fillId="0" borderId="3" xfId="4" applyNumberFormat="1" applyFont="1" applyBorder="1" applyAlignment="1">
      <alignment horizontal="center"/>
    </xf>
    <xf numFmtId="0" fontId="0" fillId="0" borderId="5" xfId="0" applyBorder="1" applyAlignment="1">
      <alignment horizontal="left"/>
    </xf>
    <xf numFmtId="0" fontId="0" fillId="2" borderId="22" xfId="0" applyFill="1" applyBorder="1" applyAlignment="1">
      <alignment horizontal="center"/>
    </xf>
    <xf numFmtId="0" fontId="0" fillId="2" borderId="26" xfId="0" applyFill="1" applyBorder="1" applyAlignment="1">
      <alignment horizontal="center"/>
    </xf>
    <xf numFmtId="167" fontId="0" fillId="2" borderId="3" xfId="0" applyNumberFormat="1" applyFill="1" applyBorder="1" applyAlignment="1">
      <alignment horizontal="center"/>
    </xf>
    <xf numFmtId="0" fontId="0" fillId="2" borderId="4" xfId="0" applyFill="1" applyBorder="1" applyAlignment="1">
      <alignment horizontal="center"/>
    </xf>
    <xf numFmtId="167" fontId="0" fillId="2" borderId="0" xfId="0" applyNumberFormat="1" applyFill="1" applyAlignment="1">
      <alignment horizontal="center"/>
    </xf>
    <xf numFmtId="164" fontId="0" fillId="0" borderId="7" xfId="0" applyNumberFormat="1" applyBorder="1"/>
    <xf numFmtId="0" fontId="0" fillId="0" borderId="9" xfId="0" applyBorder="1"/>
    <xf numFmtId="167" fontId="0" fillId="0" borderId="0" xfId="0" applyNumberFormat="1"/>
    <xf numFmtId="0" fontId="0" fillId="0" borderId="0" xfId="0" applyAlignment="1">
      <alignment wrapText="1"/>
    </xf>
    <xf numFmtId="164" fontId="0" fillId="0" borderId="12" xfId="0" applyNumberFormat="1" applyBorder="1" applyAlignment="1">
      <alignment horizontal="center"/>
    </xf>
    <xf numFmtId="9" fontId="0" fillId="0" borderId="0" xfId="0" applyNumberFormat="1" applyAlignment="1">
      <alignment horizontal="center"/>
    </xf>
    <xf numFmtId="4" fontId="0" fillId="0" borderId="0" xfId="0" quotePrefix="1" applyNumberFormat="1" applyAlignment="1">
      <alignment horizontal="center"/>
    </xf>
    <xf numFmtId="164" fontId="0" fillId="0" borderId="11" xfId="0" applyNumberFormat="1" applyBorder="1" applyAlignment="1">
      <alignment horizontal="center"/>
    </xf>
    <xf numFmtId="4" fontId="0" fillId="0" borderId="0" xfId="0" applyNumberFormat="1" applyAlignment="1">
      <alignment horizontal="center"/>
    </xf>
    <xf numFmtId="164" fontId="0" fillId="0" borderId="27" xfId="0" applyNumberFormat="1" applyBorder="1" applyAlignment="1">
      <alignment horizontal="center"/>
    </xf>
    <xf numFmtId="9" fontId="0" fillId="0" borderId="0" xfId="5" applyFont="1"/>
    <xf numFmtId="164" fontId="0" fillId="0" borderId="0" xfId="0" applyNumberFormat="1"/>
    <xf numFmtId="0" fontId="0" fillId="0" borderId="3" xfId="0" applyBorder="1"/>
    <xf numFmtId="4" fontId="0" fillId="2" borderId="5" xfId="0" applyNumberFormat="1" applyFill="1" applyBorder="1" applyAlignment="1">
      <alignment horizontal="center"/>
    </xf>
    <xf numFmtId="4" fontId="0" fillId="2" borderId="3" xfId="0" applyNumberFormat="1" applyFill="1" applyBorder="1" applyAlignment="1">
      <alignment horizontal="center"/>
    </xf>
    <xf numFmtId="0" fontId="29" fillId="0" borderId="0" xfId="0" applyFont="1" applyAlignment="1">
      <alignment horizontal="left"/>
    </xf>
    <xf numFmtId="4" fontId="0" fillId="2" borderId="4" xfId="0" applyNumberFormat="1" applyFill="1" applyBorder="1" applyAlignment="1">
      <alignment horizontal="center"/>
    </xf>
    <xf numFmtId="4" fontId="0" fillId="2" borderId="0" xfId="0" applyNumberFormat="1" applyFill="1" applyAlignment="1">
      <alignment horizontal="center"/>
    </xf>
    <xf numFmtId="0" fontId="0" fillId="2" borderId="28" xfId="0" applyFill="1" applyBorder="1" applyAlignment="1">
      <alignment horizontal="center"/>
    </xf>
    <xf numFmtId="0" fontId="0" fillId="2" borderId="29" xfId="0" applyFill="1" applyBorder="1" applyAlignment="1">
      <alignment horizontal="center"/>
    </xf>
    <xf numFmtId="2" fontId="0" fillId="0" borderId="0" xfId="0" applyNumberFormat="1"/>
    <xf numFmtId="0" fontId="0" fillId="2" borderId="30" xfId="0" applyFill="1" applyBorder="1" applyAlignment="1">
      <alignment horizontal="center"/>
    </xf>
    <xf numFmtId="0" fontId="0" fillId="0" borderId="0" xfId="0" quotePrefix="1" applyAlignment="1">
      <alignment horizontal="left" wrapText="1"/>
    </xf>
    <xf numFmtId="0" fontId="0" fillId="0" borderId="0" xfId="0" quotePrefix="1" applyAlignment="1">
      <alignment horizontal="left"/>
    </xf>
    <xf numFmtId="0" fontId="0" fillId="2" borderId="17" xfId="0" applyFill="1" applyBorder="1" applyAlignment="1">
      <alignment horizontal="left"/>
    </xf>
    <xf numFmtId="0" fontId="0" fillId="2" borderId="16" xfId="0" applyFill="1" applyBorder="1" applyAlignment="1">
      <alignment horizontal="left"/>
    </xf>
    <xf numFmtId="0" fontId="0" fillId="2" borderId="15" xfId="0" applyFill="1" applyBorder="1" applyAlignment="1">
      <alignment horizontal="left"/>
    </xf>
    <xf numFmtId="0" fontId="0" fillId="2" borderId="2" xfId="0" applyFill="1" applyBorder="1" applyAlignment="1">
      <alignment horizontal="left"/>
    </xf>
    <xf numFmtId="0" fontId="0" fillId="2" borderId="1" xfId="0" applyFill="1" applyBorder="1" applyAlignment="1">
      <alignment horizontal="left"/>
    </xf>
    <xf numFmtId="0" fontId="30" fillId="2" borderId="0" xfId="0" applyFont="1" applyFill="1" applyAlignment="1">
      <alignment horizontal="left"/>
    </xf>
    <xf numFmtId="0" fontId="31" fillId="0" borderId="0" xfId="0" applyFont="1" applyAlignment="1">
      <alignment horizontal="left"/>
    </xf>
    <xf numFmtId="0" fontId="28" fillId="0" borderId="0" xfId="0" quotePrefix="1" applyFont="1" applyAlignment="1">
      <alignment horizontal="left"/>
    </xf>
    <xf numFmtId="0" fontId="30" fillId="0" borderId="0" xfId="0" quotePrefix="1" applyFont="1" applyAlignment="1">
      <alignment horizontal="left"/>
    </xf>
    <xf numFmtId="0" fontId="32" fillId="2" borderId="0" xfId="0" applyFont="1" applyFill="1" applyAlignment="1">
      <alignment horizontal="left"/>
    </xf>
    <xf numFmtId="0" fontId="0" fillId="2" borderId="14" xfId="0" applyFill="1" applyBorder="1" applyAlignment="1">
      <alignment horizontal="left"/>
    </xf>
    <xf numFmtId="0" fontId="0" fillId="2" borderId="8" xfId="0" applyFill="1" applyBorder="1" applyAlignment="1">
      <alignment horizontal="left"/>
    </xf>
    <xf numFmtId="43" fontId="30" fillId="0" borderId="0" xfId="0" applyNumberFormat="1" applyFont="1"/>
    <xf numFmtId="0" fontId="0" fillId="0" borderId="0" xfId="0" applyAlignment="1">
      <alignment vertical="center"/>
    </xf>
    <xf numFmtId="0" fontId="26" fillId="0" borderId="0" xfId="0" applyFont="1" applyAlignment="1">
      <alignment vertical="center"/>
    </xf>
    <xf numFmtId="0" fontId="0" fillId="2" borderId="9" xfId="0" quotePrefix="1" applyFill="1" applyBorder="1"/>
    <xf numFmtId="0" fontId="0" fillId="2" borderId="6" xfId="0" applyFill="1" applyBorder="1" applyAlignment="1">
      <alignment horizontal="left"/>
    </xf>
    <xf numFmtId="0" fontId="30" fillId="0" borderId="0" xfId="0" applyFont="1"/>
    <xf numFmtId="167" fontId="0" fillId="2" borderId="0" xfId="5" applyNumberFormat="1" applyFont="1" applyFill="1" applyBorder="1" applyAlignment="1">
      <alignment horizontal="center"/>
    </xf>
    <xf numFmtId="167" fontId="0" fillId="2" borderId="5" xfId="0" applyNumberFormat="1" applyFill="1" applyBorder="1" applyAlignment="1">
      <alignment horizontal="center"/>
    </xf>
    <xf numFmtId="167" fontId="0" fillId="2" borderId="4" xfId="0" applyNumberFormat="1" applyFill="1" applyBorder="1" applyAlignment="1">
      <alignment horizontal="center"/>
    </xf>
    <xf numFmtId="164" fontId="0" fillId="0" borderId="21" xfId="0" applyNumberFormat="1" applyBorder="1" applyAlignment="1">
      <alignment horizontal="center" vertical="center"/>
    </xf>
    <xf numFmtId="0" fontId="0" fillId="0" borderId="0" xfId="0" applyAlignment="1">
      <alignment horizontal="center" vertical="center"/>
    </xf>
    <xf numFmtId="167" fontId="0" fillId="2" borderId="22" xfId="0" applyNumberFormat="1" applyFill="1" applyBorder="1" applyAlignment="1">
      <alignment horizontal="center"/>
    </xf>
    <xf numFmtId="0" fontId="0" fillId="2" borderId="20" xfId="0" applyFill="1" applyBorder="1" applyAlignment="1">
      <alignment horizontal="center"/>
    </xf>
    <xf numFmtId="0" fontId="0" fillId="2" borderId="21" xfId="0" applyFill="1" applyBorder="1" applyAlignment="1">
      <alignment horizontal="center"/>
    </xf>
    <xf numFmtId="0" fontId="0" fillId="0" borderId="0" xfId="0" applyAlignment="1">
      <alignment vertical="center" wrapText="1"/>
    </xf>
    <xf numFmtId="2" fontId="30" fillId="2" borderId="0" xfId="0" applyNumberFormat="1" applyFont="1" applyFill="1" applyAlignment="1">
      <alignment horizontal="center"/>
    </xf>
    <xf numFmtId="0" fontId="30" fillId="2" borderId="0" xfId="0" applyFont="1" applyFill="1"/>
    <xf numFmtId="0" fontId="0" fillId="2" borderId="13" xfId="0" applyFill="1" applyBorder="1" applyAlignment="1">
      <alignment horizontal="left"/>
    </xf>
    <xf numFmtId="43" fontId="0" fillId="0" borderId="0" xfId="4" applyFont="1"/>
    <xf numFmtId="0" fontId="0" fillId="2" borderId="17" xfId="0" applyFill="1" applyBorder="1"/>
    <xf numFmtId="0" fontId="0" fillId="2" borderId="16" xfId="0" applyFill="1" applyBorder="1"/>
    <xf numFmtId="0" fontId="0" fillId="2" borderId="16" xfId="0" quotePrefix="1" applyFill="1" applyBorder="1"/>
    <xf numFmtId="168" fontId="0" fillId="2" borderId="0" xfId="0" applyNumberFormat="1" applyFill="1" applyAlignment="1">
      <alignment horizontal="center"/>
    </xf>
    <xf numFmtId="167" fontId="0" fillId="2" borderId="20" xfId="5" applyNumberFormat="1" applyFont="1" applyFill="1" applyBorder="1" applyAlignment="1">
      <alignment horizontal="center"/>
    </xf>
    <xf numFmtId="3" fontId="0" fillId="0" borderId="7" xfId="0" applyNumberFormat="1" applyBorder="1" applyAlignment="1">
      <alignment horizontal="center" vertical="center"/>
    </xf>
    <xf numFmtId="0" fontId="0" fillId="0" borderId="6" xfId="0" applyBorder="1"/>
    <xf numFmtId="167" fontId="0" fillId="2" borderId="21" xfId="5" applyNumberFormat="1" applyFont="1" applyFill="1" applyBorder="1" applyAlignment="1">
      <alignment horizontal="center"/>
    </xf>
    <xf numFmtId="2" fontId="0" fillId="2" borderId="22" xfId="0" applyNumberFormat="1" applyFill="1" applyBorder="1" applyAlignment="1">
      <alignment horizontal="center"/>
    </xf>
    <xf numFmtId="167" fontId="0" fillId="2" borderId="23" xfId="5" applyNumberFormat="1" applyFont="1" applyFill="1" applyBorder="1" applyAlignment="1">
      <alignment horizontal="center"/>
    </xf>
    <xf numFmtId="38" fontId="0" fillId="0" borderId="0" xfId="0" applyNumberFormat="1"/>
    <xf numFmtId="164" fontId="0" fillId="0" borderId="0" xfId="0" applyNumberFormat="1" applyAlignment="1">
      <alignment horizontal="center" vertical="center"/>
    </xf>
    <xf numFmtId="0" fontId="0" fillId="2" borderId="23" xfId="0" applyFill="1" applyBorder="1" applyAlignment="1">
      <alignment horizontal="center"/>
    </xf>
    <xf numFmtId="0" fontId="35" fillId="0" borderId="0" xfId="0" applyFont="1" applyAlignment="1">
      <alignment vertical="center"/>
    </xf>
    <xf numFmtId="0" fontId="0" fillId="0" borderId="7" xfId="0" applyBorder="1" applyAlignment="1">
      <alignment horizontal="center" vertical="center"/>
    </xf>
    <xf numFmtId="0" fontId="0" fillId="0" borderId="6" xfId="0" applyBorder="1" applyAlignment="1">
      <alignment horizontal="center" vertical="center"/>
    </xf>
    <xf numFmtId="0" fontId="36" fillId="0" borderId="0" xfId="0" applyFont="1"/>
    <xf numFmtId="164" fontId="0" fillId="3" borderId="7" xfId="0" applyNumberFormat="1" applyFill="1" applyBorder="1" applyAlignment="1">
      <alignment horizontal="center" vertical="center"/>
    </xf>
    <xf numFmtId="0" fontId="0" fillId="0" borderId="6" xfId="0" applyBorder="1" applyAlignment="1">
      <alignment horizontal="center"/>
    </xf>
    <xf numFmtId="169" fontId="0" fillId="0" borderId="0" xfId="0" applyNumberFormat="1" applyAlignment="1">
      <alignment horizontal="center" vertical="center"/>
    </xf>
    <xf numFmtId="9" fontId="0" fillId="2" borderId="0" xfId="5" applyFont="1" applyFill="1"/>
    <xf numFmtId="168" fontId="0" fillId="2" borderId="0" xfId="5" applyNumberFormat="1" applyFont="1" applyFill="1"/>
    <xf numFmtId="0" fontId="0" fillId="2" borderId="28" xfId="0" applyFill="1" applyBorder="1"/>
    <xf numFmtId="0" fontId="0" fillId="2" borderId="30" xfId="0" applyFill="1" applyBorder="1"/>
    <xf numFmtId="0" fontId="29" fillId="0" borderId="0" xfId="0" applyFont="1" applyAlignment="1">
      <alignment vertical="top"/>
    </xf>
    <xf numFmtId="0" fontId="0" fillId="0" borderId="0" xfId="0" applyAlignment="1">
      <alignment vertical="top"/>
    </xf>
    <xf numFmtId="170" fontId="0" fillId="2" borderId="5" xfId="0" applyNumberFormat="1" applyFill="1" applyBorder="1" applyAlignment="1">
      <alignment horizontal="center"/>
    </xf>
    <xf numFmtId="170" fontId="0" fillId="2" borderId="3" xfId="0" applyNumberFormat="1" applyFill="1" applyBorder="1" applyAlignment="1">
      <alignment horizontal="center"/>
    </xf>
    <xf numFmtId="170" fontId="0" fillId="2" borderId="4" xfId="0" applyNumberFormat="1" applyFill="1" applyBorder="1" applyAlignment="1">
      <alignment horizontal="center"/>
    </xf>
    <xf numFmtId="170" fontId="0" fillId="2" borderId="0" xfId="0" applyNumberFormat="1" applyFill="1" applyAlignment="1">
      <alignment horizontal="center"/>
    </xf>
    <xf numFmtId="0" fontId="0" fillId="2" borderId="23" xfId="0" applyFill="1" applyBorder="1"/>
    <xf numFmtId="0" fontId="39" fillId="0" borderId="0" xfId="0" applyFont="1" applyAlignment="1">
      <alignment horizontal="center" vertical="center" wrapText="1"/>
    </xf>
    <xf numFmtId="0" fontId="40" fillId="0" borderId="0" xfId="0" applyFont="1" applyAlignment="1">
      <alignment horizontal="justify" vertical="center"/>
    </xf>
    <xf numFmtId="9" fontId="0" fillId="2" borderId="31" xfId="5" applyFont="1" applyFill="1" applyBorder="1"/>
    <xf numFmtId="0" fontId="32" fillId="0" borderId="0" xfId="0" applyFont="1" applyAlignment="1">
      <alignment vertical="center" wrapText="1"/>
    </xf>
    <xf numFmtId="2" fontId="0" fillId="2" borderId="31" xfId="0" applyNumberFormat="1" applyFill="1" applyBorder="1"/>
    <xf numFmtId="0" fontId="40" fillId="0" borderId="0" xfId="0" applyFont="1" applyAlignment="1">
      <alignment vertical="center"/>
    </xf>
    <xf numFmtId="0" fontId="32" fillId="0" borderId="17" xfId="0" applyFont="1" applyBorder="1" applyAlignment="1">
      <alignment horizontal="center" vertical="center" wrapText="1"/>
    </xf>
    <xf numFmtId="0" fontId="32" fillId="0" borderId="15" xfId="0" applyFont="1" applyBorder="1" applyAlignment="1">
      <alignment horizontal="center" vertical="center" wrapText="1"/>
    </xf>
    <xf numFmtId="0" fontId="32" fillId="0" borderId="14" xfId="0" applyFont="1" applyBorder="1" applyAlignment="1">
      <alignment horizontal="center" vertical="center" wrapText="1"/>
    </xf>
    <xf numFmtId="0" fontId="32" fillId="0" borderId="13" xfId="0" applyFont="1" applyBorder="1" applyAlignment="1">
      <alignment horizontal="center" vertical="center" wrapText="1"/>
    </xf>
    <xf numFmtId="168" fontId="0" fillId="2" borderId="5" xfId="0" applyNumberFormat="1" applyFill="1" applyBorder="1" applyAlignment="1">
      <alignment horizontal="center"/>
    </xf>
    <xf numFmtId="9" fontId="0" fillId="2" borderId="4" xfId="0" applyNumberFormat="1" applyFill="1" applyBorder="1" applyAlignment="1">
      <alignment horizontal="center" vertical="center"/>
    </xf>
    <xf numFmtId="2" fontId="0" fillId="2" borderId="0" xfId="0" applyNumberFormat="1" applyFill="1" applyAlignment="1">
      <alignment horizontal="center" vertical="center"/>
    </xf>
    <xf numFmtId="0" fontId="0" fillId="2" borderId="19" xfId="0" applyFill="1" applyBorder="1" applyAlignment="1">
      <alignment horizontal="center" vertical="center"/>
    </xf>
    <xf numFmtId="168" fontId="0" fillId="2" borderId="4" xfId="0" applyNumberFormat="1" applyFill="1" applyBorder="1" applyAlignment="1">
      <alignment horizontal="center"/>
    </xf>
    <xf numFmtId="168" fontId="0" fillId="2" borderId="22" xfId="0" applyNumberFormat="1" applyFill="1" applyBorder="1" applyAlignment="1">
      <alignment horizontal="center"/>
    </xf>
    <xf numFmtId="168" fontId="0" fillId="2" borderId="26" xfId="0" applyNumberFormat="1" applyFill="1" applyBorder="1" applyAlignment="1">
      <alignment horizontal="center"/>
    </xf>
    <xf numFmtId="10" fontId="0" fillId="2" borderId="22" xfId="0" applyNumberFormat="1" applyFill="1" applyBorder="1" applyAlignment="1">
      <alignment horizontal="center" vertical="center"/>
    </xf>
    <xf numFmtId="2" fontId="0" fillId="2" borderId="26" xfId="0" applyNumberFormat="1" applyFill="1" applyBorder="1" applyAlignment="1">
      <alignment horizontal="center" vertical="center"/>
    </xf>
    <xf numFmtId="0" fontId="0" fillId="2" borderId="24" xfId="0" applyFill="1" applyBorder="1" applyAlignment="1">
      <alignment horizontal="center" vertical="center"/>
    </xf>
    <xf numFmtId="0" fontId="0" fillId="2" borderId="5" xfId="0" applyFill="1" applyBorder="1" applyAlignment="1">
      <alignment horizontal="center" vertical="center"/>
    </xf>
    <xf numFmtId="0" fontId="0" fillId="2" borderId="3" xfId="0" applyFill="1" applyBorder="1" applyAlignment="1">
      <alignment horizontal="center" vertical="center"/>
    </xf>
    <xf numFmtId="0" fontId="0" fillId="2" borderId="18" xfId="0" applyFill="1" applyBorder="1" applyAlignment="1">
      <alignment horizontal="center" vertical="center"/>
    </xf>
    <xf numFmtId="0" fontId="0" fillId="2" borderId="4" xfId="0" applyFill="1" applyBorder="1" applyAlignment="1">
      <alignment horizontal="center" vertical="center"/>
    </xf>
    <xf numFmtId="0" fontId="0" fillId="2" borderId="0" xfId="0" applyFill="1" applyAlignment="1">
      <alignment horizontal="center" vertical="center"/>
    </xf>
    <xf numFmtId="0" fontId="42" fillId="2" borderId="19" xfId="0" applyFont="1" applyFill="1" applyBorder="1" applyAlignment="1">
      <alignment horizontal="center" vertical="center"/>
    </xf>
    <xf numFmtId="0" fontId="0" fillId="2" borderId="22" xfId="0" applyFill="1" applyBorder="1" applyAlignment="1">
      <alignment horizontal="center" vertical="center"/>
    </xf>
    <xf numFmtId="0" fontId="0" fillId="2" borderId="26" xfId="0" applyFill="1" applyBorder="1" applyAlignment="1">
      <alignment horizontal="center" vertical="center"/>
    </xf>
    <xf numFmtId="6" fontId="0" fillId="2" borderId="5" xfId="0" applyNumberFormat="1" applyFill="1" applyBorder="1" applyAlignment="1">
      <alignment horizontal="center"/>
    </xf>
    <xf numFmtId="6" fontId="0" fillId="2" borderId="3" xfId="0" applyNumberFormat="1" applyFill="1" applyBorder="1" applyAlignment="1">
      <alignment horizontal="center"/>
    </xf>
    <xf numFmtId="6" fontId="0" fillId="2" borderId="4" xfId="0" applyNumberFormat="1" applyFill="1" applyBorder="1" applyAlignment="1">
      <alignment horizontal="center"/>
    </xf>
    <xf numFmtId="165" fontId="0" fillId="0" borderId="0" xfId="4" applyNumberFormat="1" applyFont="1"/>
    <xf numFmtId="6" fontId="0" fillId="0" borderId="0" xfId="0" applyNumberFormat="1" applyAlignment="1">
      <alignment horizontal="center"/>
    </xf>
    <xf numFmtId="6" fontId="0" fillId="0" borderId="4" xfId="0" applyNumberFormat="1" applyBorder="1" applyAlignment="1">
      <alignment horizontal="center"/>
    </xf>
    <xf numFmtId="164" fontId="0" fillId="0" borderId="0" xfId="0" applyNumberFormat="1" applyAlignment="1">
      <alignment horizontal="center"/>
    </xf>
    <xf numFmtId="8" fontId="0" fillId="0" borderId="0" xfId="0" applyNumberFormat="1"/>
    <xf numFmtId="166" fontId="0" fillId="0" borderId="0" xfId="4" applyNumberFormat="1" applyFont="1"/>
    <xf numFmtId="0" fontId="0" fillId="0" borderId="7" xfId="0" applyBorder="1" applyAlignment="1">
      <alignment horizontal="center"/>
    </xf>
    <xf numFmtId="167" fontId="0" fillId="0" borderId="0" xfId="6" applyNumberFormat="1" applyFont="1" applyFill="1" applyBorder="1" applyAlignment="1">
      <alignment horizontal="center" vertical="center"/>
    </xf>
    <xf numFmtId="0" fontId="0" fillId="0" borderId="4" xfId="0" applyBorder="1" applyAlignment="1">
      <alignment horizontal="center" vertical="center"/>
    </xf>
    <xf numFmtId="10" fontId="0" fillId="0" borderId="0" xfId="0" applyNumberFormat="1" applyAlignment="1">
      <alignment horizontal="center" vertical="center"/>
    </xf>
    <xf numFmtId="2" fontId="0" fillId="0" borderId="0" xfId="0" applyNumberFormat="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7" xfId="0" applyBorder="1"/>
    <xf numFmtId="10" fontId="0" fillId="2" borderId="0" xfId="0" applyNumberFormat="1" applyFill="1" applyAlignment="1">
      <alignment horizontal="center"/>
    </xf>
    <xf numFmtId="0" fontId="3" fillId="0" borderId="0" xfId="0" applyFont="1" applyAlignment="1">
      <alignment vertical="center"/>
    </xf>
    <xf numFmtId="0" fontId="3" fillId="0" borderId="0" xfId="0" quotePrefix="1" applyFont="1" applyAlignment="1">
      <alignment vertical="center"/>
    </xf>
    <xf numFmtId="6" fontId="14" fillId="0" borderId="7" xfId="0" applyNumberFormat="1" applyFont="1" applyBorder="1" applyAlignment="1">
      <alignment horizontal="center" vertical="center"/>
    </xf>
    <xf numFmtId="0" fontId="14" fillId="0" borderId="6" xfId="0" applyFont="1" applyBorder="1" applyAlignment="1">
      <alignment horizontal="center" vertical="center"/>
    </xf>
    <xf numFmtId="0" fontId="3" fillId="0" borderId="0" xfId="0" applyFont="1" applyAlignment="1">
      <alignment horizontal="center" vertical="center"/>
    </xf>
    <xf numFmtId="0" fontId="0" fillId="0" borderId="0" xfId="0" applyAlignment="1">
      <alignment horizontal="right"/>
    </xf>
    <xf numFmtId="0" fontId="43" fillId="0" borderId="0" xfId="0" applyFont="1" applyAlignment="1">
      <alignment vertical="center"/>
    </xf>
    <xf numFmtId="3" fontId="11" fillId="0" borderId="5" xfId="0" applyNumberFormat="1" applyFont="1" applyBorder="1" applyAlignment="1">
      <alignment horizontal="center" vertical="center" wrapText="1"/>
    </xf>
    <xf numFmtId="3" fontId="11" fillId="0" borderId="4" xfId="0" applyNumberFormat="1" applyFont="1" applyBorder="1" applyAlignment="1">
      <alignment horizontal="center" vertical="center" wrapText="1"/>
    </xf>
    <xf numFmtId="164" fontId="0" fillId="0" borderId="7" xfId="0" applyNumberFormat="1" applyBorder="1" applyAlignment="1">
      <alignment horizontal="center"/>
    </xf>
    <xf numFmtId="0" fontId="4" fillId="0" borderId="0" xfId="2" applyAlignment="1">
      <alignment horizontal="left" vertical="top" wrapText="1"/>
    </xf>
    <xf numFmtId="0" fontId="4" fillId="0" borderId="0" xfId="2" applyAlignment="1">
      <alignment horizontal="left" vertical="top"/>
    </xf>
    <xf numFmtId="0" fontId="2" fillId="0" borderId="0" xfId="2" applyFont="1" applyAlignment="1">
      <alignment horizontal="left" vertical="top" wrapText="1"/>
    </xf>
    <xf numFmtId="0" fontId="12" fillId="2" borderId="0" xfId="0" applyFont="1" applyFill="1" applyAlignment="1">
      <alignment horizontal="center"/>
    </xf>
    <xf numFmtId="0" fontId="14" fillId="2" borderId="6" xfId="0" applyFont="1" applyFill="1" applyBorder="1" applyAlignment="1">
      <alignment horizontal="left"/>
    </xf>
    <xf numFmtId="0" fontId="14" fillId="2" borderId="9" xfId="0" applyFont="1" applyFill="1" applyBorder="1" applyAlignment="1">
      <alignment horizontal="left"/>
    </xf>
    <xf numFmtId="0" fontId="14" fillId="2" borderId="7" xfId="0" applyFont="1" applyFill="1" applyBorder="1" applyAlignment="1">
      <alignment horizontal="left"/>
    </xf>
    <xf numFmtId="0" fontId="7" fillId="0" borderId="0" xfId="0" applyFont="1" applyAlignment="1">
      <alignment horizontal="left" vertical="top" wrapText="1"/>
    </xf>
    <xf numFmtId="0" fontId="12" fillId="2" borderId="0" xfId="0" applyFont="1" applyFill="1" applyAlignment="1">
      <alignment horizontal="center" vertical="center"/>
    </xf>
    <xf numFmtId="0" fontId="14" fillId="2" borderId="6" xfId="0" applyFont="1" applyFill="1" applyBorder="1" applyAlignment="1">
      <alignment horizontal="left" vertical="center"/>
    </xf>
    <xf numFmtId="0" fontId="14" fillId="2" borderId="9" xfId="0" applyFont="1" applyFill="1" applyBorder="1" applyAlignment="1">
      <alignment horizontal="left" vertical="center"/>
    </xf>
    <xf numFmtId="0" fontId="14" fillId="2" borderId="7" xfId="0" applyFont="1" applyFill="1" applyBorder="1" applyAlignment="1">
      <alignment horizontal="left" vertical="center"/>
    </xf>
    <xf numFmtId="0" fontId="5" fillId="0" borderId="0" xfId="0" applyFont="1" applyAlignment="1">
      <alignment horizontal="left" vertical="top" wrapText="1"/>
    </xf>
    <xf numFmtId="0" fontId="6" fillId="0" borderId="0" xfId="0" applyFont="1" applyAlignment="1">
      <alignment horizontal="left" vertical="top" wrapText="1"/>
    </xf>
    <xf numFmtId="0" fontId="11" fillId="2" borderId="0" xfId="0" applyFont="1" applyFill="1" applyAlignment="1">
      <alignment horizontal="center" vertical="center" wrapText="1"/>
    </xf>
    <xf numFmtId="0" fontId="11" fillId="2" borderId="3" xfId="0" applyFont="1" applyFill="1" applyBorder="1" applyAlignment="1">
      <alignment horizontal="center" vertical="center" wrapText="1"/>
    </xf>
    <xf numFmtId="0" fontId="11" fillId="0" borderId="0" xfId="0" applyFont="1" applyAlignment="1">
      <alignment horizontal="center" vertical="center" wrapText="1"/>
    </xf>
    <xf numFmtId="0" fontId="11" fillId="0" borderId="3" xfId="0" applyFont="1" applyBorder="1" applyAlignment="1">
      <alignment horizontal="center" vertical="center" wrapText="1"/>
    </xf>
    <xf numFmtId="0" fontId="7" fillId="0" borderId="0" xfId="0" applyFont="1" applyAlignment="1">
      <alignment horizontal="left" vertical="center" wrapText="1"/>
    </xf>
    <xf numFmtId="0" fontId="7" fillId="2" borderId="0" xfId="0" applyFont="1" applyFill="1" applyAlignment="1">
      <alignment horizontal="center" vertical="center"/>
    </xf>
    <xf numFmtId="0" fontId="0" fillId="2" borderId="24" xfId="0" applyFill="1" applyBorder="1" applyAlignment="1">
      <alignment horizontal="center" wrapText="1"/>
    </xf>
    <xf numFmtId="0" fontId="0" fillId="2" borderId="19" xfId="0" applyFill="1" applyBorder="1" applyAlignment="1">
      <alignment horizontal="center" wrapText="1"/>
    </xf>
    <xf numFmtId="0" fontId="0" fillId="2" borderId="18" xfId="0" applyFill="1" applyBorder="1" applyAlignment="1">
      <alignment horizontal="center" wrapText="1"/>
    </xf>
    <xf numFmtId="0" fontId="0" fillId="2" borderId="23" xfId="0" applyFill="1" applyBorder="1" applyAlignment="1">
      <alignment horizontal="center" wrapText="1"/>
    </xf>
    <xf numFmtId="0" fontId="0" fillId="2" borderId="21" xfId="0" applyFill="1" applyBorder="1" applyAlignment="1">
      <alignment horizontal="center" wrapText="1"/>
    </xf>
    <xf numFmtId="0" fontId="0" fillId="2" borderId="20" xfId="0" applyFill="1" applyBorder="1" applyAlignment="1">
      <alignment horizontal="center" wrapText="1"/>
    </xf>
    <xf numFmtId="0" fontId="0" fillId="2" borderId="22" xfId="0" applyFill="1" applyBorder="1" applyAlignment="1">
      <alignment horizontal="center" wrapText="1"/>
    </xf>
    <xf numFmtId="0" fontId="0" fillId="2" borderId="4" xfId="0" applyFill="1" applyBorder="1" applyAlignment="1">
      <alignment horizontal="center" wrapText="1"/>
    </xf>
    <xf numFmtId="0" fontId="0" fillId="2" borderId="5" xfId="0" applyFill="1" applyBorder="1" applyAlignment="1">
      <alignment horizontal="center" wrapText="1"/>
    </xf>
    <xf numFmtId="0" fontId="0" fillId="0" borderId="0" xfId="0" applyAlignment="1">
      <alignment horizontal="left" wrapText="1"/>
    </xf>
    <xf numFmtId="0" fontId="0" fillId="2" borderId="0" xfId="0" applyFill="1" applyAlignment="1">
      <alignment horizontal="left" wrapText="1"/>
    </xf>
    <xf numFmtId="0" fontId="0" fillId="0" borderId="0" xfId="0" applyAlignment="1">
      <alignment horizontal="left" vertical="top" wrapText="1"/>
    </xf>
    <xf numFmtId="0" fontId="0" fillId="2" borderId="26" xfId="0" applyFill="1" applyBorder="1" applyAlignment="1">
      <alignment horizontal="center" wrapText="1"/>
    </xf>
    <xf numFmtId="0" fontId="0" fillId="2" borderId="0" xfId="0" applyFill="1" applyAlignment="1">
      <alignment horizontal="center" wrapText="1"/>
    </xf>
    <xf numFmtId="0" fontId="0" fillId="2" borderId="3" xfId="0" applyFill="1" applyBorder="1" applyAlignment="1">
      <alignment horizontal="center" wrapText="1"/>
    </xf>
    <xf numFmtId="0" fontId="0" fillId="2" borderId="30" xfId="0" applyFill="1" applyBorder="1" applyAlignment="1">
      <alignment horizontal="center"/>
    </xf>
    <xf numFmtId="0" fontId="0" fillId="2" borderId="29" xfId="0" applyFill="1" applyBorder="1" applyAlignment="1">
      <alignment horizontal="center"/>
    </xf>
    <xf numFmtId="0" fontId="0" fillId="2" borderId="28" xfId="0" applyFill="1" applyBorder="1" applyAlignment="1">
      <alignment horizontal="center"/>
    </xf>
    <xf numFmtId="0" fontId="0" fillId="2" borderId="0" xfId="0" applyFill="1" applyAlignment="1">
      <alignment horizontal="left" vertical="top" wrapText="1"/>
    </xf>
    <xf numFmtId="0" fontId="0" fillId="0" borderId="4" xfId="0" applyBorder="1" applyAlignment="1">
      <alignment horizontal="center" wrapText="1"/>
    </xf>
    <xf numFmtId="0" fontId="0" fillId="0" borderId="5" xfId="0" applyBorder="1" applyAlignment="1">
      <alignment horizontal="center" wrapText="1"/>
    </xf>
    <xf numFmtId="0" fontId="0" fillId="0" borderId="21" xfId="0" applyBorder="1" applyAlignment="1">
      <alignment horizontal="center" vertical="center" wrapText="1"/>
    </xf>
    <xf numFmtId="0" fontId="0" fillId="0" borderId="20" xfId="0" applyBorder="1" applyAlignment="1">
      <alignment horizontal="center" vertical="center" wrapText="1"/>
    </xf>
    <xf numFmtId="0" fontId="0" fillId="2" borderId="21" xfId="0" applyFill="1" applyBorder="1" applyAlignment="1">
      <alignment horizontal="center"/>
    </xf>
    <xf numFmtId="0" fontId="0" fillId="2" borderId="20" xfId="0" applyFill="1" applyBorder="1" applyAlignment="1">
      <alignment horizontal="center"/>
    </xf>
    <xf numFmtId="0" fontId="0" fillId="2" borderId="0" xfId="0" applyFill="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2" borderId="23" xfId="0" applyFill="1" applyBorder="1" applyAlignment="1">
      <alignment horizontal="center"/>
    </xf>
    <xf numFmtId="0" fontId="0" fillId="2" borderId="22" xfId="0" applyFill="1" applyBorder="1" applyAlignment="1">
      <alignment horizontal="center"/>
    </xf>
    <xf numFmtId="0" fontId="0" fillId="2" borderId="24" xfId="0" applyFill="1" applyBorder="1" applyAlignment="1">
      <alignment horizontal="center"/>
    </xf>
    <xf numFmtId="0" fontId="0" fillId="2" borderId="19" xfId="0" applyFill="1" applyBorder="1" applyAlignment="1">
      <alignment horizontal="center"/>
    </xf>
    <xf numFmtId="0" fontId="0" fillId="2" borderId="18" xfId="0" applyFill="1" applyBorder="1" applyAlignment="1">
      <alignment horizontal="center"/>
    </xf>
    <xf numFmtId="0" fontId="0" fillId="0" borderId="0" xfId="0" applyAlignment="1">
      <alignment horizontal="left" vertical="center" wrapText="1"/>
    </xf>
    <xf numFmtId="0" fontId="32" fillId="0" borderId="0" xfId="0" applyFont="1" applyAlignment="1">
      <alignment horizontal="left" vertical="top" wrapText="1"/>
    </xf>
    <xf numFmtId="0" fontId="0" fillId="0" borderId="0" xfId="0" applyAlignment="1">
      <alignment horizontal="left"/>
    </xf>
    <xf numFmtId="0" fontId="32" fillId="0" borderId="0" xfId="0" applyFont="1" applyAlignment="1">
      <alignment horizontal="left" vertical="center"/>
    </xf>
    <xf numFmtId="0" fontId="0" fillId="2" borderId="31" xfId="0" applyFill="1" applyBorder="1" applyAlignment="1">
      <alignment horizontal="left"/>
    </xf>
    <xf numFmtId="8" fontId="0" fillId="0" borderId="0" xfId="0" applyNumberFormat="1" applyAlignment="1">
      <alignment horizontal="left" wrapText="1"/>
    </xf>
    <xf numFmtId="0" fontId="28" fillId="0" borderId="0" xfId="0" applyFont="1" applyAlignment="1">
      <alignment horizontal="center" vertical="center"/>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0" fillId="0" borderId="0" xfId="0" quotePrefix="1" applyAlignment="1">
      <alignment horizontal="left" wrapText="1"/>
    </xf>
  </cellXfs>
  <cellStyles count="7">
    <cellStyle name="Comma" xfId="4" builtinId="3"/>
    <cellStyle name="Hyperlink 2" xfId="3" xr:uid="{E78FB0F0-A888-894C-9216-D4096ED7042B}"/>
    <cellStyle name="Normal" xfId="0" builtinId="0"/>
    <cellStyle name="Normal 2 2" xfId="1" xr:uid="{415DFA39-D64D-2443-B014-ABEE7C6178FC}"/>
    <cellStyle name="Normal 4" xfId="2" xr:uid="{8931CFCA-A2CD-674F-8F8D-34A9990DA921}"/>
    <cellStyle name="Percent" xfId="5" builtinId="5"/>
    <cellStyle name="Percent 2" xfId="6" xr:uid="{1DE0CB42-4DC3-5A44-A305-8088A8A9A7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457200</xdr:colOff>
      <xdr:row>0</xdr:row>
      <xdr:rowOff>98404</xdr:rowOff>
    </xdr:from>
    <xdr:to>
      <xdr:col>4</xdr:col>
      <xdr:colOff>80818</xdr:colOff>
      <xdr:row>4</xdr:row>
      <xdr:rowOff>180253</xdr:rowOff>
    </xdr:to>
    <xdr:pic>
      <xdr:nvPicPr>
        <xdr:cNvPr id="2" name="Picture 1">
          <a:extLst>
            <a:ext uri="{FF2B5EF4-FFF2-40B4-BE49-F238E27FC236}">
              <a16:creationId xmlns:a16="http://schemas.microsoft.com/office/drawing/2014/main" id="{6C247750-422A-2941-9B3A-7CFD5E3C7E35}"/>
            </a:ext>
          </a:extLst>
        </xdr:cNvPr>
        <xdr:cNvPicPr>
          <a:picLocks noChangeAspect="1"/>
        </xdr:cNvPicPr>
      </xdr:nvPicPr>
      <xdr:blipFill>
        <a:blip xmlns:r="http://schemas.openxmlformats.org/officeDocument/2006/relationships" r:embed="rId1"/>
        <a:stretch>
          <a:fillRect/>
        </a:stretch>
      </xdr:blipFill>
      <xdr:spPr>
        <a:xfrm>
          <a:off x="457200" y="98404"/>
          <a:ext cx="2874818" cy="8692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534803</xdr:colOff>
      <xdr:row>19</xdr:row>
      <xdr:rowOff>156842</xdr:rowOff>
    </xdr:from>
    <xdr:to>
      <xdr:col>16</xdr:col>
      <xdr:colOff>626488</xdr:colOff>
      <xdr:row>23</xdr:row>
      <xdr:rowOff>88900</xdr:rowOff>
    </xdr:to>
    <xdr:pic>
      <xdr:nvPicPr>
        <xdr:cNvPr id="1025" name="Picture 1">
          <a:extLst>
            <a:ext uri="{FF2B5EF4-FFF2-40B4-BE49-F238E27FC236}">
              <a16:creationId xmlns:a16="http://schemas.microsoft.com/office/drawing/2014/main" id="{00000000-0008-0000-0000-000001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85203" y="4106542"/>
          <a:ext cx="3393685" cy="808358"/>
        </a:xfrm>
        <a:prstGeom prst="rect">
          <a:avLst/>
        </a:prstGeom>
        <a:solidFill>
          <a:schemeClr val="bg1"/>
        </a:solidFill>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120650</xdr:colOff>
      <xdr:row>14</xdr:row>
      <xdr:rowOff>38100</xdr:rowOff>
    </xdr:from>
    <xdr:ext cx="516680" cy="172227"/>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EBC4B9C-C8F5-B049-8557-F62318772C61}"/>
                </a:ext>
              </a:extLst>
            </xdr:cNvPr>
            <xdr:cNvSpPr txBox="1"/>
          </xdr:nvSpPr>
          <xdr:spPr>
            <a:xfrm>
              <a:off x="958850" y="2882900"/>
              <a:ext cx="51668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r>
                    <a:rPr lang="en-US" sz="1100" b="0" i="1">
                      <a:latin typeface="Cambria Math" panose="02040503050406030204" pitchFamily="18" charset="0"/>
                    </a:rPr>
                    <m:t>𝑃𝐷𝐿</m:t>
                  </m:r>
                  <m:sSub>
                    <m:sSubPr>
                      <m:ctrlPr>
                        <a:rPr lang="en-US" sz="1100" b="0" i="1">
                          <a:latin typeface="Cambria Math" panose="02040503050406030204" pitchFamily="18" charset="0"/>
                        </a:rPr>
                      </m:ctrlPr>
                    </m:sSubPr>
                    <m:e>
                      <m:r>
                        <a:rPr lang="en-US" sz="1100" b="0" i="1">
                          <a:latin typeface="Cambria Math" panose="02040503050406030204" pitchFamily="18" charset="0"/>
                        </a:rPr>
                        <m:t>𝐷</m:t>
                      </m:r>
                    </m:e>
                    <m:sub>
                      <m:r>
                        <a:rPr lang="en-US" sz="1100" b="0" i="1">
                          <a:latin typeface="Cambria Math" panose="02040503050406030204" pitchFamily="18" charset="0"/>
                        </a:rPr>
                        <m:t>1</m:t>
                      </m:r>
                    </m:sub>
                  </m:sSub>
                </m:oMath>
              </a14:m>
              <a:r>
                <a:rPr lang="en-US" sz="1100" b="0"/>
                <a:t> =</a:t>
              </a:r>
            </a:p>
          </xdr:txBody>
        </xdr:sp>
      </mc:Choice>
      <mc:Fallback xmlns="">
        <xdr:sp macro="" textlink="">
          <xdr:nvSpPr>
            <xdr:cNvPr id="2" name="TextBox 1">
              <a:extLst>
                <a:ext uri="{FF2B5EF4-FFF2-40B4-BE49-F238E27FC236}">
                  <a16:creationId xmlns:a16="http://schemas.microsoft.com/office/drawing/2014/main" id="{CEBC4B9C-C8F5-B049-8557-F62318772C61}"/>
                </a:ext>
              </a:extLst>
            </xdr:cNvPr>
            <xdr:cNvSpPr txBox="1"/>
          </xdr:nvSpPr>
          <xdr:spPr>
            <a:xfrm>
              <a:off x="958850" y="2882900"/>
              <a:ext cx="51668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𝑃𝐷𝐿𝐷_1</a:t>
              </a:r>
              <a:r>
                <a:rPr lang="en-US" sz="1100" b="0"/>
                <a:t> =</a:t>
              </a:r>
            </a:p>
          </xdr:txBody>
        </xdr:sp>
      </mc:Fallback>
    </mc:AlternateContent>
    <xdr:clientData/>
  </xdr:oneCellAnchor>
  <xdr:oneCellAnchor>
    <xdr:from>
      <xdr:col>1</xdr:col>
      <xdr:colOff>107950</xdr:colOff>
      <xdr:row>15</xdr:row>
      <xdr:rowOff>38100</xdr:rowOff>
    </xdr:from>
    <xdr:ext cx="519951" cy="172227"/>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293BC3F-D6A3-3541-A489-2D8C05BA3358}"/>
                </a:ext>
              </a:extLst>
            </xdr:cNvPr>
            <xdr:cNvSpPr txBox="1"/>
          </xdr:nvSpPr>
          <xdr:spPr>
            <a:xfrm>
              <a:off x="946150" y="3086100"/>
              <a:ext cx="51995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r>
                    <a:rPr lang="en-US" sz="1100" b="0" i="1">
                      <a:latin typeface="Cambria Math" panose="02040503050406030204" pitchFamily="18" charset="0"/>
                    </a:rPr>
                    <m:t>𝑃𝐷𝐿</m:t>
                  </m:r>
                  <m:sSub>
                    <m:sSubPr>
                      <m:ctrlPr>
                        <a:rPr lang="en-US" sz="1100" b="0" i="1">
                          <a:latin typeface="Cambria Math" panose="02040503050406030204" pitchFamily="18" charset="0"/>
                        </a:rPr>
                      </m:ctrlPr>
                    </m:sSubPr>
                    <m:e>
                      <m:r>
                        <a:rPr lang="en-US" sz="1100" b="0" i="1">
                          <a:latin typeface="Cambria Math" panose="02040503050406030204" pitchFamily="18" charset="0"/>
                        </a:rPr>
                        <m:t>𝐷</m:t>
                      </m:r>
                    </m:e>
                    <m:sub>
                      <m:r>
                        <a:rPr lang="en-US" sz="1100" b="0" i="1">
                          <a:latin typeface="Cambria Math" panose="02040503050406030204" pitchFamily="18" charset="0"/>
                        </a:rPr>
                        <m:t>2</m:t>
                      </m:r>
                    </m:sub>
                  </m:sSub>
                </m:oMath>
              </a14:m>
              <a:r>
                <a:rPr lang="en-US" sz="1100" b="0"/>
                <a:t> =</a:t>
              </a:r>
            </a:p>
          </xdr:txBody>
        </xdr:sp>
      </mc:Choice>
      <mc:Fallback xmlns="">
        <xdr:sp macro="" textlink="">
          <xdr:nvSpPr>
            <xdr:cNvPr id="3" name="TextBox 2">
              <a:extLst>
                <a:ext uri="{FF2B5EF4-FFF2-40B4-BE49-F238E27FC236}">
                  <a16:creationId xmlns:a16="http://schemas.microsoft.com/office/drawing/2014/main" id="{A293BC3F-D6A3-3541-A489-2D8C05BA3358}"/>
                </a:ext>
              </a:extLst>
            </xdr:cNvPr>
            <xdr:cNvSpPr txBox="1"/>
          </xdr:nvSpPr>
          <xdr:spPr>
            <a:xfrm>
              <a:off x="946150" y="3086100"/>
              <a:ext cx="51995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𝑃𝐷𝐿𝐷_2</a:t>
              </a:r>
              <a:r>
                <a:rPr lang="en-US" sz="1100" b="0"/>
                <a:t> =</a:t>
              </a:r>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1</xdr:col>
      <xdr:colOff>114300</xdr:colOff>
      <xdr:row>5</xdr:row>
      <xdr:rowOff>38100</xdr:rowOff>
    </xdr:from>
    <xdr:ext cx="446532" cy="172227"/>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0B6E113-9310-F543-9402-866279AC0BD7}"/>
                </a:ext>
              </a:extLst>
            </xdr:cNvPr>
            <xdr:cNvSpPr txBox="1"/>
          </xdr:nvSpPr>
          <xdr:spPr>
            <a:xfrm>
              <a:off x="952500" y="1054100"/>
              <a:ext cx="44653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1</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𝐿</m:t>
                      </m:r>
                    </m:e>
                    <m:sub>
                      <m:r>
                        <a:rPr lang="en-US" sz="1100" b="0" i="1">
                          <a:latin typeface="Cambria Math" panose="02040503050406030204" pitchFamily="18" charset="0"/>
                        </a:rPr>
                        <m:t>1</m:t>
                      </m:r>
                    </m:sub>
                  </m:sSub>
                </m:oMath>
              </a14:m>
              <a:r>
                <a:rPr lang="en-US" sz="1100" b="0"/>
                <a:t> =</a:t>
              </a:r>
            </a:p>
          </xdr:txBody>
        </xdr:sp>
      </mc:Choice>
      <mc:Fallback xmlns="">
        <xdr:sp macro="" textlink="">
          <xdr:nvSpPr>
            <xdr:cNvPr id="2" name="TextBox 1">
              <a:extLst>
                <a:ext uri="{FF2B5EF4-FFF2-40B4-BE49-F238E27FC236}">
                  <a16:creationId xmlns:a16="http://schemas.microsoft.com/office/drawing/2014/main" id="{10B6E113-9310-F543-9402-866279AC0BD7}"/>
                </a:ext>
              </a:extLst>
            </xdr:cNvPr>
            <xdr:cNvSpPr txBox="1"/>
          </xdr:nvSpPr>
          <xdr:spPr>
            <a:xfrm>
              <a:off x="952500" y="1054100"/>
              <a:ext cx="44653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𝐶_1/𝐿_1</a:t>
              </a:r>
              <a:r>
                <a:rPr lang="en-US" sz="1100" b="0"/>
                <a:t> =</a:t>
              </a:r>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xdr:from>
      <xdr:col>2</xdr:col>
      <xdr:colOff>0</xdr:colOff>
      <xdr:row>34</xdr:row>
      <xdr:rowOff>0</xdr:rowOff>
    </xdr:from>
    <xdr:to>
      <xdr:col>2</xdr:col>
      <xdr:colOff>38100</xdr:colOff>
      <xdr:row>34</xdr:row>
      <xdr:rowOff>9525</xdr:rowOff>
    </xdr:to>
    <xdr:pic>
      <xdr:nvPicPr>
        <xdr:cNvPr id="2" name="Image 64">
          <a:extLst>
            <a:ext uri="{FF2B5EF4-FFF2-40B4-BE49-F238E27FC236}">
              <a16:creationId xmlns:a16="http://schemas.microsoft.com/office/drawing/2014/main" id="{69D06282-5606-0B42-89EF-A05D29F8243B}"/>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6400" y="6908800"/>
          <a:ext cx="38100"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11</xdr:col>
      <xdr:colOff>0</xdr:colOff>
      <xdr:row>15</xdr:row>
      <xdr:rowOff>0</xdr:rowOff>
    </xdr:from>
    <xdr:to>
      <xdr:col>11</xdr:col>
      <xdr:colOff>38100</xdr:colOff>
      <xdr:row>15</xdr:row>
      <xdr:rowOff>9525</xdr:rowOff>
    </xdr:to>
    <xdr:pic>
      <xdr:nvPicPr>
        <xdr:cNvPr id="2" name="Image 64">
          <a:extLst>
            <a:ext uri="{FF2B5EF4-FFF2-40B4-BE49-F238E27FC236}">
              <a16:creationId xmlns:a16="http://schemas.microsoft.com/office/drawing/2014/main" id="{BBF97DF1-2C3B-0F44-B5E8-F9BCF9FEDB15}"/>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20200" y="3048000"/>
          <a:ext cx="38100"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2</xdr:col>
      <xdr:colOff>177801</xdr:colOff>
      <xdr:row>26</xdr:row>
      <xdr:rowOff>85374</xdr:rowOff>
    </xdr:from>
    <xdr:ext cx="5473699" cy="2566140"/>
    <xdr:pic>
      <xdr:nvPicPr>
        <xdr:cNvPr id="2" name="Picture 1">
          <a:extLst>
            <a:ext uri="{FF2B5EF4-FFF2-40B4-BE49-F238E27FC236}">
              <a16:creationId xmlns:a16="http://schemas.microsoft.com/office/drawing/2014/main" id="{3DADBAFD-A10E-8842-BF59-F1C8EB965C34}"/>
            </a:ext>
          </a:extLst>
        </xdr:cNvPr>
        <xdr:cNvPicPr>
          <a:picLocks noChangeAspect="1"/>
        </xdr:cNvPicPr>
      </xdr:nvPicPr>
      <xdr:blipFill>
        <a:blip xmlns:r="http://schemas.openxmlformats.org/officeDocument/2006/relationships" r:embed="rId1"/>
        <a:stretch>
          <a:fillRect/>
        </a:stretch>
      </xdr:blipFill>
      <xdr:spPr>
        <a:xfrm>
          <a:off x="1854201" y="5368574"/>
          <a:ext cx="5473699" cy="2566140"/>
        </a:xfrm>
        <a:prstGeom prst="rect">
          <a:avLst/>
        </a:prstGeom>
      </xdr:spPr>
    </xdr:pic>
    <xdr:clientData/>
  </xdr:oneCellAnchor>
  <xdr:oneCellAnchor>
    <xdr:from>
      <xdr:col>2</xdr:col>
      <xdr:colOff>177800</xdr:colOff>
      <xdr:row>10</xdr:row>
      <xdr:rowOff>88899</xdr:rowOff>
    </xdr:from>
    <xdr:ext cx="5486400" cy="2572095"/>
    <xdr:pic>
      <xdr:nvPicPr>
        <xdr:cNvPr id="3" name="Picture 2">
          <a:extLst>
            <a:ext uri="{FF2B5EF4-FFF2-40B4-BE49-F238E27FC236}">
              <a16:creationId xmlns:a16="http://schemas.microsoft.com/office/drawing/2014/main" id="{72402B05-4014-A943-95B8-74BB209099A0}"/>
            </a:ext>
          </a:extLst>
        </xdr:cNvPr>
        <xdr:cNvPicPr>
          <a:picLocks noChangeAspect="1"/>
        </xdr:cNvPicPr>
      </xdr:nvPicPr>
      <xdr:blipFill>
        <a:blip xmlns:r="http://schemas.openxmlformats.org/officeDocument/2006/relationships" r:embed="rId2"/>
        <a:stretch>
          <a:fillRect/>
        </a:stretch>
      </xdr:blipFill>
      <xdr:spPr>
        <a:xfrm>
          <a:off x="1854200" y="2120899"/>
          <a:ext cx="5486400" cy="2572095"/>
        </a:xfrm>
        <a:prstGeom prst="rect">
          <a:avLst/>
        </a:prstGeom>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risingfellow.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35DCE-C82F-304D-B711-41274673093F}">
  <sheetPr>
    <tabColor theme="8" tint="0.59999389629810485"/>
  </sheetPr>
  <dimension ref="A1:M52"/>
  <sheetViews>
    <sheetView showGridLines="0" tabSelected="1" zoomScaleNormal="100" workbookViewId="0"/>
  </sheetViews>
  <sheetFormatPr baseColWidth="10" defaultColWidth="8.5" defaultRowHeight="16" x14ac:dyDescent="0.2"/>
  <cols>
    <col min="1" max="5" width="10.6640625" style="82" customWidth="1"/>
    <col min="6" max="12" width="10.83203125" style="82" customWidth="1"/>
    <col min="13" max="13" width="10.6640625" style="82" customWidth="1"/>
    <col min="14" max="16" width="10" style="82" customWidth="1"/>
    <col min="17" max="16384" width="8.5" style="82"/>
  </cols>
  <sheetData>
    <row r="1" spans="1:13" ht="14.5" customHeight="1" x14ac:dyDescent="0.2">
      <c r="A1" s="78"/>
      <c r="B1" s="79"/>
      <c r="C1" s="79"/>
      <c r="D1" s="79"/>
      <c r="E1" s="79"/>
      <c r="F1" s="79"/>
      <c r="G1" s="79"/>
      <c r="H1" s="79"/>
      <c r="I1" s="79"/>
      <c r="J1" s="79"/>
      <c r="K1" s="79"/>
      <c r="L1" s="80" t="s">
        <v>140</v>
      </c>
      <c r="M1" s="81"/>
    </row>
    <row r="2" spans="1:13" s="84" customFormat="1" x14ac:dyDescent="0.2">
      <c r="A2" s="83"/>
      <c r="M2" s="85"/>
    </row>
    <row r="3" spans="1:13" s="84" customFormat="1" ht="16" customHeight="1" x14ac:dyDescent="0.2">
      <c r="A3" s="83"/>
      <c r="M3" s="85"/>
    </row>
    <row r="4" spans="1:13" s="84" customFormat="1" ht="16" customHeight="1" x14ac:dyDescent="0.2">
      <c r="A4" s="83"/>
      <c r="M4" s="85"/>
    </row>
    <row r="5" spans="1:13" s="84" customFormat="1" ht="16" customHeight="1" x14ac:dyDescent="0.2">
      <c r="A5" s="83"/>
      <c r="M5" s="85"/>
    </row>
    <row r="6" spans="1:13" s="84" customFormat="1" ht="16" customHeight="1" x14ac:dyDescent="0.2">
      <c r="A6" s="83"/>
      <c r="B6" s="86" t="s">
        <v>141</v>
      </c>
      <c r="M6" s="85"/>
    </row>
    <row r="7" spans="1:13" s="84" customFormat="1" ht="16" customHeight="1" x14ac:dyDescent="0.2">
      <c r="A7" s="83"/>
      <c r="M7" s="85"/>
    </row>
    <row r="8" spans="1:13" s="84" customFormat="1" ht="16" customHeight="1" x14ac:dyDescent="0.25">
      <c r="A8" s="83"/>
      <c r="B8" s="87" t="s">
        <v>142</v>
      </c>
      <c r="M8" s="85"/>
    </row>
    <row r="9" spans="1:13" s="84" customFormat="1" ht="17" customHeight="1" x14ac:dyDescent="0.2">
      <c r="A9" s="83"/>
      <c r="C9" s="310" t="s">
        <v>143</v>
      </c>
      <c r="D9" s="311"/>
      <c r="E9" s="311"/>
      <c r="F9" s="311"/>
      <c r="G9" s="311"/>
      <c r="H9" s="311"/>
      <c r="I9" s="311"/>
      <c r="J9" s="311"/>
      <c r="K9" s="311"/>
      <c r="M9" s="85"/>
    </row>
    <row r="10" spans="1:13" s="84" customFormat="1" x14ac:dyDescent="0.2">
      <c r="A10" s="83"/>
      <c r="C10" s="311"/>
      <c r="D10" s="311"/>
      <c r="E10" s="311"/>
      <c r="F10" s="311"/>
      <c r="G10" s="311"/>
      <c r="H10" s="311"/>
      <c r="I10" s="311"/>
      <c r="J10" s="311"/>
      <c r="K10" s="311"/>
      <c r="M10" s="85"/>
    </row>
    <row r="11" spans="1:13" s="84" customFormat="1" ht="16" customHeight="1" x14ac:dyDescent="0.2">
      <c r="A11" s="83"/>
      <c r="C11" s="311"/>
      <c r="D11" s="311"/>
      <c r="E11" s="311"/>
      <c r="F11" s="311"/>
      <c r="G11" s="311"/>
      <c r="H11" s="311"/>
      <c r="I11" s="311"/>
      <c r="J11" s="311"/>
      <c r="K11" s="311"/>
      <c r="M11" s="85"/>
    </row>
    <row r="12" spans="1:13" s="84" customFormat="1" ht="16" customHeight="1" x14ac:dyDescent="0.2">
      <c r="A12" s="83"/>
      <c r="C12" s="311"/>
      <c r="D12" s="311"/>
      <c r="E12" s="311"/>
      <c r="F12" s="311"/>
      <c r="G12" s="311"/>
      <c r="H12" s="311"/>
      <c r="I12" s="311"/>
      <c r="J12" s="311"/>
      <c r="K12" s="311"/>
      <c r="M12" s="85"/>
    </row>
    <row r="13" spans="1:13" s="84" customFormat="1" ht="16" customHeight="1" x14ac:dyDescent="0.2">
      <c r="A13" s="83"/>
      <c r="C13" s="311"/>
      <c r="D13" s="311"/>
      <c r="E13" s="311"/>
      <c r="F13" s="311"/>
      <c r="G13" s="311"/>
      <c r="H13" s="311"/>
      <c r="I13" s="311"/>
      <c r="J13" s="311"/>
      <c r="K13" s="311"/>
      <c r="M13" s="85"/>
    </row>
    <row r="14" spans="1:13" s="84" customFormat="1" ht="16" customHeight="1" x14ac:dyDescent="0.2">
      <c r="A14" s="83"/>
      <c r="C14" s="311"/>
      <c r="D14" s="311"/>
      <c r="E14" s="311"/>
      <c r="F14" s="311"/>
      <c r="G14" s="311"/>
      <c r="H14" s="311"/>
      <c r="I14" s="311"/>
      <c r="J14" s="311"/>
      <c r="K14" s="311"/>
      <c r="M14" s="85"/>
    </row>
    <row r="15" spans="1:13" s="84" customFormat="1" ht="16" customHeight="1" x14ac:dyDescent="0.2">
      <c r="A15" s="83"/>
      <c r="C15" s="311"/>
      <c r="D15" s="311"/>
      <c r="E15" s="311"/>
      <c r="F15" s="311"/>
      <c r="G15" s="311"/>
      <c r="H15" s="311"/>
      <c r="I15" s="311"/>
      <c r="J15" s="311"/>
      <c r="K15" s="311"/>
      <c r="M15" s="85"/>
    </row>
    <row r="16" spans="1:13" s="84" customFormat="1" ht="16" customHeight="1" x14ac:dyDescent="0.2">
      <c r="A16" s="83"/>
      <c r="C16" s="311"/>
      <c r="D16" s="311"/>
      <c r="E16" s="311"/>
      <c r="F16" s="311"/>
      <c r="G16" s="311"/>
      <c r="H16" s="311"/>
      <c r="I16" s="311"/>
      <c r="J16" s="311"/>
      <c r="K16" s="311"/>
      <c r="M16" s="85"/>
    </row>
    <row r="17" spans="1:13" s="84" customFormat="1" ht="16" customHeight="1" x14ac:dyDescent="0.2">
      <c r="A17" s="83"/>
      <c r="M17" s="85"/>
    </row>
    <row r="18" spans="1:13" s="84" customFormat="1" ht="16" customHeight="1" x14ac:dyDescent="0.25">
      <c r="A18" s="83"/>
      <c r="B18" s="87" t="s">
        <v>144</v>
      </c>
      <c r="M18" s="85"/>
    </row>
    <row r="19" spans="1:13" s="84" customFormat="1" ht="17" customHeight="1" x14ac:dyDescent="0.2">
      <c r="A19" s="83"/>
      <c r="C19" s="310" t="s">
        <v>145</v>
      </c>
      <c r="D19" s="311"/>
      <c r="E19" s="311"/>
      <c r="F19" s="311"/>
      <c r="G19" s="311"/>
      <c r="H19" s="311"/>
      <c r="I19" s="311"/>
      <c r="J19" s="311"/>
      <c r="K19" s="311"/>
      <c r="M19" s="85"/>
    </row>
    <row r="20" spans="1:13" s="84" customFormat="1" x14ac:dyDescent="0.2">
      <c r="A20" s="83"/>
      <c r="C20" s="311"/>
      <c r="D20" s="311"/>
      <c r="E20" s="311"/>
      <c r="F20" s="311"/>
      <c r="G20" s="311"/>
      <c r="H20" s="311"/>
      <c r="I20" s="311"/>
      <c r="J20" s="311"/>
      <c r="K20" s="311"/>
      <c r="M20" s="85"/>
    </row>
    <row r="21" spans="1:13" s="84" customFormat="1" x14ac:dyDescent="0.2">
      <c r="A21" s="83"/>
      <c r="C21" s="311"/>
      <c r="D21" s="311"/>
      <c r="E21" s="311"/>
      <c r="F21" s="311"/>
      <c r="G21" s="311"/>
      <c r="H21" s="311"/>
      <c r="I21" s="311"/>
      <c r="J21" s="311"/>
      <c r="K21" s="311"/>
      <c r="M21" s="85"/>
    </row>
    <row r="22" spans="1:13" s="84" customFormat="1" x14ac:dyDescent="0.2">
      <c r="A22" s="83"/>
      <c r="C22" s="311"/>
      <c r="D22" s="311"/>
      <c r="E22" s="311"/>
      <c r="F22" s="311"/>
      <c r="G22" s="311"/>
      <c r="H22" s="311"/>
      <c r="I22" s="311"/>
      <c r="J22" s="311"/>
      <c r="K22" s="311"/>
      <c r="M22" s="85"/>
    </row>
    <row r="23" spans="1:13" s="84" customFormat="1" x14ac:dyDescent="0.2">
      <c r="A23" s="83"/>
      <c r="C23" s="311"/>
      <c r="D23" s="311"/>
      <c r="E23" s="311"/>
      <c r="F23" s="311"/>
      <c r="G23" s="311"/>
      <c r="H23" s="311"/>
      <c r="I23" s="311"/>
      <c r="J23" s="311"/>
      <c r="K23" s="311"/>
      <c r="M23" s="85"/>
    </row>
    <row r="24" spans="1:13" s="84" customFormat="1" x14ac:dyDescent="0.2">
      <c r="A24" s="83"/>
      <c r="C24" s="311"/>
      <c r="D24" s="311"/>
      <c r="E24" s="311"/>
      <c r="F24" s="311"/>
      <c r="G24" s="311"/>
      <c r="H24" s="311"/>
      <c r="I24" s="311"/>
      <c r="J24" s="311"/>
      <c r="K24" s="311"/>
      <c r="M24" s="85"/>
    </row>
    <row r="25" spans="1:13" s="84" customFormat="1" x14ac:dyDescent="0.2">
      <c r="A25" s="83"/>
      <c r="C25" s="311"/>
      <c r="D25" s="311"/>
      <c r="E25" s="311"/>
      <c r="F25" s="311"/>
      <c r="G25" s="311"/>
      <c r="H25" s="311"/>
      <c r="I25" s="311"/>
      <c r="J25" s="311"/>
      <c r="K25" s="311"/>
      <c r="M25" s="85"/>
    </row>
    <row r="26" spans="1:13" s="84" customFormat="1" x14ac:dyDescent="0.2">
      <c r="A26" s="83"/>
      <c r="C26" s="311"/>
      <c r="D26" s="311"/>
      <c r="E26" s="311"/>
      <c r="F26" s="311"/>
      <c r="G26" s="311"/>
      <c r="H26" s="311"/>
      <c r="I26" s="311"/>
      <c r="J26" s="311"/>
      <c r="K26" s="311"/>
      <c r="M26" s="85"/>
    </row>
    <row r="27" spans="1:13" s="84" customFormat="1" x14ac:dyDescent="0.2">
      <c r="A27" s="83"/>
      <c r="C27" s="311"/>
      <c r="D27" s="311"/>
      <c r="E27" s="311"/>
      <c r="F27" s="311"/>
      <c r="G27" s="311"/>
      <c r="H27" s="311"/>
      <c r="I27" s="311"/>
      <c r="J27" s="311"/>
      <c r="K27" s="311"/>
      <c r="M27" s="85"/>
    </row>
    <row r="28" spans="1:13" s="84" customFormat="1" x14ac:dyDescent="0.2">
      <c r="A28" s="83"/>
      <c r="C28" s="311"/>
      <c r="D28" s="311"/>
      <c r="E28" s="311"/>
      <c r="F28" s="311"/>
      <c r="G28" s="311"/>
      <c r="H28" s="311"/>
      <c r="I28" s="311"/>
      <c r="J28" s="311"/>
      <c r="K28" s="311"/>
      <c r="M28" s="85"/>
    </row>
    <row r="29" spans="1:13" s="84" customFormat="1" x14ac:dyDescent="0.2">
      <c r="A29" s="83"/>
      <c r="C29" s="88"/>
      <c r="D29" s="88"/>
      <c r="E29" s="88"/>
      <c r="F29" s="88"/>
      <c r="G29" s="88"/>
      <c r="H29" s="88"/>
      <c r="I29" s="88"/>
      <c r="J29" s="88"/>
      <c r="K29" s="88"/>
      <c r="M29" s="85"/>
    </row>
    <row r="30" spans="1:13" s="84" customFormat="1" ht="19" x14ac:dyDescent="0.25">
      <c r="A30" s="83"/>
      <c r="C30" s="89" t="s">
        <v>146</v>
      </c>
      <c r="D30" s="88"/>
      <c r="E30" s="88"/>
      <c r="F30" s="88"/>
      <c r="G30" s="88"/>
      <c r="H30" s="88"/>
      <c r="I30" s="88"/>
      <c r="J30" s="88"/>
      <c r="K30" s="88"/>
      <c r="M30" s="85"/>
    </row>
    <row r="31" spans="1:13" s="84" customFormat="1" x14ac:dyDescent="0.2">
      <c r="A31" s="83"/>
      <c r="C31" s="310" t="s">
        <v>147</v>
      </c>
      <c r="D31" s="310"/>
      <c r="E31" s="310"/>
      <c r="F31" s="310"/>
      <c r="G31" s="310"/>
      <c r="H31" s="310"/>
      <c r="I31" s="310"/>
      <c r="J31" s="310"/>
      <c r="K31" s="310"/>
      <c r="M31" s="85"/>
    </row>
    <row r="32" spans="1:13" s="84" customFormat="1" x14ac:dyDescent="0.2">
      <c r="A32" s="83"/>
      <c r="C32" s="310"/>
      <c r="D32" s="310"/>
      <c r="E32" s="310"/>
      <c r="F32" s="310"/>
      <c r="G32" s="310"/>
      <c r="H32" s="310"/>
      <c r="I32" s="310"/>
      <c r="J32" s="310"/>
      <c r="K32" s="310"/>
      <c r="M32" s="85"/>
    </row>
    <row r="33" spans="1:13" s="84" customFormat="1" x14ac:dyDescent="0.2">
      <c r="A33" s="83"/>
      <c r="C33" s="310"/>
      <c r="D33" s="310"/>
      <c r="E33" s="310"/>
      <c r="F33" s="310"/>
      <c r="G33" s="310"/>
      <c r="H33" s="310"/>
      <c r="I33" s="310"/>
      <c r="J33" s="310"/>
      <c r="K33" s="310"/>
      <c r="M33" s="85"/>
    </row>
    <row r="34" spans="1:13" s="84" customFormat="1" x14ac:dyDescent="0.2">
      <c r="A34" s="83"/>
      <c r="C34" s="310"/>
      <c r="D34" s="310"/>
      <c r="E34" s="310"/>
      <c r="F34" s="310"/>
      <c r="G34" s="310"/>
      <c r="H34" s="310"/>
      <c r="I34" s="310"/>
      <c r="J34" s="310"/>
      <c r="K34" s="310"/>
      <c r="M34" s="85"/>
    </row>
    <row r="35" spans="1:13" s="84" customFormat="1" x14ac:dyDescent="0.2">
      <c r="A35" s="83"/>
      <c r="C35" s="310"/>
      <c r="D35" s="310"/>
      <c r="E35" s="310"/>
      <c r="F35" s="310"/>
      <c r="G35" s="310"/>
      <c r="H35" s="310"/>
      <c r="I35" s="310"/>
      <c r="J35" s="310"/>
      <c r="K35" s="310"/>
      <c r="M35" s="85"/>
    </row>
    <row r="36" spans="1:13" s="84" customFormat="1" x14ac:dyDescent="0.2">
      <c r="A36" s="83"/>
      <c r="C36" s="310"/>
      <c r="D36" s="310"/>
      <c r="E36" s="310"/>
      <c r="F36" s="310"/>
      <c r="G36" s="310"/>
      <c r="H36" s="310"/>
      <c r="I36" s="310"/>
      <c r="J36" s="310"/>
      <c r="K36" s="310"/>
      <c r="M36" s="85"/>
    </row>
    <row r="37" spans="1:13" s="84" customFormat="1" x14ac:dyDescent="0.2">
      <c r="A37" s="83"/>
      <c r="C37" s="310"/>
      <c r="D37" s="310"/>
      <c r="E37" s="310"/>
      <c r="F37" s="310"/>
      <c r="G37" s="310"/>
      <c r="H37" s="310"/>
      <c r="I37" s="310"/>
      <c r="J37" s="310"/>
      <c r="K37" s="310"/>
      <c r="M37" s="85"/>
    </row>
    <row r="38" spans="1:13" s="84" customFormat="1" x14ac:dyDescent="0.2">
      <c r="A38" s="83"/>
      <c r="C38" s="310"/>
      <c r="D38" s="310"/>
      <c r="E38" s="310"/>
      <c r="F38" s="310"/>
      <c r="G38" s="310"/>
      <c r="H38" s="310"/>
      <c r="I38" s="310"/>
      <c r="J38" s="310"/>
      <c r="K38" s="310"/>
      <c r="M38" s="85"/>
    </row>
    <row r="39" spans="1:13" s="84" customFormat="1" x14ac:dyDescent="0.2">
      <c r="A39" s="83"/>
      <c r="C39" s="310"/>
      <c r="D39" s="310"/>
      <c r="E39" s="310"/>
      <c r="F39" s="310"/>
      <c r="G39" s="310"/>
      <c r="H39" s="310"/>
      <c r="I39" s="310"/>
      <c r="J39" s="310"/>
      <c r="K39" s="310"/>
      <c r="M39" s="85"/>
    </row>
    <row r="40" spans="1:13" s="84" customFormat="1" x14ac:dyDescent="0.2">
      <c r="A40" s="83"/>
      <c r="C40" s="90"/>
      <c r="D40" s="90"/>
      <c r="E40" s="90"/>
      <c r="F40" s="90"/>
      <c r="G40" s="90"/>
      <c r="H40" s="90"/>
      <c r="I40" s="90"/>
      <c r="J40" s="90"/>
      <c r="K40" s="90"/>
      <c r="M40" s="85"/>
    </row>
    <row r="41" spans="1:13" s="84" customFormat="1" ht="21" x14ac:dyDescent="0.25">
      <c r="A41" s="83"/>
      <c r="B41" s="87" t="s">
        <v>148</v>
      </c>
      <c r="M41" s="85"/>
    </row>
    <row r="42" spans="1:13" s="84" customFormat="1" x14ac:dyDescent="0.2">
      <c r="A42" s="83"/>
      <c r="C42" s="312" t="s">
        <v>578</v>
      </c>
      <c r="D42" s="311"/>
      <c r="E42" s="311"/>
      <c r="F42" s="311"/>
      <c r="G42" s="311"/>
      <c r="H42" s="311"/>
      <c r="I42" s="311"/>
      <c r="J42" s="311"/>
      <c r="K42" s="311"/>
      <c r="M42" s="85"/>
    </row>
    <row r="43" spans="1:13" s="84" customFormat="1" x14ac:dyDescent="0.2">
      <c r="A43" s="83"/>
      <c r="C43" s="311"/>
      <c r="D43" s="311"/>
      <c r="E43" s="311"/>
      <c r="F43" s="311"/>
      <c r="G43" s="311"/>
      <c r="H43" s="311"/>
      <c r="I43" s="311"/>
      <c r="J43" s="311"/>
      <c r="K43" s="311"/>
      <c r="M43" s="85"/>
    </row>
    <row r="44" spans="1:13" s="84" customFormat="1" x14ac:dyDescent="0.2">
      <c r="A44" s="83"/>
      <c r="C44" s="311"/>
      <c r="D44" s="311"/>
      <c r="E44" s="311"/>
      <c r="F44" s="311"/>
      <c r="G44" s="311"/>
      <c r="H44" s="311"/>
      <c r="I44" s="311"/>
      <c r="J44" s="311"/>
      <c r="K44" s="311"/>
      <c r="M44" s="85"/>
    </row>
    <row r="45" spans="1:13" s="84" customFormat="1" x14ac:dyDescent="0.2">
      <c r="A45" s="83"/>
      <c r="C45" s="311"/>
      <c r="D45" s="311"/>
      <c r="E45" s="311"/>
      <c r="F45" s="311"/>
      <c r="G45" s="311"/>
      <c r="H45" s="311"/>
      <c r="I45" s="311"/>
      <c r="J45" s="311"/>
      <c r="K45" s="311"/>
      <c r="M45" s="85"/>
    </row>
    <row r="46" spans="1:13" s="84" customFormat="1" x14ac:dyDescent="0.2">
      <c r="A46" s="83"/>
      <c r="C46" s="311"/>
      <c r="D46" s="311"/>
      <c r="E46" s="311"/>
      <c r="F46" s="311"/>
      <c r="G46" s="311"/>
      <c r="H46" s="311"/>
      <c r="I46" s="311"/>
      <c r="J46" s="311"/>
      <c r="K46" s="311"/>
      <c r="M46" s="85"/>
    </row>
    <row r="47" spans="1:13" s="84" customFormat="1" x14ac:dyDescent="0.2">
      <c r="A47" s="83"/>
      <c r="C47" s="311"/>
      <c r="D47" s="311"/>
      <c r="E47" s="311"/>
      <c r="F47" s="311"/>
      <c r="G47" s="311"/>
      <c r="H47" s="311"/>
      <c r="I47" s="311"/>
      <c r="J47" s="311"/>
      <c r="K47" s="311"/>
      <c r="M47" s="85"/>
    </row>
    <row r="48" spans="1:13" s="84" customFormat="1" x14ac:dyDescent="0.2">
      <c r="A48" s="83"/>
      <c r="C48" s="311"/>
      <c r="D48" s="311"/>
      <c r="E48" s="311"/>
      <c r="F48" s="311"/>
      <c r="G48" s="311"/>
      <c r="H48" s="311"/>
      <c r="I48" s="311"/>
      <c r="J48" s="311"/>
      <c r="K48" s="311"/>
      <c r="M48" s="85"/>
    </row>
    <row r="49" spans="1:13" s="84" customFormat="1" x14ac:dyDescent="0.2">
      <c r="A49" s="83"/>
      <c r="C49" s="311"/>
      <c r="D49" s="311"/>
      <c r="E49" s="311"/>
      <c r="F49" s="311"/>
      <c r="G49" s="311"/>
      <c r="H49" s="311"/>
      <c r="I49" s="311"/>
      <c r="J49" s="311"/>
      <c r="K49" s="311"/>
      <c r="M49" s="85"/>
    </row>
    <row r="50" spans="1:13" s="84" customFormat="1" x14ac:dyDescent="0.2">
      <c r="A50" s="83"/>
      <c r="C50" s="311"/>
      <c r="D50" s="311"/>
      <c r="E50" s="311"/>
      <c r="F50" s="311"/>
      <c r="G50" s="311"/>
      <c r="H50" s="311"/>
      <c r="I50" s="311"/>
      <c r="J50" s="311"/>
      <c r="K50" s="311"/>
      <c r="M50" s="85"/>
    </row>
    <row r="51" spans="1:13" s="84" customFormat="1" x14ac:dyDescent="0.2">
      <c r="A51" s="83"/>
      <c r="C51" s="90"/>
      <c r="D51" s="90"/>
      <c r="E51" s="90"/>
      <c r="F51" s="90"/>
      <c r="G51" s="90"/>
      <c r="H51" s="90"/>
      <c r="I51" s="90"/>
      <c r="J51" s="90"/>
      <c r="K51" s="90"/>
      <c r="M51" s="85"/>
    </row>
    <row r="52" spans="1:13" ht="17" thickBot="1" x14ac:dyDescent="0.25">
      <c r="A52" s="91"/>
      <c r="B52" s="92"/>
      <c r="C52" s="92"/>
      <c r="D52" s="92"/>
      <c r="E52" s="92"/>
      <c r="F52" s="92"/>
      <c r="G52" s="92"/>
      <c r="H52" s="92"/>
      <c r="I52" s="92"/>
      <c r="J52" s="92"/>
      <c r="K52" s="92"/>
      <c r="L52" s="92"/>
      <c r="M52" s="93"/>
    </row>
  </sheetData>
  <mergeCells count="4">
    <mergeCell ref="C9:K16"/>
    <mergeCell ref="C19:K28"/>
    <mergeCell ref="C31:K39"/>
    <mergeCell ref="C42:K50"/>
  </mergeCells>
  <hyperlinks>
    <hyperlink ref="B6" r:id="rId1" xr:uid="{400EE082-0082-7B49-AA90-8531F7F037B0}"/>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7D556-2801-8343-869F-4D14E5407649}">
  <dimension ref="A1:BM192"/>
  <sheetViews>
    <sheetView zoomScaleNormal="100" workbookViewId="0"/>
  </sheetViews>
  <sheetFormatPr baseColWidth="10" defaultColWidth="10.83203125" defaultRowHeight="16" outlineLevelCol="1" x14ac:dyDescent="0.2"/>
  <cols>
    <col min="1" max="1" width="4.6640625" style="41" customWidth="1"/>
    <col min="2" max="3" width="10.83203125" style="41" customWidth="1"/>
    <col min="4" max="4" width="11.6640625" style="41" customWidth="1"/>
    <col min="5" max="10" width="10.83203125" style="41" customWidth="1"/>
    <col min="11" max="11" width="11.5" style="41" bestFit="1" customWidth="1"/>
    <col min="12" max="19" width="10.83203125" style="41" hidden="1" customWidth="1" outlineLevel="1"/>
    <col min="20" max="20" width="10.83203125" style="41" collapsed="1"/>
    <col min="21" max="16384" width="10.83203125" style="41"/>
  </cols>
  <sheetData>
    <row r="1" spans="1:19" ht="19" x14ac:dyDescent="0.25">
      <c r="A1" s="1" t="s">
        <v>126</v>
      </c>
      <c r="B1" s="22"/>
      <c r="C1" s="38"/>
      <c r="D1" s="38"/>
      <c r="E1" s="38"/>
      <c r="F1" s="39"/>
      <c r="G1" s="39"/>
      <c r="H1" s="39"/>
      <c r="I1" s="39"/>
      <c r="J1" s="40"/>
      <c r="K1" s="2" t="s">
        <v>125</v>
      </c>
    </row>
    <row r="2" spans="1:19" x14ac:dyDescent="0.2">
      <c r="A2" s="42"/>
      <c r="B2" s="39"/>
      <c r="C2" s="39"/>
      <c r="D2" s="39"/>
      <c r="E2" s="39"/>
      <c r="F2" s="39"/>
      <c r="G2" s="39"/>
      <c r="H2" s="39"/>
      <c r="I2" s="39"/>
      <c r="J2" s="40"/>
      <c r="M2" s="41" t="s">
        <v>85</v>
      </c>
      <c r="N2" s="43"/>
    </row>
    <row r="3" spans="1:19" x14ac:dyDescent="0.2">
      <c r="A3" s="42"/>
      <c r="B3" s="39" t="s">
        <v>4</v>
      </c>
      <c r="C3" s="39"/>
      <c r="D3" s="39"/>
      <c r="E3" s="39"/>
      <c r="F3" s="39"/>
      <c r="G3" s="39"/>
      <c r="H3" s="39"/>
      <c r="I3" s="39"/>
      <c r="J3" s="40"/>
    </row>
    <row r="4" spans="1:19" x14ac:dyDescent="0.2">
      <c r="A4" s="42"/>
      <c r="B4" s="39"/>
      <c r="C4" s="39"/>
      <c r="D4" s="39"/>
      <c r="E4" s="39"/>
      <c r="F4" s="39"/>
      <c r="G4" s="39"/>
      <c r="H4" s="39"/>
      <c r="I4" s="39"/>
      <c r="J4" s="40"/>
      <c r="M4" s="41" t="s">
        <v>86</v>
      </c>
    </row>
    <row r="5" spans="1:19" x14ac:dyDescent="0.2">
      <c r="A5" s="42"/>
      <c r="B5" s="39"/>
      <c r="C5" s="313" t="s">
        <v>10</v>
      </c>
      <c r="D5" s="313"/>
      <c r="E5" s="313"/>
      <c r="F5" s="313"/>
      <c r="G5" s="313"/>
      <c r="H5" s="39"/>
      <c r="I5" s="39"/>
      <c r="J5" s="40"/>
    </row>
    <row r="6" spans="1:19" ht="17" x14ac:dyDescent="0.2">
      <c r="A6" s="42"/>
      <c r="B6" s="39"/>
      <c r="C6" s="44"/>
      <c r="D6" s="5"/>
      <c r="E6" s="6" t="s">
        <v>5</v>
      </c>
      <c r="F6" s="6" t="s">
        <v>6</v>
      </c>
      <c r="G6" s="6" t="s">
        <v>7</v>
      </c>
      <c r="H6" s="39"/>
      <c r="I6" s="39"/>
      <c r="J6" s="40"/>
      <c r="M6" s="41" t="s">
        <v>87</v>
      </c>
    </row>
    <row r="7" spans="1:19" x14ac:dyDescent="0.2">
      <c r="A7" s="42"/>
      <c r="B7" s="39"/>
      <c r="C7" s="39"/>
      <c r="D7" s="7" t="s">
        <v>8</v>
      </c>
      <c r="E7" s="8">
        <v>0.9</v>
      </c>
      <c r="F7" s="8">
        <v>0.68</v>
      </c>
      <c r="G7" s="8">
        <v>0.55000000000000004</v>
      </c>
      <c r="H7" s="39"/>
      <c r="I7" s="39"/>
      <c r="J7" s="40"/>
    </row>
    <row r="8" spans="1:19" x14ac:dyDescent="0.2">
      <c r="A8" s="42"/>
      <c r="B8" s="39"/>
      <c r="C8" s="39"/>
      <c r="D8" s="7" t="s">
        <v>9</v>
      </c>
      <c r="E8" s="8">
        <v>0.7</v>
      </c>
      <c r="F8" s="8">
        <v>0.15</v>
      </c>
      <c r="G8" s="8">
        <v>0.08</v>
      </c>
      <c r="H8" s="39"/>
      <c r="I8" s="39"/>
      <c r="J8" s="40"/>
      <c r="M8" s="45" t="s">
        <v>90</v>
      </c>
      <c r="N8" s="46" t="s">
        <v>89</v>
      </c>
    </row>
    <row r="9" spans="1:19" x14ac:dyDescent="0.2">
      <c r="A9" s="42"/>
      <c r="B9" s="39"/>
      <c r="C9" s="39"/>
      <c r="D9" s="39"/>
      <c r="E9" s="39"/>
      <c r="F9" s="39"/>
      <c r="G9" s="39"/>
      <c r="H9" s="39"/>
      <c r="I9" s="39"/>
      <c r="J9" s="40"/>
      <c r="M9" s="47">
        <v>1</v>
      </c>
      <c r="N9" s="48">
        <f>(D14/D15)*D12/(D13*E8)+E7*D11*D12</f>
        <v>1.5234093905076984</v>
      </c>
    </row>
    <row r="10" spans="1:19" x14ac:dyDescent="0.2">
      <c r="A10" s="42"/>
      <c r="B10" s="39"/>
      <c r="C10" s="39"/>
      <c r="D10" s="39"/>
      <c r="E10" s="39"/>
      <c r="F10" s="39"/>
      <c r="G10" s="39"/>
      <c r="H10" s="39"/>
      <c r="I10" s="39"/>
      <c r="J10" s="40"/>
      <c r="M10" s="47">
        <v>2</v>
      </c>
      <c r="N10" s="48">
        <f>F7*$D$11*$D$12</f>
        <v>0.83232000000000006</v>
      </c>
    </row>
    <row r="11" spans="1:19" x14ac:dyDescent="0.2">
      <c r="A11" s="42"/>
      <c r="B11" s="39" t="s">
        <v>11</v>
      </c>
      <c r="C11" s="39"/>
      <c r="D11" s="49">
        <v>1.2</v>
      </c>
      <c r="E11" s="39"/>
      <c r="F11" s="39"/>
      <c r="G11" s="39"/>
      <c r="H11" s="39"/>
      <c r="I11" s="39"/>
      <c r="J11" s="40"/>
      <c r="M11" s="47">
        <v>3</v>
      </c>
      <c r="N11" s="48">
        <f>G7*$D$11*$D$12</f>
        <v>0.67320000000000002</v>
      </c>
    </row>
    <row r="12" spans="1:19" x14ac:dyDescent="0.2">
      <c r="A12" s="42"/>
      <c r="B12" s="39" t="s">
        <v>12</v>
      </c>
      <c r="C12" s="39"/>
      <c r="D12" s="50">
        <v>1.02</v>
      </c>
      <c r="E12" s="39"/>
      <c r="F12" s="39"/>
      <c r="G12" s="39"/>
      <c r="H12" s="39"/>
      <c r="I12" s="39"/>
      <c r="J12" s="40"/>
    </row>
    <row r="13" spans="1:19" ht="19" x14ac:dyDescent="0.25">
      <c r="A13" s="42"/>
      <c r="B13" s="39" t="s">
        <v>13</v>
      </c>
      <c r="C13" s="39"/>
      <c r="D13" s="51">
        <v>0.76</v>
      </c>
      <c r="E13" s="39"/>
      <c r="F13" s="39"/>
      <c r="G13" s="39"/>
      <c r="H13" s="39"/>
      <c r="I13" s="39"/>
      <c r="J13" s="40"/>
      <c r="L13" s="2" t="s">
        <v>113</v>
      </c>
    </row>
    <row r="14" spans="1:19" ht="16" customHeight="1" x14ac:dyDescent="0.2">
      <c r="A14" s="42"/>
      <c r="B14" s="39" t="s">
        <v>14</v>
      </c>
      <c r="C14" s="39"/>
      <c r="D14" s="52">
        <v>8645000</v>
      </c>
      <c r="E14" s="39"/>
      <c r="F14" s="39"/>
      <c r="G14" s="39"/>
      <c r="H14" s="39"/>
      <c r="I14" s="39"/>
      <c r="J14" s="40"/>
      <c r="L14" s="317" t="s">
        <v>123</v>
      </c>
      <c r="M14" s="317"/>
      <c r="N14" s="317"/>
      <c r="O14" s="317"/>
      <c r="P14" s="317"/>
      <c r="Q14" s="317"/>
      <c r="R14" s="317"/>
      <c r="S14" s="317"/>
    </row>
    <row r="15" spans="1:19" x14ac:dyDescent="0.2">
      <c r="A15" s="42"/>
      <c r="B15" s="39" t="s">
        <v>15</v>
      </c>
      <c r="C15" s="39"/>
      <c r="D15" s="52">
        <v>39295000</v>
      </c>
      <c r="E15" s="39"/>
      <c r="F15" s="39"/>
      <c r="G15" s="39"/>
      <c r="H15" s="39"/>
      <c r="I15" s="39"/>
      <c r="J15" s="40"/>
      <c r="L15" s="317"/>
      <c r="M15" s="317"/>
      <c r="N15" s="317"/>
      <c r="O15" s="317"/>
      <c r="P15" s="317"/>
      <c r="Q15" s="317"/>
      <c r="R15" s="317"/>
      <c r="S15" s="317"/>
    </row>
    <row r="16" spans="1:19" x14ac:dyDescent="0.2">
      <c r="A16" s="42"/>
      <c r="B16" s="39"/>
      <c r="C16" s="39"/>
      <c r="D16" s="39"/>
      <c r="E16" s="39"/>
      <c r="F16" s="39"/>
      <c r="G16" s="39"/>
      <c r="H16" s="39"/>
      <c r="I16" s="39"/>
      <c r="J16" s="40"/>
      <c r="L16" s="317"/>
      <c r="M16" s="317"/>
      <c r="N16" s="317"/>
      <c r="O16" s="317"/>
      <c r="P16" s="317"/>
      <c r="Q16" s="317"/>
      <c r="R16" s="317"/>
      <c r="S16" s="317"/>
    </row>
    <row r="17" spans="1:19" x14ac:dyDescent="0.2">
      <c r="A17" s="42"/>
      <c r="B17" s="39"/>
      <c r="C17" s="39"/>
      <c r="D17" s="39"/>
      <c r="E17" s="39"/>
      <c r="F17" s="39"/>
      <c r="G17" s="39"/>
      <c r="H17" s="39"/>
      <c r="I17" s="39"/>
      <c r="J17" s="40"/>
      <c r="L17" s="317"/>
      <c r="M17" s="317"/>
      <c r="N17" s="317"/>
      <c r="O17" s="317"/>
      <c r="P17" s="317"/>
      <c r="Q17" s="317"/>
      <c r="R17" s="317"/>
      <c r="S17" s="317"/>
    </row>
    <row r="18" spans="1:19" x14ac:dyDescent="0.2">
      <c r="A18" s="42"/>
      <c r="B18" s="39" t="s">
        <v>16</v>
      </c>
      <c r="C18" s="39"/>
      <c r="D18" s="39"/>
      <c r="E18" s="39"/>
      <c r="F18" s="39"/>
      <c r="G18" s="39"/>
      <c r="H18" s="39"/>
      <c r="I18" s="39"/>
      <c r="J18" s="40"/>
      <c r="L18" s="317"/>
      <c r="M18" s="317"/>
      <c r="N18" s="317"/>
      <c r="O18" s="317"/>
      <c r="P18" s="317"/>
      <c r="Q18" s="317"/>
      <c r="R18" s="317"/>
      <c r="S18" s="317"/>
    </row>
    <row r="19" spans="1:19" x14ac:dyDescent="0.2">
      <c r="A19" s="42"/>
      <c r="B19" s="39"/>
      <c r="C19" s="39"/>
      <c r="D19" s="39"/>
      <c r="E19" s="39"/>
      <c r="F19" s="39"/>
      <c r="G19" s="39"/>
      <c r="H19" s="39"/>
      <c r="I19" s="39"/>
      <c r="J19" s="40"/>
      <c r="L19" s="317"/>
      <c r="M19" s="317"/>
      <c r="N19" s="317"/>
      <c r="O19" s="317"/>
      <c r="P19" s="317"/>
      <c r="Q19" s="317"/>
      <c r="R19" s="317"/>
      <c r="S19" s="317"/>
    </row>
    <row r="20" spans="1:19" ht="17" thickBot="1" x14ac:dyDescent="0.25">
      <c r="A20" s="42"/>
      <c r="B20" s="39"/>
      <c r="C20" s="39"/>
      <c r="D20" s="39"/>
      <c r="E20" s="39"/>
      <c r="F20" s="39"/>
      <c r="G20" s="39"/>
      <c r="H20" s="39"/>
      <c r="I20" s="39"/>
      <c r="J20" s="40"/>
    </row>
    <row r="21" spans="1:19" ht="17" thickBot="1" x14ac:dyDescent="0.25">
      <c r="A21" s="314" t="s">
        <v>124</v>
      </c>
      <c r="B21" s="315"/>
      <c r="C21" s="315"/>
      <c r="D21" s="315"/>
      <c r="E21" s="315"/>
      <c r="F21" s="315"/>
      <c r="G21" s="315"/>
      <c r="H21" s="315"/>
      <c r="I21" s="315"/>
      <c r="J21" s="316"/>
    </row>
    <row r="23" spans="1:19" ht="19" x14ac:dyDescent="0.25">
      <c r="A23" s="2"/>
    </row>
    <row r="24" spans="1:19" x14ac:dyDescent="0.2">
      <c r="A24" s="3"/>
    </row>
    <row r="25" spans="1:19" ht="19" x14ac:dyDescent="0.25">
      <c r="L25" s="2" t="s">
        <v>136</v>
      </c>
    </row>
    <row r="26" spans="1:19" x14ac:dyDescent="0.2">
      <c r="L26" s="63" t="s">
        <v>132</v>
      </c>
    </row>
    <row r="27" spans="1:19" x14ac:dyDescent="0.2">
      <c r="L27" s="4"/>
    </row>
    <row r="28" spans="1:19" s="63" customFormat="1" x14ac:dyDescent="0.2"/>
    <row r="29" spans="1:19" s="63" customFormat="1" x14ac:dyDescent="0.2"/>
    <row r="30" spans="1:19" s="63" customFormat="1" x14ac:dyDescent="0.2"/>
    <row r="31" spans="1:19" s="63" customFormat="1" x14ac:dyDescent="0.2"/>
    <row r="32" spans="1:19" s="63" customFormat="1" x14ac:dyDescent="0.2"/>
    <row r="33" spans="1:3" s="63" customFormat="1" x14ac:dyDescent="0.2"/>
    <row r="34" spans="1:3" s="63" customFormat="1" x14ac:dyDescent="0.2"/>
    <row r="35" spans="1:3" s="63" customFormat="1" x14ac:dyDescent="0.2"/>
    <row r="36" spans="1:3" s="63" customFormat="1" x14ac:dyDescent="0.2"/>
    <row r="37" spans="1:3" s="63" customFormat="1" x14ac:dyDescent="0.2"/>
    <row r="38" spans="1:3" s="63" customFormat="1" x14ac:dyDescent="0.2"/>
    <row r="39" spans="1:3" s="63" customFormat="1" x14ac:dyDescent="0.2"/>
    <row r="40" spans="1:3" s="63" customFormat="1" x14ac:dyDescent="0.2"/>
    <row r="41" spans="1:3" s="63" customFormat="1" x14ac:dyDescent="0.2"/>
    <row r="42" spans="1:3" s="63" customFormat="1" x14ac:dyDescent="0.2"/>
    <row r="43" spans="1:3" s="63" customFormat="1" x14ac:dyDescent="0.2"/>
    <row r="44" spans="1:3" s="63" customFormat="1" x14ac:dyDescent="0.2"/>
    <row r="45" spans="1:3" s="63" customFormat="1" x14ac:dyDescent="0.2"/>
    <row r="46" spans="1:3" s="63" customFormat="1" x14ac:dyDescent="0.2"/>
    <row r="47" spans="1:3" s="63" customFormat="1" x14ac:dyDescent="0.2"/>
    <row r="48" spans="1:3" s="63" customFormat="1" x14ac:dyDescent="0.2">
      <c r="A48" s="3"/>
      <c r="C48" s="64"/>
    </row>
    <row r="49" spans="13:13" s="63" customFormat="1" x14ac:dyDescent="0.2"/>
    <row r="50" spans="13:13" s="63" customFormat="1" x14ac:dyDescent="0.2">
      <c r="M50" s="64"/>
    </row>
    <row r="51" spans="13:13" s="63" customFormat="1" x14ac:dyDescent="0.2"/>
    <row r="52" spans="13:13" s="63" customFormat="1" x14ac:dyDescent="0.2"/>
    <row r="53" spans="13:13" s="63" customFormat="1" x14ac:dyDescent="0.2"/>
    <row r="54" spans="13:13" s="63" customFormat="1" x14ac:dyDescent="0.2"/>
    <row r="55" spans="13:13" s="63" customFormat="1" x14ac:dyDescent="0.2"/>
    <row r="56" spans="13:13" s="63" customFormat="1" x14ac:dyDescent="0.2"/>
    <row r="57" spans="13:13" s="63" customFormat="1" x14ac:dyDescent="0.2"/>
    <row r="58" spans="13:13" s="63" customFormat="1" x14ac:dyDescent="0.2"/>
    <row r="59" spans="13:13" s="63" customFormat="1" x14ac:dyDescent="0.2"/>
    <row r="60" spans="13:13" s="63" customFormat="1" x14ac:dyDescent="0.2">
      <c r="M60" s="64"/>
    </row>
    <row r="61" spans="13:13" s="63" customFormat="1" x14ac:dyDescent="0.2"/>
    <row r="62" spans="13:13" s="63" customFormat="1" x14ac:dyDescent="0.2"/>
    <row r="63" spans="13:13" s="63" customFormat="1" x14ac:dyDescent="0.2"/>
    <row r="64" spans="13:13" s="63" customFormat="1" x14ac:dyDescent="0.2"/>
    <row r="65" spans="13:13" s="63" customFormat="1" x14ac:dyDescent="0.2"/>
    <row r="66" spans="13:13" s="63" customFormat="1" x14ac:dyDescent="0.2"/>
    <row r="67" spans="13:13" s="63" customFormat="1" x14ac:dyDescent="0.2"/>
    <row r="68" spans="13:13" s="63" customFormat="1" x14ac:dyDescent="0.2"/>
    <row r="69" spans="13:13" s="63" customFormat="1" x14ac:dyDescent="0.2"/>
    <row r="70" spans="13:13" s="63" customFormat="1" x14ac:dyDescent="0.2">
      <c r="M70" s="64"/>
    </row>
    <row r="71" spans="13:13" s="63" customFormat="1" x14ac:dyDescent="0.2"/>
    <row r="72" spans="13:13" s="63" customFormat="1" x14ac:dyDescent="0.2"/>
    <row r="73" spans="13:13" s="63" customFormat="1" x14ac:dyDescent="0.2"/>
    <row r="74" spans="13:13" s="63" customFormat="1" x14ac:dyDescent="0.2"/>
    <row r="75" spans="13:13" s="63" customFormat="1" x14ac:dyDescent="0.2"/>
    <row r="76" spans="13:13" s="63" customFormat="1" x14ac:dyDescent="0.2"/>
    <row r="77" spans="13:13" s="63" customFormat="1" x14ac:dyDescent="0.2"/>
    <row r="78" spans="13:13" s="63" customFormat="1" x14ac:dyDescent="0.2"/>
    <row r="79" spans="13:13" s="63" customFormat="1" x14ac:dyDescent="0.2"/>
    <row r="80" spans="13:13" s="63" customFormat="1" x14ac:dyDescent="0.2">
      <c r="M80" s="64"/>
    </row>
    <row r="81" spans="13:13" s="63" customFormat="1" x14ac:dyDescent="0.2"/>
    <row r="82" spans="13:13" s="63" customFormat="1" x14ac:dyDescent="0.2"/>
    <row r="83" spans="13:13" s="63" customFormat="1" x14ac:dyDescent="0.2"/>
    <row r="84" spans="13:13" s="63" customFormat="1" x14ac:dyDescent="0.2"/>
    <row r="85" spans="13:13" s="63" customFormat="1" x14ac:dyDescent="0.2"/>
    <row r="86" spans="13:13" s="63" customFormat="1" x14ac:dyDescent="0.2"/>
    <row r="87" spans="13:13" s="63" customFormat="1" x14ac:dyDescent="0.2"/>
    <row r="88" spans="13:13" s="63" customFormat="1" x14ac:dyDescent="0.2"/>
    <row r="89" spans="13:13" s="63" customFormat="1" x14ac:dyDescent="0.2"/>
    <row r="90" spans="13:13" s="63" customFormat="1" x14ac:dyDescent="0.2">
      <c r="M90" s="64"/>
    </row>
    <row r="91" spans="13:13" s="63" customFormat="1" x14ac:dyDescent="0.2"/>
    <row r="92" spans="13:13" s="63" customFormat="1" x14ac:dyDescent="0.2"/>
    <row r="93" spans="13:13" s="63" customFormat="1" x14ac:dyDescent="0.2"/>
    <row r="94" spans="13:13" s="63" customFormat="1" x14ac:dyDescent="0.2"/>
    <row r="95" spans="13:13" s="63" customFormat="1" x14ac:dyDescent="0.2"/>
    <row r="96" spans="13:13" s="63" customFormat="1" x14ac:dyDescent="0.2"/>
    <row r="97" s="63" customFormat="1" x14ac:dyDescent="0.2"/>
    <row r="98" s="63" customFormat="1" x14ac:dyDescent="0.2"/>
    <row r="99" s="63" customFormat="1" x14ac:dyDescent="0.2"/>
    <row r="100" s="63" customFormat="1" x14ac:dyDescent="0.2"/>
    <row r="101" s="63" customFormat="1" x14ac:dyDescent="0.2"/>
    <row r="102" s="63" customFormat="1" x14ac:dyDescent="0.2"/>
    <row r="103" s="63" customFormat="1" x14ac:dyDescent="0.2"/>
    <row r="104" s="63" customFormat="1" x14ac:dyDescent="0.2"/>
    <row r="105" s="63" customFormat="1" x14ac:dyDescent="0.2"/>
    <row r="106" s="63" customFormat="1" x14ac:dyDescent="0.2"/>
    <row r="107" s="63" customFormat="1" x14ac:dyDescent="0.2"/>
    <row r="108" s="63" customFormat="1" x14ac:dyDescent="0.2"/>
    <row r="109" s="63" customFormat="1" x14ac:dyDescent="0.2"/>
    <row r="110" s="63" customFormat="1" x14ac:dyDescent="0.2"/>
    <row r="111" s="63" customFormat="1" x14ac:dyDescent="0.2"/>
    <row r="112" s="63" customFormat="1" x14ac:dyDescent="0.2"/>
    <row r="113" s="63" customFormat="1" x14ac:dyDescent="0.2"/>
    <row r="114" s="63" customFormat="1" x14ac:dyDescent="0.2"/>
    <row r="115" s="63" customFormat="1" x14ac:dyDescent="0.2"/>
    <row r="116" s="63" customFormat="1" x14ac:dyDescent="0.2"/>
    <row r="117" s="63" customFormat="1" x14ac:dyDescent="0.2"/>
    <row r="118" s="63" customFormat="1" x14ac:dyDescent="0.2"/>
    <row r="119" s="63" customFormat="1" x14ac:dyDescent="0.2"/>
    <row r="120" s="63" customFormat="1" x14ac:dyDescent="0.2"/>
    <row r="121" s="63" customFormat="1" x14ac:dyDescent="0.2"/>
    <row r="122" s="63" customFormat="1" x14ac:dyDescent="0.2"/>
    <row r="123" s="63" customFormat="1" x14ac:dyDescent="0.2"/>
    <row r="124" s="63" customFormat="1" x14ac:dyDescent="0.2"/>
    <row r="125" s="63" customFormat="1" x14ac:dyDescent="0.2"/>
    <row r="126" s="63" customFormat="1" x14ac:dyDescent="0.2"/>
    <row r="127" s="63" customFormat="1" x14ac:dyDescent="0.2"/>
    <row r="128" s="63" customFormat="1" x14ac:dyDescent="0.2"/>
    <row r="129" s="63" customFormat="1" x14ac:dyDescent="0.2"/>
    <row r="130" s="63" customFormat="1" x14ac:dyDescent="0.2"/>
    <row r="131" s="63" customFormat="1" x14ac:dyDescent="0.2"/>
    <row r="132" s="63" customFormat="1" x14ac:dyDescent="0.2"/>
    <row r="133" s="63" customFormat="1" x14ac:dyDescent="0.2"/>
    <row r="134" s="63" customFormat="1" x14ac:dyDescent="0.2"/>
    <row r="135" s="63" customFormat="1" x14ac:dyDescent="0.2"/>
    <row r="136" s="63" customFormat="1" x14ac:dyDescent="0.2"/>
    <row r="137" s="63" customFormat="1" x14ac:dyDescent="0.2"/>
    <row r="138" s="63" customFormat="1" x14ac:dyDescent="0.2"/>
    <row r="139" s="63" customFormat="1" x14ac:dyDescent="0.2"/>
    <row r="140" s="63" customFormat="1" x14ac:dyDescent="0.2"/>
    <row r="141" s="63" customFormat="1" x14ac:dyDescent="0.2"/>
    <row r="142" s="63" customFormat="1" x14ac:dyDescent="0.2"/>
    <row r="143" s="63" customFormat="1" x14ac:dyDescent="0.2"/>
    <row r="144" s="63" customFormat="1" x14ac:dyDescent="0.2"/>
    <row r="145" s="63" customFormat="1" x14ac:dyDescent="0.2"/>
    <row r="146" s="63" customFormat="1" x14ac:dyDescent="0.2"/>
    <row r="147" s="63" customFormat="1" x14ac:dyDescent="0.2"/>
    <row r="148" s="63" customFormat="1" x14ac:dyDescent="0.2"/>
    <row r="149" s="63" customFormat="1" x14ac:dyDescent="0.2"/>
    <row r="150" s="63" customFormat="1" x14ac:dyDescent="0.2"/>
    <row r="151" s="63" customFormat="1" x14ac:dyDescent="0.2"/>
    <row r="152" s="63" customFormat="1" x14ac:dyDescent="0.2"/>
    <row r="153" s="63" customFormat="1" x14ac:dyDescent="0.2"/>
    <row r="154" s="63" customFormat="1" x14ac:dyDescent="0.2"/>
    <row r="155" s="63" customFormat="1" x14ac:dyDescent="0.2"/>
    <row r="156" s="63" customFormat="1" x14ac:dyDescent="0.2"/>
    <row r="157" s="63" customFormat="1" x14ac:dyDescent="0.2"/>
    <row r="158" s="63" customFormat="1" x14ac:dyDescent="0.2"/>
    <row r="159" s="63" customFormat="1" x14ac:dyDescent="0.2"/>
    <row r="160" s="63" customFormat="1" x14ac:dyDescent="0.2"/>
    <row r="161" s="63" customFormat="1" x14ac:dyDescent="0.2"/>
    <row r="162" s="63" customFormat="1" x14ac:dyDescent="0.2"/>
    <row r="163" s="63" customFormat="1" x14ac:dyDescent="0.2"/>
    <row r="164" s="63" customFormat="1" x14ac:dyDescent="0.2"/>
    <row r="165" s="63" customFormat="1" x14ac:dyDescent="0.2"/>
    <row r="166" s="63" customFormat="1" x14ac:dyDescent="0.2"/>
    <row r="167" s="63" customFormat="1" x14ac:dyDescent="0.2"/>
    <row r="168" s="63" customFormat="1" x14ac:dyDescent="0.2"/>
    <row r="169" s="63" customFormat="1" x14ac:dyDescent="0.2"/>
    <row r="170" s="63" customFormat="1" x14ac:dyDescent="0.2"/>
    <row r="171" s="63" customFormat="1" x14ac:dyDescent="0.2"/>
    <row r="172" s="63" customFormat="1" x14ac:dyDescent="0.2"/>
    <row r="173" s="63" customFormat="1" x14ac:dyDescent="0.2"/>
    <row r="174" s="63" customFormat="1" x14ac:dyDescent="0.2"/>
    <row r="175" s="63" customFormat="1" x14ac:dyDescent="0.2"/>
    <row r="176" s="63" customFormat="1" x14ac:dyDescent="0.2"/>
    <row r="177" spans="1:65" s="63" customFormat="1" x14ac:dyDescent="0.2"/>
    <row r="178" spans="1:65" s="63" customFormat="1" x14ac:dyDescent="0.2"/>
    <row r="179" spans="1:65" s="63" customFormat="1" x14ac:dyDescent="0.2"/>
    <row r="180" spans="1:65" s="63" customFormat="1" x14ac:dyDescent="0.2"/>
    <row r="181" spans="1:65" s="63" customFormat="1" x14ac:dyDescent="0.2"/>
    <row r="182" spans="1:65" s="63" customFormat="1" x14ac:dyDescent="0.2"/>
    <row r="183" spans="1:65" s="63" customFormat="1" x14ac:dyDescent="0.2"/>
    <row r="184" spans="1:65" s="63" customFormat="1" x14ac:dyDescent="0.2"/>
    <row r="185" spans="1:65" s="63" customFormat="1" x14ac:dyDescent="0.2"/>
    <row r="186" spans="1:65" s="63" customFormat="1" x14ac:dyDescent="0.2"/>
    <row r="187" spans="1:65" s="63" customFormat="1" x14ac:dyDescent="0.2"/>
    <row r="188" spans="1:65" s="63" customFormat="1" x14ac:dyDescent="0.2"/>
    <row r="189" spans="1:65" s="63" customFormat="1" x14ac:dyDescent="0.2"/>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sheetData>
  <mergeCells count="3">
    <mergeCell ref="C5:G5"/>
    <mergeCell ref="A21:J21"/>
    <mergeCell ref="L14:S1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CE148-A74E-734C-AE16-B8B29AECEEC2}">
  <dimension ref="A1:BM193"/>
  <sheetViews>
    <sheetView zoomScaleNormal="100" workbookViewId="0"/>
  </sheetViews>
  <sheetFormatPr baseColWidth="10" defaultColWidth="10.83203125" defaultRowHeight="16" outlineLevelCol="1" x14ac:dyDescent="0.2"/>
  <cols>
    <col min="1" max="1" width="4.6640625" style="55" customWidth="1"/>
    <col min="2" max="2" width="10.83203125" style="55" customWidth="1"/>
    <col min="3" max="3" width="12.1640625" style="55" customWidth="1"/>
    <col min="4" max="10" width="10.83203125" style="55" customWidth="1"/>
    <col min="11" max="11" width="11.5" style="55" bestFit="1" customWidth="1"/>
    <col min="12" max="18" width="10.83203125" style="55" hidden="1" customWidth="1" outlineLevel="1"/>
    <col min="19" max="19" width="10.83203125" style="55" collapsed="1"/>
    <col min="20" max="16384" width="10.83203125" style="55"/>
  </cols>
  <sheetData>
    <row r="1" spans="1:18" ht="19" x14ac:dyDescent="0.25">
      <c r="A1" s="1" t="s">
        <v>127</v>
      </c>
      <c r="B1" s="22"/>
      <c r="C1" s="38"/>
      <c r="D1" s="38"/>
      <c r="E1" s="38"/>
      <c r="F1" s="53"/>
      <c r="G1" s="53"/>
      <c r="H1" s="53"/>
      <c r="I1" s="53"/>
      <c r="J1" s="54"/>
      <c r="K1" s="25" t="s">
        <v>125</v>
      </c>
    </row>
    <row r="2" spans="1:18" x14ac:dyDescent="0.2">
      <c r="A2" s="56"/>
      <c r="B2" s="53"/>
      <c r="C2" s="53"/>
      <c r="D2" s="53"/>
      <c r="E2" s="53"/>
      <c r="F2" s="53"/>
      <c r="G2" s="53"/>
      <c r="H2" s="53"/>
      <c r="I2" s="53"/>
      <c r="J2" s="54"/>
      <c r="L2" s="23" t="s">
        <v>92</v>
      </c>
    </row>
    <row r="3" spans="1:18" ht="17" x14ac:dyDescent="0.2">
      <c r="A3" s="56"/>
      <c r="B3" s="53" t="s">
        <v>17</v>
      </c>
      <c r="C3" s="53"/>
      <c r="D3" s="53"/>
      <c r="E3" s="53"/>
      <c r="F3" s="53"/>
      <c r="G3" s="53"/>
      <c r="H3" s="53"/>
      <c r="I3" s="53"/>
      <c r="J3" s="54"/>
      <c r="L3" s="19" t="s">
        <v>91</v>
      </c>
      <c r="M3" s="20" t="s">
        <v>5</v>
      </c>
      <c r="N3" s="20" t="s">
        <v>6</v>
      </c>
    </row>
    <row r="4" spans="1:18" x14ac:dyDescent="0.2">
      <c r="A4" s="56"/>
      <c r="B4" s="53"/>
      <c r="C4" s="53"/>
      <c r="D4" s="53"/>
      <c r="E4" s="53"/>
      <c r="F4" s="53"/>
      <c r="G4" s="53"/>
      <c r="H4" s="53"/>
      <c r="I4" s="53"/>
      <c r="J4" s="54"/>
      <c r="L4" s="18">
        <v>2009</v>
      </c>
      <c r="M4" s="11">
        <f>D7/D13</f>
        <v>1.303030303030303</v>
      </c>
      <c r="N4" s="57">
        <f>(H7-D7)/(H13-D13)</f>
        <v>0.34482758620689657</v>
      </c>
    </row>
    <row r="5" spans="1:18" x14ac:dyDescent="0.2">
      <c r="A5" s="56"/>
      <c r="B5" s="53"/>
      <c r="C5" s="318" t="s">
        <v>25</v>
      </c>
      <c r="D5" s="318"/>
      <c r="E5" s="318"/>
      <c r="F5" s="318"/>
      <c r="G5" s="318"/>
      <c r="H5" s="318"/>
      <c r="I5" s="53"/>
      <c r="J5" s="54"/>
      <c r="L5" s="18">
        <v>2010</v>
      </c>
      <c r="M5" s="11">
        <f>D8/D14</f>
        <v>1.3142857142857143</v>
      </c>
      <c r="N5" s="57">
        <f>(H8-D8)/(H14-D14)</f>
        <v>0.68421052631578949</v>
      </c>
    </row>
    <row r="6" spans="1:18" ht="36" customHeight="1" x14ac:dyDescent="0.2">
      <c r="A6" s="56"/>
      <c r="B6" s="53"/>
      <c r="C6" s="62" t="s">
        <v>23</v>
      </c>
      <c r="D6" s="6" t="s">
        <v>18</v>
      </c>
      <c r="E6" s="6" t="s">
        <v>19</v>
      </c>
      <c r="F6" s="6" t="s">
        <v>20</v>
      </c>
      <c r="G6" s="6" t="s">
        <v>21</v>
      </c>
      <c r="H6" s="6" t="s">
        <v>22</v>
      </c>
      <c r="I6" s="53"/>
      <c r="J6" s="54"/>
    </row>
    <row r="7" spans="1:18" x14ac:dyDescent="0.2">
      <c r="A7" s="56"/>
      <c r="B7" s="53"/>
      <c r="C7" s="24">
        <v>2009</v>
      </c>
      <c r="D7" s="9">
        <v>430</v>
      </c>
      <c r="E7" s="9">
        <v>480</v>
      </c>
      <c r="F7" s="9">
        <v>490</v>
      </c>
      <c r="G7" s="9">
        <v>510</v>
      </c>
      <c r="H7" s="9">
        <v>530</v>
      </c>
      <c r="I7" s="53"/>
      <c r="J7" s="54"/>
    </row>
    <row r="8" spans="1:18" x14ac:dyDescent="0.2">
      <c r="A8" s="56"/>
      <c r="B8" s="53"/>
      <c r="C8" s="24">
        <v>2010</v>
      </c>
      <c r="D8" s="9">
        <v>460</v>
      </c>
      <c r="E8" s="9">
        <v>530</v>
      </c>
      <c r="F8" s="9">
        <v>540</v>
      </c>
      <c r="G8" s="9">
        <v>560</v>
      </c>
      <c r="H8" s="9">
        <v>590</v>
      </c>
      <c r="I8" s="53"/>
      <c r="J8" s="54"/>
    </row>
    <row r="9" spans="1:18" ht="19" x14ac:dyDescent="0.25">
      <c r="A9" s="56"/>
      <c r="B9" s="53"/>
      <c r="C9" s="53"/>
      <c r="D9" s="53"/>
      <c r="E9" s="53"/>
      <c r="F9" s="53"/>
      <c r="G9" s="53"/>
      <c r="H9" s="53"/>
      <c r="I9" s="53"/>
      <c r="J9" s="54"/>
      <c r="L9" s="2" t="s">
        <v>113</v>
      </c>
    </row>
    <row r="10" spans="1:18" x14ac:dyDescent="0.2">
      <c r="A10" s="56"/>
      <c r="B10" s="53"/>
      <c r="C10" s="53"/>
      <c r="D10" s="53"/>
      <c r="E10" s="53"/>
      <c r="F10" s="53"/>
      <c r="G10" s="53"/>
      <c r="H10" s="53"/>
      <c r="I10" s="53"/>
      <c r="J10" s="54"/>
      <c r="L10" s="322" t="s">
        <v>139</v>
      </c>
      <c r="M10" s="322"/>
      <c r="N10" s="322"/>
      <c r="O10" s="322"/>
      <c r="P10" s="322"/>
      <c r="Q10" s="322"/>
      <c r="R10" s="322"/>
    </row>
    <row r="11" spans="1:18" x14ac:dyDescent="0.2">
      <c r="A11" s="56"/>
      <c r="B11" s="53"/>
      <c r="C11" s="318" t="s">
        <v>26</v>
      </c>
      <c r="D11" s="318"/>
      <c r="E11" s="318"/>
      <c r="F11" s="318"/>
      <c r="G11" s="318"/>
      <c r="H11" s="318"/>
      <c r="I11" s="53"/>
      <c r="J11" s="54"/>
      <c r="L11" s="322"/>
      <c r="M11" s="322"/>
      <c r="N11" s="322"/>
      <c r="O11" s="322"/>
      <c r="P11" s="322"/>
      <c r="Q11" s="322"/>
      <c r="R11" s="322"/>
    </row>
    <row r="12" spans="1:18" ht="33" customHeight="1" x14ac:dyDescent="0.2">
      <c r="A12" s="56"/>
      <c r="B12" s="53"/>
      <c r="C12" s="62" t="s">
        <v>23</v>
      </c>
      <c r="D12" s="6" t="s">
        <v>27</v>
      </c>
      <c r="E12" s="6" t="s">
        <v>28</v>
      </c>
      <c r="F12" s="6" t="s">
        <v>29</v>
      </c>
      <c r="G12" s="6" t="s">
        <v>18</v>
      </c>
      <c r="H12" s="6" t="s">
        <v>19</v>
      </c>
      <c r="I12" s="53"/>
      <c r="J12" s="54"/>
      <c r="L12" s="322"/>
      <c r="M12" s="322"/>
      <c r="N12" s="322"/>
      <c r="O12" s="322"/>
      <c r="P12" s="322"/>
      <c r="Q12" s="322"/>
      <c r="R12" s="322"/>
    </row>
    <row r="13" spans="1:18" x14ac:dyDescent="0.2">
      <c r="A13" s="56"/>
      <c r="B13" s="53"/>
      <c r="C13" s="24">
        <v>2009</v>
      </c>
      <c r="D13" s="9">
        <v>330</v>
      </c>
      <c r="E13" s="9">
        <v>480</v>
      </c>
      <c r="F13" s="9">
        <v>510</v>
      </c>
      <c r="G13" s="9">
        <v>590</v>
      </c>
      <c r="H13" s="9">
        <v>620</v>
      </c>
      <c r="I13" s="53"/>
      <c r="J13" s="54"/>
    </row>
    <row r="14" spans="1:18" ht="19" x14ac:dyDescent="0.25">
      <c r="A14" s="56"/>
      <c r="B14" s="53"/>
      <c r="C14" s="24">
        <v>2010</v>
      </c>
      <c r="D14" s="9">
        <v>350</v>
      </c>
      <c r="E14" s="9">
        <v>370</v>
      </c>
      <c r="F14" s="9">
        <v>440</v>
      </c>
      <c r="G14" s="9">
        <v>490</v>
      </c>
      <c r="H14" s="9">
        <v>540</v>
      </c>
      <c r="I14" s="53"/>
      <c r="J14" s="54"/>
      <c r="L14" s="2" t="s">
        <v>136</v>
      </c>
    </row>
    <row r="15" spans="1:18" x14ac:dyDescent="0.2">
      <c r="A15" s="56"/>
      <c r="B15" s="53"/>
      <c r="C15" s="53"/>
      <c r="D15" s="53"/>
      <c r="E15" s="53"/>
      <c r="F15" s="53"/>
      <c r="G15" s="53"/>
      <c r="H15" s="53"/>
      <c r="I15" s="53"/>
      <c r="J15" s="54"/>
      <c r="L15" s="65" t="s">
        <v>133</v>
      </c>
    </row>
    <row r="16" spans="1:18" x14ac:dyDescent="0.2">
      <c r="A16" s="56"/>
      <c r="B16" s="53"/>
      <c r="C16" s="53"/>
      <c r="D16" s="53"/>
      <c r="E16" s="53"/>
      <c r="F16" s="53"/>
      <c r="G16" s="53"/>
      <c r="H16" s="53"/>
      <c r="I16" s="53"/>
      <c r="J16" s="54"/>
    </row>
    <row r="17" spans="1:10" x14ac:dyDescent="0.2">
      <c r="A17" s="56"/>
      <c r="B17" s="53" t="s">
        <v>32</v>
      </c>
      <c r="C17" s="53"/>
      <c r="D17" s="53"/>
      <c r="E17" s="53"/>
      <c r="F17" s="53"/>
      <c r="G17" s="53"/>
      <c r="H17" s="53"/>
      <c r="I17" s="53"/>
      <c r="J17" s="54"/>
    </row>
    <row r="18" spans="1:10" x14ac:dyDescent="0.2">
      <c r="A18" s="56"/>
      <c r="B18" s="53" t="s">
        <v>30</v>
      </c>
      <c r="C18" s="53"/>
      <c r="D18" s="53"/>
      <c r="E18" s="53"/>
      <c r="F18" s="53"/>
      <c r="G18" s="53"/>
      <c r="H18" s="53"/>
      <c r="I18" s="53"/>
      <c r="J18" s="54"/>
    </row>
    <row r="19" spans="1:10" x14ac:dyDescent="0.2">
      <c r="A19" s="56"/>
      <c r="B19" s="53" t="s">
        <v>31</v>
      </c>
      <c r="C19" s="53"/>
      <c r="D19" s="53"/>
      <c r="E19" s="53"/>
      <c r="F19" s="53"/>
      <c r="G19" s="53"/>
      <c r="H19" s="53"/>
      <c r="I19" s="53"/>
      <c r="J19" s="54"/>
    </row>
    <row r="20" spans="1:10" x14ac:dyDescent="0.2">
      <c r="A20" s="56"/>
      <c r="B20" s="53"/>
      <c r="C20" s="53"/>
      <c r="D20" s="53"/>
      <c r="E20" s="53"/>
      <c r="F20" s="53"/>
      <c r="G20" s="53"/>
      <c r="H20" s="53"/>
      <c r="I20" s="53"/>
      <c r="J20" s="54"/>
    </row>
    <row r="21" spans="1:10" x14ac:dyDescent="0.2">
      <c r="A21" s="56"/>
      <c r="B21" s="53" t="s">
        <v>33</v>
      </c>
      <c r="C21" s="53"/>
      <c r="D21" s="53"/>
      <c r="E21" s="53"/>
      <c r="F21" s="53"/>
      <c r="G21" s="53"/>
      <c r="H21" s="53"/>
      <c r="I21" s="53"/>
      <c r="J21" s="54"/>
    </row>
    <row r="22" spans="1:10" x14ac:dyDescent="0.2">
      <c r="A22" s="56"/>
      <c r="B22" s="53"/>
      <c r="C22" s="53"/>
      <c r="D22" s="53"/>
      <c r="E22" s="53"/>
      <c r="F22" s="53"/>
      <c r="G22" s="53"/>
      <c r="H22" s="53"/>
      <c r="I22" s="53"/>
      <c r="J22" s="54"/>
    </row>
    <row r="23" spans="1:10" ht="17" thickBot="1" x14ac:dyDescent="0.25">
      <c r="A23" s="56"/>
      <c r="B23" s="53"/>
      <c r="C23" s="53"/>
      <c r="D23" s="53"/>
      <c r="E23" s="53"/>
      <c r="F23" s="53"/>
      <c r="G23" s="53"/>
      <c r="H23" s="53"/>
      <c r="I23" s="53"/>
      <c r="J23" s="54"/>
    </row>
    <row r="24" spans="1:10" ht="17" thickBot="1" x14ac:dyDescent="0.25">
      <c r="A24" s="319" t="s">
        <v>124</v>
      </c>
      <c r="B24" s="320"/>
      <c r="C24" s="320"/>
      <c r="D24" s="320"/>
      <c r="E24" s="320"/>
      <c r="F24" s="320"/>
      <c r="G24" s="320"/>
      <c r="H24" s="320"/>
      <c r="I24" s="320"/>
      <c r="J24" s="321"/>
    </row>
    <row r="26" spans="1:10" ht="19" x14ac:dyDescent="0.2">
      <c r="A26" s="25"/>
    </row>
    <row r="27" spans="1:10" x14ac:dyDescent="0.2">
      <c r="A27" s="26"/>
      <c r="C27" s="57"/>
    </row>
    <row r="28" spans="1:10" s="65" customFormat="1" x14ac:dyDescent="0.2"/>
    <row r="29" spans="1:10" s="65" customFormat="1" x14ac:dyDescent="0.2"/>
    <row r="30" spans="1:10" s="65" customFormat="1" x14ac:dyDescent="0.2"/>
    <row r="31" spans="1:10" s="65" customFormat="1" x14ac:dyDescent="0.2"/>
    <row r="32" spans="1:10" s="65" customFormat="1" x14ac:dyDescent="0.2"/>
    <row r="33" spans="1:3" s="65" customFormat="1" x14ac:dyDescent="0.2"/>
    <row r="34" spans="1:3" s="65" customFormat="1" x14ac:dyDescent="0.2"/>
    <row r="35" spans="1:3" s="65" customFormat="1" x14ac:dyDescent="0.2"/>
    <row r="36" spans="1:3" s="65" customFormat="1" x14ac:dyDescent="0.2"/>
    <row r="37" spans="1:3" s="65" customFormat="1" x14ac:dyDescent="0.2"/>
    <row r="38" spans="1:3" s="65" customFormat="1" x14ac:dyDescent="0.2">
      <c r="A38" s="26"/>
      <c r="C38" s="66"/>
    </row>
    <row r="39" spans="1:3" s="65" customFormat="1" x14ac:dyDescent="0.2"/>
    <row r="40" spans="1:3" s="65" customFormat="1" x14ac:dyDescent="0.2"/>
    <row r="41" spans="1:3" s="65" customFormat="1" x14ac:dyDescent="0.2"/>
    <row r="42" spans="1:3" s="65" customFormat="1" x14ac:dyDescent="0.2"/>
    <row r="43" spans="1:3" s="65" customFormat="1" x14ac:dyDescent="0.2"/>
    <row r="44" spans="1:3" s="65" customFormat="1" x14ac:dyDescent="0.2"/>
    <row r="45" spans="1:3" s="65" customFormat="1" x14ac:dyDescent="0.2"/>
    <row r="46" spans="1:3" s="65" customFormat="1" x14ac:dyDescent="0.2"/>
    <row r="47" spans="1:3" s="65" customFormat="1" x14ac:dyDescent="0.2"/>
    <row r="48" spans="1:3" s="65" customFormat="1" x14ac:dyDescent="0.2"/>
    <row r="49" spans="1:13" s="65" customFormat="1" x14ac:dyDescent="0.2">
      <c r="A49" s="26"/>
      <c r="C49" s="66"/>
    </row>
    <row r="50" spans="1:13" s="65" customFormat="1" x14ac:dyDescent="0.2"/>
    <row r="51" spans="1:13" s="65" customFormat="1" x14ac:dyDescent="0.2">
      <c r="M51" s="66"/>
    </row>
    <row r="52" spans="1:13" s="65" customFormat="1" x14ac:dyDescent="0.2"/>
    <row r="53" spans="1:13" s="65" customFormat="1" x14ac:dyDescent="0.2"/>
    <row r="54" spans="1:13" s="65" customFormat="1" x14ac:dyDescent="0.2"/>
    <row r="55" spans="1:13" s="65" customFormat="1" x14ac:dyDescent="0.2"/>
    <row r="56" spans="1:13" s="65" customFormat="1" x14ac:dyDescent="0.2"/>
    <row r="57" spans="1:13" s="65" customFormat="1" x14ac:dyDescent="0.2"/>
    <row r="58" spans="1:13" s="65" customFormat="1" x14ac:dyDescent="0.2"/>
    <row r="59" spans="1:13" s="65" customFormat="1" x14ac:dyDescent="0.2"/>
    <row r="60" spans="1:13" s="65" customFormat="1" x14ac:dyDescent="0.2"/>
    <row r="61" spans="1:13" s="65" customFormat="1" x14ac:dyDescent="0.2">
      <c r="M61" s="66"/>
    </row>
    <row r="62" spans="1:13" s="65" customFormat="1" x14ac:dyDescent="0.2"/>
    <row r="63" spans="1:13" s="65" customFormat="1" x14ac:dyDescent="0.2"/>
    <row r="64" spans="1:13" s="65" customFormat="1" x14ac:dyDescent="0.2"/>
    <row r="65" spans="13:13" s="65" customFormat="1" x14ac:dyDescent="0.2"/>
    <row r="66" spans="13:13" s="65" customFormat="1" x14ac:dyDescent="0.2"/>
    <row r="67" spans="13:13" s="65" customFormat="1" x14ac:dyDescent="0.2"/>
    <row r="68" spans="13:13" s="65" customFormat="1" x14ac:dyDescent="0.2"/>
    <row r="69" spans="13:13" s="65" customFormat="1" x14ac:dyDescent="0.2"/>
    <row r="70" spans="13:13" s="65" customFormat="1" x14ac:dyDescent="0.2"/>
    <row r="71" spans="13:13" s="65" customFormat="1" x14ac:dyDescent="0.2">
      <c r="M71" s="66"/>
    </row>
    <row r="72" spans="13:13" s="65" customFormat="1" x14ac:dyDescent="0.2"/>
    <row r="73" spans="13:13" s="65" customFormat="1" x14ac:dyDescent="0.2"/>
    <row r="74" spans="13:13" s="65" customFormat="1" x14ac:dyDescent="0.2"/>
    <row r="75" spans="13:13" s="65" customFormat="1" x14ac:dyDescent="0.2"/>
    <row r="76" spans="13:13" s="65" customFormat="1" x14ac:dyDescent="0.2"/>
    <row r="77" spans="13:13" s="65" customFormat="1" x14ac:dyDescent="0.2"/>
    <row r="78" spans="13:13" s="65" customFormat="1" x14ac:dyDescent="0.2"/>
    <row r="79" spans="13:13" s="65" customFormat="1" x14ac:dyDescent="0.2"/>
    <row r="80" spans="13:13" s="65" customFormat="1" x14ac:dyDescent="0.2"/>
    <row r="81" spans="13:13" s="65" customFormat="1" x14ac:dyDescent="0.2">
      <c r="M81" s="66"/>
    </row>
    <row r="82" spans="13:13" s="65" customFormat="1" x14ac:dyDescent="0.2"/>
    <row r="83" spans="13:13" s="65" customFormat="1" x14ac:dyDescent="0.2"/>
    <row r="84" spans="13:13" s="65" customFormat="1" x14ac:dyDescent="0.2"/>
    <row r="85" spans="13:13" s="65" customFormat="1" x14ac:dyDescent="0.2"/>
    <row r="86" spans="13:13" s="65" customFormat="1" x14ac:dyDescent="0.2"/>
    <row r="87" spans="13:13" s="65" customFormat="1" x14ac:dyDescent="0.2"/>
    <row r="88" spans="13:13" s="65" customFormat="1" x14ac:dyDescent="0.2"/>
    <row r="89" spans="13:13" s="65" customFormat="1" x14ac:dyDescent="0.2"/>
    <row r="90" spans="13:13" s="65" customFormat="1" x14ac:dyDescent="0.2"/>
    <row r="91" spans="13:13" s="65" customFormat="1" x14ac:dyDescent="0.2">
      <c r="M91" s="66"/>
    </row>
    <row r="92" spans="13:13" s="65" customFormat="1" x14ac:dyDescent="0.2"/>
    <row r="93" spans="13:13" s="65" customFormat="1" x14ac:dyDescent="0.2"/>
    <row r="94" spans="13:13" s="65" customFormat="1" x14ac:dyDescent="0.2"/>
    <row r="95" spans="13:13" s="65" customFormat="1" x14ac:dyDescent="0.2"/>
    <row r="96" spans="13:13" s="65" customFormat="1" x14ac:dyDescent="0.2"/>
    <row r="97" s="65" customFormat="1" x14ac:dyDescent="0.2"/>
    <row r="98" s="65" customFormat="1" x14ac:dyDescent="0.2"/>
    <row r="99" s="65" customFormat="1" x14ac:dyDescent="0.2"/>
    <row r="100" s="65" customFormat="1" x14ac:dyDescent="0.2"/>
    <row r="101" s="65" customFormat="1" x14ac:dyDescent="0.2"/>
    <row r="102" s="65" customFormat="1" x14ac:dyDescent="0.2"/>
    <row r="103" s="65" customFormat="1" x14ac:dyDescent="0.2"/>
    <row r="104" s="65" customFormat="1" x14ac:dyDescent="0.2"/>
    <row r="105" s="65" customFormat="1" x14ac:dyDescent="0.2"/>
    <row r="106" s="65" customFormat="1" x14ac:dyDescent="0.2"/>
    <row r="107" s="65" customFormat="1" x14ac:dyDescent="0.2"/>
    <row r="108" s="65" customFormat="1" x14ac:dyDescent="0.2"/>
    <row r="109" s="65" customFormat="1" x14ac:dyDescent="0.2"/>
    <row r="110" s="65" customFormat="1" x14ac:dyDescent="0.2"/>
    <row r="111" s="65" customFormat="1" x14ac:dyDescent="0.2"/>
    <row r="112" s="65" customFormat="1" x14ac:dyDescent="0.2"/>
    <row r="113" s="65" customFormat="1" x14ac:dyDescent="0.2"/>
    <row r="114" s="65" customFormat="1" x14ac:dyDescent="0.2"/>
    <row r="115" s="65" customFormat="1" x14ac:dyDescent="0.2"/>
    <row r="116" s="65" customFormat="1" x14ac:dyDescent="0.2"/>
    <row r="117" s="65" customFormat="1" x14ac:dyDescent="0.2"/>
    <row r="118" s="65" customFormat="1" x14ac:dyDescent="0.2"/>
    <row r="119" s="65" customFormat="1" x14ac:dyDescent="0.2"/>
    <row r="120" s="65" customFormat="1" x14ac:dyDescent="0.2"/>
    <row r="121" s="65" customFormat="1" x14ac:dyDescent="0.2"/>
    <row r="122" s="65" customFormat="1" x14ac:dyDescent="0.2"/>
    <row r="123" s="65" customFormat="1" x14ac:dyDescent="0.2"/>
    <row r="124" s="65" customFormat="1" x14ac:dyDescent="0.2"/>
    <row r="125" s="65" customFormat="1" x14ac:dyDescent="0.2"/>
    <row r="126" s="65" customFormat="1" x14ac:dyDescent="0.2"/>
    <row r="127" s="65" customFormat="1" x14ac:dyDescent="0.2"/>
    <row r="128" s="65" customFormat="1" x14ac:dyDescent="0.2"/>
    <row r="129" s="65" customFormat="1" x14ac:dyDescent="0.2"/>
    <row r="130" s="65" customFormat="1" x14ac:dyDescent="0.2"/>
    <row r="131" s="65" customFormat="1" x14ac:dyDescent="0.2"/>
    <row r="132" s="65" customFormat="1" x14ac:dyDescent="0.2"/>
    <row r="133" s="65" customFormat="1" x14ac:dyDescent="0.2"/>
    <row r="134" s="65" customFormat="1" x14ac:dyDescent="0.2"/>
    <row r="135" s="65" customFormat="1" x14ac:dyDescent="0.2"/>
    <row r="136" s="65" customFormat="1" x14ac:dyDescent="0.2"/>
    <row r="137" s="65" customFormat="1" x14ac:dyDescent="0.2"/>
    <row r="138" s="65" customFormat="1" x14ac:dyDescent="0.2"/>
    <row r="139" s="65" customFormat="1" x14ac:dyDescent="0.2"/>
    <row r="140" s="65" customFormat="1" x14ac:dyDescent="0.2"/>
    <row r="141" s="65" customFormat="1" x14ac:dyDescent="0.2"/>
    <row r="142" s="65" customFormat="1" x14ac:dyDescent="0.2"/>
    <row r="143" s="65" customFormat="1" x14ac:dyDescent="0.2"/>
    <row r="144" s="65" customFormat="1" x14ac:dyDescent="0.2"/>
    <row r="145" s="65" customFormat="1" x14ac:dyDescent="0.2"/>
    <row r="146" s="65" customFormat="1" x14ac:dyDescent="0.2"/>
    <row r="147" s="65" customFormat="1" x14ac:dyDescent="0.2"/>
    <row r="148" s="65" customFormat="1" x14ac:dyDescent="0.2"/>
    <row r="149" s="65" customFormat="1" x14ac:dyDescent="0.2"/>
    <row r="150" s="65" customFormat="1" x14ac:dyDescent="0.2"/>
    <row r="151" s="65" customFormat="1" x14ac:dyDescent="0.2"/>
    <row r="152" s="65" customFormat="1" x14ac:dyDescent="0.2"/>
    <row r="153" s="65" customFormat="1" x14ac:dyDescent="0.2"/>
    <row r="154" s="65" customFormat="1" x14ac:dyDescent="0.2"/>
    <row r="155" s="65" customFormat="1" x14ac:dyDescent="0.2"/>
    <row r="156" s="65" customFormat="1" x14ac:dyDescent="0.2"/>
    <row r="157" s="65" customFormat="1" x14ac:dyDescent="0.2"/>
    <row r="158" s="65" customFormat="1" x14ac:dyDescent="0.2"/>
    <row r="159" s="65" customFormat="1" x14ac:dyDescent="0.2"/>
    <row r="160" s="65" customFormat="1" x14ac:dyDescent="0.2"/>
    <row r="161" s="65" customFormat="1" x14ac:dyDescent="0.2"/>
    <row r="162" s="65" customFormat="1" x14ac:dyDescent="0.2"/>
    <row r="163" s="65" customFormat="1" x14ac:dyDescent="0.2"/>
    <row r="164" s="65" customFormat="1" x14ac:dyDescent="0.2"/>
    <row r="165" s="65" customFormat="1" x14ac:dyDescent="0.2"/>
    <row r="166" s="65" customFormat="1" x14ac:dyDescent="0.2"/>
    <row r="167" s="65" customFormat="1" x14ac:dyDescent="0.2"/>
    <row r="168" s="65" customFormat="1" x14ac:dyDescent="0.2"/>
    <row r="169" s="65" customFormat="1" x14ac:dyDescent="0.2"/>
    <row r="170" s="65" customFormat="1" x14ac:dyDescent="0.2"/>
    <row r="171" s="65" customFormat="1" x14ac:dyDescent="0.2"/>
    <row r="172" s="65" customFormat="1" x14ac:dyDescent="0.2"/>
    <row r="173" s="65" customFormat="1" x14ac:dyDescent="0.2"/>
    <row r="174" s="65" customFormat="1" x14ac:dyDescent="0.2"/>
    <row r="175" s="65" customFormat="1" x14ac:dyDescent="0.2"/>
    <row r="176" s="65" customFormat="1" x14ac:dyDescent="0.2"/>
    <row r="177" spans="1:65" s="65" customFormat="1" x14ac:dyDescent="0.2"/>
    <row r="178" spans="1:65" s="65" customFormat="1" x14ac:dyDescent="0.2"/>
    <row r="179" spans="1:65" s="65" customFormat="1" x14ac:dyDescent="0.2"/>
    <row r="180" spans="1:65" s="65" customFormat="1" x14ac:dyDescent="0.2"/>
    <row r="181" spans="1:65" s="65" customFormat="1" x14ac:dyDescent="0.2"/>
    <row r="182" spans="1:65" s="65" customFormat="1" x14ac:dyDescent="0.2"/>
    <row r="183" spans="1:65" s="65" customFormat="1" x14ac:dyDescent="0.2"/>
    <row r="184" spans="1:65" s="65" customFormat="1" x14ac:dyDescent="0.2"/>
    <row r="185" spans="1:65" s="65" customFormat="1" x14ac:dyDescent="0.2"/>
    <row r="186" spans="1:65" s="65" customFormat="1" x14ac:dyDescent="0.2"/>
    <row r="187" spans="1:65" s="65" customFormat="1" x14ac:dyDescent="0.2"/>
    <row r="188" spans="1:65" s="65" customFormat="1" x14ac:dyDescent="0.2"/>
    <row r="189" spans="1:65" s="65" customFormat="1" x14ac:dyDescent="0.2"/>
    <row r="190" spans="1:65" x14ac:dyDescent="0.2">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7"/>
      <c r="AG190" s="27"/>
      <c r="AH190" s="27"/>
      <c r="AI190" s="27"/>
      <c r="AJ190" s="27"/>
      <c r="AK190" s="27"/>
      <c r="AL190" s="27"/>
      <c r="AM190" s="27"/>
      <c r="AN190" s="27"/>
      <c r="AO190" s="27"/>
      <c r="AP190" s="27"/>
      <c r="AQ190" s="27"/>
      <c r="AR190" s="27"/>
      <c r="AS190" s="27"/>
      <c r="AT190" s="27"/>
      <c r="AU190" s="27"/>
      <c r="AV190" s="27"/>
      <c r="AW190" s="27"/>
      <c r="AX190" s="27"/>
      <c r="AY190" s="27"/>
      <c r="AZ190" s="27"/>
      <c r="BA190" s="27"/>
      <c r="BB190" s="27"/>
      <c r="BC190" s="27"/>
      <c r="BD190" s="27"/>
      <c r="BE190" s="27"/>
      <c r="BF190" s="27"/>
      <c r="BG190" s="27"/>
      <c r="BH190" s="27"/>
      <c r="BI190" s="27"/>
      <c r="BJ190" s="27"/>
      <c r="BK190" s="27"/>
      <c r="BL190" s="27"/>
      <c r="BM190" s="27"/>
    </row>
    <row r="191" spans="1:65" x14ac:dyDescent="0.2">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c r="AT191" s="27"/>
      <c r="AU191" s="27"/>
      <c r="AV191" s="27"/>
      <c r="AW191" s="27"/>
      <c r="AX191" s="27"/>
      <c r="AY191" s="27"/>
      <c r="AZ191" s="27"/>
      <c r="BA191" s="27"/>
      <c r="BB191" s="27"/>
      <c r="BC191" s="27"/>
      <c r="BD191" s="27"/>
      <c r="BE191" s="27"/>
      <c r="BF191" s="27"/>
      <c r="BG191" s="27"/>
      <c r="BH191" s="27"/>
      <c r="BI191" s="27"/>
      <c r="BJ191" s="27"/>
      <c r="BK191" s="27"/>
      <c r="BL191" s="27"/>
      <c r="BM191" s="27"/>
    </row>
    <row r="192" spans="1:65" x14ac:dyDescent="0.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c r="AT192" s="27"/>
      <c r="AU192" s="27"/>
      <c r="AV192" s="27"/>
      <c r="AW192" s="27"/>
      <c r="AX192" s="27"/>
      <c r="AY192" s="27"/>
      <c r="AZ192" s="27"/>
      <c r="BA192" s="27"/>
      <c r="BB192" s="27"/>
      <c r="BC192" s="27"/>
      <c r="BD192" s="27"/>
      <c r="BE192" s="27"/>
      <c r="BF192" s="27"/>
      <c r="BG192" s="27"/>
      <c r="BH192" s="27"/>
      <c r="BI192" s="27"/>
      <c r="BJ192" s="27"/>
      <c r="BK192" s="27"/>
      <c r="BL192" s="27"/>
      <c r="BM192" s="27"/>
    </row>
    <row r="193" spans="11:65" x14ac:dyDescent="0.2">
      <c r="K193" s="27"/>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c r="AT193" s="27"/>
      <c r="AU193" s="27"/>
      <c r="AV193" s="27"/>
      <c r="AW193" s="27"/>
      <c r="AX193" s="27"/>
      <c r="AY193" s="27"/>
      <c r="AZ193" s="27"/>
      <c r="BA193" s="27"/>
      <c r="BB193" s="27"/>
      <c r="BC193" s="27"/>
      <c r="BD193" s="27"/>
      <c r="BE193" s="27"/>
      <c r="BF193" s="27"/>
      <c r="BG193" s="27"/>
      <c r="BH193" s="27"/>
      <c r="BI193" s="27"/>
      <c r="BJ193" s="27"/>
      <c r="BK193" s="27"/>
      <c r="BL193" s="27"/>
      <c r="BM193" s="27"/>
    </row>
  </sheetData>
  <mergeCells count="4">
    <mergeCell ref="C5:H5"/>
    <mergeCell ref="C11:H11"/>
    <mergeCell ref="A24:J24"/>
    <mergeCell ref="L10:R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139CA-8434-9349-9300-73867432625A}">
  <dimension ref="A1:BM203"/>
  <sheetViews>
    <sheetView zoomScaleNormal="100" workbookViewId="0"/>
  </sheetViews>
  <sheetFormatPr baseColWidth="10" defaultColWidth="10.83203125" defaultRowHeight="16" outlineLevelCol="1" x14ac:dyDescent="0.2"/>
  <cols>
    <col min="1" max="1" width="4.6640625" style="55" customWidth="1"/>
    <col min="2" max="5" width="10.83203125" style="55" customWidth="1"/>
    <col min="6" max="6" width="11.6640625" style="55" customWidth="1"/>
    <col min="7" max="10" width="10.83203125" style="55" customWidth="1"/>
    <col min="11" max="11" width="11.5" style="55" bestFit="1" customWidth="1"/>
    <col min="12" max="15" width="10.83203125" style="55" hidden="1" customWidth="1" outlineLevel="1"/>
    <col min="16" max="16" width="12.5" style="55" hidden="1" customWidth="1" outlineLevel="1"/>
    <col min="17" max="20" width="10.83203125" style="55" hidden="1" customWidth="1" outlineLevel="1"/>
    <col min="21" max="21" width="10.83203125" style="55" collapsed="1"/>
    <col min="22" max="16384" width="10.83203125" style="55"/>
  </cols>
  <sheetData>
    <row r="1" spans="1:18" ht="19" x14ac:dyDescent="0.25">
      <c r="A1" s="1" t="s">
        <v>128</v>
      </c>
      <c r="B1" s="22"/>
      <c r="C1" s="38"/>
      <c r="D1" s="38"/>
      <c r="E1" s="38"/>
      <c r="F1" s="53"/>
      <c r="G1" s="53"/>
      <c r="H1" s="53"/>
      <c r="I1" s="53"/>
      <c r="J1" s="54"/>
      <c r="K1" s="25" t="s">
        <v>125</v>
      </c>
    </row>
    <row r="2" spans="1:18" x14ac:dyDescent="0.2">
      <c r="A2" s="56"/>
      <c r="B2" s="53"/>
      <c r="C2" s="53"/>
      <c r="D2" s="53"/>
      <c r="E2" s="53"/>
      <c r="F2" s="53"/>
      <c r="G2" s="53"/>
      <c r="H2" s="53"/>
      <c r="I2" s="53"/>
      <c r="J2" s="54"/>
      <c r="L2" s="31" t="s">
        <v>2</v>
      </c>
    </row>
    <row r="3" spans="1:18" x14ac:dyDescent="0.2">
      <c r="A3" s="56"/>
      <c r="B3" s="53" t="s">
        <v>34</v>
      </c>
      <c r="C3" s="53"/>
      <c r="D3" s="53"/>
      <c r="E3" s="53"/>
      <c r="F3" s="53"/>
      <c r="G3" s="53"/>
      <c r="H3" s="53"/>
      <c r="I3" s="53"/>
      <c r="J3" s="54"/>
      <c r="L3" s="31"/>
      <c r="M3" s="55" t="s">
        <v>98</v>
      </c>
    </row>
    <row r="4" spans="1:18" x14ac:dyDescent="0.2">
      <c r="A4" s="56"/>
      <c r="B4" s="53"/>
      <c r="C4" s="53"/>
      <c r="D4" s="53"/>
      <c r="E4" s="53"/>
      <c r="F4" s="53"/>
      <c r="G4" s="53"/>
      <c r="H4" s="53"/>
      <c r="I4" s="53"/>
      <c r="J4" s="54"/>
      <c r="M4" s="55" t="s">
        <v>99</v>
      </c>
    </row>
    <row r="5" spans="1:18" x14ac:dyDescent="0.2">
      <c r="A5" s="56"/>
      <c r="B5" s="53"/>
      <c r="C5" s="53"/>
      <c r="D5" s="53"/>
      <c r="E5" s="324" t="s">
        <v>37</v>
      </c>
      <c r="F5" s="324" t="s">
        <v>38</v>
      </c>
      <c r="G5" s="53"/>
      <c r="H5" s="53"/>
      <c r="I5" s="53"/>
      <c r="J5" s="54"/>
      <c r="M5" s="55" t="s">
        <v>100</v>
      </c>
    </row>
    <row r="6" spans="1:18" ht="52" customHeight="1" x14ac:dyDescent="0.2">
      <c r="A6" s="56"/>
      <c r="B6" s="53"/>
      <c r="C6" s="5" t="s">
        <v>35</v>
      </c>
      <c r="D6" s="6" t="s">
        <v>36</v>
      </c>
      <c r="E6" s="325"/>
      <c r="F6" s="325"/>
      <c r="G6" s="6" t="s">
        <v>15</v>
      </c>
      <c r="H6" s="53"/>
      <c r="I6" s="53"/>
      <c r="J6" s="54"/>
      <c r="M6" s="19" t="s">
        <v>91</v>
      </c>
      <c r="N6" s="20" t="s">
        <v>93</v>
      </c>
      <c r="O6" s="20" t="s">
        <v>94</v>
      </c>
      <c r="P6" s="20" t="s">
        <v>95</v>
      </c>
      <c r="Q6" s="20" t="s">
        <v>96</v>
      </c>
      <c r="R6" s="20" t="s">
        <v>97</v>
      </c>
    </row>
    <row r="7" spans="1:18" x14ac:dyDescent="0.2">
      <c r="A7" s="56"/>
      <c r="B7" s="53"/>
      <c r="C7" s="24">
        <v>2013</v>
      </c>
      <c r="D7" s="28">
        <v>5650</v>
      </c>
      <c r="E7" s="28">
        <v>5210</v>
      </c>
      <c r="F7" s="28">
        <v>4650</v>
      </c>
      <c r="G7" s="28">
        <v>8120</v>
      </c>
      <c r="H7" s="53"/>
      <c r="I7" s="53"/>
      <c r="J7" s="54"/>
      <c r="M7" s="18">
        <v>2013</v>
      </c>
      <c r="N7" s="12">
        <f>D7-E7</f>
        <v>440</v>
      </c>
      <c r="O7" s="11">
        <f>SUMPRODUCT($F$15:$H$15,$F$16:$H$16)/SUM($F$16:$H$16)</f>
        <v>0.50710344827586207</v>
      </c>
      <c r="P7" s="13">
        <f>O7*N7</f>
        <v>223.1255172413793</v>
      </c>
      <c r="Q7" s="12">
        <f>F7</f>
        <v>4650</v>
      </c>
      <c r="R7" s="12">
        <f>SUM(P7:Q7)</f>
        <v>4873.1255172413794</v>
      </c>
    </row>
    <row r="8" spans="1:18" x14ac:dyDescent="0.2">
      <c r="A8" s="56"/>
      <c r="B8" s="53"/>
      <c r="C8" s="24">
        <v>2014</v>
      </c>
      <c r="D8" s="28">
        <v>6220</v>
      </c>
      <c r="E8" s="28">
        <v>5950</v>
      </c>
      <c r="F8" s="28">
        <v>4980</v>
      </c>
      <c r="G8" s="28">
        <v>8010</v>
      </c>
      <c r="H8" s="53"/>
      <c r="I8" s="53"/>
      <c r="J8" s="54"/>
      <c r="M8" s="18">
        <v>2014</v>
      </c>
      <c r="N8" s="12">
        <f>D8-E8</f>
        <v>270</v>
      </c>
      <c r="O8" s="11">
        <f>SUMPRODUCT($E$15:$H$15,$E$16:$H$16)/SUM($E$16:$H$16)</f>
        <v>0.59587248322147657</v>
      </c>
      <c r="P8" s="13">
        <f t="shared" ref="P8:P10" si="0">O8*N8</f>
        <v>160.88557046979867</v>
      </c>
      <c r="Q8" s="12">
        <f>F8</f>
        <v>4980</v>
      </c>
      <c r="R8" s="12">
        <f>SUM(P8:Q8)</f>
        <v>5140.8855704697989</v>
      </c>
    </row>
    <row r="9" spans="1:18" x14ac:dyDescent="0.2">
      <c r="A9" s="56"/>
      <c r="B9" s="53"/>
      <c r="C9" s="24">
        <v>2015</v>
      </c>
      <c r="D9" s="28">
        <v>6330</v>
      </c>
      <c r="E9" s="9">
        <v>0</v>
      </c>
      <c r="F9" s="9">
        <v>0</v>
      </c>
      <c r="G9" s="28">
        <v>8320</v>
      </c>
      <c r="H9" s="53"/>
      <c r="I9" s="53"/>
      <c r="J9" s="54"/>
      <c r="M9" s="18">
        <v>2015</v>
      </c>
      <c r="N9" s="12">
        <f>D9-E9</f>
        <v>6330</v>
      </c>
      <c r="O9" s="11">
        <f>SUMPRODUCT($D$15:$H$15,$D$16:$H$16)/SUM($D$16:$H$16)</f>
        <v>1.2656699999999999</v>
      </c>
      <c r="P9" s="13">
        <f t="shared" si="0"/>
        <v>8011.6910999999991</v>
      </c>
      <c r="Q9" s="12">
        <f>F9</f>
        <v>0</v>
      </c>
      <c r="R9" s="12">
        <f>SUM(P9:Q9)</f>
        <v>8011.6910999999991</v>
      </c>
    </row>
    <row r="10" spans="1:18" x14ac:dyDescent="0.2">
      <c r="A10" s="56"/>
      <c r="B10" s="53"/>
      <c r="C10" s="24">
        <v>2016</v>
      </c>
      <c r="D10" s="28">
        <v>6310</v>
      </c>
      <c r="E10" s="9">
        <v>0</v>
      </c>
      <c r="F10" s="9">
        <v>0</v>
      </c>
      <c r="G10" s="28">
        <v>8540</v>
      </c>
      <c r="H10" s="53"/>
      <c r="I10" s="53"/>
      <c r="J10" s="54"/>
      <c r="M10" s="19">
        <v>2016</v>
      </c>
      <c r="N10" s="15">
        <f>D10-E10</f>
        <v>6310</v>
      </c>
      <c r="O10" s="16">
        <f>SUMPRODUCT($D$15:$H$15,$D$16:$H$16)/SUM($D$16:$H$16)</f>
        <v>1.2656699999999999</v>
      </c>
      <c r="P10" s="17">
        <f t="shared" si="0"/>
        <v>7986.3776999999991</v>
      </c>
      <c r="Q10" s="15">
        <f>F10</f>
        <v>0</v>
      </c>
      <c r="R10" s="15">
        <f>SUM(P10:Q10)</f>
        <v>7986.3776999999991</v>
      </c>
    </row>
    <row r="11" spans="1:18" ht="17" x14ac:dyDescent="0.2">
      <c r="A11" s="56"/>
      <c r="B11" s="53"/>
      <c r="C11" s="53"/>
      <c r="D11" s="53"/>
      <c r="E11" s="53"/>
      <c r="F11" s="53"/>
      <c r="G11" s="53"/>
      <c r="H11" s="53"/>
      <c r="I11" s="53"/>
      <c r="J11" s="54"/>
      <c r="M11" s="37" t="s">
        <v>102</v>
      </c>
      <c r="N11" s="10"/>
      <c r="O11" s="10"/>
      <c r="P11" s="10"/>
      <c r="Q11" s="10"/>
      <c r="R11" s="14">
        <f>SUM(R7:R10)</f>
        <v>26012.079887711174</v>
      </c>
    </row>
    <row r="12" spans="1:18" x14ac:dyDescent="0.2">
      <c r="A12" s="56"/>
      <c r="B12" s="53"/>
      <c r="C12" s="53"/>
      <c r="D12" s="53"/>
      <c r="E12" s="53"/>
      <c r="F12" s="53"/>
      <c r="G12" s="53"/>
      <c r="H12" s="53"/>
      <c r="I12" s="53"/>
      <c r="J12" s="54"/>
    </row>
    <row r="13" spans="1:18" x14ac:dyDescent="0.2">
      <c r="A13" s="56"/>
      <c r="B13" s="53"/>
      <c r="C13" s="318" t="s">
        <v>42</v>
      </c>
      <c r="D13" s="318"/>
      <c r="E13" s="318"/>
      <c r="F13" s="318"/>
      <c r="G13" s="318"/>
      <c r="H13" s="318"/>
      <c r="I13" s="53"/>
      <c r="J13" s="54"/>
    </row>
    <row r="14" spans="1:18" ht="17" x14ac:dyDescent="0.2">
      <c r="A14" s="56"/>
      <c r="B14" s="53"/>
      <c r="C14" s="5"/>
      <c r="D14" s="6" t="s">
        <v>5</v>
      </c>
      <c r="E14" s="6" t="s">
        <v>6</v>
      </c>
      <c r="F14" s="6" t="s">
        <v>7</v>
      </c>
      <c r="G14" s="6" t="s">
        <v>39</v>
      </c>
      <c r="H14" s="6" t="s">
        <v>40</v>
      </c>
      <c r="I14" s="53"/>
      <c r="J14" s="54"/>
      <c r="L14" s="31"/>
      <c r="M14" s="55" t="s">
        <v>101</v>
      </c>
      <c r="N14" s="57"/>
    </row>
    <row r="15" spans="1:18" ht="20" thickBot="1" x14ac:dyDescent="0.25">
      <c r="A15" s="56"/>
      <c r="B15" s="53"/>
      <c r="C15" s="24" t="s">
        <v>43</v>
      </c>
      <c r="D15" s="9">
        <v>1.55</v>
      </c>
      <c r="E15" s="9">
        <v>0.68</v>
      </c>
      <c r="F15" s="9">
        <v>0.62</v>
      </c>
      <c r="G15" s="9">
        <v>0.55000000000000004</v>
      </c>
      <c r="H15" s="29">
        <v>0</v>
      </c>
      <c r="I15" s="53"/>
      <c r="J15" s="54"/>
    </row>
    <row r="16" spans="1:18" ht="18" thickBot="1" x14ac:dyDescent="0.25">
      <c r="A16" s="56"/>
      <c r="B16" s="53"/>
      <c r="C16" s="24" t="s">
        <v>41</v>
      </c>
      <c r="D16" s="30">
        <v>0.70199999999999996</v>
      </c>
      <c r="E16" s="30">
        <v>0.153</v>
      </c>
      <c r="F16" s="30">
        <v>8.4000000000000005E-2</v>
      </c>
      <c r="G16" s="30">
        <v>3.9E-2</v>
      </c>
      <c r="H16" s="30">
        <v>2.1999999999999999E-2</v>
      </c>
      <c r="I16" s="53"/>
      <c r="J16" s="54"/>
      <c r="M16" s="71" t="s">
        <v>103</v>
      </c>
      <c r="N16" s="72">
        <f>R11*1000-$F$24</f>
        <v>772079.88771117479</v>
      </c>
    </row>
    <row r="17" spans="1:19" x14ac:dyDescent="0.2">
      <c r="A17" s="56"/>
      <c r="B17" s="53"/>
      <c r="C17" s="53"/>
      <c r="D17" s="53"/>
      <c r="E17" s="53"/>
      <c r="F17" s="53"/>
      <c r="G17" s="53"/>
      <c r="H17" s="53"/>
      <c r="I17" s="53"/>
      <c r="J17" s="54"/>
    </row>
    <row r="18" spans="1:19" x14ac:dyDescent="0.2">
      <c r="A18" s="56"/>
      <c r="B18" s="53"/>
      <c r="C18" s="53"/>
      <c r="D18" s="53"/>
      <c r="E18" s="53"/>
      <c r="F18" s="53"/>
      <c r="G18" s="53"/>
      <c r="H18" s="53"/>
      <c r="I18" s="53"/>
      <c r="J18" s="54"/>
    </row>
    <row r="19" spans="1:19" x14ac:dyDescent="0.2">
      <c r="A19" s="56"/>
      <c r="B19" s="53" t="s">
        <v>48</v>
      </c>
      <c r="C19" s="53"/>
      <c r="D19" s="53"/>
      <c r="E19" s="53"/>
      <c r="F19" s="60">
        <v>0.22</v>
      </c>
      <c r="G19" s="53"/>
      <c r="H19" s="53"/>
      <c r="I19" s="53"/>
      <c r="J19" s="54"/>
      <c r="L19" s="31" t="s">
        <v>3</v>
      </c>
    </row>
    <row r="20" spans="1:19" x14ac:dyDescent="0.2">
      <c r="A20" s="56"/>
      <c r="B20" s="53" t="s">
        <v>47</v>
      </c>
      <c r="C20" s="53"/>
      <c r="D20" s="53"/>
      <c r="E20" s="53"/>
      <c r="F20" s="61">
        <v>0.7</v>
      </c>
      <c r="G20" s="53"/>
      <c r="H20" s="53"/>
      <c r="I20" s="53"/>
      <c r="J20" s="54"/>
      <c r="M20" s="55" t="s">
        <v>105</v>
      </c>
    </row>
    <row r="21" spans="1:19" x14ac:dyDescent="0.2">
      <c r="A21" s="56"/>
      <c r="B21" s="53"/>
      <c r="C21" s="53"/>
      <c r="D21" s="53"/>
      <c r="E21" s="53"/>
      <c r="F21" s="53"/>
      <c r="G21" s="53"/>
      <c r="H21" s="53"/>
      <c r="I21" s="53"/>
      <c r="J21" s="54"/>
      <c r="M21" s="55" t="s">
        <v>106</v>
      </c>
      <c r="N21" s="11">
        <f>$O$10-F19/F20</f>
        <v>0.95138428571428557</v>
      </c>
    </row>
    <row r="22" spans="1:19" x14ac:dyDescent="0.2">
      <c r="A22" s="56"/>
      <c r="B22" s="53" t="s">
        <v>44</v>
      </c>
      <c r="C22" s="53"/>
      <c r="D22" s="53"/>
      <c r="E22" s="53"/>
      <c r="F22" s="53"/>
      <c r="G22" s="53"/>
      <c r="H22" s="53"/>
      <c r="I22" s="53"/>
      <c r="J22" s="54"/>
      <c r="N22" s="11"/>
    </row>
    <row r="23" spans="1:19" x14ac:dyDescent="0.2">
      <c r="A23" s="56"/>
      <c r="B23" s="53" t="s">
        <v>45</v>
      </c>
      <c r="C23" s="53"/>
      <c r="D23" s="53"/>
      <c r="E23" s="53"/>
      <c r="F23" s="53"/>
      <c r="G23" s="53"/>
      <c r="H23" s="53"/>
      <c r="I23" s="53"/>
      <c r="J23" s="54"/>
      <c r="M23" s="55" t="s">
        <v>109</v>
      </c>
      <c r="N23" s="11"/>
    </row>
    <row r="24" spans="1:19" x14ac:dyDescent="0.2">
      <c r="A24" s="56"/>
      <c r="B24" s="53" t="s">
        <v>46</v>
      </c>
      <c r="C24" s="53"/>
      <c r="D24" s="53"/>
      <c r="E24" s="53"/>
      <c r="F24" s="58">
        <v>25240000</v>
      </c>
      <c r="G24" s="53"/>
      <c r="H24" s="53"/>
      <c r="I24" s="53"/>
      <c r="J24" s="54"/>
    </row>
    <row r="25" spans="1:19" x14ac:dyDescent="0.2">
      <c r="A25" s="56"/>
      <c r="B25" s="53"/>
      <c r="C25" s="53"/>
      <c r="D25" s="53"/>
      <c r="E25" s="53"/>
      <c r="F25" s="53"/>
      <c r="G25" s="53"/>
      <c r="H25" s="53"/>
      <c r="I25" s="53"/>
      <c r="J25" s="54"/>
      <c r="P25" s="326" t="s">
        <v>107</v>
      </c>
      <c r="Q25" s="326" t="s">
        <v>108</v>
      </c>
    </row>
    <row r="26" spans="1:19" ht="34" x14ac:dyDescent="0.2">
      <c r="A26" s="53" t="s">
        <v>0</v>
      </c>
      <c r="B26" s="53" t="s">
        <v>49</v>
      </c>
      <c r="C26" s="53"/>
      <c r="D26" s="53"/>
      <c r="E26" s="53"/>
      <c r="F26" s="53"/>
      <c r="G26" s="53"/>
      <c r="H26" s="53"/>
      <c r="I26" s="53"/>
      <c r="J26" s="54"/>
      <c r="M26" s="19" t="s">
        <v>91</v>
      </c>
      <c r="N26" s="20" t="s">
        <v>93</v>
      </c>
      <c r="O26" s="20" t="s">
        <v>104</v>
      </c>
      <c r="P26" s="327"/>
      <c r="Q26" s="327"/>
      <c r="R26" s="20" t="s">
        <v>97</v>
      </c>
    </row>
    <row r="27" spans="1:19" x14ac:dyDescent="0.2">
      <c r="A27" s="56"/>
      <c r="B27" s="53"/>
      <c r="C27" s="53"/>
      <c r="D27" s="53"/>
      <c r="E27" s="53"/>
      <c r="F27" s="53"/>
      <c r="G27" s="53"/>
      <c r="H27" s="53"/>
      <c r="I27" s="53"/>
      <c r="J27" s="54"/>
      <c r="M27" s="18">
        <v>2013</v>
      </c>
      <c r="N27" s="12"/>
      <c r="O27" s="11"/>
      <c r="P27" s="13"/>
      <c r="Q27" s="12"/>
      <c r="R27" s="12">
        <f>R7</f>
        <v>4873.1255172413794</v>
      </c>
      <c r="S27" s="55" t="s">
        <v>110</v>
      </c>
    </row>
    <row r="28" spans="1:19" s="65" customFormat="1" x14ac:dyDescent="0.2">
      <c r="A28" s="68" t="s">
        <v>1</v>
      </c>
      <c r="B28" s="68" t="s">
        <v>50</v>
      </c>
      <c r="C28" s="68"/>
      <c r="D28" s="68"/>
      <c r="E28" s="68"/>
      <c r="F28" s="68"/>
      <c r="G28" s="68"/>
      <c r="H28" s="68"/>
      <c r="I28" s="68"/>
      <c r="J28" s="69"/>
      <c r="L28" s="31"/>
      <c r="M28" s="18">
        <v>2014</v>
      </c>
      <c r="N28" s="12"/>
      <c r="O28" s="11"/>
      <c r="P28" s="13"/>
      <c r="Q28" s="12"/>
      <c r="R28" s="12">
        <f>R8</f>
        <v>5140.8855704697989</v>
      </c>
      <c r="S28" s="65" t="s">
        <v>110</v>
      </c>
    </row>
    <row r="29" spans="1:19" s="65" customFormat="1" x14ac:dyDescent="0.2">
      <c r="A29" s="67"/>
      <c r="B29" s="68" t="s">
        <v>51</v>
      </c>
      <c r="C29" s="68"/>
      <c r="D29" s="68"/>
      <c r="E29" s="68"/>
      <c r="F29" s="68"/>
      <c r="G29" s="68"/>
      <c r="H29" s="68"/>
      <c r="I29" s="68"/>
      <c r="J29" s="69"/>
      <c r="M29" s="18">
        <v>2015</v>
      </c>
      <c r="N29" s="12">
        <f>N9</f>
        <v>6330</v>
      </c>
      <c r="O29" s="11">
        <f>N21</f>
        <v>0.95138428571428557</v>
      </c>
      <c r="P29" s="13">
        <f>O29*N29</f>
        <v>6022.2625285714275</v>
      </c>
      <c r="Q29" s="12">
        <f>G9*$F$19</f>
        <v>1830.4</v>
      </c>
      <c r="R29" s="12">
        <f>SUM(P29:Q29)</f>
        <v>7852.6625285714272</v>
      </c>
    </row>
    <row r="30" spans="1:19" s="65" customFormat="1" x14ac:dyDescent="0.2">
      <c r="A30" s="67"/>
      <c r="B30" s="68"/>
      <c r="C30" s="68"/>
      <c r="D30" s="68"/>
      <c r="E30" s="68"/>
      <c r="F30" s="68"/>
      <c r="G30" s="68"/>
      <c r="H30" s="68"/>
      <c r="I30" s="68"/>
      <c r="J30" s="69"/>
      <c r="M30" s="19">
        <v>2016</v>
      </c>
      <c r="N30" s="15">
        <f>N10</f>
        <v>6310</v>
      </c>
      <c r="O30" s="16">
        <f>N21</f>
        <v>0.95138428571428557</v>
      </c>
      <c r="P30" s="17">
        <f>O30*N30</f>
        <v>6003.2348428571422</v>
      </c>
      <c r="Q30" s="15">
        <f>G10*$F$19</f>
        <v>1878.8</v>
      </c>
      <c r="R30" s="15">
        <f>SUM(P30:Q30)</f>
        <v>7882.0348428571424</v>
      </c>
    </row>
    <row r="31" spans="1:19" s="65" customFormat="1" ht="18" thickBot="1" x14ac:dyDescent="0.25">
      <c r="A31" s="67"/>
      <c r="B31" s="68"/>
      <c r="C31" s="68"/>
      <c r="D31" s="68"/>
      <c r="E31" s="68"/>
      <c r="F31" s="68"/>
      <c r="G31" s="68"/>
      <c r="H31" s="68"/>
      <c r="I31" s="68"/>
      <c r="J31" s="69"/>
      <c r="M31" s="37" t="s">
        <v>102</v>
      </c>
      <c r="N31" s="10"/>
      <c r="O31" s="10"/>
      <c r="P31" s="10"/>
      <c r="Q31" s="10"/>
      <c r="R31" s="14">
        <f>SUM(R27:R30)</f>
        <v>25748.708459139747</v>
      </c>
    </row>
    <row r="32" spans="1:19" s="65" customFormat="1" ht="17" thickBot="1" x14ac:dyDescent="0.25">
      <c r="A32" s="319" t="s">
        <v>124</v>
      </c>
      <c r="B32" s="320"/>
      <c r="C32" s="320"/>
      <c r="D32" s="320"/>
      <c r="E32" s="320"/>
      <c r="F32" s="320"/>
      <c r="G32" s="320"/>
      <c r="H32" s="320"/>
      <c r="I32" s="320"/>
      <c r="J32" s="321"/>
    </row>
    <row r="33" spans="1:20" s="65" customFormat="1" x14ac:dyDescent="0.2">
      <c r="M33" s="65" t="s">
        <v>112</v>
      </c>
      <c r="N33" s="70">
        <f>R31*1000-$F$24</f>
        <v>508708.45913974568</v>
      </c>
    </row>
    <row r="34" spans="1:20" s="65" customFormat="1" ht="17" thickBot="1" x14ac:dyDescent="0.25">
      <c r="A34" s="31"/>
    </row>
    <row r="35" spans="1:20" s="65" customFormat="1" ht="17" thickBot="1" x14ac:dyDescent="0.25">
      <c r="M35" s="71" t="s">
        <v>111</v>
      </c>
      <c r="N35" s="72">
        <f>N33-N16</f>
        <v>-263371.4285714291</v>
      </c>
    </row>
    <row r="36" spans="1:20" s="65" customFormat="1" x14ac:dyDescent="0.2"/>
    <row r="37" spans="1:20" s="65" customFormat="1" ht="18.5" customHeight="1" x14ac:dyDescent="0.2">
      <c r="L37" s="25" t="s">
        <v>113</v>
      </c>
    </row>
    <row r="38" spans="1:20" s="65" customFormat="1" ht="15" customHeight="1" x14ac:dyDescent="0.2">
      <c r="L38" s="323" t="s">
        <v>114</v>
      </c>
      <c r="M38" s="323"/>
      <c r="N38" s="323"/>
      <c r="O38" s="323"/>
      <c r="P38" s="323"/>
      <c r="Q38" s="323"/>
      <c r="R38" s="323"/>
      <c r="S38" s="323"/>
      <c r="T38" s="323"/>
    </row>
    <row r="39" spans="1:20" s="65" customFormat="1" ht="15" customHeight="1" x14ac:dyDescent="0.2">
      <c r="L39" s="323"/>
      <c r="M39" s="323"/>
      <c r="N39" s="323"/>
      <c r="O39" s="323"/>
      <c r="P39" s="323"/>
      <c r="Q39" s="323"/>
      <c r="R39" s="323"/>
      <c r="S39" s="323"/>
      <c r="T39" s="323"/>
    </row>
    <row r="40" spans="1:20" s="65" customFormat="1" ht="15.5" customHeight="1" x14ac:dyDescent="0.2">
      <c r="L40" s="323"/>
      <c r="M40" s="323"/>
      <c r="N40" s="323"/>
      <c r="O40" s="323"/>
      <c r="P40" s="323"/>
      <c r="Q40" s="323"/>
      <c r="R40" s="323"/>
      <c r="S40" s="323"/>
      <c r="T40" s="323"/>
    </row>
    <row r="41" spans="1:20" s="65" customFormat="1" x14ac:dyDescent="0.2">
      <c r="L41" s="323"/>
      <c r="M41" s="323"/>
      <c r="N41" s="323"/>
      <c r="O41" s="323"/>
      <c r="P41" s="323"/>
      <c r="Q41" s="323"/>
      <c r="R41" s="323"/>
      <c r="S41" s="323"/>
      <c r="T41" s="323"/>
    </row>
    <row r="42" spans="1:20" s="65" customFormat="1" x14ac:dyDescent="0.2"/>
    <row r="43" spans="1:20" s="65" customFormat="1" ht="19" x14ac:dyDescent="0.25">
      <c r="L43" s="2" t="s">
        <v>136</v>
      </c>
    </row>
    <row r="44" spans="1:20" s="65" customFormat="1" x14ac:dyDescent="0.2">
      <c r="L44" s="65" t="s">
        <v>134</v>
      </c>
    </row>
    <row r="45" spans="1:20" s="65" customFormat="1" x14ac:dyDescent="0.2">
      <c r="L45" s="65" t="s">
        <v>135</v>
      </c>
    </row>
    <row r="46" spans="1:20" s="65" customFormat="1" x14ac:dyDescent="0.2"/>
    <row r="47" spans="1:20" s="65" customFormat="1" x14ac:dyDescent="0.2"/>
    <row r="48" spans="1:20" s="65" customFormat="1" x14ac:dyDescent="0.2"/>
    <row r="49" spans="13:13" s="65" customFormat="1" x14ac:dyDescent="0.2"/>
    <row r="50" spans="13:13" s="65" customFormat="1" x14ac:dyDescent="0.2"/>
    <row r="51" spans="13:13" s="65" customFormat="1" x14ac:dyDescent="0.2"/>
    <row r="52" spans="13:13" s="65" customFormat="1" x14ac:dyDescent="0.2"/>
    <row r="53" spans="13:13" s="65" customFormat="1" x14ac:dyDescent="0.2"/>
    <row r="54" spans="13:13" s="65" customFormat="1" x14ac:dyDescent="0.2"/>
    <row r="55" spans="13:13" s="65" customFormat="1" x14ac:dyDescent="0.2"/>
    <row r="56" spans="13:13" s="65" customFormat="1" x14ac:dyDescent="0.2"/>
    <row r="57" spans="13:13" s="65" customFormat="1" x14ac:dyDescent="0.2"/>
    <row r="58" spans="13:13" s="65" customFormat="1" x14ac:dyDescent="0.2"/>
    <row r="59" spans="13:13" s="65" customFormat="1" x14ac:dyDescent="0.2"/>
    <row r="60" spans="13:13" s="65" customFormat="1" x14ac:dyDescent="0.2"/>
    <row r="61" spans="13:13" s="65" customFormat="1" x14ac:dyDescent="0.2"/>
    <row r="62" spans="13:13" s="65" customFormat="1" x14ac:dyDescent="0.2"/>
    <row r="63" spans="13:13" s="65" customFormat="1" x14ac:dyDescent="0.2">
      <c r="M63" s="66"/>
    </row>
    <row r="64" spans="13:13" s="65" customFormat="1" x14ac:dyDescent="0.2"/>
    <row r="65" spans="13:13" s="65" customFormat="1" x14ac:dyDescent="0.2"/>
    <row r="66" spans="13:13" s="65" customFormat="1" x14ac:dyDescent="0.2"/>
    <row r="67" spans="13:13" s="65" customFormat="1" x14ac:dyDescent="0.2"/>
    <row r="68" spans="13:13" s="65" customFormat="1" x14ac:dyDescent="0.2"/>
    <row r="69" spans="13:13" s="65" customFormat="1" x14ac:dyDescent="0.2"/>
    <row r="70" spans="13:13" s="65" customFormat="1" x14ac:dyDescent="0.2"/>
    <row r="71" spans="13:13" s="65" customFormat="1" x14ac:dyDescent="0.2">
      <c r="M71" s="66"/>
    </row>
    <row r="72" spans="13:13" s="65" customFormat="1" x14ac:dyDescent="0.2"/>
    <row r="73" spans="13:13" s="65" customFormat="1" x14ac:dyDescent="0.2"/>
    <row r="74" spans="13:13" s="65" customFormat="1" x14ac:dyDescent="0.2"/>
    <row r="75" spans="13:13" s="65" customFormat="1" x14ac:dyDescent="0.2"/>
    <row r="76" spans="13:13" s="65" customFormat="1" x14ac:dyDescent="0.2"/>
    <row r="77" spans="13:13" s="65" customFormat="1" x14ac:dyDescent="0.2"/>
    <row r="78" spans="13:13" s="65" customFormat="1" x14ac:dyDescent="0.2"/>
    <row r="79" spans="13:13" s="65" customFormat="1" x14ac:dyDescent="0.2"/>
    <row r="80" spans="13:13" s="65" customFormat="1" x14ac:dyDescent="0.2"/>
    <row r="81" spans="13:13" s="65" customFormat="1" x14ac:dyDescent="0.2">
      <c r="M81" s="66"/>
    </row>
    <row r="82" spans="13:13" s="65" customFormat="1" x14ac:dyDescent="0.2"/>
    <row r="83" spans="13:13" s="65" customFormat="1" x14ac:dyDescent="0.2"/>
    <row r="84" spans="13:13" s="65" customFormat="1" x14ac:dyDescent="0.2"/>
    <row r="85" spans="13:13" s="65" customFormat="1" x14ac:dyDescent="0.2"/>
    <row r="86" spans="13:13" s="65" customFormat="1" x14ac:dyDescent="0.2"/>
    <row r="87" spans="13:13" s="65" customFormat="1" x14ac:dyDescent="0.2"/>
    <row r="88" spans="13:13" s="65" customFormat="1" x14ac:dyDescent="0.2"/>
    <row r="89" spans="13:13" s="65" customFormat="1" x14ac:dyDescent="0.2"/>
    <row r="90" spans="13:13" s="65" customFormat="1" x14ac:dyDescent="0.2"/>
    <row r="91" spans="13:13" s="65" customFormat="1" x14ac:dyDescent="0.2">
      <c r="M91" s="66"/>
    </row>
    <row r="92" spans="13:13" s="65" customFormat="1" x14ac:dyDescent="0.2"/>
    <row r="93" spans="13:13" s="65" customFormat="1" x14ac:dyDescent="0.2"/>
    <row r="94" spans="13:13" s="65" customFormat="1" x14ac:dyDescent="0.2"/>
    <row r="95" spans="13:13" s="65" customFormat="1" x14ac:dyDescent="0.2"/>
    <row r="96" spans="13:13" s="65" customFormat="1" x14ac:dyDescent="0.2"/>
    <row r="97" spans="13:13" s="65" customFormat="1" x14ac:dyDescent="0.2"/>
    <row r="98" spans="13:13" s="65" customFormat="1" x14ac:dyDescent="0.2"/>
    <row r="99" spans="13:13" s="65" customFormat="1" x14ac:dyDescent="0.2"/>
    <row r="100" spans="13:13" s="65" customFormat="1" x14ac:dyDescent="0.2"/>
    <row r="101" spans="13:13" s="65" customFormat="1" x14ac:dyDescent="0.2">
      <c r="M101" s="66"/>
    </row>
    <row r="102" spans="13:13" s="65" customFormat="1" x14ac:dyDescent="0.2"/>
    <row r="103" spans="13:13" s="65" customFormat="1" x14ac:dyDescent="0.2"/>
    <row r="104" spans="13:13" s="65" customFormat="1" x14ac:dyDescent="0.2"/>
    <row r="105" spans="13:13" s="65" customFormat="1" x14ac:dyDescent="0.2"/>
    <row r="106" spans="13:13" s="65" customFormat="1" x14ac:dyDescent="0.2"/>
    <row r="107" spans="13:13" s="65" customFormat="1" x14ac:dyDescent="0.2"/>
    <row r="108" spans="13:13" s="65" customFormat="1" x14ac:dyDescent="0.2"/>
    <row r="109" spans="13:13" s="65" customFormat="1" x14ac:dyDescent="0.2"/>
    <row r="110" spans="13:13" s="65" customFormat="1" x14ac:dyDescent="0.2"/>
    <row r="111" spans="13:13" s="65" customFormat="1" x14ac:dyDescent="0.2"/>
    <row r="112" spans="13:13" s="65" customFormat="1" x14ac:dyDescent="0.2"/>
    <row r="113" s="65" customFormat="1" x14ac:dyDescent="0.2"/>
    <row r="114" s="65" customFormat="1" x14ac:dyDescent="0.2"/>
    <row r="115" s="65" customFormat="1" x14ac:dyDescent="0.2"/>
    <row r="116" s="65" customFormat="1" x14ac:dyDescent="0.2"/>
    <row r="117" s="65" customFormat="1" x14ac:dyDescent="0.2"/>
    <row r="118" s="65" customFormat="1" x14ac:dyDescent="0.2"/>
    <row r="119" s="65" customFormat="1" x14ac:dyDescent="0.2"/>
    <row r="120" s="65" customFormat="1" x14ac:dyDescent="0.2"/>
    <row r="121" s="65" customFormat="1" x14ac:dyDescent="0.2"/>
    <row r="122" s="65" customFormat="1" x14ac:dyDescent="0.2"/>
    <row r="123" s="65" customFormat="1" x14ac:dyDescent="0.2"/>
    <row r="124" s="65" customFormat="1" x14ac:dyDescent="0.2"/>
    <row r="125" s="65" customFormat="1" x14ac:dyDescent="0.2"/>
    <row r="126" s="65" customFormat="1" x14ac:dyDescent="0.2"/>
    <row r="127" s="65" customFormat="1" x14ac:dyDescent="0.2"/>
    <row r="128" s="65" customFormat="1" x14ac:dyDescent="0.2"/>
    <row r="129" s="65" customFormat="1" x14ac:dyDescent="0.2"/>
    <row r="130" s="65" customFormat="1" x14ac:dyDescent="0.2"/>
    <row r="131" s="65" customFormat="1" x14ac:dyDescent="0.2"/>
    <row r="132" s="65" customFormat="1" x14ac:dyDescent="0.2"/>
    <row r="133" s="65" customFormat="1" x14ac:dyDescent="0.2"/>
    <row r="134" s="65" customFormat="1" x14ac:dyDescent="0.2"/>
    <row r="135" s="65" customFormat="1" x14ac:dyDescent="0.2"/>
    <row r="136" s="65" customFormat="1" x14ac:dyDescent="0.2"/>
    <row r="137" s="65" customFormat="1" x14ac:dyDescent="0.2"/>
    <row r="138" s="65" customFormat="1" x14ac:dyDescent="0.2"/>
    <row r="139" s="65" customFormat="1" x14ac:dyDescent="0.2"/>
    <row r="140" s="65" customFormat="1" x14ac:dyDescent="0.2"/>
    <row r="141" s="65" customFormat="1" x14ac:dyDescent="0.2"/>
    <row r="142" s="65" customFormat="1" x14ac:dyDescent="0.2"/>
    <row r="143" s="65" customFormat="1" x14ac:dyDescent="0.2"/>
    <row r="144" s="65" customFormat="1" x14ac:dyDescent="0.2"/>
    <row r="145" s="65" customFormat="1" x14ac:dyDescent="0.2"/>
    <row r="146" s="65" customFormat="1" x14ac:dyDescent="0.2"/>
    <row r="147" s="65" customFormat="1" x14ac:dyDescent="0.2"/>
    <row r="148" s="65" customFormat="1" x14ac:dyDescent="0.2"/>
    <row r="149" s="65" customFormat="1" x14ac:dyDescent="0.2"/>
    <row r="150" s="65" customFormat="1" x14ac:dyDescent="0.2"/>
    <row r="151" s="65" customFormat="1" x14ac:dyDescent="0.2"/>
    <row r="152" s="65" customFormat="1" x14ac:dyDescent="0.2"/>
    <row r="153" s="65" customFormat="1" x14ac:dyDescent="0.2"/>
    <row r="154" s="65" customFormat="1" x14ac:dyDescent="0.2"/>
    <row r="155" s="65" customFormat="1" x14ac:dyDescent="0.2"/>
    <row r="156" s="65" customFormat="1" x14ac:dyDescent="0.2"/>
    <row r="157" s="65" customFormat="1" x14ac:dyDescent="0.2"/>
    <row r="158" s="65" customFormat="1" x14ac:dyDescent="0.2"/>
    <row r="159" s="65" customFormat="1" x14ac:dyDescent="0.2"/>
    <row r="160" s="65" customFormat="1" x14ac:dyDescent="0.2"/>
    <row r="161" s="65" customFormat="1" x14ac:dyDescent="0.2"/>
    <row r="162" s="65" customFormat="1" x14ac:dyDescent="0.2"/>
    <row r="163" s="65" customFormat="1" x14ac:dyDescent="0.2"/>
    <row r="164" s="65" customFormat="1" x14ac:dyDescent="0.2"/>
    <row r="165" s="65" customFormat="1" x14ac:dyDescent="0.2"/>
    <row r="166" s="65" customFormat="1" x14ac:dyDescent="0.2"/>
    <row r="167" s="65" customFormat="1" x14ac:dyDescent="0.2"/>
    <row r="168" s="65" customFormat="1" x14ac:dyDescent="0.2"/>
    <row r="169" s="65" customFormat="1" x14ac:dyDescent="0.2"/>
    <row r="170" s="65" customFormat="1" x14ac:dyDescent="0.2"/>
    <row r="171" s="65" customFormat="1" x14ac:dyDescent="0.2"/>
    <row r="172" s="65" customFormat="1" x14ac:dyDescent="0.2"/>
    <row r="173" s="65" customFormat="1" x14ac:dyDescent="0.2"/>
    <row r="174" s="65" customFormat="1" x14ac:dyDescent="0.2"/>
    <row r="175" s="65" customFormat="1" x14ac:dyDescent="0.2"/>
    <row r="176" s="65" customFormat="1" x14ac:dyDescent="0.2"/>
    <row r="177" spans="1:65" s="65" customFormat="1" x14ac:dyDescent="0.2"/>
    <row r="178" spans="1:65" s="65" customFormat="1" x14ac:dyDescent="0.2"/>
    <row r="179" spans="1:65" s="65" customFormat="1" x14ac:dyDescent="0.2"/>
    <row r="180" spans="1:65" s="65" customFormat="1" x14ac:dyDescent="0.2"/>
    <row r="181" spans="1:65" s="65" customFormat="1" x14ac:dyDescent="0.2"/>
    <row r="182" spans="1:65" s="65" customFormat="1" x14ac:dyDescent="0.2"/>
    <row r="183" spans="1:65" s="65" customFormat="1" x14ac:dyDescent="0.2"/>
    <row r="184" spans="1:65" s="65" customFormat="1" x14ac:dyDescent="0.2"/>
    <row r="185" spans="1:65" s="65" customFormat="1" x14ac:dyDescent="0.2"/>
    <row r="186" spans="1:65" s="65" customFormat="1" x14ac:dyDescent="0.2"/>
    <row r="187" spans="1:65" s="65" customFormat="1" x14ac:dyDescent="0.2"/>
    <row r="188" spans="1:65" s="65" customFormat="1" x14ac:dyDescent="0.2"/>
    <row r="189" spans="1:65" x14ac:dyDescent="0.2">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7"/>
      <c r="AG189" s="27"/>
      <c r="AH189" s="27"/>
      <c r="AI189" s="27"/>
      <c r="AJ189" s="27"/>
      <c r="AK189" s="27"/>
      <c r="AL189" s="27"/>
      <c r="AM189" s="27"/>
      <c r="AN189" s="27"/>
      <c r="AO189" s="27"/>
      <c r="AP189" s="27"/>
      <c r="AQ189" s="27"/>
      <c r="AR189" s="27"/>
      <c r="AS189" s="27"/>
      <c r="AT189" s="27"/>
      <c r="AU189" s="27"/>
      <c r="AV189" s="27"/>
      <c r="AW189" s="27"/>
      <c r="AX189" s="27"/>
      <c r="AY189" s="27"/>
      <c r="AZ189" s="27"/>
      <c r="BA189" s="27"/>
      <c r="BB189" s="27"/>
      <c r="BC189" s="27"/>
      <c r="BD189" s="27"/>
      <c r="BE189" s="27"/>
      <c r="BF189" s="27"/>
      <c r="BG189" s="27"/>
      <c r="BH189" s="27"/>
      <c r="BI189" s="27"/>
      <c r="BJ189" s="27"/>
      <c r="BK189" s="27"/>
      <c r="BL189" s="27"/>
      <c r="BM189" s="27"/>
    </row>
    <row r="190" spans="1:65" x14ac:dyDescent="0.2">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7"/>
      <c r="AG190" s="27"/>
      <c r="AH190" s="27"/>
      <c r="AI190" s="27"/>
      <c r="AJ190" s="27"/>
      <c r="AK190" s="27"/>
      <c r="AL190" s="27"/>
      <c r="AM190" s="27"/>
      <c r="AN190" s="27"/>
      <c r="AO190" s="27"/>
      <c r="AP190" s="27"/>
      <c r="AQ190" s="27"/>
      <c r="AR190" s="27"/>
      <c r="AS190" s="27"/>
      <c r="AT190" s="27"/>
      <c r="AU190" s="27"/>
      <c r="AV190" s="27"/>
      <c r="AW190" s="27"/>
      <c r="AX190" s="27"/>
      <c r="AY190" s="27"/>
      <c r="AZ190" s="27"/>
      <c r="BA190" s="27"/>
      <c r="BB190" s="27"/>
      <c r="BC190" s="27"/>
      <c r="BD190" s="27"/>
      <c r="BE190" s="27"/>
      <c r="BF190" s="27"/>
      <c r="BG190" s="27"/>
      <c r="BH190" s="27"/>
      <c r="BI190" s="27"/>
      <c r="BJ190" s="27"/>
      <c r="BK190" s="27"/>
      <c r="BL190" s="27"/>
      <c r="BM190" s="27"/>
    </row>
    <row r="191" spans="1:65" x14ac:dyDescent="0.2">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c r="AT191" s="27"/>
      <c r="AU191" s="27"/>
      <c r="AV191" s="27"/>
      <c r="AW191" s="27"/>
      <c r="AX191" s="27"/>
      <c r="AY191" s="27"/>
      <c r="AZ191" s="27"/>
      <c r="BA191" s="27"/>
      <c r="BB191" s="27"/>
      <c r="BC191" s="27"/>
      <c r="BD191" s="27"/>
      <c r="BE191" s="27"/>
      <c r="BF191" s="27"/>
      <c r="BG191" s="27"/>
      <c r="BH191" s="27"/>
      <c r="BI191" s="27"/>
      <c r="BJ191" s="27"/>
      <c r="BK191" s="27"/>
      <c r="BL191" s="27"/>
      <c r="BM191" s="27"/>
    </row>
    <row r="192" spans="1:65" x14ac:dyDescent="0.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c r="AT192" s="27"/>
      <c r="AU192" s="27"/>
      <c r="AV192" s="27"/>
      <c r="AW192" s="27"/>
      <c r="AX192" s="27"/>
      <c r="AY192" s="27"/>
      <c r="AZ192" s="27"/>
      <c r="BA192" s="27"/>
      <c r="BB192" s="27"/>
      <c r="BC192" s="27"/>
      <c r="BD192" s="27"/>
      <c r="BE192" s="27"/>
      <c r="BF192" s="27"/>
      <c r="BG192" s="27"/>
      <c r="BH192" s="27"/>
      <c r="BI192" s="27"/>
      <c r="BJ192" s="27"/>
      <c r="BK192" s="27"/>
      <c r="BL192" s="27"/>
      <c r="BM192" s="27"/>
    </row>
    <row r="193" spans="1:65" x14ac:dyDescent="0.2">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c r="AT193" s="27"/>
      <c r="AU193" s="27"/>
      <c r="AV193" s="27"/>
      <c r="AW193" s="27"/>
      <c r="AX193" s="27"/>
      <c r="AY193" s="27"/>
      <c r="AZ193" s="27"/>
      <c r="BA193" s="27"/>
      <c r="BB193" s="27"/>
      <c r="BC193" s="27"/>
      <c r="BD193" s="27"/>
      <c r="BE193" s="27"/>
      <c r="BF193" s="27"/>
      <c r="BG193" s="27"/>
      <c r="BH193" s="27"/>
      <c r="BI193" s="27"/>
      <c r="BJ193" s="27"/>
      <c r="BK193" s="27"/>
      <c r="BL193" s="27"/>
      <c r="BM193" s="27"/>
    </row>
    <row r="194" spans="1:65" x14ac:dyDescent="0.2">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c r="AG194" s="27"/>
      <c r="AH194" s="27"/>
      <c r="AI194" s="27"/>
      <c r="AJ194" s="27"/>
      <c r="AK194" s="27"/>
      <c r="AL194" s="27"/>
      <c r="AM194" s="27"/>
      <c r="AN194" s="27"/>
      <c r="AO194" s="27"/>
      <c r="AP194" s="27"/>
      <c r="AQ194" s="27"/>
      <c r="AR194" s="27"/>
      <c r="AS194" s="27"/>
      <c r="AT194" s="27"/>
      <c r="AU194" s="27"/>
      <c r="AV194" s="27"/>
      <c r="AW194" s="27"/>
      <c r="AX194" s="27"/>
      <c r="AY194" s="27"/>
      <c r="AZ194" s="27"/>
      <c r="BA194" s="27"/>
      <c r="BB194" s="27"/>
      <c r="BC194" s="27"/>
      <c r="BD194" s="27"/>
      <c r="BE194" s="27"/>
      <c r="BF194" s="27"/>
      <c r="BG194" s="27"/>
      <c r="BH194" s="27"/>
      <c r="BI194" s="27"/>
      <c r="BJ194" s="27"/>
      <c r="BK194" s="27"/>
      <c r="BL194" s="27"/>
      <c r="BM194" s="27"/>
    </row>
    <row r="195" spans="1:65" x14ac:dyDescent="0.2">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c r="AG195" s="27"/>
      <c r="AH195" s="27"/>
      <c r="AI195" s="27"/>
      <c r="AJ195" s="27"/>
      <c r="AK195" s="27"/>
      <c r="AL195" s="27"/>
      <c r="AM195" s="27"/>
      <c r="AN195" s="27"/>
      <c r="AO195" s="27"/>
      <c r="AP195" s="27"/>
      <c r="AQ195" s="27"/>
      <c r="AR195" s="27"/>
      <c r="AS195" s="27"/>
      <c r="AT195" s="27"/>
      <c r="AU195" s="27"/>
      <c r="AV195" s="27"/>
      <c r="AW195" s="27"/>
      <c r="AX195" s="27"/>
      <c r="AY195" s="27"/>
      <c r="AZ195" s="27"/>
      <c r="BA195" s="27"/>
      <c r="BB195" s="27"/>
      <c r="BC195" s="27"/>
      <c r="BD195" s="27"/>
      <c r="BE195" s="27"/>
      <c r="BF195" s="27"/>
      <c r="BG195" s="27"/>
      <c r="BH195" s="27"/>
      <c r="BI195" s="27"/>
      <c r="BJ195" s="27"/>
      <c r="BK195" s="27"/>
      <c r="BL195" s="27"/>
      <c r="BM195" s="27"/>
    </row>
    <row r="196" spans="1:65" x14ac:dyDescent="0.2">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c r="AG196" s="27"/>
      <c r="AH196" s="27"/>
      <c r="AI196" s="27"/>
      <c r="AJ196" s="27"/>
      <c r="AK196" s="27"/>
      <c r="AL196" s="27"/>
      <c r="AM196" s="27"/>
      <c r="AN196" s="27"/>
      <c r="AO196" s="27"/>
      <c r="AP196" s="27"/>
      <c r="AQ196" s="27"/>
      <c r="AR196" s="27"/>
      <c r="AS196" s="27"/>
      <c r="AT196" s="27"/>
      <c r="AU196" s="27"/>
      <c r="AV196" s="27"/>
      <c r="AW196" s="27"/>
      <c r="AX196" s="27"/>
      <c r="AY196" s="27"/>
      <c r="AZ196" s="27"/>
      <c r="BA196" s="27"/>
      <c r="BB196" s="27"/>
      <c r="BC196" s="27"/>
      <c r="BD196" s="27"/>
      <c r="BE196" s="27"/>
      <c r="BF196" s="27"/>
      <c r="BG196" s="27"/>
      <c r="BH196" s="27"/>
      <c r="BI196" s="27"/>
      <c r="BJ196" s="27"/>
      <c r="BK196" s="27"/>
      <c r="BL196" s="27"/>
      <c r="BM196" s="27"/>
    </row>
    <row r="197" spans="1:65" x14ac:dyDescent="0.2">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c r="AG197" s="27"/>
      <c r="AH197" s="27"/>
      <c r="AI197" s="27"/>
      <c r="AJ197" s="27"/>
      <c r="AK197" s="27"/>
      <c r="AL197" s="27"/>
      <c r="AM197" s="27"/>
      <c r="AN197" s="27"/>
      <c r="AO197" s="27"/>
      <c r="AP197" s="27"/>
      <c r="AQ197" s="27"/>
      <c r="AR197" s="27"/>
      <c r="AS197" s="27"/>
      <c r="AT197" s="27"/>
      <c r="AU197" s="27"/>
      <c r="AV197" s="27"/>
      <c r="AW197" s="27"/>
      <c r="AX197" s="27"/>
      <c r="AY197" s="27"/>
      <c r="AZ197" s="27"/>
      <c r="BA197" s="27"/>
      <c r="BB197" s="27"/>
      <c r="BC197" s="27"/>
      <c r="BD197" s="27"/>
      <c r="BE197" s="27"/>
      <c r="BF197" s="27"/>
      <c r="BG197" s="27"/>
      <c r="BH197" s="27"/>
      <c r="BI197" s="27"/>
      <c r="BJ197" s="27"/>
      <c r="BK197" s="27"/>
      <c r="BL197" s="27"/>
      <c r="BM197" s="27"/>
    </row>
    <row r="198" spans="1:65" x14ac:dyDescent="0.2">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c r="AF198" s="27"/>
      <c r="AG198" s="27"/>
      <c r="AH198" s="27"/>
      <c r="AI198" s="27"/>
      <c r="AJ198" s="27"/>
      <c r="AK198" s="27"/>
      <c r="AL198" s="27"/>
      <c r="AM198" s="27"/>
      <c r="AN198" s="27"/>
      <c r="AO198" s="27"/>
      <c r="AP198" s="27"/>
      <c r="AQ198" s="27"/>
      <c r="AR198" s="27"/>
      <c r="AS198" s="27"/>
      <c r="AT198" s="27"/>
      <c r="AU198" s="27"/>
      <c r="AV198" s="27"/>
      <c r="AW198" s="27"/>
      <c r="AX198" s="27"/>
      <c r="AY198" s="27"/>
      <c r="AZ198" s="27"/>
      <c r="BA198" s="27"/>
      <c r="BB198" s="27"/>
      <c r="BC198" s="27"/>
      <c r="BD198" s="27"/>
      <c r="BE198" s="27"/>
      <c r="BF198" s="27"/>
      <c r="BG198" s="27"/>
      <c r="BH198" s="27"/>
      <c r="BI198" s="27"/>
      <c r="BJ198" s="27"/>
      <c r="BK198" s="27"/>
      <c r="BL198" s="27"/>
      <c r="BM198" s="27"/>
    </row>
    <row r="199" spans="1:65" x14ac:dyDescent="0.2">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c r="AE199" s="27"/>
      <c r="AF199" s="27"/>
      <c r="AG199" s="27"/>
      <c r="AH199" s="27"/>
      <c r="AI199" s="27"/>
      <c r="AJ199" s="27"/>
      <c r="AK199" s="27"/>
      <c r="AL199" s="27"/>
      <c r="AM199" s="27"/>
      <c r="AN199" s="27"/>
      <c r="AO199" s="27"/>
      <c r="AP199" s="27"/>
      <c r="AQ199" s="27"/>
      <c r="AR199" s="27"/>
      <c r="AS199" s="27"/>
      <c r="AT199" s="27"/>
      <c r="AU199" s="27"/>
      <c r="AV199" s="27"/>
      <c r="AW199" s="27"/>
      <c r="AX199" s="27"/>
      <c r="AY199" s="27"/>
      <c r="AZ199" s="27"/>
      <c r="BA199" s="27"/>
      <c r="BB199" s="27"/>
      <c r="BC199" s="27"/>
      <c r="BD199" s="27"/>
      <c r="BE199" s="27"/>
      <c r="BF199" s="27"/>
      <c r="BG199" s="27"/>
      <c r="BH199" s="27"/>
      <c r="BI199" s="27"/>
      <c r="BJ199" s="27"/>
      <c r="BK199" s="27"/>
      <c r="BL199" s="27"/>
      <c r="BM199" s="27"/>
    </row>
    <row r="200" spans="1:65" x14ac:dyDescent="0.2">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c r="AG200" s="27"/>
      <c r="AH200" s="27"/>
      <c r="AI200" s="27"/>
      <c r="AJ200" s="27"/>
      <c r="AK200" s="27"/>
      <c r="AL200" s="27"/>
      <c r="AM200" s="27"/>
      <c r="AN200" s="27"/>
      <c r="AO200" s="27"/>
      <c r="AP200" s="27"/>
      <c r="AQ200" s="27"/>
      <c r="AR200" s="27"/>
      <c r="AS200" s="27"/>
      <c r="AT200" s="27"/>
      <c r="AU200" s="27"/>
      <c r="AV200" s="27"/>
      <c r="AW200" s="27"/>
      <c r="AX200" s="27"/>
      <c r="AY200" s="27"/>
      <c r="AZ200" s="27"/>
      <c r="BA200" s="27"/>
      <c r="BB200" s="27"/>
      <c r="BC200" s="27"/>
      <c r="BD200" s="27"/>
      <c r="BE200" s="27"/>
      <c r="BF200" s="27"/>
      <c r="BG200" s="27"/>
      <c r="BH200" s="27"/>
      <c r="BI200" s="27"/>
      <c r="BJ200" s="27"/>
      <c r="BK200" s="27"/>
      <c r="BL200" s="27"/>
      <c r="BM200" s="27"/>
    </row>
    <row r="201" spans="1:65" x14ac:dyDescent="0.2">
      <c r="K201" s="27"/>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c r="AT201" s="27"/>
      <c r="AU201" s="27"/>
      <c r="AV201" s="27"/>
      <c r="AW201" s="27"/>
      <c r="AX201" s="27"/>
      <c r="AY201" s="27"/>
      <c r="AZ201" s="27"/>
      <c r="BA201" s="27"/>
      <c r="BB201" s="27"/>
      <c r="BC201" s="27"/>
      <c r="BD201" s="27"/>
      <c r="BE201" s="27"/>
      <c r="BF201" s="27"/>
      <c r="BG201" s="27"/>
      <c r="BH201" s="27"/>
      <c r="BI201" s="27"/>
      <c r="BJ201" s="27"/>
      <c r="BK201" s="27"/>
      <c r="BL201" s="27"/>
      <c r="BM201" s="27"/>
    </row>
    <row r="202" spans="1:65" x14ac:dyDescent="0.2">
      <c r="K202" s="27"/>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c r="AT202" s="27"/>
      <c r="AU202" s="27"/>
      <c r="AV202" s="27"/>
      <c r="AW202" s="27"/>
      <c r="AX202" s="27"/>
      <c r="AY202" s="27"/>
      <c r="AZ202" s="27"/>
      <c r="BA202" s="27"/>
      <c r="BB202" s="27"/>
      <c r="BC202" s="27"/>
      <c r="BD202" s="27"/>
      <c r="BE202" s="27"/>
      <c r="BF202" s="27"/>
      <c r="BG202" s="27"/>
      <c r="BH202" s="27"/>
      <c r="BI202" s="27"/>
      <c r="BJ202" s="27"/>
      <c r="BK202" s="27"/>
      <c r="BL202" s="27"/>
      <c r="BM202" s="27"/>
    </row>
    <row r="203" spans="1:65" x14ac:dyDescent="0.2">
      <c r="K203" s="27"/>
      <c r="L203" s="27"/>
      <c r="M203" s="27"/>
      <c r="N203" s="27"/>
      <c r="O203" s="27"/>
      <c r="P203" s="27"/>
      <c r="Q203" s="27"/>
      <c r="R203" s="27"/>
      <c r="S203" s="27"/>
      <c r="T203" s="27"/>
    </row>
  </sheetData>
  <mergeCells count="7">
    <mergeCell ref="L38:T41"/>
    <mergeCell ref="C13:H13"/>
    <mergeCell ref="A32:J32"/>
    <mergeCell ref="E5:E6"/>
    <mergeCell ref="F5:F6"/>
    <mergeCell ref="P25:P26"/>
    <mergeCell ref="Q25:Q26"/>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A4743-F3A9-B94F-B56E-71D45E49E29C}">
  <dimension ref="A1:BM203"/>
  <sheetViews>
    <sheetView zoomScaleNormal="100" workbookViewId="0"/>
  </sheetViews>
  <sheetFormatPr baseColWidth="10" defaultColWidth="10.83203125" defaultRowHeight="16" outlineLevelCol="1" x14ac:dyDescent="0.2"/>
  <cols>
    <col min="1" max="1" width="4.6640625" style="55" customWidth="1"/>
    <col min="2" max="2" width="11.6640625" style="55" customWidth="1"/>
    <col min="3" max="10" width="10.83203125" style="55" customWidth="1"/>
    <col min="11" max="11" width="11.5" style="55" bestFit="1" customWidth="1"/>
    <col min="12" max="13" width="10.83203125" style="55" hidden="1" customWidth="1" outlineLevel="1"/>
    <col min="14" max="14" width="11.6640625" style="55" hidden="1" customWidth="1" outlineLevel="1"/>
    <col min="15" max="20" width="10.83203125" style="55" hidden="1" customWidth="1" outlineLevel="1"/>
    <col min="21" max="21" width="10.83203125" style="55" collapsed="1"/>
    <col min="22" max="16384" width="10.83203125" style="55"/>
  </cols>
  <sheetData>
    <row r="1" spans="1:20" ht="19" x14ac:dyDescent="0.25">
      <c r="A1" s="1" t="s">
        <v>129</v>
      </c>
      <c r="B1" s="22"/>
      <c r="C1" s="38"/>
      <c r="D1" s="38"/>
      <c r="E1" s="38"/>
      <c r="F1" s="53"/>
      <c r="G1" s="53"/>
      <c r="H1" s="53"/>
      <c r="I1" s="53"/>
      <c r="J1" s="54"/>
      <c r="K1" s="25" t="s">
        <v>125</v>
      </c>
    </row>
    <row r="2" spans="1:20" x14ac:dyDescent="0.2">
      <c r="A2" s="56"/>
      <c r="B2" s="53"/>
      <c r="C2" s="53"/>
      <c r="D2" s="53"/>
      <c r="E2" s="53"/>
      <c r="F2" s="53"/>
      <c r="G2" s="53"/>
      <c r="H2" s="53"/>
      <c r="I2" s="53"/>
      <c r="J2" s="54"/>
      <c r="L2" s="31" t="s">
        <v>2</v>
      </c>
      <c r="N2" s="57"/>
    </row>
    <row r="3" spans="1:20" ht="16" customHeight="1" x14ac:dyDescent="0.2">
      <c r="A3" s="56"/>
      <c r="B3" s="53" t="s">
        <v>52</v>
      </c>
      <c r="C3" s="53"/>
      <c r="D3" s="53"/>
      <c r="E3" s="53"/>
      <c r="F3" s="53"/>
      <c r="G3" s="53"/>
      <c r="H3" s="53"/>
      <c r="I3" s="53"/>
      <c r="J3" s="54"/>
      <c r="M3" s="328" t="s">
        <v>131</v>
      </c>
      <c r="N3" s="328"/>
      <c r="O3" s="328"/>
      <c r="P3" s="328"/>
      <c r="Q3" s="328"/>
      <c r="R3" s="328"/>
      <c r="S3" s="328"/>
      <c r="T3" s="328"/>
    </row>
    <row r="4" spans="1:20" x14ac:dyDescent="0.2">
      <c r="A4" s="56"/>
      <c r="B4" s="53"/>
      <c r="C4" s="53"/>
      <c r="D4" s="53"/>
      <c r="E4" s="53"/>
      <c r="F4" s="53"/>
      <c r="G4" s="53"/>
      <c r="H4" s="53"/>
      <c r="I4" s="53"/>
      <c r="J4" s="54"/>
      <c r="M4" s="328"/>
      <c r="N4" s="328"/>
      <c r="O4" s="328"/>
      <c r="P4" s="328"/>
      <c r="Q4" s="328"/>
      <c r="R4" s="328"/>
      <c r="S4" s="328"/>
      <c r="T4" s="328"/>
    </row>
    <row r="5" spans="1:20" x14ac:dyDescent="0.2">
      <c r="A5" s="56"/>
      <c r="B5" s="318" t="s">
        <v>24</v>
      </c>
      <c r="C5" s="318"/>
      <c r="D5" s="318"/>
      <c r="E5" s="318"/>
      <c r="F5" s="318"/>
      <c r="G5" s="318"/>
      <c r="H5" s="318"/>
      <c r="I5" s="318"/>
      <c r="J5" s="54"/>
      <c r="M5" s="328"/>
      <c r="N5" s="328"/>
      <c r="O5" s="328"/>
      <c r="P5" s="328"/>
      <c r="Q5" s="328"/>
      <c r="R5" s="328"/>
      <c r="S5" s="328"/>
      <c r="T5" s="328"/>
    </row>
    <row r="6" spans="1:20" ht="17" thickBot="1" x14ac:dyDescent="0.25">
      <c r="A6" s="56"/>
      <c r="B6" s="329" t="s">
        <v>59</v>
      </c>
      <c r="C6" s="329"/>
      <c r="D6" s="329"/>
      <c r="E6" s="329"/>
      <c r="F6" s="329"/>
      <c r="G6" s="329"/>
      <c r="H6" s="329"/>
      <c r="I6" s="329"/>
      <c r="J6" s="54"/>
      <c r="M6" s="328"/>
      <c r="N6" s="328"/>
      <c r="O6" s="328"/>
      <c r="P6" s="328"/>
      <c r="Q6" s="328"/>
      <c r="R6" s="328"/>
      <c r="S6" s="328"/>
      <c r="T6" s="328"/>
    </row>
    <row r="7" spans="1:20" ht="34" x14ac:dyDescent="0.2">
      <c r="A7" s="56"/>
      <c r="B7" s="5" t="s">
        <v>53</v>
      </c>
      <c r="C7" s="6">
        <v>18</v>
      </c>
      <c r="D7" s="6">
        <v>21</v>
      </c>
      <c r="E7" s="6">
        <v>24</v>
      </c>
      <c r="F7" s="6">
        <v>27</v>
      </c>
      <c r="G7" s="6">
        <v>30</v>
      </c>
      <c r="H7" s="6">
        <v>33</v>
      </c>
      <c r="I7" s="6">
        <v>36</v>
      </c>
      <c r="J7" s="54"/>
      <c r="N7" s="19" t="s">
        <v>53</v>
      </c>
      <c r="O7" s="20" t="s">
        <v>116</v>
      </c>
      <c r="P7" s="19" t="s">
        <v>117</v>
      </c>
      <c r="Q7" s="20" t="s">
        <v>118</v>
      </c>
      <c r="R7" s="20" t="s">
        <v>119</v>
      </c>
      <c r="S7" s="34" t="s">
        <v>88</v>
      </c>
    </row>
    <row r="8" spans="1:20" ht="17" x14ac:dyDescent="0.2">
      <c r="A8" s="56"/>
      <c r="B8" s="24" t="s">
        <v>54</v>
      </c>
      <c r="C8" s="9">
        <v>954</v>
      </c>
      <c r="D8" s="9">
        <v>950</v>
      </c>
      <c r="E8" s="9">
        <v>998</v>
      </c>
      <c r="F8" s="9">
        <v>991</v>
      </c>
      <c r="G8" s="9">
        <v>989</v>
      </c>
      <c r="H8" s="9">
        <v>993</v>
      </c>
      <c r="I8" s="28">
        <v>1007</v>
      </c>
      <c r="J8" s="54"/>
      <c r="N8" s="18" t="s">
        <v>54</v>
      </c>
      <c r="O8" s="12">
        <f>I8</f>
        <v>1007</v>
      </c>
      <c r="P8" s="18">
        <f>E8</f>
        <v>998</v>
      </c>
      <c r="Q8" s="10">
        <f>G16</f>
        <v>752</v>
      </c>
      <c r="R8" s="10">
        <f>C16</f>
        <v>715</v>
      </c>
      <c r="S8" s="35">
        <f>(O8-P8)/(Q8-R8)</f>
        <v>0.24324324324324326</v>
      </c>
    </row>
    <row r="9" spans="1:20" ht="17" x14ac:dyDescent="0.2">
      <c r="A9" s="56"/>
      <c r="B9" s="24" t="s">
        <v>55</v>
      </c>
      <c r="C9" s="9">
        <v>655</v>
      </c>
      <c r="D9" s="9">
        <v>653</v>
      </c>
      <c r="E9" s="9">
        <v>676</v>
      </c>
      <c r="F9" s="9">
        <v>675</v>
      </c>
      <c r="G9" s="9">
        <v>673</v>
      </c>
      <c r="H9" s="9">
        <v>684</v>
      </c>
      <c r="I9" s="9">
        <v>705</v>
      </c>
      <c r="J9" s="54"/>
      <c r="N9" s="18" t="s">
        <v>55</v>
      </c>
      <c r="O9" s="12">
        <f>I9</f>
        <v>705</v>
      </c>
      <c r="P9" s="18">
        <f>E9</f>
        <v>676</v>
      </c>
      <c r="Q9" s="10">
        <f>G17</f>
        <v>525</v>
      </c>
      <c r="R9" s="10">
        <f>C17</f>
        <v>495</v>
      </c>
      <c r="S9" s="35">
        <f t="shared" ref="S9:S11" si="0">(O9-P9)/(Q9-R9)</f>
        <v>0.96666666666666667</v>
      </c>
    </row>
    <row r="10" spans="1:20" ht="17" x14ac:dyDescent="0.2">
      <c r="A10" s="56"/>
      <c r="B10" s="24" t="s">
        <v>56</v>
      </c>
      <c r="C10" s="28">
        <v>1555</v>
      </c>
      <c r="D10" s="28">
        <v>1533</v>
      </c>
      <c r="E10" s="28">
        <v>1534</v>
      </c>
      <c r="F10" s="9" t="s">
        <v>57</v>
      </c>
      <c r="G10" s="28">
        <v>1519</v>
      </c>
      <c r="H10" s="28">
        <v>1536</v>
      </c>
      <c r="I10" s="28">
        <v>1599</v>
      </c>
      <c r="J10" s="54"/>
      <c r="N10" s="18" t="s">
        <v>56</v>
      </c>
      <c r="O10" s="12">
        <f>I10</f>
        <v>1599</v>
      </c>
      <c r="P10" s="18">
        <f>E10</f>
        <v>1534</v>
      </c>
      <c r="Q10" s="10">
        <f>G18</f>
        <v>1212</v>
      </c>
      <c r="R10" s="10">
        <f>C18</f>
        <v>1083</v>
      </c>
      <c r="S10" s="35">
        <f t="shared" si="0"/>
        <v>0.50387596899224807</v>
      </c>
    </row>
    <row r="11" spans="1:20" ht="18" thickBot="1" x14ac:dyDescent="0.25">
      <c r="A11" s="56"/>
      <c r="B11" s="24" t="s">
        <v>58</v>
      </c>
      <c r="C11" s="28">
        <v>1085</v>
      </c>
      <c r="D11" s="28">
        <v>1078</v>
      </c>
      <c r="E11" s="28">
        <v>1048</v>
      </c>
      <c r="F11" s="28">
        <v>1051</v>
      </c>
      <c r="G11" s="28">
        <v>1060</v>
      </c>
      <c r="H11" s="28">
        <v>1063</v>
      </c>
      <c r="I11" s="28">
        <v>1135</v>
      </c>
      <c r="J11" s="54"/>
      <c r="N11" s="18" t="s">
        <v>58</v>
      </c>
      <c r="O11" s="12">
        <f>I11</f>
        <v>1135</v>
      </c>
      <c r="P11" s="18">
        <f>E11</f>
        <v>1048</v>
      </c>
      <c r="Q11" s="10">
        <f>G19</f>
        <v>830</v>
      </c>
      <c r="R11" s="10">
        <f>C19</f>
        <v>721</v>
      </c>
      <c r="S11" s="36">
        <f t="shared" si="0"/>
        <v>0.79816513761467889</v>
      </c>
    </row>
    <row r="12" spans="1:20" x14ac:dyDescent="0.2">
      <c r="A12" s="56"/>
      <c r="B12" s="53"/>
      <c r="C12" s="53"/>
      <c r="D12" s="53"/>
      <c r="E12" s="53"/>
      <c r="F12" s="53"/>
      <c r="G12" s="53"/>
      <c r="H12" s="53"/>
      <c r="I12" s="53"/>
      <c r="J12" s="54"/>
    </row>
    <row r="13" spans="1:20" x14ac:dyDescent="0.2">
      <c r="A13" s="56"/>
      <c r="B13" s="318" t="s">
        <v>60</v>
      </c>
      <c r="C13" s="318"/>
      <c r="D13" s="318"/>
      <c r="E13" s="318"/>
      <c r="F13" s="318"/>
      <c r="G13" s="318"/>
      <c r="H13" s="318"/>
      <c r="I13" s="318"/>
      <c r="J13" s="54"/>
      <c r="L13" s="31" t="s">
        <v>3</v>
      </c>
      <c r="N13" s="57"/>
    </row>
    <row r="14" spans="1:20" x14ac:dyDescent="0.2">
      <c r="A14" s="56"/>
      <c r="B14" s="329" t="s">
        <v>59</v>
      </c>
      <c r="C14" s="329"/>
      <c r="D14" s="329"/>
      <c r="E14" s="329"/>
      <c r="F14" s="329"/>
      <c r="G14" s="329"/>
      <c r="H14" s="329"/>
      <c r="I14" s="329"/>
      <c r="J14" s="54"/>
      <c r="M14" s="328" t="s">
        <v>115</v>
      </c>
      <c r="N14" s="328"/>
      <c r="O14" s="328"/>
      <c r="P14" s="328"/>
      <c r="Q14" s="328"/>
      <c r="R14" s="328"/>
      <c r="S14" s="328"/>
      <c r="T14" s="328"/>
    </row>
    <row r="15" spans="1:20" ht="16" customHeight="1" x14ac:dyDescent="0.2">
      <c r="A15" s="56"/>
      <c r="B15" s="5" t="s">
        <v>53</v>
      </c>
      <c r="C15" s="6">
        <v>18</v>
      </c>
      <c r="D15" s="6">
        <v>21</v>
      </c>
      <c r="E15" s="6">
        <v>24</v>
      </c>
      <c r="F15" s="6">
        <v>27</v>
      </c>
      <c r="G15" s="6">
        <v>30</v>
      </c>
      <c r="H15" s="6">
        <v>33</v>
      </c>
      <c r="I15" s="6">
        <v>36</v>
      </c>
      <c r="J15" s="54"/>
      <c r="M15" s="328"/>
      <c r="N15" s="328"/>
      <c r="O15" s="328"/>
      <c r="P15" s="328"/>
      <c r="Q15" s="328"/>
      <c r="R15" s="328"/>
      <c r="S15" s="328"/>
      <c r="T15" s="328"/>
    </row>
    <row r="16" spans="1:20" ht="17" x14ac:dyDescent="0.2">
      <c r="A16" s="56"/>
      <c r="B16" s="24" t="s">
        <v>54</v>
      </c>
      <c r="C16" s="9">
        <v>715</v>
      </c>
      <c r="D16" s="9">
        <v>719</v>
      </c>
      <c r="E16" s="9">
        <v>723</v>
      </c>
      <c r="F16" s="9">
        <v>724</v>
      </c>
      <c r="G16" s="9">
        <v>752</v>
      </c>
      <c r="H16" s="9">
        <v>734</v>
      </c>
      <c r="I16" s="9">
        <v>773</v>
      </c>
      <c r="J16" s="54"/>
      <c r="M16" s="328"/>
      <c r="N16" s="328"/>
      <c r="O16" s="328"/>
      <c r="P16" s="328"/>
      <c r="Q16" s="328"/>
      <c r="R16" s="328"/>
      <c r="S16" s="328"/>
      <c r="T16" s="328"/>
    </row>
    <row r="17" spans="1:20" ht="17" x14ac:dyDescent="0.2">
      <c r="A17" s="56"/>
      <c r="B17" s="24" t="s">
        <v>55</v>
      </c>
      <c r="C17" s="9">
        <v>495</v>
      </c>
      <c r="D17" s="9">
        <v>506</v>
      </c>
      <c r="E17" s="9">
        <v>505</v>
      </c>
      <c r="F17" s="9">
        <v>516</v>
      </c>
      <c r="G17" s="9">
        <v>525</v>
      </c>
      <c r="H17" s="9">
        <v>541</v>
      </c>
      <c r="I17" s="9">
        <v>545</v>
      </c>
      <c r="J17" s="54"/>
      <c r="M17" s="328"/>
      <c r="N17" s="328"/>
      <c r="O17" s="328"/>
      <c r="P17" s="328"/>
      <c r="Q17" s="328"/>
      <c r="R17" s="328"/>
      <c r="S17" s="328"/>
      <c r="T17" s="328"/>
    </row>
    <row r="18" spans="1:20" ht="17" x14ac:dyDescent="0.2">
      <c r="A18" s="56"/>
      <c r="B18" s="24" t="s">
        <v>56</v>
      </c>
      <c r="C18" s="28">
        <v>1083</v>
      </c>
      <c r="D18" s="28">
        <v>1125</v>
      </c>
      <c r="E18" s="28">
        <v>1166</v>
      </c>
      <c r="F18" s="28">
        <v>1192</v>
      </c>
      <c r="G18" s="28">
        <v>1212</v>
      </c>
      <c r="H18" s="28">
        <v>1246</v>
      </c>
      <c r="I18" s="28">
        <v>1254</v>
      </c>
      <c r="J18" s="54"/>
      <c r="M18" s="328"/>
      <c r="N18" s="328"/>
      <c r="O18" s="328"/>
      <c r="P18" s="328"/>
      <c r="Q18" s="328"/>
      <c r="R18" s="328"/>
      <c r="S18" s="328"/>
      <c r="T18" s="328"/>
    </row>
    <row r="19" spans="1:20" ht="17" x14ac:dyDescent="0.2">
      <c r="A19" s="56"/>
      <c r="B19" s="24" t="s">
        <v>58</v>
      </c>
      <c r="C19" s="9">
        <v>721</v>
      </c>
      <c r="D19" s="9">
        <v>769</v>
      </c>
      <c r="E19" s="9">
        <v>789</v>
      </c>
      <c r="F19" s="9">
        <v>803</v>
      </c>
      <c r="G19" s="9">
        <v>830</v>
      </c>
      <c r="H19" s="9">
        <v>877</v>
      </c>
      <c r="I19" s="9">
        <v>882</v>
      </c>
      <c r="J19" s="54"/>
      <c r="M19" s="328"/>
      <c r="N19" s="328"/>
      <c r="O19" s="328"/>
      <c r="P19" s="328"/>
      <c r="Q19" s="328"/>
      <c r="R19" s="328"/>
      <c r="S19" s="328"/>
      <c r="T19" s="328"/>
    </row>
    <row r="20" spans="1:20" x14ac:dyDescent="0.2">
      <c r="A20" s="56"/>
      <c r="B20" s="53"/>
      <c r="C20" s="53"/>
      <c r="D20" s="53"/>
      <c r="E20" s="53"/>
      <c r="F20" s="53"/>
      <c r="G20" s="53"/>
      <c r="H20" s="53"/>
      <c r="I20" s="53"/>
      <c r="J20" s="54"/>
    </row>
    <row r="21" spans="1:20" x14ac:dyDescent="0.2">
      <c r="A21" s="56"/>
      <c r="B21" s="53"/>
      <c r="C21" s="53"/>
      <c r="D21" s="53"/>
      <c r="E21" s="53"/>
      <c r="F21" s="53"/>
      <c r="G21" s="53"/>
      <c r="H21" s="53"/>
      <c r="I21" s="53"/>
      <c r="J21" s="54"/>
    </row>
    <row r="22" spans="1:20" ht="19" x14ac:dyDescent="0.25">
      <c r="A22" s="56"/>
      <c r="B22" s="53" t="s">
        <v>67</v>
      </c>
      <c r="C22" s="53"/>
      <c r="D22" s="53"/>
      <c r="E22" s="53"/>
      <c r="F22" s="53"/>
      <c r="G22" s="53"/>
      <c r="H22" s="53"/>
      <c r="I22" s="53"/>
      <c r="J22" s="54"/>
      <c r="L22" s="2" t="s">
        <v>136</v>
      </c>
    </row>
    <row r="23" spans="1:20" x14ac:dyDescent="0.2">
      <c r="A23" s="56"/>
      <c r="B23" s="53" t="s">
        <v>61</v>
      </c>
      <c r="C23" s="53"/>
      <c r="D23" s="53"/>
      <c r="E23" s="53"/>
      <c r="F23" s="53"/>
      <c r="G23" s="53"/>
      <c r="H23" s="53"/>
      <c r="I23" s="53"/>
      <c r="J23" s="54"/>
      <c r="L23" s="65" t="s">
        <v>133</v>
      </c>
    </row>
    <row r="24" spans="1:20" x14ac:dyDescent="0.2">
      <c r="A24" s="56"/>
      <c r="B24" s="53" t="s">
        <v>68</v>
      </c>
      <c r="C24" s="53"/>
      <c r="D24" s="53"/>
      <c r="E24" s="53"/>
      <c r="F24" s="53"/>
      <c r="G24" s="53"/>
      <c r="H24" s="53"/>
      <c r="I24" s="53"/>
      <c r="J24" s="54"/>
    </row>
    <row r="25" spans="1:20" x14ac:dyDescent="0.2">
      <c r="A25" s="56"/>
      <c r="B25" s="53" t="s">
        <v>62</v>
      </c>
      <c r="C25" s="53"/>
      <c r="D25" s="53"/>
      <c r="E25" s="53"/>
      <c r="F25" s="53"/>
      <c r="G25" s="53"/>
      <c r="H25" s="53"/>
      <c r="I25" s="53"/>
      <c r="J25" s="54"/>
    </row>
    <row r="26" spans="1:20" x14ac:dyDescent="0.2">
      <c r="A26" s="56"/>
      <c r="B26" s="53"/>
      <c r="C26" s="53"/>
      <c r="D26" s="53"/>
      <c r="E26" s="53"/>
      <c r="F26" s="53"/>
      <c r="G26" s="53"/>
      <c r="H26" s="53"/>
      <c r="I26" s="53"/>
      <c r="J26" s="54"/>
    </row>
    <row r="27" spans="1:20" x14ac:dyDescent="0.2">
      <c r="A27" s="53" t="s">
        <v>0</v>
      </c>
      <c r="B27" s="53" t="s">
        <v>63</v>
      </c>
      <c r="C27" s="53"/>
      <c r="D27" s="53"/>
      <c r="E27" s="53"/>
      <c r="F27" s="53"/>
      <c r="G27" s="53"/>
      <c r="H27" s="53"/>
      <c r="I27" s="53"/>
      <c r="J27" s="54"/>
    </row>
    <row r="28" spans="1:20" s="65" customFormat="1" x14ac:dyDescent="0.2">
      <c r="A28" s="67"/>
      <c r="B28" s="68" t="s">
        <v>64</v>
      </c>
      <c r="C28" s="68"/>
      <c r="D28" s="68"/>
      <c r="E28" s="68"/>
      <c r="F28" s="68"/>
      <c r="G28" s="68"/>
      <c r="H28" s="68"/>
      <c r="I28" s="68"/>
      <c r="J28" s="69"/>
    </row>
    <row r="29" spans="1:20" s="65" customFormat="1" x14ac:dyDescent="0.2">
      <c r="A29" s="67"/>
      <c r="B29" s="68"/>
      <c r="C29" s="68"/>
      <c r="D29" s="68"/>
      <c r="E29" s="68"/>
      <c r="F29" s="68"/>
      <c r="G29" s="68"/>
      <c r="H29" s="68"/>
      <c r="I29" s="68"/>
      <c r="J29" s="69"/>
    </row>
    <row r="30" spans="1:20" s="65" customFormat="1" x14ac:dyDescent="0.2">
      <c r="A30" s="67"/>
      <c r="B30" s="68"/>
      <c r="C30" s="68"/>
      <c r="D30" s="68"/>
      <c r="E30" s="68"/>
      <c r="F30" s="68"/>
      <c r="G30" s="68"/>
      <c r="H30" s="68"/>
      <c r="I30" s="68"/>
      <c r="J30" s="69"/>
    </row>
    <row r="31" spans="1:20" s="65" customFormat="1" x14ac:dyDescent="0.2">
      <c r="A31" s="68" t="s">
        <v>1</v>
      </c>
      <c r="B31" s="68" t="s">
        <v>65</v>
      </c>
      <c r="C31" s="68"/>
      <c r="D31" s="68"/>
      <c r="E31" s="68"/>
      <c r="F31" s="68"/>
      <c r="G31" s="68"/>
      <c r="H31" s="68"/>
      <c r="I31" s="68"/>
      <c r="J31" s="69"/>
    </row>
    <row r="32" spans="1:20" s="65" customFormat="1" x14ac:dyDescent="0.2">
      <c r="A32" s="67"/>
      <c r="B32" s="68" t="s">
        <v>66</v>
      </c>
      <c r="C32" s="68"/>
      <c r="D32" s="68"/>
      <c r="E32" s="68"/>
      <c r="F32" s="68"/>
      <c r="G32" s="68"/>
      <c r="H32" s="68"/>
      <c r="I32" s="68"/>
      <c r="J32" s="69"/>
    </row>
    <row r="33" spans="1:10" s="65" customFormat="1" x14ac:dyDescent="0.2">
      <c r="A33" s="67"/>
      <c r="B33" s="68"/>
      <c r="C33" s="68"/>
      <c r="D33" s="68"/>
      <c r="E33" s="68"/>
      <c r="F33" s="68"/>
      <c r="G33" s="68"/>
      <c r="H33" s="68"/>
      <c r="I33" s="68"/>
      <c r="J33" s="69"/>
    </row>
    <row r="34" spans="1:10" s="65" customFormat="1" ht="17" thickBot="1" x14ac:dyDescent="0.25">
      <c r="A34" s="67"/>
      <c r="B34" s="68"/>
      <c r="C34" s="68"/>
      <c r="D34" s="68"/>
      <c r="E34" s="68"/>
      <c r="F34" s="68"/>
      <c r="G34" s="68"/>
      <c r="H34" s="68"/>
      <c r="I34" s="68"/>
      <c r="J34" s="69"/>
    </row>
    <row r="35" spans="1:10" s="65" customFormat="1" ht="17" thickBot="1" x14ac:dyDescent="0.25">
      <c r="A35" s="319" t="s">
        <v>124</v>
      </c>
      <c r="B35" s="320"/>
      <c r="C35" s="320"/>
      <c r="D35" s="320"/>
      <c r="E35" s="320"/>
      <c r="F35" s="320"/>
      <c r="G35" s="320"/>
      <c r="H35" s="320"/>
      <c r="I35" s="320"/>
      <c r="J35" s="321"/>
    </row>
    <row r="36" spans="1:10" s="65" customFormat="1" x14ac:dyDescent="0.2"/>
    <row r="37" spans="1:10" s="65" customFormat="1" x14ac:dyDescent="0.2">
      <c r="A37" s="31"/>
    </row>
    <row r="38" spans="1:10" s="65" customFormat="1" x14ac:dyDescent="0.2"/>
    <row r="39" spans="1:10" s="65" customFormat="1" x14ac:dyDescent="0.2"/>
    <row r="40" spans="1:10" s="65" customFormat="1" x14ac:dyDescent="0.2"/>
    <row r="41" spans="1:10" s="65" customFormat="1" x14ac:dyDescent="0.2"/>
    <row r="42" spans="1:10" s="65" customFormat="1" x14ac:dyDescent="0.2"/>
    <row r="43" spans="1:10" s="65" customFormat="1" x14ac:dyDescent="0.2"/>
    <row r="44" spans="1:10" s="65" customFormat="1" x14ac:dyDescent="0.2"/>
    <row r="45" spans="1:10" s="65" customFormat="1" x14ac:dyDescent="0.2"/>
    <row r="46" spans="1:10" s="65" customFormat="1" x14ac:dyDescent="0.2"/>
    <row r="47" spans="1:10" s="65" customFormat="1" x14ac:dyDescent="0.2"/>
    <row r="48" spans="1:10" s="65" customFormat="1" x14ac:dyDescent="0.2"/>
    <row r="49" spans="1:13" s="65" customFormat="1" x14ac:dyDescent="0.2"/>
    <row r="50" spans="1:13" s="65" customFormat="1" x14ac:dyDescent="0.2"/>
    <row r="51" spans="1:13" s="65" customFormat="1" x14ac:dyDescent="0.2"/>
    <row r="52" spans="1:13" s="65" customFormat="1" x14ac:dyDescent="0.2"/>
    <row r="53" spans="1:13" s="65" customFormat="1" x14ac:dyDescent="0.2"/>
    <row r="54" spans="1:13" s="65" customFormat="1" x14ac:dyDescent="0.2"/>
    <row r="55" spans="1:13" s="65" customFormat="1" x14ac:dyDescent="0.2"/>
    <row r="56" spans="1:13" s="65" customFormat="1" x14ac:dyDescent="0.2"/>
    <row r="57" spans="1:13" s="65" customFormat="1" x14ac:dyDescent="0.2"/>
    <row r="58" spans="1:13" s="65" customFormat="1" x14ac:dyDescent="0.2"/>
    <row r="59" spans="1:13" s="65" customFormat="1" x14ac:dyDescent="0.2">
      <c r="A59" s="26"/>
      <c r="C59" s="66"/>
    </row>
    <row r="60" spans="1:13" s="65" customFormat="1" x14ac:dyDescent="0.2">
      <c r="M60" s="66"/>
    </row>
    <row r="61" spans="1:13" s="65" customFormat="1" x14ac:dyDescent="0.2"/>
    <row r="62" spans="1:13" s="65" customFormat="1" x14ac:dyDescent="0.2"/>
    <row r="63" spans="1:13" s="65" customFormat="1" x14ac:dyDescent="0.2"/>
    <row r="64" spans="1:13" s="65" customFormat="1" x14ac:dyDescent="0.2"/>
    <row r="65" spans="13:13" s="65" customFormat="1" x14ac:dyDescent="0.2"/>
    <row r="66" spans="13:13" s="65" customFormat="1" x14ac:dyDescent="0.2"/>
    <row r="67" spans="13:13" s="65" customFormat="1" x14ac:dyDescent="0.2"/>
    <row r="68" spans="13:13" s="65" customFormat="1" x14ac:dyDescent="0.2"/>
    <row r="69" spans="13:13" s="65" customFormat="1" x14ac:dyDescent="0.2"/>
    <row r="70" spans="13:13" s="65" customFormat="1" x14ac:dyDescent="0.2">
      <c r="M70" s="66"/>
    </row>
    <row r="71" spans="13:13" s="65" customFormat="1" x14ac:dyDescent="0.2"/>
    <row r="72" spans="13:13" s="65" customFormat="1" x14ac:dyDescent="0.2"/>
    <row r="73" spans="13:13" s="65" customFormat="1" x14ac:dyDescent="0.2"/>
    <row r="74" spans="13:13" s="65" customFormat="1" x14ac:dyDescent="0.2"/>
    <row r="75" spans="13:13" s="65" customFormat="1" x14ac:dyDescent="0.2"/>
    <row r="76" spans="13:13" s="65" customFormat="1" x14ac:dyDescent="0.2"/>
    <row r="77" spans="13:13" s="65" customFormat="1" x14ac:dyDescent="0.2"/>
    <row r="78" spans="13:13" s="65" customFormat="1" x14ac:dyDescent="0.2"/>
    <row r="79" spans="13:13" s="65" customFormat="1" x14ac:dyDescent="0.2"/>
    <row r="80" spans="13:13" s="65" customFormat="1" x14ac:dyDescent="0.2">
      <c r="M80" s="66"/>
    </row>
    <row r="81" spans="13:13" s="65" customFormat="1" x14ac:dyDescent="0.2"/>
    <row r="82" spans="13:13" s="65" customFormat="1" x14ac:dyDescent="0.2"/>
    <row r="83" spans="13:13" s="65" customFormat="1" x14ac:dyDescent="0.2"/>
    <row r="84" spans="13:13" s="65" customFormat="1" x14ac:dyDescent="0.2"/>
    <row r="85" spans="13:13" s="65" customFormat="1" x14ac:dyDescent="0.2"/>
    <row r="86" spans="13:13" s="65" customFormat="1" x14ac:dyDescent="0.2"/>
    <row r="87" spans="13:13" s="65" customFormat="1" x14ac:dyDescent="0.2"/>
    <row r="88" spans="13:13" s="65" customFormat="1" x14ac:dyDescent="0.2"/>
    <row r="89" spans="13:13" s="65" customFormat="1" x14ac:dyDescent="0.2"/>
    <row r="90" spans="13:13" s="65" customFormat="1" x14ac:dyDescent="0.2">
      <c r="M90" s="66"/>
    </row>
    <row r="91" spans="13:13" s="65" customFormat="1" x14ac:dyDescent="0.2"/>
    <row r="92" spans="13:13" s="65" customFormat="1" x14ac:dyDescent="0.2"/>
    <row r="93" spans="13:13" s="65" customFormat="1" x14ac:dyDescent="0.2"/>
    <row r="94" spans="13:13" s="65" customFormat="1" x14ac:dyDescent="0.2"/>
    <row r="95" spans="13:13" s="65" customFormat="1" x14ac:dyDescent="0.2"/>
    <row r="96" spans="13:13" s="65" customFormat="1" x14ac:dyDescent="0.2"/>
    <row r="97" spans="13:13" s="65" customFormat="1" x14ac:dyDescent="0.2"/>
    <row r="98" spans="13:13" s="65" customFormat="1" x14ac:dyDescent="0.2"/>
    <row r="99" spans="13:13" s="65" customFormat="1" x14ac:dyDescent="0.2"/>
    <row r="100" spans="13:13" s="65" customFormat="1" x14ac:dyDescent="0.2">
      <c r="M100" s="66"/>
    </row>
    <row r="101" spans="13:13" s="65" customFormat="1" x14ac:dyDescent="0.2"/>
    <row r="102" spans="13:13" s="65" customFormat="1" x14ac:dyDescent="0.2"/>
    <row r="103" spans="13:13" s="65" customFormat="1" x14ac:dyDescent="0.2"/>
    <row r="104" spans="13:13" s="65" customFormat="1" x14ac:dyDescent="0.2"/>
    <row r="105" spans="13:13" s="65" customFormat="1" x14ac:dyDescent="0.2"/>
    <row r="106" spans="13:13" s="65" customFormat="1" x14ac:dyDescent="0.2"/>
    <row r="107" spans="13:13" s="65" customFormat="1" x14ac:dyDescent="0.2"/>
    <row r="108" spans="13:13" s="65" customFormat="1" x14ac:dyDescent="0.2"/>
    <row r="109" spans="13:13" s="65" customFormat="1" x14ac:dyDescent="0.2"/>
    <row r="110" spans="13:13" s="65" customFormat="1" x14ac:dyDescent="0.2"/>
    <row r="111" spans="13:13" s="65" customFormat="1" x14ac:dyDescent="0.2"/>
    <row r="112" spans="13:13" s="65" customFormat="1" x14ac:dyDescent="0.2"/>
    <row r="113" s="65" customFormat="1" x14ac:dyDescent="0.2"/>
    <row r="114" s="65" customFormat="1" x14ac:dyDescent="0.2"/>
    <row r="115" s="65" customFormat="1" x14ac:dyDescent="0.2"/>
    <row r="116" s="65" customFormat="1" x14ac:dyDescent="0.2"/>
    <row r="117" s="65" customFormat="1" x14ac:dyDescent="0.2"/>
    <row r="118" s="65" customFormat="1" x14ac:dyDescent="0.2"/>
    <row r="119" s="65" customFormat="1" x14ac:dyDescent="0.2"/>
    <row r="120" s="65" customFormat="1" x14ac:dyDescent="0.2"/>
    <row r="121" s="65" customFormat="1" x14ac:dyDescent="0.2"/>
    <row r="122" s="65" customFormat="1" x14ac:dyDescent="0.2"/>
    <row r="123" s="65" customFormat="1" x14ac:dyDescent="0.2"/>
    <row r="124" s="65" customFormat="1" x14ac:dyDescent="0.2"/>
    <row r="125" s="65" customFormat="1" x14ac:dyDescent="0.2"/>
    <row r="126" s="65" customFormat="1" x14ac:dyDescent="0.2"/>
    <row r="127" s="65" customFormat="1" x14ac:dyDescent="0.2"/>
    <row r="128" s="65" customFormat="1" x14ac:dyDescent="0.2"/>
    <row r="129" s="65" customFormat="1" x14ac:dyDescent="0.2"/>
    <row r="130" s="65" customFormat="1" x14ac:dyDescent="0.2"/>
    <row r="131" s="65" customFormat="1" x14ac:dyDescent="0.2"/>
    <row r="132" s="65" customFormat="1" x14ac:dyDescent="0.2"/>
    <row r="133" s="65" customFormat="1" x14ac:dyDescent="0.2"/>
    <row r="134" s="65" customFormat="1" x14ac:dyDescent="0.2"/>
    <row r="135" s="65" customFormat="1" x14ac:dyDescent="0.2"/>
    <row r="136" s="65" customFormat="1" x14ac:dyDescent="0.2"/>
    <row r="137" s="65" customFormat="1" x14ac:dyDescent="0.2"/>
    <row r="138" s="65" customFormat="1" x14ac:dyDescent="0.2"/>
    <row r="139" s="65" customFormat="1" x14ac:dyDescent="0.2"/>
    <row r="140" s="65" customFormat="1" x14ac:dyDescent="0.2"/>
    <row r="141" s="65" customFormat="1" x14ac:dyDescent="0.2"/>
    <row r="142" s="65" customFormat="1" x14ac:dyDescent="0.2"/>
    <row r="143" s="65" customFormat="1" x14ac:dyDescent="0.2"/>
    <row r="144" s="65" customFormat="1" x14ac:dyDescent="0.2"/>
    <row r="145" s="65" customFormat="1" x14ac:dyDescent="0.2"/>
    <row r="146" s="65" customFormat="1" x14ac:dyDescent="0.2"/>
    <row r="147" s="65" customFormat="1" x14ac:dyDescent="0.2"/>
    <row r="148" s="65" customFormat="1" x14ac:dyDescent="0.2"/>
    <row r="149" s="65" customFormat="1" x14ac:dyDescent="0.2"/>
    <row r="150" s="65" customFormat="1" x14ac:dyDescent="0.2"/>
    <row r="151" s="65" customFormat="1" x14ac:dyDescent="0.2"/>
    <row r="152" s="65" customFormat="1" x14ac:dyDescent="0.2"/>
    <row r="153" s="65" customFormat="1" x14ac:dyDescent="0.2"/>
    <row r="154" s="65" customFormat="1" x14ac:dyDescent="0.2"/>
    <row r="155" s="65" customFormat="1" x14ac:dyDescent="0.2"/>
    <row r="156" s="65" customFormat="1" x14ac:dyDescent="0.2"/>
    <row r="157" s="65" customFormat="1" x14ac:dyDescent="0.2"/>
    <row r="158" s="65" customFormat="1" x14ac:dyDescent="0.2"/>
    <row r="159" s="65" customFormat="1" x14ac:dyDescent="0.2"/>
    <row r="160" s="65" customFormat="1" x14ac:dyDescent="0.2"/>
    <row r="161" s="65" customFormat="1" x14ac:dyDescent="0.2"/>
    <row r="162" s="65" customFormat="1" x14ac:dyDescent="0.2"/>
    <row r="163" s="65" customFormat="1" x14ac:dyDescent="0.2"/>
    <row r="164" s="65" customFormat="1" x14ac:dyDescent="0.2"/>
    <row r="165" s="65" customFormat="1" x14ac:dyDescent="0.2"/>
    <row r="166" s="65" customFormat="1" x14ac:dyDescent="0.2"/>
    <row r="167" s="65" customFormat="1" x14ac:dyDescent="0.2"/>
    <row r="168" s="65" customFormat="1" x14ac:dyDescent="0.2"/>
    <row r="169" s="65" customFormat="1" x14ac:dyDescent="0.2"/>
    <row r="170" s="65" customFormat="1" x14ac:dyDescent="0.2"/>
    <row r="171" s="65" customFormat="1" x14ac:dyDescent="0.2"/>
    <row r="172" s="65" customFormat="1" x14ac:dyDescent="0.2"/>
    <row r="173" s="65" customFormat="1" x14ac:dyDescent="0.2"/>
    <row r="174" s="65" customFormat="1" x14ac:dyDescent="0.2"/>
    <row r="175" s="65" customFormat="1" x14ac:dyDescent="0.2"/>
    <row r="176" s="65" customFormat="1" x14ac:dyDescent="0.2"/>
    <row r="177" spans="1:65" s="65" customFormat="1" x14ac:dyDescent="0.2"/>
    <row r="178" spans="1:65" s="65" customFormat="1" x14ac:dyDescent="0.2"/>
    <row r="179" spans="1:65" s="65" customFormat="1" x14ac:dyDescent="0.2"/>
    <row r="180" spans="1:65" s="65" customFormat="1" x14ac:dyDescent="0.2"/>
    <row r="181" spans="1:65" s="65" customFormat="1" x14ac:dyDescent="0.2"/>
    <row r="182" spans="1:65" s="65" customFormat="1" x14ac:dyDescent="0.2"/>
    <row r="183" spans="1:65" s="65" customFormat="1" x14ac:dyDescent="0.2"/>
    <row r="184" spans="1:65" s="65" customFormat="1" x14ac:dyDescent="0.2"/>
    <row r="185" spans="1:65" s="65" customFormat="1" x14ac:dyDescent="0.2"/>
    <row r="186" spans="1:65" s="65" customFormat="1" x14ac:dyDescent="0.2"/>
    <row r="187" spans="1:65" s="65" customFormat="1" x14ac:dyDescent="0.2"/>
    <row r="188" spans="1:65" s="65" customFormat="1" x14ac:dyDescent="0.2"/>
    <row r="189" spans="1:65" s="65" customFormat="1" x14ac:dyDescent="0.2"/>
    <row r="190" spans="1:65" x14ac:dyDescent="0.2">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7"/>
      <c r="AG190" s="27"/>
      <c r="AH190" s="27"/>
      <c r="AI190" s="27"/>
      <c r="AJ190" s="27"/>
      <c r="AK190" s="27"/>
      <c r="AL190" s="27"/>
      <c r="AM190" s="27"/>
      <c r="AN190" s="27"/>
      <c r="AO190" s="27"/>
      <c r="AP190" s="27"/>
      <c r="AQ190" s="27"/>
      <c r="AR190" s="27"/>
      <c r="AS190" s="27"/>
      <c r="AT190" s="27"/>
      <c r="AU190" s="27"/>
      <c r="AV190" s="27"/>
      <c r="AW190" s="27"/>
      <c r="AX190" s="27"/>
      <c r="AY190" s="27"/>
      <c r="AZ190" s="27"/>
      <c r="BA190" s="27"/>
      <c r="BB190" s="27"/>
      <c r="BC190" s="27"/>
      <c r="BD190" s="27"/>
      <c r="BE190" s="27"/>
      <c r="BF190" s="27"/>
      <c r="BG190" s="27"/>
      <c r="BH190" s="27"/>
      <c r="BI190" s="27"/>
      <c r="BJ190" s="27"/>
      <c r="BK190" s="27"/>
      <c r="BL190" s="27"/>
      <c r="BM190" s="27"/>
    </row>
    <row r="191" spans="1:65" x14ac:dyDescent="0.2">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c r="AT191" s="27"/>
      <c r="AU191" s="27"/>
      <c r="AV191" s="27"/>
      <c r="AW191" s="27"/>
      <c r="AX191" s="27"/>
      <c r="AY191" s="27"/>
      <c r="AZ191" s="27"/>
      <c r="BA191" s="27"/>
      <c r="BB191" s="27"/>
      <c r="BC191" s="27"/>
      <c r="BD191" s="27"/>
      <c r="BE191" s="27"/>
      <c r="BF191" s="27"/>
      <c r="BG191" s="27"/>
      <c r="BH191" s="27"/>
      <c r="BI191" s="27"/>
      <c r="BJ191" s="27"/>
      <c r="BK191" s="27"/>
      <c r="BL191" s="27"/>
      <c r="BM191" s="27"/>
    </row>
    <row r="192" spans="1:65" x14ac:dyDescent="0.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c r="AT192" s="27"/>
      <c r="AU192" s="27"/>
      <c r="AV192" s="27"/>
      <c r="AW192" s="27"/>
      <c r="AX192" s="27"/>
      <c r="AY192" s="27"/>
      <c r="AZ192" s="27"/>
      <c r="BA192" s="27"/>
      <c r="BB192" s="27"/>
      <c r="BC192" s="27"/>
      <c r="BD192" s="27"/>
      <c r="BE192" s="27"/>
      <c r="BF192" s="27"/>
      <c r="BG192" s="27"/>
      <c r="BH192" s="27"/>
      <c r="BI192" s="27"/>
      <c r="BJ192" s="27"/>
      <c r="BK192" s="27"/>
      <c r="BL192" s="27"/>
      <c r="BM192" s="27"/>
    </row>
    <row r="193" spans="1:65" x14ac:dyDescent="0.2">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c r="AT193" s="27"/>
      <c r="AU193" s="27"/>
      <c r="AV193" s="27"/>
      <c r="AW193" s="27"/>
      <c r="AX193" s="27"/>
      <c r="AY193" s="27"/>
      <c r="AZ193" s="27"/>
      <c r="BA193" s="27"/>
      <c r="BB193" s="27"/>
      <c r="BC193" s="27"/>
      <c r="BD193" s="27"/>
      <c r="BE193" s="27"/>
      <c r="BF193" s="27"/>
      <c r="BG193" s="27"/>
      <c r="BH193" s="27"/>
      <c r="BI193" s="27"/>
      <c r="BJ193" s="27"/>
      <c r="BK193" s="27"/>
      <c r="BL193" s="27"/>
      <c r="BM193" s="27"/>
    </row>
    <row r="194" spans="1:65" x14ac:dyDescent="0.2">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c r="AG194" s="27"/>
      <c r="AH194" s="27"/>
      <c r="AI194" s="27"/>
      <c r="AJ194" s="27"/>
      <c r="AK194" s="27"/>
      <c r="AL194" s="27"/>
      <c r="AM194" s="27"/>
      <c r="AN194" s="27"/>
      <c r="AO194" s="27"/>
      <c r="AP194" s="27"/>
      <c r="AQ194" s="27"/>
      <c r="AR194" s="27"/>
      <c r="AS194" s="27"/>
      <c r="AT194" s="27"/>
      <c r="AU194" s="27"/>
      <c r="AV194" s="27"/>
      <c r="AW194" s="27"/>
      <c r="AX194" s="27"/>
      <c r="AY194" s="27"/>
      <c r="AZ194" s="27"/>
      <c r="BA194" s="27"/>
      <c r="BB194" s="27"/>
      <c r="BC194" s="27"/>
      <c r="BD194" s="27"/>
      <c r="BE194" s="27"/>
      <c r="BF194" s="27"/>
      <c r="BG194" s="27"/>
      <c r="BH194" s="27"/>
      <c r="BI194" s="27"/>
      <c r="BJ194" s="27"/>
      <c r="BK194" s="27"/>
      <c r="BL194" s="27"/>
      <c r="BM194" s="27"/>
    </row>
    <row r="195" spans="1:65" x14ac:dyDescent="0.2">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c r="AG195" s="27"/>
      <c r="AH195" s="27"/>
      <c r="AI195" s="27"/>
      <c r="AJ195" s="27"/>
      <c r="AK195" s="27"/>
      <c r="AL195" s="27"/>
      <c r="AM195" s="27"/>
      <c r="AN195" s="27"/>
      <c r="AO195" s="27"/>
      <c r="AP195" s="27"/>
      <c r="AQ195" s="27"/>
      <c r="AR195" s="27"/>
      <c r="AS195" s="27"/>
      <c r="AT195" s="27"/>
      <c r="AU195" s="27"/>
      <c r="AV195" s="27"/>
      <c r="AW195" s="27"/>
      <c r="AX195" s="27"/>
      <c r="AY195" s="27"/>
      <c r="AZ195" s="27"/>
      <c r="BA195" s="27"/>
      <c r="BB195" s="27"/>
      <c r="BC195" s="27"/>
      <c r="BD195" s="27"/>
      <c r="BE195" s="27"/>
      <c r="BF195" s="27"/>
      <c r="BG195" s="27"/>
      <c r="BH195" s="27"/>
      <c r="BI195" s="27"/>
      <c r="BJ195" s="27"/>
      <c r="BK195" s="27"/>
      <c r="BL195" s="27"/>
      <c r="BM195" s="27"/>
    </row>
    <row r="196" spans="1:65" x14ac:dyDescent="0.2">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c r="AG196" s="27"/>
      <c r="AH196" s="27"/>
      <c r="AI196" s="27"/>
      <c r="AJ196" s="27"/>
      <c r="AK196" s="27"/>
      <c r="AL196" s="27"/>
      <c r="AM196" s="27"/>
      <c r="AN196" s="27"/>
      <c r="AO196" s="27"/>
      <c r="AP196" s="27"/>
      <c r="AQ196" s="27"/>
      <c r="AR196" s="27"/>
      <c r="AS196" s="27"/>
      <c r="AT196" s="27"/>
      <c r="AU196" s="27"/>
      <c r="AV196" s="27"/>
      <c r="AW196" s="27"/>
      <c r="AX196" s="27"/>
      <c r="AY196" s="27"/>
      <c r="AZ196" s="27"/>
      <c r="BA196" s="27"/>
      <c r="BB196" s="27"/>
      <c r="BC196" s="27"/>
      <c r="BD196" s="27"/>
      <c r="BE196" s="27"/>
      <c r="BF196" s="27"/>
      <c r="BG196" s="27"/>
      <c r="BH196" s="27"/>
      <c r="BI196" s="27"/>
      <c r="BJ196" s="27"/>
      <c r="BK196" s="27"/>
      <c r="BL196" s="27"/>
      <c r="BM196" s="27"/>
    </row>
    <row r="197" spans="1:65" x14ac:dyDescent="0.2">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c r="AG197" s="27"/>
      <c r="AH197" s="27"/>
      <c r="AI197" s="27"/>
      <c r="AJ197" s="27"/>
      <c r="AK197" s="27"/>
      <c r="AL197" s="27"/>
      <c r="AM197" s="27"/>
      <c r="AN197" s="27"/>
      <c r="AO197" s="27"/>
      <c r="AP197" s="27"/>
      <c r="AQ197" s="27"/>
      <c r="AR197" s="27"/>
      <c r="AS197" s="27"/>
      <c r="AT197" s="27"/>
      <c r="AU197" s="27"/>
      <c r="AV197" s="27"/>
      <c r="AW197" s="27"/>
      <c r="AX197" s="27"/>
      <c r="AY197" s="27"/>
      <c r="AZ197" s="27"/>
      <c r="BA197" s="27"/>
      <c r="BB197" s="27"/>
      <c r="BC197" s="27"/>
      <c r="BD197" s="27"/>
      <c r="BE197" s="27"/>
      <c r="BF197" s="27"/>
      <c r="BG197" s="27"/>
      <c r="BH197" s="27"/>
      <c r="BI197" s="27"/>
      <c r="BJ197" s="27"/>
      <c r="BK197" s="27"/>
      <c r="BL197" s="27"/>
      <c r="BM197" s="27"/>
    </row>
    <row r="198" spans="1:65" x14ac:dyDescent="0.2">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c r="AF198" s="27"/>
      <c r="AG198" s="27"/>
      <c r="AH198" s="27"/>
      <c r="AI198" s="27"/>
      <c r="AJ198" s="27"/>
      <c r="AK198" s="27"/>
      <c r="AL198" s="27"/>
      <c r="AM198" s="27"/>
      <c r="AN198" s="27"/>
      <c r="AO198" s="27"/>
      <c r="AP198" s="27"/>
      <c r="AQ198" s="27"/>
      <c r="AR198" s="27"/>
      <c r="AS198" s="27"/>
      <c r="AT198" s="27"/>
      <c r="AU198" s="27"/>
      <c r="AV198" s="27"/>
      <c r="AW198" s="27"/>
      <c r="AX198" s="27"/>
      <c r="AY198" s="27"/>
      <c r="AZ198" s="27"/>
      <c r="BA198" s="27"/>
      <c r="BB198" s="27"/>
      <c r="BC198" s="27"/>
      <c r="BD198" s="27"/>
      <c r="BE198" s="27"/>
      <c r="BF198" s="27"/>
      <c r="BG198" s="27"/>
      <c r="BH198" s="27"/>
      <c r="BI198" s="27"/>
      <c r="BJ198" s="27"/>
      <c r="BK198" s="27"/>
      <c r="BL198" s="27"/>
      <c r="BM198" s="27"/>
    </row>
    <row r="199" spans="1:65" x14ac:dyDescent="0.2">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c r="AE199" s="27"/>
      <c r="AF199" s="27"/>
      <c r="AG199" s="27"/>
      <c r="AH199" s="27"/>
      <c r="AI199" s="27"/>
      <c r="AJ199" s="27"/>
      <c r="AK199" s="27"/>
      <c r="AL199" s="27"/>
      <c r="AM199" s="27"/>
      <c r="AN199" s="27"/>
      <c r="AO199" s="27"/>
      <c r="AP199" s="27"/>
      <c r="AQ199" s="27"/>
      <c r="AR199" s="27"/>
      <c r="AS199" s="27"/>
      <c r="AT199" s="27"/>
      <c r="AU199" s="27"/>
      <c r="AV199" s="27"/>
      <c r="AW199" s="27"/>
      <c r="AX199" s="27"/>
      <c r="AY199" s="27"/>
      <c r="AZ199" s="27"/>
      <c r="BA199" s="27"/>
      <c r="BB199" s="27"/>
      <c r="BC199" s="27"/>
      <c r="BD199" s="27"/>
      <c r="BE199" s="27"/>
      <c r="BF199" s="27"/>
      <c r="BG199" s="27"/>
      <c r="BH199" s="27"/>
      <c r="BI199" s="27"/>
      <c r="BJ199" s="27"/>
      <c r="BK199" s="27"/>
      <c r="BL199" s="27"/>
      <c r="BM199" s="27"/>
    </row>
    <row r="200" spans="1:65" x14ac:dyDescent="0.2">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c r="AG200" s="27"/>
      <c r="AH200" s="27"/>
      <c r="AI200" s="27"/>
      <c r="AJ200" s="27"/>
      <c r="AK200" s="27"/>
      <c r="AL200" s="27"/>
      <c r="AM200" s="27"/>
      <c r="AN200" s="27"/>
      <c r="AO200" s="27"/>
      <c r="AP200" s="27"/>
      <c r="AQ200" s="27"/>
      <c r="AR200" s="27"/>
      <c r="AS200" s="27"/>
      <c r="AT200" s="27"/>
      <c r="AU200" s="27"/>
      <c r="AV200" s="27"/>
      <c r="AW200" s="27"/>
      <c r="AX200" s="27"/>
      <c r="AY200" s="27"/>
      <c r="AZ200" s="27"/>
      <c r="BA200" s="27"/>
      <c r="BB200" s="27"/>
      <c r="BC200" s="27"/>
      <c r="BD200" s="27"/>
      <c r="BE200" s="27"/>
      <c r="BF200" s="27"/>
      <c r="BG200" s="27"/>
      <c r="BH200" s="27"/>
      <c r="BI200" s="27"/>
      <c r="BJ200" s="27"/>
      <c r="BK200" s="27"/>
      <c r="BL200" s="27"/>
      <c r="BM200" s="27"/>
    </row>
    <row r="201" spans="1:65" x14ac:dyDescent="0.2">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c r="AT201" s="27"/>
      <c r="AU201" s="27"/>
      <c r="AV201" s="27"/>
      <c r="AW201" s="27"/>
      <c r="AX201" s="27"/>
      <c r="AY201" s="27"/>
      <c r="AZ201" s="27"/>
      <c r="BA201" s="27"/>
      <c r="BB201" s="27"/>
      <c r="BC201" s="27"/>
      <c r="BD201" s="27"/>
      <c r="BE201" s="27"/>
      <c r="BF201" s="27"/>
      <c r="BG201" s="27"/>
      <c r="BH201" s="27"/>
      <c r="BI201" s="27"/>
      <c r="BJ201" s="27"/>
      <c r="BK201" s="27"/>
      <c r="BL201" s="27"/>
      <c r="BM201" s="27"/>
    </row>
    <row r="202" spans="1:65" x14ac:dyDescent="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c r="AT202" s="27"/>
      <c r="AU202" s="27"/>
      <c r="AV202" s="27"/>
      <c r="AW202" s="27"/>
      <c r="AX202" s="27"/>
      <c r="AY202" s="27"/>
      <c r="AZ202" s="27"/>
      <c r="BA202" s="27"/>
      <c r="BB202" s="27"/>
      <c r="BC202" s="27"/>
      <c r="BD202" s="27"/>
      <c r="BE202" s="27"/>
      <c r="BF202" s="27"/>
      <c r="BG202" s="27"/>
      <c r="BH202" s="27"/>
      <c r="BI202" s="27"/>
      <c r="BJ202" s="27"/>
      <c r="BK202" s="27"/>
      <c r="BL202" s="27"/>
      <c r="BM202" s="27"/>
    </row>
    <row r="203" spans="1:65" x14ac:dyDescent="0.2">
      <c r="K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c r="AT203" s="27"/>
      <c r="AU203" s="27"/>
      <c r="AV203" s="27"/>
      <c r="AW203" s="27"/>
      <c r="AX203" s="27"/>
      <c r="AY203" s="27"/>
      <c r="AZ203" s="27"/>
      <c r="BA203" s="27"/>
      <c r="BB203" s="27"/>
      <c r="BC203" s="27"/>
      <c r="BD203" s="27"/>
      <c r="BE203" s="27"/>
      <c r="BF203" s="27"/>
      <c r="BG203" s="27"/>
      <c r="BH203" s="27"/>
      <c r="BI203" s="27"/>
      <c r="BJ203" s="27"/>
      <c r="BK203" s="27"/>
      <c r="BL203" s="27"/>
      <c r="BM203" s="27"/>
    </row>
  </sheetData>
  <mergeCells count="7">
    <mergeCell ref="A35:J35"/>
    <mergeCell ref="M14:T19"/>
    <mergeCell ref="B5:I5"/>
    <mergeCell ref="B6:I6"/>
    <mergeCell ref="B13:I13"/>
    <mergeCell ref="B14:I14"/>
    <mergeCell ref="M3:T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78DD0-15CA-4447-8DF1-C4EAD58B4152}">
  <dimension ref="A1:BM198"/>
  <sheetViews>
    <sheetView zoomScaleNormal="100" workbookViewId="0"/>
  </sheetViews>
  <sheetFormatPr baseColWidth="10" defaultColWidth="10.83203125" defaultRowHeight="16" outlineLevelCol="1" x14ac:dyDescent="0.2"/>
  <cols>
    <col min="1" max="1" width="4.6640625" style="55" customWidth="1"/>
    <col min="2" max="10" width="10.83203125" style="55" customWidth="1"/>
    <col min="11" max="11" width="11.5" style="55" bestFit="1" customWidth="1"/>
    <col min="12" max="12" width="9.5" style="55" hidden="1" customWidth="1" outlineLevel="1"/>
    <col min="13" max="13" width="12" style="55" hidden="1" customWidth="1" outlineLevel="1"/>
    <col min="14" max="20" width="10.83203125" style="55" hidden="1" customWidth="1" outlineLevel="1"/>
    <col min="21" max="21" width="10.83203125" style="55" collapsed="1"/>
    <col min="22" max="16384" width="10.83203125" style="55"/>
  </cols>
  <sheetData>
    <row r="1" spans="1:15" ht="19" x14ac:dyDescent="0.25">
      <c r="A1" s="1" t="s">
        <v>130</v>
      </c>
      <c r="B1" s="22"/>
      <c r="C1" s="38"/>
      <c r="D1" s="38"/>
      <c r="E1" s="38"/>
      <c r="F1" s="53"/>
      <c r="G1" s="53"/>
      <c r="H1" s="53"/>
      <c r="I1" s="53"/>
      <c r="J1" s="54"/>
      <c r="K1" s="25" t="s">
        <v>125</v>
      </c>
    </row>
    <row r="2" spans="1:15" x14ac:dyDescent="0.2">
      <c r="A2" s="56"/>
      <c r="B2" s="53"/>
      <c r="C2" s="53"/>
      <c r="D2" s="53"/>
      <c r="E2" s="53"/>
      <c r="F2" s="53"/>
      <c r="G2" s="53"/>
      <c r="H2" s="53"/>
      <c r="I2" s="53"/>
      <c r="J2" s="54"/>
      <c r="M2" s="55" t="s">
        <v>85</v>
      </c>
    </row>
    <row r="3" spans="1:15" x14ac:dyDescent="0.2">
      <c r="A3" s="56"/>
      <c r="B3" s="53" t="s">
        <v>4</v>
      </c>
      <c r="C3" s="53"/>
      <c r="D3" s="53"/>
      <c r="E3" s="53"/>
      <c r="F3" s="53"/>
      <c r="G3" s="53"/>
      <c r="H3" s="53"/>
      <c r="I3" s="53"/>
      <c r="J3" s="54"/>
    </row>
    <row r="4" spans="1:15" x14ac:dyDescent="0.2">
      <c r="A4" s="56"/>
      <c r="B4" s="53"/>
      <c r="C4" s="53"/>
      <c r="D4" s="53"/>
      <c r="E4" s="53"/>
      <c r="F4" s="53"/>
      <c r="G4" s="53"/>
      <c r="H4" s="53"/>
      <c r="I4" s="53"/>
      <c r="J4" s="54"/>
      <c r="M4" s="55" t="s">
        <v>120</v>
      </c>
      <c r="N4" s="57">
        <f>F13*G13*H13</f>
        <v>1.2013400249999999</v>
      </c>
    </row>
    <row r="5" spans="1:15" x14ac:dyDescent="0.2">
      <c r="A5" s="56"/>
      <c r="B5" s="53" t="s">
        <v>11</v>
      </c>
      <c r="C5" s="53"/>
      <c r="D5" s="53">
        <v>1.2</v>
      </c>
      <c r="E5" s="53"/>
      <c r="F5" s="53"/>
      <c r="G5" s="53"/>
      <c r="H5" s="53"/>
      <c r="I5" s="53"/>
      <c r="J5" s="54"/>
      <c r="M5" s="55" t="s">
        <v>121</v>
      </c>
      <c r="N5" s="55">
        <f>1/N4</f>
        <v>0.83240379841668899</v>
      </c>
    </row>
    <row r="6" spans="1:15" x14ac:dyDescent="0.2">
      <c r="A6" s="56"/>
      <c r="B6" s="53" t="s">
        <v>12</v>
      </c>
      <c r="C6" s="53"/>
      <c r="D6" s="53">
        <v>1.04</v>
      </c>
      <c r="E6" s="53"/>
      <c r="F6" s="53"/>
      <c r="G6" s="53"/>
      <c r="H6" s="53"/>
      <c r="I6" s="53"/>
      <c r="J6" s="54"/>
    </row>
    <row r="7" spans="1:15" ht="17" x14ac:dyDescent="0.2">
      <c r="A7" s="56"/>
      <c r="B7" s="53" t="s">
        <v>69</v>
      </c>
      <c r="C7" s="53"/>
      <c r="D7" s="58">
        <v>865000</v>
      </c>
      <c r="E7" s="53"/>
      <c r="F7" s="53"/>
      <c r="G7" s="53"/>
      <c r="H7" s="53"/>
      <c r="I7" s="53"/>
      <c r="J7" s="54"/>
      <c r="M7" s="19"/>
      <c r="N7" s="20" t="s">
        <v>5</v>
      </c>
      <c r="O7" s="20" t="s">
        <v>6</v>
      </c>
    </row>
    <row r="8" spans="1:15" ht="68" x14ac:dyDescent="0.2">
      <c r="A8" s="56"/>
      <c r="B8" s="53" t="s">
        <v>70</v>
      </c>
      <c r="C8" s="53"/>
      <c r="D8" s="58">
        <v>4325000</v>
      </c>
      <c r="E8" s="53"/>
      <c r="F8" s="53"/>
      <c r="G8" s="53"/>
      <c r="H8" s="53"/>
      <c r="I8" s="53"/>
      <c r="J8" s="54"/>
      <c r="M8" s="18" t="s">
        <v>8</v>
      </c>
      <c r="N8" s="21">
        <f>1-E22</f>
        <v>0.82000000000000006</v>
      </c>
      <c r="O8" s="21">
        <f>1-F22</f>
        <v>0.75</v>
      </c>
    </row>
    <row r="9" spans="1:15" x14ac:dyDescent="0.2">
      <c r="A9" s="56"/>
      <c r="B9" s="53" t="s">
        <v>13</v>
      </c>
      <c r="C9" s="53"/>
      <c r="D9" s="59">
        <v>0.75</v>
      </c>
      <c r="E9" s="53"/>
      <c r="F9" s="53"/>
      <c r="G9" s="53"/>
      <c r="H9" s="53"/>
      <c r="I9" s="53"/>
      <c r="J9" s="54"/>
    </row>
    <row r="10" spans="1:15" x14ac:dyDescent="0.2">
      <c r="A10" s="56"/>
      <c r="B10" s="53"/>
      <c r="C10" s="53"/>
      <c r="D10" s="53"/>
      <c r="E10" s="53"/>
      <c r="F10" s="53"/>
      <c r="G10" s="53"/>
      <c r="H10" s="53"/>
      <c r="I10" s="53"/>
      <c r="J10" s="54"/>
      <c r="M10" s="55" t="s">
        <v>86</v>
      </c>
    </row>
    <row r="11" spans="1:15" x14ac:dyDescent="0.2">
      <c r="A11" s="56"/>
      <c r="B11" s="53"/>
      <c r="C11" s="318" t="s">
        <v>75</v>
      </c>
      <c r="D11" s="318"/>
      <c r="E11" s="318"/>
      <c r="F11" s="318"/>
      <c r="G11" s="318"/>
      <c r="H11" s="318"/>
      <c r="I11" s="53"/>
      <c r="J11" s="54"/>
      <c r="M11" s="55" t="s">
        <v>87</v>
      </c>
    </row>
    <row r="12" spans="1:15" ht="17" x14ac:dyDescent="0.2">
      <c r="A12" s="56"/>
      <c r="B12" s="53"/>
      <c r="C12" s="5"/>
      <c r="D12" s="32" t="s">
        <v>76</v>
      </c>
      <c r="E12" s="32" t="s">
        <v>77</v>
      </c>
      <c r="F12" s="6" t="s">
        <v>71</v>
      </c>
      <c r="G12" s="6" t="s">
        <v>72</v>
      </c>
      <c r="H12" s="6" t="s">
        <v>73</v>
      </c>
      <c r="I12" s="53"/>
      <c r="J12" s="54"/>
    </row>
    <row r="13" spans="1:15" ht="17" x14ac:dyDescent="0.2">
      <c r="A13" s="56"/>
      <c r="B13" s="53"/>
      <c r="C13" s="24" t="s">
        <v>74</v>
      </c>
      <c r="D13" s="9">
        <v>1.726</v>
      </c>
      <c r="E13" s="9">
        <v>1.147</v>
      </c>
      <c r="F13" s="9">
        <v>1.0409999999999999</v>
      </c>
      <c r="G13" s="9">
        <v>1.0349999999999999</v>
      </c>
      <c r="H13" s="9">
        <v>1.115</v>
      </c>
      <c r="I13" s="53"/>
      <c r="J13" s="54"/>
      <c r="M13" s="76" t="s">
        <v>137</v>
      </c>
      <c r="N13" s="73"/>
    </row>
    <row r="14" spans="1:15" x14ac:dyDescent="0.2">
      <c r="A14" s="56"/>
      <c r="B14" s="53"/>
      <c r="C14" s="53"/>
      <c r="D14" s="53"/>
      <c r="E14" s="53"/>
      <c r="F14" s="53"/>
      <c r="G14" s="53"/>
      <c r="H14" s="53"/>
      <c r="I14" s="53"/>
      <c r="J14" s="54"/>
      <c r="M14" s="77" t="s">
        <v>138</v>
      </c>
      <c r="N14" s="75" t="s">
        <v>88</v>
      </c>
    </row>
    <row r="15" spans="1:15" x14ac:dyDescent="0.2">
      <c r="A15" s="56"/>
      <c r="B15" s="53" t="s">
        <v>78</v>
      </c>
      <c r="C15" s="53"/>
      <c r="D15" s="53"/>
      <c r="E15" s="53"/>
      <c r="F15" s="53"/>
      <c r="G15" s="53"/>
      <c r="H15" s="53"/>
      <c r="I15" s="53"/>
      <c r="J15" s="54"/>
      <c r="M15" s="76">
        <v>1</v>
      </c>
      <c r="N15" s="74">
        <f>(D7/D8)*(D6/(D9*N5))+N8*D5*D6</f>
        <v>1.3565316336</v>
      </c>
    </row>
    <row r="16" spans="1:15" x14ac:dyDescent="0.2">
      <c r="A16" s="56"/>
      <c r="B16" s="53" t="s">
        <v>79</v>
      </c>
      <c r="C16" s="53"/>
      <c r="D16" s="53"/>
      <c r="E16" s="53"/>
      <c r="F16" s="53"/>
      <c r="G16" s="53"/>
      <c r="H16" s="53"/>
      <c r="I16" s="53"/>
      <c r="J16" s="54"/>
      <c r="M16" s="76">
        <v>2</v>
      </c>
      <c r="N16" s="74">
        <f>O8*D5*D6</f>
        <v>0.93599999999999994</v>
      </c>
    </row>
    <row r="17" spans="1:20" ht="16" customHeight="1" x14ac:dyDescent="0.2">
      <c r="A17" s="56"/>
      <c r="B17" s="53"/>
      <c r="C17" s="53"/>
      <c r="D17" s="53"/>
      <c r="E17" s="53"/>
      <c r="F17" s="53"/>
      <c r="G17" s="53"/>
      <c r="H17" s="53"/>
      <c r="I17" s="53"/>
      <c r="J17" s="54"/>
    </row>
    <row r="18" spans="1:20" ht="19" x14ac:dyDescent="0.2">
      <c r="A18" s="56"/>
      <c r="B18" s="53" t="s">
        <v>80</v>
      </c>
      <c r="C18" s="53"/>
      <c r="D18" s="53"/>
      <c r="E18" s="53"/>
      <c r="F18" s="53"/>
      <c r="G18" s="53"/>
      <c r="H18" s="53"/>
      <c r="I18" s="53"/>
      <c r="J18" s="54"/>
      <c r="L18" s="25" t="s">
        <v>113</v>
      </c>
    </row>
    <row r="19" spans="1:20" x14ac:dyDescent="0.2">
      <c r="A19" s="56"/>
      <c r="B19" s="53" t="s">
        <v>81</v>
      </c>
      <c r="C19" s="53"/>
      <c r="D19" s="53"/>
      <c r="E19" s="53"/>
      <c r="F19" s="53"/>
      <c r="G19" s="53"/>
      <c r="H19" s="53"/>
      <c r="I19" s="53"/>
      <c r="J19" s="54"/>
      <c r="L19" s="317" t="s">
        <v>122</v>
      </c>
      <c r="M19" s="317"/>
      <c r="N19" s="317"/>
      <c r="O19" s="317"/>
      <c r="P19" s="317"/>
      <c r="Q19" s="317"/>
      <c r="R19" s="317"/>
      <c r="S19" s="317"/>
      <c r="T19" s="317"/>
    </row>
    <row r="20" spans="1:20" x14ac:dyDescent="0.2">
      <c r="A20" s="56"/>
      <c r="B20" s="53"/>
      <c r="C20" s="53"/>
      <c r="D20" s="53"/>
      <c r="E20" s="53"/>
      <c r="F20" s="53"/>
      <c r="G20" s="53"/>
      <c r="H20" s="53"/>
      <c r="I20" s="53"/>
      <c r="J20" s="54"/>
      <c r="L20" s="317"/>
      <c r="M20" s="317"/>
      <c r="N20" s="317"/>
      <c r="O20" s="317"/>
      <c r="P20" s="317"/>
      <c r="Q20" s="317"/>
      <c r="R20" s="317"/>
      <c r="S20" s="317"/>
      <c r="T20" s="317"/>
    </row>
    <row r="21" spans="1:20" ht="32" customHeight="1" x14ac:dyDescent="0.2">
      <c r="A21" s="56"/>
      <c r="B21" s="53"/>
      <c r="C21" s="53"/>
      <c r="D21" s="53"/>
      <c r="E21" s="5" t="s">
        <v>82</v>
      </c>
      <c r="F21" s="6" t="s">
        <v>83</v>
      </c>
      <c r="G21" s="53"/>
      <c r="H21" s="53"/>
      <c r="I21" s="53"/>
      <c r="J21" s="54"/>
      <c r="L21" s="317"/>
      <c r="M21" s="317"/>
      <c r="N21" s="317"/>
      <c r="O21" s="317"/>
      <c r="P21" s="317"/>
      <c r="Q21" s="317"/>
      <c r="R21" s="317"/>
      <c r="S21" s="317"/>
      <c r="T21" s="317"/>
    </row>
    <row r="22" spans="1:20" x14ac:dyDescent="0.2">
      <c r="A22" s="56"/>
      <c r="B22" s="53"/>
      <c r="C22" s="53"/>
      <c r="D22" s="53"/>
      <c r="E22" s="33">
        <v>0.18</v>
      </c>
      <c r="F22" s="8">
        <v>0.25</v>
      </c>
      <c r="G22" s="53"/>
      <c r="H22" s="53"/>
      <c r="I22" s="53"/>
      <c r="J22" s="54"/>
      <c r="L22" s="317"/>
      <c r="M22" s="317"/>
      <c r="N22" s="317"/>
      <c r="O22" s="317"/>
      <c r="P22" s="317"/>
      <c r="Q22" s="317"/>
      <c r="R22" s="317"/>
      <c r="S22" s="317"/>
      <c r="T22" s="317"/>
    </row>
    <row r="23" spans="1:20" x14ac:dyDescent="0.2">
      <c r="A23" s="56"/>
      <c r="B23" s="53"/>
      <c r="C23" s="53"/>
      <c r="D23" s="53"/>
      <c r="E23" s="53"/>
      <c r="F23" s="53"/>
      <c r="G23" s="53"/>
      <c r="H23" s="53"/>
      <c r="I23" s="53"/>
      <c r="J23" s="54"/>
      <c r="L23" s="317"/>
      <c r="M23" s="317"/>
      <c r="N23" s="317"/>
      <c r="O23" s="317"/>
      <c r="P23" s="317"/>
      <c r="Q23" s="317"/>
      <c r="R23" s="317"/>
      <c r="S23" s="317"/>
      <c r="T23" s="317"/>
    </row>
    <row r="24" spans="1:20" x14ac:dyDescent="0.2">
      <c r="A24" s="56"/>
      <c r="B24" s="53"/>
      <c r="C24" s="53"/>
      <c r="D24" s="53"/>
      <c r="E24" s="53"/>
      <c r="F24" s="53"/>
      <c r="G24" s="53"/>
      <c r="H24" s="53"/>
      <c r="I24" s="53"/>
      <c r="J24" s="54"/>
    </row>
    <row r="25" spans="1:20" x14ac:dyDescent="0.2">
      <c r="A25" s="56"/>
      <c r="B25" s="53" t="s">
        <v>84</v>
      </c>
      <c r="C25" s="53"/>
      <c r="D25" s="53"/>
      <c r="E25" s="53"/>
      <c r="F25" s="53"/>
      <c r="G25" s="53"/>
      <c r="H25" s="53"/>
      <c r="I25" s="53"/>
      <c r="J25" s="54"/>
    </row>
    <row r="26" spans="1:20" ht="19" x14ac:dyDescent="0.25">
      <c r="A26" s="56"/>
      <c r="B26" s="53"/>
      <c r="C26" s="53"/>
      <c r="D26" s="53"/>
      <c r="E26" s="53"/>
      <c r="F26" s="53"/>
      <c r="G26" s="53"/>
      <c r="H26" s="53"/>
      <c r="I26" s="53"/>
      <c r="J26" s="54"/>
      <c r="L26" s="2" t="s">
        <v>136</v>
      </c>
    </row>
    <row r="27" spans="1:20" ht="17" thickBot="1" x14ac:dyDescent="0.25">
      <c r="A27" s="56"/>
      <c r="B27" s="53"/>
      <c r="C27" s="53"/>
      <c r="D27" s="53"/>
      <c r="E27" s="53"/>
      <c r="F27" s="53"/>
      <c r="G27" s="53"/>
      <c r="H27" s="53"/>
      <c r="I27" s="53"/>
      <c r="J27" s="54"/>
      <c r="L27" s="65" t="s">
        <v>132</v>
      </c>
    </row>
    <row r="28" spans="1:20" s="65" customFormat="1" ht="17" thickBot="1" x14ac:dyDescent="0.25">
      <c r="A28" s="319" t="s">
        <v>124</v>
      </c>
      <c r="B28" s="320"/>
      <c r="C28" s="320"/>
      <c r="D28" s="320"/>
      <c r="E28" s="320"/>
      <c r="F28" s="320"/>
      <c r="G28" s="320"/>
      <c r="H28" s="320"/>
      <c r="I28" s="320"/>
      <c r="J28" s="321"/>
      <c r="L28" s="55"/>
      <c r="M28" s="55"/>
      <c r="N28" s="55"/>
      <c r="O28" s="55"/>
      <c r="P28" s="55"/>
      <c r="Q28" s="55"/>
      <c r="R28" s="55"/>
      <c r="S28" s="55"/>
      <c r="T28" s="55"/>
    </row>
    <row r="29" spans="1:20" s="65" customFormat="1" x14ac:dyDescent="0.2">
      <c r="L29" s="55"/>
      <c r="M29" s="55"/>
      <c r="N29" s="55"/>
      <c r="O29" s="55"/>
      <c r="P29" s="55"/>
      <c r="Q29" s="55"/>
      <c r="R29" s="55"/>
      <c r="S29" s="55"/>
      <c r="T29" s="55"/>
    </row>
    <row r="30" spans="1:20" s="65" customFormat="1" x14ac:dyDescent="0.2">
      <c r="A30" s="31"/>
    </row>
    <row r="31" spans="1:20" s="65" customFormat="1" x14ac:dyDescent="0.2">
      <c r="A31" s="26"/>
    </row>
    <row r="32" spans="1:20" s="65" customFormat="1" x14ac:dyDescent="0.2"/>
    <row r="33" spans="1:1" s="65" customFormat="1" x14ac:dyDescent="0.2"/>
    <row r="34" spans="1:1" s="65" customFormat="1" x14ac:dyDescent="0.2"/>
    <row r="35" spans="1:1" s="65" customFormat="1" x14ac:dyDescent="0.2"/>
    <row r="36" spans="1:1" s="65" customFormat="1" x14ac:dyDescent="0.2"/>
    <row r="37" spans="1:1" s="65" customFormat="1" x14ac:dyDescent="0.2"/>
    <row r="38" spans="1:1" s="65" customFormat="1" x14ac:dyDescent="0.2"/>
    <row r="39" spans="1:1" s="65" customFormat="1" x14ac:dyDescent="0.2"/>
    <row r="40" spans="1:1" s="65" customFormat="1" x14ac:dyDescent="0.2"/>
    <row r="41" spans="1:1" s="65" customFormat="1" x14ac:dyDescent="0.2"/>
    <row r="42" spans="1:1" s="65" customFormat="1" x14ac:dyDescent="0.2">
      <c r="A42" s="26"/>
    </row>
    <row r="43" spans="1:1" s="65" customFormat="1" x14ac:dyDescent="0.2"/>
    <row r="44" spans="1:1" s="65" customFormat="1" x14ac:dyDescent="0.2"/>
    <row r="45" spans="1:1" s="65" customFormat="1" x14ac:dyDescent="0.2"/>
    <row r="46" spans="1:1" s="65" customFormat="1" x14ac:dyDescent="0.2"/>
    <row r="47" spans="1:1" s="65" customFormat="1" x14ac:dyDescent="0.2"/>
    <row r="48" spans="1:1" s="65" customFormat="1" x14ac:dyDescent="0.2"/>
    <row r="49" spans="1:13" s="65" customFormat="1" x14ac:dyDescent="0.2"/>
    <row r="50" spans="1:13" s="65" customFormat="1" x14ac:dyDescent="0.2"/>
    <row r="51" spans="1:13" s="65" customFormat="1" x14ac:dyDescent="0.2"/>
    <row r="52" spans="1:13" s="65" customFormat="1" x14ac:dyDescent="0.2"/>
    <row r="53" spans="1:13" s="65" customFormat="1" x14ac:dyDescent="0.2"/>
    <row r="54" spans="1:13" s="65" customFormat="1" x14ac:dyDescent="0.2">
      <c r="A54" s="26"/>
      <c r="C54" s="66"/>
    </row>
    <row r="55" spans="1:13" s="65" customFormat="1" x14ac:dyDescent="0.2"/>
    <row r="56" spans="1:13" s="65" customFormat="1" x14ac:dyDescent="0.2">
      <c r="M56" s="66"/>
    </row>
    <row r="57" spans="1:13" s="65" customFormat="1" x14ac:dyDescent="0.2"/>
    <row r="58" spans="1:13" s="65" customFormat="1" x14ac:dyDescent="0.2"/>
    <row r="59" spans="1:13" s="65" customFormat="1" x14ac:dyDescent="0.2"/>
    <row r="60" spans="1:13" s="65" customFormat="1" x14ac:dyDescent="0.2"/>
    <row r="61" spans="1:13" s="65" customFormat="1" x14ac:dyDescent="0.2"/>
    <row r="62" spans="1:13" s="65" customFormat="1" x14ac:dyDescent="0.2"/>
    <row r="63" spans="1:13" s="65" customFormat="1" x14ac:dyDescent="0.2"/>
    <row r="64" spans="1:13" s="65" customFormat="1" x14ac:dyDescent="0.2"/>
    <row r="65" spans="13:13" s="65" customFormat="1" x14ac:dyDescent="0.2"/>
    <row r="66" spans="13:13" s="65" customFormat="1" x14ac:dyDescent="0.2">
      <c r="M66" s="66"/>
    </row>
    <row r="67" spans="13:13" s="65" customFormat="1" x14ac:dyDescent="0.2"/>
    <row r="68" spans="13:13" s="65" customFormat="1" x14ac:dyDescent="0.2"/>
    <row r="69" spans="13:13" s="65" customFormat="1" x14ac:dyDescent="0.2"/>
    <row r="70" spans="13:13" s="65" customFormat="1" x14ac:dyDescent="0.2"/>
    <row r="71" spans="13:13" s="65" customFormat="1" x14ac:dyDescent="0.2"/>
    <row r="72" spans="13:13" s="65" customFormat="1" x14ac:dyDescent="0.2"/>
    <row r="73" spans="13:13" s="65" customFormat="1" x14ac:dyDescent="0.2"/>
    <row r="74" spans="13:13" s="65" customFormat="1" x14ac:dyDescent="0.2"/>
    <row r="75" spans="13:13" s="65" customFormat="1" x14ac:dyDescent="0.2"/>
    <row r="76" spans="13:13" s="65" customFormat="1" x14ac:dyDescent="0.2">
      <c r="M76" s="66"/>
    </row>
    <row r="77" spans="13:13" s="65" customFormat="1" x14ac:dyDescent="0.2"/>
    <row r="78" spans="13:13" s="65" customFormat="1" x14ac:dyDescent="0.2"/>
    <row r="79" spans="13:13" s="65" customFormat="1" x14ac:dyDescent="0.2"/>
    <row r="80" spans="13:13" s="65" customFormat="1" x14ac:dyDescent="0.2"/>
    <row r="81" spans="13:13" s="65" customFormat="1" x14ac:dyDescent="0.2"/>
    <row r="82" spans="13:13" s="65" customFormat="1" x14ac:dyDescent="0.2"/>
    <row r="83" spans="13:13" s="65" customFormat="1" x14ac:dyDescent="0.2"/>
    <row r="84" spans="13:13" s="65" customFormat="1" x14ac:dyDescent="0.2"/>
    <row r="85" spans="13:13" s="65" customFormat="1" x14ac:dyDescent="0.2"/>
    <row r="86" spans="13:13" s="65" customFormat="1" x14ac:dyDescent="0.2">
      <c r="M86" s="66"/>
    </row>
    <row r="87" spans="13:13" s="65" customFormat="1" x14ac:dyDescent="0.2"/>
    <row r="88" spans="13:13" s="65" customFormat="1" x14ac:dyDescent="0.2"/>
    <row r="89" spans="13:13" s="65" customFormat="1" x14ac:dyDescent="0.2"/>
    <row r="90" spans="13:13" s="65" customFormat="1" x14ac:dyDescent="0.2"/>
    <row r="91" spans="13:13" s="65" customFormat="1" x14ac:dyDescent="0.2"/>
    <row r="92" spans="13:13" s="65" customFormat="1" x14ac:dyDescent="0.2"/>
    <row r="93" spans="13:13" s="65" customFormat="1" x14ac:dyDescent="0.2"/>
    <row r="94" spans="13:13" s="65" customFormat="1" x14ac:dyDescent="0.2"/>
    <row r="95" spans="13:13" s="65" customFormat="1" x14ac:dyDescent="0.2"/>
    <row r="96" spans="13:13" s="65" customFormat="1" x14ac:dyDescent="0.2">
      <c r="M96" s="66"/>
    </row>
    <row r="97" s="65" customFormat="1" x14ac:dyDescent="0.2"/>
    <row r="98" s="65" customFormat="1" x14ac:dyDescent="0.2"/>
    <row r="99" s="65" customFormat="1" x14ac:dyDescent="0.2"/>
    <row r="100" s="65" customFormat="1" x14ac:dyDescent="0.2"/>
    <row r="101" s="65" customFormat="1" x14ac:dyDescent="0.2"/>
    <row r="102" s="65" customFormat="1" x14ac:dyDescent="0.2"/>
    <row r="103" s="65" customFormat="1" x14ac:dyDescent="0.2"/>
    <row r="104" s="65" customFormat="1" x14ac:dyDescent="0.2"/>
    <row r="105" s="65" customFormat="1" x14ac:dyDescent="0.2"/>
    <row r="106" s="65" customFormat="1" x14ac:dyDescent="0.2"/>
    <row r="107" s="65" customFormat="1" x14ac:dyDescent="0.2"/>
    <row r="108" s="65" customFormat="1" x14ac:dyDescent="0.2"/>
    <row r="109" s="65" customFormat="1" x14ac:dyDescent="0.2"/>
    <row r="110" s="65" customFormat="1" x14ac:dyDescent="0.2"/>
    <row r="111" s="65" customFormat="1" x14ac:dyDescent="0.2"/>
    <row r="112" s="65" customFormat="1" x14ac:dyDescent="0.2"/>
    <row r="113" s="65" customFormat="1" x14ac:dyDescent="0.2"/>
    <row r="114" s="65" customFormat="1" x14ac:dyDescent="0.2"/>
    <row r="115" s="65" customFormat="1" x14ac:dyDescent="0.2"/>
    <row r="116" s="65" customFormat="1" x14ac:dyDescent="0.2"/>
    <row r="117" s="65" customFormat="1" x14ac:dyDescent="0.2"/>
    <row r="118" s="65" customFormat="1" x14ac:dyDescent="0.2"/>
    <row r="119" s="65" customFormat="1" x14ac:dyDescent="0.2"/>
    <row r="120" s="65" customFormat="1" x14ac:dyDescent="0.2"/>
    <row r="121" s="65" customFormat="1" x14ac:dyDescent="0.2"/>
    <row r="122" s="65" customFormat="1" x14ac:dyDescent="0.2"/>
    <row r="123" s="65" customFormat="1" x14ac:dyDescent="0.2"/>
    <row r="124" s="65" customFormat="1" x14ac:dyDescent="0.2"/>
    <row r="125" s="65" customFormat="1" x14ac:dyDescent="0.2"/>
    <row r="126" s="65" customFormat="1" x14ac:dyDescent="0.2"/>
    <row r="127" s="65" customFormat="1" x14ac:dyDescent="0.2"/>
    <row r="128" s="65" customFormat="1" x14ac:dyDescent="0.2"/>
    <row r="129" s="65" customFormat="1" x14ac:dyDescent="0.2"/>
    <row r="130" s="65" customFormat="1" x14ac:dyDescent="0.2"/>
    <row r="131" s="65" customFormat="1" x14ac:dyDescent="0.2"/>
    <row r="132" s="65" customFormat="1" x14ac:dyDescent="0.2"/>
    <row r="133" s="65" customFormat="1" x14ac:dyDescent="0.2"/>
    <row r="134" s="65" customFormat="1" x14ac:dyDescent="0.2"/>
    <row r="135" s="65" customFormat="1" x14ac:dyDescent="0.2"/>
    <row r="136" s="65" customFormat="1" x14ac:dyDescent="0.2"/>
    <row r="137" s="65" customFormat="1" x14ac:dyDescent="0.2"/>
    <row r="138" s="65" customFormat="1" x14ac:dyDescent="0.2"/>
    <row r="139" s="65" customFormat="1" x14ac:dyDescent="0.2"/>
    <row r="140" s="65" customFormat="1" x14ac:dyDescent="0.2"/>
    <row r="141" s="65" customFormat="1" x14ac:dyDescent="0.2"/>
    <row r="142" s="65" customFormat="1" x14ac:dyDescent="0.2"/>
    <row r="143" s="65" customFormat="1" x14ac:dyDescent="0.2"/>
    <row r="144" s="65" customFormat="1" x14ac:dyDescent="0.2"/>
    <row r="145" s="65" customFormat="1" x14ac:dyDescent="0.2"/>
    <row r="146" s="65" customFormat="1" x14ac:dyDescent="0.2"/>
    <row r="147" s="65" customFormat="1" x14ac:dyDescent="0.2"/>
    <row r="148" s="65" customFormat="1" x14ac:dyDescent="0.2"/>
    <row r="149" s="65" customFormat="1" x14ac:dyDescent="0.2"/>
    <row r="150" s="65" customFormat="1" x14ac:dyDescent="0.2"/>
    <row r="151" s="65" customFormat="1" x14ac:dyDescent="0.2"/>
    <row r="152" s="65" customFormat="1" x14ac:dyDescent="0.2"/>
    <row r="153" s="65" customFormat="1" x14ac:dyDescent="0.2"/>
    <row r="154" s="65" customFormat="1" x14ac:dyDescent="0.2"/>
    <row r="155" s="65" customFormat="1" x14ac:dyDescent="0.2"/>
    <row r="156" s="65" customFormat="1" x14ac:dyDescent="0.2"/>
    <row r="157" s="65" customFormat="1" x14ac:dyDescent="0.2"/>
    <row r="158" s="65" customFormat="1" x14ac:dyDescent="0.2"/>
    <row r="159" s="65" customFormat="1" x14ac:dyDescent="0.2"/>
    <row r="160" s="65" customFormat="1" x14ac:dyDescent="0.2"/>
    <row r="161" s="65" customFormat="1" x14ac:dyDescent="0.2"/>
    <row r="162" s="65" customFormat="1" x14ac:dyDescent="0.2"/>
    <row r="163" s="65" customFormat="1" x14ac:dyDescent="0.2"/>
    <row r="164" s="65" customFormat="1" x14ac:dyDescent="0.2"/>
    <row r="165" s="65" customFormat="1" x14ac:dyDescent="0.2"/>
    <row r="166" s="65" customFormat="1" x14ac:dyDescent="0.2"/>
    <row r="167" s="65" customFormat="1" x14ac:dyDescent="0.2"/>
    <row r="168" s="65" customFormat="1" x14ac:dyDescent="0.2"/>
    <row r="169" s="65" customFormat="1" x14ac:dyDescent="0.2"/>
    <row r="170" s="65" customFormat="1" x14ac:dyDescent="0.2"/>
    <row r="171" s="65" customFormat="1" x14ac:dyDescent="0.2"/>
    <row r="172" s="65" customFormat="1" x14ac:dyDescent="0.2"/>
    <row r="173" s="65" customFormat="1" x14ac:dyDescent="0.2"/>
    <row r="174" s="65" customFormat="1" x14ac:dyDescent="0.2"/>
    <row r="175" s="65" customFormat="1" x14ac:dyDescent="0.2"/>
    <row r="176" s="65" customFormat="1" x14ac:dyDescent="0.2"/>
    <row r="177" spans="1:65" s="65" customFormat="1" x14ac:dyDescent="0.2"/>
    <row r="178" spans="1:65" s="65" customFormat="1" x14ac:dyDescent="0.2"/>
    <row r="179" spans="1:65" s="65" customFormat="1" x14ac:dyDescent="0.2"/>
    <row r="180" spans="1:65" s="65" customFormat="1" x14ac:dyDescent="0.2"/>
    <row r="181" spans="1:65" s="65" customFormat="1" x14ac:dyDescent="0.2"/>
    <row r="182" spans="1:65" s="65" customFormat="1" x14ac:dyDescent="0.2"/>
    <row r="183" spans="1:65" s="65" customFormat="1" x14ac:dyDescent="0.2"/>
    <row r="184" spans="1:65" s="65" customFormat="1" x14ac:dyDescent="0.2"/>
    <row r="185" spans="1:65" s="65" customFormat="1" x14ac:dyDescent="0.2"/>
    <row r="186" spans="1:65" s="65" customFormat="1" x14ac:dyDescent="0.2"/>
    <row r="187" spans="1:65" s="65" customFormat="1" x14ac:dyDescent="0.2"/>
    <row r="188" spans="1:65" s="65" customFormat="1" x14ac:dyDescent="0.2"/>
    <row r="189" spans="1:65" s="65" customFormat="1" x14ac:dyDescent="0.2"/>
    <row r="190" spans="1:65" x14ac:dyDescent="0.2">
      <c r="A190" s="27"/>
      <c r="B190" s="27"/>
      <c r="C190" s="27"/>
      <c r="D190" s="27"/>
      <c r="E190" s="27"/>
      <c r="F190" s="27"/>
      <c r="G190" s="27"/>
      <c r="H190" s="27"/>
      <c r="I190" s="27"/>
      <c r="J190" s="27"/>
      <c r="K190" s="27"/>
      <c r="L190" s="65"/>
      <c r="M190" s="65"/>
      <c r="N190" s="65"/>
      <c r="O190" s="65"/>
      <c r="P190" s="65"/>
      <c r="Q190" s="65"/>
      <c r="R190" s="65"/>
      <c r="S190" s="65"/>
      <c r="T190" s="65"/>
      <c r="U190" s="27"/>
      <c r="V190" s="27"/>
      <c r="W190" s="27"/>
      <c r="X190" s="27"/>
      <c r="Y190" s="27"/>
      <c r="Z190" s="27"/>
      <c r="AA190" s="27"/>
      <c r="AB190" s="27"/>
      <c r="AC190" s="27"/>
      <c r="AD190" s="27"/>
      <c r="AE190" s="27"/>
      <c r="AF190" s="27"/>
      <c r="AG190" s="27"/>
      <c r="AH190" s="27"/>
      <c r="AI190" s="27"/>
      <c r="AJ190" s="27"/>
      <c r="AK190" s="27"/>
      <c r="AL190" s="27"/>
      <c r="AM190" s="27"/>
      <c r="AN190" s="27"/>
      <c r="AO190" s="27"/>
      <c r="AP190" s="27"/>
      <c r="AQ190" s="27"/>
      <c r="AR190" s="27"/>
      <c r="AS190" s="27"/>
      <c r="AT190" s="27"/>
      <c r="AU190" s="27"/>
      <c r="AV190" s="27"/>
      <c r="AW190" s="27"/>
      <c r="AX190" s="27"/>
      <c r="AY190" s="27"/>
      <c r="AZ190" s="27"/>
      <c r="BA190" s="27"/>
      <c r="BB190" s="27"/>
      <c r="BC190" s="27"/>
      <c r="BD190" s="27"/>
      <c r="BE190" s="27"/>
      <c r="BF190" s="27"/>
      <c r="BG190" s="27"/>
      <c r="BH190" s="27"/>
      <c r="BI190" s="27"/>
      <c r="BJ190" s="27"/>
      <c r="BK190" s="27"/>
      <c r="BL190" s="27"/>
      <c r="BM190" s="27"/>
    </row>
    <row r="191" spans="1:65" x14ac:dyDescent="0.2">
      <c r="A191" s="27"/>
      <c r="B191" s="27"/>
      <c r="C191" s="27"/>
      <c r="D191" s="27"/>
      <c r="E191" s="27"/>
      <c r="F191" s="27"/>
      <c r="G191" s="27"/>
      <c r="H191" s="27"/>
      <c r="I191" s="27"/>
      <c r="J191" s="27"/>
      <c r="K191" s="27"/>
      <c r="L191" s="65"/>
      <c r="M191" s="65"/>
      <c r="N191" s="65"/>
      <c r="O191" s="65"/>
      <c r="P191" s="65"/>
      <c r="Q191" s="65"/>
      <c r="R191" s="65"/>
      <c r="S191" s="65"/>
      <c r="T191" s="65"/>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c r="AT191" s="27"/>
      <c r="AU191" s="27"/>
      <c r="AV191" s="27"/>
      <c r="AW191" s="27"/>
      <c r="AX191" s="27"/>
      <c r="AY191" s="27"/>
      <c r="AZ191" s="27"/>
      <c r="BA191" s="27"/>
      <c r="BB191" s="27"/>
      <c r="BC191" s="27"/>
      <c r="BD191" s="27"/>
      <c r="BE191" s="27"/>
      <c r="BF191" s="27"/>
      <c r="BG191" s="27"/>
      <c r="BH191" s="27"/>
      <c r="BI191" s="27"/>
      <c r="BJ191" s="27"/>
      <c r="BK191" s="27"/>
      <c r="BL191" s="27"/>
      <c r="BM191" s="27"/>
    </row>
    <row r="192" spans="1:65" x14ac:dyDescent="0.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c r="AT192" s="27"/>
      <c r="AU192" s="27"/>
      <c r="AV192" s="27"/>
      <c r="AW192" s="27"/>
      <c r="AX192" s="27"/>
      <c r="AY192" s="27"/>
      <c r="AZ192" s="27"/>
      <c r="BA192" s="27"/>
      <c r="BB192" s="27"/>
      <c r="BC192" s="27"/>
      <c r="BD192" s="27"/>
      <c r="BE192" s="27"/>
      <c r="BF192" s="27"/>
      <c r="BG192" s="27"/>
      <c r="BH192" s="27"/>
      <c r="BI192" s="27"/>
      <c r="BJ192" s="27"/>
      <c r="BK192" s="27"/>
      <c r="BL192" s="27"/>
      <c r="BM192" s="27"/>
    </row>
    <row r="193" spans="1:65" x14ac:dyDescent="0.2">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c r="AT193" s="27"/>
      <c r="AU193" s="27"/>
      <c r="AV193" s="27"/>
      <c r="AW193" s="27"/>
      <c r="AX193" s="27"/>
      <c r="AY193" s="27"/>
      <c r="AZ193" s="27"/>
      <c r="BA193" s="27"/>
      <c r="BB193" s="27"/>
      <c r="BC193" s="27"/>
      <c r="BD193" s="27"/>
      <c r="BE193" s="27"/>
      <c r="BF193" s="27"/>
      <c r="BG193" s="27"/>
      <c r="BH193" s="27"/>
      <c r="BI193" s="27"/>
      <c r="BJ193" s="27"/>
      <c r="BK193" s="27"/>
      <c r="BL193" s="27"/>
      <c r="BM193" s="27"/>
    </row>
    <row r="194" spans="1:65" x14ac:dyDescent="0.2">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c r="AG194" s="27"/>
      <c r="AH194" s="27"/>
      <c r="AI194" s="27"/>
      <c r="AJ194" s="27"/>
      <c r="AK194" s="27"/>
      <c r="AL194" s="27"/>
      <c r="AM194" s="27"/>
      <c r="AN194" s="27"/>
      <c r="AO194" s="27"/>
      <c r="AP194" s="27"/>
      <c r="AQ194" s="27"/>
      <c r="AR194" s="27"/>
      <c r="AS194" s="27"/>
      <c r="AT194" s="27"/>
      <c r="AU194" s="27"/>
      <c r="AV194" s="27"/>
      <c r="AW194" s="27"/>
      <c r="AX194" s="27"/>
      <c r="AY194" s="27"/>
      <c r="AZ194" s="27"/>
      <c r="BA194" s="27"/>
      <c r="BB194" s="27"/>
      <c r="BC194" s="27"/>
      <c r="BD194" s="27"/>
      <c r="BE194" s="27"/>
      <c r="BF194" s="27"/>
      <c r="BG194" s="27"/>
      <c r="BH194" s="27"/>
      <c r="BI194" s="27"/>
      <c r="BJ194" s="27"/>
      <c r="BK194" s="27"/>
      <c r="BL194" s="27"/>
      <c r="BM194" s="27"/>
    </row>
    <row r="195" spans="1:65" x14ac:dyDescent="0.2">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c r="AG195" s="27"/>
      <c r="AH195" s="27"/>
      <c r="AI195" s="27"/>
      <c r="AJ195" s="27"/>
      <c r="AK195" s="27"/>
      <c r="AL195" s="27"/>
      <c r="AM195" s="27"/>
      <c r="AN195" s="27"/>
      <c r="AO195" s="27"/>
      <c r="AP195" s="27"/>
      <c r="AQ195" s="27"/>
      <c r="AR195" s="27"/>
      <c r="AS195" s="27"/>
      <c r="AT195" s="27"/>
      <c r="AU195" s="27"/>
      <c r="AV195" s="27"/>
      <c r="AW195" s="27"/>
      <c r="AX195" s="27"/>
      <c r="AY195" s="27"/>
      <c r="AZ195" s="27"/>
      <c r="BA195" s="27"/>
      <c r="BB195" s="27"/>
      <c r="BC195" s="27"/>
      <c r="BD195" s="27"/>
      <c r="BE195" s="27"/>
      <c r="BF195" s="27"/>
      <c r="BG195" s="27"/>
      <c r="BH195" s="27"/>
      <c r="BI195" s="27"/>
      <c r="BJ195" s="27"/>
      <c r="BK195" s="27"/>
      <c r="BL195" s="27"/>
      <c r="BM195" s="27"/>
    </row>
    <row r="196" spans="1:65" x14ac:dyDescent="0.2">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c r="AG196" s="27"/>
      <c r="AH196" s="27"/>
      <c r="AI196" s="27"/>
      <c r="AJ196" s="27"/>
      <c r="AK196" s="27"/>
      <c r="AL196" s="27"/>
      <c r="AM196" s="27"/>
      <c r="AN196" s="27"/>
      <c r="AO196" s="27"/>
      <c r="AP196" s="27"/>
      <c r="AQ196" s="27"/>
      <c r="AR196" s="27"/>
      <c r="AS196" s="27"/>
      <c r="AT196" s="27"/>
      <c r="AU196" s="27"/>
      <c r="AV196" s="27"/>
      <c r="AW196" s="27"/>
      <c r="AX196" s="27"/>
      <c r="AY196" s="27"/>
      <c r="AZ196" s="27"/>
      <c r="BA196" s="27"/>
      <c r="BB196" s="27"/>
      <c r="BC196" s="27"/>
      <c r="BD196" s="27"/>
      <c r="BE196" s="27"/>
      <c r="BF196" s="27"/>
      <c r="BG196" s="27"/>
      <c r="BH196" s="27"/>
      <c r="BI196" s="27"/>
      <c r="BJ196" s="27"/>
      <c r="BK196" s="27"/>
      <c r="BL196" s="27"/>
      <c r="BM196" s="27"/>
    </row>
    <row r="197" spans="1:65" x14ac:dyDescent="0.2">
      <c r="A197" s="27"/>
      <c r="B197" s="27"/>
      <c r="C197" s="27"/>
      <c r="D197" s="27"/>
      <c r="E197" s="27"/>
      <c r="F197" s="27"/>
      <c r="G197" s="27"/>
      <c r="H197" s="27"/>
      <c r="I197" s="27"/>
      <c r="J197" s="27"/>
      <c r="L197" s="27"/>
      <c r="M197" s="27"/>
      <c r="N197" s="27"/>
      <c r="O197" s="27"/>
      <c r="P197" s="27"/>
      <c r="Q197" s="27"/>
      <c r="R197" s="27"/>
      <c r="S197" s="27"/>
      <c r="T197" s="27"/>
    </row>
    <row r="198" spans="1:65" x14ac:dyDescent="0.2">
      <c r="L198" s="27"/>
      <c r="M198" s="27"/>
      <c r="N198" s="27"/>
      <c r="O198" s="27"/>
      <c r="P198" s="27"/>
      <c r="Q198" s="27"/>
      <c r="R198" s="27"/>
      <c r="S198" s="27"/>
      <c r="T198" s="27"/>
    </row>
  </sheetData>
  <mergeCells count="3">
    <mergeCell ref="A28:J28"/>
    <mergeCell ref="C11:H11"/>
    <mergeCell ref="L19:T2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0481B-8951-9544-A010-1A6E8E0104C2}">
  <dimension ref="A1:T32"/>
  <sheetViews>
    <sheetView workbookViewId="0">
      <selection activeCell="P20" sqref="P20"/>
    </sheetView>
  </sheetViews>
  <sheetFormatPr baseColWidth="10" defaultColWidth="11" defaultRowHeight="16" outlineLevelCol="1" x14ac:dyDescent="0.2"/>
  <cols>
    <col min="1" max="1" width="4.5" customWidth="1"/>
    <col min="2" max="4" width="10.83203125" customWidth="1"/>
    <col min="5" max="5" width="12.5" customWidth="1"/>
    <col min="6" max="6" width="10.83203125" customWidth="1"/>
    <col min="7" max="11" width="10.5" customWidth="1"/>
    <col min="13" max="13" width="10.83203125" style="94" hidden="1" customWidth="1" outlineLevel="1"/>
    <col min="14" max="19" width="10.83203125" hidden="1" customWidth="1" outlineLevel="1"/>
    <col min="20" max="20" width="10.83203125" customWidth="1" collapsed="1"/>
  </cols>
  <sheetData>
    <row r="1" spans="1:16" ht="19" x14ac:dyDescent="0.25">
      <c r="A1" s="129" t="s">
        <v>173</v>
      </c>
      <c r="B1" s="128"/>
      <c r="C1" s="127"/>
      <c r="D1" s="127"/>
      <c r="E1" s="127"/>
      <c r="F1" s="126"/>
      <c r="G1" s="126"/>
      <c r="H1" s="126"/>
      <c r="I1" s="126"/>
      <c r="J1" s="125"/>
      <c r="L1" s="124" t="s">
        <v>125</v>
      </c>
    </row>
    <row r="2" spans="1:16" x14ac:dyDescent="0.2">
      <c r="A2" s="106"/>
      <c r="B2" s="105"/>
      <c r="C2" s="105"/>
      <c r="D2" s="105"/>
      <c r="E2" s="105"/>
      <c r="F2" s="105"/>
      <c r="G2" s="105"/>
      <c r="H2" s="105"/>
      <c r="I2" s="105"/>
      <c r="J2" s="104"/>
    </row>
    <row r="3" spans="1:16" x14ac:dyDescent="0.2">
      <c r="A3" s="106"/>
      <c r="B3" s="105" t="s">
        <v>172</v>
      </c>
      <c r="C3" s="105"/>
      <c r="D3" s="105"/>
      <c r="E3" s="105"/>
      <c r="F3" s="105"/>
      <c r="G3" s="105"/>
      <c r="H3" s="105"/>
      <c r="I3" s="105"/>
      <c r="J3" s="104"/>
      <c r="M3" s="115" t="s">
        <v>171</v>
      </c>
    </row>
    <row r="4" spans="1:16" x14ac:dyDescent="0.2">
      <c r="A4" s="106"/>
      <c r="B4" s="105"/>
      <c r="C4" s="105"/>
      <c r="D4" s="105"/>
      <c r="E4" s="105"/>
      <c r="F4" s="105"/>
      <c r="G4" s="105"/>
      <c r="H4" s="105"/>
      <c r="I4" s="105"/>
      <c r="J4" s="104"/>
    </row>
    <row r="5" spans="1:16" x14ac:dyDescent="0.2">
      <c r="A5" s="106"/>
      <c r="B5" s="105"/>
      <c r="C5" s="330" t="s">
        <v>170</v>
      </c>
      <c r="D5" s="333" t="s">
        <v>169</v>
      </c>
      <c r="E5" s="336" t="s">
        <v>8</v>
      </c>
      <c r="F5" s="105"/>
      <c r="G5" s="105"/>
      <c r="H5" s="105"/>
      <c r="I5" s="105"/>
      <c r="J5" s="104"/>
      <c r="M5" s="94" t="s">
        <v>168</v>
      </c>
      <c r="N5" s="123">
        <f>E16/(E9*E17)</f>
        <v>1.04</v>
      </c>
      <c r="O5" s="94" t="s">
        <v>167</v>
      </c>
      <c r="P5" s="96"/>
    </row>
    <row r="6" spans="1:16" x14ac:dyDescent="0.2">
      <c r="A6" s="106"/>
      <c r="B6" s="105"/>
      <c r="C6" s="331"/>
      <c r="D6" s="334"/>
      <c r="E6" s="337"/>
      <c r="F6" s="105"/>
      <c r="G6" s="105"/>
      <c r="H6" s="105"/>
      <c r="I6" s="105"/>
      <c r="J6" s="104"/>
      <c r="N6" s="96"/>
      <c r="O6" s="96"/>
      <c r="P6" s="96"/>
    </row>
    <row r="7" spans="1:16" x14ac:dyDescent="0.2">
      <c r="A7" s="106"/>
      <c r="B7" s="105"/>
      <c r="C7" s="332"/>
      <c r="D7" s="335"/>
      <c r="E7" s="338"/>
      <c r="F7" s="105"/>
      <c r="G7" s="105"/>
      <c r="H7" s="105"/>
      <c r="I7" s="105"/>
      <c r="J7" s="104"/>
      <c r="M7" s="115" t="s">
        <v>166</v>
      </c>
      <c r="N7" s="96"/>
      <c r="O7" s="96"/>
      <c r="P7" s="96"/>
    </row>
    <row r="8" spans="1:16" x14ac:dyDescent="0.2">
      <c r="A8" s="106"/>
      <c r="B8" s="105"/>
      <c r="C8" s="122" t="s">
        <v>5</v>
      </c>
      <c r="D8" s="117">
        <v>0.8</v>
      </c>
      <c r="E8" s="121">
        <v>0.9</v>
      </c>
      <c r="F8" s="105"/>
      <c r="G8" s="105"/>
      <c r="H8" s="105"/>
      <c r="I8" s="105"/>
      <c r="J8" s="104"/>
      <c r="N8" s="96"/>
      <c r="O8" s="96"/>
      <c r="P8" s="96"/>
    </row>
    <row r="9" spans="1:16" x14ac:dyDescent="0.2">
      <c r="A9" s="106"/>
      <c r="B9" s="105"/>
      <c r="C9" s="122" t="s">
        <v>6</v>
      </c>
      <c r="D9" s="117">
        <v>0.1</v>
      </c>
      <c r="E9" s="121">
        <v>0.75</v>
      </c>
      <c r="F9" s="105"/>
      <c r="G9" s="105"/>
      <c r="H9" s="105"/>
      <c r="I9" s="105"/>
      <c r="J9" s="104"/>
      <c r="M9" s="94" t="s">
        <v>165</v>
      </c>
      <c r="N9" s="116">
        <f>E10*E17*N5</f>
        <v>0.78</v>
      </c>
      <c r="O9" s="96"/>
      <c r="P9" s="96"/>
    </row>
    <row r="10" spans="1:16" x14ac:dyDescent="0.2">
      <c r="A10" s="106"/>
      <c r="B10" s="105"/>
      <c r="C10" s="122" t="s">
        <v>7</v>
      </c>
      <c r="D10" s="117">
        <v>0.08</v>
      </c>
      <c r="E10" s="121">
        <v>0.6</v>
      </c>
      <c r="F10" s="105"/>
      <c r="G10" s="105"/>
      <c r="H10" s="105"/>
      <c r="I10" s="105"/>
      <c r="J10" s="104"/>
      <c r="M10" s="94" t="s">
        <v>164</v>
      </c>
      <c r="N10" s="116">
        <f>E11*E17*N5</f>
        <v>0.65</v>
      </c>
      <c r="O10" s="96"/>
      <c r="P10" s="96"/>
    </row>
    <row r="11" spans="1:16" x14ac:dyDescent="0.2">
      <c r="A11" s="106"/>
      <c r="B11" s="105"/>
      <c r="C11" s="120" t="s">
        <v>39</v>
      </c>
      <c r="D11" s="119">
        <v>0.02</v>
      </c>
      <c r="E11" s="118">
        <v>0.5</v>
      </c>
      <c r="F11" s="105"/>
      <c r="G11" s="105"/>
      <c r="H11" s="105"/>
      <c r="I11" s="105"/>
      <c r="J11" s="104"/>
      <c r="N11" s="96"/>
      <c r="O11" s="96"/>
      <c r="P11" s="96"/>
    </row>
    <row r="12" spans="1:16" x14ac:dyDescent="0.2">
      <c r="A12" s="106"/>
      <c r="B12" s="105"/>
      <c r="C12" s="105"/>
      <c r="D12" s="105"/>
      <c r="E12" s="105"/>
      <c r="F12" s="105"/>
      <c r="G12" s="105"/>
      <c r="H12" s="105"/>
      <c r="I12" s="105"/>
      <c r="J12" s="104"/>
      <c r="M12" s="115" t="s">
        <v>163</v>
      </c>
      <c r="N12" s="96"/>
      <c r="O12" s="96"/>
      <c r="P12" s="96"/>
    </row>
    <row r="13" spans="1:16" x14ac:dyDescent="0.2">
      <c r="A13" s="106"/>
      <c r="B13" s="114" t="s">
        <v>162</v>
      </c>
      <c r="C13" s="105"/>
      <c r="D13" s="105"/>
      <c r="E13" s="117">
        <v>0.8</v>
      </c>
      <c r="F13" s="105"/>
      <c r="G13" s="105"/>
      <c r="H13" s="105"/>
      <c r="I13" s="105"/>
      <c r="J13" s="104"/>
      <c r="N13" s="111"/>
      <c r="O13" s="96"/>
      <c r="P13" s="96"/>
    </row>
    <row r="14" spans="1:16" x14ac:dyDescent="0.2">
      <c r="A14" s="106"/>
      <c r="B14" s="114" t="s">
        <v>161</v>
      </c>
      <c r="C14" s="105"/>
      <c r="D14" s="105"/>
      <c r="E14" s="113">
        <v>10000</v>
      </c>
      <c r="F14" s="105"/>
      <c r="G14" s="105"/>
      <c r="H14" s="105"/>
      <c r="I14" s="105"/>
      <c r="J14" s="104"/>
      <c r="M14" s="94" t="s">
        <v>160</v>
      </c>
      <c r="N14" s="111"/>
      <c r="O14" s="96"/>
      <c r="P14" s="96"/>
    </row>
    <row r="15" spans="1:16" x14ac:dyDescent="0.2">
      <c r="A15" s="106"/>
      <c r="B15" s="114" t="s">
        <v>159</v>
      </c>
      <c r="C15" s="105"/>
      <c r="D15" s="105"/>
      <c r="E15" s="112">
        <v>1.4950000000000001</v>
      </c>
      <c r="F15" s="105"/>
      <c r="G15" s="105"/>
      <c r="H15" s="105"/>
      <c r="I15" s="105"/>
      <c r="J15" s="104"/>
      <c r="N15" s="111"/>
      <c r="O15" s="96"/>
      <c r="P15" s="96"/>
    </row>
    <row r="16" spans="1:16" x14ac:dyDescent="0.2">
      <c r="A16" s="106"/>
      <c r="B16" s="114" t="s">
        <v>159</v>
      </c>
      <c r="C16" s="105"/>
      <c r="D16" s="105"/>
      <c r="E16" s="112">
        <v>0.97499999999999998</v>
      </c>
      <c r="F16" s="105"/>
      <c r="G16" s="105"/>
      <c r="H16" s="105"/>
      <c r="I16" s="105"/>
      <c r="J16" s="104"/>
      <c r="M16" s="94" t="s">
        <v>158</v>
      </c>
      <c r="N16" s="116">
        <f>E15*D8+E16*D9+N9*D10+N10*D11</f>
        <v>1.3689</v>
      </c>
      <c r="O16" s="94" t="s">
        <v>157</v>
      </c>
      <c r="P16" s="96"/>
    </row>
    <row r="17" spans="1:18" x14ac:dyDescent="0.2">
      <c r="A17" s="106"/>
      <c r="B17" s="114" t="s">
        <v>156</v>
      </c>
      <c r="C17" s="105"/>
      <c r="D17" s="105"/>
      <c r="E17" s="112">
        <v>1.25</v>
      </c>
      <c r="F17" s="105"/>
      <c r="G17" s="105"/>
      <c r="H17" s="105"/>
      <c r="I17" s="105"/>
      <c r="J17" s="104"/>
      <c r="P17" s="96"/>
    </row>
    <row r="18" spans="1:18" x14ac:dyDescent="0.2">
      <c r="A18" s="106"/>
      <c r="B18" s="114" t="s">
        <v>155</v>
      </c>
      <c r="C18" s="105"/>
      <c r="D18" s="105"/>
      <c r="E18" s="113">
        <v>9000</v>
      </c>
      <c r="F18" s="105"/>
      <c r="G18" s="105"/>
      <c r="H18" s="105"/>
      <c r="I18" s="105"/>
      <c r="J18" s="104"/>
      <c r="M18" s="115" t="s">
        <v>154</v>
      </c>
      <c r="P18" s="96"/>
    </row>
    <row r="19" spans="1:18" x14ac:dyDescent="0.2">
      <c r="A19" s="106"/>
      <c r="B19" s="114" t="s">
        <v>153</v>
      </c>
      <c r="C19" s="105"/>
      <c r="D19" s="105"/>
      <c r="E19" s="113"/>
      <c r="F19" s="105"/>
      <c r="G19" s="105"/>
      <c r="H19" s="105"/>
      <c r="I19" s="105"/>
      <c r="J19" s="104"/>
      <c r="N19" s="111"/>
      <c r="O19" s="96"/>
      <c r="P19" s="96"/>
    </row>
    <row r="20" spans="1:18" ht="17" thickBot="1" x14ac:dyDescent="0.25">
      <c r="A20" s="106"/>
      <c r="B20" s="105"/>
      <c r="C20" s="112"/>
      <c r="D20" s="105"/>
      <c r="E20" s="105"/>
      <c r="F20" s="105"/>
      <c r="G20" s="105"/>
      <c r="H20" s="105"/>
      <c r="I20" s="105"/>
      <c r="J20" s="104"/>
      <c r="M20" s="94" t="s">
        <v>152</v>
      </c>
      <c r="N20" s="111"/>
      <c r="O20" s="99">
        <f>N16*E14*E13</f>
        <v>10951.2</v>
      </c>
      <c r="P20" s="94" t="s">
        <v>579</v>
      </c>
    </row>
    <row r="21" spans="1:18" ht="17" thickBot="1" x14ac:dyDescent="0.25">
      <c r="A21" s="106"/>
      <c r="B21" s="105" t="s">
        <v>151</v>
      </c>
      <c r="C21" s="105"/>
      <c r="D21" s="105"/>
      <c r="E21" s="105"/>
      <c r="F21" s="105"/>
      <c r="G21" s="105"/>
      <c r="H21" s="105"/>
      <c r="I21" s="105"/>
      <c r="J21" s="104"/>
      <c r="M21" s="110" t="s">
        <v>150</v>
      </c>
      <c r="N21" s="109"/>
      <c r="O21" s="108">
        <f>O20-E18</f>
        <v>1951.2000000000007</v>
      </c>
      <c r="P21" s="107" t="s">
        <v>149</v>
      </c>
      <c r="Q21" s="99"/>
      <c r="R21" s="99"/>
    </row>
    <row r="22" spans="1:18" ht="17" thickBot="1" x14ac:dyDescent="0.25">
      <c r="A22" s="106"/>
      <c r="B22" s="105"/>
      <c r="C22" s="105"/>
      <c r="D22" s="105"/>
      <c r="E22" s="105"/>
      <c r="F22" s="105"/>
      <c r="G22" s="105"/>
      <c r="H22" s="105"/>
      <c r="I22" s="105"/>
      <c r="J22" s="104"/>
      <c r="N22" s="99"/>
      <c r="O22" s="96"/>
      <c r="P22" s="96"/>
      <c r="Q22" s="99"/>
      <c r="R22" s="99"/>
    </row>
    <row r="23" spans="1:18" ht="17" thickBot="1" x14ac:dyDescent="0.25">
      <c r="A23" s="103" t="s">
        <v>124</v>
      </c>
      <c r="B23" s="102"/>
      <c r="C23" s="101"/>
      <c r="D23" s="101"/>
      <c r="E23" s="101"/>
      <c r="F23" s="101"/>
      <c r="G23" s="101"/>
      <c r="H23" s="101"/>
      <c r="I23" s="101"/>
      <c r="J23" s="100"/>
      <c r="M23" s="96"/>
      <c r="N23" s="96"/>
      <c r="O23" s="96"/>
      <c r="P23" s="96"/>
      <c r="Q23" s="99"/>
      <c r="R23" s="99"/>
    </row>
    <row r="24" spans="1:18" x14ac:dyDescent="0.2">
      <c r="M24" s="96"/>
      <c r="N24" s="96"/>
      <c r="O24" s="96"/>
      <c r="P24" s="96"/>
      <c r="Q24" s="99"/>
      <c r="R24" s="99"/>
    </row>
    <row r="25" spans="1:18" x14ac:dyDescent="0.2">
      <c r="M25" s="96"/>
      <c r="N25" s="96"/>
      <c r="O25" s="96"/>
      <c r="P25" s="96"/>
    </row>
    <row r="26" spans="1:18" ht="19" x14ac:dyDescent="0.25">
      <c r="M26" s="98" t="s">
        <v>136</v>
      </c>
      <c r="N26" s="96"/>
      <c r="O26" s="96"/>
      <c r="P26" s="96"/>
    </row>
    <row r="27" spans="1:18" x14ac:dyDescent="0.2">
      <c r="M27" s="94" t="s">
        <v>134</v>
      </c>
      <c r="N27" s="97"/>
      <c r="O27" s="96"/>
      <c r="P27" s="96"/>
    </row>
    <row r="29" spans="1:18" x14ac:dyDescent="0.2">
      <c r="N29" s="96"/>
    </row>
    <row r="32" spans="1:18" x14ac:dyDescent="0.2">
      <c r="N32" s="95"/>
    </row>
  </sheetData>
  <mergeCells count="3">
    <mergeCell ref="C5:C7"/>
    <mergeCell ref="D5:D7"/>
    <mergeCell ref="E5:E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03B27-1548-D54F-8E9F-6CB1DB7D381B}">
  <dimension ref="A1:T30"/>
  <sheetViews>
    <sheetView workbookViewId="0"/>
  </sheetViews>
  <sheetFormatPr baseColWidth="10" defaultColWidth="11" defaultRowHeight="16" outlineLevelCol="1" x14ac:dyDescent="0.2"/>
  <cols>
    <col min="1" max="1" width="4.5" customWidth="1"/>
    <col min="2" max="10" width="10.83203125" customWidth="1"/>
    <col min="11" max="11" width="10.5" customWidth="1"/>
    <col min="12" max="12" width="11.1640625" bestFit="1" customWidth="1"/>
    <col min="13" max="13" width="15.6640625" style="94" hidden="1" customWidth="1" outlineLevel="1"/>
    <col min="14" max="19" width="10.83203125" hidden="1" customWidth="1" outlineLevel="1"/>
    <col min="20" max="20" width="10.83203125" customWidth="1" collapsed="1"/>
  </cols>
  <sheetData>
    <row r="1" spans="1:19" ht="19" x14ac:dyDescent="0.25">
      <c r="A1" s="129" t="s">
        <v>190</v>
      </c>
      <c r="B1" s="128"/>
      <c r="C1" s="127"/>
      <c r="D1" s="127"/>
      <c r="E1" s="127"/>
      <c r="F1" s="126"/>
      <c r="G1" s="126"/>
      <c r="H1" s="126"/>
      <c r="I1" s="126"/>
      <c r="J1" s="125"/>
      <c r="L1" s="124" t="s">
        <v>125</v>
      </c>
    </row>
    <row r="2" spans="1:19" x14ac:dyDescent="0.2">
      <c r="A2" s="106"/>
      <c r="B2" s="105"/>
      <c r="C2" s="105"/>
      <c r="D2" s="105"/>
      <c r="E2" s="105"/>
      <c r="F2" s="105"/>
      <c r="G2" s="105"/>
      <c r="H2" s="105"/>
      <c r="I2" s="105"/>
      <c r="J2" s="104"/>
    </row>
    <row r="3" spans="1:19" x14ac:dyDescent="0.2">
      <c r="A3" s="106"/>
      <c r="B3" s="139" t="s">
        <v>189</v>
      </c>
      <c r="C3" s="105"/>
      <c r="D3" s="105"/>
      <c r="E3" s="105"/>
      <c r="F3" s="112">
        <v>1.25</v>
      </c>
      <c r="G3" s="105"/>
      <c r="H3" s="105"/>
      <c r="I3" s="105"/>
      <c r="J3" s="104"/>
      <c r="M3" s="135" t="s">
        <v>188</v>
      </c>
    </row>
    <row r="4" spans="1:19" x14ac:dyDescent="0.2">
      <c r="A4" s="106"/>
      <c r="B4" s="139" t="s">
        <v>187</v>
      </c>
      <c r="C4" s="105"/>
      <c r="D4" s="105"/>
      <c r="E4" s="105"/>
      <c r="F4" s="112">
        <v>1.04</v>
      </c>
      <c r="G4" s="105"/>
      <c r="H4" s="105"/>
      <c r="I4" s="105"/>
      <c r="J4" s="104"/>
    </row>
    <row r="5" spans="1:19" x14ac:dyDescent="0.2">
      <c r="A5" s="106"/>
      <c r="B5" s="137" t="s">
        <v>186</v>
      </c>
      <c r="C5" s="105"/>
      <c r="D5" s="105"/>
      <c r="E5" s="105"/>
      <c r="F5" s="113">
        <v>8000</v>
      </c>
      <c r="G5" s="105"/>
      <c r="H5" s="105"/>
      <c r="I5" s="105"/>
      <c r="J5" s="104"/>
      <c r="M5" s="94" t="s">
        <v>185</v>
      </c>
      <c r="N5" s="138">
        <f>F7+F8</f>
        <v>1500</v>
      </c>
      <c r="O5" t="s">
        <v>184</v>
      </c>
    </row>
    <row r="6" spans="1:19" x14ac:dyDescent="0.2">
      <c r="A6" s="106"/>
      <c r="B6" s="137" t="s">
        <v>159</v>
      </c>
      <c r="C6" s="105"/>
      <c r="D6" s="105"/>
      <c r="E6" s="105"/>
      <c r="F6" s="112">
        <v>0.95</v>
      </c>
      <c r="G6" s="105"/>
      <c r="H6" s="105"/>
      <c r="I6" s="105"/>
      <c r="J6" s="104"/>
      <c r="O6" s="95" t="s">
        <v>183</v>
      </c>
    </row>
    <row r="7" spans="1:19" ht="17" thickBot="1" x14ac:dyDescent="0.25">
      <c r="A7" s="106"/>
      <c r="B7" s="137" t="s">
        <v>182</v>
      </c>
      <c r="C7" s="105"/>
      <c r="D7" s="105"/>
      <c r="E7" s="105"/>
      <c r="F7" s="113">
        <v>500</v>
      </c>
      <c r="G7" s="105"/>
      <c r="H7" s="105"/>
      <c r="I7" s="105"/>
      <c r="J7" s="104"/>
    </row>
    <row r="8" spans="1:19" ht="17" thickBot="1" x14ac:dyDescent="0.25">
      <c r="A8" s="106"/>
      <c r="B8" s="137" t="s">
        <v>181</v>
      </c>
      <c r="C8" s="105"/>
      <c r="D8" s="105"/>
      <c r="E8" s="105"/>
      <c r="F8" s="113">
        <v>1000</v>
      </c>
      <c r="G8" s="105"/>
      <c r="H8" s="105"/>
      <c r="I8" s="105"/>
      <c r="J8" s="104"/>
      <c r="M8" s="110" t="s">
        <v>180</v>
      </c>
      <c r="N8" s="136">
        <f>(N5+F6*F5*F3)*F4</f>
        <v>11440</v>
      </c>
      <c r="O8" t="s">
        <v>179</v>
      </c>
    </row>
    <row r="9" spans="1:19" x14ac:dyDescent="0.2">
      <c r="A9" s="106"/>
      <c r="B9" s="105"/>
      <c r="C9" s="105"/>
      <c r="D9" s="105"/>
      <c r="E9" s="105"/>
      <c r="F9" s="105"/>
      <c r="G9" s="105"/>
      <c r="H9" s="105"/>
      <c r="I9" s="105"/>
      <c r="J9" s="104"/>
    </row>
    <row r="10" spans="1:19" x14ac:dyDescent="0.2">
      <c r="A10" s="106"/>
      <c r="B10" s="134" t="s">
        <v>0</v>
      </c>
      <c r="C10" s="105"/>
      <c r="D10" s="105"/>
      <c r="E10" s="105"/>
      <c r="F10" s="105"/>
      <c r="G10" s="105"/>
      <c r="H10" s="105"/>
      <c r="I10" s="105"/>
      <c r="J10" s="104"/>
      <c r="M10" s="135" t="s">
        <v>178</v>
      </c>
    </row>
    <row r="11" spans="1:19" x14ac:dyDescent="0.2">
      <c r="A11" s="106"/>
      <c r="B11" s="105" t="s">
        <v>177</v>
      </c>
      <c r="C11" s="105"/>
      <c r="D11" s="105"/>
      <c r="E11" s="105"/>
      <c r="F11" s="105"/>
      <c r="G11" s="105"/>
      <c r="H11" s="105"/>
      <c r="I11" s="105"/>
      <c r="J11" s="104"/>
    </row>
    <row r="12" spans="1:19" x14ac:dyDescent="0.2">
      <c r="A12" s="106"/>
      <c r="B12" s="112"/>
      <c r="C12" s="105"/>
      <c r="D12" s="105"/>
      <c r="E12" s="105"/>
      <c r="F12" s="105"/>
      <c r="G12" s="105"/>
      <c r="H12" s="105"/>
      <c r="I12" s="105"/>
      <c r="J12" s="104"/>
      <c r="M12" s="339" t="s">
        <v>176</v>
      </c>
      <c r="N12" s="339"/>
      <c r="O12" s="339"/>
      <c r="P12" s="339"/>
      <c r="Q12" s="339"/>
      <c r="R12" s="339"/>
      <c r="S12" s="339"/>
    </row>
    <row r="13" spans="1:19" x14ac:dyDescent="0.2">
      <c r="A13" s="106"/>
      <c r="B13" s="134" t="s">
        <v>1</v>
      </c>
      <c r="C13" s="105"/>
      <c r="D13" s="105"/>
      <c r="E13" s="105"/>
      <c r="F13" s="105"/>
      <c r="G13" s="105"/>
      <c r="H13" s="105"/>
      <c r="I13" s="105"/>
      <c r="J13" s="104"/>
      <c r="M13" s="339"/>
      <c r="N13" s="339"/>
      <c r="O13" s="339"/>
      <c r="P13" s="339"/>
      <c r="Q13" s="339"/>
      <c r="R13" s="339"/>
      <c r="S13" s="339"/>
    </row>
    <row r="14" spans="1:19" x14ac:dyDescent="0.2">
      <c r="A14" s="106"/>
      <c r="B14" s="105" t="s">
        <v>175</v>
      </c>
      <c r="C14" s="112"/>
      <c r="D14" s="105"/>
      <c r="E14" s="105"/>
      <c r="F14" s="105"/>
      <c r="G14" s="105"/>
      <c r="H14" s="105"/>
      <c r="I14" s="105"/>
      <c r="J14" s="104"/>
      <c r="M14" s="339"/>
      <c r="N14" s="339"/>
      <c r="O14" s="339"/>
      <c r="P14" s="339"/>
      <c r="Q14" s="339"/>
      <c r="R14" s="339"/>
      <c r="S14" s="339"/>
    </row>
    <row r="15" spans="1:19" ht="17" thickBot="1" x14ac:dyDescent="0.25">
      <c r="A15" s="106"/>
      <c r="B15" s="132"/>
      <c r="C15" s="105"/>
      <c r="D15" s="105"/>
      <c r="E15" s="105"/>
      <c r="F15" s="105"/>
      <c r="G15" s="105"/>
      <c r="H15" s="105"/>
      <c r="I15" s="105"/>
      <c r="J15" s="104"/>
      <c r="P15" s="131"/>
      <c r="Q15" s="99"/>
      <c r="R15" s="99"/>
    </row>
    <row r="16" spans="1:19" ht="17" thickBot="1" x14ac:dyDescent="0.25">
      <c r="A16" s="103" t="s">
        <v>124</v>
      </c>
      <c r="B16" s="101"/>
      <c r="C16" s="101"/>
      <c r="D16" s="101"/>
      <c r="E16" s="101"/>
      <c r="F16" s="101"/>
      <c r="G16" s="101"/>
      <c r="H16" s="101"/>
      <c r="I16" s="101"/>
      <c r="J16" s="100"/>
      <c r="P16" s="96"/>
      <c r="Q16" s="99"/>
      <c r="R16" s="99"/>
    </row>
    <row r="17" spans="13:18" x14ac:dyDescent="0.2">
      <c r="Q17" s="99"/>
      <c r="R17" s="99"/>
    </row>
    <row r="18" spans="13:18" x14ac:dyDescent="0.2">
      <c r="N18" s="96"/>
      <c r="O18" s="96"/>
      <c r="P18" s="96"/>
      <c r="Q18" s="99"/>
      <c r="R18" s="99"/>
    </row>
    <row r="19" spans="13:18" x14ac:dyDescent="0.2">
      <c r="N19" s="96"/>
      <c r="O19" s="96"/>
      <c r="P19" s="96"/>
    </row>
    <row r="20" spans="13:18" ht="19" x14ac:dyDescent="0.25">
      <c r="M20" s="98" t="s">
        <v>113</v>
      </c>
      <c r="N20" s="99"/>
      <c r="O20" s="94"/>
      <c r="P20" s="96"/>
    </row>
    <row r="21" spans="13:18" x14ac:dyDescent="0.2">
      <c r="M21" s="94" t="s">
        <v>174</v>
      </c>
      <c r="N21" s="97"/>
      <c r="O21" s="94"/>
      <c r="P21" s="96"/>
    </row>
    <row r="22" spans="13:18" x14ac:dyDescent="0.2">
      <c r="N22" s="99"/>
      <c r="O22" s="94"/>
      <c r="P22" s="96"/>
    </row>
    <row r="23" spans="13:18" x14ac:dyDescent="0.2">
      <c r="N23" s="99"/>
      <c r="O23" s="96"/>
    </row>
    <row r="24" spans="13:18" x14ac:dyDescent="0.2">
      <c r="N24" s="99"/>
      <c r="O24" s="96"/>
    </row>
    <row r="25" spans="13:18" x14ac:dyDescent="0.2">
      <c r="N25" s="96"/>
      <c r="O25" s="96"/>
    </row>
    <row r="26" spans="13:18" x14ac:dyDescent="0.2">
      <c r="N26" s="99"/>
      <c r="O26" s="96"/>
    </row>
    <row r="27" spans="13:18" x14ac:dyDescent="0.2">
      <c r="N27" s="99"/>
      <c r="O27" s="96"/>
    </row>
    <row r="28" spans="13:18" x14ac:dyDescent="0.2">
      <c r="N28" s="99"/>
    </row>
    <row r="29" spans="13:18" x14ac:dyDescent="0.2">
      <c r="N29" s="96"/>
    </row>
    <row r="30" spans="13:18" x14ac:dyDescent="0.2">
      <c r="N30" s="130"/>
    </row>
  </sheetData>
  <mergeCells count="1">
    <mergeCell ref="M12:S1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956CE-2CD1-EB4A-9A0A-2F19952F66F1}">
  <dimension ref="A1:T43"/>
  <sheetViews>
    <sheetView workbookViewId="0"/>
  </sheetViews>
  <sheetFormatPr baseColWidth="10" defaultColWidth="11" defaultRowHeight="16" outlineLevelCol="1" x14ac:dyDescent="0.2"/>
  <cols>
    <col min="1" max="1" width="4.5" customWidth="1"/>
    <col min="2" max="3" width="10.83203125" customWidth="1"/>
    <col min="4" max="4" width="13" customWidth="1"/>
    <col min="5" max="10" width="10.83203125" customWidth="1"/>
    <col min="11" max="11" width="10.5" customWidth="1"/>
    <col min="12" max="12" width="11.1640625" bestFit="1" customWidth="1"/>
    <col min="13" max="13" width="13.5" style="94" hidden="1" customWidth="1" outlineLevel="1"/>
    <col min="14" max="19" width="10.83203125" hidden="1" customWidth="1" outlineLevel="1"/>
    <col min="20" max="20" width="10.83203125" customWidth="1" collapsed="1"/>
  </cols>
  <sheetData>
    <row r="1" spans="1:16" ht="19" x14ac:dyDescent="0.25">
      <c r="A1" s="129" t="s">
        <v>211</v>
      </c>
      <c r="B1" s="128"/>
      <c r="C1" s="127"/>
      <c r="D1" s="127"/>
      <c r="E1" s="127"/>
      <c r="F1" s="126"/>
      <c r="G1" s="126"/>
      <c r="H1" s="126"/>
      <c r="I1" s="126"/>
      <c r="J1" s="125"/>
      <c r="L1" s="124" t="s">
        <v>125</v>
      </c>
    </row>
    <row r="2" spans="1:16" x14ac:dyDescent="0.2">
      <c r="A2" s="106"/>
      <c r="B2" s="105"/>
      <c r="C2" s="105"/>
      <c r="D2" s="105"/>
      <c r="E2" s="105"/>
      <c r="F2" s="105"/>
      <c r="G2" s="105"/>
      <c r="H2" s="105"/>
      <c r="I2" s="105"/>
      <c r="J2" s="104"/>
    </row>
    <row r="3" spans="1:16" x14ac:dyDescent="0.2">
      <c r="A3" s="106"/>
      <c r="B3" s="105" t="s">
        <v>210</v>
      </c>
      <c r="C3" s="105"/>
      <c r="D3" s="105"/>
      <c r="E3" s="105"/>
      <c r="F3" s="105"/>
      <c r="G3" s="105"/>
      <c r="H3" s="105"/>
      <c r="I3" s="105"/>
      <c r="J3" s="104"/>
      <c r="M3" s="115" t="s">
        <v>209</v>
      </c>
    </row>
    <row r="4" spans="1:16" x14ac:dyDescent="0.2">
      <c r="A4" s="106"/>
      <c r="B4" s="105"/>
      <c r="C4" s="105"/>
      <c r="D4" s="105"/>
      <c r="E4" s="105"/>
      <c r="F4" s="105"/>
      <c r="G4" s="105"/>
      <c r="H4" s="105"/>
      <c r="I4" s="105"/>
      <c r="J4" s="104"/>
    </row>
    <row r="5" spans="1:16" x14ac:dyDescent="0.2">
      <c r="A5" s="106"/>
      <c r="B5" s="105"/>
      <c r="C5" s="153" t="s">
        <v>208</v>
      </c>
      <c r="D5" s="164" t="s">
        <v>207</v>
      </c>
      <c r="E5" s="163" t="s">
        <v>206</v>
      </c>
      <c r="F5" s="105"/>
      <c r="G5" s="105"/>
      <c r="H5" s="105"/>
      <c r="I5" s="105"/>
      <c r="J5" s="104"/>
      <c r="M5" s="162" t="s">
        <v>205</v>
      </c>
      <c r="N5" s="161" t="s">
        <v>204</v>
      </c>
      <c r="O5" s="94" t="s">
        <v>157</v>
      </c>
      <c r="P5" s="96"/>
    </row>
    <row r="6" spans="1:16" x14ac:dyDescent="0.2">
      <c r="A6" s="106"/>
      <c r="B6" s="105"/>
      <c r="C6" s="120" t="s">
        <v>203</v>
      </c>
      <c r="D6" s="160" t="s">
        <v>202</v>
      </c>
      <c r="E6" s="159" t="s">
        <v>201</v>
      </c>
      <c r="F6" s="105"/>
      <c r="G6" s="105"/>
      <c r="H6" s="105"/>
      <c r="I6" s="105"/>
      <c r="J6" s="104"/>
      <c r="M6" s="156" t="s">
        <v>5</v>
      </c>
      <c r="N6" s="140">
        <f>SUMPRODUCT(D7:D11,E7:E11)</f>
        <v>1.298</v>
      </c>
      <c r="O6" s="94"/>
      <c r="P6" s="96"/>
    </row>
    <row r="7" spans="1:16" x14ac:dyDescent="0.2">
      <c r="A7" s="106"/>
      <c r="B7" s="105"/>
      <c r="C7" s="122" t="s">
        <v>5</v>
      </c>
      <c r="D7" s="158">
        <v>1.5</v>
      </c>
      <c r="E7" s="157">
        <v>0.75</v>
      </c>
      <c r="F7" s="105"/>
      <c r="G7" s="105"/>
      <c r="H7" s="105"/>
      <c r="I7" s="105"/>
      <c r="J7" s="104"/>
      <c r="M7" s="156" t="s">
        <v>6</v>
      </c>
      <c r="N7" s="140">
        <f>SUMPRODUCT(D8:D11,E8:E11)/SUM(E8:E11)</f>
        <v>0.69200000000000006</v>
      </c>
      <c r="O7" s="94"/>
      <c r="P7" s="96"/>
    </row>
    <row r="8" spans="1:16" x14ac:dyDescent="0.2">
      <c r="A8" s="106"/>
      <c r="B8" s="105"/>
      <c r="C8" s="122" t="s">
        <v>6</v>
      </c>
      <c r="D8" s="158">
        <v>0.9</v>
      </c>
      <c r="E8" s="157">
        <v>0.15</v>
      </c>
      <c r="F8" s="105"/>
      <c r="G8" s="105"/>
      <c r="H8" s="105"/>
      <c r="I8" s="105"/>
      <c r="J8" s="104"/>
      <c r="M8" s="156" t="s">
        <v>200</v>
      </c>
      <c r="N8" s="140">
        <f>SUMPRODUCT(D9:D11,E9:E11)/SUM(E9:E11)</f>
        <v>0.38</v>
      </c>
      <c r="O8" s="94"/>
      <c r="P8" s="96"/>
    </row>
    <row r="9" spans="1:16" x14ac:dyDescent="0.2">
      <c r="A9" s="106"/>
      <c r="B9" s="105"/>
      <c r="C9" s="122" t="s">
        <v>7</v>
      </c>
      <c r="D9" s="158">
        <v>0.6</v>
      </c>
      <c r="E9" s="157">
        <v>0.05</v>
      </c>
      <c r="F9" s="105"/>
      <c r="G9" s="105"/>
      <c r="H9" s="105"/>
      <c r="I9" s="105"/>
      <c r="J9" s="104"/>
      <c r="M9" s="156" t="s">
        <v>39</v>
      </c>
      <c r="N9" s="140">
        <f>SUMPRODUCT(D10:D11,E10:E11)/SUM(E10:E11)</f>
        <v>0.16</v>
      </c>
      <c r="O9" s="94"/>
      <c r="P9" s="96"/>
    </row>
    <row r="10" spans="1:16" x14ac:dyDescent="0.2">
      <c r="A10" s="106"/>
      <c r="B10" s="105"/>
      <c r="C10" s="122" t="s">
        <v>39</v>
      </c>
      <c r="D10" s="158">
        <v>0.2</v>
      </c>
      <c r="E10" s="157">
        <v>0.04</v>
      </c>
      <c r="F10" s="105"/>
      <c r="G10" s="105"/>
      <c r="H10" s="105"/>
      <c r="I10" s="105"/>
      <c r="J10" s="104"/>
      <c r="M10" s="156" t="s">
        <v>40</v>
      </c>
      <c r="N10" s="140">
        <f>D11</f>
        <v>0</v>
      </c>
      <c r="O10" s="94"/>
      <c r="P10" s="96"/>
    </row>
    <row r="11" spans="1:16" x14ac:dyDescent="0.2">
      <c r="A11" s="106"/>
      <c r="B11" s="105"/>
      <c r="C11" s="120" t="s">
        <v>40</v>
      </c>
      <c r="D11" s="155">
        <v>0</v>
      </c>
      <c r="E11" s="154">
        <v>0.01</v>
      </c>
      <c r="F11" s="105"/>
      <c r="G11" s="105"/>
      <c r="H11" s="105"/>
      <c r="I11" s="105"/>
      <c r="J11" s="104"/>
      <c r="N11" s="140"/>
      <c r="O11" s="94"/>
      <c r="P11" s="96"/>
    </row>
    <row r="12" spans="1:16" x14ac:dyDescent="0.2">
      <c r="A12" s="106"/>
      <c r="B12" s="105"/>
      <c r="C12" s="105"/>
      <c r="D12" s="105"/>
      <c r="E12" s="105"/>
      <c r="F12" s="105"/>
      <c r="G12" s="105"/>
      <c r="H12" s="105"/>
      <c r="I12" s="105"/>
      <c r="J12" s="104"/>
      <c r="M12" s="115" t="s">
        <v>199</v>
      </c>
      <c r="N12" s="140"/>
      <c r="O12" s="94"/>
      <c r="P12" s="96"/>
    </row>
    <row r="13" spans="1:16" x14ac:dyDescent="0.2">
      <c r="A13" s="106"/>
      <c r="B13" s="105"/>
      <c r="C13" s="153"/>
      <c r="D13" s="330" t="s">
        <v>198</v>
      </c>
      <c r="E13" s="105"/>
      <c r="F13" s="105"/>
      <c r="G13" s="105"/>
      <c r="H13" s="105"/>
      <c r="I13" s="105"/>
      <c r="J13" s="104"/>
      <c r="N13" s="140"/>
      <c r="O13" s="94"/>
      <c r="P13" s="96"/>
    </row>
    <row r="14" spans="1:16" x14ac:dyDescent="0.2">
      <c r="A14" s="106"/>
      <c r="B14" s="105"/>
      <c r="C14" s="122"/>
      <c r="D14" s="331"/>
      <c r="E14" s="105"/>
      <c r="F14" s="105"/>
      <c r="G14" s="105"/>
      <c r="H14" s="105"/>
      <c r="I14" s="105"/>
      <c r="J14" s="104"/>
      <c r="M14" s="152" t="s">
        <v>195</v>
      </c>
      <c r="N14" s="151" t="s">
        <v>197</v>
      </c>
      <c r="O14" s="150" t="s">
        <v>196</v>
      </c>
      <c r="P14" s="96"/>
    </row>
    <row r="15" spans="1:16" x14ac:dyDescent="0.2">
      <c r="A15" s="106"/>
      <c r="B15" s="105"/>
      <c r="C15" s="122"/>
      <c r="D15" s="331"/>
      <c r="E15" s="105"/>
      <c r="F15" s="105"/>
      <c r="G15" s="105"/>
      <c r="H15" s="105"/>
      <c r="I15" s="105"/>
      <c r="J15" s="104"/>
      <c r="M15" s="148">
        <v>2007</v>
      </c>
      <c r="N15" s="147">
        <f>D17</f>
        <v>3000</v>
      </c>
      <c r="O15" s="147">
        <f>N15*N10</f>
        <v>0</v>
      </c>
      <c r="P15" s="96"/>
    </row>
    <row r="16" spans="1:16" x14ac:dyDescent="0.2">
      <c r="A16" s="106"/>
      <c r="B16" s="105"/>
      <c r="C16" s="120" t="s">
        <v>195</v>
      </c>
      <c r="D16" s="332"/>
      <c r="E16" s="105"/>
      <c r="F16" s="105"/>
      <c r="G16" s="105"/>
      <c r="H16" s="105"/>
      <c r="I16" s="105"/>
      <c r="J16" s="104"/>
      <c r="M16" s="148">
        <v>2008</v>
      </c>
      <c r="N16" s="147">
        <f>D18</f>
        <v>10000</v>
      </c>
      <c r="O16" s="147">
        <f>N16*N9</f>
        <v>1600</v>
      </c>
      <c r="P16" s="96"/>
    </row>
    <row r="17" spans="1:19" x14ac:dyDescent="0.2">
      <c r="A17" s="106"/>
      <c r="B17" s="105"/>
      <c r="C17" s="122">
        <v>2007</v>
      </c>
      <c r="D17" s="149">
        <v>3000</v>
      </c>
      <c r="E17" s="105"/>
      <c r="F17" s="105"/>
      <c r="G17" s="105"/>
      <c r="H17" s="105"/>
      <c r="I17" s="105"/>
      <c r="J17" s="104"/>
      <c r="M17" s="148">
        <v>2009</v>
      </c>
      <c r="N17" s="147">
        <f>D19</f>
        <v>30000</v>
      </c>
      <c r="O17" s="147">
        <f>N17*N8</f>
        <v>11400</v>
      </c>
      <c r="P17" s="96"/>
    </row>
    <row r="18" spans="1:19" x14ac:dyDescent="0.2">
      <c r="A18" s="106"/>
      <c r="B18" s="105"/>
      <c r="C18" s="122">
        <v>2008</v>
      </c>
      <c r="D18" s="143">
        <v>10000</v>
      </c>
      <c r="E18" s="105"/>
      <c r="F18" s="105"/>
      <c r="G18" s="105"/>
      <c r="H18" s="105"/>
      <c r="I18" s="105"/>
      <c r="J18" s="104"/>
      <c r="M18" s="148">
        <v>2010</v>
      </c>
      <c r="N18" s="147">
        <f>D20</f>
        <v>45000</v>
      </c>
      <c r="O18" s="147">
        <f>N18*N7</f>
        <v>31140.000000000004</v>
      </c>
      <c r="P18" s="96"/>
    </row>
    <row r="19" spans="1:19" ht="16.25" customHeight="1" thickBot="1" x14ac:dyDescent="0.25">
      <c r="A19" s="106"/>
      <c r="B19" s="105"/>
      <c r="C19" s="122">
        <v>2009</v>
      </c>
      <c r="D19" s="143">
        <v>30000</v>
      </c>
      <c r="E19" s="105"/>
      <c r="F19" s="105"/>
      <c r="G19" s="105"/>
      <c r="H19" s="105"/>
      <c r="I19" s="105"/>
      <c r="J19" s="104"/>
      <c r="M19" s="148" t="s">
        <v>194</v>
      </c>
      <c r="N19" s="147">
        <f>D21+D22</f>
        <v>220000</v>
      </c>
      <c r="O19" s="147">
        <f>N19*N6</f>
        <v>285560</v>
      </c>
      <c r="P19" s="341" t="s">
        <v>193</v>
      </c>
      <c r="Q19" s="341"/>
      <c r="R19" s="341"/>
      <c r="S19" s="341"/>
    </row>
    <row r="20" spans="1:19" ht="17" thickBot="1" x14ac:dyDescent="0.25">
      <c r="A20" s="106"/>
      <c r="B20" s="105"/>
      <c r="C20" s="122">
        <v>2010</v>
      </c>
      <c r="D20" s="143">
        <v>45000</v>
      </c>
      <c r="E20" s="105"/>
      <c r="F20" s="105"/>
      <c r="G20" s="105"/>
      <c r="H20" s="105"/>
      <c r="I20" s="105"/>
      <c r="J20" s="104"/>
      <c r="M20" s="146" t="s">
        <v>102</v>
      </c>
      <c r="N20" s="145"/>
      <c r="O20" s="144">
        <f>SUM(O15:O19)</f>
        <v>329700</v>
      </c>
      <c r="P20" s="341"/>
      <c r="Q20" s="341"/>
      <c r="R20" s="341"/>
      <c r="S20" s="341"/>
    </row>
    <row r="21" spans="1:19" x14ac:dyDescent="0.2">
      <c r="A21" s="106"/>
      <c r="B21" s="105"/>
      <c r="C21" s="122">
        <v>2011</v>
      </c>
      <c r="D21" s="143">
        <v>100000</v>
      </c>
      <c r="E21" s="105"/>
      <c r="F21" s="105"/>
      <c r="G21" s="105"/>
      <c r="H21" s="105"/>
      <c r="I21" s="105"/>
      <c r="J21" s="104"/>
      <c r="N21" s="140"/>
      <c r="O21" s="94"/>
      <c r="P21" s="341"/>
      <c r="Q21" s="341"/>
      <c r="R21" s="341"/>
      <c r="S21" s="341"/>
    </row>
    <row r="22" spans="1:19" x14ac:dyDescent="0.2">
      <c r="A22" s="106"/>
      <c r="B22" s="105"/>
      <c r="C22" s="120">
        <v>2012</v>
      </c>
      <c r="D22" s="142">
        <v>120000</v>
      </c>
      <c r="E22" s="105"/>
      <c r="F22" s="105"/>
      <c r="G22" s="105"/>
      <c r="H22" s="105"/>
      <c r="I22" s="105"/>
      <c r="J22" s="104"/>
      <c r="N22" s="140"/>
      <c r="O22" s="94"/>
      <c r="P22" s="341"/>
      <c r="Q22" s="341"/>
      <c r="R22" s="341"/>
      <c r="S22" s="341"/>
    </row>
    <row r="23" spans="1:19" x14ac:dyDescent="0.2">
      <c r="A23" s="106"/>
      <c r="B23" s="105"/>
      <c r="C23" s="105"/>
      <c r="D23" s="105"/>
      <c r="E23" s="105"/>
      <c r="F23" s="105"/>
      <c r="G23" s="105"/>
      <c r="H23" s="105"/>
      <c r="I23" s="105"/>
      <c r="J23" s="104"/>
      <c r="N23" s="140"/>
      <c r="O23" s="94"/>
      <c r="P23" s="96"/>
    </row>
    <row r="24" spans="1:19" x14ac:dyDescent="0.2">
      <c r="A24" s="106"/>
      <c r="B24" s="105" t="s">
        <v>192</v>
      </c>
      <c r="C24" s="105"/>
      <c r="D24" s="105"/>
      <c r="E24" s="105"/>
      <c r="F24" s="105"/>
      <c r="G24" s="105"/>
      <c r="H24" s="105"/>
      <c r="I24" s="105"/>
      <c r="J24" s="104"/>
      <c r="N24" s="140"/>
      <c r="O24" s="94"/>
      <c r="P24" s="96"/>
    </row>
    <row r="25" spans="1:19" ht="19" x14ac:dyDescent="0.25">
      <c r="A25" s="106"/>
      <c r="B25" s="141"/>
      <c r="C25" s="141"/>
      <c r="D25" s="141"/>
      <c r="E25" s="141"/>
      <c r="F25" s="105"/>
      <c r="G25" s="105"/>
      <c r="H25" s="105"/>
      <c r="I25" s="105"/>
      <c r="J25" s="104"/>
      <c r="M25" s="98" t="s">
        <v>136</v>
      </c>
      <c r="N25" s="140"/>
      <c r="O25" s="94"/>
      <c r="P25" s="96"/>
    </row>
    <row r="26" spans="1:19" ht="16" customHeight="1" x14ac:dyDescent="0.2">
      <c r="A26" s="106"/>
      <c r="B26" s="340" t="s">
        <v>191</v>
      </c>
      <c r="C26" s="340"/>
      <c r="D26" s="340"/>
      <c r="E26" s="340"/>
      <c r="F26" s="340"/>
      <c r="G26" s="340"/>
      <c r="H26" s="340"/>
      <c r="I26" s="340"/>
      <c r="J26" s="104"/>
      <c r="M26" s="94" t="s">
        <v>134</v>
      </c>
      <c r="N26" s="140"/>
      <c r="O26" s="94"/>
      <c r="P26" s="96"/>
    </row>
    <row r="27" spans="1:19" x14ac:dyDescent="0.2">
      <c r="A27" s="106"/>
      <c r="B27" s="340"/>
      <c r="C27" s="340"/>
      <c r="D27" s="340"/>
      <c r="E27" s="340"/>
      <c r="F27" s="340"/>
      <c r="G27" s="340"/>
      <c r="H27" s="340"/>
      <c r="I27" s="340"/>
      <c r="J27" s="104"/>
      <c r="N27" s="140"/>
      <c r="O27" s="94"/>
      <c r="P27" s="96"/>
    </row>
    <row r="28" spans="1:19" ht="17" thickBot="1" x14ac:dyDescent="0.25">
      <c r="A28" s="106"/>
      <c r="B28" s="105"/>
      <c r="C28" s="112"/>
      <c r="D28" s="105"/>
      <c r="E28" s="105"/>
      <c r="F28" s="105"/>
      <c r="G28" s="105"/>
      <c r="H28" s="105"/>
      <c r="I28" s="105"/>
      <c r="J28" s="104"/>
      <c r="P28" s="131"/>
      <c r="Q28" s="99"/>
      <c r="R28" s="99"/>
    </row>
    <row r="29" spans="1:19" ht="17" thickBot="1" x14ac:dyDescent="0.25">
      <c r="A29" s="103" t="s">
        <v>124</v>
      </c>
      <c r="B29" s="102"/>
      <c r="C29" s="101"/>
      <c r="D29" s="101"/>
      <c r="E29" s="101"/>
      <c r="F29" s="101"/>
      <c r="G29" s="101"/>
      <c r="H29" s="101"/>
      <c r="I29" s="101"/>
      <c r="J29" s="100"/>
      <c r="P29" s="96"/>
      <c r="Q29" s="99"/>
      <c r="R29" s="99"/>
    </row>
    <row r="30" spans="1:19" x14ac:dyDescent="0.2">
      <c r="Q30" s="99"/>
      <c r="R30" s="99"/>
    </row>
    <row r="31" spans="1:19" x14ac:dyDescent="0.2">
      <c r="N31" s="96"/>
      <c r="O31" s="96"/>
      <c r="P31" s="96"/>
      <c r="Q31" s="99"/>
      <c r="R31" s="99"/>
    </row>
    <row r="32" spans="1:19" x14ac:dyDescent="0.2">
      <c r="N32" s="96"/>
      <c r="O32" s="96"/>
      <c r="P32" s="96"/>
    </row>
    <row r="33" spans="14:16" x14ac:dyDescent="0.2">
      <c r="N33" s="99"/>
      <c r="O33" s="94"/>
      <c r="P33" s="96"/>
    </row>
    <row r="34" spans="14:16" x14ac:dyDescent="0.2">
      <c r="N34" s="97"/>
      <c r="O34" s="94"/>
      <c r="P34" s="96"/>
    </row>
    <row r="35" spans="14:16" x14ac:dyDescent="0.2">
      <c r="N35" s="99"/>
      <c r="O35" s="94"/>
      <c r="P35" s="96"/>
    </row>
    <row r="36" spans="14:16" x14ac:dyDescent="0.2">
      <c r="N36" s="99"/>
      <c r="O36" s="96"/>
    </row>
    <row r="37" spans="14:16" x14ac:dyDescent="0.2">
      <c r="N37" s="99"/>
      <c r="O37" s="96"/>
    </row>
    <row r="38" spans="14:16" x14ac:dyDescent="0.2">
      <c r="N38" s="96"/>
      <c r="O38" s="96"/>
    </row>
    <row r="39" spans="14:16" x14ac:dyDescent="0.2">
      <c r="N39" s="99"/>
      <c r="O39" s="96"/>
    </row>
    <row r="40" spans="14:16" x14ac:dyDescent="0.2">
      <c r="N40" s="99"/>
      <c r="O40" s="96"/>
    </row>
    <row r="41" spans="14:16" x14ac:dyDescent="0.2">
      <c r="N41" s="99"/>
    </row>
    <row r="42" spans="14:16" x14ac:dyDescent="0.2">
      <c r="N42" s="96"/>
    </row>
    <row r="43" spans="14:16" x14ac:dyDescent="0.2">
      <c r="N43" s="130"/>
    </row>
  </sheetData>
  <mergeCells count="3">
    <mergeCell ref="D13:D16"/>
    <mergeCell ref="B26:I27"/>
    <mergeCell ref="P19:S2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2AA1-F046-D449-908A-9EF465C9664B}">
  <dimension ref="A1:T33"/>
  <sheetViews>
    <sheetView workbookViewId="0"/>
  </sheetViews>
  <sheetFormatPr baseColWidth="10" defaultColWidth="11" defaultRowHeight="16" outlineLevelCol="1" x14ac:dyDescent="0.2"/>
  <cols>
    <col min="1" max="1" width="4.5" customWidth="1"/>
    <col min="2" max="4" width="10.83203125" customWidth="1"/>
    <col min="5" max="5" width="13.6640625" customWidth="1"/>
    <col min="6" max="10" width="10.83203125" customWidth="1"/>
    <col min="11" max="11" width="10.5" customWidth="1"/>
    <col min="12" max="12" width="11.1640625" bestFit="1" customWidth="1"/>
    <col min="13" max="13" width="12.33203125" style="94" hidden="1" customWidth="1" outlineLevel="1"/>
    <col min="14" max="14" width="12.33203125" hidden="1" customWidth="1" outlineLevel="1"/>
    <col min="15" max="15" width="14.6640625" hidden="1" customWidth="1" outlineLevel="1"/>
    <col min="16" max="19" width="10.83203125" hidden="1" customWidth="1" outlineLevel="1"/>
    <col min="20" max="20" width="10.83203125" customWidth="1" collapsed="1"/>
  </cols>
  <sheetData>
    <row r="1" spans="1:17" ht="19" x14ac:dyDescent="0.25">
      <c r="A1" s="129" t="s">
        <v>226</v>
      </c>
      <c r="B1" s="128"/>
      <c r="C1" s="127"/>
      <c r="D1" s="127"/>
      <c r="E1" s="127"/>
      <c r="F1" s="126"/>
      <c r="G1" s="126"/>
      <c r="H1" s="126"/>
      <c r="I1" s="126"/>
      <c r="J1" s="125"/>
      <c r="L1" s="124" t="s">
        <v>125</v>
      </c>
    </row>
    <row r="2" spans="1:17" x14ac:dyDescent="0.2">
      <c r="A2" s="106"/>
      <c r="B2" s="105"/>
      <c r="C2" s="105"/>
      <c r="D2" s="105"/>
      <c r="E2" s="105"/>
      <c r="F2" s="105"/>
      <c r="G2" s="105"/>
      <c r="H2" s="105"/>
      <c r="I2" s="105"/>
      <c r="J2" s="104"/>
    </row>
    <row r="3" spans="1:17" x14ac:dyDescent="0.2">
      <c r="A3" s="106"/>
      <c r="B3" s="105" t="s">
        <v>210</v>
      </c>
      <c r="C3" s="105"/>
      <c r="D3" s="105"/>
      <c r="E3" s="105"/>
      <c r="F3" s="105"/>
      <c r="G3" s="105"/>
      <c r="H3" s="105"/>
      <c r="I3" s="105"/>
      <c r="J3" s="104"/>
      <c r="M3" s="94" t="s">
        <v>225</v>
      </c>
      <c r="P3" s="170">
        <f>1-D11-E11</f>
        <v>0.79999999999999993</v>
      </c>
    </row>
    <row r="4" spans="1:17" x14ac:dyDescent="0.2">
      <c r="A4" s="106"/>
      <c r="B4" s="105"/>
      <c r="C4" s="105"/>
      <c r="D4" s="105"/>
      <c r="E4" s="105"/>
      <c r="F4" s="105"/>
      <c r="G4" s="105"/>
      <c r="H4" s="105"/>
      <c r="I4" s="105"/>
      <c r="J4" s="104"/>
      <c r="M4" s="94" t="s">
        <v>224</v>
      </c>
      <c r="P4" s="170">
        <f>1-D12-E12</f>
        <v>0.78</v>
      </c>
    </row>
    <row r="5" spans="1:17" x14ac:dyDescent="0.2">
      <c r="A5" s="106"/>
      <c r="B5" s="105"/>
      <c r="C5" s="330" t="s">
        <v>170</v>
      </c>
      <c r="D5" s="333" t="s">
        <v>223</v>
      </c>
      <c r="E5" s="342" t="s">
        <v>222</v>
      </c>
      <c r="F5" s="336" t="s">
        <v>221</v>
      </c>
      <c r="G5" s="105"/>
      <c r="H5" s="105"/>
      <c r="I5" s="105"/>
      <c r="J5" s="104"/>
    </row>
    <row r="6" spans="1:17" x14ac:dyDescent="0.2">
      <c r="A6" s="106"/>
      <c r="B6" s="105"/>
      <c r="C6" s="331"/>
      <c r="D6" s="334"/>
      <c r="E6" s="343"/>
      <c r="F6" s="337"/>
      <c r="G6" s="105"/>
      <c r="H6" s="105"/>
      <c r="I6" s="105"/>
      <c r="J6" s="104"/>
      <c r="M6" s="94" t="s">
        <v>220</v>
      </c>
      <c r="N6">
        <f>F11*P3</f>
        <v>0.51200000000000001</v>
      </c>
      <c r="O6" t="s">
        <v>219</v>
      </c>
    </row>
    <row r="7" spans="1:17" x14ac:dyDescent="0.2">
      <c r="A7" s="106"/>
      <c r="B7" s="105"/>
      <c r="C7" s="331"/>
      <c r="D7" s="334"/>
      <c r="E7" s="343"/>
      <c r="F7" s="337"/>
      <c r="G7" s="105"/>
      <c r="H7" s="105"/>
      <c r="I7" s="105"/>
      <c r="J7" s="104"/>
      <c r="M7" s="94" t="s">
        <v>218</v>
      </c>
      <c r="N7">
        <f>F12*P4</f>
        <v>0.52260000000000006</v>
      </c>
      <c r="O7" t="s">
        <v>217</v>
      </c>
    </row>
    <row r="8" spans="1:17" ht="17" thickBot="1" x14ac:dyDescent="0.25">
      <c r="A8" s="106"/>
      <c r="B8" s="105"/>
      <c r="C8" s="332"/>
      <c r="D8" s="335"/>
      <c r="E8" s="344"/>
      <c r="F8" s="338"/>
      <c r="G8" s="105"/>
      <c r="H8" s="105"/>
      <c r="I8" s="105"/>
      <c r="J8" s="104"/>
    </row>
    <row r="9" spans="1:17" ht="17" thickBot="1" x14ac:dyDescent="0.25">
      <c r="A9" s="106"/>
      <c r="B9" s="105"/>
      <c r="C9" s="122" t="s">
        <v>5</v>
      </c>
      <c r="D9" s="167">
        <v>0.1</v>
      </c>
      <c r="E9" s="167">
        <v>0.03</v>
      </c>
      <c r="F9" s="166">
        <v>0.53</v>
      </c>
      <c r="G9" s="105"/>
      <c r="H9" s="105"/>
      <c r="I9" s="105"/>
      <c r="J9" s="104"/>
      <c r="M9" s="110" t="s">
        <v>216</v>
      </c>
      <c r="N9" s="169"/>
      <c r="O9" s="169"/>
      <c r="P9" s="168">
        <f>(N7-N6)/(F12-F11)</f>
        <v>0.35333333333333483</v>
      </c>
      <c r="Q9" t="s">
        <v>215</v>
      </c>
    </row>
    <row r="10" spans="1:17" x14ac:dyDescent="0.2">
      <c r="A10" s="106"/>
      <c r="B10" s="105"/>
      <c r="C10" s="122" t="s">
        <v>6</v>
      </c>
      <c r="D10" s="167">
        <v>0.13</v>
      </c>
      <c r="E10" s="167">
        <v>0.05</v>
      </c>
      <c r="F10" s="166">
        <v>0.61</v>
      </c>
      <c r="G10" s="105"/>
      <c r="H10" s="105"/>
      <c r="I10" s="105"/>
      <c r="J10" s="104"/>
    </row>
    <row r="11" spans="1:17" x14ac:dyDescent="0.2">
      <c r="A11" s="106"/>
      <c r="B11" s="105"/>
      <c r="C11" s="122" t="s">
        <v>7</v>
      </c>
      <c r="D11" s="167">
        <v>0.15</v>
      </c>
      <c r="E11" s="167">
        <v>0.05</v>
      </c>
      <c r="F11" s="166">
        <v>0.64</v>
      </c>
      <c r="G11" s="105"/>
      <c r="H11" s="105"/>
      <c r="I11" s="105"/>
      <c r="J11" s="104"/>
    </row>
    <row r="12" spans="1:17" x14ac:dyDescent="0.2">
      <c r="A12" s="106"/>
      <c r="B12" s="105"/>
      <c r="C12" s="122" t="s">
        <v>39</v>
      </c>
      <c r="D12" s="167">
        <v>0.16</v>
      </c>
      <c r="E12" s="167">
        <v>0.06</v>
      </c>
      <c r="F12" s="166">
        <v>0.67</v>
      </c>
      <c r="G12" s="105"/>
      <c r="H12" s="105"/>
      <c r="I12" s="105"/>
      <c r="J12" s="104"/>
    </row>
    <row r="13" spans="1:17" x14ac:dyDescent="0.2">
      <c r="A13" s="106"/>
      <c r="B13" s="105"/>
      <c r="C13" s="122" t="s">
        <v>214</v>
      </c>
      <c r="D13" s="167">
        <v>0.17</v>
      </c>
      <c r="E13" s="167">
        <v>0.06</v>
      </c>
      <c r="F13" s="166">
        <v>0.68</v>
      </c>
      <c r="G13" s="105"/>
      <c r="H13" s="105"/>
      <c r="I13" s="105"/>
      <c r="J13" s="104"/>
    </row>
    <row r="14" spans="1:17" x14ac:dyDescent="0.2">
      <c r="A14" s="106"/>
      <c r="B14" s="105"/>
      <c r="C14" s="120" t="s">
        <v>40</v>
      </c>
      <c r="D14" s="165">
        <v>0.17499999999999999</v>
      </c>
      <c r="E14" s="165">
        <v>6.5000000000000002E-2</v>
      </c>
      <c r="F14" s="118">
        <v>0.69</v>
      </c>
      <c r="G14" s="105"/>
      <c r="H14" s="105"/>
      <c r="I14" s="105"/>
      <c r="J14" s="104"/>
    </row>
    <row r="15" spans="1:17" ht="19" x14ac:dyDescent="0.25">
      <c r="A15" s="106"/>
      <c r="B15" s="105"/>
      <c r="C15" s="105"/>
      <c r="D15" s="105"/>
      <c r="E15" s="105"/>
      <c r="F15" s="105"/>
      <c r="G15" s="105"/>
      <c r="H15" s="105"/>
      <c r="I15" s="105"/>
      <c r="J15" s="104"/>
      <c r="M15" s="98" t="s">
        <v>136</v>
      </c>
    </row>
    <row r="16" spans="1:17" x14ac:dyDescent="0.2">
      <c r="A16" s="106"/>
      <c r="B16" s="134" t="s">
        <v>213</v>
      </c>
      <c r="C16" s="105"/>
      <c r="D16" s="105"/>
      <c r="E16" s="105"/>
      <c r="F16" s="105"/>
      <c r="G16" s="105"/>
      <c r="H16" s="105"/>
      <c r="I16" s="105"/>
      <c r="J16" s="104"/>
      <c r="M16" s="94" t="s">
        <v>212</v>
      </c>
    </row>
    <row r="17" spans="1:15" ht="17" thickBot="1" x14ac:dyDescent="0.25">
      <c r="A17" s="106"/>
      <c r="B17" s="105"/>
      <c r="C17" s="112"/>
      <c r="D17" s="105"/>
      <c r="E17" s="105"/>
      <c r="F17" s="105"/>
      <c r="G17" s="105"/>
      <c r="H17" s="105"/>
      <c r="I17" s="105"/>
      <c r="J17" s="104"/>
    </row>
    <row r="18" spans="1:15" ht="17" thickBot="1" x14ac:dyDescent="0.25">
      <c r="A18" s="103" t="s">
        <v>124</v>
      </c>
      <c r="B18" s="102"/>
      <c r="C18" s="101"/>
      <c r="D18" s="101"/>
      <c r="E18" s="101"/>
      <c r="F18" s="101"/>
      <c r="G18" s="101"/>
      <c r="H18" s="101"/>
      <c r="I18" s="101"/>
      <c r="J18" s="100"/>
    </row>
    <row r="21" spans="1:15" x14ac:dyDescent="0.2">
      <c r="N21" s="96"/>
      <c r="O21" s="96"/>
    </row>
    <row r="22" spans="1:15" x14ac:dyDescent="0.2">
      <c r="N22" s="96"/>
      <c r="O22" s="96"/>
    </row>
    <row r="23" spans="1:15" x14ac:dyDescent="0.2">
      <c r="N23" s="99"/>
      <c r="O23" s="94"/>
    </row>
    <row r="24" spans="1:15" x14ac:dyDescent="0.2">
      <c r="N24" s="97"/>
      <c r="O24" s="94"/>
    </row>
    <row r="25" spans="1:15" x14ac:dyDescent="0.2">
      <c r="N25" s="99"/>
      <c r="O25" s="94"/>
    </row>
    <row r="26" spans="1:15" x14ac:dyDescent="0.2">
      <c r="N26" s="99"/>
      <c r="O26" s="96"/>
    </row>
    <row r="27" spans="1:15" x14ac:dyDescent="0.2">
      <c r="N27" s="99"/>
      <c r="O27" s="96"/>
    </row>
    <row r="28" spans="1:15" x14ac:dyDescent="0.2">
      <c r="N28" s="96"/>
      <c r="O28" s="96"/>
    </row>
    <row r="29" spans="1:15" x14ac:dyDescent="0.2">
      <c r="N29" s="99"/>
      <c r="O29" s="96"/>
    </row>
    <row r="30" spans="1:15" x14ac:dyDescent="0.2">
      <c r="N30" s="99"/>
      <c r="O30" s="96"/>
    </row>
    <row r="31" spans="1:15" x14ac:dyDescent="0.2">
      <c r="N31" s="99"/>
    </row>
    <row r="32" spans="1:15" x14ac:dyDescent="0.2">
      <c r="N32" s="96"/>
    </row>
    <row r="33" spans="14:14" x14ac:dyDescent="0.2">
      <c r="N33" s="130"/>
    </row>
  </sheetData>
  <mergeCells count="4">
    <mergeCell ref="E5:E8"/>
    <mergeCell ref="D5:D8"/>
    <mergeCell ref="C5:C8"/>
    <mergeCell ref="F5:F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6B8F5-B9E5-2A4C-A1CC-2902A36B7A74}">
  <dimension ref="A1:T46"/>
  <sheetViews>
    <sheetView zoomScaleNormal="100" workbookViewId="0"/>
  </sheetViews>
  <sheetFormatPr baseColWidth="10" defaultColWidth="11" defaultRowHeight="16" outlineLevelCol="1" x14ac:dyDescent="0.2"/>
  <cols>
    <col min="1" max="1" width="4.5" customWidth="1"/>
    <col min="2" max="10" width="10.83203125" customWidth="1"/>
    <col min="11" max="11" width="10.5" customWidth="1"/>
    <col min="12" max="12" width="11.1640625" bestFit="1" customWidth="1"/>
    <col min="13" max="13" width="16.83203125" style="94" hidden="1" customWidth="1" outlineLevel="1"/>
    <col min="14" max="19" width="10.83203125" hidden="1" customWidth="1" outlineLevel="1"/>
    <col min="20" max="20" width="10.83203125" customWidth="1" collapsed="1"/>
  </cols>
  <sheetData>
    <row r="1" spans="1:16" ht="19" x14ac:dyDescent="0.25">
      <c r="A1" s="129" t="s">
        <v>251</v>
      </c>
      <c r="B1" s="128"/>
      <c r="C1" s="127"/>
      <c r="D1" s="127"/>
      <c r="E1" s="127"/>
      <c r="F1" s="126"/>
      <c r="G1" s="126"/>
      <c r="H1" s="126"/>
      <c r="I1" s="126"/>
      <c r="J1" s="125"/>
      <c r="L1" s="124" t="s">
        <v>125</v>
      </c>
    </row>
    <row r="2" spans="1:16" x14ac:dyDescent="0.2">
      <c r="A2" s="106"/>
      <c r="B2" s="105"/>
      <c r="C2" s="105"/>
      <c r="D2" s="105"/>
      <c r="E2" s="105"/>
      <c r="F2" s="105"/>
      <c r="G2" s="105"/>
      <c r="H2" s="105"/>
      <c r="I2" s="105"/>
      <c r="J2" s="104"/>
    </row>
    <row r="3" spans="1:16" x14ac:dyDescent="0.2">
      <c r="A3" s="106"/>
      <c r="B3" s="105" t="s">
        <v>210</v>
      </c>
      <c r="C3" s="105"/>
      <c r="D3" s="105"/>
      <c r="E3" s="105"/>
      <c r="F3" s="105"/>
      <c r="G3" s="105"/>
      <c r="H3" s="105"/>
      <c r="I3" s="105"/>
      <c r="J3" s="104"/>
      <c r="M3" s="135" t="s">
        <v>188</v>
      </c>
    </row>
    <row r="4" spans="1:16" x14ac:dyDescent="0.2">
      <c r="A4" s="106"/>
      <c r="B4" s="105"/>
      <c r="C4" s="105"/>
      <c r="D4" s="105"/>
      <c r="E4" s="105"/>
      <c r="F4" s="105"/>
      <c r="G4" s="105"/>
      <c r="H4" s="105"/>
      <c r="I4" s="105"/>
      <c r="J4" s="104"/>
    </row>
    <row r="5" spans="1:16" x14ac:dyDescent="0.2">
      <c r="A5" s="106"/>
      <c r="B5" s="105"/>
      <c r="C5" s="330" t="s">
        <v>35</v>
      </c>
      <c r="D5" s="345" t="s">
        <v>250</v>
      </c>
      <c r="E5" s="346"/>
      <c r="F5" s="346"/>
      <c r="G5" s="347"/>
      <c r="H5" s="105"/>
      <c r="I5" s="105"/>
      <c r="J5" s="104"/>
      <c r="M5" s="115" t="s">
        <v>249</v>
      </c>
    </row>
    <row r="6" spans="1:16" x14ac:dyDescent="0.2">
      <c r="A6" s="106"/>
      <c r="B6" s="105"/>
      <c r="C6" s="332"/>
      <c r="D6" s="187" t="s">
        <v>248</v>
      </c>
      <c r="E6" s="187" t="s">
        <v>247</v>
      </c>
      <c r="F6" s="187" t="s">
        <v>246</v>
      </c>
      <c r="G6" s="186" t="s">
        <v>245</v>
      </c>
      <c r="H6" s="105"/>
      <c r="I6" s="105"/>
      <c r="J6" s="104"/>
    </row>
    <row r="7" spans="1:16" x14ac:dyDescent="0.2">
      <c r="A7" s="106"/>
      <c r="B7" s="105"/>
      <c r="C7" s="122">
        <v>2008</v>
      </c>
      <c r="D7" s="185">
        <v>3000</v>
      </c>
      <c r="E7" s="185">
        <v>3450</v>
      </c>
      <c r="F7" s="185">
        <v>3657</v>
      </c>
      <c r="G7" s="184">
        <v>3693.57</v>
      </c>
      <c r="H7" s="105"/>
      <c r="I7" s="105"/>
      <c r="J7" s="104"/>
      <c r="M7" s="162" t="s">
        <v>35</v>
      </c>
      <c r="N7" s="180" t="s">
        <v>244</v>
      </c>
      <c r="O7" s="180" t="s">
        <v>243</v>
      </c>
      <c r="P7" s="180" t="s">
        <v>242</v>
      </c>
    </row>
    <row r="8" spans="1:16" x14ac:dyDescent="0.2">
      <c r="A8" s="106"/>
      <c r="B8" s="105"/>
      <c r="C8" s="122">
        <v>2009</v>
      </c>
      <c r="D8" s="185">
        <v>3500</v>
      </c>
      <c r="E8" s="185">
        <v>3990</v>
      </c>
      <c r="F8" s="185">
        <v>4189.5</v>
      </c>
      <c r="G8" s="184"/>
      <c r="H8" s="105"/>
      <c r="I8" s="105"/>
      <c r="J8" s="104"/>
      <c r="M8" s="156">
        <v>2008</v>
      </c>
      <c r="N8" s="188">
        <f>D13/D7</f>
        <v>1.4</v>
      </c>
      <c r="O8" s="188">
        <f>(E13-D13)/(E7-D7)</f>
        <v>0.8</v>
      </c>
      <c r="P8" s="188">
        <f>(F13-E13)/(F7-E7)</f>
        <v>0.40000000000000085</v>
      </c>
    </row>
    <row r="9" spans="1:16" x14ac:dyDescent="0.2">
      <c r="A9" s="106"/>
      <c r="B9" s="105"/>
      <c r="C9" s="120">
        <v>2010</v>
      </c>
      <c r="D9" s="182">
        <v>4000</v>
      </c>
      <c r="E9" s="182">
        <v>4640</v>
      </c>
      <c r="F9" s="182"/>
      <c r="G9" s="181"/>
      <c r="H9" s="105"/>
      <c r="I9" s="105"/>
      <c r="J9" s="104"/>
      <c r="M9" s="156">
        <v>2009</v>
      </c>
      <c r="N9" s="188">
        <f>D14/D8</f>
        <v>1.5</v>
      </c>
      <c r="O9" s="188">
        <f>(E14-D14)/(E8-D8)</f>
        <v>0.77999999999999958</v>
      </c>
      <c r="P9" s="188"/>
    </row>
    <row r="10" spans="1:16" x14ac:dyDescent="0.2">
      <c r="A10" s="106"/>
      <c r="B10" s="105"/>
      <c r="C10" s="105"/>
      <c r="D10" s="105"/>
      <c r="E10" s="105"/>
      <c r="F10" s="105"/>
      <c r="G10" s="105"/>
      <c r="H10" s="105"/>
      <c r="I10" s="105"/>
      <c r="J10" s="104"/>
      <c r="M10" s="156">
        <v>2010</v>
      </c>
      <c r="N10" s="188">
        <f>D15/D9</f>
        <v>1.6</v>
      </c>
      <c r="O10" s="188"/>
      <c r="P10" s="188"/>
    </row>
    <row r="11" spans="1:16" x14ac:dyDescent="0.2">
      <c r="A11" s="106"/>
      <c r="B11" s="105"/>
      <c r="C11" s="330" t="s">
        <v>35</v>
      </c>
      <c r="D11" s="345" t="s">
        <v>241</v>
      </c>
      <c r="E11" s="346"/>
      <c r="F11" s="347"/>
      <c r="G11" s="105"/>
      <c r="H11" s="105"/>
      <c r="I11" s="105"/>
      <c r="J11" s="104"/>
      <c r="M11" s="156" t="s">
        <v>240</v>
      </c>
      <c r="N11" s="188">
        <f>AVERAGE(N8:N10)</f>
        <v>1.5</v>
      </c>
      <c r="O11" s="188">
        <f>AVERAGE(O8:O10)</f>
        <v>0.78999999999999981</v>
      </c>
      <c r="P11" s="188">
        <f>AVERAGE(P8:P10)</f>
        <v>0.40000000000000085</v>
      </c>
    </row>
    <row r="12" spans="1:16" x14ac:dyDescent="0.2">
      <c r="A12" s="106"/>
      <c r="B12" s="105"/>
      <c r="C12" s="332"/>
      <c r="D12" s="187" t="s">
        <v>239</v>
      </c>
      <c r="E12" s="187" t="s">
        <v>238</v>
      </c>
      <c r="F12" s="186" t="s">
        <v>237</v>
      </c>
      <c r="G12" s="105"/>
      <c r="H12" s="105"/>
      <c r="I12" s="105"/>
      <c r="J12" s="104"/>
    </row>
    <row r="13" spans="1:16" x14ac:dyDescent="0.2">
      <c r="A13" s="106"/>
      <c r="B13" s="105"/>
      <c r="C13" s="122">
        <v>2008</v>
      </c>
      <c r="D13" s="185">
        <v>4200</v>
      </c>
      <c r="E13" s="185">
        <v>4560</v>
      </c>
      <c r="F13" s="184">
        <v>4642.8</v>
      </c>
      <c r="G13" s="105"/>
      <c r="H13" s="105"/>
      <c r="I13" s="105"/>
      <c r="J13" s="104"/>
      <c r="M13" s="183" t="s">
        <v>236</v>
      </c>
    </row>
    <row r="14" spans="1:16" x14ac:dyDescent="0.2">
      <c r="A14" s="106"/>
      <c r="B14" s="105"/>
      <c r="C14" s="122">
        <v>2009</v>
      </c>
      <c r="D14" s="185">
        <v>5250</v>
      </c>
      <c r="E14" s="185">
        <v>5632.2</v>
      </c>
      <c r="F14" s="184"/>
      <c r="G14" s="105"/>
      <c r="H14" s="105"/>
      <c r="I14" s="105"/>
      <c r="J14" s="104"/>
      <c r="M14" s="183" t="s">
        <v>235</v>
      </c>
    </row>
    <row r="15" spans="1:16" x14ac:dyDescent="0.2">
      <c r="A15" s="106"/>
      <c r="B15" s="105"/>
      <c r="C15" s="120">
        <v>2010</v>
      </c>
      <c r="D15" s="182">
        <v>6400</v>
      </c>
      <c r="E15" s="182"/>
      <c r="F15" s="181"/>
      <c r="G15" s="105"/>
      <c r="H15" s="105"/>
      <c r="I15" s="105"/>
      <c r="J15" s="104"/>
    </row>
    <row r="16" spans="1:16" x14ac:dyDescent="0.2">
      <c r="A16" s="106"/>
      <c r="B16" s="105"/>
      <c r="C16" s="105"/>
      <c r="D16" s="105"/>
      <c r="E16" s="105"/>
      <c r="F16" s="105"/>
      <c r="G16" s="105"/>
      <c r="H16" s="105"/>
      <c r="I16" s="105"/>
      <c r="J16" s="104"/>
      <c r="M16" s="115" t="s">
        <v>234</v>
      </c>
    </row>
    <row r="17" spans="1:18" x14ac:dyDescent="0.2">
      <c r="A17" s="106"/>
      <c r="B17" s="134" t="s">
        <v>0</v>
      </c>
      <c r="C17" s="105"/>
      <c r="D17" s="105"/>
      <c r="E17" s="105"/>
      <c r="F17" s="105"/>
      <c r="G17" s="105"/>
      <c r="H17" s="105"/>
      <c r="I17" s="105"/>
      <c r="J17" s="104"/>
    </row>
    <row r="18" spans="1:18" x14ac:dyDescent="0.2">
      <c r="A18" s="106"/>
      <c r="B18" s="105" t="s">
        <v>233</v>
      </c>
      <c r="C18" s="105"/>
      <c r="D18" s="105"/>
      <c r="E18" s="105"/>
      <c r="F18" s="105"/>
      <c r="G18" s="105"/>
      <c r="H18" s="105"/>
      <c r="I18" s="105"/>
      <c r="J18" s="104"/>
      <c r="M18" s="162" t="s">
        <v>35</v>
      </c>
      <c r="N18" s="180">
        <v>18</v>
      </c>
      <c r="O18" s="180">
        <v>30</v>
      </c>
      <c r="P18" s="180">
        <v>42</v>
      </c>
      <c r="Q18" s="180">
        <v>54</v>
      </c>
    </row>
    <row r="19" spans="1:18" x14ac:dyDescent="0.2">
      <c r="A19" s="106"/>
      <c r="B19" s="105"/>
      <c r="C19" s="105"/>
      <c r="D19" s="105"/>
      <c r="E19" s="105"/>
      <c r="F19" s="105"/>
      <c r="G19" s="105"/>
      <c r="H19" s="105"/>
      <c r="I19" s="105"/>
      <c r="J19" s="104"/>
      <c r="M19" s="156">
        <v>2008</v>
      </c>
      <c r="N19" s="130">
        <f>D7</f>
        <v>3000</v>
      </c>
      <c r="O19" s="130">
        <f>E7</f>
        <v>3450</v>
      </c>
      <c r="P19" s="130">
        <f>F7</f>
        <v>3657</v>
      </c>
      <c r="Q19" s="130">
        <f>G7</f>
        <v>3693.57</v>
      </c>
      <c r="R19" s="130"/>
    </row>
    <row r="20" spans="1:18" x14ac:dyDescent="0.2">
      <c r="A20" s="106"/>
      <c r="B20" s="134" t="s">
        <v>1</v>
      </c>
      <c r="C20" s="105"/>
      <c r="D20" s="105"/>
      <c r="E20" s="105"/>
      <c r="F20" s="105"/>
      <c r="G20" s="105"/>
      <c r="H20" s="105"/>
      <c r="I20" s="105"/>
      <c r="J20" s="104"/>
      <c r="M20" s="156">
        <v>2009</v>
      </c>
      <c r="N20" s="130">
        <f>D8</f>
        <v>3500</v>
      </c>
      <c r="O20" s="130">
        <f>E8</f>
        <v>3990</v>
      </c>
      <c r="P20" s="130">
        <f>F8</f>
        <v>4189.5</v>
      </c>
      <c r="Q20" s="130"/>
      <c r="R20" s="130"/>
    </row>
    <row r="21" spans="1:18" ht="16" customHeight="1" x14ac:dyDescent="0.2">
      <c r="A21" s="106"/>
      <c r="B21" s="348" t="s">
        <v>232</v>
      </c>
      <c r="C21" s="348"/>
      <c r="D21" s="348"/>
      <c r="E21" s="348"/>
      <c r="F21" s="348"/>
      <c r="G21" s="348"/>
      <c r="H21" s="348"/>
      <c r="I21" s="348"/>
      <c r="J21" s="104"/>
      <c r="M21" s="156">
        <v>2010</v>
      </c>
      <c r="N21" s="130">
        <f>D9</f>
        <v>4000</v>
      </c>
      <c r="O21" s="130">
        <f>E9</f>
        <v>4640</v>
      </c>
      <c r="P21" s="130"/>
      <c r="Q21" s="130"/>
      <c r="R21" s="130"/>
    </row>
    <row r="22" spans="1:18" x14ac:dyDescent="0.2">
      <c r="A22" s="106"/>
      <c r="B22" s="348"/>
      <c r="C22" s="348"/>
      <c r="D22" s="348"/>
      <c r="E22" s="348"/>
      <c r="F22" s="348"/>
      <c r="G22" s="348"/>
      <c r="H22" s="348"/>
      <c r="I22" s="348"/>
      <c r="J22" s="104"/>
      <c r="M22" s="94" t="s">
        <v>231</v>
      </c>
      <c r="O22" s="179">
        <f>SUM(O19:O21)/SUM(N19:N21)</f>
        <v>1.1504761904761904</v>
      </c>
      <c r="P22" s="179">
        <f>SUM(P19:P20)/SUM(O19:O20)</f>
        <v>1.0546370967741936</v>
      </c>
      <c r="Q22" s="179">
        <f>Q19/P19</f>
        <v>1.01</v>
      </c>
    </row>
    <row r="23" spans="1:18" ht="17" thickBot="1" x14ac:dyDescent="0.25">
      <c r="A23" s="106"/>
      <c r="B23" s="132"/>
      <c r="C23" s="105"/>
      <c r="D23" s="105"/>
      <c r="E23" s="105"/>
      <c r="F23" s="105"/>
      <c r="G23" s="105"/>
      <c r="H23" s="105"/>
      <c r="I23" s="105"/>
      <c r="J23" s="104"/>
      <c r="M23" s="94" t="s">
        <v>230</v>
      </c>
      <c r="O23" s="179">
        <f>O22*P22*Q22</f>
        <v>1.2254682181259602</v>
      </c>
      <c r="P23" s="179">
        <f>P22*Q22</f>
        <v>1.0651834677419356</v>
      </c>
      <c r="Q23" s="179">
        <f>Q22</f>
        <v>1.01</v>
      </c>
    </row>
    <row r="24" spans="1:18" ht="17" thickBot="1" x14ac:dyDescent="0.25">
      <c r="A24" s="103" t="s">
        <v>124</v>
      </c>
      <c r="B24" s="101"/>
      <c r="C24" s="101"/>
      <c r="D24" s="101"/>
      <c r="E24" s="101"/>
      <c r="F24" s="101"/>
      <c r="G24" s="101"/>
      <c r="H24" s="101"/>
      <c r="I24" s="101"/>
      <c r="J24" s="100"/>
      <c r="M24" s="94" t="s">
        <v>229</v>
      </c>
      <c r="O24" s="178">
        <f>1/O23</f>
        <v>0.81601463441397437</v>
      </c>
      <c r="P24" s="178">
        <f>1/P23</f>
        <v>0.9388054079734105</v>
      </c>
      <c r="Q24" s="178">
        <f>1/Q23</f>
        <v>0.99009900990099009</v>
      </c>
      <c r="R24" s="178"/>
    </row>
    <row r="25" spans="1:18" x14ac:dyDescent="0.2">
      <c r="P25" s="131"/>
      <c r="Q25" s="99"/>
      <c r="R25" s="99"/>
    </row>
    <row r="26" spans="1:18" x14ac:dyDescent="0.2">
      <c r="M26" s="115" t="s">
        <v>228</v>
      </c>
      <c r="P26" s="131"/>
      <c r="Q26" s="99"/>
      <c r="R26" s="99"/>
    </row>
    <row r="27" spans="1:18" x14ac:dyDescent="0.2">
      <c r="P27" s="96"/>
      <c r="Q27" s="99"/>
      <c r="R27" s="99"/>
    </row>
    <row r="28" spans="1:18" ht="17" thickBot="1" x14ac:dyDescent="0.25">
      <c r="M28" s="152" t="s">
        <v>208</v>
      </c>
      <c r="N28" s="150" t="s">
        <v>92</v>
      </c>
      <c r="O28" s="150" t="s">
        <v>169</v>
      </c>
      <c r="P28" s="96" t="s">
        <v>204</v>
      </c>
      <c r="Q28" s="99"/>
      <c r="R28" s="99"/>
    </row>
    <row r="29" spans="1:18" x14ac:dyDescent="0.2">
      <c r="M29" s="156" t="s">
        <v>5</v>
      </c>
      <c r="N29" s="176">
        <f>N11</f>
        <v>1.5</v>
      </c>
      <c r="O29" s="173">
        <f>O24</f>
        <v>0.81601463441397437</v>
      </c>
      <c r="P29" s="177">
        <f>SUMPRODUCT(N29:N32,O29:O32)</f>
        <v>1.3415441035039479</v>
      </c>
      <c r="Q29" s="99"/>
      <c r="R29" s="99"/>
    </row>
    <row r="30" spans="1:18" x14ac:dyDescent="0.2">
      <c r="M30" s="156" t="s">
        <v>6</v>
      </c>
      <c r="N30" s="176">
        <f>O11</f>
        <v>0.78999999999999981</v>
      </c>
      <c r="O30" s="173">
        <f>P24-O24</f>
        <v>0.12279077355943613</v>
      </c>
      <c r="P30" s="175">
        <f>SUMPRODUCT(N30:N32,O30:O32)/SUM(O30:O32)</f>
        <v>0.63875815072931341</v>
      </c>
    </row>
    <row r="31" spans="1:18" x14ac:dyDescent="0.2">
      <c r="M31" s="156" t="s">
        <v>7</v>
      </c>
      <c r="N31" s="176">
        <f>P11</f>
        <v>0.40000000000000085</v>
      </c>
      <c r="O31" s="173">
        <f>Q24-P24</f>
        <v>5.1293601927579591E-2</v>
      </c>
      <c r="P31" s="175">
        <f>SUMPRODUCT(N31:N32,O31:O32)/SUM(O31:O32)</f>
        <v>0.33528192756178354</v>
      </c>
    </row>
    <row r="32" spans="1:18" ht="17" thickBot="1" x14ac:dyDescent="0.25">
      <c r="M32" s="156" t="s">
        <v>40</v>
      </c>
      <c r="N32" s="174">
        <v>0</v>
      </c>
      <c r="O32" s="173">
        <f>1-Q24</f>
        <v>9.9009900990099098E-3</v>
      </c>
      <c r="P32" s="172">
        <f>N32</f>
        <v>0</v>
      </c>
    </row>
    <row r="33" spans="13:19" x14ac:dyDescent="0.2">
      <c r="N33" s="96"/>
      <c r="O33" s="96"/>
    </row>
    <row r="34" spans="13:19" x14ac:dyDescent="0.2">
      <c r="M34" s="135" t="s">
        <v>178</v>
      </c>
      <c r="N34" s="99"/>
      <c r="O34" s="96"/>
    </row>
    <row r="35" spans="13:19" x14ac:dyDescent="0.2">
      <c r="N35" s="99"/>
      <c r="O35" s="96"/>
    </row>
    <row r="36" spans="13:19" ht="15.75" customHeight="1" x14ac:dyDescent="0.2">
      <c r="M36" s="339" t="s">
        <v>227</v>
      </c>
      <c r="N36" s="339"/>
      <c r="O36" s="339"/>
      <c r="P36" s="339"/>
      <c r="Q36" s="339"/>
      <c r="R36" s="339"/>
      <c r="S36" s="339"/>
    </row>
    <row r="37" spans="13:19" x14ac:dyDescent="0.2">
      <c r="M37" s="339"/>
      <c r="N37" s="339"/>
      <c r="O37" s="339"/>
      <c r="P37" s="339"/>
      <c r="Q37" s="339"/>
      <c r="R37" s="339"/>
      <c r="S37" s="339"/>
    </row>
    <row r="38" spans="13:19" x14ac:dyDescent="0.2">
      <c r="M38" s="339"/>
      <c r="N38" s="339"/>
      <c r="O38" s="339"/>
      <c r="P38" s="339"/>
      <c r="Q38" s="339"/>
      <c r="R38" s="339"/>
      <c r="S38" s="339"/>
    </row>
    <row r="39" spans="13:19" x14ac:dyDescent="0.2">
      <c r="M39" s="339"/>
      <c r="N39" s="339"/>
      <c r="O39" s="339"/>
      <c r="P39" s="339"/>
      <c r="Q39" s="339"/>
      <c r="R39" s="339"/>
      <c r="S39" s="339"/>
    </row>
    <row r="40" spans="13:19" x14ac:dyDescent="0.2">
      <c r="M40" s="171"/>
      <c r="N40" s="171"/>
      <c r="O40" s="171"/>
      <c r="P40" s="171"/>
      <c r="Q40" s="171"/>
      <c r="R40" s="171"/>
    </row>
    <row r="41" spans="13:19" x14ac:dyDescent="0.2">
      <c r="M41" s="171"/>
    </row>
    <row r="42" spans="13:19" x14ac:dyDescent="0.2">
      <c r="M42" s="171"/>
    </row>
    <row r="45" spans="13:19" ht="19" x14ac:dyDescent="0.25">
      <c r="M45" s="98" t="s">
        <v>136</v>
      </c>
    </row>
    <row r="46" spans="13:19" x14ac:dyDescent="0.2">
      <c r="M46" s="94" t="s">
        <v>133</v>
      </c>
    </row>
  </sheetData>
  <mergeCells count="6">
    <mergeCell ref="M36:S39"/>
    <mergeCell ref="C5:C6"/>
    <mergeCell ref="C11:C12"/>
    <mergeCell ref="D5:G5"/>
    <mergeCell ref="D11:F11"/>
    <mergeCell ref="B21:I2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7337F-84A9-244E-A95F-CCB282B9BB16}">
  <dimension ref="A1:T33"/>
  <sheetViews>
    <sheetView zoomScaleNormal="100" workbookViewId="0">
      <selection activeCell="M5" sqref="M5:S7"/>
    </sheetView>
  </sheetViews>
  <sheetFormatPr baseColWidth="10" defaultColWidth="11" defaultRowHeight="16" outlineLevelCol="1" x14ac:dyDescent="0.2"/>
  <cols>
    <col min="1" max="1" width="4.5" customWidth="1"/>
    <col min="2" max="10" width="10.83203125" customWidth="1"/>
    <col min="11" max="11" width="10.5" customWidth="1"/>
    <col min="12" max="12" width="11.1640625" bestFit="1" customWidth="1"/>
    <col min="13" max="13" width="10.83203125" style="94" hidden="1" customWidth="1" outlineLevel="1"/>
    <col min="14" max="19" width="10.83203125" hidden="1" customWidth="1" outlineLevel="1"/>
    <col min="20" max="20" width="10.83203125" customWidth="1" collapsed="1"/>
  </cols>
  <sheetData>
    <row r="1" spans="1:19" ht="19" x14ac:dyDescent="0.25">
      <c r="A1" s="129" t="s">
        <v>268</v>
      </c>
      <c r="B1" s="128"/>
      <c r="C1" s="127"/>
      <c r="D1" s="127"/>
      <c r="E1" s="127"/>
      <c r="F1" s="126"/>
      <c r="G1" s="126"/>
      <c r="H1" s="126"/>
      <c r="I1" s="126"/>
      <c r="J1" s="125"/>
      <c r="L1" s="124" t="s">
        <v>125</v>
      </c>
    </row>
    <row r="2" spans="1:19" x14ac:dyDescent="0.2">
      <c r="A2" s="106"/>
      <c r="B2" s="105"/>
      <c r="C2" s="105"/>
      <c r="D2" s="105"/>
      <c r="E2" s="105"/>
      <c r="F2" s="105"/>
      <c r="G2" s="105"/>
      <c r="H2" s="105"/>
      <c r="I2" s="105"/>
      <c r="J2" s="104"/>
    </row>
    <row r="3" spans="1:19" ht="16" customHeight="1" x14ac:dyDescent="0.2">
      <c r="A3" s="106"/>
      <c r="B3" s="348" t="s">
        <v>267</v>
      </c>
      <c r="C3" s="348"/>
      <c r="D3" s="348"/>
      <c r="E3" s="348"/>
      <c r="F3" s="348"/>
      <c r="G3" s="348"/>
      <c r="H3" s="348"/>
      <c r="I3" s="348"/>
      <c r="J3" s="104"/>
      <c r="M3" s="135" t="s">
        <v>188</v>
      </c>
    </row>
    <row r="4" spans="1:19" x14ac:dyDescent="0.2">
      <c r="A4" s="106"/>
      <c r="B4" s="348"/>
      <c r="C4" s="348"/>
      <c r="D4" s="348"/>
      <c r="E4" s="348"/>
      <c r="F4" s="348"/>
      <c r="G4" s="348"/>
      <c r="H4" s="348"/>
      <c r="I4" s="348"/>
      <c r="J4" s="104"/>
    </row>
    <row r="5" spans="1:19" ht="15.75" customHeight="1" x14ac:dyDescent="0.2">
      <c r="A5" s="106"/>
      <c r="B5" s="105"/>
      <c r="C5" s="105"/>
      <c r="D5" s="105"/>
      <c r="E5" s="105"/>
      <c r="F5" s="105"/>
      <c r="G5" s="105"/>
      <c r="H5" s="105"/>
      <c r="I5" s="105"/>
      <c r="J5" s="104"/>
      <c r="M5" s="339" t="s">
        <v>266</v>
      </c>
      <c r="N5" s="339"/>
      <c r="O5" s="339"/>
      <c r="P5" s="339"/>
      <c r="Q5" s="339"/>
      <c r="R5" s="339"/>
      <c r="S5" s="339"/>
    </row>
    <row r="6" spans="1:19" x14ac:dyDescent="0.2">
      <c r="A6" s="106"/>
      <c r="B6" s="137" t="s">
        <v>265</v>
      </c>
      <c r="C6" s="105"/>
      <c r="D6" s="105"/>
      <c r="E6" s="105"/>
      <c r="F6" s="105"/>
      <c r="G6" s="105"/>
      <c r="H6" s="105"/>
      <c r="I6" s="105"/>
      <c r="J6" s="104"/>
      <c r="M6" s="339"/>
      <c r="N6" s="339"/>
      <c r="O6" s="339"/>
      <c r="P6" s="339"/>
      <c r="Q6" s="339"/>
      <c r="R6" s="339"/>
      <c r="S6" s="339"/>
    </row>
    <row r="7" spans="1:19" x14ac:dyDescent="0.2">
      <c r="A7" s="106"/>
      <c r="B7" s="137" t="s">
        <v>264</v>
      </c>
      <c r="C7" s="105"/>
      <c r="D7" s="105"/>
      <c r="E7" s="105"/>
      <c r="F7" s="105"/>
      <c r="G7" s="105"/>
      <c r="H7" s="105"/>
      <c r="I7" s="105"/>
      <c r="J7" s="104"/>
      <c r="M7" s="339"/>
      <c r="N7" s="339"/>
      <c r="O7" s="339"/>
      <c r="P7" s="339"/>
      <c r="Q7" s="339"/>
      <c r="R7" s="339"/>
      <c r="S7" s="339"/>
    </row>
    <row r="8" spans="1:19" x14ac:dyDescent="0.2">
      <c r="A8" s="106"/>
      <c r="B8" s="105"/>
      <c r="C8" s="105"/>
      <c r="D8" s="105"/>
      <c r="E8" s="105"/>
      <c r="F8" s="105"/>
      <c r="G8" s="105"/>
      <c r="H8" s="105"/>
      <c r="I8" s="105"/>
      <c r="J8" s="104"/>
      <c r="M8" s="171"/>
      <c r="N8" s="171"/>
      <c r="O8" s="171"/>
      <c r="P8" s="171"/>
      <c r="Q8" s="171"/>
      <c r="R8" s="171"/>
      <c r="S8" s="171"/>
    </row>
    <row r="9" spans="1:19" x14ac:dyDescent="0.2">
      <c r="A9" s="106"/>
      <c r="B9" s="134" t="s">
        <v>0</v>
      </c>
      <c r="C9" s="105"/>
      <c r="D9" s="105"/>
      <c r="E9" s="105"/>
      <c r="F9" s="105"/>
      <c r="G9" s="105"/>
      <c r="H9" s="105"/>
      <c r="I9" s="105"/>
      <c r="J9" s="104"/>
      <c r="M9" s="135" t="s">
        <v>178</v>
      </c>
    </row>
    <row r="10" spans="1:19" ht="16" customHeight="1" x14ac:dyDescent="0.2">
      <c r="A10" s="106"/>
      <c r="B10" s="348" t="s">
        <v>263</v>
      </c>
      <c r="C10" s="348"/>
      <c r="D10" s="348"/>
      <c r="E10" s="348"/>
      <c r="F10" s="348"/>
      <c r="G10" s="348"/>
      <c r="H10" s="348"/>
      <c r="I10" s="348"/>
      <c r="J10" s="104"/>
    </row>
    <row r="11" spans="1:19" x14ac:dyDescent="0.2">
      <c r="A11" s="106"/>
      <c r="B11" s="348"/>
      <c r="C11" s="348"/>
      <c r="D11" s="348"/>
      <c r="E11" s="348"/>
      <c r="F11" s="348"/>
      <c r="G11" s="348"/>
      <c r="H11" s="348"/>
      <c r="I11" s="348"/>
      <c r="J11" s="104"/>
      <c r="M11" s="339" t="s">
        <v>262</v>
      </c>
      <c r="N11" s="339"/>
      <c r="O11" s="339"/>
      <c r="P11" s="339"/>
      <c r="Q11" s="339"/>
      <c r="R11" s="339"/>
      <c r="S11" s="339"/>
    </row>
    <row r="12" spans="1:19" x14ac:dyDescent="0.2">
      <c r="A12" s="106"/>
      <c r="B12" s="112"/>
      <c r="C12" s="105"/>
      <c r="D12" s="105"/>
      <c r="E12" s="105"/>
      <c r="F12" s="105"/>
      <c r="G12" s="105"/>
      <c r="H12" s="105"/>
      <c r="I12" s="105"/>
      <c r="J12" s="104"/>
      <c r="M12" s="339"/>
      <c r="N12" s="339"/>
      <c r="O12" s="339"/>
      <c r="P12" s="339"/>
      <c r="Q12" s="339"/>
      <c r="R12" s="339"/>
      <c r="S12" s="339"/>
    </row>
    <row r="13" spans="1:19" x14ac:dyDescent="0.2">
      <c r="A13" s="106"/>
      <c r="B13" s="134" t="s">
        <v>1</v>
      </c>
      <c r="C13" s="105"/>
      <c r="D13" s="105"/>
      <c r="E13" s="105"/>
      <c r="F13" s="105"/>
      <c r="G13" s="105"/>
      <c r="H13" s="105"/>
      <c r="I13" s="105"/>
      <c r="J13" s="104"/>
    </row>
    <row r="14" spans="1:19" x14ac:dyDescent="0.2">
      <c r="A14" s="106"/>
      <c r="B14" s="105" t="s">
        <v>261</v>
      </c>
      <c r="C14" s="105"/>
      <c r="D14" s="105"/>
      <c r="E14" s="105"/>
      <c r="F14" s="105"/>
      <c r="G14" s="105"/>
      <c r="H14" s="105"/>
      <c r="I14" s="105"/>
      <c r="J14" s="104"/>
      <c r="M14" s="135" t="s">
        <v>260</v>
      </c>
    </row>
    <row r="15" spans="1:19" x14ac:dyDescent="0.2">
      <c r="A15" s="106"/>
      <c r="B15" s="105"/>
      <c r="C15" s="105"/>
      <c r="D15" s="105"/>
      <c r="E15" s="105"/>
      <c r="F15" s="105"/>
      <c r="G15" s="105"/>
      <c r="H15" s="105"/>
      <c r="I15" s="105"/>
      <c r="J15" s="104"/>
    </row>
    <row r="16" spans="1:19" x14ac:dyDescent="0.2">
      <c r="A16" s="106"/>
      <c r="B16" s="134" t="s">
        <v>259</v>
      </c>
      <c r="C16" s="105"/>
      <c r="D16" s="105"/>
      <c r="E16" s="105"/>
      <c r="F16" s="105"/>
      <c r="G16" s="105"/>
      <c r="H16" s="105"/>
      <c r="I16" s="105"/>
      <c r="J16" s="104"/>
      <c r="M16" s="339" t="s">
        <v>258</v>
      </c>
      <c r="N16" s="339"/>
      <c r="O16" s="339"/>
      <c r="P16" s="339"/>
      <c r="Q16" s="339"/>
      <c r="R16" s="339"/>
      <c r="S16" s="339"/>
    </row>
    <row r="17" spans="1:19" x14ac:dyDescent="0.2">
      <c r="A17" s="106"/>
      <c r="B17" s="105" t="s">
        <v>257</v>
      </c>
      <c r="C17" s="105"/>
      <c r="D17" s="105"/>
      <c r="E17" s="105"/>
      <c r="F17" s="105"/>
      <c r="G17" s="105"/>
      <c r="H17" s="105"/>
      <c r="I17" s="105"/>
      <c r="J17" s="104"/>
      <c r="M17" s="339"/>
      <c r="N17" s="339"/>
      <c r="O17" s="339"/>
      <c r="P17" s="339"/>
      <c r="Q17" s="339"/>
      <c r="R17" s="339"/>
      <c r="S17" s="339"/>
    </row>
    <row r="18" spans="1:19" x14ac:dyDescent="0.2">
      <c r="A18" s="106"/>
      <c r="B18" s="105"/>
      <c r="C18" s="105"/>
      <c r="D18" s="105"/>
      <c r="E18" s="105"/>
      <c r="F18" s="105"/>
      <c r="G18" s="105"/>
      <c r="H18" s="105"/>
      <c r="I18" s="105"/>
      <c r="J18" s="104"/>
      <c r="P18" s="131"/>
      <c r="Q18" s="131"/>
      <c r="R18" s="131"/>
      <c r="S18" s="99"/>
    </row>
    <row r="19" spans="1:19" x14ac:dyDescent="0.2">
      <c r="A19" s="106"/>
      <c r="B19" s="134" t="s">
        <v>256</v>
      </c>
      <c r="C19" s="105"/>
      <c r="D19" s="105"/>
      <c r="E19" s="105"/>
      <c r="F19" s="105"/>
      <c r="G19" s="105"/>
      <c r="H19" s="105"/>
      <c r="I19" s="105"/>
      <c r="J19" s="104"/>
      <c r="M19" s="135" t="s">
        <v>255</v>
      </c>
      <c r="P19" s="96"/>
      <c r="Q19" s="96"/>
      <c r="R19" s="96"/>
      <c r="S19" s="99"/>
    </row>
    <row r="20" spans="1:19" x14ac:dyDescent="0.2">
      <c r="A20" s="106"/>
      <c r="B20" s="105" t="s">
        <v>254</v>
      </c>
      <c r="C20" s="134"/>
      <c r="D20" s="105"/>
      <c r="E20" s="105"/>
      <c r="F20" s="105"/>
      <c r="G20" s="105"/>
      <c r="H20" s="105"/>
      <c r="I20" s="105"/>
      <c r="J20" s="104"/>
      <c r="S20" s="99"/>
    </row>
    <row r="21" spans="1:19" ht="17" thickBot="1" x14ac:dyDescent="0.25">
      <c r="A21" s="106"/>
      <c r="B21" s="132"/>
      <c r="C21" s="105"/>
      <c r="D21" s="105"/>
      <c r="E21" s="105"/>
      <c r="F21" s="105"/>
      <c r="G21" s="105"/>
      <c r="H21" s="105"/>
      <c r="I21" s="105"/>
      <c r="J21" s="104"/>
      <c r="M21" s="339" t="s">
        <v>253</v>
      </c>
      <c r="N21" s="339"/>
      <c r="O21" s="339"/>
      <c r="P21" s="339"/>
      <c r="Q21" s="339"/>
      <c r="R21" s="339"/>
      <c r="S21" s="339"/>
    </row>
    <row r="22" spans="1:19" ht="17" thickBot="1" x14ac:dyDescent="0.25">
      <c r="A22" s="103" t="s">
        <v>124</v>
      </c>
      <c r="B22" s="101"/>
      <c r="C22" s="101"/>
      <c r="D22" s="101"/>
      <c r="E22" s="101"/>
      <c r="F22" s="101"/>
      <c r="G22" s="101"/>
      <c r="H22" s="101"/>
      <c r="I22" s="101"/>
      <c r="J22" s="100"/>
      <c r="M22" s="339"/>
      <c r="N22" s="339"/>
      <c r="O22" s="339"/>
      <c r="P22" s="339"/>
      <c r="Q22" s="339"/>
      <c r="R22" s="339"/>
      <c r="S22" s="339"/>
    </row>
    <row r="23" spans="1:19" x14ac:dyDescent="0.2">
      <c r="N23" s="99"/>
      <c r="O23" s="94"/>
      <c r="P23" s="96"/>
      <c r="Q23" s="96"/>
      <c r="R23" s="96"/>
    </row>
    <row r="24" spans="1:19" x14ac:dyDescent="0.2">
      <c r="N24" s="97"/>
      <c r="O24" s="94"/>
      <c r="P24" s="96"/>
      <c r="Q24" s="96"/>
      <c r="R24" s="96"/>
    </row>
    <row r="25" spans="1:19" ht="19" x14ac:dyDescent="0.25">
      <c r="M25" s="98" t="s">
        <v>113</v>
      </c>
      <c r="N25" s="99"/>
      <c r="O25" s="94"/>
      <c r="P25" s="96"/>
      <c r="Q25" s="96"/>
      <c r="R25" s="96"/>
    </row>
    <row r="26" spans="1:19" x14ac:dyDescent="0.2">
      <c r="M26" s="94" t="s">
        <v>252</v>
      </c>
      <c r="N26" s="99"/>
      <c r="O26" s="96"/>
    </row>
    <row r="27" spans="1:19" x14ac:dyDescent="0.2">
      <c r="N27" s="99"/>
      <c r="O27" s="96"/>
    </row>
    <row r="28" spans="1:19" x14ac:dyDescent="0.2">
      <c r="N28" s="96"/>
      <c r="O28" s="96"/>
    </row>
    <row r="29" spans="1:19" x14ac:dyDescent="0.2">
      <c r="N29" s="99"/>
      <c r="O29" s="96"/>
    </row>
    <row r="30" spans="1:19" x14ac:dyDescent="0.2">
      <c r="N30" s="99"/>
      <c r="O30" s="96"/>
    </row>
    <row r="31" spans="1:19" x14ac:dyDescent="0.2">
      <c r="N31" s="99"/>
    </row>
    <row r="32" spans="1:19" x14ac:dyDescent="0.2">
      <c r="N32" s="96"/>
    </row>
    <row r="33" spans="14:14" x14ac:dyDescent="0.2">
      <c r="N33" s="130"/>
    </row>
  </sheetData>
  <mergeCells count="6">
    <mergeCell ref="B3:I4"/>
    <mergeCell ref="M16:S17"/>
    <mergeCell ref="M21:S22"/>
    <mergeCell ref="M5:S7"/>
    <mergeCell ref="M11:S12"/>
    <mergeCell ref="B10:I1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D006F-58D4-5341-BD06-1F3DB2A038B1}">
  <dimension ref="A1:T28"/>
  <sheetViews>
    <sheetView zoomScaleNormal="100" workbookViewId="0"/>
  </sheetViews>
  <sheetFormatPr baseColWidth="10" defaultColWidth="11" defaultRowHeight="16" outlineLevelCol="1" x14ac:dyDescent="0.2"/>
  <cols>
    <col min="1" max="1" width="4.5" customWidth="1"/>
    <col min="2" max="10" width="10.83203125" customWidth="1"/>
    <col min="11" max="11" width="10.5" customWidth="1"/>
    <col min="12" max="12" width="11.1640625" bestFit="1" customWidth="1"/>
    <col min="13" max="13" width="10.83203125" style="94" hidden="1" customWidth="1" outlineLevel="1"/>
    <col min="14" max="19" width="10.83203125" hidden="1" customWidth="1" outlineLevel="1"/>
    <col min="20" max="20" width="10.83203125" customWidth="1" collapsed="1"/>
  </cols>
  <sheetData>
    <row r="1" spans="1:19" ht="19" x14ac:dyDescent="0.25">
      <c r="A1" s="129" t="s">
        <v>274</v>
      </c>
      <c r="B1" s="128"/>
      <c r="C1" s="127"/>
      <c r="D1" s="127"/>
      <c r="E1" s="127"/>
      <c r="F1" s="126"/>
      <c r="G1" s="126"/>
      <c r="H1" s="126"/>
      <c r="I1" s="126"/>
      <c r="J1" s="125"/>
      <c r="L1" s="124" t="s">
        <v>125</v>
      </c>
    </row>
    <row r="2" spans="1:19" x14ac:dyDescent="0.2">
      <c r="A2" s="106"/>
      <c r="B2" s="105"/>
      <c r="C2" s="105"/>
      <c r="D2" s="105"/>
      <c r="E2" s="105"/>
      <c r="F2" s="105"/>
      <c r="G2" s="105"/>
      <c r="H2" s="105"/>
      <c r="I2" s="105"/>
      <c r="J2" s="104"/>
      <c r="N2" s="130"/>
      <c r="O2" s="130"/>
    </row>
    <row r="3" spans="1:19" ht="16" customHeight="1" x14ac:dyDescent="0.2">
      <c r="A3" s="106"/>
      <c r="B3" s="105" t="s">
        <v>210</v>
      </c>
      <c r="C3" s="105"/>
      <c r="D3" s="105"/>
      <c r="E3" s="105"/>
      <c r="F3" s="105"/>
      <c r="G3" s="105"/>
      <c r="H3" s="105"/>
      <c r="I3" s="105"/>
      <c r="J3" s="104"/>
      <c r="M3" s="339" t="s">
        <v>273</v>
      </c>
      <c r="N3" s="339"/>
      <c r="O3" s="339"/>
      <c r="P3" s="339"/>
      <c r="Q3" s="339"/>
      <c r="R3" s="339"/>
      <c r="S3" s="339"/>
    </row>
    <row r="4" spans="1:19" x14ac:dyDescent="0.2">
      <c r="A4" s="106"/>
      <c r="B4" s="105"/>
      <c r="C4" s="105"/>
      <c r="D4" s="105"/>
      <c r="E4" s="105"/>
      <c r="F4" s="105"/>
      <c r="G4" s="105"/>
      <c r="H4" s="105"/>
      <c r="I4" s="105"/>
      <c r="J4" s="104"/>
      <c r="M4" s="339"/>
      <c r="N4" s="339"/>
      <c r="O4" s="339"/>
      <c r="P4" s="339"/>
      <c r="Q4" s="339"/>
      <c r="R4" s="339"/>
      <c r="S4" s="339"/>
    </row>
    <row r="5" spans="1:19" x14ac:dyDescent="0.2">
      <c r="A5" s="106"/>
      <c r="B5" s="105"/>
      <c r="C5" s="330" t="s">
        <v>272</v>
      </c>
      <c r="D5" s="330" t="s">
        <v>271</v>
      </c>
      <c r="E5" s="105"/>
      <c r="F5" s="105"/>
      <c r="G5" s="105"/>
      <c r="H5" s="105"/>
      <c r="I5" s="105"/>
      <c r="J5" s="104"/>
      <c r="M5" s="339"/>
      <c r="N5" s="339"/>
      <c r="O5" s="339"/>
      <c r="P5" s="339"/>
      <c r="Q5" s="339"/>
      <c r="R5" s="339"/>
      <c r="S5" s="339"/>
    </row>
    <row r="6" spans="1:19" x14ac:dyDescent="0.2">
      <c r="A6" s="106"/>
      <c r="B6" s="105"/>
      <c r="C6" s="332"/>
      <c r="D6" s="332"/>
      <c r="E6" s="105"/>
      <c r="F6" s="105"/>
      <c r="G6" s="105"/>
      <c r="H6" s="105"/>
      <c r="I6" s="105"/>
      <c r="J6" s="104"/>
      <c r="M6" s="339"/>
      <c r="N6" s="339"/>
      <c r="O6" s="339"/>
      <c r="P6" s="339"/>
      <c r="Q6" s="339"/>
      <c r="R6" s="339"/>
      <c r="S6" s="339"/>
    </row>
    <row r="7" spans="1:19" x14ac:dyDescent="0.2">
      <c r="A7" s="106"/>
      <c r="B7" s="105"/>
      <c r="C7" s="122" t="s">
        <v>5</v>
      </c>
      <c r="D7" s="121">
        <v>1.4</v>
      </c>
      <c r="E7" s="105"/>
      <c r="F7" s="105"/>
      <c r="G7" s="105"/>
      <c r="H7" s="105"/>
      <c r="I7" s="105"/>
      <c r="J7" s="104"/>
      <c r="M7" s="339"/>
      <c r="N7" s="339"/>
      <c r="O7" s="339"/>
      <c r="P7" s="339"/>
      <c r="Q7" s="339"/>
      <c r="R7" s="339"/>
      <c r="S7" s="339"/>
    </row>
    <row r="8" spans="1:19" x14ac:dyDescent="0.2">
      <c r="A8" s="106"/>
      <c r="B8" s="105"/>
      <c r="C8" s="122" t="s">
        <v>6</v>
      </c>
      <c r="D8" s="121">
        <v>0.9</v>
      </c>
      <c r="E8" s="105"/>
      <c r="F8" s="105"/>
      <c r="G8" s="105"/>
      <c r="H8" s="105"/>
      <c r="I8" s="105"/>
      <c r="J8" s="104"/>
      <c r="M8" s="339"/>
      <c r="N8" s="339"/>
      <c r="O8" s="339"/>
      <c r="P8" s="339"/>
      <c r="Q8" s="339"/>
      <c r="R8" s="339"/>
      <c r="S8" s="339"/>
    </row>
    <row r="9" spans="1:19" x14ac:dyDescent="0.2">
      <c r="A9" s="106"/>
      <c r="B9" s="105"/>
      <c r="C9" s="122" t="s">
        <v>7</v>
      </c>
      <c r="D9" s="121">
        <v>0.65</v>
      </c>
      <c r="E9" s="105"/>
      <c r="F9" s="105"/>
      <c r="G9" s="105"/>
      <c r="H9" s="105"/>
      <c r="I9" s="105"/>
      <c r="J9" s="104"/>
      <c r="M9" s="339"/>
      <c r="N9" s="339"/>
      <c r="O9" s="339"/>
      <c r="P9" s="339"/>
      <c r="Q9" s="339"/>
      <c r="R9" s="339"/>
      <c r="S9" s="339"/>
    </row>
    <row r="10" spans="1:19" x14ac:dyDescent="0.2">
      <c r="A10" s="106"/>
      <c r="B10" s="105"/>
      <c r="C10" s="120" t="s">
        <v>39</v>
      </c>
      <c r="D10" s="118">
        <v>0.35</v>
      </c>
      <c r="E10" s="105"/>
      <c r="F10" s="105"/>
      <c r="G10" s="105"/>
      <c r="H10" s="105"/>
      <c r="I10" s="105"/>
      <c r="J10" s="104"/>
      <c r="M10" s="339"/>
      <c r="N10" s="339"/>
      <c r="O10" s="339"/>
      <c r="P10" s="339"/>
      <c r="Q10" s="339"/>
      <c r="R10" s="339"/>
      <c r="S10" s="339"/>
    </row>
    <row r="11" spans="1:19" x14ac:dyDescent="0.2">
      <c r="A11" s="106"/>
      <c r="B11" s="112"/>
      <c r="C11" s="158"/>
      <c r="D11" s="105"/>
      <c r="E11" s="105"/>
      <c r="F11" s="105"/>
      <c r="G11" s="105"/>
      <c r="H11" s="105"/>
      <c r="I11" s="105"/>
      <c r="J11" s="104"/>
      <c r="M11" s="339"/>
      <c r="N11" s="339"/>
      <c r="O11" s="339"/>
      <c r="P11" s="339"/>
      <c r="Q11" s="339"/>
      <c r="R11" s="339"/>
      <c r="S11" s="339"/>
    </row>
    <row r="12" spans="1:19" ht="16" customHeight="1" x14ac:dyDescent="0.2">
      <c r="A12" s="106"/>
      <c r="B12" s="348" t="s">
        <v>270</v>
      </c>
      <c r="C12" s="348"/>
      <c r="D12" s="348"/>
      <c r="E12" s="348"/>
      <c r="F12" s="348"/>
      <c r="G12" s="348"/>
      <c r="H12" s="348"/>
      <c r="I12" s="348"/>
      <c r="J12" s="104"/>
      <c r="M12" s="339"/>
      <c r="N12" s="339"/>
      <c r="O12" s="339"/>
      <c r="P12" s="339"/>
      <c r="Q12" s="339"/>
      <c r="R12" s="339"/>
      <c r="S12" s="339"/>
    </row>
    <row r="13" spans="1:19" x14ac:dyDescent="0.2">
      <c r="A13" s="106"/>
      <c r="B13" s="348"/>
      <c r="C13" s="348"/>
      <c r="D13" s="348"/>
      <c r="E13" s="348"/>
      <c r="F13" s="348"/>
      <c r="G13" s="348"/>
      <c r="H13" s="348"/>
      <c r="I13" s="348"/>
      <c r="J13" s="104"/>
      <c r="M13" s="339"/>
      <c r="N13" s="339"/>
      <c r="O13" s="339"/>
      <c r="P13" s="339"/>
      <c r="Q13" s="339"/>
      <c r="R13" s="339"/>
      <c r="S13" s="339"/>
    </row>
    <row r="14" spans="1:19" ht="17" thickBot="1" x14ac:dyDescent="0.25">
      <c r="A14" s="106"/>
      <c r="B14" s="134"/>
      <c r="C14" s="134"/>
      <c r="D14" s="105"/>
      <c r="E14" s="105"/>
      <c r="F14" s="105"/>
      <c r="G14" s="105"/>
      <c r="H14" s="105"/>
      <c r="I14" s="105"/>
      <c r="J14" s="104"/>
      <c r="P14" s="96"/>
      <c r="Q14" s="99"/>
      <c r="R14" s="99"/>
    </row>
    <row r="15" spans="1:19" ht="17" thickBot="1" x14ac:dyDescent="0.25">
      <c r="A15" s="103" t="s">
        <v>124</v>
      </c>
      <c r="B15" s="101"/>
      <c r="C15" s="101"/>
      <c r="D15" s="101"/>
      <c r="E15" s="101"/>
      <c r="F15" s="101"/>
      <c r="G15" s="101"/>
      <c r="H15" s="101"/>
      <c r="I15" s="101"/>
      <c r="J15" s="100"/>
      <c r="Q15" s="99"/>
      <c r="R15" s="99"/>
    </row>
    <row r="16" spans="1:19" x14ac:dyDescent="0.2">
      <c r="N16" s="96"/>
      <c r="O16" s="96"/>
      <c r="P16" s="96"/>
      <c r="Q16" s="99"/>
      <c r="R16" s="99"/>
    </row>
    <row r="17" spans="13:16" x14ac:dyDescent="0.2">
      <c r="N17" s="96"/>
      <c r="O17" s="96"/>
      <c r="P17" s="96"/>
    </row>
    <row r="18" spans="13:16" ht="19" x14ac:dyDescent="0.25">
      <c r="M18" s="98" t="s">
        <v>113</v>
      </c>
      <c r="N18" s="99"/>
      <c r="O18" s="94"/>
      <c r="P18" s="96"/>
    </row>
    <row r="19" spans="13:16" x14ac:dyDescent="0.2">
      <c r="M19" s="94" t="s">
        <v>269</v>
      </c>
      <c r="N19" s="97"/>
      <c r="O19" s="94"/>
      <c r="P19" s="96"/>
    </row>
    <row r="20" spans="13:16" x14ac:dyDescent="0.2">
      <c r="N20" s="99"/>
      <c r="O20" s="94"/>
      <c r="P20" s="96"/>
    </row>
    <row r="21" spans="13:16" x14ac:dyDescent="0.2">
      <c r="N21" s="99"/>
      <c r="O21" s="96"/>
    </row>
    <row r="22" spans="13:16" x14ac:dyDescent="0.2">
      <c r="N22" s="99"/>
      <c r="O22" s="96"/>
    </row>
    <row r="23" spans="13:16" x14ac:dyDescent="0.2">
      <c r="N23" s="96"/>
      <c r="O23" s="96"/>
    </row>
    <row r="24" spans="13:16" x14ac:dyDescent="0.2">
      <c r="N24" s="99"/>
      <c r="O24" s="96"/>
    </row>
    <row r="25" spans="13:16" x14ac:dyDescent="0.2">
      <c r="N25" s="99"/>
      <c r="O25" s="96"/>
    </row>
    <row r="26" spans="13:16" x14ac:dyDescent="0.2">
      <c r="N26" s="99"/>
    </row>
    <row r="27" spans="13:16" x14ac:dyDescent="0.2">
      <c r="N27" s="96"/>
    </row>
    <row r="28" spans="13:16" x14ac:dyDescent="0.2">
      <c r="N28" s="130"/>
    </row>
  </sheetData>
  <mergeCells count="4">
    <mergeCell ref="D5:D6"/>
    <mergeCell ref="C5:C6"/>
    <mergeCell ref="B12:I13"/>
    <mergeCell ref="M3:S1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181C6-5EE3-D942-8F5D-A0EE703F38B7}">
  <dimension ref="A1:R20"/>
  <sheetViews>
    <sheetView workbookViewId="0"/>
  </sheetViews>
  <sheetFormatPr baseColWidth="10" defaultColWidth="11" defaultRowHeight="16" outlineLevelCol="1" x14ac:dyDescent="0.2"/>
  <cols>
    <col min="1" max="1" width="4" style="94" customWidth="1"/>
    <col min="2" max="2" width="11.5" customWidth="1"/>
    <col min="4" max="4" width="14.1640625" customWidth="1"/>
    <col min="5" max="5" width="14" customWidth="1"/>
    <col min="6" max="6" width="15.33203125" customWidth="1"/>
    <col min="11" max="11" width="10.83203125" hidden="1" customWidth="1" outlineLevel="1"/>
    <col min="12" max="12" width="13.33203125" hidden="1" customWidth="1" outlineLevel="1"/>
    <col min="13" max="17" width="10.83203125" hidden="1" customWidth="1" outlineLevel="1"/>
    <col min="18" max="18" width="11" customWidth="1" collapsed="1"/>
    <col min="19" max="19" width="12.6640625" customWidth="1"/>
  </cols>
  <sheetData>
    <row r="1" spans="1:17" x14ac:dyDescent="0.2">
      <c r="A1" s="221"/>
      <c r="B1" s="128" t="s">
        <v>351</v>
      </c>
      <c r="C1" s="127" t="s">
        <v>350</v>
      </c>
      <c r="D1" s="127" t="s">
        <v>349</v>
      </c>
      <c r="E1" s="126"/>
      <c r="F1" s="126"/>
      <c r="G1" s="126"/>
      <c r="H1" s="126"/>
      <c r="I1" s="125"/>
      <c r="J1" s="209" t="s">
        <v>125</v>
      </c>
      <c r="K1" s="209"/>
    </row>
    <row r="2" spans="1:17" x14ac:dyDescent="0.2">
      <c r="A2" s="196"/>
      <c r="B2" s="220" t="s">
        <v>348</v>
      </c>
      <c r="C2" s="219">
        <v>1.25</v>
      </c>
      <c r="D2" s="105"/>
      <c r="E2" s="105"/>
      <c r="F2" s="105"/>
      <c r="G2" s="105"/>
      <c r="H2" s="105"/>
      <c r="I2" s="104"/>
    </row>
    <row r="3" spans="1:17" x14ac:dyDescent="0.2">
      <c r="A3" s="196"/>
      <c r="B3" s="105"/>
      <c r="C3" s="105"/>
      <c r="D3" s="105"/>
      <c r="E3" s="105"/>
      <c r="F3" s="105"/>
      <c r="G3" s="105"/>
      <c r="H3" s="105"/>
      <c r="I3" s="104"/>
      <c r="K3" s="209" t="s">
        <v>347</v>
      </c>
    </row>
    <row r="4" spans="1:17" ht="15.75" customHeight="1" x14ac:dyDescent="0.2">
      <c r="A4" s="196"/>
      <c r="B4" s="105"/>
      <c r="C4" s="105" t="s">
        <v>346</v>
      </c>
      <c r="D4" s="105"/>
      <c r="E4" s="105"/>
      <c r="F4" s="105"/>
      <c r="G4" s="105"/>
      <c r="H4" s="105"/>
      <c r="I4" s="104"/>
    </row>
    <row r="5" spans="1:17" x14ac:dyDescent="0.2">
      <c r="A5" s="196"/>
      <c r="B5" s="105"/>
      <c r="C5" s="105"/>
      <c r="D5" s="105"/>
      <c r="E5" s="105"/>
      <c r="F5" s="105"/>
      <c r="G5" s="105"/>
      <c r="H5" s="105"/>
      <c r="I5" s="104"/>
      <c r="K5" s="349" t="s">
        <v>272</v>
      </c>
      <c r="L5" s="351" t="s">
        <v>345</v>
      </c>
      <c r="M5" s="218"/>
    </row>
    <row r="6" spans="1:17" x14ac:dyDescent="0.2">
      <c r="A6" s="196"/>
      <c r="B6" s="105"/>
      <c r="C6" s="153"/>
      <c r="D6" s="345" t="s">
        <v>344</v>
      </c>
      <c r="E6" s="346"/>
      <c r="F6" s="347"/>
      <c r="G6" s="112"/>
      <c r="H6" s="112"/>
      <c r="I6" s="104"/>
      <c r="K6" s="349"/>
      <c r="L6" s="351"/>
      <c r="M6" s="218"/>
    </row>
    <row r="7" spans="1:17" x14ac:dyDescent="0.2">
      <c r="A7" s="196"/>
      <c r="B7" s="105"/>
      <c r="C7" s="217" t="s">
        <v>137</v>
      </c>
      <c r="D7" s="333" t="s">
        <v>343</v>
      </c>
      <c r="E7" s="342" t="s">
        <v>581</v>
      </c>
      <c r="F7" s="336" t="s">
        <v>222</v>
      </c>
      <c r="G7" s="112"/>
      <c r="H7" s="112"/>
      <c r="I7" s="104"/>
      <c r="K7" s="350"/>
      <c r="L7" s="352"/>
    </row>
    <row r="8" spans="1:17" x14ac:dyDescent="0.2">
      <c r="A8" s="196"/>
      <c r="B8" s="105"/>
      <c r="C8" s="217" t="s">
        <v>138</v>
      </c>
      <c r="D8" s="353"/>
      <c r="E8" s="355"/>
      <c r="F8" s="357"/>
      <c r="G8" s="112"/>
      <c r="H8" s="112"/>
      <c r="I8" s="104"/>
      <c r="K8" s="214">
        <v>1</v>
      </c>
      <c r="L8" s="213">
        <f>1-(D10-E10)-F10</f>
        <v>0.84599999999999997</v>
      </c>
    </row>
    <row r="9" spans="1:17" x14ac:dyDescent="0.2">
      <c r="A9" s="196"/>
      <c r="B9" s="105"/>
      <c r="C9" s="216" t="s">
        <v>342</v>
      </c>
      <c r="D9" s="354"/>
      <c r="E9" s="356"/>
      <c r="F9" s="358"/>
      <c r="G9" s="112"/>
      <c r="H9" s="112"/>
      <c r="I9" s="104"/>
      <c r="K9" s="214">
        <v>2</v>
      </c>
      <c r="L9" s="213">
        <f>1-(D11-E11)-F11</f>
        <v>0.80599999999999994</v>
      </c>
    </row>
    <row r="10" spans="1:17" x14ac:dyDescent="0.2">
      <c r="A10" s="196"/>
      <c r="B10" s="105"/>
      <c r="C10" s="153" t="s">
        <v>5</v>
      </c>
      <c r="D10" s="164">
        <v>0.113</v>
      </c>
      <c r="E10" s="164">
        <v>4.0000000000000001E-3</v>
      </c>
      <c r="F10" s="215">
        <v>4.4999999999999998E-2</v>
      </c>
      <c r="G10" s="210"/>
      <c r="H10" s="210"/>
      <c r="I10" s="104"/>
      <c r="K10" s="214">
        <v>3</v>
      </c>
      <c r="L10" s="213">
        <f>1-(D12-E12)-F12</f>
        <v>0.78699999999999992</v>
      </c>
    </row>
    <row r="11" spans="1:17" x14ac:dyDescent="0.2">
      <c r="A11" s="196"/>
      <c r="B11" s="105"/>
      <c r="C11" s="122" t="s">
        <v>341</v>
      </c>
      <c r="D11" s="112">
        <v>0.14199999999999999</v>
      </c>
      <c r="E11" s="112">
        <v>3.0000000000000001E-3</v>
      </c>
      <c r="F11" s="212">
        <v>5.5E-2</v>
      </c>
      <c r="G11" s="210"/>
      <c r="H11" s="210"/>
      <c r="I11" s="104"/>
      <c r="K11" s="214" t="s">
        <v>40</v>
      </c>
      <c r="L11" s="213">
        <f>1-(D13-E13)-F13</f>
        <v>0.77899999999999991</v>
      </c>
    </row>
    <row r="12" spans="1:17" x14ac:dyDescent="0.2">
      <c r="A12" s="196"/>
      <c r="B12" s="105"/>
      <c r="C12" s="122" t="s">
        <v>200</v>
      </c>
      <c r="D12" s="112">
        <v>0.154</v>
      </c>
      <c r="E12" s="112">
        <v>3.0000000000000001E-3</v>
      </c>
      <c r="F12" s="212">
        <v>6.2E-2</v>
      </c>
      <c r="G12" s="210"/>
      <c r="H12" s="210"/>
      <c r="I12" s="104"/>
    </row>
    <row r="13" spans="1:17" x14ac:dyDescent="0.2">
      <c r="A13" s="196"/>
      <c r="B13" s="112"/>
      <c r="C13" s="120" t="s">
        <v>340</v>
      </c>
      <c r="D13" s="160">
        <v>0.158</v>
      </c>
      <c r="E13" s="160">
        <v>2E-3</v>
      </c>
      <c r="F13" s="211">
        <v>6.5000000000000002E-2</v>
      </c>
      <c r="G13" s="210"/>
      <c r="H13" s="210"/>
      <c r="I13" s="104"/>
    </row>
    <row r="14" spans="1:17" x14ac:dyDescent="0.2">
      <c r="A14" s="196"/>
      <c r="B14" s="112"/>
      <c r="C14" s="105"/>
      <c r="D14" s="105"/>
      <c r="E14" s="105"/>
      <c r="F14" s="105"/>
      <c r="G14" s="105"/>
      <c r="H14" s="105"/>
      <c r="I14" s="104"/>
      <c r="K14" s="209" t="s">
        <v>339</v>
      </c>
    </row>
    <row r="15" spans="1:17" ht="16" customHeight="1" x14ac:dyDescent="0.2">
      <c r="A15" s="196" t="s">
        <v>0</v>
      </c>
      <c r="B15" s="134" t="s">
        <v>338</v>
      </c>
      <c r="C15" s="105" t="s">
        <v>337</v>
      </c>
      <c r="D15" s="105"/>
      <c r="E15" s="105"/>
      <c r="F15" s="105"/>
      <c r="G15" s="105"/>
      <c r="H15" s="105"/>
      <c r="I15" s="104"/>
      <c r="K15" s="341" t="s">
        <v>336</v>
      </c>
      <c r="L15" s="341"/>
      <c r="M15" s="341"/>
      <c r="N15" s="341"/>
      <c r="O15" s="341"/>
      <c r="P15" s="341"/>
      <c r="Q15" s="341"/>
    </row>
    <row r="16" spans="1:17" x14ac:dyDescent="0.2">
      <c r="A16" s="196"/>
      <c r="B16" s="134"/>
      <c r="C16" s="105"/>
      <c r="D16" s="105"/>
      <c r="E16" s="105"/>
      <c r="F16" s="105"/>
      <c r="G16" s="105"/>
      <c r="H16" s="105"/>
      <c r="I16" s="104"/>
      <c r="K16" s="341"/>
      <c r="L16" s="341"/>
      <c r="M16" s="341"/>
      <c r="N16" s="341"/>
      <c r="O16" s="341"/>
      <c r="P16" s="341"/>
      <c r="Q16" s="341"/>
    </row>
    <row r="17" spans="1:17" x14ac:dyDescent="0.2">
      <c r="A17" s="196" t="s">
        <v>1</v>
      </c>
      <c r="B17" s="134" t="s">
        <v>335</v>
      </c>
      <c r="C17" s="105" t="s">
        <v>334</v>
      </c>
      <c r="D17" s="105"/>
      <c r="E17" s="105"/>
      <c r="F17" s="105"/>
      <c r="G17" s="105"/>
      <c r="H17" s="105"/>
      <c r="I17" s="104"/>
      <c r="K17" s="341"/>
      <c r="L17" s="341"/>
      <c r="M17" s="341"/>
      <c r="N17" s="341"/>
      <c r="O17" s="341"/>
      <c r="P17" s="341"/>
      <c r="Q17" s="341"/>
    </row>
    <row r="18" spans="1:17" ht="17" customHeight="1" thickBot="1" x14ac:dyDescent="0.25">
      <c r="A18" s="196"/>
      <c r="B18" s="112"/>
      <c r="C18" s="105"/>
      <c r="D18" s="105"/>
      <c r="E18" s="105"/>
      <c r="F18" s="105"/>
      <c r="G18" s="105"/>
      <c r="H18" s="105"/>
      <c r="I18" s="104"/>
    </row>
    <row r="19" spans="1:17" ht="20" thickBot="1" x14ac:dyDescent="0.25">
      <c r="A19" s="208" t="s">
        <v>124</v>
      </c>
      <c r="B19" s="101"/>
      <c r="C19" s="207"/>
      <c r="D19" s="101"/>
      <c r="E19" s="101"/>
      <c r="F19" s="101"/>
      <c r="G19" s="101"/>
      <c r="H19" s="101"/>
      <c r="I19" s="100"/>
      <c r="K19" s="206" t="s">
        <v>136</v>
      </c>
      <c r="L19" s="205"/>
      <c r="M19" s="205"/>
      <c r="N19" s="205"/>
      <c r="O19" s="205"/>
      <c r="P19" s="205"/>
      <c r="Q19" s="205"/>
    </row>
    <row r="20" spans="1:17" x14ac:dyDescent="0.2">
      <c r="K20" s="205" t="s">
        <v>333</v>
      </c>
      <c r="L20" s="204"/>
    </row>
  </sheetData>
  <mergeCells count="7">
    <mergeCell ref="K5:K7"/>
    <mergeCell ref="L5:L7"/>
    <mergeCell ref="K15:Q17"/>
    <mergeCell ref="D7:D9"/>
    <mergeCell ref="E7:E9"/>
    <mergeCell ref="F7:F9"/>
    <mergeCell ref="D6:F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3065-216D-B045-9F6B-BB1E554A5564}">
  <dimension ref="A1:S30"/>
  <sheetViews>
    <sheetView workbookViewId="0">
      <selection activeCell="B1" sqref="B1"/>
    </sheetView>
  </sheetViews>
  <sheetFormatPr baseColWidth="10" defaultColWidth="11" defaultRowHeight="16" outlineLevelCol="1" x14ac:dyDescent="0.2"/>
  <cols>
    <col min="1" max="1" width="4" style="94" customWidth="1"/>
    <col min="2" max="2" width="11.5" customWidth="1"/>
    <col min="6" max="6" width="12.5" customWidth="1"/>
    <col min="7" max="7" width="13" customWidth="1"/>
    <col min="12" max="12" width="11.83203125" hidden="1" customWidth="1" outlineLevel="1"/>
    <col min="13" max="13" width="13.33203125" hidden="1" customWidth="1" outlineLevel="1"/>
    <col min="14" max="14" width="12.33203125" hidden="1" customWidth="1" outlineLevel="1"/>
    <col min="15" max="18" width="10.83203125" hidden="1" customWidth="1" outlineLevel="1"/>
    <col min="19" max="19" width="11.5" bestFit="1" customWidth="1" collapsed="1"/>
  </cols>
  <sheetData>
    <row r="1" spans="1:19" x14ac:dyDescent="0.2">
      <c r="A1" s="221"/>
      <c r="B1" s="128" t="s">
        <v>351</v>
      </c>
      <c r="C1" s="127" t="s">
        <v>380</v>
      </c>
      <c r="D1" s="127" t="s">
        <v>349</v>
      </c>
      <c r="E1" s="127" t="s">
        <v>379</v>
      </c>
      <c r="F1" s="126"/>
      <c r="G1" s="126"/>
      <c r="H1" s="126"/>
      <c r="I1" s="126"/>
      <c r="J1" s="125"/>
      <c r="K1" s="209" t="s">
        <v>125</v>
      </c>
    </row>
    <row r="2" spans="1:19" ht="16" customHeight="1" x14ac:dyDescent="0.2">
      <c r="A2" s="196"/>
      <c r="B2" s="220" t="s">
        <v>348</v>
      </c>
      <c r="C2" s="219">
        <v>3</v>
      </c>
      <c r="D2" s="105"/>
      <c r="E2" s="105"/>
      <c r="F2" s="105"/>
      <c r="G2" s="105"/>
      <c r="H2" s="105"/>
      <c r="I2" s="105"/>
      <c r="J2" s="104"/>
      <c r="L2" s="209"/>
      <c r="S2" s="236"/>
    </row>
    <row r="3" spans="1:19" ht="16" customHeight="1" x14ac:dyDescent="0.2">
      <c r="A3" s="196"/>
      <c r="B3" s="105"/>
      <c r="C3" s="105"/>
      <c r="D3" s="105"/>
      <c r="E3" s="105"/>
      <c r="F3" s="105"/>
      <c r="G3" s="105"/>
      <c r="H3" s="105"/>
      <c r="I3" s="105"/>
      <c r="J3" s="104"/>
      <c r="L3" s="341" t="s">
        <v>378</v>
      </c>
      <c r="M3" s="341"/>
      <c r="N3" s="341"/>
      <c r="O3" s="341"/>
      <c r="P3" s="341"/>
      <c r="Q3" s="341"/>
      <c r="R3" s="341"/>
    </row>
    <row r="4" spans="1:19" x14ac:dyDescent="0.2">
      <c r="A4" s="196"/>
      <c r="B4" s="105"/>
      <c r="C4" s="105" t="s">
        <v>377</v>
      </c>
      <c r="D4" s="105"/>
      <c r="E4" s="105"/>
      <c r="F4" s="105"/>
      <c r="G4" s="105"/>
      <c r="H4" s="105"/>
      <c r="I4" s="105"/>
      <c r="J4" s="104"/>
      <c r="L4" s="341"/>
      <c r="M4" s="341"/>
      <c r="N4" s="341"/>
      <c r="O4" s="341"/>
      <c r="P4" s="341"/>
      <c r="Q4" s="341"/>
      <c r="R4" s="341"/>
    </row>
    <row r="5" spans="1:19" x14ac:dyDescent="0.2">
      <c r="A5" s="196"/>
      <c r="B5" s="105"/>
      <c r="C5" s="105"/>
      <c r="D5" s="105"/>
      <c r="E5" s="105"/>
      <c r="F5" s="105"/>
      <c r="G5" s="105"/>
      <c r="H5" s="105"/>
      <c r="I5" s="105"/>
      <c r="J5" s="104"/>
    </row>
    <row r="6" spans="1:19" ht="18" x14ac:dyDescent="0.25">
      <c r="A6" s="196"/>
      <c r="B6" s="105"/>
      <c r="C6" s="105"/>
      <c r="D6" s="105" t="s">
        <v>376</v>
      </c>
      <c r="E6" s="105"/>
      <c r="F6" s="112">
        <v>1.25</v>
      </c>
      <c r="G6" s="105"/>
      <c r="H6" s="105"/>
      <c r="I6" s="105"/>
      <c r="J6" s="104"/>
      <c r="L6" s="214" t="s">
        <v>375</v>
      </c>
      <c r="M6" s="234">
        <f>F8*F7/(G21*F14)+G14*F6*F7</f>
        <v>1.5782853972481137</v>
      </c>
      <c r="N6" t="s">
        <v>374</v>
      </c>
    </row>
    <row r="7" spans="1:19" ht="18" x14ac:dyDescent="0.2">
      <c r="A7" s="196"/>
      <c r="B7" s="105"/>
      <c r="C7" s="105"/>
      <c r="D7" s="105" t="s">
        <v>373</v>
      </c>
      <c r="E7" s="105"/>
      <c r="F7" s="112">
        <v>1.04</v>
      </c>
      <c r="G7" s="105"/>
      <c r="H7" s="105"/>
      <c r="I7" s="105"/>
      <c r="J7" s="104"/>
      <c r="L7" s="214" t="s">
        <v>372</v>
      </c>
      <c r="M7" s="214">
        <f>G15*F6*F7</f>
        <v>0.93599999999999994</v>
      </c>
      <c r="N7" t="s">
        <v>369</v>
      </c>
    </row>
    <row r="8" spans="1:19" ht="18" x14ac:dyDescent="0.2">
      <c r="A8" s="196"/>
      <c r="B8" s="105"/>
      <c r="C8" s="105"/>
      <c r="D8" s="105" t="s">
        <v>371</v>
      </c>
      <c r="E8" s="105"/>
      <c r="F8" s="158">
        <v>0.2</v>
      </c>
      <c r="G8" s="105"/>
      <c r="H8" s="105"/>
      <c r="I8" s="105"/>
      <c r="J8" s="104"/>
      <c r="L8" s="214" t="s">
        <v>370</v>
      </c>
      <c r="M8" s="214">
        <f>G16*F6*F7</f>
        <v>0.71500000000000008</v>
      </c>
      <c r="N8" t="s">
        <v>369</v>
      </c>
    </row>
    <row r="9" spans="1:19" x14ac:dyDescent="0.2">
      <c r="A9" s="196"/>
      <c r="B9" s="105"/>
      <c r="C9" s="105"/>
      <c r="D9" s="105"/>
      <c r="E9" s="105"/>
      <c r="F9" s="105"/>
      <c r="G9" s="105"/>
      <c r="H9" s="105"/>
      <c r="I9" s="105"/>
      <c r="J9" s="104"/>
    </row>
    <row r="10" spans="1:19" ht="18" x14ac:dyDescent="0.25">
      <c r="A10" s="196"/>
      <c r="B10" s="105"/>
      <c r="C10" s="105" t="s">
        <v>368</v>
      </c>
      <c r="D10" s="105"/>
      <c r="E10" s="105"/>
      <c r="F10" s="105"/>
      <c r="G10" s="105"/>
      <c r="H10" s="105"/>
      <c r="I10" s="105"/>
      <c r="J10" s="104"/>
      <c r="L10" t="s">
        <v>367</v>
      </c>
    </row>
    <row r="11" spans="1:19" x14ac:dyDescent="0.2">
      <c r="A11" s="196"/>
      <c r="B11" s="105"/>
      <c r="C11" s="105"/>
      <c r="D11" s="105"/>
      <c r="E11" s="105"/>
      <c r="F11" s="105"/>
      <c r="G11" s="105"/>
      <c r="H11" s="105"/>
      <c r="I11" s="105"/>
      <c r="J11" s="104"/>
    </row>
    <row r="12" spans="1:19" ht="18" customHeight="1" x14ac:dyDescent="0.2">
      <c r="A12" s="196"/>
      <c r="B12" s="105"/>
      <c r="C12" s="105"/>
      <c r="D12" s="359" t="s">
        <v>366</v>
      </c>
      <c r="E12" s="360"/>
      <c r="F12" s="235" t="s">
        <v>206</v>
      </c>
      <c r="G12" s="336" t="s">
        <v>365</v>
      </c>
      <c r="H12" s="105"/>
      <c r="I12" s="105"/>
      <c r="J12" s="104"/>
      <c r="L12" s="214" t="s">
        <v>364</v>
      </c>
      <c r="M12" s="234">
        <f>SUMPRODUCT(F14:F16,M6:M8)/(SUM(F14:F16))</f>
        <v>1.4064223333333334</v>
      </c>
    </row>
    <row r="13" spans="1:19" ht="18" x14ac:dyDescent="0.25">
      <c r="A13" s="196"/>
      <c r="B13" s="112"/>
      <c r="C13" s="105"/>
      <c r="D13" s="354" t="s">
        <v>342</v>
      </c>
      <c r="E13" s="358"/>
      <c r="F13" s="216" t="s">
        <v>201</v>
      </c>
      <c r="G13" s="358"/>
      <c r="H13" s="105"/>
      <c r="I13" s="105"/>
      <c r="J13" s="104"/>
      <c r="L13" t="s">
        <v>363</v>
      </c>
      <c r="N13" s="233">
        <f>G20*M12</f>
        <v>288316578.33333337</v>
      </c>
      <c r="O13" t="s">
        <v>362</v>
      </c>
    </row>
    <row r="14" spans="1:19" ht="17" thickBot="1" x14ac:dyDescent="0.25">
      <c r="A14" s="196"/>
      <c r="B14" s="112"/>
      <c r="C14" s="105"/>
      <c r="D14" s="361" t="s">
        <v>361</v>
      </c>
      <c r="E14" s="361"/>
      <c r="F14" s="232">
        <v>0.751</v>
      </c>
      <c r="G14" s="231">
        <v>0.93</v>
      </c>
      <c r="H14" s="105"/>
      <c r="I14" s="105"/>
      <c r="J14" s="104"/>
    </row>
    <row r="15" spans="1:19" ht="17" thickBot="1" x14ac:dyDescent="0.25">
      <c r="A15" s="196"/>
      <c r="B15" s="112"/>
      <c r="C15" s="105"/>
      <c r="D15" s="362" t="s">
        <v>341</v>
      </c>
      <c r="E15" s="362"/>
      <c r="F15" s="230">
        <v>0.19500000000000001</v>
      </c>
      <c r="G15" s="121">
        <v>0.72</v>
      </c>
      <c r="H15" s="105"/>
      <c r="I15" s="105"/>
      <c r="J15" s="104"/>
      <c r="L15" s="229" t="s">
        <v>360</v>
      </c>
      <c r="M15" s="228">
        <f>G20*M12-G22</f>
        <v>68316578.333333373</v>
      </c>
    </row>
    <row r="16" spans="1:19" x14ac:dyDescent="0.2">
      <c r="A16" s="196"/>
      <c r="B16" s="112"/>
      <c r="C16" s="105"/>
      <c r="D16" s="363" t="s">
        <v>200</v>
      </c>
      <c r="E16" s="363"/>
      <c r="F16" s="227">
        <v>5.3999999999999999E-2</v>
      </c>
      <c r="G16" s="118">
        <v>0.55000000000000004</v>
      </c>
      <c r="H16" s="105"/>
      <c r="I16" s="105"/>
      <c r="J16" s="104"/>
    </row>
    <row r="17" spans="1:18" ht="16" customHeight="1" x14ac:dyDescent="0.2">
      <c r="A17" s="196"/>
      <c r="B17" s="112"/>
      <c r="C17" s="105"/>
      <c r="D17" s="105"/>
      <c r="E17" s="105"/>
      <c r="F17" s="105"/>
      <c r="G17" s="105"/>
      <c r="H17" s="105"/>
      <c r="I17" s="105"/>
      <c r="J17" s="104"/>
    </row>
    <row r="18" spans="1:18" ht="19" x14ac:dyDescent="0.2">
      <c r="A18" s="196"/>
      <c r="B18" s="112"/>
      <c r="C18" s="105" t="s">
        <v>359</v>
      </c>
      <c r="D18" s="105"/>
      <c r="E18" s="105"/>
      <c r="F18" s="105"/>
      <c r="G18" s="105"/>
      <c r="H18" s="105"/>
      <c r="I18" s="105"/>
      <c r="J18" s="104"/>
      <c r="L18" s="206" t="s">
        <v>113</v>
      </c>
    </row>
    <row r="19" spans="1:18" x14ac:dyDescent="0.2">
      <c r="A19" s="196"/>
      <c r="B19" s="112"/>
      <c r="C19" s="105"/>
      <c r="D19" s="105"/>
      <c r="E19" s="105"/>
      <c r="F19" s="105"/>
      <c r="G19" s="105"/>
      <c r="H19" s="105"/>
      <c r="I19" s="105"/>
      <c r="J19" s="104"/>
      <c r="L19" s="341" t="s">
        <v>358</v>
      </c>
      <c r="M19" s="341"/>
      <c r="N19" s="341"/>
      <c r="O19" s="341"/>
      <c r="P19" s="341"/>
      <c r="Q19" s="341"/>
      <c r="R19" s="341"/>
    </row>
    <row r="20" spans="1:18" x14ac:dyDescent="0.2">
      <c r="A20" s="196"/>
      <c r="B20" s="112"/>
      <c r="C20" s="105" t="s">
        <v>357</v>
      </c>
      <c r="D20" s="105"/>
      <c r="E20" s="105"/>
      <c r="F20" s="105"/>
      <c r="G20" s="226">
        <v>205000000</v>
      </c>
      <c r="H20" s="105"/>
      <c r="I20" s="105"/>
      <c r="J20" s="104"/>
      <c r="L20" s="341"/>
      <c r="M20" s="341"/>
      <c r="N20" s="341"/>
      <c r="O20" s="341"/>
      <c r="P20" s="341"/>
      <c r="Q20" s="341"/>
      <c r="R20" s="341"/>
    </row>
    <row r="21" spans="1:18" x14ac:dyDescent="0.2">
      <c r="A21" s="196"/>
      <c r="B21" s="112"/>
      <c r="C21" s="105" t="s">
        <v>356</v>
      </c>
      <c r="D21" s="105"/>
      <c r="E21" s="105"/>
      <c r="F21" s="105"/>
      <c r="G21" s="117">
        <v>0.75</v>
      </c>
      <c r="H21" s="105"/>
      <c r="I21" s="105"/>
      <c r="J21" s="104"/>
      <c r="L21" s="341"/>
      <c r="M21" s="341"/>
      <c r="N21" s="341"/>
      <c r="O21" s="341"/>
      <c r="P21" s="341"/>
      <c r="Q21" s="341"/>
      <c r="R21" s="341"/>
    </row>
    <row r="22" spans="1:18" ht="16" customHeight="1" x14ac:dyDescent="0.2">
      <c r="A22" s="196"/>
      <c r="B22" s="112"/>
      <c r="C22" s="105" t="s">
        <v>355</v>
      </c>
      <c r="D22" s="105"/>
      <c r="E22" s="105"/>
      <c r="F22" s="105"/>
      <c r="G22" s="226">
        <v>220000000</v>
      </c>
      <c r="H22" s="105"/>
      <c r="I22" s="105"/>
      <c r="J22" s="104"/>
    </row>
    <row r="23" spans="1:18" ht="19" x14ac:dyDescent="0.25">
      <c r="A23" s="196"/>
      <c r="B23" s="112"/>
      <c r="C23" s="105" t="s">
        <v>354</v>
      </c>
      <c r="D23" s="105"/>
      <c r="E23" s="105"/>
      <c r="F23" s="105"/>
      <c r="G23" s="105"/>
      <c r="H23" s="105"/>
      <c r="I23" s="105"/>
      <c r="J23" s="104"/>
      <c r="L23" s="124" t="s">
        <v>136</v>
      </c>
    </row>
    <row r="24" spans="1:18" x14ac:dyDescent="0.2">
      <c r="A24" s="196"/>
      <c r="B24" s="112"/>
      <c r="C24" s="105"/>
      <c r="D24" s="105"/>
      <c r="E24" s="105"/>
      <c r="F24" s="105"/>
      <c r="G24" s="105"/>
      <c r="H24" s="105"/>
      <c r="I24" s="105"/>
      <c r="J24" s="104"/>
      <c r="L24" s="205" t="s">
        <v>353</v>
      </c>
      <c r="M24" s="205"/>
      <c r="N24" s="205"/>
      <c r="O24" s="205"/>
      <c r="P24" s="205"/>
      <c r="Q24" s="205"/>
    </row>
    <row r="25" spans="1:18" x14ac:dyDescent="0.2">
      <c r="A25" s="196"/>
      <c r="B25" s="105"/>
      <c r="C25" s="105" t="s">
        <v>352</v>
      </c>
      <c r="D25" s="105"/>
      <c r="E25" s="105"/>
      <c r="F25" s="105"/>
      <c r="G25" s="105"/>
      <c r="H25" s="105"/>
      <c r="I25" s="105"/>
      <c r="J25" s="104"/>
      <c r="M25" s="222"/>
    </row>
    <row r="26" spans="1:18" ht="17" thickBot="1" x14ac:dyDescent="0.25">
      <c r="A26" s="194"/>
      <c r="B26" s="224"/>
      <c r="C26" s="225"/>
      <c r="D26" s="224"/>
      <c r="E26" s="224"/>
      <c r="F26" s="224"/>
      <c r="G26" s="224"/>
      <c r="H26" s="224"/>
      <c r="I26" s="224"/>
      <c r="J26" s="223"/>
      <c r="M26" s="222"/>
    </row>
    <row r="27" spans="1:18" ht="17" thickBot="1" x14ac:dyDescent="0.25">
      <c r="A27" s="208" t="s">
        <v>124</v>
      </c>
      <c r="B27" s="101"/>
      <c r="C27" s="207"/>
      <c r="D27" s="101"/>
      <c r="E27" s="101"/>
      <c r="F27" s="101"/>
      <c r="G27" s="101"/>
      <c r="H27" s="101"/>
      <c r="I27" s="101"/>
      <c r="J27" s="100"/>
    </row>
    <row r="30" spans="1:18" x14ac:dyDescent="0.2">
      <c r="L30" s="209"/>
      <c r="M30" s="204"/>
    </row>
  </sheetData>
  <mergeCells count="8">
    <mergeCell ref="L19:R21"/>
    <mergeCell ref="L3:R4"/>
    <mergeCell ref="G12:G13"/>
    <mergeCell ref="D12:E12"/>
    <mergeCell ref="D13:E13"/>
    <mergeCell ref="D14:E14"/>
    <mergeCell ref="D15:E15"/>
    <mergeCell ref="D16:E1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67BF2-F214-A74E-8E74-A6CA8CAA03E0}">
  <dimension ref="A1:S77"/>
  <sheetViews>
    <sheetView workbookViewId="0">
      <selection activeCell="B1" sqref="B1"/>
    </sheetView>
  </sheetViews>
  <sheetFormatPr baseColWidth="10" defaultColWidth="11" defaultRowHeight="16" outlineLevelCol="1" x14ac:dyDescent="0.2"/>
  <cols>
    <col min="1" max="1" width="4" style="94" customWidth="1"/>
    <col min="2" max="2" width="11.5" customWidth="1"/>
    <col min="7" max="7" width="11.33203125" bestFit="1" customWidth="1"/>
    <col min="12" max="18" width="10.83203125" hidden="1" customWidth="1" outlineLevel="1"/>
    <col min="19" max="19" width="11" collapsed="1"/>
  </cols>
  <sheetData>
    <row r="1" spans="1:18" x14ac:dyDescent="0.2">
      <c r="A1" s="221"/>
      <c r="B1" s="128" t="s">
        <v>351</v>
      </c>
      <c r="C1" s="127" t="s">
        <v>413</v>
      </c>
      <c r="D1" s="127" t="s">
        <v>349</v>
      </c>
      <c r="E1" s="127" t="s">
        <v>412</v>
      </c>
      <c r="F1" s="126"/>
      <c r="G1" s="126"/>
      <c r="H1" s="126"/>
      <c r="I1" s="126"/>
      <c r="J1" s="125"/>
      <c r="K1" s="209" t="s">
        <v>125</v>
      </c>
      <c r="L1" s="209"/>
    </row>
    <row r="2" spans="1:18" ht="16" customHeight="1" x14ac:dyDescent="0.2">
      <c r="A2" s="196"/>
      <c r="B2" s="220" t="s">
        <v>348</v>
      </c>
      <c r="C2" s="219">
        <v>2.75</v>
      </c>
      <c r="D2" s="105"/>
      <c r="E2" s="105"/>
      <c r="F2" s="105"/>
      <c r="G2" s="105"/>
      <c r="H2" s="105"/>
      <c r="I2" s="105"/>
      <c r="J2" s="104"/>
      <c r="M2" s="247"/>
      <c r="N2" s="247"/>
      <c r="O2" s="247"/>
      <c r="P2" s="247"/>
      <c r="Q2" s="247"/>
      <c r="R2" s="247"/>
    </row>
    <row r="3" spans="1:18" x14ac:dyDescent="0.2">
      <c r="A3" s="196"/>
      <c r="B3" s="105"/>
      <c r="C3" s="105"/>
      <c r="D3" s="105"/>
      <c r="E3" s="105"/>
      <c r="F3" s="105"/>
      <c r="G3" s="105"/>
      <c r="H3" s="105"/>
      <c r="I3" s="105"/>
      <c r="J3" s="104"/>
      <c r="L3" s="248" t="s">
        <v>411</v>
      </c>
      <c r="M3" s="247"/>
      <c r="N3" s="247"/>
      <c r="O3" s="247"/>
      <c r="P3" s="247"/>
      <c r="Q3" s="247"/>
      <c r="R3" s="247"/>
    </row>
    <row r="4" spans="1:18" x14ac:dyDescent="0.2">
      <c r="A4" s="196"/>
      <c r="B4" s="105"/>
      <c r="C4" s="105" t="s">
        <v>410</v>
      </c>
      <c r="D4" s="105"/>
      <c r="E4" s="105"/>
      <c r="F4" s="105"/>
      <c r="G4" s="105"/>
      <c r="H4" s="105"/>
      <c r="I4" s="105"/>
      <c r="J4" s="104"/>
      <c r="M4" s="247"/>
      <c r="N4" s="247"/>
      <c r="O4" s="247"/>
      <c r="P4" s="247"/>
      <c r="Q4" s="247"/>
      <c r="R4" s="247"/>
    </row>
    <row r="5" spans="1:18" x14ac:dyDescent="0.2">
      <c r="A5" s="196"/>
      <c r="B5" s="105"/>
      <c r="C5" s="105"/>
      <c r="D5" s="105"/>
      <c r="E5" s="105"/>
      <c r="F5" s="105"/>
      <c r="G5" s="105"/>
      <c r="H5" s="105"/>
      <c r="I5" s="105"/>
      <c r="J5" s="104"/>
      <c r="L5" s="209" t="s">
        <v>347</v>
      </c>
    </row>
    <row r="6" spans="1:18" ht="17" thickBot="1" x14ac:dyDescent="0.25">
      <c r="A6" s="196"/>
      <c r="B6" s="105"/>
      <c r="C6" s="105"/>
      <c r="D6" s="345" t="s">
        <v>10</v>
      </c>
      <c r="E6" s="346"/>
      <c r="F6" s="346"/>
      <c r="G6" s="346"/>
      <c r="H6" s="347"/>
      <c r="I6" s="105"/>
      <c r="J6" s="104"/>
    </row>
    <row r="7" spans="1:18" ht="19" thickBot="1" x14ac:dyDescent="0.3">
      <c r="A7" s="196"/>
      <c r="B7" s="105"/>
      <c r="C7" s="105"/>
      <c r="D7" s="246"/>
      <c r="E7" s="245"/>
      <c r="F7" s="189" t="s">
        <v>5</v>
      </c>
      <c r="G7" s="187" t="s">
        <v>6</v>
      </c>
      <c r="H7" s="186" t="s">
        <v>7</v>
      </c>
      <c r="I7" s="105"/>
      <c r="J7" s="104"/>
      <c r="L7" s="241" t="s">
        <v>375</v>
      </c>
      <c r="M7" s="240">
        <f>(G15/G16)*G13/(G17*(1/F11))+(F10*G14*G13)</f>
        <v>1.5292682096890018</v>
      </c>
      <c r="N7" t="s">
        <v>374</v>
      </c>
    </row>
    <row r="8" spans="1:18" x14ac:dyDescent="0.2">
      <c r="A8" s="196"/>
      <c r="B8" s="105"/>
      <c r="C8" s="105"/>
      <c r="D8" s="359" t="s">
        <v>409</v>
      </c>
      <c r="E8" s="360"/>
      <c r="F8" s="112">
        <v>18</v>
      </c>
      <c r="G8" s="112">
        <v>30</v>
      </c>
      <c r="H8" s="166">
        <v>42</v>
      </c>
      <c r="I8" s="105"/>
      <c r="J8" s="104"/>
    </row>
    <row r="9" spans="1:18" x14ac:dyDescent="0.2">
      <c r="A9" s="196"/>
      <c r="B9" s="105"/>
      <c r="C9" s="105"/>
      <c r="D9" s="353" t="s">
        <v>408</v>
      </c>
      <c r="E9" s="357"/>
      <c r="F9" s="112">
        <v>27</v>
      </c>
      <c r="G9" s="112">
        <v>39</v>
      </c>
      <c r="H9" s="166">
        <v>51</v>
      </c>
      <c r="I9" s="105"/>
      <c r="J9" s="104"/>
      <c r="L9" s="209" t="s">
        <v>339</v>
      </c>
    </row>
    <row r="10" spans="1:18" x14ac:dyDescent="0.2">
      <c r="A10" s="196"/>
      <c r="B10" s="105"/>
      <c r="C10" s="105"/>
      <c r="D10" s="353" t="s">
        <v>407</v>
      </c>
      <c r="E10" s="357"/>
      <c r="F10" s="117">
        <v>0.8</v>
      </c>
      <c r="G10" s="117">
        <v>0.5</v>
      </c>
      <c r="H10" s="157">
        <v>0.7</v>
      </c>
      <c r="I10" s="105"/>
      <c r="J10" s="104"/>
    </row>
    <row r="11" spans="1:18" x14ac:dyDescent="0.2">
      <c r="A11" s="196"/>
      <c r="B11" s="105"/>
      <c r="C11" s="105"/>
      <c r="D11" s="354" t="s">
        <v>406</v>
      </c>
      <c r="E11" s="358"/>
      <c r="F11" s="160">
        <v>1.8</v>
      </c>
      <c r="G11" s="160">
        <v>1.1499999999999999</v>
      </c>
      <c r="H11" s="159">
        <v>1.05</v>
      </c>
      <c r="I11" s="105"/>
      <c r="J11" s="104"/>
      <c r="K11" s="179"/>
      <c r="L11" s="214" t="s">
        <v>405</v>
      </c>
      <c r="M11" s="242">
        <f>G16*G17</f>
        <v>40731750</v>
      </c>
    </row>
    <row r="12" spans="1:18" x14ac:dyDescent="0.2">
      <c r="A12" s="196"/>
      <c r="B12" s="105"/>
      <c r="C12" s="105"/>
      <c r="D12" s="105"/>
      <c r="E12" s="105"/>
      <c r="F12" s="105"/>
      <c r="G12" s="105"/>
      <c r="H12" s="105"/>
      <c r="I12" s="105"/>
      <c r="J12" s="104"/>
    </row>
    <row r="13" spans="1:18" ht="18" x14ac:dyDescent="0.25">
      <c r="A13" s="196"/>
      <c r="B13" s="112"/>
      <c r="C13" s="105" t="s">
        <v>373</v>
      </c>
      <c r="D13" s="105"/>
      <c r="E13" s="105"/>
      <c r="F13" s="105"/>
      <c r="G13" s="105">
        <v>1.04</v>
      </c>
      <c r="H13" s="105"/>
      <c r="I13" s="105"/>
      <c r="J13" s="104"/>
      <c r="L13" s="96" t="s">
        <v>404</v>
      </c>
      <c r="M13" s="242">
        <f>M11/G11</f>
        <v>35418913.043478265</v>
      </c>
      <c r="N13" t="s">
        <v>403</v>
      </c>
    </row>
    <row r="14" spans="1:18" ht="18" x14ac:dyDescent="0.25">
      <c r="A14" s="196"/>
      <c r="B14" s="112"/>
      <c r="C14" s="105" t="s">
        <v>376</v>
      </c>
      <c r="D14" s="105"/>
      <c r="E14" s="105"/>
      <c r="F14" s="105"/>
      <c r="G14" s="105">
        <v>1.1499999999999999</v>
      </c>
      <c r="H14" s="105"/>
      <c r="I14" s="105"/>
      <c r="J14" s="104"/>
      <c r="L14" s="96" t="s">
        <v>402</v>
      </c>
      <c r="M14" s="242">
        <f>M13*G10</f>
        <v>17709456.521739133</v>
      </c>
      <c r="N14" t="s">
        <v>401</v>
      </c>
    </row>
    <row r="15" spans="1:18" x14ac:dyDescent="0.2">
      <c r="A15" s="196"/>
      <c r="B15" s="112"/>
      <c r="C15" s="105" t="s">
        <v>400</v>
      </c>
      <c r="D15" s="105"/>
      <c r="E15" s="105"/>
      <c r="F15" s="105"/>
      <c r="G15" s="244">
        <v>12456000</v>
      </c>
      <c r="H15" s="105"/>
      <c r="I15" s="105"/>
      <c r="J15" s="104"/>
    </row>
    <row r="16" spans="1:18" ht="18" x14ac:dyDescent="0.25">
      <c r="A16" s="196"/>
      <c r="B16" s="112"/>
      <c r="C16" s="105" t="s">
        <v>399</v>
      </c>
      <c r="D16" s="105"/>
      <c r="E16" s="105"/>
      <c r="F16" s="105"/>
      <c r="G16" s="244">
        <v>54309000</v>
      </c>
      <c r="H16" s="105"/>
      <c r="I16" s="105"/>
      <c r="J16" s="104"/>
      <c r="L16" s="96" t="s">
        <v>398</v>
      </c>
      <c r="M16" s="242">
        <f>M11/F11</f>
        <v>22628750</v>
      </c>
    </row>
    <row r="17" spans="1:18" ht="18" x14ac:dyDescent="0.25">
      <c r="A17" s="196"/>
      <c r="B17" s="112"/>
      <c r="C17" s="105" t="s">
        <v>397</v>
      </c>
      <c r="D17" s="105"/>
      <c r="E17" s="105"/>
      <c r="F17" s="105"/>
      <c r="G17" s="243">
        <v>0.75</v>
      </c>
      <c r="H17" s="105"/>
      <c r="I17" s="105"/>
      <c r="J17" s="104"/>
      <c r="L17" s="96" t="s">
        <v>396</v>
      </c>
      <c r="M17" s="242">
        <f>M16*F10</f>
        <v>18103000</v>
      </c>
    </row>
    <row r="18" spans="1:18" ht="17" thickBot="1" x14ac:dyDescent="0.25">
      <c r="A18" s="196"/>
      <c r="B18" s="112"/>
      <c r="C18" s="105"/>
      <c r="D18" s="105"/>
      <c r="E18" s="105"/>
      <c r="F18" s="105"/>
      <c r="G18" s="105"/>
      <c r="H18" s="105"/>
      <c r="I18" s="105"/>
      <c r="J18" s="104"/>
      <c r="L18" s="96"/>
      <c r="M18" s="96"/>
    </row>
    <row r="19" spans="1:18" ht="19" thickBot="1" x14ac:dyDescent="0.3">
      <c r="A19" s="196" t="s">
        <v>0</v>
      </c>
      <c r="B19" s="134" t="s">
        <v>338</v>
      </c>
      <c r="C19" s="105" t="s">
        <v>395</v>
      </c>
      <c r="D19" s="105"/>
      <c r="E19" s="105"/>
      <c r="F19" s="105"/>
      <c r="G19" s="105"/>
      <c r="H19" s="105"/>
      <c r="I19" s="105"/>
      <c r="J19" s="104"/>
      <c r="L19" s="241" t="s">
        <v>372</v>
      </c>
      <c r="M19" s="240">
        <f>((M14-M17)/(M13-M16))*G14*G13</f>
        <v>-3.6799999999999777E-2</v>
      </c>
      <c r="N19" t="s">
        <v>369</v>
      </c>
    </row>
    <row r="20" spans="1:18" x14ac:dyDescent="0.2">
      <c r="A20" s="196"/>
      <c r="B20" s="112"/>
      <c r="C20" s="105"/>
      <c r="D20" s="105"/>
      <c r="E20" s="105"/>
      <c r="F20" s="105"/>
      <c r="G20" s="105"/>
      <c r="H20" s="105"/>
      <c r="I20" s="105"/>
      <c r="J20" s="104"/>
    </row>
    <row r="21" spans="1:18" x14ac:dyDescent="0.2">
      <c r="A21" s="196" t="s">
        <v>1</v>
      </c>
      <c r="B21" s="105" t="s">
        <v>335</v>
      </c>
      <c r="C21" s="105" t="s">
        <v>394</v>
      </c>
      <c r="D21" s="105"/>
      <c r="E21" s="105"/>
      <c r="F21" s="105"/>
      <c r="G21" s="105"/>
      <c r="H21" s="105"/>
      <c r="I21" s="105"/>
      <c r="J21" s="104"/>
      <c r="L21" s="209" t="s">
        <v>393</v>
      </c>
    </row>
    <row r="22" spans="1:18" x14ac:dyDescent="0.2">
      <c r="A22" s="196"/>
      <c r="B22" s="112"/>
      <c r="C22" s="105"/>
      <c r="D22" s="105"/>
      <c r="E22" s="105"/>
      <c r="F22" s="105"/>
      <c r="G22" s="105"/>
      <c r="H22" s="105"/>
      <c r="I22" s="105"/>
      <c r="J22" s="104"/>
    </row>
    <row r="23" spans="1:18" ht="18" x14ac:dyDescent="0.25">
      <c r="A23" s="196" t="s">
        <v>259</v>
      </c>
      <c r="B23" s="105" t="s">
        <v>335</v>
      </c>
      <c r="C23" s="105" t="s">
        <v>392</v>
      </c>
      <c r="D23" s="105"/>
      <c r="E23" s="105"/>
      <c r="F23" s="105"/>
      <c r="G23" s="105"/>
      <c r="H23" s="105"/>
      <c r="I23" s="105"/>
      <c r="J23" s="104"/>
      <c r="L23" s="96" t="s">
        <v>391</v>
      </c>
      <c r="M23" s="242">
        <f>M11/H11</f>
        <v>38792142.857142858</v>
      </c>
    </row>
    <row r="24" spans="1:18" ht="18" x14ac:dyDescent="0.25">
      <c r="A24" s="196"/>
      <c r="B24" s="105"/>
      <c r="C24" s="137"/>
      <c r="D24" s="105"/>
      <c r="E24" s="105"/>
      <c r="F24" s="105"/>
      <c r="G24" s="105"/>
      <c r="H24" s="105"/>
      <c r="I24" s="105"/>
      <c r="J24" s="104"/>
      <c r="L24" s="96" t="s">
        <v>390</v>
      </c>
      <c r="M24" s="242">
        <f>H10*M23</f>
        <v>27154500</v>
      </c>
    </row>
    <row r="25" spans="1:18" ht="17" thickBot="1" x14ac:dyDescent="0.25">
      <c r="A25" s="196" t="s">
        <v>256</v>
      </c>
      <c r="B25" s="105" t="s">
        <v>389</v>
      </c>
      <c r="C25" s="137" t="s">
        <v>388</v>
      </c>
      <c r="D25" s="105"/>
      <c r="E25" s="105"/>
      <c r="F25" s="105"/>
      <c r="G25" s="105"/>
      <c r="H25" s="105"/>
      <c r="I25" s="105"/>
      <c r="J25" s="104"/>
    </row>
    <row r="26" spans="1:18" ht="19" thickBot="1" x14ac:dyDescent="0.3">
      <c r="A26" s="196"/>
      <c r="B26" s="105"/>
      <c r="C26" s="105" t="s">
        <v>387</v>
      </c>
      <c r="D26" s="105"/>
      <c r="E26" s="105"/>
      <c r="F26" s="105"/>
      <c r="G26" s="105"/>
      <c r="H26" s="105"/>
      <c r="I26" s="105"/>
      <c r="J26" s="104"/>
      <c r="L26" s="241" t="s">
        <v>370</v>
      </c>
      <c r="M26" s="240">
        <f>(((M24-M14)/(M23-M13))*G14*G13)</f>
        <v>3.348800000000002</v>
      </c>
    </row>
    <row r="27" spans="1:18" ht="17" thickBot="1" x14ac:dyDescent="0.25">
      <c r="A27" s="194"/>
      <c r="B27" s="224"/>
      <c r="C27" s="225"/>
      <c r="D27" s="224"/>
      <c r="E27" s="224"/>
      <c r="F27" s="224"/>
      <c r="G27" s="224"/>
      <c r="H27" s="224"/>
      <c r="I27" s="224"/>
      <c r="J27" s="223"/>
    </row>
    <row r="28" spans="1:18" ht="17" thickBot="1" x14ac:dyDescent="0.25">
      <c r="A28" s="208" t="s">
        <v>124</v>
      </c>
      <c r="B28" s="101"/>
      <c r="C28" s="207"/>
      <c r="D28" s="101"/>
      <c r="E28" s="101"/>
      <c r="F28" s="101"/>
      <c r="G28" s="101"/>
      <c r="H28" s="101"/>
      <c r="I28" s="101"/>
      <c r="J28" s="100"/>
    </row>
    <row r="29" spans="1:18" x14ac:dyDescent="0.2">
      <c r="L29" s="209" t="s">
        <v>386</v>
      </c>
    </row>
    <row r="30" spans="1:18" x14ac:dyDescent="0.2">
      <c r="L30" s="364" t="s">
        <v>385</v>
      </c>
      <c r="M30" s="364"/>
      <c r="N30" s="364"/>
      <c r="O30" s="364"/>
      <c r="P30" s="364"/>
      <c r="Q30" s="364"/>
      <c r="R30" s="364"/>
    </row>
    <row r="31" spans="1:18" x14ac:dyDescent="0.2">
      <c r="L31" s="364"/>
      <c r="M31" s="364"/>
      <c r="N31" s="364"/>
      <c r="O31" s="364"/>
      <c r="P31" s="364"/>
      <c r="Q31" s="364"/>
      <c r="R31" s="364"/>
    </row>
    <row r="32" spans="1:18" x14ac:dyDescent="0.2">
      <c r="L32" s="364"/>
      <c r="M32" s="364"/>
      <c r="N32" s="364"/>
      <c r="O32" s="364"/>
      <c r="P32" s="364"/>
      <c r="Q32" s="364"/>
      <c r="R32" s="364"/>
    </row>
    <row r="33" spans="12:18" x14ac:dyDescent="0.2">
      <c r="L33" s="364"/>
      <c r="M33" s="364"/>
      <c r="N33" s="364"/>
      <c r="O33" s="364"/>
      <c r="P33" s="364"/>
      <c r="Q33" s="364"/>
      <c r="R33" s="364"/>
    </row>
    <row r="35" spans="12:18" ht="19" x14ac:dyDescent="0.2">
      <c r="L35" s="206" t="s">
        <v>113</v>
      </c>
    </row>
    <row r="36" spans="12:18" x14ac:dyDescent="0.2">
      <c r="L36" s="364" t="s">
        <v>384</v>
      </c>
      <c r="M36" s="364"/>
      <c r="N36" s="364"/>
      <c r="O36" s="364"/>
      <c r="P36" s="364"/>
      <c r="Q36" s="364"/>
      <c r="R36" s="364"/>
    </row>
    <row r="37" spans="12:18" x14ac:dyDescent="0.2">
      <c r="L37" s="364"/>
      <c r="M37" s="364"/>
      <c r="N37" s="364"/>
      <c r="O37" s="364"/>
      <c r="P37" s="364"/>
      <c r="Q37" s="364"/>
      <c r="R37" s="364"/>
    </row>
    <row r="38" spans="12:18" x14ac:dyDescent="0.2">
      <c r="L38" s="364"/>
      <c r="M38" s="364"/>
      <c r="N38" s="364"/>
      <c r="O38" s="364"/>
      <c r="P38" s="364"/>
      <c r="Q38" s="364"/>
      <c r="R38" s="364"/>
    </row>
    <row r="39" spans="12:18" x14ac:dyDescent="0.2">
      <c r="L39" s="364"/>
      <c r="M39" s="364"/>
      <c r="N39" s="364"/>
      <c r="O39" s="364"/>
      <c r="P39" s="364"/>
      <c r="Q39" s="364"/>
      <c r="R39" s="364"/>
    </row>
    <row r="40" spans="12:18" x14ac:dyDescent="0.2">
      <c r="L40" s="364"/>
      <c r="M40" s="364"/>
      <c r="N40" s="364"/>
      <c r="O40" s="364"/>
      <c r="P40" s="364"/>
      <c r="Q40" s="364"/>
      <c r="R40" s="364"/>
    </row>
    <row r="41" spans="12:18" x14ac:dyDescent="0.2">
      <c r="L41" s="364"/>
      <c r="M41" s="364"/>
      <c r="N41" s="364"/>
      <c r="O41" s="364"/>
      <c r="P41" s="364"/>
      <c r="Q41" s="364"/>
      <c r="R41" s="364"/>
    </row>
    <row r="42" spans="12:18" x14ac:dyDescent="0.2">
      <c r="L42" s="364"/>
      <c r="M42" s="364"/>
      <c r="N42" s="364"/>
      <c r="O42" s="364"/>
      <c r="P42" s="364"/>
      <c r="Q42" s="364"/>
      <c r="R42" s="364"/>
    </row>
    <row r="43" spans="12:18" x14ac:dyDescent="0.2">
      <c r="L43" s="364"/>
      <c r="M43" s="364"/>
      <c r="N43" s="364"/>
      <c r="O43" s="364"/>
      <c r="P43" s="364"/>
      <c r="Q43" s="364"/>
      <c r="R43" s="364"/>
    </row>
    <row r="44" spans="12:18" x14ac:dyDescent="0.2">
      <c r="L44" s="364"/>
      <c r="M44" s="364"/>
      <c r="N44" s="364"/>
      <c r="O44" s="364"/>
      <c r="P44" s="364"/>
      <c r="Q44" s="364"/>
      <c r="R44" s="364"/>
    </row>
    <row r="45" spans="12:18" x14ac:dyDescent="0.2">
      <c r="L45" s="364"/>
      <c r="M45" s="364"/>
      <c r="N45" s="364"/>
      <c r="O45" s="364"/>
      <c r="P45" s="364"/>
      <c r="Q45" s="364"/>
      <c r="R45" s="364"/>
    </row>
    <row r="46" spans="12:18" x14ac:dyDescent="0.2">
      <c r="L46" s="364"/>
      <c r="M46" s="364"/>
      <c r="N46" s="364"/>
      <c r="O46" s="364"/>
      <c r="P46" s="364"/>
      <c r="Q46" s="364"/>
      <c r="R46" s="364"/>
    </row>
    <row r="47" spans="12:18" x14ac:dyDescent="0.2">
      <c r="L47" s="364"/>
      <c r="M47" s="364"/>
      <c r="N47" s="364"/>
      <c r="O47" s="364"/>
      <c r="P47" s="364"/>
      <c r="Q47" s="364"/>
      <c r="R47" s="364"/>
    </row>
    <row r="48" spans="12:18" x14ac:dyDescent="0.2">
      <c r="L48" s="364"/>
      <c r="M48" s="364"/>
      <c r="N48" s="364"/>
      <c r="O48" s="364"/>
      <c r="P48" s="364"/>
      <c r="Q48" s="364"/>
      <c r="R48" s="364"/>
    </row>
    <row r="49" spans="12:18" x14ac:dyDescent="0.2">
      <c r="L49" s="364"/>
      <c r="M49" s="364"/>
      <c r="N49" s="364"/>
      <c r="O49" s="364"/>
      <c r="P49" s="364"/>
      <c r="Q49" s="364"/>
      <c r="R49" s="364"/>
    </row>
    <row r="50" spans="12:18" x14ac:dyDescent="0.2">
      <c r="L50" s="364"/>
      <c r="M50" s="364"/>
      <c r="N50" s="364"/>
      <c r="O50" s="364"/>
      <c r="P50" s="364"/>
      <c r="Q50" s="364"/>
      <c r="R50" s="364"/>
    </row>
    <row r="51" spans="12:18" x14ac:dyDescent="0.2">
      <c r="L51" s="364"/>
      <c r="M51" s="364"/>
      <c r="N51" s="364"/>
      <c r="O51" s="364"/>
      <c r="P51" s="364"/>
      <c r="Q51" s="364"/>
      <c r="R51" s="364"/>
    </row>
    <row r="52" spans="12:18" x14ac:dyDescent="0.2">
      <c r="L52" s="364"/>
      <c r="M52" s="364"/>
      <c r="N52" s="364"/>
      <c r="O52" s="364"/>
      <c r="P52" s="364"/>
      <c r="Q52" s="364"/>
      <c r="R52" s="364"/>
    </row>
    <row r="53" spans="12:18" x14ac:dyDescent="0.2">
      <c r="L53" s="364"/>
      <c r="M53" s="364"/>
      <c r="N53" s="364"/>
      <c r="O53" s="364"/>
      <c r="P53" s="364"/>
      <c r="Q53" s="364"/>
      <c r="R53" s="364"/>
    </row>
    <row r="54" spans="12:18" x14ac:dyDescent="0.2">
      <c r="L54" s="364"/>
      <c r="M54" s="364"/>
      <c r="N54" s="364"/>
      <c r="O54" s="364"/>
      <c r="P54" s="364"/>
      <c r="Q54" s="364"/>
      <c r="R54" s="364"/>
    </row>
    <row r="55" spans="12:18" x14ac:dyDescent="0.2">
      <c r="L55" s="364"/>
      <c r="M55" s="364"/>
      <c r="N55" s="364"/>
      <c r="O55" s="364"/>
      <c r="P55" s="364"/>
      <c r="Q55" s="364"/>
      <c r="R55" s="364"/>
    </row>
    <row r="56" spans="12:18" x14ac:dyDescent="0.2">
      <c r="L56" s="364"/>
      <c r="M56" s="364"/>
      <c r="N56" s="364"/>
      <c r="O56" s="364"/>
      <c r="P56" s="364"/>
      <c r="Q56" s="364"/>
      <c r="R56" s="364"/>
    </row>
    <row r="57" spans="12:18" x14ac:dyDescent="0.2">
      <c r="L57" s="364"/>
      <c r="M57" s="364"/>
      <c r="N57" s="364"/>
      <c r="O57" s="364"/>
      <c r="P57" s="364"/>
      <c r="Q57" s="364"/>
      <c r="R57" s="364"/>
    </row>
    <row r="58" spans="12:18" x14ac:dyDescent="0.2">
      <c r="L58" s="364"/>
      <c r="M58" s="364"/>
      <c r="N58" s="364"/>
      <c r="O58" s="364"/>
      <c r="P58" s="364"/>
      <c r="Q58" s="364"/>
      <c r="R58" s="364"/>
    </row>
    <row r="59" spans="12:18" x14ac:dyDescent="0.2">
      <c r="L59" s="364"/>
      <c r="M59" s="364"/>
      <c r="N59" s="364"/>
      <c r="O59" s="364"/>
      <c r="P59" s="364"/>
      <c r="Q59" s="364"/>
      <c r="R59" s="364"/>
    </row>
    <row r="60" spans="12:18" x14ac:dyDescent="0.2">
      <c r="L60" s="364"/>
      <c r="M60" s="364"/>
      <c r="N60" s="364"/>
      <c r="O60" s="364"/>
      <c r="P60" s="364"/>
      <c r="Q60" s="364"/>
      <c r="R60" s="364"/>
    </row>
    <row r="61" spans="12:18" x14ac:dyDescent="0.2">
      <c r="L61" s="364"/>
      <c r="M61" s="364"/>
      <c r="N61" s="364"/>
      <c r="O61" s="364"/>
      <c r="P61" s="364"/>
      <c r="Q61" s="364"/>
      <c r="R61" s="364"/>
    </row>
    <row r="62" spans="12:18" x14ac:dyDescent="0.2">
      <c r="L62" s="364"/>
      <c r="M62" s="364"/>
      <c r="N62" s="364"/>
      <c r="O62" s="364"/>
      <c r="P62" s="364"/>
      <c r="Q62" s="364"/>
      <c r="R62" s="364"/>
    </row>
    <row r="63" spans="12:18" x14ac:dyDescent="0.2">
      <c r="L63" s="364"/>
      <c r="M63" s="364"/>
      <c r="N63" s="364"/>
      <c r="O63" s="364"/>
      <c r="P63" s="364"/>
      <c r="Q63" s="364"/>
      <c r="R63" s="364"/>
    </row>
    <row r="65" spans="12:18" ht="19" x14ac:dyDescent="0.25">
      <c r="L65" s="239" t="s">
        <v>383</v>
      </c>
    </row>
    <row r="67" spans="12:18" x14ac:dyDescent="0.2">
      <c r="L67" s="209" t="s">
        <v>178</v>
      </c>
    </row>
    <row r="68" spans="12:18" x14ac:dyDescent="0.2">
      <c r="L68" s="205" t="s">
        <v>382</v>
      </c>
      <c r="M68" s="205"/>
      <c r="N68" s="205"/>
      <c r="O68" s="205"/>
      <c r="P68" s="205"/>
      <c r="Q68" s="205"/>
      <c r="R68" s="205"/>
    </row>
    <row r="69" spans="12:18" ht="17" thickBot="1" x14ac:dyDescent="0.25"/>
    <row r="70" spans="12:18" ht="19" thickBot="1" x14ac:dyDescent="0.25">
      <c r="L70" s="238" t="s">
        <v>372</v>
      </c>
      <c r="M70" s="237">
        <f>G10*G13*G14</f>
        <v>0.59799999999999998</v>
      </c>
    </row>
    <row r="72" spans="12:18" x14ac:dyDescent="0.2">
      <c r="L72" s="209" t="s">
        <v>260</v>
      </c>
    </row>
    <row r="73" spans="12:18" ht="17" thickBot="1" x14ac:dyDescent="0.25"/>
    <row r="74" spans="12:18" ht="19" thickBot="1" x14ac:dyDescent="0.25">
      <c r="L74" s="238" t="s">
        <v>370</v>
      </c>
      <c r="M74" s="237">
        <f>H10*G13*G14</f>
        <v>0.83719999999999994</v>
      </c>
    </row>
    <row r="76" spans="12:18" ht="19" x14ac:dyDescent="0.2">
      <c r="L76" s="206" t="s">
        <v>136</v>
      </c>
    </row>
    <row r="77" spans="12:18" x14ac:dyDescent="0.2">
      <c r="L77" s="364" t="s">
        <v>381</v>
      </c>
      <c r="M77" s="364"/>
      <c r="N77" s="364"/>
      <c r="O77" s="364"/>
      <c r="P77" s="364"/>
      <c r="Q77" s="364"/>
      <c r="R77" s="364"/>
    </row>
  </sheetData>
  <mergeCells count="8">
    <mergeCell ref="L77:R77"/>
    <mergeCell ref="D6:H6"/>
    <mergeCell ref="L30:R33"/>
    <mergeCell ref="L36:R63"/>
    <mergeCell ref="D8:E8"/>
    <mergeCell ref="D9:E9"/>
    <mergeCell ref="D10:E10"/>
    <mergeCell ref="D11:E1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48725-DB9F-3940-84B8-26AD41F058BA}">
  <dimension ref="A1:S39"/>
  <sheetViews>
    <sheetView workbookViewId="0">
      <selection activeCell="B1" sqref="B1"/>
    </sheetView>
  </sheetViews>
  <sheetFormatPr baseColWidth="10" defaultColWidth="11" defaultRowHeight="16" outlineLevelCol="1" x14ac:dyDescent="0.2"/>
  <cols>
    <col min="1" max="1" width="4" style="94" customWidth="1"/>
    <col min="2" max="2" width="11.5" customWidth="1"/>
    <col min="4" max="5" width="11.83203125" bestFit="1" customWidth="1"/>
    <col min="12" max="12" width="10.83203125" hidden="1" customWidth="1" outlineLevel="1"/>
    <col min="13" max="13" width="12" hidden="1" customWidth="1" outlineLevel="1"/>
    <col min="14" max="18" width="10.83203125" hidden="1" customWidth="1" outlineLevel="1"/>
    <col min="19" max="19" width="11" collapsed="1"/>
  </cols>
  <sheetData>
    <row r="1" spans="1:19" x14ac:dyDescent="0.2">
      <c r="A1" s="221"/>
      <c r="B1" s="128" t="s">
        <v>351</v>
      </c>
      <c r="C1" s="127" t="s">
        <v>429</v>
      </c>
      <c r="D1" s="127" t="s">
        <v>349</v>
      </c>
      <c r="E1" s="127" t="s">
        <v>428</v>
      </c>
      <c r="F1" s="126"/>
      <c r="G1" s="126"/>
      <c r="H1" s="126"/>
      <c r="I1" s="126"/>
      <c r="J1" s="125"/>
      <c r="K1" s="209" t="s">
        <v>125</v>
      </c>
      <c r="L1" s="209"/>
    </row>
    <row r="2" spans="1:19" ht="16" customHeight="1" x14ac:dyDescent="0.2">
      <c r="A2" s="196"/>
      <c r="B2" s="220" t="s">
        <v>348</v>
      </c>
      <c r="C2" s="219">
        <v>1.75</v>
      </c>
      <c r="D2" s="105"/>
      <c r="E2" s="105"/>
      <c r="F2" s="105"/>
      <c r="G2" s="105"/>
      <c r="H2" s="105"/>
      <c r="I2" s="105"/>
      <c r="J2" s="104"/>
      <c r="S2" s="206"/>
    </row>
    <row r="3" spans="1:19" x14ac:dyDescent="0.2">
      <c r="A3" s="196"/>
      <c r="B3" s="105"/>
      <c r="C3" s="105"/>
      <c r="D3" s="105"/>
      <c r="E3" s="105"/>
      <c r="F3" s="105"/>
      <c r="G3" s="105"/>
      <c r="H3" s="105"/>
      <c r="I3" s="105"/>
      <c r="J3" s="104"/>
      <c r="L3" s="209" t="s">
        <v>347</v>
      </c>
    </row>
    <row r="4" spans="1:19" x14ac:dyDescent="0.2">
      <c r="A4" s="196"/>
      <c r="B4" s="105"/>
      <c r="C4" s="105" t="s">
        <v>427</v>
      </c>
      <c r="D4" s="105"/>
      <c r="E4" s="105"/>
      <c r="F4" s="105"/>
      <c r="G4" s="105"/>
      <c r="H4" s="105"/>
      <c r="I4" s="105"/>
      <c r="J4" s="104"/>
      <c r="L4" s="364" t="s">
        <v>426</v>
      </c>
      <c r="M4" s="364"/>
      <c r="N4" s="364"/>
      <c r="O4" s="364"/>
      <c r="P4" s="364"/>
      <c r="Q4" s="364"/>
      <c r="R4" s="364"/>
    </row>
    <row r="5" spans="1:19" x14ac:dyDescent="0.2">
      <c r="A5" s="196"/>
      <c r="B5" s="105"/>
      <c r="C5" s="105"/>
      <c r="D5" s="105"/>
      <c r="E5" s="105"/>
      <c r="F5" s="105"/>
      <c r="G5" s="105"/>
      <c r="H5" s="105"/>
      <c r="I5" s="105"/>
      <c r="J5" s="104"/>
      <c r="L5" s="364"/>
      <c r="M5" s="364"/>
      <c r="N5" s="364"/>
      <c r="O5" s="364"/>
      <c r="P5" s="364"/>
      <c r="Q5" s="364"/>
      <c r="R5" s="364"/>
    </row>
    <row r="6" spans="1:19" x14ac:dyDescent="0.2">
      <c r="A6" s="196"/>
      <c r="B6" s="105"/>
      <c r="C6" s="253"/>
      <c r="D6" s="235" t="s">
        <v>425</v>
      </c>
      <c r="E6" s="163" t="s">
        <v>425</v>
      </c>
      <c r="F6" s="105"/>
      <c r="G6" s="105"/>
      <c r="H6" s="105"/>
      <c r="I6" s="105"/>
      <c r="J6" s="104"/>
      <c r="L6" s="364"/>
      <c r="M6" s="364"/>
      <c r="N6" s="364"/>
      <c r="O6" s="364"/>
      <c r="P6" s="364"/>
      <c r="Q6" s="364"/>
      <c r="R6" s="364"/>
    </row>
    <row r="7" spans="1:19" x14ac:dyDescent="0.2">
      <c r="A7" s="196"/>
      <c r="B7" s="105"/>
      <c r="C7" s="216" t="s">
        <v>138</v>
      </c>
      <c r="D7" s="216" t="s">
        <v>424</v>
      </c>
      <c r="E7" s="159" t="s">
        <v>423</v>
      </c>
      <c r="F7" s="105"/>
      <c r="G7" s="105"/>
      <c r="H7" s="105"/>
      <c r="I7" s="105"/>
      <c r="J7" s="104"/>
    </row>
    <row r="8" spans="1:19" x14ac:dyDescent="0.2">
      <c r="A8" s="196"/>
      <c r="B8" s="105"/>
      <c r="C8" s="122">
        <v>1</v>
      </c>
      <c r="D8" s="252">
        <v>100000</v>
      </c>
      <c r="E8" s="251">
        <v>150000</v>
      </c>
      <c r="F8" s="105"/>
      <c r="G8" s="105"/>
      <c r="H8" s="105"/>
      <c r="I8" s="105"/>
      <c r="J8" s="104"/>
      <c r="L8" s="209" t="s">
        <v>339</v>
      </c>
    </row>
    <row r="9" spans="1:19" x14ac:dyDescent="0.2">
      <c r="A9" s="196"/>
      <c r="B9" s="105"/>
      <c r="C9" s="122">
        <v>2</v>
      </c>
      <c r="D9" s="252">
        <v>50000</v>
      </c>
      <c r="E9" s="251">
        <v>25000</v>
      </c>
      <c r="F9" s="105"/>
      <c r="G9" s="105"/>
      <c r="H9" s="105"/>
      <c r="I9" s="105"/>
      <c r="J9" s="104"/>
      <c r="L9" s="341" t="s">
        <v>422</v>
      </c>
      <c r="M9" s="341"/>
      <c r="N9" s="341"/>
      <c r="O9" s="341"/>
      <c r="P9" s="341"/>
      <c r="Q9" s="341"/>
      <c r="R9" s="341"/>
    </row>
    <row r="10" spans="1:19" x14ac:dyDescent="0.2">
      <c r="A10" s="196"/>
      <c r="B10" s="105"/>
      <c r="C10" s="122">
        <v>3</v>
      </c>
      <c r="D10" s="252">
        <v>15000</v>
      </c>
      <c r="E10" s="251">
        <v>0</v>
      </c>
      <c r="F10" s="105"/>
      <c r="G10" s="105"/>
      <c r="H10" s="105"/>
      <c r="I10" s="105"/>
      <c r="J10" s="104"/>
      <c r="L10" s="341"/>
      <c r="M10" s="341"/>
      <c r="N10" s="341"/>
      <c r="O10" s="341"/>
      <c r="P10" s="341"/>
      <c r="Q10" s="341"/>
      <c r="R10" s="341"/>
    </row>
    <row r="11" spans="1:19" x14ac:dyDescent="0.2">
      <c r="A11" s="196"/>
      <c r="B11" s="105"/>
      <c r="C11" s="122">
        <v>4</v>
      </c>
      <c r="D11" s="252">
        <v>20000</v>
      </c>
      <c r="E11" s="251">
        <v>5000</v>
      </c>
      <c r="F11" s="105"/>
      <c r="G11" s="105"/>
      <c r="H11" s="105"/>
      <c r="I11" s="105"/>
      <c r="J11" s="104"/>
      <c r="L11" s="341"/>
      <c r="M11" s="341"/>
      <c r="N11" s="341"/>
      <c r="O11" s="341"/>
      <c r="P11" s="341"/>
      <c r="Q11" s="341"/>
      <c r="R11" s="341"/>
    </row>
    <row r="12" spans="1:19" ht="15.75" customHeight="1" x14ac:dyDescent="0.2">
      <c r="A12" s="196"/>
      <c r="B12" s="105"/>
      <c r="C12" s="120">
        <v>5</v>
      </c>
      <c r="D12" s="250">
        <v>5000</v>
      </c>
      <c r="E12" s="249">
        <v>-1250</v>
      </c>
      <c r="F12" s="105"/>
      <c r="G12" s="105"/>
      <c r="H12" s="105"/>
      <c r="I12" s="105"/>
      <c r="J12" s="104"/>
      <c r="L12" s="341"/>
      <c r="M12" s="341"/>
      <c r="N12" s="341"/>
      <c r="O12" s="341"/>
      <c r="P12" s="341"/>
      <c r="Q12" s="341"/>
      <c r="R12" s="341"/>
    </row>
    <row r="13" spans="1:19" x14ac:dyDescent="0.2">
      <c r="A13" s="196"/>
      <c r="B13" s="105"/>
      <c r="C13" s="105"/>
      <c r="D13" s="105"/>
      <c r="E13" s="105"/>
      <c r="F13" s="105"/>
      <c r="G13" s="105"/>
      <c r="H13" s="105"/>
      <c r="I13" s="105"/>
      <c r="J13" s="104"/>
      <c r="L13" s="341"/>
      <c r="M13" s="341"/>
      <c r="N13" s="341"/>
      <c r="O13" s="341"/>
      <c r="P13" s="341"/>
      <c r="Q13" s="341"/>
      <c r="R13" s="341"/>
    </row>
    <row r="14" spans="1:19" x14ac:dyDescent="0.2">
      <c r="A14" s="196" t="s">
        <v>0</v>
      </c>
      <c r="B14" s="134" t="s">
        <v>335</v>
      </c>
      <c r="C14" s="105" t="s">
        <v>421</v>
      </c>
      <c r="D14" s="105"/>
      <c r="E14" s="105"/>
      <c r="F14" s="105"/>
      <c r="G14" s="105"/>
      <c r="H14" s="105"/>
      <c r="I14" s="105"/>
      <c r="J14" s="104"/>
      <c r="L14" s="341"/>
      <c r="M14" s="341"/>
      <c r="N14" s="341"/>
      <c r="O14" s="341"/>
      <c r="P14" s="341"/>
      <c r="Q14" s="341"/>
      <c r="R14" s="341"/>
    </row>
    <row r="15" spans="1:19" x14ac:dyDescent="0.2">
      <c r="A15" s="196"/>
      <c r="B15" s="112"/>
      <c r="C15" s="105" t="s">
        <v>420</v>
      </c>
      <c r="D15" s="105"/>
      <c r="E15" s="105"/>
      <c r="F15" s="105"/>
      <c r="G15" s="105"/>
      <c r="H15" s="105"/>
      <c r="I15" s="105"/>
      <c r="J15" s="104"/>
    </row>
    <row r="16" spans="1:19" x14ac:dyDescent="0.2">
      <c r="A16" s="196"/>
      <c r="B16" s="112"/>
      <c r="C16" s="105"/>
      <c r="D16" s="105"/>
      <c r="E16" s="105"/>
      <c r="F16" s="105"/>
      <c r="G16" s="105"/>
      <c r="H16" s="105"/>
      <c r="I16" s="105"/>
      <c r="J16" s="104"/>
      <c r="L16" s="209" t="s">
        <v>393</v>
      </c>
    </row>
    <row r="17" spans="1:18" ht="16" customHeight="1" x14ac:dyDescent="0.2">
      <c r="A17" s="196" t="s">
        <v>1</v>
      </c>
      <c r="B17" s="134" t="s">
        <v>335</v>
      </c>
      <c r="C17" s="105" t="s">
        <v>419</v>
      </c>
      <c r="D17" s="105"/>
      <c r="E17" s="105"/>
      <c r="F17" s="105"/>
      <c r="G17" s="105"/>
      <c r="H17" s="105"/>
      <c r="I17" s="105"/>
      <c r="J17" s="104"/>
      <c r="L17" s="341" t="s">
        <v>418</v>
      </c>
      <c r="M17" s="341"/>
      <c r="N17" s="341"/>
      <c r="O17" s="341"/>
      <c r="P17" s="341"/>
      <c r="Q17" s="341"/>
      <c r="R17" s="341"/>
    </row>
    <row r="18" spans="1:18" x14ac:dyDescent="0.2">
      <c r="A18" s="196"/>
      <c r="B18" s="112"/>
      <c r="C18" s="105" t="s">
        <v>417</v>
      </c>
      <c r="D18" s="105"/>
      <c r="E18" s="105"/>
      <c r="F18" s="105"/>
      <c r="G18" s="105"/>
      <c r="H18" s="105"/>
      <c r="I18" s="105"/>
      <c r="J18" s="104"/>
      <c r="L18" s="341"/>
      <c r="M18" s="341"/>
      <c r="N18" s="341"/>
      <c r="O18" s="341"/>
      <c r="P18" s="341"/>
      <c r="Q18" s="341"/>
      <c r="R18" s="341"/>
    </row>
    <row r="19" spans="1:18" x14ac:dyDescent="0.2">
      <c r="A19" s="196"/>
      <c r="B19" s="112"/>
      <c r="C19" s="105"/>
      <c r="D19" s="105"/>
      <c r="E19" s="105"/>
      <c r="F19" s="105"/>
      <c r="G19" s="105"/>
      <c r="H19" s="105"/>
      <c r="I19" s="105"/>
      <c r="J19" s="104"/>
      <c r="L19" s="341"/>
      <c r="M19" s="341"/>
      <c r="N19" s="341"/>
      <c r="O19" s="341"/>
      <c r="P19" s="341"/>
      <c r="Q19" s="341"/>
      <c r="R19" s="341"/>
    </row>
    <row r="20" spans="1:18" x14ac:dyDescent="0.2">
      <c r="A20" s="196" t="s">
        <v>259</v>
      </c>
      <c r="B20" s="134" t="s">
        <v>389</v>
      </c>
      <c r="C20" s="105" t="s">
        <v>416</v>
      </c>
      <c r="D20" s="105"/>
      <c r="E20" s="105"/>
      <c r="F20" s="105"/>
      <c r="G20" s="105"/>
      <c r="H20" s="105"/>
      <c r="I20" s="105"/>
      <c r="J20" s="104"/>
      <c r="L20" s="341"/>
      <c r="M20" s="341"/>
      <c r="N20" s="341"/>
      <c r="O20" s="341"/>
      <c r="P20" s="341"/>
      <c r="Q20" s="341"/>
      <c r="R20" s="341"/>
    </row>
    <row r="21" spans="1:18" x14ac:dyDescent="0.2">
      <c r="A21" s="196"/>
      <c r="B21" s="112"/>
      <c r="C21" s="105" t="s">
        <v>415</v>
      </c>
      <c r="D21" s="105"/>
      <c r="E21" s="105"/>
      <c r="F21" s="105"/>
      <c r="G21" s="105"/>
      <c r="H21" s="105"/>
      <c r="I21" s="105"/>
      <c r="J21" s="104"/>
    </row>
    <row r="22" spans="1:18" ht="20" thickBot="1" x14ac:dyDescent="0.3">
      <c r="A22" s="196"/>
      <c r="B22" s="112"/>
      <c r="C22" s="105"/>
      <c r="D22" s="105"/>
      <c r="E22" s="105"/>
      <c r="F22" s="105"/>
      <c r="G22" s="105"/>
      <c r="H22" s="105"/>
      <c r="I22" s="105"/>
      <c r="J22" s="104"/>
      <c r="L22" s="124" t="s">
        <v>113</v>
      </c>
    </row>
    <row r="23" spans="1:18" ht="17" thickBot="1" x14ac:dyDescent="0.25">
      <c r="A23" s="208" t="s">
        <v>124</v>
      </c>
      <c r="B23" s="101"/>
      <c r="C23" s="207"/>
      <c r="D23" s="101"/>
      <c r="E23" s="101"/>
      <c r="F23" s="101"/>
      <c r="G23" s="101"/>
      <c r="H23" s="101"/>
      <c r="I23" s="101"/>
      <c r="J23" s="100"/>
      <c r="L23" s="364" t="s">
        <v>414</v>
      </c>
      <c r="M23" s="364"/>
      <c r="N23" s="364"/>
      <c r="O23" s="364"/>
      <c r="P23" s="364"/>
      <c r="Q23" s="364"/>
      <c r="R23" s="364"/>
    </row>
    <row r="24" spans="1:18" x14ac:dyDescent="0.2">
      <c r="L24" s="364"/>
      <c r="M24" s="364"/>
      <c r="N24" s="364"/>
      <c r="O24" s="364"/>
      <c r="P24" s="364"/>
      <c r="Q24" s="364"/>
      <c r="R24" s="364"/>
    </row>
    <row r="25" spans="1:18" x14ac:dyDescent="0.2">
      <c r="L25" s="364"/>
      <c r="M25" s="364"/>
      <c r="N25" s="364"/>
      <c r="O25" s="364"/>
      <c r="P25" s="364"/>
      <c r="Q25" s="364"/>
      <c r="R25" s="364"/>
    </row>
    <row r="26" spans="1:18" x14ac:dyDescent="0.2">
      <c r="L26" s="364"/>
      <c r="M26" s="364"/>
      <c r="N26" s="364"/>
      <c r="O26" s="364"/>
      <c r="P26" s="364"/>
      <c r="Q26" s="364"/>
      <c r="R26" s="364"/>
    </row>
    <row r="27" spans="1:18" x14ac:dyDescent="0.2">
      <c r="L27" s="364"/>
      <c r="M27" s="364"/>
      <c r="N27" s="364"/>
      <c r="O27" s="364"/>
      <c r="P27" s="364"/>
      <c r="Q27" s="364"/>
      <c r="R27" s="364"/>
    </row>
    <row r="28" spans="1:18" x14ac:dyDescent="0.2">
      <c r="L28" s="364"/>
      <c r="M28" s="364"/>
      <c r="N28" s="364"/>
      <c r="O28" s="364"/>
      <c r="P28" s="364"/>
      <c r="Q28" s="364"/>
      <c r="R28" s="364"/>
    </row>
    <row r="29" spans="1:18" x14ac:dyDescent="0.2">
      <c r="L29" s="364"/>
      <c r="M29" s="364"/>
      <c r="N29" s="364"/>
      <c r="O29" s="364"/>
      <c r="P29" s="364"/>
      <c r="Q29" s="364"/>
      <c r="R29" s="364"/>
    </row>
    <row r="30" spans="1:18" x14ac:dyDescent="0.2">
      <c r="L30" s="364"/>
      <c r="M30" s="364"/>
      <c r="N30" s="364"/>
      <c r="O30" s="364"/>
      <c r="P30" s="364"/>
      <c r="Q30" s="364"/>
      <c r="R30" s="364"/>
    </row>
    <row r="31" spans="1:18" x14ac:dyDescent="0.2">
      <c r="L31" s="364"/>
      <c r="M31" s="364"/>
      <c r="N31" s="364"/>
      <c r="O31" s="364"/>
      <c r="P31" s="364"/>
      <c r="Q31" s="364"/>
      <c r="R31" s="364"/>
    </row>
    <row r="32" spans="1:18" x14ac:dyDescent="0.2">
      <c r="L32" s="364"/>
      <c r="M32" s="364"/>
      <c r="N32" s="364"/>
      <c r="O32" s="364"/>
      <c r="P32" s="364"/>
      <c r="Q32" s="364"/>
      <c r="R32" s="364"/>
    </row>
    <row r="33" spans="12:18" x14ac:dyDescent="0.2">
      <c r="L33" s="364"/>
      <c r="M33" s="364"/>
      <c r="N33" s="364"/>
      <c r="O33" s="364"/>
      <c r="P33" s="364"/>
      <c r="Q33" s="364"/>
      <c r="R33" s="364"/>
    </row>
    <row r="34" spans="12:18" x14ac:dyDescent="0.2">
      <c r="L34" s="364"/>
      <c r="M34" s="364"/>
      <c r="N34" s="364"/>
      <c r="O34" s="364"/>
      <c r="P34" s="364"/>
      <c r="Q34" s="364"/>
      <c r="R34" s="364"/>
    </row>
    <row r="35" spans="12:18" x14ac:dyDescent="0.2">
      <c r="L35" s="364"/>
      <c r="M35" s="364"/>
      <c r="N35" s="364"/>
      <c r="O35" s="364"/>
      <c r="P35" s="364"/>
      <c r="Q35" s="364"/>
      <c r="R35" s="364"/>
    </row>
    <row r="36" spans="12:18" x14ac:dyDescent="0.2">
      <c r="L36" s="364"/>
      <c r="M36" s="364"/>
      <c r="N36" s="364"/>
      <c r="O36" s="364"/>
      <c r="P36" s="364"/>
      <c r="Q36" s="364"/>
      <c r="R36" s="364"/>
    </row>
    <row r="37" spans="12:18" x14ac:dyDescent="0.2">
      <c r="L37" s="364"/>
      <c r="M37" s="364"/>
      <c r="N37" s="364"/>
      <c r="O37" s="364"/>
      <c r="P37" s="364"/>
      <c r="Q37" s="364"/>
      <c r="R37" s="364"/>
    </row>
    <row r="38" spans="12:18" x14ac:dyDescent="0.2">
      <c r="L38" s="364"/>
      <c r="M38" s="364"/>
      <c r="N38" s="364"/>
      <c r="O38" s="364"/>
      <c r="P38" s="364"/>
      <c r="Q38" s="364"/>
      <c r="R38" s="364"/>
    </row>
    <row r="39" spans="12:18" x14ac:dyDescent="0.2">
      <c r="L39" s="364"/>
      <c r="M39" s="364"/>
      <c r="N39" s="364"/>
      <c r="O39" s="364"/>
      <c r="P39" s="364"/>
      <c r="Q39" s="364"/>
      <c r="R39" s="364"/>
    </row>
  </sheetData>
  <mergeCells count="4">
    <mergeCell ref="L4:R6"/>
    <mergeCell ref="L9:R14"/>
    <mergeCell ref="L23:R39"/>
    <mergeCell ref="L17:R20"/>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176DF-9A5C-1841-88B3-D0880D9D6FFA}">
  <dimension ref="A1:S30"/>
  <sheetViews>
    <sheetView workbookViewId="0">
      <selection activeCell="B1" sqref="B1"/>
    </sheetView>
  </sheetViews>
  <sheetFormatPr baseColWidth="10" defaultColWidth="11" defaultRowHeight="16" outlineLevelCol="1" x14ac:dyDescent="0.2"/>
  <cols>
    <col min="1" max="1" width="4" style="94" customWidth="1"/>
    <col min="2" max="2" width="11.5" customWidth="1"/>
    <col min="12" max="18" width="10.83203125" hidden="1" customWidth="1" outlineLevel="1"/>
    <col min="19" max="19" width="11" collapsed="1"/>
  </cols>
  <sheetData>
    <row r="1" spans="1:18" x14ac:dyDescent="0.2">
      <c r="A1" s="221"/>
      <c r="B1" s="128" t="s">
        <v>351</v>
      </c>
      <c r="C1" s="127" t="s">
        <v>449</v>
      </c>
      <c r="D1" s="127" t="s">
        <v>349</v>
      </c>
      <c r="E1" s="127" t="s">
        <v>448</v>
      </c>
      <c r="F1" s="126"/>
      <c r="G1" s="126"/>
      <c r="H1" s="126"/>
      <c r="I1" s="126"/>
      <c r="J1" s="125"/>
      <c r="K1" s="209" t="s">
        <v>125</v>
      </c>
      <c r="L1" s="209"/>
    </row>
    <row r="2" spans="1:18" x14ac:dyDescent="0.2">
      <c r="A2" s="196"/>
      <c r="B2" s="220" t="s">
        <v>348</v>
      </c>
      <c r="C2" s="219">
        <v>2.5</v>
      </c>
      <c r="D2" s="105"/>
      <c r="E2" s="105"/>
      <c r="F2" s="105"/>
      <c r="G2" s="105"/>
      <c r="H2" s="105"/>
      <c r="I2" s="105"/>
      <c r="J2" s="104"/>
    </row>
    <row r="3" spans="1:18" ht="17" x14ac:dyDescent="0.2">
      <c r="A3" s="196"/>
      <c r="B3" s="105"/>
      <c r="C3" s="105"/>
      <c r="D3" s="105"/>
      <c r="E3" s="105"/>
      <c r="F3" s="105"/>
      <c r="G3" s="105"/>
      <c r="H3" s="105"/>
      <c r="I3" s="105"/>
      <c r="J3" s="104"/>
      <c r="L3" s="255" t="s">
        <v>347</v>
      </c>
    </row>
    <row r="4" spans="1:18" ht="15.75" customHeight="1" thickBot="1" x14ac:dyDescent="0.25">
      <c r="A4" s="196"/>
      <c r="B4" s="105"/>
      <c r="C4" s="105" t="s">
        <v>17</v>
      </c>
      <c r="D4" s="105"/>
      <c r="E4" s="105"/>
      <c r="F4" s="105"/>
      <c r="G4" s="105"/>
      <c r="H4" s="105"/>
      <c r="I4" s="105"/>
      <c r="J4" s="104"/>
      <c r="L4" s="259"/>
      <c r="M4" s="259"/>
      <c r="N4" s="259"/>
      <c r="O4" s="259"/>
      <c r="P4" s="259"/>
      <c r="Q4" s="259"/>
      <c r="R4" s="259"/>
    </row>
    <row r="5" spans="1:18" ht="19" customHeight="1" x14ac:dyDescent="0.25">
      <c r="A5" s="196"/>
      <c r="B5" s="105"/>
      <c r="C5" s="105"/>
      <c r="D5" s="105"/>
      <c r="E5" s="105"/>
      <c r="F5" s="105"/>
      <c r="G5" s="105"/>
      <c r="H5" s="105"/>
      <c r="I5" s="105"/>
      <c r="J5" s="104"/>
      <c r="L5" s="263" t="s">
        <v>447</v>
      </c>
      <c r="M5" s="262">
        <f>(G6*G8/(G11*G12))+ G9*G7*G8</f>
        <v>1.4210000000000003</v>
      </c>
      <c r="N5" t="s">
        <v>374</v>
      </c>
      <c r="O5" s="259"/>
      <c r="P5" s="259"/>
      <c r="Q5" s="259"/>
      <c r="R5" s="259"/>
    </row>
    <row r="6" spans="1:18" ht="20" thickBot="1" x14ac:dyDescent="0.25">
      <c r="A6" s="196"/>
      <c r="B6" s="105"/>
      <c r="C6" s="368" t="s">
        <v>446</v>
      </c>
      <c r="D6" s="368"/>
      <c r="E6" s="368"/>
      <c r="F6" s="368"/>
      <c r="G6" s="258">
        <v>0.2</v>
      </c>
      <c r="H6" s="105"/>
      <c r="I6" s="105"/>
      <c r="J6" s="104"/>
      <c r="L6" s="261" t="s">
        <v>445</v>
      </c>
      <c r="M6" s="260">
        <f>G10*G7*G8</f>
        <v>0.75600000000000001</v>
      </c>
      <c r="N6" t="s">
        <v>369</v>
      </c>
      <c r="O6" s="259"/>
      <c r="P6" s="259"/>
      <c r="Q6" s="259"/>
      <c r="R6" s="259"/>
    </row>
    <row r="7" spans="1:18" x14ac:dyDescent="0.2">
      <c r="A7" s="196"/>
      <c r="B7" s="105"/>
      <c r="C7" s="368" t="s">
        <v>444</v>
      </c>
      <c r="D7" s="368"/>
      <c r="E7" s="368"/>
      <c r="F7" s="368"/>
      <c r="G7" s="258">
        <v>1.2</v>
      </c>
      <c r="H7" s="105"/>
      <c r="I7" s="105"/>
      <c r="J7" s="104"/>
      <c r="L7" s="257"/>
      <c r="M7" s="257"/>
      <c r="N7" s="259"/>
      <c r="O7" s="259"/>
      <c r="P7" s="259"/>
      <c r="Q7" s="259"/>
      <c r="R7" s="259"/>
    </row>
    <row r="8" spans="1:18" ht="17" x14ac:dyDescent="0.2">
      <c r="A8" s="196"/>
      <c r="B8" s="105"/>
      <c r="C8" s="368" t="s">
        <v>443</v>
      </c>
      <c r="D8" s="368"/>
      <c r="E8" s="368"/>
      <c r="F8" s="368"/>
      <c r="G8" s="258">
        <v>1.05</v>
      </c>
      <c r="H8" s="105"/>
      <c r="I8" s="105"/>
      <c r="J8" s="104"/>
      <c r="L8" s="255" t="s">
        <v>339</v>
      </c>
      <c r="M8" s="257"/>
      <c r="N8" s="257"/>
      <c r="O8" s="257"/>
      <c r="P8" s="257"/>
      <c r="Q8" s="257"/>
      <c r="R8" s="257"/>
    </row>
    <row r="9" spans="1:18" x14ac:dyDescent="0.2">
      <c r="A9" s="196"/>
      <c r="B9" s="105"/>
      <c r="C9" s="368" t="s">
        <v>442</v>
      </c>
      <c r="D9" s="368"/>
      <c r="E9" s="368"/>
      <c r="F9" s="368"/>
      <c r="G9" s="256">
        <v>0.85</v>
      </c>
      <c r="H9" s="105"/>
      <c r="I9" s="105"/>
      <c r="J9" s="104"/>
      <c r="L9" s="365" t="s">
        <v>441</v>
      </c>
      <c r="M9" s="365"/>
      <c r="N9" s="365"/>
      <c r="O9" s="365"/>
      <c r="P9" s="365"/>
      <c r="Q9" s="365"/>
      <c r="R9" s="365"/>
    </row>
    <row r="10" spans="1:18" x14ac:dyDescent="0.2">
      <c r="A10" s="196"/>
      <c r="B10" s="105"/>
      <c r="C10" s="368" t="s">
        <v>440</v>
      </c>
      <c r="D10" s="368"/>
      <c r="E10" s="368"/>
      <c r="F10" s="368"/>
      <c r="G10" s="256">
        <v>0.6</v>
      </c>
      <c r="H10" s="105"/>
      <c r="I10" s="105"/>
      <c r="J10" s="104"/>
      <c r="L10" s="365"/>
      <c r="M10" s="365"/>
      <c r="N10" s="365"/>
      <c r="O10" s="365"/>
      <c r="P10" s="365"/>
      <c r="Q10" s="365"/>
      <c r="R10" s="365"/>
    </row>
    <row r="11" spans="1:18" x14ac:dyDescent="0.2">
      <c r="A11" s="196"/>
      <c r="B11" s="105"/>
      <c r="C11" s="368" t="s">
        <v>13</v>
      </c>
      <c r="D11" s="368"/>
      <c r="E11" s="368"/>
      <c r="F11" s="368"/>
      <c r="G11" s="256">
        <v>0.75</v>
      </c>
      <c r="H11" s="105"/>
      <c r="I11" s="105"/>
      <c r="J11" s="104"/>
      <c r="L11" s="365"/>
      <c r="M11" s="365"/>
      <c r="N11" s="365"/>
      <c r="O11" s="365"/>
      <c r="P11" s="365"/>
      <c r="Q11" s="365"/>
      <c r="R11" s="365"/>
    </row>
    <row r="12" spans="1:18" x14ac:dyDescent="0.2">
      <c r="A12" s="196"/>
      <c r="B12" s="105"/>
      <c r="C12" s="368" t="s">
        <v>439</v>
      </c>
      <c r="D12" s="368"/>
      <c r="E12" s="368"/>
      <c r="F12" s="368"/>
      <c r="G12" s="256">
        <v>0.8</v>
      </c>
      <c r="H12" s="105"/>
      <c r="I12" s="105"/>
      <c r="J12" s="104"/>
      <c r="L12" s="365"/>
      <c r="M12" s="365"/>
      <c r="N12" s="365"/>
      <c r="O12" s="365"/>
      <c r="P12" s="365"/>
      <c r="Q12" s="365"/>
      <c r="R12" s="365"/>
    </row>
    <row r="13" spans="1:18" x14ac:dyDescent="0.2">
      <c r="A13" s="196"/>
      <c r="B13" s="112"/>
      <c r="C13" s="105"/>
      <c r="D13" s="105"/>
      <c r="E13" s="105"/>
      <c r="F13" s="105"/>
      <c r="G13" s="105"/>
      <c r="H13" s="105"/>
      <c r="I13" s="105"/>
      <c r="J13" s="104"/>
      <c r="L13" s="365"/>
      <c r="M13" s="365"/>
      <c r="N13" s="365"/>
      <c r="O13" s="365"/>
      <c r="P13" s="365"/>
      <c r="Q13" s="365"/>
      <c r="R13" s="365"/>
    </row>
    <row r="14" spans="1:18" x14ac:dyDescent="0.2">
      <c r="A14" s="196" t="s">
        <v>0</v>
      </c>
      <c r="B14" s="134" t="s">
        <v>438</v>
      </c>
      <c r="C14" s="105" t="s">
        <v>437</v>
      </c>
      <c r="D14" s="105"/>
      <c r="E14" s="105"/>
      <c r="F14" s="105"/>
      <c r="G14" s="105"/>
      <c r="H14" s="105"/>
      <c r="I14" s="105"/>
      <c r="J14" s="104"/>
    </row>
    <row r="15" spans="1:18" ht="17" x14ac:dyDescent="0.2">
      <c r="A15" s="196"/>
      <c r="B15" s="112"/>
      <c r="C15" s="105" t="s">
        <v>436</v>
      </c>
      <c r="D15" s="105"/>
      <c r="E15" s="105"/>
      <c r="F15" s="105"/>
      <c r="G15" s="105"/>
      <c r="H15" s="105"/>
      <c r="I15" s="105"/>
      <c r="J15" s="104"/>
      <c r="L15" s="255" t="s">
        <v>393</v>
      </c>
    </row>
    <row r="16" spans="1:18" x14ac:dyDescent="0.2">
      <c r="A16" s="196"/>
      <c r="B16" s="112"/>
      <c r="C16" s="105"/>
      <c r="D16" s="105"/>
      <c r="E16" s="105"/>
      <c r="F16" s="105"/>
      <c r="G16" s="105"/>
      <c r="H16" s="105"/>
      <c r="I16" s="105"/>
      <c r="J16" s="104"/>
      <c r="L16" s="339" t="s">
        <v>435</v>
      </c>
      <c r="M16" s="366"/>
      <c r="N16" s="366"/>
      <c r="O16" s="366"/>
      <c r="P16" s="366"/>
      <c r="Q16" s="366"/>
      <c r="R16" s="366"/>
    </row>
    <row r="17" spans="1:18" x14ac:dyDescent="0.2">
      <c r="A17" s="196" t="s">
        <v>1</v>
      </c>
      <c r="B17" s="134" t="s">
        <v>335</v>
      </c>
      <c r="C17" s="105" t="s">
        <v>434</v>
      </c>
      <c r="D17" s="105"/>
      <c r="E17" s="105"/>
      <c r="F17" s="105"/>
      <c r="G17" s="105"/>
      <c r="H17" s="105"/>
      <c r="I17" s="105"/>
      <c r="J17" s="104"/>
      <c r="L17" s="366"/>
      <c r="M17" s="366"/>
      <c r="N17" s="366"/>
      <c r="O17" s="366"/>
      <c r="P17" s="366"/>
      <c r="Q17" s="366"/>
      <c r="R17" s="366"/>
    </row>
    <row r="18" spans="1:18" x14ac:dyDescent="0.2">
      <c r="A18" s="196"/>
      <c r="B18" s="112"/>
      <c r="C18" s="105" t="s">
        <v>433</v>
      </c>
      <c r="D18" s="105"/>
      <c r="E18" s="105"/>
      <c r="F18" s="105"/>
      <c r="G18" s="105"/>
      <c r="H18" s="105"/>
      <c r="I18" s="105"/>
      <c r="J18" s="104"/>
      <c r="L18" s="366"/>
      <c r="M18" s="366"/>
      <c r="N18" s="366"/>
      <c r="O18" s="366"/>
      <c r="P18" s="366"/>
      <c r="Q18" s="366"/>
      <c r="R18" s="366"/>
    </row>
    <row r="19" spans="1:18" x14ac:dyDescent="0.2">
      <c r="A19" s="196"/>
      <c r="B19" s="112"/>
      <c r="C19" s="105"/>
      <c r="D19" s="105"/>
      <c r="E19" s="105"/>
      <c r="F19" s="105"/>
      <c r="G19" s="105"/>
      <c r="H19" s="105"/>
      <c r="I19" s="105"/>
      <c r="J19" s="104"/>
      <c r="L19" s="366"/>
      <c r="M19" s="366"/>
      <c r="N19" s="366"/>
      <c r="O19" s="366"/>
      <c r="P19" s="366"/>
      <c r="Q19" s="366"/>
      <c r="R19" s="366"/>
    </row>
    <row r="20" spans="1:18" x14ac:dyDescent="0.2">
      <c r="A20" s="196" t="s">
        <v>259</v>
      </c>
      <c r="B20" s="134" t="s">
        <v>389</v>
      </c>
      <c r="C20" s="105" t="s">
        <v>432</v>
      </c>
      <c r="D20" s="105"/>
      <c r="E20" s="105"/>
      <c r="F20" s="105"/>
      <c r="G20" s="105"/>
      <c r="H20" s="105"/>
      <c r="I20" s="105"/>
      <c r="J20" s="104"/>
      <c r="L20" s="366"/>
      <c r="M20" s="366"/>
      <c r="N20" s="366"/>
      <c r="O20" s="366"/>
      <c r="P20" s="366"/>
      <c r="Q20" s="366"/>
      <c r="R20" s="366"/>
    </row>
    <row r="21" spans="1:18" x14ac:dyDescent="0.2">
      <c r="A21" s="196"/>
      <c r="B21" s="112"/>
      <c r="C21" s="105" t="s">
        <v>431</v>
      </c>
      <c r="D21" s="105"/>
      <c r="E21" s="105"/>
      <c r="F21" s="105"/>
      <c r="G21" s="105"/>
      <c r="H21" s="105"/>
      <c r="I21" s="105"/>
      <c r="J21" s="104"/>
      <c r="L21" s="366"/>
      <c r="M21" s="366"/>
      <c r="N21" s="366"/>
      <c r="O21" s="366"/>
      <c r="P21" s="366"/>
      <c r="Q21" s="366"/>
      <c r="R21" s="366"/>
    </row>
    <row r="22" spans="1:18" ht="17" thickBot="1" x14ac:dyDescent="0.25">
      <c r="A22" s="196"/>
      <c r="B22" s="112"/>
      <c r="C22" s="105"/>
      <c r="D22" s="105"/>
      <c r="E22" s="105"/>
      <c r="F22" s="105"/>
      <c r="G22" s="105"/>
      <c r="H22" s="105"/>
      <c r="I22" s="105"/>
      <c r="J22" s="104"/>
      <c r="L22" s="366"/>
      <c r="M22" s="366"/>
      <c r="N22" s="366"/>
      <c r="O22" s="366"/>
      <c r="P22" s="366"/>
      <c r="Q22" s="366"/>
      <c r="R22" s="366"/>
    </row>
    <row r="23" spans="1:18" ht="17" thickBot="1" x14ac:dyDescent="0.25">
      <c r="A23" s="208" t="s">
        <v>124</v>
      </c>
      <c r="B23" s="101"/>
      <c r="C23" s="207"/>
      <c r="D23" s="101"/>
      <c r="E23" s="101"/>
      <c r="F23" s="101"/>
      <c r="G23" s="101"/>
      <c r="H23" s="101"/>
      <c r="I23" s="101"/>
      <c r="J23" s="100"/>
      <c r="N23" s="254"/>
      <c r="O23" s="254"/>
    </row>
    <row r="25" spans="1:18" ht="19" x14ac:dyDescent="0.2">
      <c r="L25" s="206" t="s">
        <v>113</v>
      </c>
    </row>
    <row r="26" spans="1:18" x14ac:dyDescent="0.2">
      <c r="L26" s="341" t="s">
        <v>430</v>
      </c>
      <c r="M26" s="341"/>
      <c r="N26" s="341"/>
      <c r="O26" s="341"/>
      <c r="P26" s="341"/>
      <c r="Q26" s="341"/>
      <c r="R26" s="341"/>
    </row>
    <row r="27" spans="1:18" x14ac:dyDescent="0.2">
      <c r="L27" s="341"/>
      <c r="M27" s="341"/>
      <c r="N27" s="341"/>
      <c r="O27" s="341"/>
      <c r="P27" s="341"/>
      <c r="Q27" s="341"/>
      <c r="R27" s="341"/>
    </row>
    <row r="29" spans="1:18" ht="19" x14ac:dyDescent="0.2">
      <c r="L29" s="206" t="s">
        <v>136</v>
      </c>
      <c r="N29" s="254"/>
      <c r="O29" s="254"/>
    </row>
    <row r="30" spans="1:18" x14ac:dyDescent="0.2">
      <c r="L30" s="367" t="s">
        <v>381</v>
      </c>
      <c r="M30" s="367"/>
      <c r="N30" s="367"/>
      <c r="O30" s="367"/>
    </row>
  </sheetData>
  <mergeCells count="11">
    <mergeCell ref="C6:F6"/>
    <mergeCell ref="C7:F7"/>
    <mergeCell ref="C8:F8"/>
    <mergeCell ref="C9:F9"/>
    <mergeCell ref="C10:F10"/>
    <mergeCell ref="L9:R13"/>
    <mergeCell ref="L16:R22"/>
    <mergeCell ref="L30:O30"/>
    <mergeCell ref="C12:F12"/>
    <mergeCell ref="L26:R27"/>
    <mergeCell ref="C11:F1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FE941-F517-9C4C-862C-59234F9E508C}">
  <dimension ref="A1:S47"/>
  <sheetViews>
    <sheetView workbookViewId="0">
      <selection activeCell="B1" sqref="B1"/>
    </sheetView>
  </sheetViews>
  <sheetFormatPr baseColWidth="10" defaultColWidth="11" defaultRowHeight="16" outlineLevelCol="1" x14ac:dyDescent="0.2"/>
  <cols>
    <col min="1" max="1" width="4" style="94" customWidth="1"/>
    <col min="2" max="2" width="11.5" customWidth="1"/>
    <col min="9" max="9" width="11.83203125" customWidth="1"/>
    <col min="12" max="12" width="10.83203125" hidden="1" customWidth="1" outlineLevel="1"/>
    <col min="13" max="13" width="10" hidden="1" customWidth="1" outlineLevel="1"/>
    <col min="14" max="14" width="11.1640625" hidden="1" customWidth="1" outlineLevel="1"/>
    <col min="15" max="18" width="10.83203125" hidden="1" customWidth="1" outlineLevel="1"/>
    <col min="19" max="19" width="11" collapsed="1"/>
  </cols>
  <sheetData>
    <row r="1" spans="1:18" x14ac:dyDescent="0.2">
      <c r="A1" s="221"/>
      <c r="B1" s="128" t="s">
        <v>351</v>
      </c>
      <c r="C1" s="127" t="s">
        <v>481</v>
      </c>
      <c r="D1" s="127" t="s">
        <v>349</v>
      </c>
      <c r="E1" s="127" t="s">
        <v>480</v>
      </c>
      <c r="F1" s="126"/>
      <c r="G1" s="126"/>
      <c r="H1" s="126"/>
      <c r="I1" s="126"/>
      <c r="J1" s="125"/>
      <c r="K1" s="209" t="s">
        <v>125</v>
      </c>
      <c r="L1" s="209"/>
    </row>
    <row r="2" spans="1:18" x14ac:dyDescent="0.2">
      <c r="A2" s="196"/>
      <c r="B2" s="220" t="s">
        <v>348</v>
      </c>
      <c r="C2" s="219">
        <v>3</v>
      </c>
      <c r="D2" s="105"/>
      <c r="E2" s="105"/>
      <c r="F2" s="105"/>
      <c r="G2" s="105"/>
      <c r="H2" s="105"/>
      <c r="I2" s="105"/>
      <c r="J2" s="104"/>
    </row>
    <row r="3" spans="1:18" x14ac:dyDescent="0.2">
      <c r="A3" s="196"/>
      <c r="B3" s="105"/>
      <c r="C3" s="105"/>
      <c r="D3" s="105"/>
      <c r="E3" s="105"/>
      <c r="F3" s="105"/>
      <c r="G3" s="105"/>
      <c r="H3" s="105"/>
      <c r="I3" s="105"/>
      <c r="J3" s="104"/>
      <c r="L3" t="s">
        <v>479</v>
      </c>
      <c r="M3" s="290"/>
    </row>
    <row r="4" spans="1:18" x14ac:dyDescent="0.2">
      <c r="A4" s="196"/>
      <c r="B4" s="105"/>
      <c r="C4" s="105" t="s">
        <v>478</v>
      </c>
      <c r="D4" s="105"/>
      <c r="E4" s="105"/>
      <c r="F4" s="105"/>
      <c r="G4" s="105"/>
      <c r="H4" s="105"/>
      <c r="I4" s="105"/>
      <c r="J4" s="104"/>
      <c r="M4" s="290"/>
    </row>
    <row r="5" spans="1:18" x14ac:dyDescent="0.2">
      <c r="A5" s="196"/>
      <c r="B5" s="105"/>
      <c r="C5" s="105" t="s">
        <v>477</v>
      </c>
      <c r="D5" s="105"/>
      <c r="E5" s="105"/>
      <c r="F5" s="105"/>
      <c r="G5" s="105"/>
      <c r="H5" s="105"/>
      <c r="I5" s="105"/>
      <c r="J5" s="104"/>
      <c r="L5" s="152" t="s">
        <v>91</v>
      </c>
      <c r="M5" s="150" t="s">
        <v>208</v>
      </c>
      <c r="N5" s="150" t="s">
        <v>476</v>
      </c>
    </row>
    <row r="6" spans="1:18" x14ac:dyDescent="0.2">
      <c r="A6" s="196"/>
      <c r="B6" s="105"/>
      <c r="C6" s="105"/>
      <c r="D6" s="105"/>
      <c r="E6" s="105"/>
      <c r="F6" s="105"/>
      <c r="G6" s="105"/>
      <c r="H6" s="105"/>
      <c r="I6" s="105"/>
      <c r="J6" s="104"/>
      <c r="L6" s="148">
        <v>2011</v>
      </c>
      <c r="M6" s="96" t="s">
        <v>39</v>
      </c>
      <c r="N6" s="288">
        <f>SUMPRODUCT(D39:D40,E39:E40)/SUM(E39:E40)</f>
        <v>0.40000000000000008</v>
      </c>
    </row>
    <row r="7" spans="1:18" ht="16" customHeight="1" x14ac:dyDescent="0.2">
      <c r="A7" s="196"/>
      <c r="B7" s="105"/>
      <c r="C7" s="105"/>
      <c r="D7" s="330" t="s">
        <v>475</v>
      </c>
      <c r="E7" s="342" t="s">
        <v>474</v>
      </c>
      <c r="F7" s="342" t="s">
        <v>473</v>
      </c>
      <c r="G7" s="336" t="s">
        <v>472</v>
      </c>
      <c r="H7" s="105"/>
      <c r="I7" s="105"/>
      <c r="J7" s="104"/>
      <c r="L7" s="148">
        <v>2012</v>
      </c>
      <c r="M7" s="96" t="s">
        <v>7</v>
      </c>
      <c r="N7" s="288">
        <f>SUMPRODUCT(D38:D40,E38:E40)/SUM(E38:E40)</f>
        <v>0.49130434782608695</v>
      </c>
    </row>
    <row r="8" spans="1:18" x14ac:dyDescent="0.2">
      <c r="A8" s="196"/>
      <c r="B8" s="105"/>
      <c r="C8" s="105"/>
      <c r="D8" s="362"/>
      <c r="E8" s="355"/>
      <c r="F8" s="355"/>
      <c r="G8" s="357"/>
      <c r="H8" s="105"/>
      <c r="I8" s="105"/>
      <c r="J8" s="104"/>
      <c r="L8" s="148">
        <v>2013</v>
      </c>
      <c r="M8" s="286" t="s">
        <v>6</v>
      </c>
      <c r="N8" s="288">
        <f>SUMPRODUCT(D37:D40,E37:E40)/SUM(E37:E40)</f>
        <v>0.58837209302325577</v>
      </c>
      <c r="O8" s="289"/>
    </row>
    <row r="9" spans="1:18" x14ac:dyDescent="0.2">
      <c r="A9" s="196"/>
      <c r="B9" s="105"/>
      <c r="C9" s="105"/>
      <c r="D9" s="362"/>
      <c r="E9" s="355"/>
      <c r="F9" s="355"/>
      <c r="G9" s="357"/>
      <c r="H9" s="105"/>
      <c r="I9" s="105"/>
      <c r="J9" s="104"/>
      <c r="L9" s="148" t="s">
        <v>452</v>
      </c>
      <c r="M9" s="286" t="s">
        <v>5</v>
      </c>
      <c r="N9" s="288">
        <f>SUMPRODUCT(D36:D40,E36:E40)</f>
        <v>1.5002500000000001</v>
      </c>
      <c r="O9" s="369" t="s">
        <v>471</v>
      </c>
      <c r="P9" s="369"/>
      <c r="Q9" s="369"/>
      <c r="R9" s="369"/>
    </row>
    <row r="10" spans="1:18" x14ac:dyDescent="0.2">
      <c r="A10" s="196"/>
      <c r="B10" s="105"/>
      <c r="C10" s="105"/>
      <c r="D10" s="363"/>
      <c r="E10" s="356"/>
      <c r="F10" s="356"/>
      <c r="G10" s="358"/>
      <c r="H10" s="105"/>
      <c r="I10" s="105"/>
      <c r="J10" s="104"/>
      <c r="M10" s="138"/>
      <c r="N10" s="138"/>
      <c r="O10" s="369"/>
      <c r="P10" s="369"/>
      <c r="Q10" s="369"/>
      <c r="R10" s="369"/>
    </row>
    <row r="11" spans="1:18" x14ac:dyDescent="0.2">
      <c r="A11" s="196"/>
      <c r="B11" s="105"/>
      <c r="C11" s="105"/>
      <c r="D11" s="122">
        <v>2011</v>
      </c>
      <c r="E11" s="112">
        <v>1</v>
      </c>
      <c r="F11" s="113">
        <v>92500</v>
      </c>
      <c r="G11" s="284">
        <v>92500</v>
      </c>
      <c r="H11" s="105"/>
      <c r="I11" s="105"/>
      <c r="J11" s="104"/>
      <c r="M11" s="285"/>
    </row>
    <row r="12" spans="1:18" x14ac:dyDescent="0.2">
      <c r="A12" s="196"/>
      <c r="B12" s="105"/>
      <c r="C12" s="105"/>
      <c r="D12" s="122">
        <v>2011</v>
      </c>
      <c r="E12" s="112">
        <v>2</v>
      </c>
      <c r="F12" s="113">
        <v>57000</v>
      </c>
      <c r="G12" s="284">
        <v>57000</v>
      </c>
      <c r="H12" s="105"/>
      <c r="I12" s="105"/>
      <c r="J12" s="104"/>
      <c r="L12" t="s">
        <v>154</v>
      </c>
      <c r="M12" s="285"/>
    </row>
    <row r="13" spans="1:18" x14ac:dyDescent="0.2">
      <c r="A13" s="196"/>
      <c r="B13" s="105"/>
      <c r="C13" s="105"/>
      <c r="D13" s="122">
        <v>2011</v>
      </c>
      <c r="E13" s="112">
        <v>3</v>
      </c>
      <c r="F13" s="113">
        <v>125000</v>
      </c>
      <c r="G13" s="284">
        <v>125000</v>
      </c>
      <c r="H13" s="105"/>
      <c r="I13" s="105"/>
      <c r="J13" s="104"/>
      <c r="M13" s="285"/>
    </row>
    <row r="14" spans="1:18" x14ac:dyDescent="0.2">
      <c r="A14" s="196"/>
      <c r="B14" s="105"/>
      <c r="C14" s="105"/>
      <c r="D14" s="122">
        <v>2011</v>
      </c>
      <c r="E14" s="112">
        <v>4</v>
      </c>
      <c r="F14" s="113">
        <v>80000</v>
      </c>
      <c r="G14" s="284">
        <v>78000</v>
      </c>
      <c r="H14" s="105"/>
      <c r="I14" s="105"/>
      <c r="J14" s="104"/>
      <c r="M14" s="285"/>
      <c r="N14" s="96" t="s">
        <v>470</v>
      </c>
      <c r="O14" s="148" t="s">
        <v>469</v>
      </c>
      <c r="P14" s="96" t="s">
        <v>468</v>
      </c>
    </row>
    <row r="15" spans="1:18" x14ac:dyDescent="0.2">
      <c r="A15" s="196"/>
      <c r="B15" s="105"/>
      <c r="C15" s="105"/>
      <c r="D15" s="122">
        <v>2012</v>
      </c>
      <c r="E15" s="112">
        <v>1</v>
      </c>
      <c r="F15" s="113">
        <v>64000</v>
      </c>
      <c r="G15" s="284">
        <v>57000</v>
      </c>
      <c r="H15" s="105"/>
      <c r="I15" s="105"/>
      <c r="J15" s="104"/>
      <c r="L15" s="152" t="s">
        <v>91</v>
      </c>
      <c r="M15" s="150" t="s">
        <v>197</v>
      </c>
      <c r="N15" s="150" t="s">
        <v>468</v>
      </c>
      <c r="O15" s="152" t="s">
        <v>468</v>
      </c>
      <c r="P15" s="150" t="s">
        <v>467</v>
      </c>
    </row>
    <row r="16" spans="1:18" x14ac:dyDescent="0.2">
      <c r="A16" s="196"/>
      <c r="B16" s="105"/>
      <c r="C16" s="105"/>
      <c r="D16" s="122">
        <v>2012</v>
      </c>
      <c r="E16" s="112">
        <v>2</v>
      </c>
      <c r="F16" s="113">
        <v>37500</v>
      </c>
      <c r="G16" s="284">
        <v>30000</v>
      </c>
      <c r="H16" s="105"/>
      <c r="I16" s="105"/>
      <c r="J16" s="104"/>
      <c r="L16" s="148">
        <v>2011</v>
      </c>
      <c r="M16" s="286">
        <f>SUM(F11:F14)-SUM(G11:G14)</f>
        <v>2000</v>
      </c>
      <c r="N16" s="286">
        <f>M16*N6</f>
        <v>800.00000000000011</v>
      </c>
      <c r="O16" s="287">
        <f>N16+H36</f>
        <v>450800</v>
      </c>
      <c r="P16" s="286">
        <f>O16-I36</f>
        <v>-1200</v>
      </c>
    </row>
    <row r="17" spans="1:18" x14ac:dyDescent="0.2">
      <c r="A17" s="196"/>
      <c r="B17" s="105"/>
      <c r="C17" s="105"/>
      <c r="D17" s="122">
        <v>2012</v>
      </c>
      <c r="E17" s="112">
        <v>3</v>
      </c>
      <c r="F17" s="113">
        <v>60000</v>
      </c>
      <c r="G17" s="284">
        <v>55000</v>
      </c>
      <c r="H17" s="105"/>
      <c r="I17" s="105"/>
      <c r="J17" s="104"/>
      <c r="L17" s="148">
        <v>2012</v>
      </c>
      <c r="M17" s="286">
        <f>SUM(F15:F18)-SUM(G15:G18)</f>
        <v>24500</v>
      </c>
      <c r="N17" s="286">
        <f>M17*N7</f>
        <v>12036.95652173913</v>
      </c>
      <c r="O17" s="287">
        <f>N17+H37</f>
        <v>347036.95652173914</v>
      </c>
      <c r="P17" s="286">
        <f>O17-I37</f>
        <v>10036.956521739135</v>
      </c>
    </row>
    <row r="18" spans="1:18" x14ac:dyDescent="0.2">
      <c r="A18" s="196"/>
      <c r="B18" s="105"/>
      <c r="C18" s="105"/>
      <c r="D18" s="122">
        <v>2012</v>
      </c>
      <c r="E18" s="112">
        <v>4</v>
      </c>
      <c r="F18" s="113">
        <v>65000</v>
      </c>
      <c r="G18" s="284">
        <v>60000</v>
      </c>
      <c r="H18" s="105"/>
      <c r="I18" s="105"/>
      <c r="J18" s="104"/>
      <c r="L18" s="148">
        <v>2013</v>
      </c>
      <c r="M18" s="286">
        <f>SUM(F19:F22)-SUM(G19:G22)</f>
        <v>44500</v>
      </c>
      <c r="N18" s="286">
        <f>M18*N8</f>
        <v>26182.558139534882</v>
      </c>
      <c r="O18" s="287">
        <f>N18+H38</f>
        <v>356182.5581395349</v>
      </c>
      <c r="P18" s="286">
        <f>O18-I38</f>
        <v>21182.5581395349</v>
      </c>
    </row>
    <row r="19" spans="1:18" x14ac:dyDescent="0.2">
      <c r="A19" s="196"/>
      <c r="B19" s="105"/>
      <c r="C19" s="105"/>
      <c r="D19" s="122">
        <v>2013</v>
      </c>
      <c r="E19" s="112">
        <v>1</v>
      </c>
      <c r="F19" s="113">
        <v>55000</v>
      </c>
      <c r="G19" s="284">
        <v>50000</v>
      </c>
      <c r="H19" s="105"/>
      <c r="I19" s="105"/>
      <c r="J19" s="104"/>
      <c r="L19" s="148" t="s">
        <v>452</v>
      </c>
      <c r="M19" s="286">
        <f>SUM(F23:F30)</f>
        <v>280000</v>
      </c>
      <c r="N19" s="286">
        <f>M19*N9</f>
        <v>420070</v>
      </c>
      <c r="O19" s="287">
        <f>N19+H39</f>
        <v>420070</v>
      </c>
      <c r="P19" s="286">
        <f>O19-I39</f>
        <v>-4930</v>
      </c>
    </row>
    <row r="20" spans="1:18" ht="17" thickBot="1" x14ac:dyDescent="0.25">
      <c r="A20" s="196"/>
      <c r="B20" s="105"/>
      <c r="C20" s="105"/>
      <c r="D20" s="122">
        <v>2013</v>
      </c>
      <c r="E20" s="112">
        <v>2</v>
      </c>
      <c r="F20" s="113">
        <v>40000</v>
      </c>
      <c r="G20" s="284">
        <v>33000</v>
      </c>
      <c r="H20" s="105"/>
      <c r="I20" s="105"/>
      <c r="J20" s="104"/>
    </row>
    <row r="21" spans="1:18" ht="17" thickBot="1" x14ac:dyDescent="0.25">
      <c r="A21" s="196"/>
      <c r="B21" s="105"/>
      <c r="C21" s="105"/>
      <c r="D21" s="122">
        <v>2013</v>
      </c>
      <c r="E21" s="112">
        <v>3</v>
      </c>
      <c r="F21" s="113">
        <v>70000</v>
      </c>
      <c r="G21" s="284">
        <v>52500</v>
      </c>
      <c r="H21" s="105"/>
      <c r="I21" s="105"/>
      <c r="J21" s="104"/>
      <c r="N21" s="229" t="s">
        <v>466</v>
      </c>
      <c r="O21" s="169"/>
      <c r="P21" s="136">
        <f>SUM(P16:P19)</f>
        <v>25089.514661274035</v>
      </c>
    </row>
    <row r="22" spans="1:18" x14ac:dyDescent="0.2">
      <c r="A22" s="196"/>
      <c r="B22" s="105"/>
      <c r="C22" s="105"/>
      <c r="D22" s="122">
        <v>2013</v>
      </c>
      <c r="E22" s="112">
        <v>4</v>
      </c>
      <c r="F22" s="113">
        <v>60000</v>
      </c>
      <c r="G22" s="284">
        <v>45000</v>
      </c>
      <c r="H22" s="105"/>
      <c r="I22" s="105"/>
      <c r="J22" s="104"/>
    </row>
    <row r="23" spans="1:18" x14ac:dyDescent="0.2">
      <c r="A23" s="196"/>
      <c r="B23" s="105"/>
      <c r="C23" s="105"/>
      <c r="D23" s="122">
        <v>2014</v>
      </c>
      <c r="E23" s="112">
        <v>1</v>
      </c>
      <c r="F23" s="113">
        <v>50000</v>
      </c>
      <c r="G23" s="284">
        <v>0</v>
      </c>
      <c r="H23" s="105"/>
      <c r="I23" s="105"/>
      <c r="J23" s="104"/>
      <c r="L23" t="s">
        <v>465</v>
      </c>
    </row>
    <row r="24" spans="1:18" x14ac:dyDescent="0.2">
      <c r="A24" s="196"/>
      <c r="B24" s="105"/>
      <c r="C24" s="105"/>
      <c r="D24" s="122">
        <v>2014</v>
      </c>
      <c r="E24" s="112">
        <v>2</v>
      </c>
      <c r="F24" s="113">
        <v>40000</v>
      </c>
      <c r="G24" s="284">
        <v>0</v>
      </c>
      <c r="H24" s="105"/>
      <c r="I24" s="105"/>
      <c r="J24" s="104"/>
      <c r="M24" s="285"/>
    </row>
    <row r="25" spans="1:18" x14ac:dyDescent="0.2">
      <c r="A25" s="196"/>
      <c r="B25" s="105"/>
      <c r="C25" s="105"/>
      <c r="D25" s="122">
        <v>2014</v>
      </c>
      <c r="E25" s="112">
        <v>3</v>
      </c>
      <c r="F25" s="113">
        <v>65000</v>
      </c>
      <c r="G25" s="284">
        <v>0</v>
      </c>
      <c r="H25" s="105"/>
      <c r="I25" s="105"/>
      <c r="J25" s="104"/>
      <c r="M25" s="285"/>
    </row>
    <row r="26" spans="1:18" ht="19" x14ac:dyDescent="0.25">
      <c r="A26" s="196"/>
      <c r="B26" s="105"/>
      <c r="C26" s="105"/>
      <c r="D26" s="122">
        <v>2014</v>
      </c>
      <c r="E26" s="112">
        <v>4</v>
      </c>
      <c r="F26" s="113">
        <v>45000</v>
      </c>
      <c r="G26" s="284">
        <v>0</v>
      </c>
      <c r="H26" s="105"/>
      <c r="I26" s="105"/>
      <c r="J26" s="104"/>
      <c r="L26" s="124" t="s">
        <v>113</v>
      </c>
      <c r="M26" s="188"/>
    </row>
    <row r="27" spans="1:18" ht="16" customHeight="1" x14ac:dyDescent="0.2">
      <c r="A27" s="196"/>
      <c r="B27" s="105"/>
      <c r="C27" s="105"/>
      <c r="D27" s="122">
        <v>2015</v>
      </c>
      <c r="E27" s="112">
        <v>1</v>
      </c>
      <c r="F27" s="113">
        <v>25000</v>
      </c>
      <c r="G27" s="284">
        <v>0</v>
      </c>
      <c r="H27" s="105"/>
      <c r="I27" s="105"/>
      <c r="J27" s="104"/>
      <c r="L27" s="341" t="s">
        <v>464</v>
      </c>
      <c r="M27" s="341"/>
      <c r="N27" s="341"/>
      <c r="O27" s="341"/>
      <c r="P27" s="341"/>
      <c r="Q27" s="341"/>
      <c r="R27" s="341"/>
    </row>
    <row r="28" spans="1:18" x14ac:dyDescent="0.2">
      <c r="A28" s="196"/>
      <c r="B28" s="105"/>
      <c r="C28" s="105"/>
      <c r="D28" s="122">
        <v>2015</v>
      </c>
      <c r="E28" s="112">
        <v>2</v>
      </c>
      <c r="F28" s="113">
        <v>20000</v>
      </c>
      <c r="G28" s="284">
        <v>0</v>
      </c>
      <c r="H28" s="105"/>
      <c r="I28" s="105"/>
      <c r="J28" s="104"/>
      <c r="L28" s="341"/>
      <c r="M28" s="341"/>
      <c r="N28" s="341"/>
      <c r="O28" s="341"/>
      <c r="P28" s="341"/>
      <c r="Q28" s="341"/>
      <c r="R28" s="341"/>
    </row>
    <row r="29" spans="1:18" x14ac:dyDescent="0.2">
      <c r="A29" s="196"/>
      <c r="B29" s="105"/>
      <c r="C29" s="105"/>
      <c r="D29" s="122">
        <v>2015</v>
      </c>
      <c r="E29" s="112">
        <v>3</v>
      </c>
      <c r="F29" s="113">
        <v>30000</v>
      </c>
      <c r="G29" s="284">
        <v>0</v>
      </c>
      <c r="H29" s="105"/>
      <c r="I29" s="105"/>
      <c r="J29" s="104"/>
      <c r="L29" s="341"/>
      <c r="M29" s="341"/>
      <c r="N29" s="341"/>
      <c r="O29" s="341"/>
      <c r="P29" s="341"/>
      <c r="Q29" s="341"/>
      <c r="R29" s="341"/>
    </row>
    <row r="30" spans="1:18" x14ac:dyDescent="0.2">
      <c r="A30" s="196"/>
      <c r="B30" s="105"/>
      <c r="C30" s="105"/>
      <c r="D30" s="120">
        <v>2015</v>
      </c>
      <c r="E30" s="160">
        <v>4</v>
      </c>
      <c r="F30" s="283">
        <v>5000</v>
      </c>
      <c r="G30" s="282">
        <v>0</v>
      </c>
      <c r="H30" s="105"/>
      <c r="I30" s="105"/>
      <c r="J30" s="104"/>
      <c r="L30" s="341"/>
      <c r="M30" s="341"/>
      <c r="N30" s="341"/>
      <c r="O30" s="341"/>
      <c r="P30" s="341"/>
      <c r="Q30" s="341"/>
      <c r="R30" s="341"/>
    </row>
    <row r="31" spans="1:18" x14ac:dyDescent="0.2">
      <c r="A31" s="196"/>
      <c r="B31" s="105"/>
      <c r="C31" s="105"/>
      <c r="D31" s="105"/>
      <c r="E31" s="105"/>
      <c r="F31" s="105"/>
      <c r="G31" s="105"/>
      <c r="H31" s="105"/>
      <c r="I31" s="105"/>
      <c r="J31" s="104"/>
      <c r="L31" s="341"/>
      <c r="M31" s="341"/>
      <c r="N31" s="341"/>
      <c r="O31" s="341"/>
      <c r="P31" s="341"/>
      <c r="Q31" s="341"/>
      <c r="R31" s="341"/>
    </row>
    <row r="32" spans="1:18" x14ac:dyDescent="0.2">
      <c r="A32" s="196"/>
      <c r="B32" s="105"/>
      <c r="C32" s="105"/>
      <c r="D32" s="105"/>
      <c r="E32" s="105"/>
      <c r="F32" s="105"/>
      <c r="G32" s="153"/>
      <c r="H32" s="164" t="s">
        <v>463</v>
      </c>
      <c r="I32" s="163" t="s">
        <v>463</v>
      </c>
      <c r="J32" s="104"/>
      <c r="L32" s="341"/>
      <c r="M32" s="341"/>
      <c r="N32" s="341"/>
      <c r="O32" s="341"/>
      <c r="P32" s="341"/>
      <c r="Q32" s="341"/>
      <c r="R32" s="341"/>
    </row>
    <row r="33" spans="1:18" x14ac:dyDescent="0.2">
      <c r="A33" s="196"/>
      <c r="B33" s="112"/>
      <c r="C33" s="273" t="s">
        <v>137</v>
      </c>
      <c r="D33" s="281" t="s">
        <v>462</v>
      </c>
      <c r="E33" s="280" t="s">
        <v>461</v>
      </c>
      <c r="F33" s="105"/>
      <c r="G33" s="279"/>
      <c r="H33" s="112" t="s">
        <v>460</v>
      </c>
      <c r="I33" s="166" t="s">
        <v>459</v>
      </c>
      <c r="J33" s="104"/>
      <c r="L33" s="341"/>
      <c r="M33" s="341"/>
      <c r="N33" s="341"/>
      <c r="O33" s="341"/>
      <c r="P33" s="341"/>
      <c r="Q33" s="341"/>
      <c r="R33" s="341"/>
    </row>
    <row r="34" spans="1:18" x14ac:dyDescent="0.2">
      <c r="A34" s="196"/>
      <c r="B34" s="112"/>
      <c r="C34" s="267" t="s">
        <v>138</v>
      </c>
      <c r="D34" s="278" t="s">
        <v>88</v>
      </c>
      <c r="E34" s="277" t="s">
        <v>458</v>
      </c>
      <c r="F34" s="105"/>
      <c r="G34" s="122" t="s">
        <v>457</v>
      </c>
      <c r="H34" s="112" t="s">
        <v>456</v>
      </c>
      <c r="I34" s="166" t="s">
        <v>455</v>
      </c>
      <c r="J34" s="104"/>
      <c r="L34" s="341"/>
      <c r="M34" s="341"/>
      <c r="N34" s="341"/>
      <c r="O34" s="341"/>
      <c r="P34" s="341"/>
      <c r="Q34" s="341"/>
      <c r="R34" s="341"/>
    </row>
    <row r="35" spans="1:18" x14ac:dyDescent="0.2">
      <c r="A35" s="196"/>
      <c r="B35" s="112"/>
      <c r="C35" s="276" t="s">
        <v>203</v>
      </c>
      <c r="D35" s="275" t="s">
        <v>454</v>
      </c>
      <c r="E35" s="274" t="s">
        <v>201</v>
      </c>
      <c r="F35" s="105"/>
      <c r="G35" s="120" t="s">
        <v>203</v>
      </c>
      <c r="H35" s="160" t="s">
        <v>138</v>
      </c>
      <c r="I35" s="159" t="s">
        <v>453</v>
      </c>
      <c r="J35" s="104"/>
      <c r="L35" s="341"/>
      <c r="M35" s="341"/>
      <c r="N35" s="341"/>
      <c r="O35" s="341"/>
      <c r="P35" s="341"/>
      <c r="Q35" s="341"/>
      <c r="R35" s="341"/>
    </row>
    <row r="36" spans="1:18" x14ac:dyDescent="0.2">
      <c r="A36" s="196"/>
      <c r="B36" s="112"/>
      <c r="C36" s="273" t="s">
        <v>5</v>
      </c>
      <c r="D36" s="272">
        <v>1.75</v>
      </c>
      <c r="E36" s="271">
        <v>0.78500000000000003</v>
      </c>
      <c r="F36" s="105"/>
      <c r="G36" s="153">
        <v>2011</v>
      </c>
      <c r="H36" s="270">
        <v>450000</v>
      </c>
      <c r="I36" s="269">
        <v>452000</v>
      </c>
      <c r="J36" s="104"/>
      <c r="L36" s="341"/>
      <c r="M36" s="341"/>
      <c r="N36" s="341"/>
      <c r="O36" s="341"/>
      <c r="P36" s="341"/>
      <c r="Q36" s="341"/>
      <c r="R36" s="341"/>
    </row>
    <row r="37" spans="1:18" x14ac:dyDescent="0.2">
      <c r="A37" s="196"/>
      <c r="B37" s="112"/>
      <c r="C37" s="267" t="s">
        <v>6</v>
      </c>
      <c r="D37" s="266">
        <v>0.7</v>
      </c>
      <c r="E37" s="265">
        <v>0.1</v>
      </c>
      <c r="F37" s="105"/>
      <c r="G37" s="122">
        <v>2012</v>
      </c>
      <c r="H37" s="226">
        <v>335000</v>
      </c>
      <c r="I37" s="268">
        <v>337000</v>
      </c>
      <c r="J37" s="104"/>
      <c r="L37" s="341"/>
      <c r="M37" s="341"/>
      <c r="N37" s="341"/>
      <c r="O37" s="341"/>
      <c r="P37" s="341"/>
      <c r="Q37" s="341"/>
      <c r="R37" s="341"/>
    </row>
    <row r="38" spans="1:18" x14ac:dyDescent="0.2">
      <c r="A38" s="196"/>
      <c r="B38" s="112"/>
      <c r="C38" s="267" t="s">
        <v>7</v>
      </c>
      <c r="D38" s="266">
        <v>0.55000000000000004</v>
      </c>
      <c r="E38" s="265">
        <v>7.0000000000000007E-2</v>
      </c>
      <c r="F38" s="105"/>
      <c r="G38" s="122">
        <v>2013</v>
      </c>
      <c r="H38" s="226">
        <v>330000</v>
      </c>
      <c r="I38" s="268">
        <v>335000</v>
      </c>
      <c r="J38" s="104"/>
      <c r="L38" s="341"/>
      <c r="M38" s="341"/>
      <c r="N38" s="341"/>
      <c r="O38" s="341"/>
      <c r="P38" s="341"/>
      <c r="Q38" s="341"/>
      <c r="R38" s="341"/>
    </row>
    <row r="39" spans="1:18" x14ac:dyDescent="0.2">
      <c r="A39" s="196"/>
      <c r="B39" s="112"/>
      <c r="C39" s="267" t="s">
        <v>39</v>
      </c>
      <c r="D39" s="266">
        <v>0.45</v>
      </c>
      <c r="E39" s="265">
        <v>0.04</v>
      </c>
      <c r="F39" s="105"/>
      <c r="G39" s="120" t="s">
        <v>452</v>
      </c>
      <c r="H39" s="160">
        <v>0</v>
      </c>
      <c r="I39" s="264">
        <v>425000</v>
      </c>
      <c r="J39" s="104"/>
      <c r="L39" s="341"/>
      <c r="M39" s="341"/>
      <c r="N39" s="341"/>
      <c r="O39" s="341"/>
      <c r="P39" s="341"/>
      <c r="Q39" s="341"/>
      <c r="R39" s="341"/>
    </row>
    <row r="40" spans="1:18" x14ac:dyDescent="0.2">
      <c r="A40" s="196"/>
      <c r="B40" s="112"/>
      <c r="C40" s="120" t="s">
        <v>40</v>
      </c>
      <c r="D40" s="155">
        <v>0</v>
      </c>
      <c r="E40" s="211">
        <v>5.0000000000000001E-3</v>
      </c>
      <c r="F40" s="105"/>
      <c r="G40" s="105"/>
      <c r="H40" s="105"/>
      <c r="I40" s="105"/>
      <c r="J40" s="104"/>
      <c r="L40" s="341"/>
      <c r="M40" s="341"/>
      <c r="N40" s="341"/>
      <c r="O40" s="341"/>
      <c r="P40" s="341"/>
      <c r="Q40" s="341"/>
      <c r="R40" s="341"/>
    </row>
    <row r="41" spans="1:18" x14ac:dyDescent="0.2">
      <c r="A41" s="196"/>
      <c r="B41" s="112"/>
      <c r="C41" s="105"/>
      <c r="D41" s="105"/>
      <c r="E41" s="105"/>
      <c r="F41" s="105"/>
      <c r="G41" s="105"/>
      <c r="H41" s="105"/>
      <c r="I41" s="105"/>
      <c r="J41" s="104"/>
      <c r="L41" s="341"/>
      <c r="M41" s="341"/>
      <c r="N41" s="341"/>
      <c r="O41" s="341"/>
      <c r="P41" s="341"/>
      <c r="Q41" s="341"/>
      <c r="R41" s="341"/>
    </row>
    <row r="42" spans="1:18" x14ac:dyDescent="0.2">
      <c r="A42" s="196"/>
      <c r="B42" s="112"/>
      <c r="C42" s="105" t="s">
        <v>451</v>
      </c>
      <c r="D42" s="105"/>
      <c r="E42" s="105"/>
      <c r="F42" s="105"/>
      <c r="G42" s="105"/>
      <c r="H42" s="105"/>
      <c r="I42" s="105"/>
      <c r="J42" s="104"/>
      <c r="L42" s="341"/>
      <c r="M42" s="341"/>
      <c r="N42" s="341"/>
      <c r="O42" s="341"/>
      <c r="P42" s="341"/>
      <c r="Q42" s="341"/>
      <c r="R42" s="341"/>
    </row>
    <row r="43" spans="1:18" ht="17" thickBot="1" x14ac:dyDescent="0.25">
      <c r="A43" s="196"/>
      <c r="B43" s="112"/>
      <c r="C43" s="105"/>
      <c r="D43" s="105"/>
      <c r="E43" s="105"/>
      <c r="F43" s="105"/>
      <c r="G43" s="105"/>
      <c r="H43" s="105"/>
      <c r="I43" s="105"/>
      <c r="J43" s="104"/>
      <c r="L43" s="341"/>
      <c r="M43" s="341"/>
      <c r="N43" s="341"/>
      <c r="O43" s="341"/>
      <c r="P43" s="341"/>
      <c r="Q43" s="341"/>
      <c r="R43" s="341"/>
    </row>
    <row r="44" spans="1:18" ht="17" thickBot="1" x14ac:dyDescent="0.25">
      <c r="A44" s="208" t="s">
        <v>124</v>
      </c>
      <c r="B44" s="101"/>
      <c r="C44" s="207"/>
      <c r="D44" s="101"/>
      <c r="E44" s="101"/>
      <c r="F44" s="101"/>
      <c r="G44" s="101"/>
      <c r="H44" s="101"/>
      <c r="I44" s="101"/>
      <c r="J44" s="100"/>
      <c r="L44" s="341"/>
      <c r="M44" s="341"/>
      <c r="N44" s="341"/>
      <c r="O44" s="341"/>
      <c r="P44" s="341"/>
      <c r="Q44" s="341"/>
      <c r="R44" s="341"/>
    </row>
    <row r="46" spans="1:18" ht="19" x14ac:dyDescent="0.25">
      <c r="L46" s="124" t="s">
        <v>136</v>
      </c>
    </row>
    <row r="47" spans="1:18" x14ac:dyDescent="0.2">
      <c r="L47" t="s">
        <v>450</v>
      </c>
    </row>
  </sheetData>
  <mergeCells count="6">
    <mergeCell ref="L27:R44"/>
    <mergeCell ref="O9:R10"/>
    <mergeCell ref="D7:D10"/>
    <mergeCell ref="E7:E10"/>
    <mergeCell ref="F7:F10"/>
    <mergeCell ref="G7:G10"/>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9425C-38F8-7843-B524-015C5A556DB3}">
  <dimension ref="A1:S25"/>
  <sheetViews>
    <sheetView workbookViewId="0">
      <selection activeCell="B1" sqref="B1"/>
    </sheetView>
  </sheetViews>
  <sheetFormatPr baseColWidth="10" defaultColWidth="11" defaultRowHeight="16" outlineLevelCol="1" x14ac:dyDescent="0.2"/>
  <cols>
    <col min="1" max="1" width="4" style="94" customWidth="1"/>
    <col min="2" max="2" width="11.5" customWidth="1"/>
    <col min="12" max="18" width="10.83203125" hidden="1" customWidth="1" outlineLevel="1"/>
    <col min="19" max="19" width="11" collapsed="1"/>
  </cols>
  <sheetData>
    <row r="1" spans="1:18" x14ac:dyDescent="0.2">
      <c r="A1" s="221"/>
      <c r="B1" s="128" t="s">
        <v>351</v>
      </c>
      <c r="C1" s="127" t="s">
        <v>500</v>
      </c>
      <c r="D1" s="127" t="s">
        <v>349</v>
      </c>
      <c r="E1" s="127" t="s">
        <v>499</v>
      </c>
      <c r="F1" s="126"/>
      <c r="G1" s="126"/>
      <c r="H1" s="126"/>
      <c r="I1" s="126"/>
      <c r="J1" s="125"/>
      <c r="K1" s="209" t="s">
        <v>125</v>
      </c>
      <c r="L1" s="209"/>
    </row>
    <row r="2" spans="1:18" x14ac:dyDescent="0.2">
      <c r="A2" s="196"/>
      <c r="B2" s="220" t="s">
        <v>348</v>
      </c>
      <c r="C2" s="219">
        <v>1</v>
      </c>
      <c r="D2" s="105"/>
      <c r="E2" s="105"/>
      <c r="F2" s="105"/>
      <c r="G2" s="105"/>
      <c r="H2" s="105"/>
      <c r="I2" s="105"/>
      <c r="J2" s="104"/>
      <c r="L2" t="s">
        <v>498</v>
      </c>
    </row>
    <row r="3" spans="1:18" x14ac:dyDescent="0.2">
      <c r="A3" s="196"/>
      <c r="B3" s="105"/>
      <c r="C3" s="105"/>
      <c r="D3" s="105"/>
      <c r="E3" s="105"/>
      <c r="F3" s="105"/>
      <c r="G3" s="105"/>
      <c r="H3" s="105"/>
      <c r="I3" s="105"/>
      <c r="J3" s="104"/>
      <c r="L3" t="s">
        <v>497</v>
      </c>
      <c r="O3">
        <f>1/H9-1/H8</f>
        <v>0.17500000000000004</v>
      </c>
    </row>
    <row r="4" spans="1:18" x14ac:dyDescent="0.2">
      <c r="A4" s="196"/>
      <c r="B4" s="105"/>
      <c r="C4" s="105" t="s">
        <v>17</v>
      </c>
      <c r="D4" s="105"/>
      <c r="E4" s="105"/>
      <c r="F4" s="105"/>
      <c r="G4" s="105"/>
      <c r="H4" s="105"/>
      <c r="I4" s="105"/>
      <c r="J4" s="104"/>
      <c r="L4" t="s">
        <v>496</v>
      </c>
      <c r="O4" s="188">
        <f>1-1/H9</f>
        <v>0.19999999999999996</v>
      </c>
    </row>
    <row r="5" spans="1:18" ht="17" thickBot="1" x14ac:dyDescent="0.25">
      <c r="A5" s="196"/>
      <c r="B5" s="105"/>
      <c r="C5" s="105"/>
      <c r="D5" s="105"/>
      <c r="E5" s="105"/>
      <c r="F5" s="105"/>
      <c r="G5" s="105"/>
      <c r="H5" s="105"/>
      <c r="I5" s="105"/>
      <c r="J5" s="104"/>
      <c r="M5" s="290"/>
    </row>
    <row r="6" spans="1:18" ht="18" customHeight="1" thickBot="1" x14ac:dyDescent="0.25">
      <c r="A6" s="196"/>
      <c r="B6" s="105"/>
      <c r="C6" s="105" t="s">
        <v>495</v>
      </c>
      <c r="D6" s="105"/>
      <c r="E6" s="105"/>
      <c r="F6" s="105"/>
      <c r="G6" s="105"/>
      <c r="H6" s="105"/>
      <c r="I6" s="134">
        <v>0.4</v>
      </c>
      <c r="J6" s="104"/>
      <c r="L6" s="229" t="s">
        <v>483</v>
      </c>
      <c r="M6" s="298">
        <f>(I6*O3+H7*O4)/SUM(O3:O4)</f>
        <v>0.32</v>
      </c>
    </row>
    <row r="7" spans="1:18" ht="16" customHeight="1" x14ac:dyDescent="0.2">
      <c r="A7" s="196"/>
      <c r="B7" s="105"/>
      <c r="C7" s="105" t="s">
        <v>494</v>
      </c>
      <c r="D7" s="105"/>
      <c r="E7" s="105"/>
      <c r="F7" s="105"/>
      <c r="G7" s="105"/>
      <c r="H7" s="134">
        <v>0.25</v>
      </c>
      <c r="I7" s="105"/>
      <c r="J7" s="104"/>
    </row>
    <row r="8" spans="1:18" ht="16" customHeight="1" x14ac:dyDescent="0.2">
      <c r="A8" s="196"/>
      <c r="B8" s="105"/>
      <c r="C8" s="105" t="s">
        <v>493</v>
      </c>
      <c r="D8" s="105"/>
      <c r="E8" s="105"/>
      <c r="F8" s="105"/>
      <c r="G8" s="105"/>
      <c r="H8" s="134">
        <v>1.6</v>
      </c>
      <c r="I8" s="105"/>
      <c r="J8" s="104"/>
      <c r="M8" s="285"/>
    </row>
    <row r="9" spans="1:18" ht="16" customHeight="1" x14ac:dyDescent="0.25">
      <c r="A9" s="196"/>
      <c r="B9" s="105"/>
      <c r="C9" s="105" t="s">
        <v>492</v>
      </c>
      <c r="D9" s="105"/>
      <c r="E9" s="105"/>
      <c r="F9" s="105"/>
      <c r="G9" s="105"/>
      <c r="H9" s="134">
        <v>1.25</v>
      </c>
      <c r="I9" s="105"/>
      <c r="J9" s="104"/>
      <c r="L9" s="124" t="s">
        <v>113</v>
      </c>
    </row>
    <row r="10" spans="1:18" ht="16" customHeight="1" x14ac:dyDescent="0.2">
      <c r="A10" s="196"/>
      <c r="B10" s="105"/>
      <c r="C10" s="105" t="s">
        <v>491</v>
      </c>
      <c r="D10" s="105"/>
      <c r="E10" s="105"/>
      <c r="F10" s="105"/>
      <c r="G10" s="105"/>
      <c r="H10" s="105"/>
      <c r="I10" s="105"/>
      <c r="J10" s="104"/>
      <c r="L10" s="341" t="s">
        <v>490</v>
      </c>
      <c r="M10" s="341"/>
      <c r="N10" s="341"/>
      <c r="O10" s="341"/>
      <c r="P10" s="341"/>
      <c r="Q10" s="341"/>
      <c r="R10" s="341"/>
    </row>
    <row r="11" spans="1:18" x14ac:dyDescent="0.2">
      <c r="A11" s="196"/>
      <c r="B11" s="105"/>
      <c r="C11" s="105"/>
      <c r="D11" s="105"/>
      <c r="E11" s="105"/>
      <c r="F11" s="105"/>
      <c r="G11" s="105"/>
      <c r="H11" s="105"/>
      <c r="I11" s="105"/>
      <c r="J11" s="104"/>
      <c r="L11" s="341"/>
      <c r="M11" s="341"/>
      <c r="N11" s="341"/>
      <c r="O11" s="341"/>
      <c r="P11" s="341"/>
      <c r="Q11" s="341"/>
      <c r="R11" s="341"/>
    </row>
    <row r="12" spans="1:18" x14ac:dyDescent="0.2">
      <c r="A12" s="196"/>
      <c r="B12" s="105"/>
      <c r="C12" s="105" t="s">
        <v>489</v>
      </c>
      <c r="D12" s="105"/>
      <c r="E12" s="105"/>
      <c r="F12" s="105"/>
      <c r="G12" s="105"/>
      <c r="H12" s="105"/>
      <c r="I12" s="105"/>
      <c r="J12" s="104"/>
      <c r="L12" s="341"/>
      <c r="M12" s="341"/>
      <c r="N12" s="341"/>
      <c r="O12" s="341"/>
      <c r="P12" s="341"/>
      <c r="Q12" s="341"/>
      <c r="R12" s="341"/>
    </row>
    <row r="13" spans="1:18" ht="17" thickBot="1" x14ac:dyDescent="0.25">
      <c r="A13" s="196"/>
      <c r="B13" s="105"/>
      <c r="C13" s="105"/>
      <c r="D13" s="105"/>
      <c r="E13" s="105"/>
      <c r="F13" s="105"/>
      <c r="G13" s="105"/>
      <c r="H13" s="105"/>
      <c r="I13" s="105"/>
      <c r="J13" s="104"/>
    </row>
    <row r="14" spans="1:18" ht="17" thickBot="1" x14ac:dyDescent="0.25">
      <c r="A14" s="208" t="s">
        <v>124</v>
      </c>
      <c r="B14" s="101"/>
      <c r="C14" s="207"/>
      <c r="D14" s="101"/>
      <c r="E14" s="101"/>
      <c r="F14" s="101"/>
      <c r="G14" s="101"/>
      <c r="H14" s="101"/>
      <c r="I14" s="101"/>
      <c r="J14" s="100"/>
      <c r="L14" s="293" t="s">
        <v>137</v>
      </c>
      <c r="M14" s="214"/>
      <c r="N14" s="214"/>
    </row>
    <row r="15" spans="1:18" x14ac:dyDescent="0.2">
      <c r="L15" s="293" t="s">
        <v>138</v>
      </c>
      <c r="M15" s="370" t="s">
        <v>169</v>
      </c>
      <c r="N15" s="370"/>
    </row>
    <row r="16" spans="1:18" x14ac:dyDescent="0.2">
      <c r="L16" s="297" t="s">
        <v>203</v>
      </c>
      <c r="M16" s="296" t="s">
        <v>488</v>
      </c>
      <c r="N16" s="296" t="s">
        <v>425</v>
      </c>
      <c r="O16" s="296" t="s">
        <v>88</v>
      </c>
    </row>
    <row r="17" spans="12:15" x14ac:dyDescent="0.2">
      <c r="L17" s="293" t="s">
        <v>487</v>
      </c>
      <c r="M17" s="295"/>
      <c r="N17" s="294"/>
      <c r="O17" s="96"/>
    </row>
    <row r="18" spans="12:15" x14ac:dyDescent="0.2">
      <c r="L18" s="293" t="s">
        <v>486</v>
      </c>
      <c r="M18" s="292">
        <f>1/H8</f>
        <v>0.625</v>
      </c>
      <c r="N18" s="292"/>
      <c r="O18" s="96"/>
    </row>
    <row r="19" spans="12:15" x14ac:dyDescent="0.2">
      <c r="L19" s="293" t="s">
        <v>485</v>
      </c>
      <c r="M19" s="292">
        <f>1/H9</f>
        <v>0.8</v>
      </c>
      <c r="N19" s="292">
        <f>M19-M18</f>
        <v>0.17500000000000004</v>
      </c>
      <c r="O19" s="96">
        <f>I6</f>
        <v>0.4</v>
      </c>
    </row>
    <row r="20" spans="12:15" x14ac:dyDescent="0.2">
      <c r="L20" s="293" t="s">
        <v>484</v>
      </c>
      <c r="M20" s="292">
        <v>1</v>
      </c>
      <c r="N20" s="292">
        <f>M20-M19</f>
        <v>0.19999999999999996</v>
      </c>
      <c r="O20" s="96">
        <f>H7</f>
        <v>0.25</v>
      </c>
    </row>
    <row r="21" spans="12:15" ht="17" thickBot="1" x14ac:dyDescent="0.25"/>
    <row r="22" spans="12:15" ht="17" thickBot="1" x14ac:dyDescent="0.25">
      <c r="L22" s="229" t="s">
        <v>483</v>
      </c>
      <c r="M22" s="291">
        <f>SUMPRODUCT(O19:O20,N19:N20)/SUM(N19:N20)</f>
        <v>0.32</v>
      </c>
    </row>
    <row r="24" spans="12:15" ht="19" x14ac:dyDescent="0.25">
      <c r="L24" s="124" t="s">
        <v>136</v>
      </c>
    </row>
    <row r="25" spans="12:15" x14ac:dyDescent="0.2">
      <c r="L25" t="s">
        <v>482</v>
      </c>
    </row>
  </sheetData>
  <mergeCells count="2">
    <mergeCell ref="M15:N15"/>
    <mergeCell ref="L10:R12"/>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1C7DC-0F7E-6E44-A640-3BA4D9B19649}">
  <dimension ref="A1:S54"/>
  <sheetViews>
    <sheetView workbookViewId="0"/>
  </sheetViews>
  <sheetFormatPr baseColWidth="10" defaultColWidth="11" defaultRowHeight="16" outlineLevelCol="1" x14ac:dyDescent="0.2"/>
  <cols>
    <col min="1" max="1" width="4" style="94" customWidth="1"/>
    <col min="2" max="10" width="10.83203125" customWidth="1"/>
    <col min="12" max="18" width="10.83203125" hidden="1" customWidth="1" outlineLevel="1"/>
    <col min="19" max="19" width="11" collapsed="1"/>
  </cols>
  <sheetData>
    <row r="1" spans="1:18" x14ac:dyDescent="0.2">
      <c r="A1" s="221"/>
      <c r="B1" s="128" t="s">
        <v>351</v>
      </c>
      <c r="C1" s="127" t="s">
        <v>500</v>
      </c>
      <c r="D1" s="127" t="s">
        <v>349</v>
      </c>
      <c r="E1" s="127" t="s">
        <v>480</v>
      </c>
      <c r="F1" s="126"/>
      <c r="G1" s="126"/>
      <c r="H1" s="126"/>
      <c r="I1" s="126"/>
      <c r="J1" s="125"/>
      <c r="K1" s="209" t="s">
        <v>125</v>
      </c>
      <c r="L1" s="209"/>
    </row>
    <row r="2" spans="1:18" x14ac:dyDescent="0.2">
      <c r="A2" s="196"/>
      <c r="B2" s="220" t="s">
        <v>348</v>
      </c>
      <c r="C2" s="219">
        <v>2</v>
      </c>
      <c r="D2" s="105"/>
      <c r="E2" s="105"/>
      <c r="F2" s="105"/>
      <c r="G2" s="105"/>
      <c r="H2" s="105"/>
      <c r="I2" s="105"/>
      <c r="J2" s="104"/>
    </row>
    <row r="3" spans="1:18" x14ac:dyDescent="0.2">
      <c r="A3" s="196"/>
      <c r="B3" s="105"/>
      <c r="C3" s="105"/>
      <c r="D3" s="105"/>
      <c r="E3" s="105"/>
      <c r="F3" s="105"/>
      <c r="G3" s="105"/>
      <c r="H3" s="105"/>
      <c r="I3" s="105"/>
      <c r="J3" s="104"/>
      <c r="L3" s="209" t="s">
        <v>347</v>
      </c>
      <c r="M3" s="290"/>
    </row>
    <row r="4" spans="1:18" x14ac:dyDescent="0.2">
      <c r="A4" s="196"/>
      <c r="B4" s="105"/>
      <c r="C4" s="105" t="s">
        <v>529</v>
      </c>
      <c r="D4" s="105"/>
      <c r="E4" s="105"/>
      <c r="F4" s="105"/>
      <c r="G4" s="105"/>
      <c r="H4" s="105"/>
      <c r="I4" s="105"/>
      <c r="J4" s="104"/>
      <c r="L4" t="s">
        <v>528</v>
      </c>
      <c r="M4" s="290"/>
    </row>
    <row r="5" spans="1:18" x14ac:dyDescent="0.2">
      <c r="A5" s="196"/>
      <c r="B5" s="105"/>
      <c r="C5" s="105" t="s">
        <v>527</v>
      </c>
      <c r="D5" s="105"/>
      <c r="E5" s="105"/>
      <c r="F5" s="105"/>
      <c r="G5" s="105"/>
      <c r="H5" s="105"/>
      <c r="I5" s="105"/>
      <c r="J5" s="104"/>
      <c r="L5" t="s">
        <v>526</v>
      </c>
    </row>
    <row r="6" spans="1:18" x14ac:dyDescent="0.2">
      <c r="A6" s="196"/>
      <c r="B6" s="105"/>
      <c r="C6" s="105" t="s">
        <v>525</v>
      </c>
      <c r="D6" s="105"/>
      <c r="E6" s="105"/>
      <c r="F6" s="105"/>
      <c r="G6" s="105"/>
      <c r="H6" s="105"/>
      <c r="I6" s="105"/>
      <c r="J6" s="104"/>
    </row>
    <row r="7" spans="1:18" x14ac:dyDescent="0.2">
      <c r="A7" s="196"/>
      <c r="B7" s="105"/>
      <c r="C7" s="105"/>
      <c r="D7" s="105"/>
      <c r="E7" s="105"/>
      <c r="F7" s="105"/>
      <c r="G7" s="105"/>
      <c r="H7" s="105"/>
      <c r="I7" s="105"/>
      <c r="J7" s="104"/>
      <c r="L7" s="209" t="s">
        <v>339</v>
      </c>
      <c r="M7" s="285"/>
    </row>
    <row r="8" spans="1:18" x14ac:dyDescent="0.2">
      <c r="A8" s="196"/>
      <c r="B8" s="105"/>
      <c r="C8" s="105" t="s">
        <v>524</v>
      </c>
      <c r="D8" s="105"/>
      <c r="E8" s="105"/>
      <c r="F8" s="105"/>
      <c r="G8" s="105"/>
      <c r="H8" s="105"/>
      <c r="I8" s="105"/>
      <c r="J8" s="104"/>
      <c r="L8" s="339" t="s">
        <v>523</v>
      </c>
      <c r="M8" s="339"/>
      <c r="N8" s="339"/>
      <c r="O8" s="339"/>
      <c r="P8" s="339"/>
      <c r="Q8" s="339"/>
      <c r="R8" s="339"/>
    </row>
    <row r="9" spans="1:18" x14ac:dyDescent="0.2">
      <c r="A9" s="196"/>
      <c r="B9" s="105"/>
      <c r="C9" s="105" t="s">
        <v>522</v>
      </c>
      <c r="D9" s="105"/>
      <c r="E9" s="105"/>
      <c r="F9" s="105"/>
      <c r="G9" s="105"/>
      <c r="H9" s="105"/>
      <c r="I9" s="105"/>
      <c r="J9" s="104"/>
      <c r="L9" s="339"/>
      <c r="M9" s="339"/>
      <c r="N9" s="339"/>
      <c r="O9" s="339"/>
      <c r="P9" s="339"/>
      <c r="Q9" s="339"/>
      <c r="R9" s="339"/>
    </row>
    <row r="10" spans="1:18" x14ac:dyDescent="0.2">
      <c r="A10" s="196"/>
      <c r="B10" s="105"/>
      <c r="C10" s="105" t="s">
        <v>521</v>
      </c>
      <c r="D10" s="105"/>
      <c r="E10" s="105"/>
      <c r="F10" s="105"/>
      <c r="G10" s="105"/>
      <c r="H10" s="105"/>
      <c r="I10" s="105"/>
      <c r="J10" s="104"/>
      <c r="L10" s="339"/>
      <c r="M10" s="339"/>
      <c r="N10" s="339"/>
      <c r="O10" s="339"/>
      <c r="P10" s="339"/>
      <c r="Q10" s="339"/>
      <c r="R10" s="339"/>
    </row>
    <row r="11" spans="1:18" x14ac:dyDescent="0.2">
      <c r="A11" s="196"/>
      <c r="B11" s="105"/>
      <c r="C11" s="105"/>
      <c r="D11" s="105"/>
      <c r="E11" s="105"/>
      <c r="F11" s="105"/>
      <c r="G11" s="105"/>
      <c r="H11" s="105"/>
      <c r="I11" s="105"/>
      <c r="J11" s="104"/>
      <c r="L11" s="339"/>
      <c r="M11" s="339"/>
      <c r="N11" s="339"/>
      <c r="O11" s="339"/>
      <c r="P11" s="339"/>
      <c r="Q11" s="339"/>
      <c r="R11" s="339"/>
    </row>
    <row r="12" spans="1:18" x14ac:dyDescent="0.2">
      <c r="A12" s="196"/>
      <c r="B12" s="105"/>
      <c r="C12" s="105"/>
      <c r="D12" s="105"/>
      <c r="E12" s="105"/>
      <c r="F12" s="105"/>
      <c r="G12" s="105"/>
      <c r="H12" s="105"/>
      <c r="I12" s="105"/>
      <c r="J12" s="104"/>
    </row>
    <row r="13" spans="1:18" x14ac:dyDescent="0.2">
      <c r="A13" s="196"/>
      <c r="B13" s="105"/>
      <c r="C13" s="105"/>
      <c r="D13" s="105"/>
      <c r="E13" s="105"/>
      <c r="F13" s="105"/>
      <c r="G13" s="105"/>
      <c r="H13" s="105"/>
      <c r="I13" s="105"/>
      <c r="J13" s="104"/>
      <c r="L13" s="209" t="s">
        <v>393</v>
      </c>
    </row>
    <row r="14" spans="1:18" x14ac:dyDescent="0.2">
      <c r="A14" s="196"/>
      <c r="B14" s="112"/>
      <c r="C14" s="105"/>
      <c r="D14" s="105"/>
      <c r="E14" s="105"/>
      <c r="F14" s="105"/>
      <c r="G14" s="105"/>
      <c r="H14" s="105"/>
      <c r="I14" s="105"/>
      <c r="J14" s="104"/>
      <c r="L14" t="s">
        <v>520</v>
      </c>
    </row>
    <row r="15" spans="1:18" x14ac:dyDescent="0.2">
      <c r="A15" s="196"/>
      <c r="B15" s="112"/>
      <c r="C15" s="105"/>
      <c r="D15" s="105"/>
      <c r="E15" s="105"/>
      <c r="F15" s="105"/>
      <c r="G15" s="105"/>
      <c r="H15" s="105"/>
      <c r="I15" s="105"/>
      <c r="J15" s="104"/>
      <c r="L15" t="s">
        <v>519</v>
      </c>
    </row>
    <row r="16" spans="1:18" x14ac:dyDescent="0.2">
      <c r="A16" s="196"/>
      <c r="B16" s="112"/>
      <c r="C16" s="105"/>
      <c r="D16" s="105"/>
      <c r="E16" s="105"/>
      <c r="F16" s="105"/>
      <c r="G16" s="105"/>
      <c r="H16" s="105"/>
      <c r="I16" s="105"/>
      <c r="J16" s="104"/>
      <c r="L16" t="s">
        <v>518</v>
      </c>
    </row>
    <row r="17" spans="1:18" x14ac:dyDescent="0.2">
      <c r="A17" s="196"/>
      <c r="B17" s="112"/>
      <c r="C17" s="105"/>
      <c r="D17" s="105"/>
      <c r="E17" s="105"/>
      <c r="F17" s="105"/>
      <c r="G17" s="105"/>
      <c r="H17" s="105"/>
      <c r="I17" s="105"/>
      <c r="J17" s="104"/>
      <c r="L17" t="s">
        <v>517</v>
      </c>
    </row>
    <row r="18" spans="1:18" x14ac:dyDescent="0.2">
      <c r="A18" s="196"/>
      <c r="B18" s="112"/>
      <c r="C18" s="105"/>
      <c r="D18" s="105"/>
      <c r="E18" s="105"/>
      <c r="F18" s="105"/>
      <c r="G18" s="105"/>
      <c r="H18" s="105"/>
      <c r="I18" s="105"/>
      <c r="J18" s="104"/>
    </row>
    <row r="19" spans="1:18" x14ac:dyDescent="0.2">
      <c r="A19" s="196"/>
      <c r="B19" s="112"/>
      <c r="C19" s="105"/>
      <c r="D19" s="105"/>
      <c r="E19" s="105"/>
      <c r="F19" s="105"/>
      <c r="G19" s="105"/>
      <c r="H19" s="105"/>
      <c r="I19" s="105"/>
      <c r="J19" s="104"/>
      <c r="L19" s="209" t="s">
        <v>386</v>
      </c>
    </row>
    <row r="20" spans="1:18" x14ac:dyDescent="0.2">
      <c r="A20" s="196"/>
      <c r="B20" s="112"/>
      <c r="C20" s="105"/>
      <c r="D20" s="105"/>
      <c r="E20" s="105"/>
      <c r="F20" s="105"/>
      <c r="G20" s="105"/>
      <c r="H20" s="105"/>
      <c r="I20" s="105"/>
      <c r="J20" s="104"/>
      <c r="L20" t="s">
        <v>516</v>
      </c>
    </row>
    <row r="21" spans="1:18" x14ac:dyDescent="0.2">
      <c r="A21" s="196"/>
      <c r="B21" s="112"/>
      <c r="C21" s="105"/>
      <c r="D21" s="105"/>
      <c r="E21" s="105"/>
      <c r="F21" s="105"/>
      <c r="G21" s="105"/>
      <c r="H21" s="105"/>
      <c r="I21" s="105"/>
      <c r="J21" s="104"/>
      <c r="L21" t="s">
        <v>515</v>
      </c>
    </row>
    <row r="22" spans="1:18" x14ac:dyDescent="0.2">
      <c r="A22" s="196"/>
      <c r="B22" s="112"/>
      <c r="C22" s="105"/>
      <c r="D22" s="105"/>
      <c r="E22" s="105"/>
      <c r="F22" s="105"/>
      <c r="G22" s="105"/>
      <c r="H22" s="105"/>
      <c r="I22" s="105"/>
      <c r="J22" s="104"/>
      <c r="L22" s="209"/>
    </row>
    <row r="23" spans="1:18" x14ac:dyDescent="0.2">
      <c r="A23" s="196"/>
      <c r="B23" s="112"/>
      <c r="C23" s="105"/>
      <c r="D23" s="105"/>
      <c r="E23" s="105"/>
      <c r="F23" s="105"/>
      <c r="G23" s="105"/>
      <c r="H23" s="105"/>
      <c r="I23" s="105"/>
      <c r="J23" s="104"/>
      <c r="L23" s="209" t="s">
        <v>514</v>
      </c>
    </row>
    <row r="24" spans="1:18" x14ac:dyDescent="0.2">
      <c r="A24" s="196"/>
      <c r="B24" s="112"/>
      <c r="C24" s="105"/>
      <c r="D24" s="105"/>
      <c r="E24" s="105"/>
      <c r="F24" s="105"/>
      <c r="G24" s="105"/>
      <c r="H24" s="105"/>
      <c r="I24" s="105"/>
      <c r="J24" s="104"/>
      <c r="L24" s="339" t="s">
        <v>580</v>
      </c>
      <c r="M24" s="339"/>
      <c r="N24" s="339"/>
      <c r="O24" s="339"/>
      <c r="P24" s="339"/>
      <c r="Q24" s="339"/>
      <c r="R24" s="339"/>
    </row>
    <row r="25" spans="1:18" x14ac:dyDescent="0.2">
      <c r="A25" s="196"/>
      <c r="B25" s="112"/>
      <c r="C25" s="105" t="s">
        <v>513</v>
      </c>
      <c r="D25" s="105"/>
      <c r="E25" s="105"/>
      <c r="F25" s="105"/>
      <c r="G25" s="105"/>
      <c r="H25" s="105"/>
      <c r="I25" s="105"/>
      <c r="J25" s="104"/>
      <c r="L25" s="339"/>
      <c r="M25" s="339"/>
      <c r="N25" s="339"/>
      <c r="O25" s="339"/>
      <c r="P25" s="339"/>
      <c r="Q25" s="339"/>
      <c r="R25" s="339"/>
    </row>
    <row r="26" spans="1:18" x14ac:dyDescent="0.2">
      <c r="A26" s="196"/>
      <c r="B26" s="112"/>
      <c r="C26" s="105" t="s">
        <v>512</v>
      </c>
      <c r="D26" s="105"/>
      <c r="E26" s="105"/>
      <c r="F26" s="105"/>
      <c r="G26" s="105"/>
      <c r="H26" s="105"/>
      <c r="I26" s="105"/>
      <c r="J26" s="104"/>
      <c r="L26" s="339"/>
      <c r="M26" s="339"/>
      <c r="N26" s="339"/>
      <c r="O26" s="339"/>
      <c r="P26" s="339"/>
      <c r="Q26" s="339"/>
      <c r="R26" s="339"/>
    </row>
    <row r="27" spans="1:18" x14ac:dyDescent="0.2">
      <c r="A27" s="196"/>
      <c r="B27" s="112"/>
      <c r="C27" s="105"/>
      <c r="D27" s="105"/>
      <c r="E27" s="105"/>
      <c r="F27" s="105"/>
      <c r="G27" s="105"/>
      <c r="H27" s="105"/>
      <c r="I27" s="105"/>
      <c r="J27" s="104"/>
      <c r="L27" s="339"/>
      <c r="M27" s="339"/>
      <c r="N27" s="339"/>
      <c r="O27" s="339"/>
      <c r="P27" s="339"/>
      <c r="Q27" s="339"/>
      <c r="R27" s="339"/>
    </row>
    <row r="28" spans="1:18" x14ac:dyDescent="0.2">
      <c r="A28" s="196"/>
      <c r="B28" s="112"/>
      <c r="C28" s="105"/>
      <c r="D28" s="105"/>
      <c r="E28" s="105"/>
      <c r="F28" s="105"/>
      <c r="G28" s="105"/>
      <c r="H28" s="105"/>
      <c r="I28" s="105"/>
      <c r="J28" s="104"/>
      <c r="L28" s="209"/>
    </row>
    <row r="29" spans="1:18" x14ac:dyDescent="0.2">
      <c r="A29" s="196"/>
      <c r="B29" s="112"/>
      <c r="C29" s="105"/>
      <c r="D29" s="105"/>
      <c r="E29" s="105"/>
      <c r="F29" s="105"/>
      <c r="G29" s="105"/>
      <c r="H29" s="105"/>
      <c r="I29" s="105"/>
      <c r="J29" s="104"/>
      <c r="L29" s="209"/>
    </row>
    <row r="30" spans="1:18" ht="19" x14ac:dyDescent="0.25">
      <c r="A30" s="196"/>
      <c r="B30" s="112"/>
      <c r="C30" s="105"/>
      <c r="D30" s="105"/>
      <c r="E30" s="105"/>
      <c r="F30" s="105"/>
      <c r="G30" s="105"/>
      <c r="H30" s="105"/>
      <c r="I30" s="105"/>
      <c r="J30" s="104"/>
      <c r="L30" s="124" t="s">
        <v>136</v>
      </c>
    </row>
    <row r="31" spans="1:18" x14ac:dyDescent="0.2">
      <c r="A31" s="196"/>
      <c r="B31" s="112"/>
      <c r="C31" s="105"/>
      <c r="D31" s="105"/>
      <c r="E31" s="105"/>
      <c r="F31" s="105"/>
      <c r="G31" s="105"/>
      <c r="H31" s="105"/>
      <c r="I31" s="105"/>
      <c r="J31" s="104"/>
      <c r="L31" t="s">
        <v>511</v>
      </c>
    </row>
    <row r="32" spans="1:18" x14ac:dyDescent="0.2">
      <c r="A32" s="196"/>
      <c r="B32" s="112"/>
      <c r="C32" s="105"/>
      <c r="D32" s="105"/>
      <c r="E32" s="105"/>
      <c r="F32" s="105"/>
      <c r="G32" s="105"/>
      <c r="H32" s="105"/>
      <c r="I32" s="105"/>
      <c r="J32" s="104"/>
      <c r="L32" s="209"/>
    </row>
    <row r="33" spans="1:13" x14ac:dyDescent="0.2">
      <c r="A33" s="196"/>
      <c r="B33" s="112"/>
      <c r="C33" s="105"/>
      <c r="D33" s="105"/>
      <c r="E33" s="105"/>
      <c r="F33" s="105"/>
      <c r="G33" s="105"/>
      <c r="H33" s="105"/>
      <c r="I33" s="105"/>
      <c r="J33" s="104"/>
    </row>
    <row r="34" spans="1:13" x14ac:dyDescent="0.2">
      <c r="A34" s="196"/>
      <c r="B34" s="112"/>
      <c r="C34" s="105"/>
      <c r="D34" s="105"/>
      <c r="E34" s="105"/>
      <c r="F34" s="105"/>
      <c r="G34" s="105"/>
      <c r="H34" s="105"/>
      <c r="I34" s="105"/>
      <c r="J34" s="104"/>
      <c r="M34" s="222"/>
    </row>
    <row r="35" spans="1:13" x14ac:dyDescent="0.2">
      <c r="A35" s="196"/>
      <c r="B35" s="112"/>
      <c r="C35" s="105"/>
      <c r="D35" s="105"/>
      <c r="E35" s="105"/>
      <c r="F35" s="105"/>
      <c r="G35" s="105"/>
      <c r="H35" s="105"/>
      <c r="I35" s="105"/>
      <c r="J35" s="104"/>
      <c r="M35" s="222"/>
    </row>
    <row r="36" spans="1:13" x14ac:dyDescent="0.2">
      <c r="A36" s="196"/>
      <c r="B36" s="112"/>
      <c r="C36" s="105"/>
      <c r="D36" s="105"/>
      <c r="E36" s="105"/>
      <c r="F36" s="105"/>
      <c r="G36" s="105"/>
      <c r="H36" s="105"/>
      <c r="I36" s="105"/>
      <c r="J36" s="104"/>
      <c r="M36" s="222"/>
    </row>
    <row r="37" spans="1:13" x14ac:dyDescent="0.2">
      <c r="A37" s="196"/>
      <c r="B37" s="112"/>
      <c r="C37" s="105"/>
      <c r="D37" s="105"/>
      <c r="E37" s="105"/>
      <c r="F37" s="105"/>
      <c r="G37" s="105"/>
      <c r="H37" s="105"/>
      <c r="I37" s="105"/>
      <c r="J37" s="104"/>
      <c r="M37" s="222"/>
    </row>
    <row r="38" spans="1:13" x14ac:dyDescent="0.2">
      <c r="A38" s="196"/>
      <c r="B38" s="112"/>
      <c r="C38" s="105"/>
      <c r="D38" s="105"/>
      <c r="E38" s="105"/>
      <c r="F38" s="105"/>
      <c r="G38" s="105"/>
      <c r="H38" s="105"/>
      <c r="I38" s="105"/>
      <c r="J38" s="104"/>
    </row>
    <row r="39" spans="1:13" x14ac:dyDescent="0.2">
      <c r="A39" s="196"/>
      <c r="B39" s="112"/>
      <c r="C39" s="105"/>
      <c r="D39" s="105"/>
      <c r="E39" s="105"/>
      <c r="F39" s="105"/>
      <c r="G39" s="105"/>
      <c r="H39" s="105"/>
      <c r="I39" s="105"/>
      <c r="J39" s="104"/>
      <c r="M39" s="188"/>
    </row>
    <row r="40" spans="1:13" x14ac:dyDescent="0.2">
      <c r="A40" s="196"/>
      <c r="B40" s="112"/>
      <c r="C40" s="105"/>
      <c r="D40" s="105"/>
      <c r="E40" s="105"/>
      <c r="F40" s="105"/>
      <c r="G40" s="105"/>
      <c r="H40" s="105"/>
      <c r="I40" s="105"/>
      <c r="J40" s="104"/>
    </row>
    <row r="41" spans="1:13" x14ac:dyDescent="0.2">
      <c r="A41" s="196" t="s">
        <v>0</v>
      </c>
      <c r="B41" s="134" t="s">
        <v>335</v>
      </c>
      <c r="C41" s="105" t="s">
        <v>510</v>
      </c>
      <c r="D41" s="105"/>
      <c r="E41" s="105"/>
      <c r="F41" s="105"/>
      <c r="G41" s="105"/>
      <c r="H41" s="105"/>
      <c r="I41" s="105"/>
      <c r="J41" s="104"/>
    </row>
    <row r="42" spans="1:13" x14ac:dyDescent="0.2">
      <c r="A42" s="196"/>
      <c r="B42" s="112"/>
      <c r="C42" s="105" t="s">
        <v>509</v>
      </c>
      <c r="D42" s="105"/>
      <c r="E42" s="105"/>
      <c r="F42" s="105"/>
      <c r="G42" s="105"/>
      <c r="H42" s="105"/>
      <c r="I42" s="105"/>
      <c r="J42" s="104"/>
    </row>
    <row r="43" spans="1:13" x14ac:dyDescent="0.2">
      <c r="A43" s="196"/>
      <c r="B43" s="112"/>
      <c r="C43" s="105"/>
      <c r="D43" s="105"/>
      <c r="E43" s="105"/>
      <c r="F43" s="105"/>
      <c r="G43" s="105"/>
      <c r="H43" s="105"/>
      <c r="I43" s="105"/>
      <c r="J43" s="104"/>
    </row>
    <row r="44" spans="1:13" x14ac:dyDescent="0.2">
      <c r="A44" s="196" t="s">
        <v>1</v>
      </c>
      <c r="B44" s="134" t="s">
        <v>507</v>
      </c>
      <c r="C44" s="105" t="s">
        <v>508</v>
      </c>
      <c r="D44" s="105"/>
      <c r="E44" s="105"/>
      <c r="F44" s="105"/>
      <c r="G44" s="105"/>
      <c r="H44" s="105"/>
      <c r="I44" s="105"/>
      <c r="J44" s="104"/>
    </row>
    <row r="45" spans="1:13" x14ac:dyDescent="0.2">
      <c r="A45" s="196"/>
      <c r="B45" s="112"/>
      <c r="C45" s="105"/>
      <c r="D45" s="105"/>
      <c r="E45" s="105"/>
      <c r="F45" s="105"/>
      <c r="G45" s="105"/>
      <c r="H45" s="105"/>
      <c r="I45" s="105"/>
      <c r="J45" s="104"/>
    </row>
    <row r="46" spans="1:13" x14ac:dyDescent="0.2">
      <c r="A46" s="196" t="s">
        <v>259</v>
      </c>
      <c r="B46" s="134" t="s">
        <v>507</v>
      </c>
      <c r="C46" s="105" t="s">
        <v>506</v>
      </c>
      <c r="D46" s="105"/>
      <c r="E46" s="105"/>
      <c r="F46" s="105"/>
      <c r="G46" s="105"/>
      <c r="H46" s="105"/>
      <c r="I46" s="105"/>
      <c r="J46" s="104"/>
    </row>
    <row r="47" spans="1:13" x14ac:dyDescent="0.2">
      <c r="A47" s="196"/>
      <c r="B47" s="105"/>
      <c r="C47" s="137" t="s">
        <v>505</v>
      </c>
      <c r="D47" s="105"/>
      <c r="E47" s="105"/>
      <c r="F47" s="105"/>
      <c r="G47" s="105"/>
      <c r="H47" s="105"/>
      <c r="I47" s="105"/>
      <c r="J47" s="104"/>
      <c r="L47" s="209"/>
      <c r="M47" s="204"/>
    </row>
    <row r="48" spans="1:13" x14ac:dyDescent="0.2">
      <c r="A48" s="196"/>
      <c r="B48" s="105"/>
      <c r="C48" s="137"/>
      <c r="D48" s="105"/>
      <c r="E48" s="105"/>
      <c r="F48" s="105"/>
      <c r="G48" s="105"/>
      <c r="H48" s="105"/>
      <c r="I48" s="105"/>
      <c r="J48" s="104"/>
    </row>
    <row r="49" spans="1:10" x14ac:dyDescent="0.2">
      <c r="A49" s="196" t="s">
        <v>256</v>
      </c>
      <c r="B49" s="134" t="s">
        <v>335</v>
      </c>
      <c r="C49" s="137" t="s">
        <v>504</v>
      </c>
      <c r="D49" s="105"/>
      <c r="E49" s="105"/>
      <c r="F49" s="105"/>
      <c r="G49" s="105"/>
      <c r="H49" s="105"/>
      <c r="I49" s="105"/>
      <c r="J49" s="104"/>
    </row>
    <row r="50" spans="1:10" x14ac:dyDescent="0.2">
      <c r="A50" s="196"/>
      <c r="B50" s="105"/>
      <c r="C50" s="137"/>
      <c r="D50" s="105"/>
      <c r="E50" s="105"/>
      <c r="F50" s="105"/>
      <c r="G50" s="105"/>
      <c r="H50" s="105"/>
      <c r="I50" s="105"/>
      <c r="J50" s="104"/>
    </row>
    <row r="51" spans="1:10" x14ac:dyDescent="0.2">
      <c r="A51" s="196" t="s">
        <v>503</v>
      </c>
      <c r="B51" s="134" t="s">
        <v>335</v>
      </c>
      <c r="C51" s="137" t="s">
        <v>502</v>
      </c>
      <c r="D51" s="105"/>
      <c r="E51" s="105"/>
      <c r="F51" s="105"/>
      <c r="G51" s="105"/>
      <c r="H51" s="105"/>
      <c r="I51" s="105"/>
      <c r="J51" s="104"/>
    </row>
    <row r="52" spans="1:10" x14ac:dyDescent="0.2">
      <c r="A52" s="196"/>
      <c r="B52" s="105"/>
      <c r="C52" s="105" t="s">
        <v>501</v>
      </c>
      <c r="D52" s="105"/>
      <c r="E52" s="105"/>
      <c r="F52" s="105"/>
      <c r="G52" s="105"/>
      <c r="H52" s="105"/>
      <c r="I52" s="105"/>
      <c r="J52" s="104"/>
    </row>
    <row r="53" spans="1:10" ht="17" thickBot="1" x14ac:dyDescent="0.25">
      <c r="A53" s="194"/>
      <c r="B53" s="224"/>
      <c r="C53" s="225"/>
      <c r="D53" s="224"/>
      <c r="E53" s="224"/>
      <c r="F53" s="224"/>
      <c r="G53" s="224"/>
      <c r="H53" s="224"/>
      <c r="I53" s="224"/>
      <c r="J53" s="223"/>
    </row>
    <row r="54" spans="1:10" ht="17" thickBot="1" x14ac:dyDescent="0.25">
      <c r="A54" s="208" t="s">
        <v>124</v>
      </c>
      <c r="B54" s="101"/>
      <c r="C54" s="207"/>
      <c r="D54" s="101"/>
      <c r="E54" s="101"/>
      <c r="F54" s="101"/>
      <c r="G54" s="101"/>
      <c r="H54" s="101"/>
      <c r="I54" s="101"/>
      <c r="J54" s="100"/>
    </row>
  </sheetData>
  <mergeCells count="2">
    <mergeCell ref="L8:R11"/>
    <mergeCell ref="L24:R27"/>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67B00-C37D-C24D-8CB2-199D2DF9BA02}">
  <dimension ref="A1:T42"/>
  <sheetViews>
    <sheetView workbookViewId="0">
      <selection activeCell="B1" sqref="B1"/>
    </sheetView>
  </sheetViews>
  <sheetFormatPr baseColWidth="10" defaultColWidth="11" defaultRowHeight="16" outlineLevelCol="1" x14ac:dyDescent="0.2"/>
  <cols>
    <col min="1" max="1" width="4" style="94" customWidth="1"/>
    <col min="2" max="2" width="10.83203125" customWidth="1"/>
    <col min="6" max="7" width="12.6640625" customWidth="1"/>
    <col min="8" max="10" width="10.83203125" customWidth="1"/>
    <col min="12" max="12" width="12.83203125" hidden="1" customWidth="1" outlineLevel="1"/>
    <col min="13" max="14" width="10.83203125" hidden="1" customWidth="1" outlineLevel="1"/>
    <col min="15" max="15" width="12" hidden="1" customWidth="1" outlineLevel="1"/>
    <col min="16" max="16" width="12.1640625" hidden="1" customWidth="1" outlineLevel="1"/>
    <col min="17" max="18" width="10.83203125" hidden="1" customWidth="1" outlineLevel="1"/>
    <col min="19" max="19" width="11" collapsed="1"/>
  </cols>
  <sheetData>
    <row r="1" spans="1:20" x14ac:dyDescent="0.2">
      <c r="A1" s="221"/>
      <c r="B1" s="128" t="s">
        <v>351</v>
      </c>
      <c r="C1" s="127" t="s">
        <v>550</v>
      </c>
      <c r="D1" s="127" t="s">
        <v>349</v>
      </c>
      <c r="E1" s="127" t="s">
        <v>499</v>
      </c>
      <c r="F1" s="126"/>
      <c r="G1" s="126"/>
      <c r="H1" s="126"/>
      <c r="I1" s="126"/>
      <c r="J1" s="125"/>
      <c r="K1" s="209" t="s">
        <v>125</v>
      </c>
      <c r="L1" s="209"/>
    </row>
    <row r="2" spans="1:20" x14ac:dyDescent="0.2">
      <c r="A2" s="196"/>
      <c r="B2" s="220" t="s">
        <v>348</v>
      </c>
      <c r="C2" s="219">
        <v>2.25</v>
      </c>
      <c r="D2" s="105"/>
      <c r="E2" s="105"/>
      <c r="F2" s="105"/>
      <c r="G2" s="105"/>
      <c r="H2" s="105"/>
      <c r="I2" s="105"/>
      <c r="J2" s="104"/>
    </row>
    <row r="3" spans="1:20" x14ac:dyDescent="0.2">
      <c r="A3" s="196"/>
      <c r="B3" s="105"/>
      <c r="C3" s="105"/>
      <c r="D3" s="105"/>
      <c r="E3" s="105"/>
      <c r="F3" s="105"/>
      <c r="G3" s="105"/>
      <c r="H3" s="105"/>
      <c r="I3" s="105"/>
      <c r="J3" s="104"/>
      <c r="L3" s="209" t="s">
        <v>347</v>
      </c>
      <c r="M3" s="290"/>
    </row>
    <row r="4" spans="1:20" x14ac:dyDescent="0.2">
      <c r="A4" s="196"/>
      <c r="B4" s="105"/>
      <c r="C4" s="105" t="s">
        <v>4</v>
      </c>
      <c r="D4" s="105"/>
      <c r="E4" s="105"/>
      <c r="F4" s="105"/>
      <c r="G4" s="105"/>
      <c r="H4" s="105"/>
      <c r="I4" s="105"/>
      <c r="J4" s="104"/>
      <c r="L4" t="s">
        <v>549</v>
      </c>
      <c r="M4" s="179">
        <f>SUMPRODUCT(D18:D22,F18:F22)/SUM(F18:F22)</f>
        <v>1.5002500000000001</v>
      </c>
    </row>
    <row r="5" spans="1:20" x14ac:dyDescent="0.2">
      <c r="A5" s="196"/>
      <c r="B5" s="105"/>
      <c r="C5" s="105"/>
      <c r="D5" s="105"/>
      <c r="E5" s="105"/>
      <c r="F5" s="105"/>
      <c r="G5" s="105"/>
      <c r="H5" s="105"/>
      <c r="I5" s="105"/>
      <c r="J5" s="104"/>
      <c r="M5" s="179"/>
      <c r="T5" s="306"/>
    </row>
    <row r="6" spans="1:20" ht="16" customHeight="1" x14ac:dyDescent="0.2">
      <c r="A6" s="196"/>
      <c r="B6" s="105"/>
      <c r="C6" s="330" t="s">
        <v>475</v>
      </c>
      <c r="D6" s="342" t="s">
        <v>473</v>
      </c>
      <c r="E6" s="342" t="s">
        <v>472</v>
      </c>
      <c r="F6" s="342" t="s">
        <v>548</v>
      </c>
      <c r="G6" s="336" t="s">
        <v>547</v>
      </c>
      <c r="H6" s="105"/>
      <c r="I6" s="105"/>
      <c r="J6" s="104"/>
      <c r="L6" s="300" t="s">
        <v>546</v>
      </c>
      <c r="M6" s="300"/>
      <c r="N6" s="300"/>
      <c r="O6" s="300"/>
      <c r="P6" s="300"/>
      <c r="Q6" s="300"/>
      <c r="R6" s="300"/>
      <c r="S6" s="300"/>
      <c r="T6" s="306"/>
    </row>
    <row r="7" spans="1:20" x14ac:dyDescent="0.2">
      <c r="A7" s="196"/>
      <c r="B7" s="105"/>
      <c r="C7" s="362"/>
      <c r="D7" s="343"/>
      <c r="E7" s="355"/>
      <c r="F7" s="355"/>
      <c r="G7" s="357"/>
      <c r="H7" s="105"/>
      <c r="I7" s="105"/>
      <c r="J7" s="104"/>
      <c r="L7" s="300" t="s">
        <v>99</v>
      </c>
      <c r="M7" s="300"/>
      <c r="N7" s="300"/>
      <c r="O7" s="300"/>
      <c r="P7" s="300"/>
      <c r="Q7" s="300"/>
      <c r="R7" s="300"/>
      <c r="S7" s="300"/>
      <c r="T7" s="306"/>
    </row>
    <row r="8" spans="1:20" x14ac:dyDescent="0.2">
      <c r="A8" s="196"/>
      <c r="B8" s="105"/>
      <c r="C8" s="362"/>
      <c r="D8" s="343"/>
      <c r="E8" s="355"/>
      <c r="F8" s="355"/>
      <c r="G8" s="357"/>
      <c r="H8" s="105"/>
      <c r="I8" s="105"/>
      <c r="J8" s="104"/>
      <c r="L8" s="300" t="s">
        <v>545</v>
      </c>
      <c r="M8" s="300"/>
      <c r="N8" s="300"/>
      <c r="O8" s="300"/>
      <c r="P8" s="300"/>
      <c r="Q8" s="300"/>
      <c r="R8" s="300"/>
      <c r="S8" s="300"/>
      <c r="T8" s="306"/>
    </row>
    <row r="9" spans="1:20" x14ac:dyDescent="0.2">
      <c r="A9" s="196"/>
      <c r="B9" s="105"/>
      <c r="C9" s="363"/>
      <c r="D9" s="344"/>
      <c r="E9" s="356"/>
      <c r="F9" s="356"/>
      <c r="G9" s="358"/>
      <c r="H9" s="105"/>
      <c r="I9" s="105"/>
      <c r="J9" s="104"/>
      <c r="L9" t="s">
        <v>544</v>
      </c>
      <c r="M9" s="300"/>
      <c r="N9" s="300"/>
      <c r="O9" s="300"/>
      <c r="P9" s="300"/>
      <c r="Q9" s="300"/>
      <c r="R9" s="300"/>
      <c r="S9" s="300"/>
      <c r="T9" s="306"/>
    </row>
    <row r="10" spans="1:20" x14ac:dyDescent="0.2">
      <c r="A10" s="196"/>
      <c r="B10" s="105"/>
      <c r="C10" s="122">
        <v>2014</v>
      </c>
      <c r="D10" s="113">
        <v>226500</v>
      </c>
      <c r="E10" s="113">
        <v>202000</v>
      </c>
      <c r="F10" s="113">
        <v>335000</v>
      </c>
      <c r="G10" s="284">
        <v>337000</v>
      </c>
      <c r="H10" s="105"/>
      <c r="I10" s="105"/>
      <c r="J10" s="104"/>
      <c r="M10" s="300"/>
      <c r="N10" s="300"/>
      <c r="O10" s="300"/>
      <c r="P10" s="300"/>
      <c r="Q10" s="300"/>
      <c r="R10" s="300"/>
      <c r="S10" s="300"/>
      <c r="T10" s="306"/>
    </row>
    <row r="11" spans="1:20" x14ac:dyDescent="0.2">
      <c r="A11" s="196"/>
      <c r="B11" s="105"/>
      <c r="C11" s="122">
        <v>2015</v>
      </c>
      <c r="D11" s="113">
        <v>225000</v>
      </c>
      <c r="E11" s="113">
        <v>180500</v>
      </c>
      <c r="F11" s="113">
        <v>330000</v>
      </c>
      <c r="G11" s="284">
        <v>335000</v>
      </c>
      <c r="H11" s="105"/>
      <c r="I11" s="105"/>
      <c r="J11" s="104"/>
      <c r="M11" s="326" t="s">
        <v>93</v>
      </c>
      <c r="N11" s="326" t="s">
        <v>94</v>
      </c>
      <c r="O11" s="326" t="s">
        <v>95</v>
      </c>
      <c r="P11" s="371" t="s">
        <v>96</v>
      </c>
      <c r="Q11" s="326" t="s">
        <v>543</v>
      </c>
      <c r="R11" s="300"/>
      <c r="S11" s="300"/>
      <c r="T11" s="306"/>
    </row>
    <row r="12" spans="1:20" ht="17" x14ac:dyDescent="0.2">
      <c r="A12" s="196"/>
      <c r="B12" s="105"/>
      <c r="C12" s="122">
        <v>2016</v>
      </c>
      <c r="D12" s="113">
        <v>200000</v>
      </c>
      <c r="E12" s="113">
        <v>0</v>
      </c>
      <c r="F12" s="113">
        <v>0</v>
      </c>
      <c r="G12" s="284">
        <v>210000</v>
      </c>
      <c r="H12" s="105"/>
      <c r="I12" s="105"/>
      <c r="J12" s="104"/>
      <c r="L12" s="19" t="s">
        <v>91</v>
      </c>
      <c r="M12" s="327"/>
      <c r="N12" s="327"/>
      <c r="O12" s="327"/>
      <c r="P12" s="372"/>
      <c r="Q12" s="327"/>
      <c r="R12" s="300"/>
      <c r="S12" s="300"/>
      <c r="T12" s="306"/>
    </row>
    <row r="13" spans="1:20" x14ac:dyDescent="0.2">
      <c r="A13" s="196"/>
      <c r="B13" s="112"/>
      <c r="C13" s="120">
        <v>2017</v>
      </c>
      <c r="D13" s="283">
        <v>80000</v>
      </c>
      <c r="E13" s="283">
        <v>0</v>
      </c>
      <c r="F13" s="283">
        <v>0</v>
      </c>
      <c r="G13" s="282">
        <v>215000</v>
      </c>
      <c r="H13" s="105"/>
      <c r="I13" s="105"/>
      <c r="J13" s="104"/>
      <c r="L13" s="18">
        <f>C10</f>
        <v>2014</v>
      </c>
      <c r="M13" s="12">
        <f>D10-E10</f>
        <v>24500</v>
      </c>
      <c r="N13" s="11">
        <f>E20</f>
        <v>0.49</v>
      </c>
      <c r="O13" s="12">
        <f>N13*M13</f>
        <v>12005</v>
      </c>
      <c r="P13" s="308">
        <f>F10</f>
        <v>335000</v>
      </c>
      <c r="Q13" s="12">
        <f>SUM(O13:P13)</f>
        <v>347005</v>
      </c>
      <c r="R13" s="300"/>
      <c r="S13" s="300"/>
      <c r="T13" s="306"/>
    </row>
    <row r="14" spans="1:20" x14ac:dyDescent="0.2">
      <c r="A14" s="196"/>
      <c r="B14" s="112"/>
      <c r="C14" s="105"/>
      <c r="D14" s="105"/>
      <c r="E14" s="105"/>
      <c r="F14" s="105"/>
      <c r="G14" s="105"/>
      <c r="H14" s="105"/>
      <c r="I14" s="105"/>
      <c r="J14" s="104"/>
      <c r="L14" s="18">
        <f>C11</f>
        <v>2015</v>
      </c>
      <c r="M14" s="12">
        <f>D11-E11</f>
        <v>44500</v>
      </c>
      <c r="N14" s="11">
        <f>E19</f>
        <v>0.59</v>
      </c>
      <c r="O14" s="12">
        <f>N14*M14</f>
        <v>26255</v>
      </c>
      <c r="P14" s="308">
        <f>F11</f>
        <v>330000</v>
      </c>
      <c r="Q14" s="12">
        <f>SUM(O14:P14)</f>
        <v>356255</v>
      </c>
      <c r="R14" s="300"/>
      <c r="S14" s="300"/>
      <c r="T14" s="306"/>
    </row>
    <row r="15" spans="1:20" ht="16" customHeight="1" x14ac:dyDescent="0.2">
      <c r="A15" s="196"/>
      <c r="B15" s="112"/>
      <c r="C15" s="330" t="s">
        <v>542</v>
      </c>
      <c r="D15" s="342" t="s">
        <v>541</v>
      </c>
      <c r="E15" s="342" t="s">
        <v>540</v>
      </c>
      <c r="F15" s="336" t="s">
        <v>539</v>
      </c>
      <c r="G15" s="105"/>
      <c r="H15" s="105"/>
      <c r="I15" s="105"/>
      <c r="J15" s="104"/>
      <c r="L15" s="18">
        <f>C12</f>
        <v>2016</v>
      </c>
      <c r="M15" s="12">
        <f>D12-E12</f>
        <v>200000</v>
      </c>
      <c r="N15" s="11">
        <f>M4</f>
        <v>1.5002500000000001</v>
      </c>
      <c r="O15" s="12">
        <f>N15*M15</f>
        <v>300050</v>
      </c>
      <c r="P15" s="308">
        <f>F12</f>
        <v>0</v>
      </c>
      <c r="Q15" s="12">
        <f>SUM(O15:P15)</f>
        <v>300050</v>
      </c>
      <c r="R15" s="300"/>
      <c r="S15" s="300"/>
      <c r="T15" s="306"/>
    </row>
    <row r="16" spans="1:20" x14ac:dyDescent="0.2">
      <c r="A16" s="196"/>
      <c r="B16" s="112"/>
      <c r="C16" s="362"/>
      <c r="D16" s="355"/>
      <c r="E16" s="355"/>
      <c r="F16" s="357"/>
      <c r="G16" s="105"/>
      <c r="H16" s="105"/>
      <c r="I16" s="105"/>
      <c r="J16" s="104"/>
      <c r="L16" s="19">
        <f>C13</f>
        <v>2017</v>
      </c>
      <c r="M16" s="15">
        <f>D13-E13</f>
        <v>80000</v>
      </c>
      <c r="N16" s="16">
        <f>M4</f>
        <v>1.5002500000000001</v>
      </c>
      <c r="O16" s="15">
        <f>N16*M16</f>
        <v>120020</v>
      </c>
      <c r="P16" s="307">
        <f>F13</f>
        <v>0</v>
      </c>
      <c r="Q16" s="15">
        <f>SUM(O16:P16)</f>
        <v>120020</v>
      </c>
      <c r="R16" s="300"/>
      <c r="S16" s="300"/>
      <c r="T16" s="306"/>
    </row>
    <row r="17" spans="1:20" ht="17" x14ac:dyDescent="0.2">
      <c r="A17" s="196"/>
      <c r="B17" s="112"/>
      <c r="C17" s="363"/>
      <c r="D17" s="356"/>
      <c r="E17" s="356"/>
      <c r="F17" s="358"/>
      <c r="G17" s="105"/>
      <c r="H17" s="105"/>
      <c r="I17" s="105"/>
      <c r="J17" s="104"/>
      <c r="L17" s="37" t="s">
        <v>102</v>
      </c>
      <c r="M17" s="10"/>
      <c r="N17" s="10"/>
      <c r="O17" s="10"/>
      <c r="P17" s="18"/>
      <c r="Q17" s="14">
        <f>SUM(Q13:Q16)</f>
        <v>1123330</v>
      </c>
      <c r="R17" s="300"/>
      <c r="S17" s="300"/>
      <c r="T17" s="306"/>
    </row>
    <row r="18" spans="1:20" x14ac:dyDescent="0.2">
      <c r="A18" s="196"/>
      <c r="B18" s="112"/>
      <c r="C18" s="122" t="s">
        <v>5</v>
      </c>
      <c r="D18" s="158">
        <v>1.75</v>
      </c>
      <c r="E18" s="158" t="s">
        <v>538</v>
      </c>
      <c r="F18" s="212">
        <v>0.78500000000000003</v>
      </c>
      <c r="G18" s="105"/>
      <c r="H18" s="105"/>
      <c r="I18" s="105"/>
      <c r="J18" s="104"/>
      <c r="L18" s="306"/>
      <c r="M18" s="306"/>
      <c r="N18" s="306"/>
      <c r="O18" s="306"/>
      <c r="P18" s="306"/>
      <c r="Q18" s="306"/>
      <c r="R18" s="300"/>
      <c r="S18" s="300"/>
      <c r="T18" s="306"/>
    </row>
    <row r="19" spans="1:20" x14ac:dyDescent="0.2">
      <c r="A19" s="196"/>
      <c r="B19" s="112"/>
      <c r="C19" s="122" t="s">
        <v>6</v>
      </c>
      <c r="D19" s="158">
        <v>0.7</v>
      </c>
      <c r="E19" s="158">
        <v>0.59</v>
      </c>
      <c r="F19" s="212">
        <v>0.1</v>
      </c>
      <c r="G19" s="105"/>
      <c r="H19" s="105"/>
      <c r="I19" s="105"/>
      <c r="J19" s="104"/>
      <c r="L19" s="300" t="s">
        <v>537</v>
      </c>
      <c r="M19" s="300"/>
      <c r="N19" s="300"/>
      <c r="O19" s="300"/>
      <c r="P19" s="300"/>
      <c r="Q19" s="300"/>
      <c r="R19" s="300"/>
      <c r="S19" s="300"/>
    </row>
    <row r="20" spans="1:20" ht="15.5" customHeight="1" x14ac:dyDescent="0.2">
      <c r="A20" s="196"/>
      <c r="B20" s="112"/>
      <c r="C20" s="122" t="s">
        <v>7</v>
      </c>
      <c r="D20" s="158">
        <v>0.55000000000000004</v>
      </c>
      <c r="E20" s="158">
        <v>0.49</v>
      </c>
      <c r="F20" s="212">
        <v>7.0000000000000007E-2</v>
      </c>
      <c r="G20" s="105"/>
      <c r="H20" s="105"/>
      <c r="I20" s="105"/>
      <c r="J20" s="104"/>
      <c r="R20" s="300"/>
    </row>
    <row r="21" spans="1:20" ht="15.5" customHeight="1" x14ac:dyDescent="0.2">
      <c r="A21" s="196"/>
      <c r="B21" s="112"/>
      <c r="C21" s="122" t="s">
        <v>39</v>
      </c>
      <c r="D21" s="158">
        <v>0.45</v>
      </c>
      <c r="E21" s="158">
        <v>0.4</v>
      </c>
      <c r="F21" s="212">
        <v>0.04</v>
      </c>
      <c r="G21" s="105"/>
      <c r="H21" s="105"/>
      <c r="I21" s="105"/>
      <c r="J21" s="104"/>
      <c r="L21" s="305" t="s">
        <v>536</v>
      </c>
      <c r="M21" s="12">
        <f>SUM(G10:G13)</f>
        <v>1097000</v>
      </c>
      <c r="N21" s="300"/>
      <c r="O21" s="300"/>
      <c r="P21" s="300"/>
      <c r="Q21" s="300"/>
    </row>
    <row r="22" spans="1:20" ht="17" thickBot="1" x14ac:dyDescent="0.25">
      <c r="A22" s="196"/>
      <c r="B22" s="105"/>
      <c r="C22" s="120" t="s">
        <v>40</v>
      </c>
      <c r="D22" s="155">
        <v>0</v>
      </c>
      <c r="E22" s="155">
        <v>0</v>
      </c>
      <c r="F22" s="211">
        <v>5.0000000000000001E-3</v>
      </c>
      <c r="G22" s="105"/>
      <c r="H22" s="105"/>
      <c r="I22" s="105"/>
      <c r="J22" s="104"/>
      <c r="L22" s="304"/>
      <c r="M22" s="12"/>
      <c r="N22" s="300"/>
      <c r="O22" s="300"/>
      <c r="P22" s="300"/>
      <c r="Q22" s="300"/>
    </row>
    <row r="23" spans="1:20" ht="17" thickBot="1" x14ac:dyDescent="0.25">
      <c r="A23" s="196"/>
      <c r="B23" s="105"/>
      <c r="C23" s="105"/>
      <c r="D23" s="112"/>
      <c r="E23" s="158"/>
      <c r="F23" s="158"/>
      <c r="G23" s="299"/>
      <c r="H23" s="105"/>
      <c r="I23" s="105"/>
      <c r="J23" s="104"/>
      <c r="L23" s="303" t="s">
        <v>103</v>
      </c>
      <c r="M23" s="302">
        <f>Q17-M21</f>
        <v>26330</v>
      </c>
      <c r="N23" s="301" t="s">
        <v>535</v>
      </c>
      <c r="O23" s="300"/>
      <c r="P23" s="300"/>
      <c r="Q23" s="300"/>
    </row>
    <row r="24" spans="1:20" ht="15.5" customHeight="1" x14ac:dyDescent="0.2">
      <c r="A24" s="196"/>
      <c r="B24" s="105"/>
      <c r="C24" s="105" t="s">
        <v>534</v>
      </c>
      <c r="D24" s="112"/>
      <c r="E24" s="158"/>
      <c r="F24" s="158"/>
      <c r="G24" s="299"/>
      <c r="H24" s="299"/>
      <c r="I24" s="105"/>
      <c r="J24" s="104"/>
    </row>
    <row r="25" spans="1:20" ht="15.5" customHeight="1" x14ac:dyDescent="0.2">
      <c r="A25" s="196"/>
      <c r="B25" s="105"/>
      <c r="C25" s="105"/>
      <c r="D25" s="112"/>
      <c r="E25" s="158"/>
      <c r="F25" s="158"/>
      <c r="G25" s="299"/>
      <c r="H25" s="299"/>
      <c r="I25" s="105"/>
      <c r="J25" s="104"/>
    </row>
    <row r="26" spans="1:20" x14ac:dyDescent="0.2">
      <c r="A26" s="196" t="s">
        <v>0</v>
      </c>
      <c r="B26" s="105" t="s">
        <v>438</v>
      </c>
      <c r="C26" s="105" t="s">
        <v>533</v>
      </c>
      <c r="D26" s="112"/>
      <c r="E26" s="158"/>
      <c r="F26" s="158"/>
      <c r="G26" s="299"/>
      <c r="H26" s="299"/>
      <c r="I26" s="105"/>
      <c r="J26" s="104"/>
      <c r="L26" s="209" t="s">
        <v>339</v>
      </c>
      <c r="M26" s="222"/>
    </row>
    <row r="27" spans="1:20" ht="16" customHeight="1" x14ac:dyDescent="0.2">
      <c r="A27" s="196"/>
      <c r="B27" s="105"/>
      <c r="C27" s="137"/>
      <c r="D27" s="105"/>
      <c r="E27" s="105"/>
      <c r="F27" s="105"/>
      <c r="G27" s="105"/>
      <c r="H27" s="105"/>
      <c r="I27" s="105"/>
      <c r="J27" s="104"/>
      <c r="L27" s="341" t="s">
        <v>532</v>
      </c>
      <c r="M27" s="341"/>
      <c r="N27" s="341"/>
      <c r="O27" s="341"/>
      <c r="P27" s="341"/>
      <c r="Q27" s="341"/>
      <c r="R27" s="341"/>
    </row>
    <row r="28" spans="1:20" x14ac:dyDescent="0.2">
      <c r="A28" s="196" t="s">
        <v>1</v>
      </c>
      <c r="B28" s="105" t="s">
        <v>338</v>
      </c>
      <c r="C28" s="137" t="s">
        <v>531</v>
      </c>
      <c r="D28" s="105"/>
      <c r="E28" s="105"/>
      <c r="F28" s="105"/>
      <c r="G28" s="105"/>
      <c r="H28" s="105"/>
      <c r="I28" s="105"/>
      <c r="J28" s="104"/>
      <c r="L28" s="341"/>
      <c r="M28" s="341"/>
      <c r="N28" s="341"/>
      <c r="O28" s="341"/>
      <c r="P28" s="341"/>
      <c r="Q28" s="341"/>
      <c r="R28" s="341"/>
    </row>
    <row r="29" spans="1:20" x14ac:dyDescent="0.2">
      <c r="A29" s="196"/>
      <c r="B29" s="105"/>
      <c r="C29" s="105" t="s">
        <v>530</v>
      </c>
      <c r="D29" s="105"/>
      <c r="E29" s="105"/>
      <c r="F29" s="105"/>
      <c r="G29" s="105"/>
      <c r="H29" s="105"/>
      <c r="I29" s="105"/>
      <c r="J29" s="104"/>
      <c r="L29" s="341"/>
      <c r="M29" s="341"/>
      <c r="N29" s="341"/>
      <c r="O29" s="341"/>
      <c r="P29" s="341"/>
      <c r="Q29" s="341"/>
      <c r="R29" s="341"/>
    </row>
    <row r="30" spans="1:20" ht="17" customHeight="1" thickBot="1" x14ac:dyDescent="0.25">
      <c r="A30" s="194"/>
      <c r="B30" s="224"/>
      <c r="C30" s="225"/>
      <c r="D30" s="224"/>
      <c r="E30" s="224"/>
      <c r="F30" s="224"/>
      <c r="G30" s="224"/>
      <c r="H30" s="224"/>
      <c r="I30" s="224"/>
      <c r="J30" s="223"/>
      <c r="L30" s="341"/>
      <c r="M30" s="341"/>
      <c r="N30" s="341"/>
      <c r="O30" s="341"/>
      <c r="P30" s="341"/>
      <c r="Q30" s="341"/>
      <c r="R30" s="341"/>
    </row>
    <row r="31" spans="1:20" ht="17" thickBot="1" x14ac:dyDescent="0.25">
      <c r="A31" s="208" t="s">
        <v>124</v>
      </c>
      <c r="B31" s="101"/>
      <c r="C31" s="207"/>
      <c r="D31" s="101"/>
      <c r="E31" s="101"/>
      <c r="F31" s="101"/>
      <c r="G31" s="101"/>
      <c r="H31" s="101"/>
      <c r="I31" s="101"/>
      <c r="J31" s="100"/>
      <c r="L31" s="341"/>
      <c r="M31" s="341"/>
      <c r="N31" s="341"/>
      <c r="O31" s="341"/>
      <c r="P31" s="341"/>
      <c r="Q31" s="341"/>
      <c r="R31" s="341"/>
    </row>
    <row r="32" spans="1:20" x14ac:dyDescent="0.2">
      <c r="L32" s="341"/>
      <c r="M32" s="341"/>
      <c r="N32" s="341"/>
      <c r="O32" s="341"/>
      <c r="P32" s="341"/>
      <c r="Q32" s="341"/>
      <c r="R32" s="341"/>
    </row>
    <row r="33" spans="12:18" x14ac:dyDescent="0.2">
      <c r="L33" s="341"/>
      <c r="M33" s="341"/>
      <c r="N33" s="341"/>
      <c r="O33" s="341"/>
      <c r="P33" s="341"/>
      <c r="Q33" s="341"/>
      <c r="R33" s="341"/>
    </row>
    <row r="36" spans="12:18" ht="19" x14ac:dyDescent="0.25">
      <c r="L36" s="124" t="s">
        <v>136</v>
      </c>
      <c r="R36" s="171"/>
    </row>
    <row r="37" spans="12:18" x14ac:dyDescent="0.2">
      <c r="L37" t="s">
        <v>482</v>
      </c>
      <c r="R37" s="171"/>
    </row>
    <row r="38" spans="12:18" x14ac:dyDescent="0.2">
      <c r="L38" s="209"/>
      <c r="M38" s="204"/>
      <c r="R38" s="171"/>
    </row>
    <row r="40" spans="12:18" x14ac:dyDescent="0.2">
      <c r="R40" s="171"/>
    </row>
    <row r="41" spans="12:18" x14ac:dyDescent="0.2">
      <c r="R41" s="171"/>
    </row>
    <row r="42" spans="12:18" x14ac:dyDescent="0.2">
      <c r="R42" s="171"/>
    </row>
  </sheetData>
  <mergeCells count="15">
    <mergeCell ref="C15:C17"/>
    <mergeCell ref="D15:D17"/>
    <mergeCell ref="E15:E17"/>
    <mergeCell ref="F15:F17"/>
    <mergeCell ref="C6:C9"/>
    <mergeCell ref="D6:D9"/>
    <mergeCell ref="E6:E9"/>
    <mergeCell ref="F6:F9"/>
    <mergeCell ref="G6:G9"/>
    <mergeCell ref="L27:R33"/>
    <mergeCell ref="Q11:Q12"/>
    <mergeCell ref="P11:P12"/>
    <mergeCell ref="O11:O12"/>
    <mergeCell ref="N11:N12"/>
    <mergeCell ref="M11:M1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2F2D4-5CEB-9B45-B381-CAB987A58499}">
  <dimension ref="A1:S42"/>
  <sheetViews>
    <sheetView workbookViewId="0">
      <selection activeCell="B1" sqref="B1"/>
    </sheetView>
  </sheetViews>
  <sheetFormatPr baseColWidth="10" defaultColWidth="11" defaultRowHeight="16" outlineLevelCol="1" x14ac:dyDescent="0.2"/>
  <cols>
    <col min="1" max="1" width="4" style="94" customWidth="1"/>
    <col min="2" max="2" width="11.5" customWidth="1"/>
    <col min="4" max="4" width="12.5" customWidth="1"/>
    <col min="5" max="5" width="14.33203125" bestFit="1" customWidth="1"/>
    <col min="12" max="14" width="10.83203125" hidden="1" customWidth="1" outlineLevel="1"/>
    <col min="15" max="15" width="10.6640625" hidden="1" customWidth="1" outlineLevel="1"/>
    <col min="16" max="18" width="10.83203125" hidden="1" customWidth="1" outlineLevel="1"/>
    <col min="19" max="19" width="11" collapsed="1"/>
  </cols>
  <sheetData>
    <row r="1" spans="1:18" x14ac:dyDescent="0.2">
      <c r="A1" s="221"/>
      <c r="B1" s="128" t="s">
        <v>351</v>
      </c>
      <c r="C1" s="127" t="s">
        <v>577</v>
      </c>
      <c r="D1" s="127" t="s">
        <v>349</v>
      </c>
      <c r="E1" s="127" t="s">
        <v>576</v>
      </c>
      <c r="F1" s="126"/>
      <c r="G1" s="126"/>
      <c r="H1" s="126"/>
      <c r="I1" s="126"/>
      <c r="J1" s="125"/>
      <c r="K1" s="209" t="s">
        <v>125</v>
      </c>
      <c r="L1" s="209"/>
    </row>
    <row r="2" spans="1:18" x14ac:dyDescent="0.2">
      <c r="A2" s="196"/>
      <c r="B2" s="220" t="s">
        <v>348</v>
      </c>
      <c r="C2" s="219">
        <v>2.25</v>
      </c>
      <c r="D2" s="105"/>
      <c r="E2" s="105"/>
      <c r="F2" s="105"/>
      <c r="G2" s="105"/>
      <c r="H2" s="105"/>
      <c r="I2" s="105"/>
      <c r="J2" s="104"/>
    </row>
    <row r="3" spans="1:18" x14ac:dyDescent="0.2">
      <c r="A3" s="196"/>
      <c r="B3" s="105"/>
      <c r="C3" s="105"/>
      <c r="D3" s="105"/>
      <c r="E3" s="105"/>
      <c r="F3" s="105"/>
      <c r="G3" s="105"/>
      <c r="H3" s="105"/>
      <c r="I3" s="105"/>
      <c r="J3" s="104"/>
      <c r="L3" s="209" t="s">
        <v>347</v>
      </c>
      <c r="M3" s="290"/>
    </row>
    <row r="4" spans="1:18" x14ac:dyDescent="0.2">
      <c r="A4" s="196"/>
      <c r="B4" s="105"/>
      <c r="C4" s="105" t="s">
        <v>4</v>
      </c>
      <c r="D4" s="105"/>
      <c r="E4" s="105"/>
      <c r="F4" s="105"/>
      <c r="G4" s="105"/>
      <c r="H4" s="105"/>
      <c r="I4" s="105"/>
      <c r="J4" s="104"/>
      <c r="L4" s="171"/>
      <c r="M4" s="171"/>
      <c r="N4" s="171"/>
      <c r="O4" s="171"/>
      <c r="P4" s="171"/>
      <c r="Q4" s="171"/>
      <c r="R4" s="171"/>
    </row>
    <row r="5" spans="1:18" ht="15.5" customHeight="1" x14ac:dyDescent="0.2">
      <c r="A5" s="196"/>
      <c r="B5" s="105"/>
      <c r="C5" s="105"/>
      <c r="D5" s="105"/>
      <c r="E5" s="105"/>
      <c r="F5" s="105"/>
      <c r="G5" s="105"/>
      <c r="H5" s="105"/>
      <c r="I5" s="105"/>
      <c r="J5" s="104"/>
      <c r="L5" t="s">
        <v>575</v>
      </c>
      <c r="M5" s="179"/>
      <c r="N5" s="138"/>
    </row>
    <row r="6" spans="1:18" x14ac:dyDescent="0.2">
      <c r="A6" s="196"/>
      <c r="B6" s="105"/>
      <c r="C6" s="105" t="s">
        <v>574</v>
      </c>
      <c r="D6" s="105"/>
      <c r="E6" s="252">
        <v>25000000</v>
      </c>
      <c r="F6" s="105"/>
      <c r="G6" s="105"/>
      <c r="H6" s="105"/>
      <c r="I6" s="105"/>
      <c r="J6" s="104"/>
    </row>
    <row r="7" spans="1:18" x14ac:dyDescent="0.2">
      <c r="A7" s="196"/>
      <c r="B7" s="105"/>
      <c r="C7" s="105" t="s">
        <v>573</v>
      </c>
      <c r="D7" s="105"/>
      <c r="E7" s="252">
        <v>100000000</v>
      </c>
      <c r="F7" s="105"/>
      <c r="G7" s="105"/>
      <c r="H7" s="105"/>
      <c r="I7" s="105"/>
      <c r="J7" s="104"/>
      <c r="L7" s="297"/>
      <c r="M7" s="296" t="s">
        <v>488</v>
      </c>
      <c r="N7" s="296" t="s">
        <v>425</v>
      </c>
    </row>
    <row r="8" spans="1:18" x14ac:dyDescent="0.2">
      <c r="A8" s="196"/>
      <c r="B8" s="105"/>
      <c r="C8" s="105" t="s">
        <v>572</v>
      </c>
      <c r="D8" s="105"/>
      <c r="E8" s="112">
        <v>1.03</v>
      </c>
      <c r="F8" s="105"/>
      <c r="G8" s="105"/>
      <c r="H8" s="105"/>
      <c r="I8" s="105"/>
      <c r="J8" s="104"/>
      <c r="L8" s="293" t="s">
        <v>487</v>
      </c>
      <c r="M8" s="234">
        <f>1/E15</f>
        <v>0.5</v>
      </c>
      <c r="N8" s="234">
        <f>M8</f>
        <v>0.5</v>
      </c>
    </row>
    <row r="9" spans="1:18" x14ac:dyDescent="0.2">
      <c r="A9" s="196"/>
      <c r="B9" s="105"/>
      <c r="C9" s="105" t="s">
        <v>571</v>
      </c>
      <c r="D9" s="105"/>
      <c r="E9" s="112">
        <v>1.18</v>
      </c>
      <c r="F9" s="105"/>
      <c r="G9" s="105"/>
      <c r="H9" s="105"/>
      <c r="I9" s="105"/>
      <c r="J9" s="104"/>
      <c r="L9" s="293" t="s">
        <v>486</v>
      </c>
      <c r="M9" s="234">
        <f>1/E16</f>
        <v>0.92592592592592582</v>
      </c>
      <c r="N9" s="234">
        <f>M9-M8</f>
        <v>0.42592592592592582</v>
      </c>
    </row>
    <row r="10" spans="1:18" x14ac:dyDescent="0.2">
      <c r="A10" s="196"/>
      <c r="B10" s="105"/>
      <c r="C10" s="105" t="s">
        <v>570</v>
      </c>
      <c r="D10" s="105"/>
      <c r="E10" s="112">
        <v>0.8</v>
      </c>
      <c r="F10" s="105"/>
      <c r="G10" s="105"/>
      <c r="H10" s="105"/>
      <c r="I10" s="105"/>
      <c r="J10" s="104"/>
      <c r="L10" s="293" t="s">
        <v>485</v>
      </c>
      <c r="M10" s="234">
        <f>1/E17</f>
        <v>0.99009900990099009</v>
      </c>
      <c r="N10" s="234">
        <f>M10-M9</f>
        <v>6.4173083975064271E-2</v>
      </c>
    </row>
    <row r="11" spans="1:18" x14ac:dyDescent="0.2">
      <c r="A11" s="196"/>
      <c r="B11" s="105"/>
      <c r="C11" s="105"/>
      <c r="D11" s="105"/>
      <c r="E11" s="105"/>
      <c r="F11" s="105"/>
      <c r="G11" s="105"/>
      <c r="H11" s="105"/>
      <c r="I11" s="105"/>
      <c r="J11" s="104"/>
      <c r="L11" s="293" t="s">
        <v>569</v>
      </c>
      <c r="M11" s="234">
        <v>1</v>
      </c>
      <c r="N11" s="234">
        <f>M11-M10</f>
        <v>9.9009900990099098E-3</v>
      </c>
    </row>
    <row r="12" spans="1:18" x14ac:dyDescent="0.2">
      <c r="A12" s="196"/>
      <c r="B12" s="105"/>
      <c r="C12" s="330" t="s">
        <v>542</v>
      </c>
      <c r="D12" s="342" t="s">
        <v>568</v>
      </c>
      <c r="E12" s="336" t="s">
        <v>567</v>
      </c>
      <c r="F12" s="105"/>
      <c r="G12" s="105"/>
      <c r="H12" s="105"/>
      <c r="I12" s="105"/>
      <c r="J12" s="104"/>
    </row>
    <row r="13" spans="1:18" x14ac:dyDescent="0.2">
      <c r="A13" s="196"/>
      <c r="B13" s="105"/>
      <c r="C13" s="362"/>
      <c r="D13" s="355"/>
      <c r="E13" s="357"/>
      <c r="F13" s="105"/>
      <c r="G13" s="105"/>
      <c r="H13" s="105"/>
      <c r="I13" s="105"/>
      <c r="J13" s="104"/>
      <c r="L13" t="s">
        <v>566</v>
      </c>
    </row>
    <row r="14" spans="1:18" x14ac:dyDescent="0.2">
      <c r="A14" s="196"/>
      <c r="B14" s="105"/>
      <c r="C14" s="363"/>
      <c r="D14" s="356"/>
      <c r="E14" s="358"/>
      <c r="F14" s="105"/>
      <c r="G14" s="105"/>
      <c r="H14" s="105"/>
      <c r="I14" s="105"/>
      <c r="J14" s="104"/>
    </row>
    <row r="15" spans="1:18" x14ac:dyDescent="0.2">
      <c r="A15" s="196"/>
      <c r="B15" s="112"/>
      <c r="C15" s="122" t="s">
        <v>487</v>
      </c>
      <c r="D15" s="112">
        <v>0.95</v>
      </c>
      <c r="E15" s="121">
        <v>2</v>
      </c>
      <c r="F15" s="105"/>
      <c r="G15" s="105"/>
      <c r="H15" s="105"/>
      <c r="I15" s="105"/>
      <c r="J15" s="104"/>
      <c r="L15" s="148" t="s">
        <v>565</v>
      </c>
      <c r="M15" s="96" t="s">
        <v>88</v>
      </c>
    </row>
    <row r="16" spans="1:18" x14ac:dyDescent="0.2">
      <c r="A16" s="196"/>
      <c r="B16" s="112"/>
      <c r="C16" s="122" t="s">
        <v>486</v>
      </c>
      <c r="D16" s="112">
        <v>0.75</v>
      </c>
      <c r="E16" s="121">
        <v>1.08</v>
      </c>
      <c r="F16" s="105"/>
      <c r="G16" s="105"/>
      <c r="H16" s="105"/>
      <c r="I16" s="105"/>
      <c r="J16" s="104"/>
      <c r="L16" s="152" t="s">
        <v>203</v>
      </c>
      <c r="M16" s="150" t="s">
        <v>454</v>
      </c>
    </row>
    <row r="17" spans="1:18" x14ac:dyDescent="0.2">
      <c r="A17" s="196"/>
      <c r="B17" s="112"/>
      <c r="C17" s="120" t="s">
        <v>485</v>
      </c>
      <c r="D17" s="160">
        <v>0.55000000000000004</v>
      </c>
      <c r="E17" s="118">
        <v>1.01</v>
      </c>
      <c r="F17" s="105"/>
      <c r="G17" s="105"/>
      <c r="H17" s="105"/>
      <c r="I17" s="105"/>
      <c r="J17" s="104"/>
      <c r="L17" s="148" t="s">
        <v>487</v>
      </c>
      <c r="M17" s="288">
        <f>E6/(E10*E7*M8)*E8+D15*E9*E8</f>
        <v>1.7983800000000001</v>
      </c>
      <c r="N17" t="s">
        <v>564</v>
      </c>
    </row>
    <row r="18" spans="1:18" x14ac:dyDescent="0.2">
      <c r="A18" s="196"/>
      <c r="B18" s="112"/>
      <c r="C18" s="105"/>
      <c r="D18" s="105"/>
      <c r="E18" s="105"/>
      <c r="F18" s="105"/>
      <c r="G18" s="105"/>
      <c r="H18" s="105"/>
      <c r="I18" s="105"/>
      <c r="J18" s="104"/>
      <c r="L18" s="148" t="s">
        <v>486</v>
      </c>
      <c r="M18" s="288">
        <f>D16*E8*E9</f>
        <v>0.91154999999999986</v>
      </c>
      <c r="N18" t="s">
        <v>561</v>
      </c>
    </row>
    <row r="19" spans="1:18" x14ac:dyDescent="0.2">
      <c r="A19" s="196" t="s">
        <v>0</v>
      </c>
      <c r="B19" s="134" t="s">
        <v>563</v>
      </c>
      <c r="C19" s="105" t="s">
        <v>562</v>
      </c>
      <c r="D19" s="105"/>
      <c r="E19" s="105"/>
      <c r="F19" s="105"/>
      <c r="G19" s="105"/>
      <c r="H19" s="105"/>
      <c r="I19" s="105"/>
      <c r="J19" s="104"/>
      <c r="L19" s="148" t="s">
        <v>485</v>
      </c>
      <c r="M19" s="288">
        <f>D17*E8*E9</f>
        <v>0.66847000000000012</v>
      </c>
      <c r="N19" t="s">
        <v>561</v>
      </c>
    </row>
    <row r="20" spans="1:18" x14ac:dyDescent="0.2">
      <c r="A20" s="196"/>
      <c r="B20" s="112"/>
      <c r="C20" s="105" t="s">
        <v>560</v>
      </c>
      <c r="D20" s="105"/>
      <c r="E20" s="105"/>
      <c r="F20" s="105"/>
      <c r="G20" s="105"/>
      <c r="H20" s="105"/>
      <c r="I20" s="105"/>
      <c r="J20" s="104"/>
      <c r="L20" s="148" t="s">
        <v>484</v>
      </c>
      <c r="M20" s="288">
        <v>0</v>
      </c>
    </row>
    <row r="21" spans="1:18" ht="17" thickBot="1" x14ac:dyDescent="0.25">
      <c r="A21" s="196"/>
      <c r="B21" s="112"/>
      <c r="C21" s="105"/>
      <c r="D21" s="105"/>
      <c r="E21" s="105"/>
      <c r="F21" s="105"/>
      <c r="G21" s="105"/>
      <c r="H21" s="105"/>
      <c r="I21" s="105"/>
      <c r="J21" s="104"/>
      <c r="L21" s="96"/>
      <c r="M21" s="96"/>
    </row>
    <row r="22" spans="1:18" ht="17" thickBot="1" x14ac:dyDescent="0.25">
      <c r="A22" s="196" t="s">
        <v>1</v>
      </c>
      <c r="B22" s="134" t="s">
        <v>507</v>
      </c>
      <c r="C22" s="105" t="s">
        <v>559</v>
      </c>
      <c r="D22" s="105"/>
      <c r="E22" s="105"/>
      <c r="F22" s="105"/>
      <c r="G22" s="105"/>
      <c r="H22" s="105"/>
      <c r="I22" s="105"/>
      <c r="J22" s="104"/>
      <c r="L22" s="241" t="s">
        <v>549</v>
      </c>
      <c r="M22" s="309">
        <f>SUMPRODUCT(M17:M20,N8:N11)</f>
        <v>1.330340559222589</v>
      </c>
    </row>
    <row r="23" spans="1:18" x14ac:dyDescent="0.2">
      <c r="A23" s="196"/>
      <c r="B23" s="112"/>
      <c r="C23" s="105" t="s">
        <v>558</v>
      </c>
      <c r="D23" s="105"/>
      <c r="E23" s="105"/>
      <c r="F23" s="105"/>
      <c r="G23" s="105"/>
      <c r="H23" s="105"/>
      <c r="I23" s="105"/>
      <c r="J23" s="104"/>
      <c r="M23" s="188"/>
    </row>
    <row r="24" spans="1:18" x14ac:dyDescent="0.2">
      <c r="A24" s="196"/>
      <c r="B24" s="112"/>
      <c r="C24" s="105"/>
      <c r="D24" s="105"/>
      <c r="E24" s="105"/>
      <c r="F24" s="105"/>
      <c r="G24" s="105"/>
      <c r="H24" s="105"/>
      <c r="I24" s="105"/>
      <c r="J24" s="104"/>
      <c r="L24" s="209" t="s">
        <v>339</v>
      </c>
    </row>
    <row r="25" spans="1:18" x14ac:dyDescent="0.2">
      <c r="A25" s="196" t="s">
        <v>259</v>
      </c>
      <c r="B25" s="105" t="s">
        <v>335</v>
      </c>
      <c r="C25" s="105" t="s">
        <v>557</v>
      </c>
      <c r="D25" s="105"/>
      <c r="E25" s="105"/>
      <c r="F25" s="105"/>
      <c r="G25" s="105"/>
      <c r="H25" s="105"/>
      <c r="I25" s="105"/>
      <c r="J25" s="104"/>
      <c r="L25" s="339" t="s">
        <v>556</v>
      </c>
      <c r="M25" s="339"/>
      <c r="N25" s="339"/>
      <c r="O25" s="339"/>
      <c r="P25" s="339"/>
      <c r="Q25" s="339"/>
      <c r="R25" s="339"/>
    </row>
    <row r="26" spans="1:18" x14ac:dyDescent="0.2">
      <c r="A26" s="196"/>
      <c r="B26" s="105"/>
      <c r="C26" s="137" t="s">
        <v>555</v>
      </c>
      <c r="D26" s="105"/>
      <c r="E26" s="105"/>
      <c r="F26" s="105"/>
      <c r="G26" s="105"/>
      <c r="H26" s="105"/>
      <c r="I26" s="105"/>
      <c r="J26" s="104"/>
      <c r="L26" s="339"/>
      <c r="M26" s="339"/>
      <c r="N26" s="339"/>
      <c r="O26" s="339"/>
      <c r="P26" s="339"/>
      <c r="Q26" s="339"/>
      <c r="R26" s="339"/>
    </row>
    <row r="27" spans="1:18" ht="17" thickBot="1" x14ac:dyDescent="0.25">
      <c r="A27" s="196"/>
      <c r="B27" s="105"/>
      <c r="C27" s="137"/>
      <c r="D27" s="105"/>
      <c r="E27" s="105"/>
      <c r="F27" s="105"/>
      <c r="G27" s="105"/>
      <c r="H27" s="105"/>
      <c r="I27" s="105"/>
      <c r="J27" s="104"/>
    </row>
    <row r="28" spans="1:18" ht="17" thickBot="1" x14ac:dyDescent="0.25">
      <c r="A28" s="208" t="s">
        <v>124</v>
      </c>
      <c r="B28" s="101"/>
      <c r="C28" s="207"/>
      <c r="D28" s="101"/>
      <c r="E28" s="101"/>
      <c r="F28" s="101"/>
      <c r="G28" s="101"/>
      <c r="H28" s="101"/>
      <c r="I28" s="101"/>
      <c r="J28" s="100"/>
      <c r="L28" s="209" t="s">
        <v>393</v>
      </c>
    </row>
    <row r="29" spans="1:18" x14ac:dyDescent="0.2">
      <c r="L29" t="s">
        <v>554</v>
      </c>
    </row>
    <row r="31" spans="1:18" x14ac:dyDescent="0.2">
      <c r="L31" t="s">
        <v>553</v>
      </c>
      <c r="M31" s="171"/>
      <c r="N31" s="171"/>
      <c r="O31" s="171"/>
      <c r="P31" s="171"/>
      <c r="Q31" s="171"/>
      <c r="R31" s="171"/>
    </row>
    <row r="32" spans="1:18" x14ac:dyDescent="0.2">
      <c r="L32" s="171"/>
      <c r="M32" s="171"/>
      <c r="N32" s="171"/>
      <c r="O32" s="171"/>
      <c r="P32" s="171"/>
      <c r="Q32" s="171"/>
      <c r="R32" s="171"/>
    </row>
    <row r="35" spans="12:18" ht="19" x14ac:dyDescent="0.25">
      <c r="L35" s="124" t="s">
        <v>113</v>
      </c>
    </row>
    <row r="36" spans="12:18" ht="15.5" customHeight="1" x14ac:dyDescent="0.2">
      <c r="L36" s="339" t="s">
        <v>552</v>
      </c>
      <c r="M36" s="339"/>
      <c r="N36" s="339"/>
      <c r="O36" s="339"/>
      <c r="P36" s="339"/>
      <c r="Q36" s="339"/>
      <c r="R36" s="339"/>
    </row>
    <row r="37" spans="12:18" x14ac:dyDescent="0.2">
      <c r="L37" s="339"/>
      <c r="M37" s="339"/>
      <c r="N37" s="339"/>
      <c r="O37" s="339"/>
      <c r="P37" s="339"/>
      <c r="Q37" s="339"/>
      <c r="R37" s="339"/>
    </row>
    <row r="38" spans="12:18" x14ac:dyDescent="0.2">
      <c r="L38" s="339"/>
      <c r="M38" s="339"/>
      <c r="N38" s="339"/>
      <c r="O38" s="339"/>
      <c r="P38" s="339"/>
      <c r="Q38" s="339"/>
      <c r="R38" s="339"/>
    </row>
    <row r="39" spans="12:18" x14ac:dyDescent="0.2">
      <c r="L39" s="339"/>
      <c r="M39" s="339"/>
      <c r="N39" s="339"/>
      <c r="O39" s="339"/>
      <c r="P39" s="339"/>
      <c r="Q39" s="339"/>
      <c r="R39" s="339"/>
    </row>
    <row r="41" spans="12:18" ht="19" x14ac:dyDescent="0.25">
      <c r="L41" s="124" t="s">
        <v>136</v>
      </c>
    </row>
    <row r="42" spans="12:18" x14ac:dyDescent="0.2">
      <c r="L42" t="s">
        <v>551</v>
      </c>
    </row>
  </sheetData>
  <mergeCells count="5">
    <mergeCell ref="L36:R39"/>
    <mergeCell ref="L25:R26"/>
    <mergeCell ref="C12:C14"/>
    <mergeCell ref="D12:D14"/>
    <mergeCell ref="E12:E1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4199E-165B-7449-A6E5-1F5DE6434F04}">
  <dimension ref="A1:T134"/>
  <sheetViews>
    <sheetView workbookViewId="0"/>
  </sheetViews>
  <sheetFormatPr baseColWidth="10" defaultColWidth="10.83203125" defaultRowHeight="16" outlineLevelCol="1" x14ac:dyDescent="0.2"/>
  <cols>
    <col min="1" max="1" width="4.5" style="94" customWidth="1"/>
    <col min="2" max="2" width="10.83203125" style="94"/>
    <col min="3" max="3" width="13.83203125" style="94" bestFit="1" customWidth="1"/>
    <col min="4" max="4" width="13.6640625" style="94" bestFit="1" customWidth="1"/>
    <col min="5" max="7" width="10.83203125" style="94"/>
    <col min="8" max="8" width="11.5" style="94" customWidth="1"/>
    <col min="9" max="11" width="10.83203125" style="94"/>
    <col min="12" max="12" width="12" style="94" bestFit="1" customWidth="1"/>
    <col min="13" max="19" width="10.83203125" style="94" hidden="1" customWidth="1" outlineLevel="1"/>
    <col min="20" max="20" width="10.83203125" style="94" collapsed="1"/>
    <col min="21" max="16384" width="10.83203125" style="94"/>
  </cols>
  <sheetData>
    <row r="1" spans="1:19" ht="19" x14ac:dyDescent="0.25">
      <c r="A1" s="129" t="s">
        <v>332</v>
      </c>
      <c r="B1" s="128"/>
      <c r="C1" s="127"/>
      <c r="D1" s="127"/>
      <c r="E1" s="127"/>
      <c r="F1" s="203"/>
      <c r="G1" s="203"/>
      <c r="H1" s="203"/>
      <c r="I1" s="203"/>
      <c r="J1" s="202"/>
      <c r="L1" s="124" t="s">
        <v>331</v>
      </c>
    </row>
    <row r="2" spans="1:19" x14ac:dyDescent="0.2">
      <c r="A2" s="196"/>
      <c r="B2" s="134"/>
      <c r="C2" s="134"/>
      <c r="D2" s="134"/>
      <c r="E2" s="134"/>
      <c r="F2" s="134"/>
      <c r="G2" s="134"/>
      <c r="H2" s="134"/>
      <c r="I2" s="134"/>
      <c r="J2" s="195"/>
    </row>
    <row r="3" spans="1:19" x14ac:dyDescent="0.2">
      <c r="A3" s="196"/>
      <c r="B3" s="197" t="s">
        <v>330</v>
      </c>
      <c r="C3" s="134"/>
      <c r="D3" s="134"/>
      <c r="E3" s="134"/>
      <c r="F3" s="134"/>
      <c r="G3" s="134"/>
      <c r="H3" s="134"/>
      <c r="I3" s="134"/>
      <c r="J3" s="195"/>
      <c r="M3" s="200" t="s">
        <v>330</v>
      </c>
    </row>
    <row r="4" spans="1:19" x14ac:dyDescent="0.2">
      <c r="A4" s="196"/>
      <c r="B4" s="134"/>
      <c r="C4" s="134"/>
      <c r="D4" s="134"/>
      <c r="E4" s="134"/>
      <c r="F4" s="134"/>
      <c r="G4" s="134"/>
      <c r="H4" s="134"/>
      <c r="I4" s="134"/>
      <c r="J4" s="195"/>
      <c r="M4" s="191"/>
    </row>
    <row r="5" spans="1:19" x14ac:dyDescent="0.2">
      <c r="A5" s="196"/>
      <c r="B5" s="201" t="s">
        <v>329</v>
      </c>
      <c r="C5" s="134"/>
      <c r="D5" s="134"/>
      <c r="E5" s="134"/>
      <c r="F5" s="134"/>
      <c r="G5" s="134"/>
      <c r="H5" s="134"/>
      <c r="I5" s="134"/>
      <c r="J5" s="195"/>
      <c r="M5" s="373" t="s">
        <v>328</v>
      </c>
      <c r="N5" s="373"/>
      <c r="O5" s="373"/>
      <c r="P5" s="373"/>
      <c r="Q5" s="373"/>
      <c r="R5" s="373"/>
      <c r="S5" s="373"/>
    </row>
    <row r="6" spans="1:19" x14ac:dyDescent="0.2">
      <c r="A6" s="196"/>
      <c r="B6" s="134"/>
      <c r="C6" s="134"/>
      <c r="D6" s="134"/>
      <c r="E6" s="134"/>
      <c r="F6" s="134"/>
      <c r="G6" s="134"/>
      <c r="H6" s="134"/>
      <c r="I6" s="134"/>
      <c r="J6" s="195"/>
      <c r="M6" s="373"/>
      <c r="N6" s="373"/>
      <c r="O6" s="373"/>
      <c r="P6" s="373"/>
      <c r="Q6" s="373"/>
      <c r="R6" s="373"/>
      <c r="S6" s="373"/>
    </row>
    <row r="7" spans="1:19" x14ac:dyDescent="0.2">
      <c r="A7" s="196"/>
      <c r="B7" s="197" t="s">
        <v>324</v>
      </c>
      <c r="C7" s="134"/>
      <c r="D7" s="134"/>
      <c r="E7" s="134"/>
      <c r="F7" s="134"/>
      <c r="G7" s="134"/>
      <c r="H7" s="134"/>
      <c r="I7" s="134"/>
      <c r="J7" s="195"/>
      <c r="M7" s="373" t="s">
        <v>327</v>
      </c>
      <c r="N7" s="373"/>
      <c r="O7" s="373"/>
      <c r="P7" s="373"/>
      <c r="Q7" s="373"/>
      <c r="R7" s="373"/>
      <c r="S7" s="373"/>
    </row>
    <row r="8" spans="1:19" x14ac:dyDescent="0.2">
      <c r="A8" s="196"/>
      <c r="B8" s="134"/>
      <c r="C8" s="134"/>
      <c r="D8" s="134"/>
      <c r="E8" s="134"/>
      <c r="F8" s="134"/>
      <c r="G8" s="134"/>
      <c r="H8" s="134"/>
      <c r="I8" s="134"/>
      <c r="J8" s="195"/>
      <c r="M8" s="373"/>
      <c r="N8" s="373"/>
      <c r="O8" s="373"/>
      <c r="P8" s="373"/>
      <c r="Q8" s="373"/>
      <c r="R8" s="373"/>
      <c r="S8" s="373"/>
    </row>
    <row r="9" spans="1:19" x14ac:dyDescent="0.2">
      <c r="A9" s="196"/>
      <c r="B9" s="134" t="s">
        <v>0</v>
      </c>
      <c r="C9" s="134"/>
      <c r="D9" s="134"/>
      <c r="E9" s="134"/>
      <c r="F9" s="134"/>
      <c r="G9" s="134"/>
      <c r="H9" s="134"/>
      <c r="I9" s="134"/>
      <c r="J9" s="195"/>
      <c r="M9" s="339" t="s">
        <v>326</v>
      </c>
      <c r="N9" s="339"/>
      <c r="O9" s="339"/>
      <c r="P9" s="339"/>
      <c r="Q9" s="339"/>
      <c r="R9" s="339"/>
      <c r="S9" s="339"/>
    </row>
    <row r="10" spans="1:19" x14ac:dyDescent="0.2">
      <c r="A10" s="196"/>
      <c r="B10" s="134" t="s">
        <v>325</v>
      </c>
      <c r="C10" s="134"/>
      <c r="D10" s="134"/>
      <c r="E10" s="134"/>
      <c r="F10" s="134"/>
      <c r="G10" s="134"/>
      <c r="H10" s="134"/>
      <c r="I10" s="134"/>
      <c r="J10" s="195"/>
      <c r="M10" s="339"/>
      <c r="N10" s="339"/>
      <c r="O10" s="339"/>
      <c r="P10" s="339"/>
      <c r="Q10" s="339"/>
      <c r="R10" s="339"/>
      <c r="S10" s="339"/>
    </row>
    <row r="11" spans="1:19" x14ac:dyDescent="0.2">
      <c r="A11" s="196"/>
      <c r="B11" s="134"/>
      <c r="C11" s="134"/>
      <c r="D11" s="134"/>
      <c r="E11" s="134"/>
      <c r="F11" s="134"/>
      <c r="G11" s="134"/>
      <c r="H11" s="134"/>
      <c r="I11" s="134"/>
      <c r="J11" s="195"/>
    </row>
    <row r="12" spans="1:19" x14ac:dyDescent="0.2">
      <c r="A12" s="196"/>
      <c r="B12" s="134" t="s">
        <v>1</v>
      </c>
      <c r="C12" s="134"/>
      <c r="D12" s="134"/>
      <c r="E12" s="134"/>
      <c r="F12" s="134"/>
      <c r="G12" s="134"/>
      <c r="H12" s="134"/>
      <c r="I12" s="134"/>
      <c r="J12" s="195"/>
      <c r="M12" s="200" t="s">
        <v>324</v>
      </c>
    </row>
    <row r="13" spans="1:19" x14ac:dyDescent="0.2">
      <c r="A13" s="196"/>
      <c r="B13" s="134" t="s">
        <v>323</v>
      </c>
      <c r="C13" s="134"/>
      <c r="D13" s="134"/>
      <c r="E13" s="134"/>
      <c r="F13" s="134"/>
      <c r="G13" s="134"/>
      <c r="H13" s="134"/>
      <c r="I13" s="134"/>
      <c r="J13" s="195"/>
      <c r="M13" s="191"/>
    </row>
    <row r="14" spans="1:19" x14ac:dyDescent="0.2">
      <c r="A14" s="196"/>
      <c r="B14" s="134"/>
      <c r="C14" s="134"/>
      <c r="D14" s="134"/>
      <c r="E14" s="134"/>
      <c r="F14" s="134"/>
      <c r="G14" s="134"/>
      <c r="H14" s="134"/>
      <c r="I14" s="134"/>
      <c r="J14" s="195"/>
      <c r="M14" s="199" t="s">
        <v>188</v>
      </c>
    </row>
    <row r="15" spans="1:19" x14ac:dyDescent="0.2">
      <c r="A15" s="196"/>
      <c r="B15" s="197" t="s">
        <v>317</v>
      </c>
      <c r="C15" s="134"/>
      <c r="D15" s="134"/>
      <c r="E15" s="134"/>
      <c r="F15" s="134"/>
      <c r="G15" s="134"/>
      <c r="H15" s="134"/>
      <c r="I15" s="134"/>
      <c r="J15" s="195"/>
      <c r="M15" s="191"/>
    </row>
    <row r="16" spans="1:19" x14ac:dyDescent="0.2">
      <c r="A16" s="196"/>
      <c r="B16" s="134"/>
      <c r="C16" s="134"/>
      <c r="D16" s="134"/>
      <c r="E16" s="134"/>
      <c r="F16" s="134"/>
      <c r="G16" s="134"/>
      <c r="H16" s="134"/>
      <c r="I16" s="134"/>
      <c r="J16" s="195"/>
      <c r="M16" s="339" t="s">
        <v>322</v>
      </c>
      <c r="N16" s="339"/>
      <c r="O16" s="339"/>
      <c r="P16" s="339"/>
      <c r="Q16" s="339"/>
      <c r="R16" s="339"/>
      <c r="S16" s="339"/>
    </row>
    <row r="17" spans="1:19" x14ac:dyDescent="0.2">
      <c r="A17" s="196"/>
      <c r="B17" s="134" t="s">
        <v>0</v>
      </c>
      <c r="C17" s="134"/>
      <c r="D17" s="134"/>
      <c r="E17" s="134"/>
      <c r="F17" s="134"/>
      <c r="G17" s="134"/>
      <c r="H17" s="134"/>
      <c r="I17" s="134"/>
      <c r="J17" s="195"/>
      <c r="M17" s="339"/>
      <c r="N17" s="339"/>
      <c r="O17" s="339"/>
      <c r="P17" s="339"/>
      <c r="Q17" s="339"/>
      <c r="R17" s="339"/>
      <c r="S17" s="339"/>
    </row>
    <row r="18" spans="1:19" x14ac:dyDescent="0.2">
      <c r="A18" s="196"/>
      <c r="B18" s="134" t="s">
        <v>321</v>
      </c>
      <c r="C18" s="134"/>
      <c r="D18" s="134"/>
      <c r="E18" s="134"/>
      <c r="F18" s="134"/>
      <c r="G18" s="134"/>
      <c r="H18" s="134"/>
      <c r="I18" s="134"/>
      <c r="J18" s="195"/>
      <c r="M18" s="339"/>
      <c r="N18" s="339"/>
      <c r="O18" s="339"/>
      <c r="P18" s="339"/>
      <c r="Q18" s="339"/>
      <c r="R18" s="339"/>
      <c r="S18" s="339"/>
    </row>
    <row r="19" spans="1:19" x14ac:dyDescent="0.2">
      <c r="A19" s="196"/>
      <c r="B19" s="134"/>
      <c r="C19" s="134"/>
      <c r="D19" s="134"/>
      <c r="E19" s="134"/>
      <c r="F19" s="134"/>
      <c r="G19" s="134"/>
      <c r="H19" s="134"/>
      <c r="I19" s="134"/>
      <c r="J19" s="195"/>
    </row>
    <row r="20" spans="1:19" x14ac:dyDescent="0.2">
      <c r="A20" s="196"/>
      <c r="B20" s="134" t="s">
        <v>1</v>
      </c>
      <c r="C20" s="134"/>
      <c r="D20" s="134"/>
      <c r="E20" s="134"/>
      <c r="F20" s="134"/>
      <c r="G20" s="134"/>
      <c r="H20" s="134"/>
      <c r="I20" s="134"/>
      <c r="J20" s="195"/>
      <c r="M20" s="115" t="s">
        <v>178</v>
      </c>
    </row>
    <row r="21" spans="1:19" x14ac:dyDescent="0.2">
      <c r="A21" s="196"/>
      <c r="B21" s="134" t="s">
        <v>320</v>
      </c>
      <c r="C21" s="134"/>
      <c r="D21" s="134"/>
      <c r="E21" s="134"/>
      <c r="F21" s="134"/>
      <c r="G21" s="134"/>
      <c r="H21" s="134"/>
      <c r="I21" s="134"/>
      <c r="J21" s="195"/>
    </row>
    <row r="22" spans="1:19" x14ac:dyDescent="0.2">
      <c r="A22" s="196"/>
      <c r="B22" s="134"/>
      <c r="C22" s="134"/>
      <c r="D22" s="134"/>
      <c r="E22" s="134"/>
      <c r="F22" s="134"/>
      <c r="G22" s="134"/>
      <c r="H22" s="134"/>
      <c r="I22" s="134"/>
      <c r="J22" s="195"/>
      <c r="M22" s="339" t="s">
        <v>319</v>
      </c>
      <c r="N22" s="339"/>
      <c r="O22" s="339"/>
      <c r="P22" s="339"/>
      <c r="Q22" s="339"/>
      <c r="R22" s="339"/>
      <c r="S22" s="339"/>
    </row>
    <row r="23" spans="1:19" x14ac:dyDescent="0.2">
      <c r="A23" s="196"/>
      <c r="B23" s="134" t="s">
        <v>259</v>
      </c>
      <c r="C23" s="134"/>
      <c r="D23" s="134"/>
      <c r="E23" s="134"/>
      <c r="F23" s="134"/>
      <c r="G23" s="134"/>
      <c r="H23" s="134"/>
      <c r="I23" s="134"/>
      <c r="J23" s="195"/>
      <c r="M23" s="339"/>
      <c r="N23" s="339"/>
      <c r="O23" s="339"/>
      <c r="P23" s="339"/>
      <c r="Q23" s="339"/>
      <c r="R23" s="339"/>
      <c r="S23" s="339"/>
    </row>
    <row r="24" spans="1:19" x14ac:dyDescent="0.2">
      <c r="A24" s="196"/>
      <c r="B24" s="134" t="s">
        <v>318</v>
      </c>
      <c r="C24" s="134"/>
      <c r="D24" s="134"/>
      <c r="E24" s="134"/>
      <c r="F24" s="134"/>
      <c r="G24" s="134"/>
      <c r="H24" s="134"/>
      <c r="I24" s="134"/>
      <c r="J24" s="195"/>
      <c r="M24" s="339"/>
      <c r="N24" s="339"/>
      <c r="O24" s="339"/>
      <c r="P24" s="339"/>
      <c r="Q24" s="339"/>
      <c r="R24" s="339"/>
      <c r="S24" s="339"/>
    </row>
    <row r="25" spans="1:19" x14ac:dyDescent="0.2">
      <c r="A25" s="196"/>
      <c r="B25" s="134"/>
      <c r="C25" s="134"/>
      <c r="D25" s="134"/>
      <c r="E25" s="134"/>
      <c r="F25" s="134"/>
      <c r="G25" s="134"/>
      <c r="H25" s="134"/>
      <c r="I25" s="134"/>
      <c r="J25" s="195"/>
    </row>
    <row r="26" spans="1:19" x14ac:dyDescent="0.2">
      <c r="A26" s="196"/>
      <c r="B26" s="197" t="s">
        <v>308</v>
      </c>
      <c r="C26" s="134"/>
      <c r="D26" s="134"/>
      <c r="E26" s="134"/>
      <c r="F26" s="134"/>
      <c r="G26" s="134"/>
      <c r="H26" s="134"/>
      <c r="I26" s="134"/>
      <c r="J26" s="195"/>
      <c r="M26" s="135" t="s">
        <v>317</v>
      </c>
    </row>
    <row r="27" spans="1:19" x14ac:dyDescent="0.2">
      <c r="A27" s="196"/>
      <c r="B27" s="134"/>
      <c r="C27" s="134"/>
      <c r="D27" s="134"/>
      <c r="E27" s="134"/>
      <c r="F27" s="134"/>
      <c r="G27" s="134"/>
      <c r="H27" s="134"/>
      <c r="I27" s="134"/>
      <c r="J27" s="195"/>
      <c r="M27" s="191"/>
    </row>
    <row r="28" spans="1:19" x14ac:dyDescent="0.2">
      <c r="A28" s="196"/>
      <c r="B28" s="134" t="s">
        <v>316</v>
      </c>
      <c r="C28" s="134"/>
      <c r="D28" s="134"/>
      <c r="E28" s="134"/>
      <c r="F28" s="134"/>
      <c r="G28" s="134"/>
      <c r="H28" s="134"/>
      <c r="I28" s="134"/>
      <c r="J28" s="195"/>
      <c r="M28" s="199" t="s">
        <v>188</v>
      </c>
    </row>
    <row r="29" spans="1:19" x14ac:dyDescent="0.2">
      <c r="A29" s="196"/>
      <c r="B29" s="134"/>
      <c r="C29" s="134"/>
      <c r="D29" s="134"/>
      <c r="E29" s="134"/>
      <c r="F29" s="134"/>
      <c r="G29" s="134"/>
      <c r="H29" s="134"/>
      <c r="I29" s="134"/>
      <c r="J29" s="195"/>
      <c r="M29" s="191"/>
    </row>
    <row r="30" spans="1:19" x14ac:dyDescent="0.2">
      <c r="A30" s="196"/>
      <c r="B30" s="197" t="s">
        <v>303</v>
      </c>
      <c r="C30" s="134"/>
      <c r="D30" s="134"/>
      <c r="E30" s="134"/>
      <c r="F30" s="134"/>
      <c r="G30" s="134"/>
      <c r="H30" s="134"/>
      <c r="I30" s="134"/>
      <c r="J30" s="195"/>
      <c r="M30" s="191" t="s">
        <v>315</v>
      </c>
    </row>
    <row r="31" spans="1:19" x14ac:dyDescent="0.2">
      <c r="A31" s="196"/>
      <c r="B31" s="134"/>
      <c r="C31" s="134"/>
      <c r="D31" s="134"/>
      <c r="E31" s="134"/>
      <c r="F31" s="134"/>
      <c r="G31" s="134"/>
      <c r="H31" s="134"/>
      <c r="I31" s="134"/>
      <c r="J31" s="195"/>
      <c r="M31" s="94" t="s">
        <v>314</v>
      </c>
    </row>
    <row r="32" spans="1:19" x14ac:dyDescent="0.2">
      <c r="A32" s="196"/>
      <c r="B32" s="134" t="s">
        <v>313</v>
      </c>
      <c r="C32" s="134"/>
      <c r="D32" s="134"/>
      <c r="E32" s="134"/>
      <c r="F32" s="134"/>
      <c r="G32" s="134"/>
      <c r="H32" s="134"/>
      <c r="I32" s="134"/>
      <c r="J32" s="195"/>
    </row>
    <row r="33" spans="1:19" x14ac:dyDescent="0.2">
      <c r="A33" s="196"/>
      <c r="B33" s="134"/>
      <c r="C33" s="134"/>
      <c r="D33" s="134"/>
      <c r="E33" s="134"/>
      <c r="F33" s="134"/>
      <c r="G33" s="134"/>
      <c r="H33" s="134"/>
      <c r="I33" s="134"/>
      <c r="J33" s="195"/>
      <c r="M33" s="115" t="s">
        <v>178</v>
      </c>
    </row>
    <row r="34" spans="1:19" x14ac:dyDescent="0.2">
      <c r="A34" s="196"/>
      <c r="B34" s="197" t="s">
        <v>299</v>
      </c>
      <c r="C34" s="134"/>
      <c r="D34" s="134"/>
      <c r="E34" s="134"/>
      <c r="F34" s="134"/>
      <c r="G34" s="134"/>
      <c r="H34" s="134"/>
      <c r="I34" s="134"/>
      <c r="J34" s="195"/>
    </row>
    <row r="35" spans="1:19" x14ac:dyDescent="0.2">
      <c r="A35" s="196"/>
      <c r="B35" s="112"/>
      <c r="C35" s="134"/>
      <c r="D35" s="134"/>
      <c r="E35" s="134"/>
      <c r="F35" s="134"/>
      <c r="G35" s="134"/>
      <c r="H35" s="134"/>
      <c r="I35" s="134"/>
      <c r="J35" s="195"/>
      <c r="M35" s="339" t="s">
        <v>312</v>
      </c>
      <c r="N35" s="339"/>
      <c r="O35" s="339"/>
      <c r="P35" s="339"/>
      <c r="Q35" s="339"/>
      <c r="R35" s="339"/>
      <c r="S35" s="339"/>
    </row>
    <row r="36" spans="1:19" x14ac:dyDescent="0.2">
      <c r="A36" s="196"/>
      <c r="B36" s="340" t="s">
        <v>311</v>
      </c>
      <c r="C36" s="340"/>
      <c r="D36" s="340"/>
      <c r="E36" s="340"/>
      <c r="F36" s="340"/>
      <c r="G36" s="340"/>
      <c r="H36" s="340"/>
      <c r="I36" s="134"/>
      <c r="J36" s="195"/>
      <c r="M36" s="339"/>
      <c r="N36" s="339"/>
      <c r="O36" s="339"/>
      <c r="P36" s="339"/>
      <c r="Q36" s="339"/>
      <c r="R36" s="339"/>
      <c r="S36" s="339"/>
    </row>
    <row r="37" spans="1:19" x14ac:dyDescent="0.2">
      <c r="A37" s="196"/>
      <c r="B37" s="340"/>
      <c r="C37" s="340"/>
      <c r="D37" s="340"/>
      <c r="E37" s="340"/>
      <c r="F37" s="340"/>
      <c r="G37" s="340"/>
      <c r="H37" s="340"/>
      <c r="I37" s="134"/>
      <c r="J37" s="195"/>
    </row>
    <row r="38" spans="1:19" x14ac:dyDescent="0.2">
      <c r="A38" s="196"/>
      <c r="B38" s="134"/>
      <c r="C38" s="134"/>
      <c r="D38" s="134"/>
      <c r="E38" s="134"/>
      <c r="F38" s="134"/>
      <c r="G38" s="134"/>
      <c r="H38" s="134"/>
      <c r="I38" s="134"/>
      <c r="J38" s="195"/>
      <c r="M38" s="115" t="s">
        <v>260</v>
      </c>
    </row>
    <row r="39" spans="1:19" x14ac:dyDescent="0.2">
      <c r="A39" s="196"/>
      <c r="B39" s="197" t="s">
        <v>294</v>
      </c>
      <c r="C39" s="134"/>
      <c r="D39" s="134"/>
      <c r="E39" s="134"/>
      <c r="F39" s="134"/>
      <c r="G39" s="134"/>
      <c r="H39" s="134"/>
      <c r="I39" s="134"/>
      <c r="J39" s="195"/>
    </row>
    <row r="40" spans="1:19" x14ac:dyDescent="0.2">
      <c r="A40" s="196"/>
      <c r="B40" s="134"/>
      <c r="C40" s="134"/>
      <c r="D40" s="134"/>
      <c r="E40" s="134"/>
      <c r="F40" s="134"/>
      <c r="G40" s="134"/>
      <c r="H40" s="134"/>
      <c r="I40" s="134"/>
      <c r="J40" s="195"/>
      <c r="M40" s="339" t="s">
        <v>310</v>
      </c>
      <c r="N40" s="339"/>
      <c r="O40" s="339"/>
      <c r="P40" s="339"/>
      <c r="Q40" s="339"/>
      <c r="R40" s="339"/>
      <c r="S40" s="339"/>
    </row>
    <row r="41" spans="1:19" x14ac:dyDescent="0.2">
      <c r="A41" s="196"/>
      <c r="B41" s="340" t="s">
        <v>309</v>
      </c>
      <c r="C41" s="340"/>
      <c r="D41" s="340"/>
      <c r="E41" s="340"/>
      <c r="F41" s="340"/>
      <c r="G41" s="340"/>
      <c r="H41" s="340"/>
      <c r="I41" s="134"/>
      <c r="J41" s="195"/>
      <c r="M41" s="339"/>
      <c r="N41" s="339"/>
      <c r="O41" s="339"/>
      <c r="P41" s="339"/>
      <c r="Q41" s="339"/>
      <c r="R41" s="339"/>
      <c r="S41" s="339"/>
    </row>
    <row r="42" spans="1:19" x14ac:dyDescent="0.2">
      <c r="A42" s="196"/>
      <c r="B42" s="340"/>
      <c r="C42" s="340"/>
      <c r="D42" s="340"/>
      <c r="E42" s="340"/>
      <c r="F42" s="340"/>
      <c r="G42" s="340"/>
      <c r="H42" s="340"/>
      <c r="I42" s="134"/>
      <c r="J42" s="195"/>
      <c r="M42" s="339"/>
      <c r="N42" s="339"/>
      <c r="O42" s="339"/>
      <c r="P42" s="339"/>
      <c r="Q42" s="339"/>
      <c r="R42" s="339"/>
      <c r="S42" s="339"/>
    </row>
    <row r="43" spans="1:19" x14ac:dyDescent="0.2">
      <c r="A43" s="196"/>
      <c r="B43" s="134"/>
      <c r="C43" s="134"/>
      <c r="D43" s="134"/>
      <c r="E43" s="134"/>
      <c r="F43" s="134"/>
      <c r="G43" s="134"/>
      <c r="H43" s="134"/>
      <c r="I43" s="134"/>
      <c r="J43" s="195"/>
      <c r="M43" s="339"/>
      <c r="N43" s="339"/>
      <c r="O43" s="339"/>
      <c r="P43" s="339"/>
      <c r="Q43" s="339"/>
      <c r="R43" s="339"/>
      <c r="S43" s="339"/>
    </row>
    <row r="44" spans="1:19" x14ac:dyDescent="0.2">
      <c r="A44" s="196"/>
      <c r="B44" s="197" t="s">
        <v>290</v>
      </c>
      <c r="C44" s="134"/>
      <c r="D44" s="134"/>
      <c r="E44" s="134"/>
      <c r="F44" s="134"/>
      <c r="G44" s="134"/>
      <c r="H44" s="134"/>
      <c r="I44" s="134"/>
      <c r="J44" s="195"/>
    </row>
    <row r="45" spans="1:19" x14ac:dyDescent="0.2">
      <c r="A45" s="196"/>
      <c r="B45" s="134"/>
      <c r="C45" s="134"/>
      <c r="D45" s="134"/>
      <c r="E45" s="134"/>
      <c r="F45" s="134"/>
      <c r="G45" s="134"/>
      <c r="H45" s="134"/>
      <c r="I45" s="134"/>
      <c r="J45" s="195"/>
      <c r="M45" s="135" t="s">
        <v>308</v>
      </c>
    </row>
    <row r="46" spans="1:19" x14ac:dyDescent="0.2">
      <c r="A46" s="196"/>
      <c r="B46" s="134" t="s">
        <v>307</v>
      </c>
      <c r="C46" s="134"/>
      <c r="D46" s="134"/>
      <c r="E46" s="134"/>
      <c r="F46" s="134"/>
      <c r="G46" s="134"/>
      <c r="H46" s="134"/>
      <c r="I46" s="134"/>
      <c r="J46" s="195"/>
      <c r="M46" s="198"/>
    </row>
    <row r="47" spans="1:19" ht="15.75" customHeight="1" x14ac:dyDescent="0.2">
      <c r="A47" s="196"/>
      <c r="B47" s="134"/>
      <c r="C47" s="134"/>
      <c r="D47" s="134"/>
      <c r="E47" s="134"/>
      <c r="F47" s="134"/>
      <c r="G47" s="134"/>
      <c r="H47" s="134"/>
      <c r="I47" s="134"/>
      <c r="J47" s="195"/>
      <c r="M47" s="339" t="s">
        <v>306</v>
      </c>
      <c r="N47" s="339"/>
      <c r="O47" s="339"/>
      <c r="P47" s="339"/>
      <c r="Q47" s="339"/>
      <c r="R47" s="339"/>
      <c r="S47" s="339"/>
    </row>
    <row r="48" spans="1:19" x14ac:dyDescent="0.2">
      <c r="A48" s="196"/>
      <c r="B48" s="134"/>
      <c r="C48" s="114" t="s">
        <v>305</v>
      </c>
      <c r="D48" s="134"/>
      <c r="E48" s="134"/>
      <c r="F48" s="134"/>
      <c r="G48" s="134"/>
      <c r="H48" s="134"/>
      <c r="I48" s="134"/>
      <c r="J48" s="195"/>
      <c r="M48" s="339"/>
      <c r="N48" s="339"/>
      <c r="O48" s="339"/>
      <c r="P48" s="339"/>
      <c r="Q48" s="339"/>
      <c r="R48" s="339"/>
      <c r="S48" s="339"/>
    </row>
    <row r="49" spans="1:19" x14ac:dyDescent="0.2">
      <c r="A49" s="196"/>
      <c r="B49" s="134"/>
      <c r="C49" s="114" t="s">
        <v>304</v>
      </c>
      <c r="D49" s="134"/>
      <c r="E49" s="134"/>
      <c r="F49" s="134"/>
      <c r="G49" s="134"/>
      <c r="H49" s="134"/>
      <c r="I49" s="134"/>
      <c r="J49" s="195"/>
      <c r="M49" s="339"/>
      <c r="N49" s="339"/>
      <c r="O49" s="339"/>
      <c r="P49" s="339"/>
      <c r="Q49" s="339"/>
      <c r="R49" s="339"/>
      <c r="S49" s="339"/>
    </row>
    <row r="50" spans="1:19" x14ac:dyDescent="0.2">
      <c r="A50" s="196"/>
      <c r="B50" s="134"/>
      <c r="C50" s="134"/>
      <c r="D50" s="134"/>
      <c r="E50" s="134"/>
      <c r="F50" s="134"/>
      <c r="G50" s="134"/>
      <c r="H50" s="134"/>
      <c r="I50" s="134"/>
      <c r="J50" s="195"/>
      <c r="M50" s="339"/>
      <c r="N50" s="339"/>
      <c r="O50" s="339"/>
      <c r="P50" s="339"/>
      <c r="Q50" s="339"/>
      <c r="R50" s="339"/>
      <c r="S50" s="339"/>
    </row>
    <row r="51" spans="1:19" x14ac:dyDescent="0.2">
      <c r="A51" s="196"/>
      <c r="B51" s="197" t="s">
        <v>287</v>
      </c>
      <c r="C51" s="134"/>
      <c r="D51" s="134"/>
      <c r="E51" s="134"/>
      <c r="F51" s="134"/>
      <c r="G51" s="134"/>
      <c r="H51" s="134"/>
      <c r="I51" s="134"/>
      <c r="J51" s="195"/>
      <c r="M51" s="133"/>
      <c r="N51" s="133"/>
      <c r="O51" s="133"/>
      <c r="P51" s="133"/>
      <c r="Q51" s="133"/>
      <c r="R51" s="133"/>
      <c r="S51" s="133"/>
    </row>
    <row r="52" spans="1:19" x14ac:dyDescent="0.2">
      <c r="A52" s="196"/>
      <c r="B52" s="134"/>
      <c r="C52" s="134"/>
      <c r="D52" s="134"/>
      <c r="E52" s="134"/>
      <c r="F52" s="134"/>
      <c r="G52" s="134"/>
      <c r="H52" s="134"/>
      <c r="I52" s="134"/>
      <c r="J52" s="195"/>
      <c r="M52" s="135" t="s">
        <v>303</v>
      </c>
    </row>
    <row r="53" spans="1:19" x14ac:dyDescent="0.2">
      <c r="A53" s="196"/>
      <c r="B53" s="134" t="s">
        <v>0</v>
      </c>
      <c r="C53" s="134"/>
      <c r="D53" s="134"/>
      <c r="E53" s="134"/>
      <c r="F53" s="134"/>
      <c r="G53" s="134"/>
      <c r="H53" s="134"/>
      <c r="I53" s="134"/>
      <c r="J53" s="195"/>
    </row>
    <row r="54" spans="1:19" x14ac:dyDescent="0.2">
      <c r="A54" s="196"/>
      <c r="B54" s="134" t="s">
        <v>302</v>
      </c>
      <c r="C54" s="134"/>
      <c r="D54" s="134"/>
      <c r="E54" s="134"/>
      <c r="F54" s="134"/>
      <c r="G54" s="134"/>
      <c r="H54" s="134"/>
      <c r="I54" s="134"/>
      <c r="J54" s="195"/>
      <c r="M54" s="339" t="s">
        <v>301</v>
      </c>
      <c r="N54" s="339"/>
      <c r="O54" s="339"/>
      <c r="P54" s="339"/>
      <c r="Q54" s="339"/>
      <c r="R54" s="339"/>
      <c r="S54" s="339"/>
    </row>
    <row r="55" spans="1:19" x14ac:dyDescent="0.2">
      <c r="A55" s="196"/>
      <c r="B55" s="134"/>
      <c r="C55" s="134"/>
      <c r="D55" s="134"/>
      <c r="E55" s="134"/>
      <c r="F55" s="134"/>
      <c r="G55" s="134"/>
      <c r="H55" s="134"/>
      <c r="I55" s="134"/>
      <c r="J55" s="195"/>
      <c r="M55" s="339"/>
      <c r="N55" s="339"/>
      <c r="O55" s="339"/>
      <c r="P55" s="339"/>
      <c r="Q55" s="339"/>
      <c r="R55" s="339"/>
      <c r="S55" s="339"/>
    </row>
    <row r="56" spans="1:19" x14ac:dyDescent="0.2">
      <c r="A56" s="196"/>
      <c r="B56" s="134" t="s">
        <v>1</v>
      </c>
      <c r="C56" s="134"/>
      <c r="D56" s="134"/>
      <c r="E56" s="134"/>
      <c r="F56" s="134"/>
      <c r="G56" s="134"/>
      <c r="H56" s="134"/>
      <c r="I56" s="134"/>
      <c r="J56" s="195"/>
    </row>
    <row r="57" spans="1:19" x14ac:dyDescent="0.2">
      <c r="A57" s="196"/>
      <c r="B57" s="134" t="s">
        <v>300</v>
      </c>
      <c r="C57" s="134"/>
      <c r="D57" s="134"/>
      <c r="E57" s="134"/>
      <c r="F57" s="134"/>
      <c r="G57" s="134"/>
      <c r="H57" s="134"/>
      <c r="I57" s="134"/>
      <c r="J57" s="195"/>
      <c r="M57" s="135" t="s">
        <v>299</v>
      </c>
    </row>
    <row r="58" spans="1:19" x14ac:dyDescent="0.2">
      <c r="A58" s="196"/>
      <c r="B58" s="134"/>
      <c r="C58" s="134"/>
      <c r="D58" s="134"/>
      <c r="E58" s="134"/>
      <c r="F58" s="134"/>
      <c r="G58" s="134"/>
      <c r="H58" s="134"/>
      <c r="I58" s="134"/>
      <c r="J58" s="195"/>
    </row>
    <row r="59" spans="1:19" x14ac:dyDescent="0.2">
      <c r="A59" s="196"/>
      <c r="B59" s="197" t="s">
        <v>279</v>
      </c>
      <c r="C59" s="134"/>
      <c r="D59" s="134"/>
      <c r="E59" s="134"/>
      <c r="F59" s="134"/>
      <c r="G59" s="134"/>
      <c r="H59" s="134"/>
      <c r="I59" s="134"/>
      <c r="J59" s="195"/>
      <c r="M59" s="94" t="s">
        <v>298</v>
      </c>
    </row>
    <row r="60" spans="1:19" x14ac:dyDescent="0.2">
      <c r="A60" s="196"/>
      <c r="B60" s="134"/>
      <c r="C60" s="134"/>
      <c r="D60" s="134"/>
      <c r="E60" s="134"/>
      <c r="F60" s="134"/>
      <c r="G60" s="134"/>
      <c r="H60" s="134"/>
      <c r="I60" s="134"/>
      <c r="J60" s="195"/>
      <c r="M60" s="94" t="s">
        <v>297</v>
      </c>
    </row>
    <row r="61" spans="1:19" x14ac:dyDescent="0.2">
      <c r="A61" s="196"/>
      <c r="B61" s="340" t="s">
        <v>296</v>
      </c>
      <c r="C61" s="340"/>
      <c r="D61" s="340"/>
      <c r="E61" s="340"/>
      <c r="F61" s="340"/>
      <c r="G61" s="340"/>
      <c r="H61" s="340"/>
      <c r="I61" s="134"/>
      <c r="J61" s="195"/>
      <c r="M61" s="94" t="s">
        <v>295</v>
      </c>
    </row>
    <row r="62" spans="1:19" x14ac:dyDescent="0.2">
      <c r="A62" s="196"/>
      <c r="B62" s="340"/>
      <c r="C62" s="340"/>
      <c r="D62" s="340"/>
      <c r="E62" s="340"/>
      <c r="F62" s="340"/>
      <c r="G62" s="340"/>
      <c r="H62" s="340"/>
      <c r="I62" s="134"/>
      <c r="J62" s="195"/>
    </row>
    <row r="63" spans="1:19" x14ac:dyDescent="0.2">
      <c r="A63" s="196"/>
      <c r="B63" s="134"/>
      <c r="C63" s="134"/>
      <c r="D63" s="134"/>
      <c r="E63" s="134"/>
      <c r="F63" s="134"/>
      <c r="G63" s="134"/>
      <c r="H63" s="134"/>
      <c r="I63" s="134"/>
      <c r="J63" s="195"/>
      <c r="M63" s="135" t="s">
        <v>294</v>
      </c>
    </row>
    <row r="64" spans="1:19" x14ac:dyDescent="0.2">
      <c r="A64" s="196"/>
      <c r="B64" s="134" t="s">
        <v>0</v>
      </c>
      <c r="C64" s="134"/>
      <c r="D64" s="134"/>
      <c r="E64" s="134"/>
      <c r="F64" s="134"/>
      <c r="G64" s="134"/>
      <c r="H64" s="134"/>
      <c r="I64" s="134"/>
      <c r="J64" s="195"/>
    </row>
    <row r="65" spans="1:19" ht="15.75" customHeight="1" x14ac:dyDescent="0.2">
      <c r="A65" s="196"/>
      <c r="B65" s="134" t="s">
        <v>293</v>
      </c>
      <c r="C65" s="134"/>
      <c r="D65" s="134"/>
      <c r="E65" s="134"/>
      <c r="F65" s="134"/>
      <c r="G65" s="134"/>
      <c r="H65" s="134"/>
      <c r="I65" s="134"/>
      <c r="J65" s="195"/>
      <c r="M65" s="339" t="s">
        <v>292</v>
      </c>
      <c r="N65" s="339"/>
      <c r="O65" s="339"/>
      <c r="P65" s="339"/>
      <c r="Q65" s="339"/>
      <c r="R65" s="339"/>
      <c r="S65" s="339"/>
    </row>
    <row r="66" spans="1:19" x14ac:dyDescent="0.2">
      <c r="A66" s="196"/>
      <c r="B66" s="134"/>
      <c r="C66" s="134"/>
      <c r="D66" s="134"/>
      <c r="E66" s="134"/>
      <c r="F66" s="134"/>
      <c r="G66" s="134"/>
      <c r="H66" s="134"/>
      <c r="I66" s="134"/>
      <c r="J66" s="195"/>
      <c r="M66" s="339"/>
      <c r="N66" s="339"/>
      <c r="O66" s="339"/>
      <c r="P66" s="339"/>
      <c r="Q66" s="339"/>
      <c r="R66" s="339"/>
      <c r="S66" s="339"/>
    </row>
    <row r="67" spans="1:19" x14ac:dyDescent="0.2">
      <c r="A67" s="196"/>
      <c r="B67" s="134" t="s">
        <v>1</v>
      </c>
      <c r="C67" s="134"/>
      <c r="D67" s="134"/>
      <c r="E67" s="134"/>
      <c r="F67" s="134"/>
      <c r="G67" s="134"/>
      <c r="H67" s="134"/>
      <c r="I67" s="134"/>
      <c r="J67" s="195"/>
      <c r="M67" s="339"/>
      <c r="N67" s="339"/>
      <c r="O67" s="339"/>
      <c r="P67" s="339"/>
      <c r="Q67" s="339"/>
      <c r="R67" s="339"/>
      <c r="S67" s="339"/>
    </row>
    <row r="68" spans="1:19" x14ac:dyDescent="0.2">
      <c r="A68" s="196"/>
      <c r="B68" s="340" t="s">
        <v>291</v>
      </c>
      <c r="C68" s="340"/>
      <c r="D68" s="340"/>
      <c r="E68" s="340"/>
      <c r="F68" s="340"/>
      <c r="G68" s="340"/>
      <c r="H68" s="340"/>
      <c r="I68" s="134"/>
      <c r="J68" s="195"/>
      <c r="M68" s="339"/>
      <c r="N68" s="339"/>
      <c r="O68" s="339"/>
      <c r="P68" s="339"/>
      <c r="Q68" s="339"/>
      <c r="R68" s="339"/>
      <c r="S68" s="339"/>
    </row>
    <row r="69" spans="1:19" x14ac:dyDescent="0.2">
      <c r="A69" s="196"/>
      <c r="B69" s="340"/>
      <c r="C69" s="340"/>
      <c r="D69" s="340"/>
      <c r="E69" s="340"/>
      <c r="F69" s="340"/>
      <c r="G69" s="340"/>
      <c r="H69" s="340"/>
      <c r="I69" s="134"/>
      <c r="J69" s="195"/>
      <c r="M69" s="339"/>
      <c r="N69" s="339"/>
      <c r="O69" s="339"/>
      <c r="P69" s="339"/>
      <c r="Q69" s="339"/>
      <c r="R69" s="339"/>
      <c r="S69" s="339"/>
    </row>
    <row r="70" spans="1:19" ht="17" thickBot="1" x14ac:dyDescent="0.25">
      <c r="A70" s="194"/>
      <c r="B70" s="193"/>
      <c r="C70" s="193"/>
      <c r="D70" s="193"/>
      <c r="E70" s="193"/>
      <c r="F70" s="193"/>
      <c r="G70" s="193"/>
      <c r="H70" s="193"/>
      <c r="I70" s="193"/>
      <c r="J70" s="192"/>
      <c r="M70" s="339"/>
      <c r="N70" s="339"/>
      <c r="O70" s="339"/>
      <c r="P70" s="339"/>
      <c r="Q70" s="339"/>
      <c r="R70" s="339"/>
      <c r="S70" s="339"/>
    </row>
    <row r="71" spans="1:19" x14ac:dyDescent="0.2">
      <c r="M71" s="339"/>
      <c r="N71" s="339"/>
      <c r="O71" s="339"/>
      <c r="P71" s="339"/>
      <c r="Q71" s="339"/>
      <c r="R71" s="339"/>
      <c r="S71" s="339"/>
    </row>
    <row r="72" spans="1:19" x14ac:dyDescent="0.2">
      <c r="M72" s="133"/>
      <c r="N72" s="133"/>
      <c r="O72" s="133"/>
      <c r="P72" s="133"/>
      <c r="Q72" s="133"/>
      <c r="R72" s="133"/>
      <c r="S72" s="133"/>
    </row>
    <row r="73" spans="1:19" x14ac:dyDescent="0.2">
      <c r="M73" s="135" t="s">
        <v>290</v>
      </c>
    </row>
    <row r="75" spans="1:19" x14ac:dyDescent="0.2">
      <c r="M75" s="115" t="s">
        <v>188</v>
      </c>
    </row>
    <row r="77" spans="1:19" x14ac:dyDescent="0.2">
      <c r="M77" s="94" t="s">
        <v>289</v>
      </c>
    </row>
    <row r="79" spans="1:19" x14ac:dyDescent="0.2">
      <c r="M79" s="115" t="s">
        <v>178</v>
      </c>
    </row>
    <row r="81" spans="13:19" x14ac:dyDescent="0.2">
      <c r="M81" s="94" t="s">
        <v>288</v>
      </c>
    </row>
    <row r="83" spans="13:19" x14ac:dyDescent="0.2">
      <c r="M83" s="135" t="s">
        <v>287</v>
      </c>
    </row>
    <row r="85" spans="13:19" x14ac:dyDescent="0.2">
      <c r="M85" s="115" t="s">
        <v>188</v>
      </c>
    </row>
    <row r="87" spans="13:19" x14ac:dyDescent="0.2">
      <c r="M87" s="339" t="s">
        <v>286</v>
      </c>
      <c r="N87" s="339"/>
      <c r="O87" s="339"/>
      <c r="P87" s="339"/>
      <c r="Q87" s="339"/>
      <c r="R87" s="339"/>
      <c r="S87" s="339"/>
    </row>
    <row r="88" spans="13:19" x14ac:dyDescent="0.2">
      <c r="M88" s="339"/>
      <c r="N88" s="339"/>
      <c r="O88" s="339"/>
      <c r="P88" s="339"/>
      <c r="Q88" s="339"/>
      <c r="R88" s="339"/>
      <c r="S88" s="339"/>
    </row>
    <row r="90" spans="13:19" x14ac:dyDescent="0.2">
      <c r="N90" s="373" t="s">
        <v>285</v>
      </c>
      <c r="O90" s="373"/>
      <c r="P90" s="373"/>
      <c r="Q90" s="373"/>
      <c r="R90" s="373"/>
      <c r="S90" s="373"/>
    </row>
    <row r="91" spans="13:19" x14ac:dyDescent="0.2">
      <c r="N91" s="373"/>
      <c r="O91" s="373"/>
      <c r="P91" s="373"/>
      <c r="Q91" s="373"/>
      <c r="R91" s="373"/>
      <c r="S91" s="373"/>
    </row>
    <row r="92" spans="13:19" x14ac:dyDescent="0.2">
      <c r="N92" s="373" t="s">
        <v>284</v>
      </c>
      <c r="O92" s="373"/>
      <c r="P92" s="373"/>
      <c r="Q92" s="373"/>
      <c r="R92" s="373"/>
      <c r="S92" s="373"/>
    </row>
    <row r="93" spans="13:19" x14ac:dyDescent="0.2">
      <c r="N93" s="373"/>
      <c r="O93" s="373"/>
      <c r="P93" s="373"/>
      <c r="Q93" s="373"/>
      <c r="R93" s="373"/>
      <c r="S93" s="373"/>
    </row>
    <row r="95" spans="13:19" x14ac:dyDescent="0.2">
      <c r="M95" s="339" t="s">
        <v>283</v>
      </c>
      <c r="N95" s="339"/>
      <c r="O95" s="339"/>
      <c r="P95" s="339"/>
      <c r="Q95" s="339"/>
      <c r="R95" s="339"/>
      <c r="S95" s="339"/>
    </row>
    <row r="96" spans="13:19" x14ac:dyDescent="0.2">
      <c r="M96" s="339"/>
      <c r="N96" s="339"/>
      <c r="O96" s="339"/>
      <c r="P96" s="339"/>
      <c r="Q96" s="339"/>
      <c r="R96" s="339"/>
      <c r="S96" s="339"/>
    </row>
    <row r="98" spans="13:19" x14ac:dyDescent="0.2">
      <c r="N98" s="191" t="s">
        <v>282</v>
      </c>
    </row>
    <row r="99" spans="13:19" ht="15.75" customHeight="1" x14ac:dyDescent="0.2">
      <c r="N99" s="373" t="s">
        <v>281</v>
      </c>
      <c r="O99" s="373"/>
      <c r="P99" s="373"/>
      <c r="Q99" s="373"/>
      <c r="R99" s="373"/>
      <c r="S99" s="373"/>
    </row>
    <row r="100" spans="13:19" x14ac:dyDescent="0.2">
      <c r="N100" s="373"/>
      <c r="O100" s="373"/>
      <c r="P100" s="373"/>
      <c r="Q100" s="373"/>
      <c r="R100" s="373"/>
      <c r="S100" s="373"/>
    </row>
    <row r="101" spans="13:19" x14ac:dyDescent="0.2">
      <c r="N101" s="373"/>
      <c r="O101" s="373"/>
      <c r="P101" s="373"/>
      <c r="Q101" s="373"/>
      <c r="R101" s="373"/>
      <c r="S101" s="373"/>
    </row>
    <row r="102" spans="13:19" x14ac:dyDescent="0.2">
      <c r="N102" s="190"/>
      <c r="O102" s="190"/>
      <c r="P102" s="190"/>
      <c r="Q102" s="190"/>
      <c r="R102" s="190"/>
      <c r="S102" s="190"/>
    </row>
    <row r="103" spans="13:19" x14ac:dyDescent="0.2">
      <c r="M103" s="115" t="s">
        <v>178</v>
      </c>
    </row>
    <row r="105" spans="13:19" ht="15.75" customHeight="1" x14ac:dyDescent="0.2">
      <c r="M105" s="339" t="s">
        <v>280</v>
      </c>
      <c r="N105" s="339"/>
      <c r="O105" s="339"/>
      <c r="P105" s="339"/>
      <c r="Q105" s="339"/>
      <c r="R105" s="339"/>
      <c r="S105" s="339"/>
    </row>
    <row r="106" spans="13:19" x14ac:dyDescent="0.2">
      <c r="M106" s="339"/>
      <c r="N106" s="339"/>
      <c r="O106" s="339"/>
      <c r="P106" s="339"/>
      <c r="Q106" s="339"/>
      <c r="R106" s="339"/>
      <c r="S106" s="339"/>
    </row>
    <row r="107" spans="13:19" x14ac:dyDescent="0.2">
      <c r="M107" s="339"/>
      <c r="N107" s="339"/>
      <c r="O107" s="339"/>
      <c r="P107" s="339"/>
      <c r="Q107" s="339"/>
      <c r="R107" s="339"/>
      <c r="S107" s="339"/>
    </row>
    <row r="108" spans="13:19" x14ac:dyDescent="0.2">
      <c r="M108" s="339"/>
      <c r="N108" s="339"/>
      <c r="O108" s="339"/>
      <c r="P108" s="339"/>
      <c r="Q108" s="339"/>
      <c r="R108" s="339"/>
      <c r="S108" s="339"/>
    </row>
    <row r="109" spans="13:19" x14ac:dyDescent="0.2">
      <c r="M109" s="339"/>
      <c r="N109" s="339"/>
      <c r="O109" s="339"/>
      <c r="P109" s="339"/>
      <c r="Q109" s="339"/>
      <c r="R109" s="339"/>
      <c r="S109" s="339"/>
    </row>
    <row r="111" spans="13:19" x14ac:dyDescent="0.2">
      <c r="M111" s="135" t="s">
        <v>279</v>
      </c>
    </row>
    <row r="113" spans="13:19" x14ac:dyDescent="0.2">
      <c r="M113" s="115" t="s">
        <v>188</v>
      </c>
    </row>
    <row r="115" spans="13:19" x14ac:dyDescent="0.2">
      <c r="M115" s="339" t="s">
        <v>278</v>
      </c>
      <c r="N115" s="339"/>
      <c r="O115" s="339"/>
      <c r="P115" s="339"/>
      <c r="Q115" s="339"/>
      <c r="R115" s="339"/>
      <c r="S115" s="339"/>
    </row>
    <row r="116" spans="13:19" x14ac:dyDescent="0.2">
      <c r="M116" s="339"/>
      <c r="N116" s="339"/>
      <c r="O116" s="339"/>
      <c r="P116" s="339"/>
      <c r="Q116" s="339"/>
      <c r="R116" s="339"/>
      <c r="S116" s="339"/>
    </row>
    <row r="117" spans="13:19" x14ac:dyDescent="0.2">
      <c r="M117" s="339"/>
      <c r="N117" s="339"/>
      <c r="O117" s="339"/>
      <c r="P117" s="339"/>
      <c r="Q117" s="339"/>
      <c r="R117" s="339"/>
      <c r="S117" s="339"/>
    </row>
    <row r="118" spans="13:19" x14ac:dyDescent="0.2">
      <c r="M118" s="339"/>
      <c r="N118" s="339"/>
      <c r="O118" s="339"/>
      <c r="P118" s="339"/>
      <c r="Q118" s="339"/>
      <c r="R118" s="339"/>
      <c r="S118" s="339"/>
    </row>
    <row r="119" spans="13:19" x14ac:dyDescent="0.2">
      <c r="M119" s="339"/>
      <c r="N119" s="339"/>
      <c r="O119" s="339"/>
      <c r="P119" s="339"/>
      <c r="Q119" s="339"/>
      <c r="R119" s="339"/>
      <c r="S119" s="339"/>
    </row>
    <row r="120" spans="13:19" x14ac:dyDescent="0.2">
      <c r="M120" s="339"/>
      <c r="N120" s="339"/>
      <c r="O120" s="339"/>
      <c r="P120" s="339"/>
      <c r="Q120" s="339"/>
      <c r="R120" s="339"/>
      <c r="S120" s="339"/>
    </row>
    <row r="121" spans="13:19" x14ac:dyDescent="0.2">
      <c r="M121" s="339"/>
      <c r="N121" s="339"/>
      <c r="O121" s="339"/>
      <c r="P121" s="339"/>
      <c r="Q121" s="339"/>
      <c r="R121" s="339"/>
      <c r="S121" s="339"/>
    </row>
    <row r="123" spans="13:19" ht="15.75" customHeight="1" x14ac:dyDescent="0.2">
      <c r="M123" s="339" t="s">
        <v>277</v>
      </c>
      <c r="N123" s="339"/>
      <c r="O123" s="339"/>
      <c r="P123" s="339"/>
      <c r="Q123" s="339"/>
      <c r="R123" s="339"/>
      <c r="S123" s="339"/>
    </row>
    <row r="124" spans="13:19" x14ac:dyDescent="0.2">
      <c r="M124" s="339"/>
      <c r="N124" s="339"/>
      <c r="O124" s="339"/>
      <c r="P124" s="339"/>
      <c r="Q124" s="339"/>
      <c r="R124" s="339"/>
      <c r="S124" s="339"/>
    </row>
    <row r="125" spans="13:19" x14ac:dyDescent="0.2">
      <c r="M125" s="339"/>
      <c r="N125" s="339"/>
      <c r="O125" s="339"/>
      <c r="P125" s="339"/>
      <c r="Q125" s="339"/>
      <c r="R125" s="339"/>
      <c r="S125" s="339"/>
    </row>
    <row r="126" spans="13:19" x14ac:dyDescent="0.2">
      <c r="M126" s="339"/>
      <c r="N126" s="339"/>
      <c r="O126" s="339"/>
      <c r="P126" s="339"/>
      <c r="Q126" s="339"/>
      <c r="R126" s="339"/>
      <c r="S126" s="339"/>
    </row>
    <row r="127" spans="13:19" x14ac:dyDescent="0.2">
      <c r="M127" s="171"/>
      <c r="N127" s="171"/>
      <c r="O127" s="171"/>
      <c r="P127" s="171"/>
      <c r="Q127" s="171"/>
      <c r="R127" s="171"/>
      <c r="S127" s="171"/>
    </row>
    <row r="128" spans="13:19" x14ac:dyDescent="0.2">
      <c r="M128" s="115" t="s">
        <v>178</v>
      </c>
    </row>
    <row r="130" spans="13:19" x14ac:dyDescent="0.2">
      <c r="M130" s="339" t="s">
        <v>276</v>
      </c>
      <c r="N130" s="339"/>
      <c r="O130" s="339"/>
      <c r="P130" s="339"/>
      <c r="Q130" s="339"/>
      <c r="R130" s="339"/>
      <c r="S130" s="339"/>
    </row>
    <row r="131" spans="13:19" x14ac:dyDescent="0.2">
      <c r="M131" s="339"/>
      <c r="N131" s="339"/>
      <c r="O131" s="339"/>
      <c r="P131" s="339"/>
      <c r="Q131" s="339"/>
      <c r="R131" s="339"/>
      <c r="S131" s="339"/>
    </row>
    <row r="133" spans="13:19" x14ac:dyDescent="0.2">
      <c r="M133" s="339" t="s">
        <v>275</v>
      </c>
      <c r="N133" s="339"/>
      <c r="O133" s="339"/>
      <c r="P133" s="339"/>
      <c r="Q133" s="339"/>
      <c r="R133" s="339"/>
      <c r="S133" s="339"/>
    </row>
    <row r="134" spans="13:19" x14ac:dyDescent="0.2">
      <c r="M134" s="339"/>
      <c r="N134" s="339"/>
      <c r="O134" s="339"/>
      <c r="P134" s="339"/>
      <c r="Q134" s="339"/>
      <c r="R134" s="339"/>
      <c r="S134" s="339"/>
    </row>
  </sheetData>
  <mergeCells count="24">
    <mergeCell ref="M87:S88"/>
    <mergeCell ref="N90:S91"/>
    <mergeCell ref="N92:S93"/>
    <mergeCell ref="M95:S96"/>
    <mergeCell ref="N99:S101"/>
    <mergeCell ref="M133:S134"/>
    <mergeCell ref="M105:S109"/>
    <mergeCell ref="M115:S121"/>
    <mergeCell ref="M123:S126"/>
    <mergeCell ref="M130:S131"/>
    <mergeCell ref="M40:S43"/>
    <mergeCell ref="M47:S50"/>
    <mergeCell ref="M54:S55"/>
    <mergeCell ref="M65:S71"/>
    <mergeCell ref="B36:H37"/>
    <mergeCell ref="B41:H42"/>
    <mergeCell ref="B61:H62"/>
    <mergeCell ref="B68:H69"/>
    <mergeCell ref="M35:S36"/>
    <mergeCell ref="M5:S6"/>
    <mergeCell ref="M7:S8"/>
    <mergeCell ref="M9:S10"/>
    <mergeCell ref="M16:S18"/>
    <mergeCell ref="M22:S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24</vt:i4>
      </vt:variant>
    </vt:vector>
  </HeadingPairs>
  <TitlesOfParts>
    <vt:vector size="24" baseType="lpstr">
      <vt:lpstr>Overview</vt:lpstr>
      <vt:lpstr>Q #1</vt:lpstr>
      <vt:lpstr>Q #2</vt:lpstr>
      <vt:lpstr>Q #3</vt:lpstr>
      <vt:lpstr>Q #4</vt:lpstr>
      <vt:lpstr>Q #5</vt:lpstr>
      <vt:lpstr>Q #6</vt:lpstr>
      <vt:lpstr>Q #7</vt:lpstr>
      <vt:lpstr>Q #8</vt:lpstr>
      <vt:lpstr>Q #9</vt:lpstr>
      <vt:lpstr>Q #10</vt:lpstr>
      <vt:lpstr>Q #11</vt:lpstr>
      <vt:lpstr>Q #12</vt:lpstr>
      <vt:lpstr>2011 #5</vt:lpstr>
      <vt:lpstr>2012 #7</vt:lpstr>
      <vt:lpstr>2013 #6</vt:lpstr>
      <vt:lpstr>2014 #12</vt:lpstr>
      <vt:lpstr>2015 #14</vt:lpstr>
      <vt:lpstr>2016 #18</vt:lpstr>
      <vt:lpstr>2017 #17</vt:lpstr>
      <vt:lpstr>2017 #18</vt:lpstr>
      <vt:lpstr>2018 #17</vt:lpstr>
      <vt:lpstr>2019 #15</vt:lpstr>
      <vt:lpstr>Essay Problems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Roll</dc:creator>
  <cp:lastModifiedBy>Michael McPhail</cp:lastModifiedBy>
  <dcterms:created xsi:type="dcterms:W3CDTF">2020-08-07T14:18:21Z</dcterms:created>
  <dcterms:modified xsi:type="dcterms:W3CDTF">2026-03-13T13:18:28Z</dcterms:modified>
</cp:coreProperties>
</file>